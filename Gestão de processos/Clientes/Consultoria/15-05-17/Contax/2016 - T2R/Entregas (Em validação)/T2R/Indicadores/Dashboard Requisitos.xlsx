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2.xml" ContentType="application/vnd.openxmlformats-officedocument.themeOverride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3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Chacon\Desktop\"/>
    </mc:Choice>
  </mc:AlternateContent>
  <bookViews>
    <workbookView xWindow="0" yWindow="0" windowWidth="15360" windowHeight="7356" tabRatio="760"/>
  </bookViews>
  <sheets>
    <sheet name="Dashboards" sheetId="3" r:id="rId1"/>
    <sheet name="Pré Implantação" sheetId="1" r:id="rId2"/>
    <sheet name="Pós Implantação" sheetId="2" r:id="rId3"/>
    <sheet name="Entrega Pré Implantação" sheetId="4" r:id="rId4"/>
    <sheet name="Entrega Pós Implantação" sheetId="5" r:id="rId5"/>
    <sheet name="Consolidado" sheetId="15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2" i="1" l="1"/>
  <c r="M2" i="1"/>
  <c r="L2" i="1"/>
  <c r="K2" i="1"/>
  <c r="J2" i="1"/>
  <c r="I2" i="1"/>
  <c r="H2" i="1"/>
  <c r="G2" i="1"/>
  <c r="F2" i="1"/>
  <c r="E2" i="1"/>
  <c r="D2" i="1"/>
  <c r="B22" i="4" l="1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B203" i="4"/>
  <c r="B204" i="4"/>
  <c r="B205" i="4"/>
  <c r="B206" i="4"/>
  <c r="B207" i="4"/>
  <c r="B208" i="4"/>
  <c r="B209" i="4"/>
  <c r="B210" i="4"/>
  <c r="B211" i="4"/>
  <c r="B212" i="4"/>
  <c r="B213" i="4"/>
  <c r="B214" i="4"/>
  <c r="B215" i="4"/>
  <c r="B216" i="4"/>
  <c r="B217" i="4"/>
  <c r="B218" i="4"/>
  <c r="B219" i="4"/>
  <c r="B220" i="4"/>
  <c r="B221" i="4"/>
  <c r="B222" i="4"/>
  <c r="B223" i="4"/>
  <c r="B224" i="4"/>
  <c r="B225" i="4"/>
  <c r="B226" i="4"/>
  <c r="B227" i="4"/>
  <c r="B228" i="4"/>
  <c r="B229" i="4"/>
  <c r="B230" i="4"/>
  <c r="B231" i="4"/>
  <c r="B232" i="4"/>
  <c r="B233" i="4"/>
  <c r="B234" i="4"/>
  <c r="B235" i="4"/>
  <c r="B236" i="4"/>
  <c r="B237" i="4"/>
  <c r="B238" i="4"/>
  <c r="B239" i="4"/>
  <c r="B240" i="4"/>
  <c r="B241" i="4"/>
  <c r="B242" i="4"/>
  <c r="B243" i="4"/>
  <c r="B244" i="4"/>
  <c r="B245" i="4"/>
  <c r="B246" i="4"/>
  <c r="B247" i="4"/>
  <c r="B248" i="4"/>
  <c r="B249" i="4"/>
  <c r="B250" i="4"/>
  <c r="B251" i="4"/>
  <c r="B252" i="4"/>
  <c r="B253" i="4"/>
  <c r="B254" i="4"/>
  <c r="B255" i="4"/>
  <c r="B256" i="4"/>
  <c r="B257" i="4"/>
  <c r="B258" i="4"/>
  <c r="B259" i="4"/>
  <c r="B260" i="4"/>
  <c r="B261" i="4"/>
  <c r="B262" i="4"/>
  <c r="B263" i="4"/>
  <c r="B264" i="4"/>
  <c r="B265" i="4"/>
  <c r="B266" i="4"/>
  <c r="B267" i="4"/>
  <c r="B268" i="4"/>
  <c r="B269" i="4"/>
  <c r="B270" i="4"/>
  <c r="B271" i="4"/>
  <c r="B272" i="4"/>
  <c r="B273" i="4"/>
  <c r="B274" i="4"/>
  <c r="B275" i="4"/>
  <c r="B276" i="4"/>
  <c r="B277" i="4"/>
  <c r="B278" i="4"/>
  <c r="B279" i="4"/>
  <c r="B280" i="4"/>
  <c r="B281" i="4"/>
  <c r="B282" i="4"/>
  <c r="B283" i="4"/>
  <c r="B284" i="4"/>
  <c r="B285" i="4"/>
  <c r="B286" i="4"/>
  <c r="B287" i="4"/>
  <c r="B288" i="4"/>
  <c r="B289" i="4"/>
  <c r="B290" i="4"/>
  <c r="B291" i="4"/>
  <c r="B292" i="4"/>
  <c r="B293" i="4"/>
  <c r="B294" i="4"/>
  <c r="B295" i="4"/>
  <c r="B296" i="4"/>
  <c r="B297" i="4"/>
  <c r="B298" i="4"/>
  <c r="B299" i="4"/>
  <c r="B300" i="4"/>
  <c r="B301" i="4"/>
  <c r="B302" i="4"/>
  <c r="B303" i="4"/>
  <c r="B304" i="4"/>
  <c r="B305" i="4"/>
  <c r="B306" i="4"/>
  <c r="B307" i="4"/>
  <c r="B308" i="4"/>
  <c r="B309" i="4"/>
  <c r="B310" i="4"/>
  <c r="B311" i="4"/>
  <c r="B312" i="4"/>
  <c r="B313" i="4"/>
  <c r="B314" i="4"/>
  <c r="B315" i="4"/>
  <c r="B316" i="4"/>
  <c r="B317" i="4"/>
  <c r="B318" i="4"/>
  <c r="B319" i="4"/>
  <c r="B320" i="4"/>
  <c r="B321" i="4"/>
  <c r="B322" i="4"/>
  <c r="B323" i="4"/>
  <c r="B324" i="4"/>
  <c r="B325" i="4"/>
  <c r="B326" i="4"/>
  <c r="B327" i="4"/>
  <c r="B328" i="4"/>
  <c r="B329" i="4"/>
  <c r="B330" i="4"/>
  <c r="B331" i="4"/>
  <c r="B332" i="4"/>
  <c r="B333" i="4"/>
  <c r="B334" i="4"/>
  <c r="B335" i="4"/>
  <c r="B336" i="4"/>
  <c r="B337" i="4"/>
  <c r="B338" i="4"/>
  <c r="B339" i="4"/>
  <c r="B340" i="4"/>
  <c r="B341" i="4"/>
  <c r="B342" i="4"/>
  <c r="B343" i="4"/>
  <c r="B344" i="4"/>
  <c r="B345" i="4"/>
  <c r="B346" i="4"/>
  <c r="B347" i="4"/>
  <c r="B348" i="4"/>
  <c r="B349" i="4"/>
  <c r="B350" i="4"/>
  <c r="B351" i="4"/>
  <c r="B352" i="4"/>
  <c r="B353" i="4"/>
  <c r="B354" i="4"/>
  <c r="B355" i="4"/>
  <c r="B356" i="4"/>
  <c r="B357" i="4"/>
  <c r="B358" i="4"/>
  <c r="B359" i="4"/>
  <c r="B360" i="4"/>
  <c r="B361" i="4"/>
  <c r="B362" i="4"/>
  <c r="B363" i="4"/>
  <c r="B364" i="4"/>
  <c r="B365" i="4"/>
  <c r="B366" i="4"/>
  <c r="B367" i="4"/>
  <c r="B368" i="4"/>
  <c r="B369" i="4"/>
  <c r="B370" i="4"/>
  <c r="B371" i="4"/>
  <c r="B372" i="4"/>
  <c r="B373" i="4"/>
  <c r="B374" i="4"/>
  <c r="B375" i="4"/>
  <c r="B376" i="4"/>
  <c r="B377" i="4"/>
  <c r="B378" i="4"/>
  <c r="B379" i="4"/>
  <c r="B380" i="4"/>
  <c r="B381" i="4"/>
  <c r="B382" i="4"/>
  <c r="B383" i="4"/>
  <c r="B384" i="4"/>
  <c r="B385" i="4"/>
  <c r="B386" i="4"/>
  <c r="B387" i="4"/>
  <c r="B388" i="4"/>
  <c r="B389" i="4"/>
  <c r="B390" i="4"/>
  <c r="B391" i="4"/>
  <c r="B392" i="4"/>
  <c r="B393" i="4"/>
  <c r="B394" i="4"/>
  <c r="B395" i="4"/>
  <c r="B396" i="4"/>
  <c r="B397" i="4"/>
  <c r="B398" i="4"/>
  <c r="B399" i="4"/>
  <c r="B400" i="4"/>
  <c r="B401" i="4"/>
  <c r="B402" i="4"/>
  <c r="B403" i="4"/>
  <c r="B404" i="4"/>
  <c r="B405" i="4"/>
  <c r="B406" i="4"/>
  <c r="B407" i="4"/>
  <c r="B408" i="4"/>
  <c r="B409" i="4"/>
  <c r="B410" i="4"/>
  <c r="B411" i="4"/>
  <c r="B412" i="4"/>
  <c r="B413" i="4"/>
  <c r="B414" i="4"/>
  <c r="B415" i="4"/>
  <c r="B416" i="4"/>
  <c r="B417" i="4"/>
  <c r="B418" i="4"/>
  <c r="B419" i="4"/>
  <c r="B420" i="4"/>
  <c r="B421" i="4"/>
  <c r="B14" i="4"/>
  <c r="B15" i="4"/>
  <c r="B16" i="4"/>
  <c r="B17" i="4"/>
  <c r="B18" i="4"/>
  <c r="B19" i="4"/>
  <c r="B20" i="4"/>
  <c r="B21" i="4"/>
  <c r="B12" i="4"/>
  <c r="B13" i="4"/>
  <c r="D7" i="15"/>
  <c r="C14" i="15"/>
  <c r="C13" i="15"/>
  <c r="C12" i="15"/>
  <c r="C11" i="15"/>
  <c r="C10" i="15"/>
  <c r="C9" i="15"/>
  <c r="C8" i="15"/>
  <c r="C7" i="15"/>
  <c r="C5" i="15"/>
  <c r="C4" i="15"/>
  <c r="O4" i="5"/>
  <c r="O5" i="5"/>
  <c r="O6" i="5"/>
  <c r="O7" i="5"/>
  <c r="O8" i="5"/>
  <c r="O9" i="5"/>
  <c r="O10" i="5"/>
  <c r="O11" i="5"/>
  <c r="O12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32" i="5"/>
  <c r="O33" i="5"/>
  <c r="O34" i="5"/>
  <c r="O35" i="5"/>
  <c r="O36" i="5"/>
  <c r="O37" i="5"/>
  <c r="O38" i="5"/>
  <c r="O39" i="5"/>
  <c r="O40" i="5"/>
  <c r="O41" i="5"/>
  <c r="O42" i="5"/>
  <c r="O43" i="5"/>
  <c r="O44" i="5"/>
  <c r="O45" i="5"/>
  <c r="O46" i="5"/>
  <c r="O47" i="5"/>
  <c r="O48" i="5"/>
  <c r="O49" i="5"/>
  <c r="O50" i="5"/>
  <c r="O51" i="5"/>
  <c r="O52" i="5"/>
  <c r="O53" i="5"/>
  <c r="O54" i="5"/>
  <c r="O55" i="5"/>
  <c r="O56" i="5"/>
  <c r="O57" i="5"/>
  <c r="O58" i="5"/>
  <c r="O59" i="5"/>
  <c r="O60" i="5"/>
  <c r="O61" i="5"/>
  <c r="O62" i="5"/>
  <c r="O63" i="5"/>
  <c r="O64" i="5"/>
  <c r="O65" i="5"/>
  <c r="O66" i="5"/>
  <c r="O67" i="5"/>
  <c r="O68" i="5"/>
  <c r="O69" i="5"/>
  <c r="O70" i="5"/>
  <c r="O71" i="5"/>
  <c r="O72" i="5"/>
  <c r="O73" i="5"/>
  <c r="O74" i="5"/>
  <c r="O75" i="5"/>
  <c r="O76" i="5"/>
  <c r="O77" i="5"/>
  <c r="O78" i="5"/>
  <c r="O79" i="5"/>
  <c r="O80" i="5"/>
  <c r="O81" i="5"/>
  <c r="O82" i="5"/>
  <c r="O83" i="5"/>
  <c r="O84" i="5"/>
  <c r="O85" i="5"/>
  <c r="O86" i="5"/>
  <c r="O87" i="5"/>
  <c r="O88" i="5"/>
  <c r="O89" i="5"/>
  <c r="O90" i="5"/>
  <c r="O91" i="5"/>
  <c r="O92" i="5"/>
  <c r="O93" i="5"/>
  <c r="O94" i="5"/>
  <c r="O95" i="5"/>
  <c r="O96" i="5"/>
  <c r="O97" i="5"/>
  <c r="O98" i="5"/>
  <c r="O99" i="5"/>
  <c r="O100" i="5"/>
  <c r="O101" i="5"/>
  <c r="O102" i="5"/>
  <c r="O103" i="5"/>
  <c r="O104" i="5"/>
  <c r="O105" i="5"/>
  <c r="O106" i="5"/>
  <c r="O107" i="5"/>
  <c r="O108" i="5"/>
  <c r="O109" i="5"/>
  <c r="O110" i="5"/>
  <c r="O111" i="5"/>
  <c r="O112" i="5"/>
  <c r="O113" i="5"/>
  <c r="O114" i="5"/>
  <c r="O115" i="5"/>
  <c r="O116" i="5"/>
  <c r="O117" i="5"/>
  <c r="O118" i="5"/>
  <c r="O119" i="5"/>
  <c r="O120" i="5"/>
  <c r="O121" i="5"/>
  <c r="O122" i="5"/>
  <c r="O123" i="5"/>
  <c r="O124" i="5"/>
  <c r="O125" i="5"/>
  <c r="O126" i="5"/>
  <c r="O127" i="5"/>
  <c r="O128" i="5"/>
  <c r="O129" i="5"/>
  <c r="O130" i="5"/>
  <c r="O131" i="5"/>
  <c r="O132" i="5"/>
  <c r="O133" i="5"/>
  <c r="O134" i="5"/>
  <c r="O135" i="5"/>
  <c r="O136" i="5"/>
  <c r="O137" i="5"/>
  <c r="O138" i="5"/>
  <c r="O139" i="5"/>
  <c r="O140" i="5"/>
  <c r="O141" i="5"/>
  <c r="O142" i="5"/>
  <c r="O143" i="5"/>
  <c r="O144" i="5"/>
  <c r="O145" i="5"/>
  <c r="O146" i="5"/>
  <c r="O147" i="5"/>
  <c r="O148" i="5"/>
  <c r="O149" i="5"/>
  <c r="O150" i="5"/>
  <c r="O151" i="5"/>
  <c r="O152" i="5"/>
  <c r="O153" i="5"/>
  <c r="O154" i="5"/>
  <c r="O155" i="5"/>
  <c r="O156" i="5"/>
  <c r="O157" i="5"/>
  <c r="O158" i="5"/>
  <c r="O159" i="5"/>
  <c r="O160" i="5"/>
  <c r="O161" i="5"/>
  <c r="O162" i="5"/>
  <c r="O163" i="5"/>
  <c r="O164" i="5"/>
  <c r="O165" i="5"/>
  <c r="O166" i="5"/>
  <c r="O167" i="5"/>
  <c r="O168" i="5"/>
  <c r="O169" i="5"/>
  <c r="O170" i="5"/>
  <c r="O171" i="5"/>
  <c r="O172" i="5"/>
  <c r="O173" i="5"/>
  <c r="O174" i="5"/>
  <c r="O175" i="5"/>
  <c r="O176" i="5"/>
  <c r="O177" i="5"/>
  <c r="O178" i="5"/>
  <c r="O179" i="5"/>
  <c r="O180" i="5"/>
  <c r="O181" i="5"/>
  <c r="O182" i="5"/>
  <c r="O183" i="5"/>
  <c r="O184" i="5"/>
  <c r="O185" i="5"/>
  <c r="O186" i="5"/>
  <c r="O187" i="5"/>
  <c r="O188" i="5"/>
  <c r="O189" i="5"/>
  <c r="O190" i="5"/>
  <c r="O191" i="5"/>
  <c r="O192" i="5"/>
  <c r="O193" i="5"/>
  <c r="O194" i="5"/>
  <c r="O195" i="5"/>
  <c r="O196" i="5"/>
  <c r="O197" i="5"/>
  <c r="O198" i="5"/>
  <c r="O199" i="5"/>
  <c r="O200" i="5"/>
  <c r="O201" i="5"/>
  <c r="O202" i="5"/>
  <c r="O203" i="5"/>
  <c r="O204" i="5"/>
  <c r="O205" i="5"/>
  <c r="O206" i="5"/>
  <c r="O207" i="5"/>
  <c r="O208" i="5"/>
  <c r="O209" i="5"/>
  <c r="O210" i="5"/>
  <c r="O211" i="5"/>
  <c r="O212" i="5"/>
  <c r="O213" i="5"/>
  <c r="O214" i="5"/>
  <c r="O215" i="5"/>
  <c r="O216" i="5"/>
  <c r="O217" i="5"/>
  <c r="O218" i="5"/>
  <c r="O219" i="5"/>
  <c r="O220" i="5"/>
  <c r="O221" i="5"/>
  <c r="O222" i="5"/>
  <c r="O223" i="5"/>
  <c r="O224" i="5"/>
  <c r="O225" i="5"/>
  <c r="O226" i="5"/>
  <c r="O227" i="5"/>
  <c r="O228" i="5"/>
  <c r="O229" i="5"/>
  <c r="O230" i="5"/>
  <c r="O231" i="5"/>
  <c r="O232" i="5"/>
  <c r="O233" i="5"/>
  <c r="O234" i="5"/>
  <c r="O235" i="5"/>
  <c r="O236" i="5"/>
  <c r="O237" i="5"/>
  <c r="O238" i="5"/>
  <c r="O239" i="5"/>
  <c r="O240" i="5"/>
  <c r="O241" i="5"/>
  <c r="O242" i="5"/>
  <c r="O243" i="5"/>
  <c r="O244" i="5"/>
  <c r="O245" i="5"/>
  <c r="O246" i="5"/>
  <c r="O247" i="5"/>
  <c r="O248" i="5"/>
  <c r="O249" i="5"/>
  <c r="O250" i="5"/>
  <c r="O251" i="5"/>
  <c r="O252" i="5"/>
  <c r="O253" i="5"/>
  <c r="O254" i="5"/>
  <c r="O255" i="5"/>
  <c r="O256" i="5"/>
  <c r="O257" i="5"/>
  <c r="O258" i="5"/>
  <c r="O259" i="5"/>
  <c r="O260" i="5"/>
  <c r="O261" i="5"/>
  <c r="O262" i="5"/>
  <c r="O263" i="5"/>
  <c r="O264" i="5"/>
  <c r="O265" i="5"/>
  <c r="O266" i="5"/>
  <c r="O267" i="5"/>
  <c r="O268" i="5"/>
  <c r="O269" i="5"/>
  <c r="O270" i="5"/>
  <c r="O271" i="5"/>
  <c r="O272" i="5"/>
  <c r="O273" i="5"/>
  <c r="O274" i="5"/>
  <c r="O275" i="5"/>
  <c r="O276" i="5"/>
  <c r="O277" i="5"/>
  <c r="O278" i="5"/>
  <c r="O279" i="5"/>
  <c r="O280" i="5"/>
  <c r="O281" i="5"/>
  <c r="O282" i="5"/>
  <c r="O283" i="5"/>
  <c r="O284" i="5"/>
  <c r="O285" i="5"/>
  <c r="O286" i="5"/>
  <c r="O287" i="5"/>
  <c r="O288" i="5"/>
  <c r="O289" i="5"/>
  <c r="O290" i="5"/>
  <c r="O291" i="5"/>
  <c r="O292" i="5"/>
  <c r="O293" i="5"/>
  <c r="O294" i="5"/>
  <c r="O295" i="5"/>
  <c r="O296" i="5"/>
  <c r="O297" i="5"/>
  <c r="O298" i="5"/>
  <c r="O299" i="5"/>
  <c r="O300" i="5"/>
  <c r="O301" i="5"/>
  <c r="O302" i="5"/>
  <c r="O303" i="5"/>
  <c r="O304" i="5"/>
  <c r="O305" i="5"/>
  <c r="O306" i="5"/>
  <c r="O307" i="5"/>
  <c r="O308" i="5"/>
  <c r="O309" i="5"/>
  <c r="O310" i="5"/>
  <c r="O311" i="5"/>
  <c r="O312" i="5"/>
  <c r="O313" i="5"/>
  <c r="O314" i="5"/>
  <c r="O315" i="5"/>
  <c r="O316" i="5"/>
  <c r="O317" i="5"/>
  <c r="O318" i="5"/>
  <c r="O319" i="5"/>
  <c r="O320" i="5"/>
  <c r="O321" i="5"/>
  <c r="O322" i="5"/>
  <c r="O323" i="5"/>
  <c r="O324" i="5"/>
  <c r="O325" i="5"/>
  <c r="O326" i="5"/>
  <c r="O327" i="5"/>
  <c r="O328" i="5"/>
  <c r="O329" i="5"/>
  <c r="O330" i="5"/>
  <c r="O331" i="5"/>
  <c r="O332" i="5"/>
  <c r="O333" i="5"/>
  <c r="O334" i="5"/>
  <c r="O335" i="5"/>
  <c r="O336" i="5"/>
  <c r="O337" i="5"/>
  <c r="O338" i="5"/>
  <c r="O339" i="5"/>
  <c r="O340" i="5"/>
  <c r="O341" i="5"/>
  <c r="O342" i="5"/>
  <c r="O343" i="5"/>
  <c r="O344" i="5"/>
  <c r="O345" i="5"/>
  <c r="O346" i="5"/>
  <c r="O347" i="5"/>
  <c r="O348" i="5"/>
  <c r="O349" i="5"/>
  <c r="O350" i="5"/>
  <c r="O351" i="5"/>
  <c r="O352" i="5"/>
  <c r="O353" i="5"/>
  <c r="O354" i="5"/>
  <c r="O355" i="5"/>
  <c r="O356" i="5"/>
  <c r="O357" i="5"/>
  <c r="O358" i="5"/>
  <c r="O359" i="5"/>
  <c r="O360" i="5"/>
  <c r="O361" i="5"/>
  <c r="O362" i="5"/>
  <c r="O363" i="5"/>
  <c r="O364" i="5"/>
  <c r="O365" i="5"/>
  <c r="O366" i="5"/>
  <c r="O367" i="5"/>
  <c r="O368" i="5"/>
  <c r="O369" i="5"/>
  <c r="O370" i="5"/>
  <c r="O371" i="5"/>
  <c r="O372" i="5"/>
  <c r="O373" i="5"/>
  <c r="O374" i="5"/>
  <c r="O375" i="5"/>
  <c r="O376" i="5"/>
  <c r="O377" i="5"/>
  <c r="O378" i="5"/>
  <c r="O379" i="5"/>
  <c r="O380" i="5"/>
  <c r="O381" i="5"/>
  <c r="O382" i="5"/>
  <c r="O383" i="5"/>
  <c r="O384" i="5"/>
  <c r="O385" i="5"/>
  <c r="O386" i="5"/>
  <c r="O387" i="5"/>
  <c r="O388" i="5"/>
  <c r="O389" i="5"/>
  <c r="O390" i="5"/>
  <c r="O391" i="5"/>
  <c r="O392" i="5"/>
  <c r="O393" i="5"/>
  <c r="O394" i="5"/>
  <c r="O395" i="5"/>
  <c r="O396" i="5"/>
  <c r="O397" i="5"/>
  <c r="O398" i="5"/>
  <c r="O399" i="5"/>
  <c r="O400" i="5"/>
  <c r="O401" i="5"/>
  <c r="O402" i="5"/>
  <c r="O403" i="5"/>
  <c r="O404" i="5"/>
  <c r="O405" i="5"/>
  <c r="O406" i="5"/>
  <c r="O407" i="5"/>
  <c r="O408" i="5"/>
  <c r="O409" i="5"/>
  <c r="O410" i="5"/>
  <c r="O411" i="5"/>
  <c r="O412" i="5"/>
  <c r="O413" i="5"/>
  <c r="O414" i="5"/>
  <c r="O415" i="5"/>
  <c r="O416" i="5"/>
  <c r="O417" i="5"/>
  <c r="O418" i="5"/>
  <c r="O419" i="5"/>
  <c r="O420" i="5"/>
  <c r="O421" i="5"/>
  <c r="O3" i="5"/>
  <c r="N4" i="5"/>
  <c r="N5" i="5"/>
  <c r="N6" i="5"/>
  <c r="N7" i="5"/>
  <c r="N8" i="5"/>
  <c r="N9" i="5"/>
  <c r="N10" i="5"/>
  <c r="N11" i="5"/>
  <c r="N12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32" i="5"/>
  <c r="N33" i="5"/>
  <c r="N34" i="5"/>
  <c r="N35" i="5"/>
  <c r="N36" i="5"/>
  <c r="N37" i="5"/>
  <c r="N38" i="5"/>
  <c r="N39" i="5"/>
  <c r="N40" i="5"/>
  <c r="N41" i="5"/>
  <c r="N42" i="5"/>
  <c r="N43" i="5"/>
  <c r="N44" i="5"/>
  <c r="N45" i="5"/>
  <c r="N46" i="5"/>
  <c r="N47" i="5"/>
  <c r="N48" i="5"/>
  <c r="N49" i="5"/>
  <c r="N50" i="5"/>
  <c r="N51" i="5"/>
  <c r="N52" i="5"/>
  <c r="N53" i="5"/>
  <c r="N54" i="5"/>
  <c r="N55" i="5"/>
  <c r="N56" i="5"/>
  <c r="N57" i="5"/>
  <c r="N58" i="5"/>
  <c r="N59" i="5"/>
  <c r="N60" i="5"/>
  <c r="N61" i="5"/>
  <c r="N62" i="5"/>
  <c r="N63" i="5"/>
  <c r="N64" i="5"/>
  <c r="N65" i="5"/>
  <c r="N66" i="5"/>
  <c r="N67" i="5"/>
  <c r="N68" i="5"/>
  <c r="N69" i="5"/>
  <c r="N70" i="5"/>
  <c r="N71" i="5"/>
  <c r="N72" i="5"/>
  <c r="N73" i="5"/>
  <c r="N74" i="5"/>
  <c r="N75" i="5"/>
  <c r="N76" i="5"/>
  <c r="N77" i="5"/>
  <c r="N78" i="5"/>
  <c r="N79" i="5"/>
  <c r="N80" i="5"/>
  <c r="N81" i="5"/>
  <c r="N82" i="5"/>
  <c r="N83" i="5"/>
  <c r="N84" i="5"/>
  <c r="N85" i="5"/>
  <c r="N86" i="5"/>
  <c r="N87" i="5"/>
  <c r="N88" i="5"/>
  <c r="N89" i="5"/>
  <c r="N90" i="5"/>
  <c r="N91" i="5"/>
  <c r="N92" i="5"/>
  <c r="N93" i="5"/>
  <c r="N94" i="5"/>
  <c r="N95" i="5"/>
  <c r="N96" i="5"/>
  <c r="N97" i="5"/>
  <c r="N98" i="5"/>
  <c r="N99" i="5"/>
  <c r="N100" i="5"/>
  <c r="N101" i="5"/>
  <c r="N102" i="5"/>
  <c r="N103" i="5"/>
  <c r="N104" i="5"/>
  <c r="N105" i="5"/>
  <c r="N106" i="5"/>
  <c r="N107" i="5"/>
  <c r="N108" i="5"/>
  <c r="N109" i="5"/>
  <c r="N110" i="5"/>
  <c r="N111" i="5"/>
  <c r="N112" i="5"/>
  <c r="N113" i="5"/>
  <c r="N114" i="5"/>
  <c r="N115" i="5"/>
  <c r="N116" i="5"/>
  <c r="N117" i="5"/>
  <c r="N118" i="5"/>
  <c r="N119" i="5"/>
  <c r="N120" i="5"/>
  <c r="N121" i="5"/>
  <c r="N122" i="5"/>
  <c r="N123" i="5"/>
  <c r="N124" i="5"/>
  <c r="N125" i="5"/>
  <c r="N126" i="5"/>
  <c r="N127" i="5"/>
  <c r="N128" i="5"/>
  <c r="N129" i="5"/>
  <c r="N130" i="5"/>
  <c r="N131" i="5"/>
  <c r="N132" i="5"/>
  <c r="N133" i="5"/>
  <c r="N134" i="5"/>
  <c r="N135" i="5"/>
  <c r="N136" i="5"/>
  <c r="N137" i="5"/>
  <c r="N138" i="5"/>
  <c r="N139" i="5"/>
  <c r="N140" i="5"/>
  <c r="N141" i="5"/>
  <c r="N142" i="5"/>
  <c r="N143" i="5"/>
  <c r="N144" i="5"/>
  <c r="N145" i="5"/>
  <c r="N146" i="5"/>
  <c r="N147" i="5"/>
  <c r="N148" i="5"/>
  <c r="N149" i="5"/>
  <c r="N150" i="5"/>
  <c r="N151" i="5"/>
  <c r="N152" i="5"/>
  <c r="N153" i="5"/>
  <c r="N154" i="5"/>
  <c r="N155" i="5"/>
  <c r="N156" i="5"/>
  <c r="N157" i="5"/>
  <c r="N158" i="5"/>
  <c r="N159" i="5"/>
  <c r="N160" i="5"/>
  <c r="N161" i="5"/>
  <c r="N162" i="5"/>
  <c r="N163" i="5"/>
  <c r="N164" i="5"/>
  <c r="N165" i="5"/>
  <c r="N166" i="5"/>
  <c r="N167" i="5"/>
  <c r="N168" i="5"/>
  <c r="N169" i="5"/>
  <c r="N170" i="5"/>
  <c r="N171" i="5"/>
  <c r="N172" i="5"/>
  <c r="N173" i="5"/>
  <c r="N174" i="5"/>
  <c r="N175" i="5"/>
  <c r="N176" i="5"/>
  <c r="N177" i="5"/>
  <c r="N178" i="5"/>
  <c r="N179" i="5"/>
  <c r="N180" i="5"/>
  <c r="N181" i="5"/>
  <c r="N182" i="5"/>
  <c r="N183" i="5"/>
  <c r="N184" i="5"/>
  <c r="N185" i="5"/>
  <c r="N186" i="5"/>
  <c r="N187" i="5"/>
  <c r="N188" i="5"/>
  <c r="N189" i="5"/>
  <c r="N190" i="5"/>
  <c r="N191" i="5"/>
  <c r="N192" i="5"/>
  <c r="N193" i="5"/>
  <c r="N194" i="5"/>
  <c r="N195" i="5"/>
  <c r="N196" i="5"/>
  <c r="N197" i="5"/>
  <c r="N198" i="5"/>
  <c r="N199" i="5"/>
  <c r="N200" i="5"/>
  <c r="N201" i="5"/>
  <c r="N202" i="5"/>
  <c r="N203" i="5"/>
  <c r="N204" i="5"/>
  <c r="N205" i="5"/>
  <c r="N206" i="5"/>
  <c r="N207" i="5"/>
  <c r="N208" i="5"/>
  <c r="N209" i="5"/>
  <c r="N210" i="5"/>
  <c r="N211" i="5"/>
  <c r="N212" i="5"/>
  <c r="N213" i="5"/>
  <c r="N214" i="5"/>
  <c r="N215" i="5"/>
  <c r="N216" i="5"/>
  <c r="N217" i="5"/>
  <c r="N218" i="5"/>
  <c r="N219" i="5"/>
  <c r="N220" i="5"/>
  <c r="N221" i="5"/>
  <c r="N222" i="5"/>
  <c r="N223" i="5"/>
  <c r="N224" i="5"/>
  <c r="N225" i="5"/>
  <c r="N226" i="5"/>
  <c r="N227" i="5"/>
  <c r="N228" i="5"/>
  <c r="N229" i="5"/>
  <c r="N230" i="5"/>
  <c r="N231" i="5"/>
  <c r="N232" i="5"/>
  <c r="N233" i="5"/>
  <c r="N234" i="5"/>
  <c r="N235" i="5"/>
  <c r="N236" i="5"/>
  <c r="N237" i="5"/>
  <c r="N238" i="5"/>
  <c r="N239" i="5"/>
  <c r="N240" i="5"/>
  <c r="N241" i="5"/>
  <c r="N242" i="5"/>
  <c r="N243" i="5"/>
  <c r="N244" i="5"/>
  <c r="N245" i="5"/>
  <c r="N246" i="5"/>
  <c r="N247" i="5"/>
  <c r="N248" i="5"/>
  <c r="N249" i="5"/>
  <c r="N250" i="5"/>
  <c r="N251" i="5"/>
  <c r="N252" i="5"/>
  <c r="N253" i="5"/>
  <c r="N254" i="5"/>
  <c r="N255" i="5"/>
  <c r="N256" i="5"/>
  <c r="N257" i="5"/>
  <c r="N258" i="5"/>
  <c r="N259" i="5"/>
  <c r="N260" i="5"/>
  <c r="N261" i="5"/>
  <c r="N262" i="5"/>
  <c r="N263" i="5"/>
  <c r="N264" i="5"/>
  <c r="N265" i="5"/>
  <c r="N266" i="5"/>
  <c r="N267" i="5"/>
  <c r="N268" i="5"/>
  <c r="N269" i="5"/>
  <c r="N270" i="5"/>
  <c r="N271" i="5"/>
  <c r="N272" i="5"/>
  <c r="N273" i="5"/>
  <c r="N274" i="5"/>
  <c r="N275" i="5"/>
  <c r="N276" i="5"/>
  <c r="N277" i="5"/>
  <c r="N278" i="5"/>
  <c r="N279" i="5"/>
  <c r="N280" i="5"/>
  <c r="N281" i="5"/>
  <c r="N282" i="5"/>
  <c r="N283" i="5"/>
  <c r="N284" i="5"/>
  <c r="N285" i="5"/>
  <c r="N286" i="5"/>
  <c r="N287" i="5"/>
  <c r="N288" i="5"/>
  <c r="N289" i="5"/>
  <c r="N290" i="5"/>
  <c r="N291" i="5"/>
  <c r="N292" i="5"/>
  <c r="N293" i="5"/>
  <c r="N294" i="5"/>
  <c r="N295" i="5"/>
  <c r="N296" i="5"/>
  <c r="N297" i="5"/>
  <c r="N298" i="5"/>
  <c r="N299" i="5"/>
  <c r="N300" i="5"/>
  <c r="N301" i="5"/>
  <c r="N302" i="5"/>
  <c r="N303" i="5"/>
  <c r="N304" i="5"/>
  <c r="N305" i="5"/>
  <c r="N306" i="5"/>
  <c r="N307" i="5"/>
  <c r="N308" i="5"/>
  <c r="N309" i="5"/>
  <c r="N310" i="5"/>
  <c r="N311" i="5"/>
  <c r="N312" i="5"/>
  <c r="N313" i="5"/>
  <c r="N314" i="5"/>
  <c r="N315" i="5"/>
  <c r="N316" i="5"/>
  <c r="N317" i="5"/>
  <c r="N318" i="5"/>
  <c r="N319" i="5"/>
  <c r="N320" i="5"/>
  <c r="N321" i="5"/>
  <c r="N322" i="5"/>
  <c r="N323" i="5"/>
  <c r="N324" i="5"/>
  <c r="N325" i="5"/>
  <c r="N326" i="5"/>
  <c r="N327" i="5"/>
  <c r="N328" i="5"/>
  <c r="N329" i="5"/>
  <c r="N330" i="5"/>
  <c r="N331" i="5"/>
  <c r="N332" i="5"/>
  <c r="N333" i="5"/>
  <c r="N334" i="5"/>
  <c r="N335" i="5"/>
  <c r="N336" i="5"/>
  <c r="N337" i="5"/>
  <c r="N338" i="5"/>
  <c r="N339" i="5"/>
  <c r="N340" i="5"/>
  <c r="N341" i="5"/>
  <c r="N342" i="5"/>
  <c r="N343" i="5"/>
  <c r="N344" i="5"/>
  <c r="N345" i="5"/>
  <c r="N346" i="5"/>
  <c r="N347" i="5"/>
  <c r="N348" i="5"/>
  <c r="N349" i="5"/>
  <c r="N350" i="5"/>
  <c r="N351" i="5"/>
  <c r="N352" i="5"/>
  <c r="N353" i="5"/>
  <c r="N354" i="5"/>
  <c r="N355" i="5"/>
  <c r="N356" i="5"/>
  <c r="N357" i="5"/>
  <c r="N358" i="5"/>
  <c r="N359" i="5"/>
  <c r="N360" i="5"/>
  <c r="N361" i="5"/>
  <c r="N362" i="5"/>
  <c r="N363" i="5"/>
  <c r="N364" i="5"/>
  <c r="N365" i="5"/>
  <c r="N366" i="5"/>
  <c r="N367" i="5"/>
  <c r="N368" i="5"/>
  <c r="N369" i="5"/>
  <c r="N370" i="5"/>
  <c r="N371" i="5"/>
  <c r="N372" i="5"/>
  <c r="N373" i="5"/>
  <c r="N374" i="5"/>
  <c r="N375" i="5"/>
  <c r="N376" i="5"/>
  <c r="N377" i="5"/>
  <c r="N378" i="5"/>
  <c r="N379" i="5"/>
  <c r="N380" i="5"/>
  <c r="N381" i="5"/>
  <c r="N382" i="5"/>
  <c r="N383" i="5"/>
  <c r="N384" i="5"/>
  <c r="N385" i="5"/>
  <c r="N386" i="5"/>
  <c r="N387" i="5"/>
  <c r="N388" i="5"/>
  <c r="N389" i="5"/>
  <c r="N390" i="5"/>
  <c r="N391" i="5"/>
  <c r="N392" i="5"/>
  <c r="N393" i="5"/>
  <c r="N394" i="5"/>
  <c r="N395" i="5"/>
  <c r="N396" i="5"/>
  <c r="N397" i="5"/>
  <c r="N398" i="5"/>
  <c r="N399" i="5"/>
  <c r="N400" i="5"/>
  <c r="N401" i="5"/>
  <c r="N402" i="5"/>
  <c r="N403" i="5"/>
  <c r="N404" i="5"/>
  <c r="N405" i="5"/>
  <c r="N406" i="5"/>
  <c r="N407" i="5"/>
  <c r="N408" i="5"/>
  <c r="N409" i="5"/>
  <c r="N410" i="5"/>
  <c r="N411" i="5"/>
  <c r="N412" i="5"/>
  <c r="N413" i="5"/>
  <c r="N414" i="5"/>
  <c r="N415" i="5"/>
  <c r="N416" i="5"/>
  <c r="N417" i="5"/>
  <c r="N418" i="5"/>
  <c r="N419" i="5"/>
  <c r="N420" i="5"/>
  <c r="N421" i="5"/>
  <c r="N3" i="5"/>
  <c r="M4" i="5"/>
  <c r="M5" i="5"/>
  <c r="M6" i="5"/>
  <c r="M7" i="5"/>
  <c r="M8" i="5"/>
  <c r="M9" i="5"/>
  <c r="M10" i="5"/>
  <c r="M11" i="5"/>
  <c r="M12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M69" i="5"/>
  <c r="M70" i="5"/>
  <c r="M71" i="5"/>
  <c r="M72" i="5"/>
  <c r="M73" i="5"/>
  <c r="M74" i="5"/>
  <c r="M75" i="5"/>
  <c r="M76" i="5"/>
  <c r="M77" i="5"/>
  <c r="M78" i="5"/>
  <c r="M79" i="5"/>
  <c r="M80" i="5"/>
  <c r="M81" i="5"/>
  <c r="M82" i="5"/>
  <c r="M83" i="5"/>
  <c r="M84" i="5"/>
  <c r="M85" i="5"/>
  <c r="M86" i="5"/>
  <c r="M87" i="5"/>
  <c r="M88" i="5"/>
  <c r="M89" i="5"/>
  <c r="M90" i="5"/>
  <c r="M91" i="5"/>
  <c r="M92" i="5"/>
  <c r="M93" i="5"/>
  <c r="M94" i="5"/>
  <c r="M95" i="5"/>
  <c r="M96" i="5"/>
  <c r="M97" i="5"/>
  <c r="M98" i="5"/>
  <c r="M99" i="5"/>
  <c r="M100" i="5"/>
  <c r="M101" i="5"/>
  <c r="M102" i="5"/>
  <c r="M103" i="5"/>
  <c r="M104" i="5"/>
  <c r="M105" i="5"/>
  <c r="M106" i="5"/>
  <c r="M107" i="5"/>
  <c r="M108" i="5"/>
  <c r="M109" i="5"/>
  <c r="M110" i="5"/>
  <c r="M111" i="5"/>
  <c r="M112" i="5"/>
  <c r="M113" i="5"/>
  <c r="M114" i="5"/>
  <c r="M115" i="5"/>
  <c r="M116" i="5"/>
  <c r="M117" i="5"/>
  <c r="M118" i="5"/>
  <c r="M119" i="5"/>
  <c r="M120" i="5"/>
  <c r="M121" i="5"/>
  <c r="M122" i="5"/>
  <c r="M123" i="5"/>
  <c r="M124" i="5"/>
  <c r="M125" i="5"/>
  <c r="M126" i="5"/>
  <c r="M127" i="5"/>
  <c r="M128" i="5"/>
  <c r="M129" i="5"/>
  <c r="M130" i="5"/>
  <c r="M131" i="5"/>
  <c r="M132" i="5"/>
  <c r="M133" i="5"/>
  <c r="M134" i="5"/>
  <c r="M135" i="5"/>
  <c r="M136" i="5"/>
  <c r="M137" i="5"/>
  <c r="M138" i="5"/>
  <c r="M139" i="5"/>
  <c r="M140" i="5"/>
  <c r="M141" i="5"/>
  <c r="M142" i="5"/>
  <c r="M143" i="5"/>
  <c r="M144" i="5"/>
  <c r="M145" i="5"/>
  <c r="M146" i="5"/>
  <c r="M147" i="5"/>
  <c r="M148" i="5"/>
  <c r="M149" i="5"/>
  <c r="M150" i="5"/>
  <c r="M151" i="5"/>
  <c r="M152" i="5"/>
  <c r="M153" i="5"/>
  <c r="M154" i="5"/>
  <c r="M155" i="5"/>
  <c r="M156" i="5"/>
  <c r="M157" i="5"/>
  <c r="M158" i="5"/>
  <c r="M159" i="5"/>
  <c r="M160" i="5"/>
  <c r="M161" i="5"/>
  <c r="M162" i="5"/>
  <c r="M163" i="5"/>
  <c r="M164" i="5"/>
  <c r="M165" i="5"/>
  <c r="M166" i="5"/>
  <c r="M167" i="5"/>
  <c r="M168" i="5"/>
  <c r="M169" i="5"/>
  <c r="M170" i="5"/>
  <c r="M171" i="5"/>
  <c r="M172" i="5"/>
  <c r="M173" i="5"/>
  <c r="M174" i="5"/>
  <c r="M175" i="5"/>
  <c r="M176" i="5"/>
  <c r="M177" i="5"/>
  <c r="M178" i="5"/>
  <c r="M179" i="5"/>
  <c r="M180" i="5"/>
  <c r="M181" i="5"/>
  <c r="M182" i="5"/>
  <c r="M183" i="5"/>
  <c r="M184" i="5"/>
  <c r="M185" i="5"/>
  <c r="M186" i="5"/>
  <c r="M187" i="5"/>
  <c r="M188" i="5"/>
  <c r="M189" i="5"/>
  <c r="M190" i="5"/>
  <c r="M191" i="5"/>
  <c r="M192" i="5"/>
  <c r="M193" i="5"/>
  <c r="M194" i="5"/>
  <c r="M195" i="5"/>
  <c r="M196" i="5"/>
  <c r="M197" i="5"/>
  <c r="M198" i="5"/>
  <c r="M199" i="5"/>
  <c r="M200" i="5"/>
  <c r="M201" i="5"/>
  <c r="M202" i="5"/>
  <c r="M203" i="5"/>
  <c r="M204" i="5"/>
  <c r="M205" i="5"/>
  <c r="M206" i="5"/>
  <c r="M207" i="5"/>
  <c r="M208" i="5"/>
  <c r="M209" i="5"/>
  <c r="M210" i="5"/>
  <c r="M211" i="5"/>
  <c r="M212" i="5"/>
  <c r="M213" i="5"/>
  <c r="M214" i="5"/>
  <c r="M215" i="5"/>
  <c r="M216" i="5"/>
  <c r="M217" i="5"/>
  <c r="M218" i="5"/>
  <c r="M219" i="5"/>
  <c r="M220" i="5"/>
  <c r="M221" i="5"/>
  <c r="M222" i="5"/>
  <c r="M223" i="5"/>
  <c r="M224" i="5"/>
  <c r="M225" i="5"/>
  <c r="M226" i="5"/>
  <c r="M227" i="5"/>
  <c r="M228" i="5"/>
  <c r="M229" i="5"/>
  <c r="M230" i="5"/>
  <c r="M231" i="5"/>
  <c r="M232" i="5"/>
  <c r="M233" i="5"/>
  <c r="M234" i="5"/>
  <c r="M235" i="5"/>
  <c r="M236" i="5"/>
  <c r="M237" i="5"/>
  <c r="M238" i="5"/>
  <c r="M239" i="5"/>
  <c r="M240" i="5"/>
  <c r="M241" i="5"/>
  <c r="M242" i="5"/>
  <c r="M243" i="5"/>
  <c r="M244" i="5"/>
  <c r="M245" i="5"/>
  <c r="M246" i="5"/>
  <c r="M247" i="5"/>
  <c r="M248" i="5"/>
  <c r="M249" i="5"/>
  <c r="M250" i="5"/>
  <c r="M251" i="5"/>
  <c r="M252" i="5"/>
  <c r="M253" i="5"/>
  <c r="M254" i="5"/>
  <c r="M255" i="5"/>
  <c r="M256" i="5"/>
  <c r="M257" i="5"/>
  <c r="M258" i="5"/>
  <c r="M259" i="5"/>
  <c r="M260" i="5"/>
  <c r="M261" i="5"/>
  <c r="M262" i="5"/>
  <c r="M263" i="5"/>
  <c r="M264" i="5"/>
  <c r="M265" i="5"/>
  <c r="M266" i="5"/>
  <c r="M267" i="5"/>
  <c r="M268" i="5"/>
  <c r="M269" i="5"/>
  <c r="M270" i="5"/>
  <c r="M271" i="5"/>
  <c r="M272" i="5"/>
  <c r="M273" i="5"/>
  <c r="M274" i="5"/>
  <c r="M275" i="5"/>
  <c r="M276" i="5"/>
  <c r="M277" i="5"/>
  <c r="M278" i="5"/>
  <c r="M279" i="5"/>
  <c r="M280" i="5"/>
  <c r="M281" i="5"/>
  <c r="M282" i="5"/>
  <c r="M283" i="5"/>
  <c r="M284" i="5"/>
  <c r="M285" i="5"/>
  <c r="M286" i="5"/>
  <c r="M287" i="5"/>
  <c r="M288" i="5"/>
  <c r="M289" i="5"/>
  <c r="M290" i="5"/>
  <c r="M291" i="5"/>
  <c r="M292" i="5"/>
  <c r="M293" i="5"/>
  <c r="M294" i="5"/>
  <c r="M295" i="5"/>
  <c r="M296" i="5"/>
  <c r="M297" i="5"/>
  <c r="M298" i="5"/>
  <c r="M299" i="5"/>
  <c r="M300" i="5"/>
  <c r="M301" i="5"/>
  <c r="M302" i="5"/>
  <c r="M303" i="5"/>
  <c r="M304" i="5"/>
  <c r="M305" i="5"/>
  <c r="M306" i="5"/>
  <c r="M307" i="5"/>
  <c r="M308" i="5"/>
  <c r="M309" i="5"/>
  <c r="M310" i="5"/>
  <c r="M311" i="5"/>
  <c r="M312" i="5"/>
  <c r="M313" i="5"/>
  <c r="M314" i="5"/>
  <c r="M315" i="5"/>
  <c r="M316" i="5"/>
  <c r="M317" i="5"/>
  <c r="M318" i="5"/>
  <c r="M319" i="5"/>
  <c r="M320" i="5"/>
  <c r="M321" i="5"/>
  <c r="M322" i="5"/>
  <c r="M323" i="5"/>
  <c r="M324" i="5"/>
  <c r="M325" i="5"/>
  <c r="M326" i="5"/>
  <c r="M327" i="5"/>
  <c r="M328" i="5"/>
  <c r="M329" i="5"/>
  <c r="M330" i="5"/>
  <c r="M331" i="5"/>
  <c r="M332" i="5"/>
  <c r="M333" i="5"/>
  <c r="M334" i="5"/>
  <c r="M335" i="5"/>
  <c r="M336" i="5"/>
  <c r="M337" i="5"/>
  <c r="M338" i="5"/>
  <c r="M339" i="5"/>
  <c r="M340" i="5"/>
  <c r="M341" i="5"/>
  <c r="M342" i="5"/>
  <c r="M343" i="5"/>
  <c r="M344" i="5"/>
  <c r="M345" i="5"/>
  <c r="M346" i="5"/>
  <c r="M347" i="5"/>
  <c r="M348" i="5"/>
  <c r="M349" i="5"/>
  <c r="M350" i="5"/>
  <c r="M351" i="5"/>
  <c r="M352" i="5"/>
  <c r="M353" i="5"/>
  <c r="M354" i="5"/>
  <c r="M355" i="5"/>
  <c r="M356" i="5"/>
  <c r="M357" i="5"/>
  <c r="M358" i="5"/>
  <c r="M359" i="5"/>
  <c r="M360" i="5"/>
  <c r="M361" i="5"/>
  <c r="M362" i="5"/>
  <c r="M363" i="5"/>
  <c r="M364" i="5"/>
  <c r="M365" i="5"/>
  <c r="M366" i="5"/>
  <c r="M367" i="5"/>
  <c r="M368" i="5"/>
  <c r="M369" i="5"/>
  <c r="M370" i="5"/>
  <c r="M371" i="5"/>
  <c r="M372" i="5"/>
  <c r="M373" i="5"/>
  <c r="M374" i="5"/>
  <c r="M375" i="5"/>
  <c r="M376" i="5"/>
  <c r="M377" i="5"/>
  <c r="M378" i="5"/>
  <c r="M379" i="5"/>
  <c r="M380" i="5"/>
  <c r="M381" i="5"/>
  <c r="M382" i="5"/>
  <c r="M383" i="5"/>
  <c r="M384" i="5"/>
  <c r="M385" i="5"/>
  <c r="M386" i="5"/>
  <c r="M387" i="5"/>
  <c r="M388" i="5"/>
  <c r="M389" i="5"/>
  <c r="M390" i="5"/>
  <c r="M391" i="5"/>
  <c r="M392" i="5"/>
  <c r="M393" i="5"/>
  <c r="M394" i="5"/>
  <c r="M395" i="5"/>
  <c r="M396" i="5"/>
  <c r="M397" i="5"/>
  <c r="M398" i="5"/>
  <c r="M399" i="5"/>
  <c r="M400" i="5"/>
  <c r="M401" i="5"/>
  <c r="M402" i="5"/>
  <c r="M403" i="5"/>
  <c r="M404" i="5"/>
  <c r="M405" i="5"/>
  <c r="M406" i="5"/>
  <c r="M407" i="5"/>
  <c r="M408" i="5"/>
  <c r="M409" i="5"/>
  <c r="M410" i="5"/>
  <c r="M411" i="5"/>
  <c r="M412" i="5"/>
  <c r="M413" i="5"/>
  <c r="M414" i="5"/>
  <c r="M415" i="5"/>
  <c r="M416" i="5"/>
  <c r="M417" i="5"/>
  <c r="M418" i="5"/>
  <c r="M419" i="5"/>
  <c r="M420" i="5"/>
  <c r="M421" i="5"/>
  <c r="M3" i="5"/>
  <c r="L4" i="5"/>
  <c r="L5" i="5"/>
  <c r="L6" i="5"/>
  <c r="L7" i="5"/>
  <c r="L8" i="5"/>
  <c r="L9" i="5"/>
  <c r="L10" i="5"/>
  <c r="L11" i="5"/>
  <c r="L12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08" i="5"/>
  <c r="L109" i="5"/>
  <c r="L110" i="5"/>
  <c r="L111" i="5"/>
  <c r="L112" i="5"/>
  <c r="L113" i="5"/>
  <c r="L114" i="5"/>
  <c r="L115" i="5"/>
  <c r="L116" i="5"/>
  <c r="L117" i="5"/>
  <c r="L118" i="5"/>
  <c r="L119" i="5"/>
  <c r="L120" i="5"/>
  <c r="L121" i="5"/>
  <c r="L122" i="5"/>
  <c r="L123" i="5"/>
  <c r="L124" i="5"/>
  <c r="L125" i="5"/>
  <c r="L126" i="5"/>
  <c r="L127" i="5"/>
  <c r="L128" i="5"/>
  <c r="L129" i="5"/>
  <c r="L130" i="5"/>
  <c r="L131" i="5"/>
  <c r="L132" i="5"/>
  <c r="L133" i="5"/>
  <c r="L134" i="5"/>
  <c r="L135" i="5"/>
  <c r="L136" i="5"/>
  <c r="L137" i="5"/>
  <c r="L138" i="5"/>
  <c r="L139" i="5"/>
  <c r="L140" i="5"/>
  <c r="L141" i="5"/>
  <c r="L142" i="5"/>
  <c r="L143" i="5"/>
  <c r="L144" i="5"/>
  <c r="L145" i="5"/>
  <c r="L146" i="5"/>
  <c r="L147" i="5"/>
  <c r="L148" i="5"/>
  <c r="L149" i="5"/>
  <c r="L150" i="5"/>
  <c r="L151" i="5"/>
  <c r="L152" i="5"/>
  <c r="L153" i="5"/>
  <c r="L154" i="5"/>
  <c r="L155" i="5"/>
  <c r="L156" i="5"/>
  <c r="L157" i="5"/>
  <c r="L158" i="5"/>
  <c r="L159" i="5"/>
  <c r="L160" i="5"/>
  <c r="L161" i="5"/>
  <c r="L162" i="5"/>
  <c r="L163" i="5"/>
  <c r="L164" i="5"/>
  <c r="L165" i="5"/>
  <c r="L166" i="5"/>
  <c r="L167" i="5"/>
  <c r="L168" i="5"/>
  <c r="L169" i="5"/>
  <c r="L170" i="5"/>
  <c r="L171" i="5"/>
  <c r="L172" i="5"/>
  <c r="L173" i="5"/>
  <c r="L174" i="5"/>
  <c r="L175" i="5"/>
  <c r="L176" i="5"/>
  <c r="L177" i="5"/>
  <c r="L178" i="5"/>
  <c r="L179" i="5"/>
  <c r="L180" i="5"/>
  <c r="L181" i="5"/>
  <c r="L182" i="5"/>
  <c r="L183" i="5"/>
  <c r="L184" i="5"/>
  <c r="L185" i="5"/>
  <c r="L186" i="5"/>
  <c r="L187" i="5"/>
  <c r="L188" i="5"/>
  <c r="L189" i="5"/>
  <c r="L190" i="5"/>
  <c r="L191" i="5"/>
  <c r="L192" i="5"/>
  <c r="L193" i="5"/>
  <c r="L194" i="5"/>
  <c r="L195" i="5"/>
  <c r="L196" i="5"/>
  <c r="L197" i="5"/>
  <c r="L198" i="5"/>
  <c r="L199" i="5"/>
  <c r="L200" i="5"/>
  <c r="L201" i="5"/>
  <c r="L202" i="5"/>
  <c r="L203" i="5"/>
  <c r="L204" i="5"/>
  <c r="L205" i="5"/>
  <c r="L206" i="5"/>
  <c r="L207" i="5"/>
  <c r="L208" i="5"/>
  <c r="L209" i="5"/>
  <c r="L210" i="5"/>
  <c r="L211" i="5"/>
  <c r="L212" i="5"/>
  <c r="L213" i="5"/>
  <c r="L214" i="5"/>
  <c r="L215" i="5"/>
  <c r="L216" i="5"/>
  <c r="L217" i="5"/>
  <c r="L218" i="5"/>
  <c r="L219" i="5"/>
  <c r="L220" i="5"/>
  <c r="L221" i="5"/>
  <c r="L222" i="5"/>
  <c r="L223" i="5"/>
  <c r="L224" i="5"/>
  <c r="L225" i="5"/>
  <c r="L226" i="5"/>
  <c r="L227" i="5"/>
  <c r="L228" i="5"/>
  <c r="L229" i="5"/>
  <c r="L230" i="5"/>
  <c r="L231" i="5"/>
  <c r="L232" i="5"/>
  <c r="L233" i="5"/>
  <c r="L234" i="5"/>
  <c r="L235" i="5"/>
  <c r="L236" i="5"/>
  <c r="L237" i="5"/>
  <c r="L238" i="5"/>
  <c r="L239" i="5"/>
  <c r="L240" i="5"/>
  <c r="L241" i="5"/>
  <c r="L242" i="5"/>
  <c r="L243" i="5"/>
  <c r="L244" i="5"/>
  <c r="L245" i="5"/>
  <c r="L246" i="5"/>
  <c r="L247" i="5"/>
  <c r="L248" i="5"/>
  <c r="L249" i="5"/>
  <c r="L250" i="5"/>
  <c r="L251" i="5"/>
  <c r="L252" i="5"/>
  <c r="L253" i="5"/>
  <c r="L254" i="5"/>
  <c r="L255" i="5"/>
  <c r="L256" i="5"/>
  <c r="L257" i="5"/>
  <c r="L258" i="5"/>
  <c r="L259" i="5"/>
  <c r="L260" i="5"/>
  <c r="L261" i="5"/>
  <c r="L262" i="5"/>
  <c r="L263" i="5"/>
  <c r="L264" i="5"/>
  <c r="L265" i="5"/>
  <c r="L266" i="5"/>
  <c r="L267" i="5"/>
  <c r="L268" i="5"/>
  <c r="L269" i="5"/>
  <c r="L270" i="5"/>
  <c r="L271" i="5"/>
  <c r="L272" i="5"/>
  <c r="L273" i="5"/>
  <c r="L274" i="5"/>
  <c r="L275" i="5"/>
  <c r="L276" i="5"/>
  <c r="L277" i="5"/>
  <c r="L278" i="5"/>
  <c r="L279" i="5"/>
  <c r="L280" i="5"/>
  <c r="L281" i="5"/>
  <c r="L282" i="5"/>
  <c r="L283" i="5"/>
  <c r="L284" i="5"/>
  <c r="L285" i="5"/>
  <c r="L286" i="5"/>
  <c r="L287" i="5"/>
  <c r="L288" i="5"/>
  <c r="L289" i="5"/>
  <c r="L290" i="5"/>
  <c r="L291" i="5"/>
  <c r="L292" i="5"/>
  <c r="L293" i="5"/>
  <c r="L294" i="5"/>
  <c r="L295" i="5"/>
  <c r="L296" i="5"/>
  <c r="L297" i="5"/>
  <c r="L298" i="5"/>
  <c r="L299" i="5"/>
  <c r="L300" i="5"/>
  <c r="L301" i="5"/>
  <c r="L302" i="5"/>
  <c r="L303" i="5"/>
  <c r="L304" i="5"/>
  <c r="L305" i="5"/>
  <c r="L306" i="5"/>
  <c r="L307" i="5"/>
  <c r="L308" i="5"/>
  <c r="L309" i="5"/>
  <c r="L310" i="5"/>
  <c r="L311" i="5"/>
  <c r="L312" i="5"/>
  <c r="L313" i="5"/>
  <c r="L314" i="5"/>
  <c r="L315" i="5"/>
  <c r="L316" i="5"/>
  <c r="L317" i="5"/>
  <c r="L318" i="5"/>
  <c r="L319" i="5"/>
  <c r="L320" i="5"/>
  <c r="L321" i="5"/>
  <c r="L322" i="5"/>
  <c r="L323" i="5"/>
  <c r="L324" i="5"/>
  <c r="L325" i="5"/>
  <c r="L326" i="5"/>
  <c r="L327" i="5"/>
  <c r="L328" i="5"/>
  <c r="L329" i="5"/>
  <c r="L330" i="5"/>
  <c r="L331" i="5"/>
  <c r="L332" i="5"/>
  <c r="L333" i="5"/>
  <c r="L334" i="5"/>
  <c r="L335" i="5"/>
  <c r="L336" i="5"/>
  <c r="L337" i="5"/>
  <c r="L338" i="5"/>
  <c r="L339" i="5"/>
  <c r="L340" i="5"/>
  <c r="L341" i="5"/>
  <c r="L342" i="5"/>
  <c r="L343" i="5"/>
  <c r="L344" i="5"/>
  <c r="L345" i="5"/>
  <c r="L346" i="5"/>
  <c r="L347" i="5"/>
  <c r="L348" i="5"/>
  <c r="L349" i="5"/>
  <c r="L350" i="5"/>
  <c r="L351" i="5"/>
  <c r="L352" i="5"/>
  <c r="L353" i="5"/>
  <c r="L354" i="5"/>
  <c r="L355" i="5"/>
  <c r="L356" i="5"/>
  <c r="L357" i="5"/>
  <c r="L358" i="5"/>
  <c r="L359" i="5"/>
  <c r="L360" i="5"/>
  <c r="L361" i="5"/>
  <c r="L362" i="5"/>
  <c r="L363" i="5"/>
  <c r="L364" i="5"/>
  <c r="L365" i="5"/>
  <c r="L366" i="5"/>
  <c r="L367" i="5"/>
  <c r="L368" i="5"/>
  <c r="L369" i="5"/>
  <c r="L370" i="5"/>
  <c r="L371" i="5"/>
  <c r="L372" i="5"/>
  <c r="L373" i="5"/>
  <c r="L374" i="5"/>
  <c r="L375" i="5"/>
  <c r="L376" i="5"/>
  <c r="L377" i="5"/>
  <c r="L378" i="5"/>
  <c r="L379" i="5"/>
  <c r="L380" i="5"/>
  <c r="L381" i="5"/>
  <c r="L382" i="5"/>
  <c r="L383" i="5"/>
  <c r="L384" i="5"/>
  <c r="L385" i="5"/>
  <c r="L386" i="5"/>
  <c r="L387" i="5"/>
  <c r="L388" i="5"/>
  <c r="L389" i="5"/>
  <c r="L390" i="5"/>
  <c r="L391" i="5"/>
  <c r="L392" i="5"/>
  <c r="L393" i="5"/>
  <c r="L394" i="5"/>
  <c r="L395" i="5"/>
  <c r="L396" i="5"/>
  <c r="L397" i="5"/>
  <c r="L398" i="5"/>
  <c r="L399" i="5"/>
  <c r="L400" i="5"/>
  <c r="L401" i="5"/>
  <c r="L402" i="5"/>
  <c r="L403" i="5"/>
  <c r="L404" i="5"/>
  <c r="L405" i="5"/>
  <c r="L406" i="5"/>
  <c r="L407" i="5"/>
  <c r="L408" i="5"/>
  <c r="L409" i="5"/>
  <c r="L410" i="5"/>
  <c r="L411" i="5"/>
  <c r="L412" i="5"/>
  <c r="L413" i="5"/>
  <c r="L414" i="5"/>
  <c r="L415" i="5"/>
  <c r="L416" i="5"/>
  <c r="L417" i="5"/>
  <c r="L418" i="5"/>
  <c r="L419" i="5"/>
  <c r="L420" i="5"/>
  <c r="L421" i="5"/>
  <c r="L3" i="5"/>
  <c r="K4" i="5"/>
  <c r="K5" i="5"/>
  <c r="K6" i="5"/>
  <c r="K7" i="5"/>
  <c r="K8" i="5"/>
  <c r="K9" i="5"/>
  <c r="K10" i="5"/>
  <c r="K11" i="5"/>
  <c r="K12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74" i="5"/>
  <c r="K75" i="5"/>
  <c r="K76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92" i="5"/>
  <c r="K93" i="5"/>
  <c r="K94" i="5"/>
  <c r="K95" i="5"/>
  <c r="K96" i="5"/>
  <c r="K97" i="5"/>
  <c r="K98" i="5"/>
  <c r="K99" i="5"/>
  <c r="K100" i="5"/>
  <c r="K101" i="5"/>
  <c r="K102" i="5"/>
  <c r="K103" i="5"/>
  <c r="K104" i="5"/>
  <c r="K105" i="5"/>
  <c r="K106" i="5"/>
  <c r="K107" i="5"/>
  <c r="K108" i="5"/>
  <c r="K109" i="5"/>
  <c r="K110" i="5"/>
  <c r="K111" i="5"/>
  <c r="K112" i="5"/>
  <c r="K113" i="5"/>
  <c r="K114" i="5"/>
  <c r="K115" i="5"/>
  <c r="K116" i="5"/>
  <c r="K117" i="5"/>
  <c r="K118" i="5"/>
  <c r="K119" i="5"/>
  <c r="K120" i="5"/>
  <c r="K121" i="5"/>
  <c r="K122" i="5"/>
  <c r="K123" i="5"/>
  <c r="K124" i="5"/>
  <c r="K125" i="5"/>
  <c r="K126" i="5"/>
  <c r="K127" i="5"/>
  <c r="K128" i="5"/>
  <c r="K129" i="5"/>
  <c r="K130" i="5"/>
  <c r="K131" i="5"/>
  <c r="K132" i="5"/>
  <c r="K133" i="5"/>
  <c r="K134" i="5"/>
  <c r="K135" i="5"/>
  <c r="K136" i="5"/>
  <c r="K137" i="5"/>
  <c r="K138" i="5"/>
  <c r="K139" i="5"/>
  <c r="K140" i="5"/>
  <c r="K141" i="5"/>
  <c r="K142" i="5"/>
  <c r="K143" i="5"/>
  <c r="K144" i="5"/>
  <c r="K145" i="5"/>
  <c r="K146" i="5"/>
  <c r="K147" i="5"/>
  <c r="K148" i="5"/>
  <c r="K149" i="5"/>
  <c r="K150" i="5"/>
  <c r="K151" i="5"/>
  <c r="K152" i="5"/>
  <c r="K153" i="5"/>
  <c r="K154" i="5"/>
  <c r="K155" i="5"/>
  <c r="K156" i="5"/>
  <c r="K157" i="5"/>
  <c r="K158" i="5"/>
  <c r="K159" i="5"/>
  <c r="K160" i="5"/>
  <c r="K161" i="5"/>
  <c r="K162" i="5"/>
  <c r="K163" i="5"/>
  <c r="K164" i="5"/>
  <c r="K165" i="5"/>
  <c r="K166" i="5"/>
  <c r="K167" i="5"/>
  <c r="K168" i="5"/>
  <c r="K169" i="5"/>
  <c r="K170" i="5"/>
  <c r="K171" i="5"/>
  <c r="K172" i="5"/>
  <c r="K173" i="5"/>
  <c r="K174" i="5"/>
  <c r="K175" i="5"/>
  <c r="K176" i="5"/>
  <c r="K177" i="5"/>
  <c r="K178" i="5"/>
  <c r="K179" i="5"/>
  <c r="K180" i="5"/>
  <c r="K181" i="5"/>
  <c r="K182" i="5"/>
  <c r="K183" i="5"/>
  <c r="K184" i="5"/>
  <c r="K185" i="5"/>
  <c r="K186" i="5"/>
  <c r="K187" i="5"/>
  <c r="K188" i="5"/>
  <c r="K189" i="5"/>
  <c r="K190" i="5"/>
  <c r="K191" i="5"/>
  <c r="K192" i="5"/>
  <c r="K193" i="5"/>
  <c r="K194" i="5"/>
  <c r="K195" i="5"/>
  <c r="K196" i="5"/>
  <c r="K197" i="5"/>
  <c r="K198" i="5"/>
  <c r="K199" i="5"/>
  <c r="K200" i="5"/>
  <c r="K201" i="5"/>
  <c r="K202" i="5"/>
  <c r="K203" i="5"/>
  <c r="K204" i="5"/>
  <c r="K205" i="5"/>
  <c r="K206" i="5"/>
  <c r="K207" i="5"/>
  <c r="K208" i="5"/>
  <c r="K209" i="5"/>
  <c r="K210" i="5"/>
  <c r="K211" i="5"/>
  <c r="K212" i="5"/>
  <c r="K213" i="5"/>
  <c r="K214" i="5"/>
  <c r="K215" i="5"/>
  <c r="K216" i="5"/>
  <c r="K217" i="5"/>
  <c r="K218" i="5"/>
  <c r="K219" i="5"/>
  <c r="K220" i="5"/>
  <c r="K221" i="5"/>
  <c r="K222" i="5"/>
  <c r="K223" i="5"/>
  <c r="K224" i="5"/>
  <c r="K225" i="5"/>
  <c r="K226" i="5"/>
  <c r="K227" i="5"/>
  <c r="K228" i="5"/>
  <c r="K229" i="5"/>
  <c r="K230" i="5"/>
  <c r="K231" i="5"/>
  <c r="K232" i="5"/>
  <c r="K233" i="5"/>
  <c r="K234" i="5"/>
  <c r="K235" i="5"/>
  <c r="K236" i="5"/>
  <c r="K237" i="5"/>
  <c r="K238" i="5"/>
  <c r="K239" i="5"/>
  <c r="K240" i="5"/>
  <c r="K241" i="5"/>
  <c r="K242" i="5"/>
  <c r="K243" i="5"/>
  <c r="K244" i="5"/>
  <c r="K245" i="5"/>
  <c r="K246" i="5"/>
  <c r="K247" i="5"/>
  <c r="K248" i="5"/>
  <c r="K249" i="5"/>
  <c r="K250" i="5"/>
  <c r="K251" i="5"/>
  <c r="K252" i="5"/>
  <c r="K253" i="5"/>
  <c r="K254" i="5"/>
  <c r="K255" i="5"/>
  <c r="K256" i="5"/>
  <c r="K257" i="5"/>
  <c r="K258" i="5"/>
  <c r="K259" i="5"/>
  <c r="K260" i="5"/>
  <c r="K261" i="5"/>
  <c r="K262" i="5"/>
  <c r="K263" i="5"/>
  <c r="K264" i="5"/>
  <c r="K265" i="5"/>
  <c r="K266" i="5"/>
  <c r="K267" i="5"/>
  <c r="K268" i="5"/>
  <c r="K269" i="5"/>
  <c r="K270" i="5"/>
  <c r="K271" i="5"/>
  <c r="K272" i="5"/>
  <c r="K273" i="5"/>
  <c r="K274" i="5"/>
  <c r="K275" i="5"/>
  <c r="K276" i="5"/>
  <c r="K277" i="5"/>
  <c r="K278" i="5"/>
  <c r="K279" i="5"/>
  <c r="K280" i="5"/>
  <c r="K281" i="5"/>
  <c r="K282" i="5"/>
  <c r="K283" i="5"/>
  <c r="K284" i="5"/>
  <c r="K285" i="5"/>
  <c r="K286" i="5"/>
  <c r="K287" i="5"/>
  <c r="K288" i="5"/>
  <c r="K289" i="5"/>
  <c r="K290" i="5"/>
  <c r="K291" i="5"/>
  <c r="K292" i="5"/>
  <c r="K293" i="5"/>
  <c r="K294" i="5"/>
  <c r="K295" i="5"/>
  <c r="K296" i="5"/>
  <c r="K297" i="5"/>
  <c r="K298" i="5"/>
  <c r="K299" i="5"/>
  <c r="K300" i="5"/>
  <c r="K301" i="5"/>
  <c r="K302" i="5"/>
  <c r="K303" i="5"/>
  <c r="K304" i="5"/>
  <c r="K305" i="5"/>
  <c r="K306" i="5"/>
  <c r="K307" i="5"/>
  <c r="K308" i="5"/>
  <c r="K309" i="5"/>
  <c r="K310" i="5"/>
  <c r="K311" i="5"/>
  <c r="K312" i="5"/>
  <c r="K313" i="5"/>
  <c r="K314" i="5"/>
  <c r="K315" i="5"/>
  <c r="K316" i="5"/>
  <c r="K317" i="5"/>
  <c r="K318" i="5"/>
  <c r="K319" i="5"/>
  <c r="K320" i="5"/>
  <c r="K321" i="5"/>
  <c r="K322" i="5"/>
  <c r="K323" i="5"/>
  <c r="K324" i="5"/>
  <c r="K325" i="5"/>
  <c r="K326" i="5"/>
  <c r="K327" i="5"/>
  <c r="K328" i="5"/>
  <c r="K329" i="5"/>
  <c r="K330" i="5"/>
  <c r="K331" i="5"/>
  <c r="K332" i="5"/>
  <c r="K333" i="5"/>
  <c r="K334" i="5"/>
  <c r="K335" i="5"/>
  <c r="K336" i="5"/>
  <c r="K337" i="5"/>
  <c r="K338" i="5"/>
  <c r="K339" i="5"/>
  <c r="K340" i="5"/>
  <c r="K341" i="5"/>
  <c r="K342" i="5"/>
  <c r="K343" i="5"/>
  <c r="K344" i="5"/>
  <c r="K345" i="5"/>
  <c r="K346" i="5"/>
  <c r="K347" i="5"/>
  <c r="K348" i="5"/>
  <c r="K349" i="5"/>
  <c r="K350" i="5"/>
  <c r="K351" i="5"/>
  <c r="K352" i="5"/>
  <c r="K353" i="5"/>
  <c r="K354" i="5"/>
  <c r="K355" i="5"/>
  <c r="K356" i="5"/>
  <c r="K357" i="5"/>
  <c r="K358" i="5"/>
  <c r="K359" i="5"/>
  <c r="K360" i="5"/>
  <c r="K361" i="5"/>
  <c r="K362" i="5"/>
  <c r="K363" i="5"/>
  <c r="K364" i="5"/>
  <c r="K365" i="5"/>
  <c r="K366" i="5"/>
  <c r="K367" i="5"/>
  <c r="K368" i="5"/>
  <c r="K369" i="5"/>
  <c r="K370" i="5"/>
  <c r="K371" i="5"/>
  <c r="K372" i="5"/>
  <c r="K373" i="5"/>
  <c r="K374" i="5"/>
  <c r="K375" i="5"/>
  <c r="K376" i="5"/>
  <c r="K377" i="5"/>
  <c r="K378" i="5"/>
  <c r="K379" i="5"/>
  <c r="K380" i="5"/>
  <c r="K381" i="5"/>
  <c r="K382" i="5"/>
  <c r="K383" i="5"/>
  <c r="K384" i="5"/>
  <c r="K385" i="5"/>
  <c r="K386" i="5"/>
  <c r="K387" i="5"/>
  <c r="K388" i="5"/>
  <c r="K389" i="5"/>
  <c r="K390" i="5"/>
  <c r="K391" i="5"/>
  <c r="K392" i="5"/>
  <c r="K393" i="5"/>
  <c r="K394" i="5"/>
  <c r="K395" i="5"/>
  <c r="K396" i="5"/>
  <c r="K397" i="5"/>
  <c r="K398" i="5"/>
  <c r="K399" i="5"/>
  <c r="K400" i="5"/>
  <c r="K401" i="5"/>
  <c r="K402" i="5"/>
  <c r="K403" i="5"/>
  <c r="K404" i="5"/>
  <c r="K405" i="5"/>
  <c r="K406" i="5"/>
  <c r="K407" i="5"/>
  <c r="K408" i="5"/>
  <c r="K409" i="5"/>
  <c r="K410" i="5"/>
  <c r="K411" i="5"/>
  <c r="K412" i="5"/>
  <c r="K413" i="5"/>
  <c r="K414" i="5"/>
  <c r="K415" i="5"/>
  <c r="K416" i="5"/>
  <c r="K417" i="5"/>
  <c r="K418" i="5"/>
  <c r="K419" i="5"/>
  <c r="K420" i="5"/>
  <c r="K421" i="5"/>
  <c r="K3" i="5"/>
  <c r="J4" i="5"/>
  <c r="J5" i="5"/>
  <c r="J6" i="5"/>
  <c r="J7" i="5"/>
  <c r="J8" i="5"/>
  <c r="J9" i="5"/>
  <c r="J10" i="5"/>
  <c r="J11" i="5"/>
  <c r="J12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22" i="5"/>
  <c r="J123" i="5"/>
  <c r="J124" i="5"/>
  <c r="J125" i="5"/>
  <c r="J126" i="5"/>
  <c r="J127" i="5"/>
  <c r="J128" i="5"/>
  <c r="J129" i="5"/>
  <c r="J130" i="5"/>
  <c r="J131" i="5"/>
  <c r="J132" i="5"/>
  <c r="J133" i="5"/>
  <c r="J134" i="5"/>
  <c r="J135" i="5"/>
  <c r="J136" i="5"/>
  <c r="J137" i="5"/>
  <c r="J138" i="5"/>
  <c r="J139" i="5"/>
  <c r="J140" i="5"/>
  <c r="J141" i="5"/>
  <c r="J142" i="5"/>
  <c r="J143" i="5"/>
  <c r="J144" i="5"/>
  <c r="J145" i="5"/>
  <c r="J146" i="5"/>
  <c r="J147" i="5"/>
  <c r="J148" i="5"/>
  <c r="J149" i="5"/>
  <c r="J150" i="5"/>
  <c r="J151" i="5"/>
  <c r="J152" i="5"/>
  <c r="J153" i="5"/>
  <c r="J154" i="5"/>
  <c r="J155" i="5"/>
  <c r="J156" i="5"/>
  <c r="J157" i="5"/>
  <c r="J158" i="5"/>
  <c r="J159" i="5"/>
  <c r="J160" i="5"/>
  <c r="J161" i="5"/>
  <c r="J162" i="5"/>
  <c r="J163" i="5"/>
  <c r="J164" i="5"/>
  <c r="J165" i="5"/>
  <c r="J166" i="5"/>
  <c r="J167" i="5"/>
  <c r="J168" i="5"/>
  <c r="J169" i="5"/>
  <c r="J170" i="5"/>
  <c r="J171" i="5"/>
  <c r="J172" i="5"/>
  <c r="J173" i="5"/>
  <c r="J174" i="5"/>
  <c r="J175" i="5"/>
  <c r="J176" i="5"/>
  <c r="J177" i="5"/>
  <c r="J178" i="5"/>
  <c r="J179" i="5"/>
  <c r="J180" i="5"/>
  <c r="J181" i="5"/>
  <c r="J182" i="5"/>
  <c r="J183" i="5"/>
  <c r="J184" i="5"/>
  <c r="J185" i="5"/>
  <c r="J186" i="5"/>
  <c r="J187" i="5"/>
  <c r="J188" i="5"/>
  <c r="J189" i="5"/>
  <c r="J190" i="5"/>
  <c r="J191" i="5"/>
  <c r="J192" i="5"/>
  <c r="J193" i="5"/>
  <c r="J194" i="5"/>
  <c r="J195" i="5"/>
  <c r="J196" i="5"/>
  <c r="J197" i="5"/>
  <c r="J198" i="5"/>
  <c r="J199" i="5"/>
  <c r="J200" i="5"/>
  <c r="J201" i="5"/>
  <c r="J202" i="5"/>
  <c r="J203" i="5"/>
  <c r="J204" i="5"/>
  <c r="J205" i="5"/>
  <c r="J206" i="5"/>
  <c r="J207" i="5"/>
  <c r="J208" i="5"/>
  <c r="J209" i="5"/>
  <c r="J210" i="5"/>
  <c r="J211" i="5"/>
  <c r="J212" i="5"/>
  <c r="J213" i="5"/>
  <c r="J214" i="5"/>
  <c r="J215" i="5"/>
  <c r="J216" i="5"/>
  <c r="J217" i="5"/>
  <c r="J218" i="5"/>
  <c r="J219" i="5"/>
  <c r="J220" i="5"/>
  <c r="J221" i="5"/>
  <c r="J222" i="5"/>
  <c r="J223" i="5"/>
  <c r="J224" i="5"/>
  <c r="J225" i="5"/>
  <c r="J226" i="5"/>
  <c r="J227" i="5"/>
  <c r="J228" i="5"/>
  <c r="J229" i="5"/>
  <c r="J230" i="5"/>
  <c r="J231" i="5"/>
  <c r="J232" i="5"/>
  <c r="J233" i="5"/>
  <c r="J234" i="5"/>
  <c r="J235" i="5"/>
  <c r="J236" i="5"/>
  <c r="J237" i="5"/>
  <c r="J238" i="5"/>
  <c r="J239" i="5"/>
  <c r="J240" i="5"/>
  <c r="J241" i="5"/>
  <c r="J242" i="5"/>
  <c r="J243" i="5"/>
  <c r="J244" i="5"/>
  <c r="J245" i="5"/>
  <c r="J246" i="5"/>
  <c r="J247" i="5"/>
  <c r="J248" i="5"/>
  <c r="J249" i="5"/>
  <c r="J250" i="5"/>
  <c r="J251" i="5"/>
  <c r="J252" i="5"/>
  <c r="J253" i="5"/>
  <c r="J254" i="5"/>
  <c r="J255" i="5"/>
  <c r="J256" i="5"/>
  <c r="J257" i="5"/>
  <c r="J258" i="5"/>
  <c r="J259" i="5"/>
  <c r="J260" i="5"/>
  <c r="J261" i="5"/>
  <c r="J262" i="5"/>
  <c r="J263" i="5"/>
  <c r="J264" i="5"/>
  <c r="J265" i="5"/>
  <c r="J266" i="5"/>
  <c r="J267" i="5"/>
  <c r="J268" i="5"/>
  <c r="J269" i="5"/>
  <c r="J270" i="5"/>
  <c r="J271" i="5"/>
  <c r="J272" i="5"/>
  <c r="J273" i="5"/>
  <c r="J274" i="5"/>
  <c r="J275" i="5"/>
  <c r="J276" i="5"/>
  <c r="J277" i="5"/>
  <c r="J278" i="5"/>
  <c r="J279" i="5"/>
  <c r="J280" i="5"/>
  <c r="J281" i="5"/>
  <c r="J282" i="5"/>
  <c r="J283" i="5"/>
  <c r="J284" i="5"/>
  <c r="J285" i="5"/>
  <c r="J286" i="5"/>
  <c r="J287" i="5"/>
  <c r="J288" i="5"/>
  <c r="J289" i="5"/>
  <c r="J290" i="5"/>
  <c r="J291" i="5"/>
  <c r="J292" i="5"/>
  <c r="J293" i="5"/>
  <c r="J294" i="5"/>
  <c r="J295" i="5"/>
  <c r="J296" i="5"/>
  <c r="J297" i="5"/>
  <c r="J298" i="5"/>
  <c r="J299" i="5"/>
  <c r="J300" i="5"/>
  <c r="J301" i="5"/>
  <c r="J302" i="5"/>
  <c r="J303" i="5"/>
  <c r="J304" i="5"/>
  <c r="J305" i="5"/>
  <c r="J306" i="5"/>
  <c r="J307" i="5"/>
  <c r="J308" i="5"/>
  <c r="J309" i="5"/>
  <c r="J310" i="5"/>
  <c r="J311" i="5"/>
  <c r="J312" i="5"/>
  <c r="J313" i="5"/>
  <c r="J314" i="5"/>
  <c r="J315" i="5"/>
  <c r="J316" i="5"/>
  <c r="J317" i="5"/>
  <c r="J318" i="5"/>
  <c r="J319" i="5"/>
  <c r="J320" i="5"/>
  <c r="J321" i="5"/>
  <c r="J322" i="5"/>
  <c r="J323" i="5"/>
  <c r="J324" i="5"/>
  <c r="J325" i="5"/>
  <c r="J326" i="5"/>
  <c r="J327" i="5"/>
  <c r="J328" i="5"/>
  <c r="J329" i="5"/>
  <c r="J330" i="5"/>
  <c r="J331" i="5"/>
  <c r="J332" i="5"/>
  <c r="J333" i="5"/>
  <c r="J334" i="5"/>
  <c r="J335" i="5"/>
  <c r="J336" i="5"/>
  <c r="J337" i="5"/>
  <c r="J338" i="5"/>
  <c r="J339" i="5"/>
  <c r="J340" i="5"/>
  <c r="J341" i="5"/>
  <c r="J342" i="5"/>
  <c r="J343" i="5"/>
  <c r="J344" i="5"/>
  <c r="J345" i="5"/>
  <c r="J346" i="5"/>
  <c r="J347" i="5"/>
  <c r="J348" i="5"/>
  <c r="J349" i="5"/>
  <c r="J350" i="5"/>
  <c r="J351" i="5"/>
  <c r="J352" i="5"/>
  <c r="J353" i="5"/>
  <c r="J354" i="5"/>
  <c r="J355" i="5"/>
  <c r="J356" i="5"/>
  <c r="J357" i="5"/>
  <c r="J358" i="5"/>
  <c r="J359" i="5"/>
  <c r="J360" i="5"/>
  <c r="J361" i="5"/>
  <c r="J362" i="5"/>
  <c r="J363" i="5"/>
  <c r="J364" i="5"/>
  <c r="J365" i="5"/>
  <c r="J366" i="5"/>
  <c r="J367" i="5"/>
  <c r="J368" i="5"/>
  <c r="J369" i="5"/>
  <c r="J370" i="5"/>
  <c r="J371" i="5"/>
  <c r="J372" i="5"/>
  <c r="J373" i="5"/>
  <c r="J374" i="5"/>
  <c r="J375" i="5"/>
  <c r="J376" i="5"/>
  <c r="J377" i="5"/>
  <c r="J378" i="5"/>
  <c r="J379" i="5"/>
  <c r="J380" i="5"/>
  <c r="J381" i="5"/>
  <c r="J382" i="5"/>
  <c r="J383" i="5"/>
  <c r="J384" i="5"/>
  <c r="J385" i="5"/>
  <c r="J386" i="5"/>
  <c r="J387" i="5"/>
  <c r="J388" i="5"/>
  <c r="J389" i="5"/>
  <c r="J390" i="5"/>
  <c r="J391" i="5"/>
  <c r="J392" i="5"/>
  <c r="J393" i="5"/>
  <c r="J394" i="5"/>
  <c r="J395" i="5"/>
  <c r="J396" i="5"/>
  <c r="J397" i="5"/>
  <c r="J398" i="5"/>
  <c r="J399" i="5"/>
  <c r="J400" i="5"/>
  <c r="J401" i="5"/>
  <c r="J402" i="5"/>
  <c r="J403" i="5"/>
  <c r="J404" i="5"/>
  <c r="J405" i="5"/>
  <c r="J406" i="5"/>
  <c r="J407" i="5"/>
  <c r="J408" i="5"/>
  <c r="J409" i="5"/>
  <c r="J410" i="5"/>
  <c r="J411" i="5"/>
  <c r="J412" i="5"/>
  <c r="J413" i="5"/>
  <c r="J414" i="5"/>
  <c r="J415" i="5"/>
  <c r="J416" i="5"/>
  <c r="J417" i="5"/>
  <c r="J418" i="5"/>
  <c r="J419" i="5"/>
  <c r="J420" i="5"/>
  <c r="J421" i="5"/>
  <c r="J3" i="5"/>
  <c r="I4" i="5"/>
  <c r="I5" i="5"/>
  <c r="I6" i="5"/>
  <c r="I7" i="5"/>
  <c r="I8" i="5"/>
  <c r="I9" i="5"/>
  <c r="I10" i="5"/>
  <c r="I11" i="5"/>
  <c r="I12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138" i="5"/>
  <c r="I139" i="5"/>
  <c r="I140" i="5"/>
  <c r="I141" i="5"/>
  <c r="I142" i="5"/>
  <c r="I143" i="5"/>
  <c r="I144" i="5"/>
  <c r="I145" i="5"/>
  <c r="I146" i="5"/>
  <c r="I147" i="5"/>
  <c r="I148" i="5"/>
  <c r="I149" i="5"/>
  <c r="I150" i="5"/>
  <c r="I151" i="5"/>
  <c r="I152" i="5"/>
  <c r="I153" i="5"/>
  <c r="I154" i="5"/>
  <c r="I155" i="5"/>
  <c r="I156" i="5"/>
  <c r="I157" i="5"/>
  <c r="I158" i="5"/>
  <c r="I159" i="5"/>
  <c r="I160" i="5"/>
  <c r="I161" i="5"/>
  <c r="I162" i="5"/>
  <c r="I163" i="5"/>
  <c r="I164" i="5"/>
  <c r="I165" i="5"/>
  <c r="I166" i="5"/>
  <c r="I167" i="5"/>
  <c r="I168" i="5"/>
  <c r="I169" i="5"/>
  <c r="I170" i="5"/>
  <c r="I171" i="5"/>
  <c r="I172" i="5"/>
  <c r="I173" i="5"/>
  <c r="I174" i="5"/>
  <c r="I175" i="5"/>
  <c r="I176" i="5"/>
  <c r="I177" i="5"/>
  <c r="I178" i="5"/>
  <c r="I179" i="5"/>
  <c r="I180" i="5"/>
  <c r="I181" i="5"/>
  <c r="I182" i="5"/>
  <c r="I183" i="5"/>
  <c r="I184" i="5"/>
  <c r="I185" i="5"/>
  <c r="I186" i="5"/>
  <c r="I187" i="5"/>
  <c r="I188" i="5"/>
  <c r="I189" i="5"/>
  <c r="I190" i="5"/>
  <c r="I191" i="5"/>
  <c r="I192" i="5"/>
  <c r="I193" i="5"/>
  <c r="I194" i="5"/>
  <c r="I195" i="5"/>
  <c r="I196" i="5"/>
  <c r="I197" i="5"/>
  <c r="I198" i="5"/>
  <c r="I199" i="5"/>
  <c r="I200" i="5"/>
  <c r="I201" i="5"/>
  <c r="I202" i="5"/>
  <c r="I203" i="5"/>
  <c r="I204" i="5"/>
  <c r="I205" i="5"/>
  <c r="I206" i="5"/>
  <c r="I207" i="5"/>
  <c r="I208" i="5"/>
  <c r="I209" i="5"/>
  <c r="I210" i="5"/>
  <c r="I211" i="5"/>
  <c r="I212" i="5"/>
  <c r="I213" i="5"/>
  <c r="I214" i="5"/>
  <c r="I215" i="5"/>
  <c r="I216" i="5"/>
  <c r="I217" i="5"/>
  <c r="I218" i="5"/>
  <c r="I219" i="5"/>
  <c r="I220" i="5"/>
  <c r="I221" i="5"/>
  <c r="I222" i="5"/>
  <c r="I223" i="5"/>
  <c r="I224" i="5"/>
  <c r="I225" i="5"/>
  <c r="I226" i="5"/>
  <c r="I227" i="5"/>
  <c r="I228" i="5"/>
  <c r="I229" i="5"/>
  <c r="I230" i="5"/>
  <c r="I231" i="5"/>
  <c r="I232" i="5"/>
  <c r="I233" i="5"/>
  <c r="I234" i="5"/>
  <c r="I235" i="5"/>
  <c r="I236" i="5"/>
  <c r="I237" i="5"/>
  <c r="I238" i="5"/>
  <c r="I239" i="5"/>
  <c r="I240" i="5"/>
  <c r="I241" i="5"/>
  <c r="I242" i="5"/>
  <c r="I243" i="5"/>
  <c r="I244" i="5"/>
  <c r="I245" i="5"/>
  <c r="I246" i="5"/>
  <c r="I247" i="5"/>
  <c r="I248" i="5"/>
  <c r="I249" i="5"/>
  <c r="I250" i="5"/>
  <c r="I251" i="5"/>
  <c r="I252" i="5"/>
  <c r="I253" i="5"/>
  <c r="I254" i="5"/>
  <c r="I255" i="5"/>
  <c r="I256" i="5"/>
  <c r="I257" i="5"/>
  <c r="I258" i="5"/>
  <c r="I259" i="5"/>
  <c r="I260" i="5"/>
  <c r="I261" i="5"/>
  <c r="I262" i="5"/>
  <c r="I263" i="5"/>
  <c r="I264" i="5"/>
  <c r="I265" i="5"/>
  <c r="I266" i="5"/>
  <c r="I267" i="5"/>
  <c r="I268" i="5"/>
  <c r="I269" i="5"/>
  <c r="I270" i="5"/>
  <c r="I271" i="5"/>
  <c r="I272" i="5"/>
  <c r="I273" i="5"/>
  <c r="I274" i="5"/>
  <c r="I275" i="5"/>
  <c r="I276" i="5"/>
  <c r="I277" i="5"/>
  <c r="I278" i="5"/>
  <c r="I279" i="5"/>
  <c r="I280" i="5"/>
  <c r="I281" i="5"/>
  <c r="I282" i="5"/>
  <c r="I283" i="5"/>
  <c r="I284" i="5"/>
  <c r="I285" i="5"/>
  <c r="I286" i="5"/>
  <c r="I287" i="5"/>
  <c r="I288" i="5"/>
  <c r="I289" i="5"/>
  <c r="I290" i="5"/>
  <c r="I291" i="5"/>
  <c r="I292" i="5"/>
  <c r="I293" i="5"/>
  <c r="I294" i="5"/>
  <c r="I295" i="5"/>
  <c r="I296" i="5"/>
  <c r="I297" i="5"/>
  <c r="I298" i="5"/>
  <c r="I299" i="5"/>
  <c r="I300" i="5"/>
  <c r="I301" i="5"/>
  <c r="I302" i="5"/>
  <c r="I303" i="5"/>
  <c r="I304" i="5"/>
  <c r="I305" i="5"/>
  <c r="I306" i="5"/>
  <c r="I307" i="5"/>
  <c r="I308" i="5"/>
  <c r="I309" i="5"/>
  <c r="I310" i="5"/>
  <c r="I311" i="5"/>
  <c r="I312" i="5"/>
  <c r="I313" i="5"/>
  <c r="I314" i="5"/>
  <c r="I315" i="5"/>
  <c r="I316" i="5"/>
  <c r="I317" i="5"/>
  <c r="I318" i="5"/>
  <c r="I319" i="5"/>
  <c r="I320" i="5"/>
  <c r="I321" i="5"/>
  <c r="I322" i="5"/>
  <c r="I323" i="5"/>
  <c r="I324" i="5"/>
  <c r="I325" i="5"/>
  <c r="I326" i="5"/>
  <c r="I327" i="5"/>
  <c r="I328" i="5"/>
  <c r="I329" i="5"/>
  <c r="I330" i="5"/>
  <c r="I331" i="5"/>
  <c r="I332" i="5"/>
  <c r="I333" i="5"/>
  <c r="I334" i="5"/>
  <c r="I335" i="5"/>
  <c r="I336" i="5"/>
  <c r="I337" i="5"/>
  <c r="I338" i="5"/>
  <c r="I339" i="5"/>
  <c r="I340" i="5"/>
  <c r="I341" i="5"/>
  <c r="I342" i="5"/>
  <c r="I343" i="5"/>
  <c r="I344" i="5"/>
  <c r="I345" i="5"/>
  <c r="I346" i="5"/>
  <c r="I347" i="5"/>
  <c r="I348" i="5"/>
  <c r="I349" i="5"/>
  <c r="I350" i="5"/>
  <c r="I351" i="5"/>
  <c r="I352" i="5"/>
  <c r="I353" i="5"/>
  <c r="I354" i="5"/>
  <c r="I355" i="5"/>
  <c r="I356" i="5"/>
  <c r="I357" i="5"/>
  <c r="I358" i="5"/>
  <c r="I359" i="5"/>
  <c r="I360" i="5"/>
  <c r="I361" i="5"/>
  <c r="I362" i="5"/>
  <c r="I363" i="5"/>
  <c r="I364" i="5"/>
  <c r="I365" i="5"/>
  <c r="I366" i="5"/>
  <c r="I367" i="5"/>
  <c r="I368" i="5"/>
  <c r="I369" i="5"/>
  <c r="I370" i="5"/>
  <c r="I371" i="5"/>
  <c r="I372" i="5"/>
  <c r="I373" i="5"/>
  <c r="I374" i="5"/>
  <c r="I375" i="5"/>
  <c r="I376" i="5"/>
  <c r="I377" i="5"/>
  <c r="I378" i="5"/>
  <c r="I379" i="5"/>
  <c r="I380" i="5"/>
  <c r="I381" i="5"/>
  <c r="I382" i="5"/>
  <c r="I383" i="5"/>
  <c r="I384" i="5"/>
  <c r="I385" i="5"/>
  <c r="I386" i="5"/>
  <c r="I387" i="5"/>
  <c r="I388" i="5"/>
  <c r="I389" i="5"/>
  <c r="I390" i="5"/>
  <c r="I391" i="5"/>
  <c r="I392" i="5"/>
  <c r="I393" i="5"/>
  <c r="I394" i="5"/>
  <c r="I395" i="5"/>
  <c r="I396" i="5"/>
  <c r="I397" i="5"/>
  <c r="I398" i="5"/>
  <c r="I399" i="5"/>
  <c r="I400" i="5"/>
  <c r="I401" i="5"/>
  <c r="I402" i="5"/>
  <c r="I403" i="5"/>
  <c r="I404" i="5"/>
  <c r="I405" i="5"/>
  <c r="I406" i="5"/>
  <c r="I407" i="5"/>
  <c r="I408" i="5"/>
  <c r="I409" i="5"/>
  <c r="I410" i="5"/>
  <c r="I411" i="5"/>
  <c r="I412" i="5"/>
  <c r="I413" i="5"/>
  <c r="I414" i="5"/>
  <c r="I415" i="5"/>
  <c r="I416" i="5"/>
  <c r="I417" i="5"/>
  <c r="I418" i="5"/>
  <c r="I419" i="5"/>
  <c r="I420" i="5"/>
  <c r="I421" i="5"/>
  <c r="I3" i="5"/>
  <c r="H4" i="5"/>
  <c r="H5" i="5"/>
  <c r="H6" i="5"/>
  <c r="H7" i="5"/>
  <c r="H8" i="5"/>
  <c r="H9" i="5"/>
  <c r="H10" i="5"/>
  <c r="H11" i="5"/>
  <c r="H12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H301" i="5"/>
  <c r="H302" i="5"/>
  <c r="H303" i="5"/>
  <c r="H304" i="5"/>
  <c r="H305" i="5"/>
  <c r="H306" i="5"/>
  <c r="H307" i="5"/>
  <c r="H308" i="5"/>
  <c r="H309" i="5"/>
  <c r="H310" i="5"/>
  <c r="H311" i="5"/>
  <c r="H312" i="5"/>
  <c r="H313" i="5"/>
  <c r="H314" i="5"/>
  <c r="H315" i="5"/>
  <c r="H316" i="5"/>
  <c r="H317" i="5"/>
  <c r="H318" i="5"/>
  <c r="H319" i="5"/>
  <c r="H320" i="5"/>
  <c r="H321" i="5"/>
  <c r="H322" i="5"/>
  <c r="H323" i="5"/>
  <c r="H324" i="5"/>
  <c r="H325" i="5"/>
  <c r="H326" i="5"/>
  <c r="H327" i="5"/>
  <c r="H328" i="5"/>
  <c r="H329" i="5"/>
  <c r="H330" i="5"/>
  <c r="H331" i="5"/>
  <c r="H332" i="5"/>
  <c r="H333" i="5"/>
  <c r="H334" i="5"/>
  <c r="H335" i="5"/>
  <c r="H336" i="5"/>
  <c r="H337" i="5"/>
  <c r="H338" i="5"/>
  <c r="H339" i="5"/>
  <c r="H340" i="5"/>
  <c r="H341" i="5"/>
  <c r="H342" i="5"/>
  <c r="H343" i="5"/>
  <c r="H344" i="5"/>
  <c r="H345" i="5"/>
  <c r="H346" i="5"/>
  <c r="H347" i="5"/>
  <c r="H348" i="5"/>
  <c r="H349" i="5"/>
  <c r="H350" i="5"/>
  <c r="H351" i="5"/>
  <c r="H352" i="5"/>
  <c r="H353" i="5"/>
  <c r="H354" i="5"/>
  <c r="H355" i="5"/>
  <c r="H356" i="5"/>
  <c r="H357" i="5"/>
  <c r="H358" i="5"/>
  <c r="H359" i="5"/>
  <c r="H360" i="5"/>
  <c r="H361" i="5"/>
  <c r="H362" i="5"/>
  <c r="H363" i="5"/>
  <c r="H364" i="5"/>
  <c r="H365" i="5"/>
  <c r="H366" i="5"/>
  <c r="H367" i="5"/>
  <c r="H368" i="5"/>
  <c r="H369" i="5"/>
  <c r="H370" i="5"/>
  <c r="H371" i="5"/>
  <c r="H372" i="5"/>
  <c r="H373" i="5"/>
  <c r="H374" i="5"/>
  <c r="H375" i="5"/>
  <c r="H376" i="5"/>
  <c r="H377" i="5"/>
  <c r="H378" i="5"/>
  <c r="H379" i="5"/>
  <c r="H380" i="5"/>
  <c r="H381" i="5"/>
  <c r="H382" i="5"/>
  <c r="H383" i="5"/>
  <c r="H384" i="5"/>
  <c r="H385" i="5"/>
  <c r="H386" i="5"/>
  <c r="H387" i="5"/>
  <c r="H388" i="5"/>
  <c r="H389" i="5"/>
  <c r="H390" i="5"/>
  <c r="H391" i="5"/>
  <c r="H392" i="5"/>
  <c r="H393" i="5"/>
  <c r="H394" i="5"/>
  <c r="H395" i="5"/>
  <c r="H396" i="5"/>
  <c r="H397" i="5"/>
  <c r="H398" i="5"/>
  <c r="H399" i="5"/>
  <c r="H400" i="5"/>
  <c r="H401" i="5"/>
  <c r="H402" i="5"/>
  <c r="H403" i="5"/>
  <c r="H404" i="5"/>
  <c r="H405" i="5"/>
  <c r="H406" i="5"/>
  <c r="H407" i="5"/>
  <c r="H408" i="5"/>
  <c r="H409" i="5"/>
  <c r="H410" i="5"/>
  <c r="H411" i="5"/>
  <c r="H412" i="5"/>
  <c r="H413" i="5"/>
  <c r="H414" i="5"/>
  <c r="H415" i="5"/>
  <c r="H416" i="5"/>
  <c r="H417" i="5"/>
  <c r="H418" i="5"/>
  <c r="H419" i="5"/>
  <c r="H420" i="5"/>
  <c r="H421" i="5"/>
  <c r="H3" i="5"/>
  <c r="G4" i="5"/>
  <c r="G5" i="5"/>
  <c r="G6" i="5"/>
  <c r="G7" i="5"/>
  <c r="G8" i="5"/>
  <c r="G9" i="5"/>
  <c r="G10" i="5"/>
  <c r="G11" i="5"/>
  <c r="G12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G278" i="5"/>
  <c r="G279" i="5"/>
  <c r="G280" i="5"/>
  <c r="G281" i="5"/>
  <c r="G282" i="5"/>
  <c r="G283" i="5"/>
  <c r="G284" i="5"/>
  <c r="G285" i="5"/>
  <c r="G286" i="5"/>
  <c r="G287" i="5"/>
  <c r="G288" i="5"/>
  <c r="G289" i="5"/>
  <c r="G290" i="5"/>
  <c r="G291" i="5"/>
  <c r="G292" i="5"/>
  <c r="G293" i="5"/>
  <c r="G294" i="5"/>
  <c r="G295" i="5"/>
  <c r="G296" i="5"/>
  <c r="G297" i="5"/>
  <c r="G298" i="5"/>
  <c r="G299" i="5"/>
  <c r="G300" i="5"/>
  <c r="G301" i="5"/>
  <c r="G302" i="5"/>
  <c r="G303" i="5"/>
  <c r="G304" i="5"/>
  <c r="G305" i="5"/>
  <c r="G306" i="5"/>
  <c r="G307" i="5"/>
  <c r="G308" i="5"/>
  <c r="G309" i="5"/>
  <c r="G310" i="5"/>
  <c r="G311" i="5"/>
  <c r="G312" i="5"/>
  <c r="G313" i="5"/>
  <c r="G314" i="5"/>
  <c r="G315" i="5"/>
  <c r="G316" i="5"/>
  <c r="G317" i="5"/>
  <c r="G318" i="5"/>
  <c r="G319" i="5"/>
  <c r="G320" i="5"/>
  <c r="G321" i="5"/>
  <c r="G322" i="5"/>
  <c r="G323" i="5"/>
  <c r="G324" i="5"/>
  <c r="G325" i="5"/>
  <c r="G326" i="5"/>
  <c r="G327" i="5"/>
  <c r="G328" i="5"/>
  <c r="G329" i="5"/>
  <c r="G330" i="5"/>
  <c r="G331" i="5"/>
  <c r="G332" i="5"/>
  <c r="G333" i="5"/>
  <c r="G334" i="5"/>
  <c r="G335" i="5"/>
  <c r="G336" i="5"/>
  <c r="G337" i="5"/>
  <c r="G338" i="5"/>
  <c r="G339" i="5"/>
  <c r="G340" i="5"/>
  <c r="G341" i="5"/>
  <c r="G342" i="5"/>
  <c r="G343" i="5"/>
  <c r="G344" i="5"/>
  <c r="G345" i="5"/>
  <c r="G346" i="5"/>
  <c r="G347" i="5"/>
  <c r="G348" i="5"/>
  <c r="G349" i="5"/>
  <c r="G350" i="5"/>
  <c r="G351" i="5"/>
  <c r="G352" i="5"/>
  <c r="G353" i="5"/>
  <c r="G354" i="5"/>
  <c r="G355" i="5"/>
  <c r="G356" i="5"/>
  <c r="G357" i="5"/>
  <c r="G358" i="5"/>
  <c r="G359" i="5"/>
  <c r="G360" i="5"/>
  <c r="G361" i="5"/>
  <c r="G362" i="5"/>
  <c r="G363" i="5"/>
  <c r="G364" i="5"/>
  <c r="G365" i="5"/>
  <c r="G366" i="5"/>
  <c r="G367" i="5"/>
  <c r="G368" i="5"/>
  <c r="G369" i="5"/>
  <c r="G370" i="5"/>
  <c r="G371" i="5"/>
  <c r="G372" i="5"/>
  <c r="G373" i="5"/>
  <c r="G374" i="5"/>
  <c r="G375" i="5"/>
  <c r="G376" i="5"/>
  <c r="G377" i="5"/>
  <c r="G378" i="5"/>
  <c r="G379" i="5"/>
  <c r="G380" i="5"/>
  <c r="G381" i="5"/>
  <c r="G382" i="5"/>
  <c r="G383" i="5"/>
  <c r="G384" i="5"/>
  <c r="G385" i="5"/>
  <c r="G386" i="5"/>
  <c r="G387" i="5"/>
  <c r="G388" i="5"/>
  <c r="G389" i="5"/>
  <c r="G390" i="5"/>
  <c r="G391" i="5"/>
  <c r="G392" i="5"/>
  <c r="G393" i="5"/>
  <c r="G394" i="5"/>
  <c r="G395" i="5"/>
  <c r="G396" i="5"/>
  <c r="G397" i="5"/>
  <c r="G398" i="5"/>
  <c r="G399" i="5"/>
  <c r="G400" i="5"/>
  <c r="G401" i="5"/>
  <c r="G402" i="5"/>
  <c r="G403" i="5"/>
  <c r="G404" i="5"/>
  <c r="G405" i="5"/>
  <c r="G406" i="5"/>
  <c r="G407" i="5"/>
  <c r="G408" i="5"/>
  <c r="G409" i="5"/>
  <c r="G410" i="5"/>
  <c r="G411" i="5"/>
  <c r="G412" i="5"/>
  <c r="G413" i="5"/>
  <c r="G414" i="5"/>
  <c r="G415" i="5"/>
  <c r="G416" i="5"/>
  <c r="G417" i="5"/>
  <c r="G418" i="5"/>
  <c r="G419" i="5"/>
  <c r="G420" i="5"/>
  <c r="G421" i="5"/>
  <c r="G3" i="5"/>
  <c r="F4" i="5"/>
  <c r="F5" i="5"/>
  <c r="F6" i="5"/>
  <c r="F7" i="5"/>
  <c r="F8" i="5"/>
  <c r="F9" i="5"/>
  <c r="F10" i="5"/>
  <c r="F11" i="5"/>
  <c r="F12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211" i="5"/>
  <c r="F212" i="5"/>
  <c r="F213" i="5"/>
  <c r="F214" i="5"/>
  <c r="F215" i="5"/>
  <c r="F216" i="5"/>
  <c r="F217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F242" i="5"/>
  <c r="F243" i="5"/>
  <c r="F244" i="5"/>
  <c r="F245" i="5"/>
  <c r="F246" i="5"/>
  <c r="F247" i="5"/>
  <c r="F248" i="5"/>
  <c r="F249" i="5"/>
  <c r="F250" i="5"/>
  <c r="F251" i="5"/>
  <c r="F252" i="5"/>
  <c r="F253" i="5"/>
  <c r="F254" i="5"/>
  <c r="F255" i="5"/>
  <c r="F256" i="5"/>
  <c r="F257" i="5"/>
  <c r="F258" i="5"/>
  <c r="F259" i="5"/>
  <c r="F260" i="5"/>
  <c r="F261" i="5"/>
  <c r="F262" i="5"/>
  <c r="F263" i="5"/>
  <c r="F264" i="5"/>
  <c r="F265" i="5"/>
  <c r="F266" i="5"/>
  <c r="F267" i="5"/>
  <c r="F268" i="5"/>
  <c r="F269" i="5"/>
  <c r="F270" i="5"/>
  <c r="F271" i="5"/>
  <c r="F272" i="5"/>
  <c r="F273" i="5"/>
  <c r="F274" i="5"/>
  <c r="F275" i="5"/>
  <c r="F276" i="5"/>
  <c r="F277" i="5"/>
  <c r="F278" i="5"/>
  <c r="F279" i="5"/>
  <c r="F280" i="5"/>
  <c r="F281" i="5"/>
  <c r="F282" i="5"/>
  <c r="F283" i="5"/>
  <c r="F284" i="5"/>
  <c r="F285" i="5"/>
  <c r="F286" i="5"/>
  <c r="F287" i="5"/>
  <c r="F288" i="5"/>
  <c r="F289" i="5"/>
  <c r="F290" i="5"/>
  <c r="F291" i="5"/>
  <c r="F292" i="5"/>
  <c r="F293" i="5"/>
  <c r="F294" i="5"/>
  <c r="F295" i="5"/>
  <c r="F296" i="5"/>
  <c r="F297" i="5"/>
  <c r="F298" i="5"/>
  <c r="F299" i="5"/>
  <c r="F300" i="5"/>
  <c r="F301" i="5"/>
  <c r="F302" i="5"/>
  <c r="F303" i="5"/>
  <c r="F304" i="5"/>
  <c r="F305" i="5"/>
  <c r="F306" i="5"/>
  <c r="F307" i="5"/>
  <c r="F308" i="5"/>
  <c r="F309" i="5"/>
  <c r="F310" i="5"/>
  <c r="F311" i="5"/>
  <c r="F312" i="5"/>
  <c r="F313" i="5"/>
  <c r="F314" i="5"/>
  <c r="F315" i="5"/>
  <c r="F316" i="5"/>
  <c r="F317" i="5"/>
  <c r="F318" i="5"/>
  <c r="F319" i="5"/>
  <c r="F320" i="5"/>
  <c r="F321" i="5"/>
  <c r="F322" i="5"/>
  <c r="F323" i="5"/>
  <c r="F324" i="5"/>
  <c r="F325" i="5"/>
  <c r="F326" i="5"/>
  <c r="F327" i="5"/>
  <c r="F328" i="5"/>
  <c r="F329" i="5"/>
  <c r="F330" i="5"/>
  <c r="F331" i="5"/>
  <c r="F332" i="5"/>
  <c r="F333" i="5"/>
  <c r="F334" i="5"/>
  <c r="F335" i="5"/>
  <c r="F336" i="5"/>
  <c r="F337" i="5"/>
  <c r="F338" i="5"/>
  <c r="F339" i="5"/>
  <c r="F340" i="5"/>
  <c r="F341" i="5"/>
  <c r="F342" i="5"/>
  <c r="F343" i="5"/>
  <c r="F344" i="5"/>
  <c r="F345" i="5"/>
  <c r="F346" i="5"/>
  <c r="F347" i="5"/>
  <c r="F348" i="5"/>
  <c r="F349" i="5"/>
  <c r="F350" i="5"/>
  <c r="F351" i="5"/>
  <c r="F352" i="5"/>
  <c r="F353" i="5"/>
  <c r="F354" i="5"/>
  <c r="F355" i="5"/>
  <c r="F356" i="5"/>
  <c r="F357" i="5"/>
  <c r="F358" i="5"/>
  <c r="F359" i="5"/>
  <c r="F360" i="5"/>
  <c r="F361" i="5"/>
  <c r="F362" i="5"/>
  <c r="F363" i="5"/>
  <c r="F364" i="5"/>
  <c r="F365" i="5"/>
  <c r="F366" i="5"/>
  <c r="F367" i="5"/>
  <c r="F368" i="5"/>
  <c r="F369" i="5"/>
  <c r="F370" i="5"/>
  <c r="F371" i="5"/>
  <c r="F372" i="5"/>
  <c r="F373" i="5"/>
  <c r="F374" i="5"/>
  <c r="F375" i="5"/>
  <c r="F376" i="5"/>
  <c r="F377" i="5"/>
  <c r="F378" i="5"/>
  <c r="F379" i="5"/>
  <c r="F380" i="5"/>
  <c r="F381" i="5"/>
  <c r="F382" i="5"/>
  <c r="F383" i="5"/>
  <c r="F384" i="5"/>
  <c r="F385" i="5"/>
  <c r="F386" i="5"/>
  <c r="F387" i="5"/>
  <c r="F388" i="5"/>
  <c r="F389" i="5"/>
  <c r="F390" i="5"/>
  <c r="F391" i="5"/>
  <c r="F392" i="5"/>
  <c r="F393" i="5"/>
  <c r="F394" i="5"/>
  <c r="F395" i="5"/>
  <c r="F396" i="5"/>
  <c r="F397" i="5"/>
  <c r="F398" i="5"/>
  <c r="F399" i="5"/>
  <c r="F400" i="5"/>
  <c r="F401" i="5"/>
  <c r="F402" i="5"/>
  <c r="F403" i="5"/>
  <c r="F404" i="5"/>
  <c r="F405" i="5"/>
  <c r="F406" i="5"/>
  <c r="F407" i="5"/>
  <c r="F408" i="5"/>
  <c r="F409" i="5"/>
  <c r="F410" i="5"/>
  <c r="F411" i="5"/>
  <c r="F412" i="5"/>
  <c r="F413" i="5"/>
  <c r="F414" i="5"/>
  <c r="F415" i="5"/>
  <c r="F416" i="5"/>
  <c r="F417" i="5"/>
  <c r="F418" i="5"/>
  <c r="F419" i="5"/>
  <c r="F420" i="5"/>
  <c r="F421" i="5"/>
  <c r="F3" i="5"/>
  <c r="E4" i="5"/>
  <c r="E5" i="5"/>
  <c r="E6" i="5"/>
  <c r="E7" i="5"/>
  <c r="E8" i="5"/>
  <c r="E9" i="5"/>
  <c r="E10" i="5"/>
  <c r="E11" i="5"/>
  <c r="E12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E250" i="5"/>
  <c r="E251" i="5"/>
  <c r="E252" i="5"/>
  <c r="E253" i="5"/>
  <c r="E254" i="5"/>
  <c r="E255" i="5"/>
  <c r="E256" i="5"/>
  <c r="E257" i="5"/>
  <c r="E258" i="5"/>
  <c r="E259" i="5"/>
  <c r="E260" i="5"/>
  <c r="E261" i="5"/>
  <c r="E262" i="5"/>
  <c r="E263" i="5"/>
  <c r="E264" i="5"/>
  <c r="E265" i="5"/>
  <c r="E266" i="5"/>
  <c r="E267" i="5"/>
  <c r="E268" i="5"/>
  <c r="E269" i="5"/>
  <c r="E270" i="5"/>
  <c r="E271" i="5"/>
  <c r="E272" i="5"/>
  <c r="E273" i="5"/>
  <c r="E274" i="5"/>
  <c r="E275" i="5"/>
  <c r="E276" i="5"/>
  <c r="E277" i="5"/>
  <c r="E278" i="5"/>
  <c r="E279" i="5"/>
  <c r="E280" i="5"/>
  <c r="E281" i="5"/>
  <c r="E282" i="5"/>
  <c r="E283" i="5"/>
  <c r="E284" i="5"/>
  <c r="E285" i="5"/>
  <c r="E286" i="5"/>
  <c r="E287" i="5"/>
  <c r="E288" i="5"/>
  <c r="E289" i="5"/>
  <c r="E290" i="5"/>
  <c r="E291" i="5"/>
  <c r="E292" i="5"/>
  <c r="E293" i="5"/>
  <c r="E294" i="5"/>
  <c r="E295" i="5"/>
  <c r="E296" i="5"/>
  <c r="E297" i="5"/>
  <c r="E298" i="5"/>
  <c r="E299" i="5"/>
  <c r="E300" i="5"/>
  <c r="E301" i="5"/>
  <c r="E302" i="5"/>
  <c r="E303" i="5"/>
  <c r="E304" i="5"/>
  <c r="E305" i="5"/>
  <c r="E306" i="5"/>
  <c r="E307" i="5"/>
  <c r="E308" i="5"/>
  <c r="E309" i="5"/>
  <c r="E310" i="5"/>
  <c r="E311" i="5"/>
  <c r="E312" i="5"/>
  <c r="E313" i="5"/>
  <c r="E314" i="5"/>
  <c r="E315" i="5"/>
  <c r="E316" i="5"/>
  <c r="E317" i="5"/>
  <c r="E318" i="5"/>
  <c r="E319" i="5"/>
  <c r="E320" i="5"/>
  <c r="E321" i="5"/>
  <c r="E322" i="5"/>
  <c r="E323" i="5"/>
  <c r="E324" i="5"/>
  <c r="E325" i="5"/>
  <c r="E326" i="5"/>
  <c r="E327" i="5"/>
  <c r="E328" i="5"/>
  <c r="E329" i="5"/>
  <c r="E330" i="5"/>
  <c r="E331" i="5"/>
  <c r="E332" i="5"/>
  <c r="E333" i="5"/>
  <c r="E334" i="5"/>
  <c r="E335" i="5"/>
  <c r="E336" i="5"/>
  <c r="E337" i="5"/>
  <c r="E338" i="5"/>
  <c r="E339" i="5"/>
  <c r="E340" i="5"/>
  <c r="E341" i="5"/>
  <c r="E342" i="5"/>
  <c r="E343" i="5"/>
  <c r="E344" i="5"/>
  <c r="E345" i="5"/>
  <c r="E346" i="5"/>
  <c r="E347" i="5"/>
  <c r="E348" i="5"/>
  <c r="E349" i="5"/>
  <c r="E350" i="5"/>
  <c r="E351" i="5"/>
  <c r="E352" i="5"/>
  <c r="E353" i="5"/>
  <c r="E354" i="5"/>
  <c r="E355" i="5"/>
  <c r="E356" i="5"/>
  <c r="E357" i="5"/>
  <c r="E358" i="5"/>
  <c r="E359" i="5"/>
  <c r="E360" i="5"/>
  <c r="E361" i="5"/>
  <c r="E362" i="5"/>
  <c r="E363" i="5"/>
  <c r="E364" i="5"/>
  <c r="E365" i="5"/>
  <c r="E366" i="5"/>
  <c r="E367" i="5"/>
  <c r="E368" i="5"/>
  <c r="E369" i="5"/>
  <c r="E370" i="5"/>
  <c r="E371" i="5"/>
  <c r="E372" i="5"/>
  <c r="E373" i="5"/>
  <c r="E374" i="5"/>
  <c r="E375" i="5"/>
  <c r="E376" i="5"/>
  <c r="E377" i="5"/>
  <c r="E378" i="5"/>
  <c r="E379" i="5"/>
  <c r="E380" i="5"/>
  <c r="E381" i="5"/>
  <c r="E382" i="5"/>
  <c r="E383" i="5"/>
  <c r="E384" i="5"/>
  <c r="E385" i="5"/>
  <c r="E386" i="5"/>
  <c r="E387" i="5"/>
  <c r="E388" i="5"/>
  <c r="E389" i="5"/>
  <c r="E390" i="5"/>
  <c r="E391" i="5"/>
  <c r="E392" i="5"/>
  <c r="E393" i="5"/>
  <c r="E394" i="5"/>
  <c r="E395" i="5"/>
  <c r="E396" i="5"/>
  <c r="E397" i="5"/>
  <c r="E398" i="5"/>
  <c r="E399" i="5"/>
  <c r="E400" i="5"/>
  <c r="E401" i="5"/>
  <c r="E402" i="5"/>
  <c r="E403" i="5"/>
  <c r="E404" i="5"/>
  <c r="E405" i="5"/>
  <c r="E406" i="5"/>
  <c r="E407" i="5"/>
  <c r="E408" i="5"/>
  <c r="E409" i="5"/>
  <c r="E410" i="5"/>
  <c r="E411" i="5"/>
  <c r="E412" i="5"/>
  <c r="E413" i="5"/>
  <c r="E414" i="5"/>
  <c r="E415" i="5"/>
  <c r="E416" i="5"/>
  <c r="E417" i="5"/>
  <c r="E418" i="5"/>
  <c r="E419" i="5"/>
  <c r="E420" i="5"/>
  <c r="E421" i="5"/>
  <c r="E3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D205" i="5"/>
  <c r="D206" i="5"/>
  <c r="D207" i="5"/>
  <c r="D208" i="5"/>
  <c r="D209" i="5"/>
  <c r="D210" i="5"/>
  <c r="D211" i="5"/>
  <c r="D212" i="5"/>
  <c r="D213" i="5"/>
  <c r="D214" i="5"/>
  <c r="D215" i="5"/>
  <c r="D216" i="5"/>
  <c r="D217" i="5"/>
  <c r="D218" i="5"/>
  <c r="D219" i="5"/>
  <c r="D220" i="5"/>
  <c r="D221" i="5"/>
  <c r="D222" i="5"/>
  <c r="D223" i="5"/>
  <c r="D224" i="5"/>
  <c r="D225" i="5"/>
  <c r="D226" i="5"/>
  <c r="D227" i="5"/>
  <c r="D228" i="5"/>
  <c r="D229" i="5"/>
  <c r="D230" i="5"/>
  <c r="D231" i="5"/>
  <c r="D232" i="5"/>
  <c r="D233" i="5"/>
  <c r="D234" i="5"/>
  <c r="D235" i="5"/>
  <c r="D236" i="5"/>
  <c r="D237" i="5"/>
  <c r="D238" i="5"/>
  <c r="D239" i="5"/>
  <c r="D240" i="5"/>
  <c r="D241" i="5"/>
  <c r="D242" i="5"/>
  <c r="D243" i="5"/>
  <c r="D244" i="5"/>
  <c r="D245" i="5"/>
  <c r="D246" i="5"/>
  <c r="D247" i="5"/>
  <c r="D248" i="5"/>
  <c r="D249" i="5"/>
  <c r="D250" i="5"/>
  <c r="D251" i="5"/>
  <c r="D252" i="5"/>
  <c r="D253" i="5"/>
  <c r="D254" i="5"/>
  <c r="D255" i="5"/>
  <c r="D256" i="5"/>
  <c r="D257" i="5"/>
  <c r="D258" i="5"/>
  <c r="D259" i="5"/>
  <c r="D260" i="5"/>
  <c r="D261" i="5"/>
  <c r="D262" i="5"/>
  <c r="D263" i="5"/>
  <c r="D264" i="5"/>
  <c r="D265" i="5"/>
  <c r="D266" i="5"/>
  <c r="D267" i="5"/>
  <c r="D268" i="5"/>
  <c r="D269" i="5"/>
  <c r="D270" i="5"/>
  <c r="D271" i="5"/>
  <c r="D272" i="5"/>
  <c r="D273" i="5"/>
  <c r="D274" i="5"/>
  <c r="D275" i="5"/>
  <c r="D276" i="5"/>
  <c r="D277" i="5"/>
  <c r="D278" i="5"/>
  <c r="D279" i="5"/>
  <c r="D280" i="5"/>
  <c r="D281" i="5"/>
  <c r="D282" i="5"/>
  <c r="D283" i="5"/>
  <c r="D284" i="5"/>
  <c r="D285" i="5"/>
  <c r="D286" i="5"/>
  <c r="D287" i="5"/>
  <c r="D288" i="5"/>
  <c r="D289" i="5"/>
  <c r="D290" i="5"/>
  <c r="D291" i="5"/>
  <c r="D292" i="5"/>
  <c r="D293" i="5"/>
  <c r="D294" i="5"/>
  <c r="D295" i="5"/>
  <c r="D296" i="5"/>
  <c r="D297" i="5"/>
  <c r="D298" i="5"/>
  <c r="D299" i="5"/>
  <c r="D300" i="5"/>
  <c r="D301" i="5"/>
  <c r="D302" i="5"/>
  <c r="D303" i="5"/>
  <c r="D304" i="5"/>
  <c r="D305" i="5"/>
  <c r="D306" i="5"/>
  <c r="D307" i="5"/>
  <c r="D308" i="5"/>
  <c r="D309" i="5"/>
  <c r="D310" i="5"/>
  <c r="D311" i="5"/>
  <c r="D312" i="5"/>
  <c r="D313" i="5"/>
  <c r="D314" i="5"/>
  <c r="D315" i="5"/>
  <c r="D316" i="5"/>
  <c r="D317" i="5"/>
  <c r="D318" i="5"/>
  <c r="D319" i="5"/>
  <c r="D320" i="5"/>
  <c r="D321" i="5"/>
  <c r="D322" i="5"/>
  <c r="D323" i="5"/>
  <c r="D324" i="5"/>
  <c r="D325" i="5"/>
  <c r="D326" i="5"/>
  <c r="D327" i="5"/>
  <c r="D328" i="5"/>
  <c r="D329" i="5"/>
  <c r="D330" i="5"/>
  <c r="D331" i="5"/>
  <c r="D332" i="5"/>
  <c r="D333" i="5"/>
  <c r="D334" i="5"/>
  <c r="D335" i="5"/>
  <c r="D336" i="5"/>
  <c r="D337" i="5"/>
  <c r="D338" i="5"/>
  <c r="D339" i="5"/>
  <c r="D340" i="5"/>
  <c r="D341" i="5"/>
  <c r="D342" i="5"/>
  <c r="D343" i="5"/>
  <c r="D344" i="5"/>
  <c r="D345" i="5"/>
  <c r="D346" i="5"/>
  <c r="D347" i="5"/>
  <c r="D348" i="5"/>
  <c r="D349" i="5"/>
  <c r="D350" i="5"/>
  <c r="D351" i="5"/>
  <c r="D352" i="5"/>
  <c r="D353" i="5"/>
  <c r="D354" i="5"/>
  <c r="D355" i="5"/>
  <c r="D356" i="5"/>
  <c r="D357" i="5"/>
  <c r="D358" i="5"/>
  <c r="D359" i="5"/>
  <c r="D360" i="5"/>
  <c r="D361" i="5"/>
  <c r="D362" i="5"/>
  <c r="D363" i="5"/>
  <c r="D364" i="5"/>
  <c r="D365" i="5"/>
  <c r="D366" i="5"/>
  <c r="D367" i="5"/>
  <c r="D368" i="5"/>
  <c r="D369" i="5"/>
  <c r="D370" i="5"/>
  <c r="D371" i="5"/>
  <c r="D372" i="5"/>
  <c r="D373" i="5"/>
  <c r="D374" i="5"/>
  <c r="D375" i="5"/>
  <c r="D376" i="5"/>
  <c r="D377" i="5"/>
  <c r="D378" i="5"/>
  <c r="D379" i="5"/>
  <c r="D380" i="5"/>
  <c r="D381" i="5"/>
  <c r="D382" i="5"/>
  <c r="D383" i="5"/>
  <c r="D384" i="5"/>
  <c r="D385" i="5"/>
  <c r="D386" i="5"/>
  <c r="D387" i="5"/>
  <c r="D388" i="5"/>
  <c r="D389" i="5"/>
  <c r="D390" i="5"/>
  <c r="D391" i="5"/>
  <c r="D392" i="5"/>
  <c r="D393" i="5"/>
  <c r="D394" i="5"/>
  <c r="D395" i="5"/>
  <c r="D396" i="5"/>
  <c r="D397" i="5"/>
  <c r="D398" i="5"/>
  <c r="D399" i="5"/>
  <c r="D400" i="5"/>
  <c r="D401" i="5"/>
  <c r="D402" i="5"/>
  <c r="D403" i="5"/>
  <c r="D404" i="5"/>
  <c r="D405" i="5"/>
  <c r="D406" i="5"/>
  <c r="D407" i="5"/>
  <c r="D408" i="5"/>
  <c r="D409" i="5"/>
  <c r="D410" i="5"/>
  <c r="D411" i="5"/>
  <c r="D412" i="5"/>
  <c r="D413" i="5"/>
  <c r="D414" i="5"/>
  <c r="D415" i="5"/>
  <c r="D416" i="5"/>
  <c r="D417" i="5"/>
  <c r="D418" i="5"/>
  <c r="D419" i="5"/>
  <c r="D420" i="5"/>
  <c r="D421" i="5"/>
  <c r="D4" i="5"/>
  <c r="D5" i="5"/>
  <c r="D6" i="5"/>
  <c r="D7" i="5"/>
  <c r="D8" i="5"/>
  <c r="D9" i="5"/>
  <c r="D10" i="5"/>
  <c r="D11" i="5"/>
  <c r="D12" i="5"/>
  <c r="D14" i="5"/>
  <c r="D15" i="5"/>
  <c r="D16" i="5"/>
  <c r="D17" i="5"/>
  <c r="D3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50" i="5"/>
  <c r="C251" i="5"/>
  <c r="C252" i="5"/>
  <c r="C253" i="5"/>
  <c r="C254" i="5"/>
  <c r="C255" i="5"/>
  <c r="C256" i="5"/>
  <c r="C257" i="5"/>
  <c r="C258" i="5"/>
  <c r="C259" i="5"/>
  <c r="C260" i="5"/>
  <c r="C261" i="5"/>
  <c r="C262" i="5"/>
  <c r="C263" i="5"/>
  <c r="C264" i="5"/>
  <c r="C265" i="5"/>
  <c r="C266" i="5"/>
  <c r="C267" i="5"/>
  <c r="C268" i="5"/>
  <c r="C269" i="5"/>
  <c r="C270" i="5"/>
  <c r="C271" i="5"/>
  <c r="C272" i="5"/>
  <c r="C273" i="5"/>
  <c r="C274" i="5"/>
  <c r="C275" i="5"/>
  <c r="C276" i="5"/>
  <c r="C277" i="5"/>
  <c r="C278" i="5"/>
  <c r="C279" i="5"/>
  <c r="C280" i="5"/>
  <c r="C281" i="5"/>
  <c r="C282" i="5"/>
  <c r="C283" i="5"/>
  <c r="C284" i="5"/>
  <c r="C285" i="5"/>
  <c r="C286" i="5"/>
  <c r="C287" i="5"/>
  <c r="C288" i="5"/>
  <c r="C289" i="5"/>
  <c r="C290" i="5"/>
  <c r="C291" i="5"/>
  <c r="C292" i="5"/>
  <c r="C293" i="5"/>
  <c r="C294" i="5"/>
  <c r="C295" i="5"/>
  <c r="C296" i="5"/>
  <c r="C297" i="5"/>
  <c r="C298" i="5"/>
  <c r="C299" i="5"/>
  <c r="C300" i="5"/>
  <c r="C301" i="5"/>
  <c r="C302" i="5"/>
  <c r="C303" i="5"/>
  <c r="C304" i="5"/>
  <c r="C305" i="5"/>
  <c r="C306" i="5"/>
  <c r="C307" i="5"/>
  <c r="C308" i="5"/>
  <c r="C309" i="5"/>
  <c r="C310" i="5"/>
  <c r="C311" i="5"/>
  <c r="C312" i="5"/>
  <c r="C313" i="5"/>
  <c r="C314" i="5"/>
  <c r="C315" i="5"/>
  <c r="C316" i="5"/>
  <c r="C317" i="5"/>
  <c r="C318" i="5"/>
  <c r="C319" i="5"/>
  <c r="C320" i="5"/>
  <c r="C321" i="5"/>
  <c r="C322" i="5"/>
  <c r="C323" i="5"/>
  <c r="C324" i="5"/>
  <c r="C325" i="5"/>
  <c r="C326" i="5"/>
  <c r="C327" i="5"/>
  <c r="C328" i="5"/>
  <c r="C329" i="5"/>
  <c r="C330" i="5"/>
  <c r="C331" i="5"/>
  <c r="C332" i="5"/>
  <c r="C333" i="5"/>
  <c r="C334" i="5"/>
  <c r="C335" i="5"/>
  <c r="C336" i="5"/>
  <c r="C337" i="5"/>
  <c r="C338" i="5"/>
  <c r="C339" i="5"/>
  <c r="C340" i="5"/>
  <c r="C341" i="5"/>
  <c r="C342" i="5"/>
  <c r="C343" i="5"/>
  <c r="C344" i="5"/>
  <c r="C345" i="5"/>
  <c r="C346" i="5"/>
  <c r="C347" i="5"/>
  <c r="C348" i="5"/>
  <c r="C349" i="5"/>
  <c r="C350" i="5"/>
  <c r="C351" i="5"/>
  <c r="C352" i="5"/>
  <c r="C353" i="5"/>
  <c r="C354" i="5"/>
  <c r="C355" i="5"/>
  <c r="C356" i="5"/>
  <c r="C357" i="5"/>
  <c r="C358" i="5"/>
  <c r="C359" i="5"/>
  <c r="C360" i="5"/>
  <c r="C361" i="5"/>
  <c r="C362" i="5"/>
  <c r="C363" i="5"/>
  <c r="C364" i="5"/>
  <c r="C365" i="5"/>
  <c r="C366" i="5"/>
  <c r="C367" i="5"/>
  <c r="C368" i="5"/>
  <c r="C369" i="5"/>
  <c r="C370" i="5"/>
  <c r="C371" i="5"/>
  <c r="C372" i="5"/>
  <c r="C373" i="5"/>
  <c r="C374" i="5"/>
  <c r="C375" i="5"/>
  <c r="C376" i="5"/>
  <c r="C377" i="5"/>
  <c r="C378" i="5"/>
  <c r="C379" i="5"/>
  <c r="C380" i="5"/>
  <c r="C381" i="5"/>
  <c r="C382" i="5"/>
  <c r="C383" i="5"/>
  <c r="C384" i="5"/>
  <c r="C385" i="5"/>
  <c r="C386" i="5"/>
  <c r="C387" i="5"/>
  <c r="C388" i="5"/>
  <c r="C389" i="5"/>
  <c r="C390" i="5"/>
  <c r="C391" i="5"/>
  <c r="C392" i="5"/>
  <c r="C393" i="5"/>
  <c r="C394" i="5"/>
  <c r="C395" i="5"/>
  <c r="C396" i="5"/>
  <c r="C397" i="5"/>
  <c r="C398" i="5"/>
  <c r="C399" i="5"/>
  <c r="C400" i="5"/>
  <c r="C401" i="5"/>
  <c r="C402" i="5"/>
  <c r="C403" i="5"/>
  <c r="C404" i="5"/>
  <c r="C405" i="5"/>
  <c r="C406" i="5"/>
  <c r="C407" i="5"/>
  <c r="C408" i="5"/>
  <c r="C409" i="5"/>
  <c r="C410" i="5"/>
  <c r="C411" i="5"/>
  <c r="C412" i="5"/>
  <c r="C413" i="5"/>
  <c r="C414" i="5"/>
  <c r="C415" i="5"/>
  <c r="C416" i="5"/>
  <c r="C417" i="5"/>
  <c r="C418" i="5"/>
  <c r="C419" i="5"/>
  <c r="C420" i="5"/>
  <c r="C421" i="5"/>
  <c r="C11" i="5"/>
  <c r="C12" i="5"/>
  <c r="C13" i="5"/>
  <c r="C14" i="5"/>
  <c r="C15" i="5"/>
  <c r="C16" i="5"/>
  <c r="C17" i="5"/>
  <c r="C18" i="5"/>
  <c r="C19" i="5"/>
  <c r="C4" i="5"/>
  <c r="C5" i="5"/>
  <c r="C6" i="5"/>
  <c r="C7" i="5"/>
  <c r="C8" i="5"/>
  <c r="C9" i="5"/>
  <c r="C10" i="5"/>
  <c r="C3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B92" i="5"/>
  <c r="B93" i="5"/>
  <c r="B94" i="5"/>
  <c r="B95" i="5"/>
  <c r="B96" i="5"/>
  <c r="B97" i="5"/>
  <c r="B98" i="5"/>
  <c r="B99" i="5"/>
  <c r="B100" i="5"/>
  <c r="B101" i="5"/>
  <c r="B102" i="5"/>
  <c r="B103" i="5"/>
  <c r="B104" i="5"/>
  <c r="B105" i="5"/>
  <c r="B106" i="5"/>
  <c r="B107" i="5"/>
  <c r="B108" i="5"/>
  <c r="B109" i="5"/>
  <c r="B110" i="5"/>
  <c r="B111" i="5"/>
  <c r="B112" i="5"/>
  <c r="B113" i="5"/>
  <c r="B114" i="5"/>
  <c r="B115" i="5"/>
  <c r="B116" i="5"/>
  <c r="B117" i="5"/>
  <c r="B118" i="5"/>
  <c r="B119" i="5"/>
  <c r="B120" i="5"/>
  <c r="B121" i="5"/>
  <c r="B122" i="5"/>
  <c r="B123" i="5"/>
  <c r="B124" i="5"/>
  <c r="B125" i="5"/>
  <c r="B126" i="5"/>
  <c r="B127" i="5"/>
  <c r="B128" i="5"/>
  <c r="B129" i="5"/>
  <c r="B130" i="5"/>
  <c r="B131" i="5"/>
  <c r="B132" i="5"/>
  <c r="B133" i="5"/>
  <c r="B134" i="5"/>
  <c r="B135" i="5"/>
  <c r="B136" i="5"/>
  <c r="B137" i="5"/>
  <c r="B138" i="5"/>
  <c r="B139" i="5"/>
  <c r="B140" i="5"/>
  <c r="B141" i="5"/>
  <c r="B142" i="5"/>
  <c r="B143" i="5"/>
  <c r="B144" i="5"/>
  <c r="B145" i="5"/>
  <c r="B146" i="5"/>
  <c r="B147" i="5"/>
  <c r="B148" i="5"/>
  <c r="B149" i="5"/>
  <c r="B150" i="5"/>
  <c r="B151" i="5"/>
  <c r="B152" i="5"/>
  <c r="B153" i="5"/>
  <c r="B154" i="5"/>
  <c r="B155" i="5"/>
  <c r="B156" i="5"/>
  <c r="B157" i="5"/>
  <c r="B158" i="5"/>
  <c r="B159" i="5"/>
  <c r="B160" i="5"/>
  <c r="B161" i="5"/>
  <c r="B162" i="5"/>
  <c r="B163" i="5"/>
  <c r="B164" i="5"/>
  <c r="B165" i="5"/>
  <c r="B166" i="5"/>
  <c r="B167" i="5"/>
  <c r="B168" i="5"/>
  <c r="B169" i="5"/>
  <c r="B170" i="5"/>
  <c r="B171" i="5"/>
  <c r="B172" i="5"/>
  <c r="B173" i="5"/>
  <c r="B174" i="5"/>
  <c r="B175" i="5"/>
  <c r="B176" i="5"/>
  <c r="B177" i="5"/>
  <c r="B178" i="5"/>
  <c r="B179" i="5"/>
  <c r="B180" i="5"/>
  <c r="B181" i="5"/>
  <c r="B182" i="5"/>
  <c r="B183" i="5"/>
  <c r="B184" i="5"/>
  <c r="B185" i="5"/>
  <c r="B186" i="5"/>
  <c r="B187" i="5"/>
  <c r="B188" i="5"/>
  <c r="B189" i="5"/>
  <c r="B190" i="5"/>
  <c r="B191" i="5"/>
  <c r="B192" i="5"/>
  <c r="B193" i="5"/>
  <c r="B194" i="5"/>
  <c r="B195" i="5"/>
  <c r="B196" i="5"/>
  <c r="B197" i="5"/>
  <c r="B198" i="5"/>
  <c r="B199" i="5"/>
  <c r="B200" i="5"/>
  <c r="B201" i="5"/>
  <c r="B202" i="5"/>
  <c r="B203" i="5"/>
  <c r="B204" i="5"/>
  <c r="B205" i="5"/>
  <c r="B206" i="5"/>
  <c r="B207" i="5"/>
  <c r="B208" i="5"/>
  <c r="B209" i="5"/>
  <c r="B210" i="5"/>
  <c r="B211" i="5"/>
  <c r="B212" i="5"/>
  <c r="B213" i="5"/>
  <c r="B214" i="5"/>
  <c r="B215" i="5"/>
  <c r="B216" i="5"/>
  <c r="B217" i="5"/>
  <c r="B218" i="5"/>
  <c r="B219" i="5"/>
  <c r="B220" i="5"/>
  <c r="B221" i="5"/>
  <c r="B222" i="5"/>
  <c r="B223" i="5"/>
  <c r="B224" i="5"/>
  <c r="B225" i="5"/>
  <c r="B226" i="5"/>
  <c r="B227" i="5"/>
  <c r="B228" i="5"/>
  <c r="B229" i="5"/>
  <c r="B230" i="5"/>
  <c r="B231" i="5"/>
  <c r="B232" i="5"/>
  <c r="B233" i="5"/>
  <c r="B234" i="5"/>
  <c r="B235" i="5"/>
  <c r="B236" i="5"/>
  <c r="B237" i="5"/>
  <c r="B238" i="5"/>
  <c r="B239" i="5"/>
  <c r="B240" i="5"/>
  <c r="B241" i="5"/>
  <c r="B242" i="5"/>
  <c r="B243" i="5"/>
  <c r="B244" i="5"/>
  <c r="B245" i="5"/>
  <c r="B246" i="5"/>
  <c r="B247" i="5"/>
  <c r="B248" i="5"/>
  <c r="B249" i="5"/>
  <c r="B250" i="5"/>
  <c r="B251" i="5"/>
  <c r="B252" i="5"/>
  <c r="B253" i="5"/>
  <c r="B254" i="5"/>
  <c r="B255" i="5"/>
  <c r="B256" i="5"/>
  <c r="B257" i="5"/>
  <c r="B258" i="5"/>
  <c r="B259" i="5"/>
  <c r="B260" i="5"/>
  <c r="B261" i="5"/>
  <c r="B262" i="5"/>
  <c r="B263" i="5"/>
  <c r="B264" i="5"/>
  <c r="B265" i="5"/>
  <c r="B266" i="5"/>
  <c r="B267" i="5"/>
  <c r="B268" i="5"/>
  <c r="B269" i="5"/>
  <c r="B270" i="5"/>
  <c r="B271" i="5"/>
  <c r="B272" i="5"/>
  <c r="B273" i="5"/>
  <c r="B274" i="5"/>
  <c r="B275" i="5"/>
  <c r="B276" i="5"/>
  <c r="B277" i="5"/>
  <c r="B278" i="5"/>
  <c r="B279" i="5"/>
  <c r="B280" i="5"/>
  <c r="B281" i="5"/>
  <c r="B282" i="5"/>
  <c r="B283" i="5"/>
  <c r="B284" i="5"/>
  <c r="B285" i="5"/>
  <c r="B286" i="5"/>
  <c r="B287" i="5"/>
  <c r="B288" i="5"/>
  <c r="B289" i="5"/>
  <c r="B290" i="5"/>
  <c r="B291" i="5"/>
  <c r="B292" i="5"/>
  <c r="B293" i="5"/>
  <c r="B294" i="5"/>
  <c r="B295" i="5"/>
  <c r="B296" i="5"/>
  <c r="B297" i="5"/>
  <c r="B298" i="5"/>
  <c r="B299" i="5"/>
  <c r="B300" i="5"/>
  <c r="B301" i="5"/>
  <c r="B302" i="5"/>
  <c r="B303" i="5"/>
  <c r="B304" i="5"/>
  <c r="B305" i="5"/>
  <c r="B306" i="5"/>
  <c r="B307" i="5"/>
  <c r="B308" i="5"/>
  <c r="B309" i="5"/>
  <c r="B310" i="5"/>
  <c r="B311" i="5"/>
  <c r="B312" i="5"/>
  <c r="B313" i="5"/>
  <c r="B314" i="5"/>
  <c r="B315" i="5"/>
  <c r="B316" i="5"/>
  <c r="B317" i="5"/>
  <c r="B318" i="5"/>
  <c r="B319" i="5"/>
  <c r="B320" i="5"/>
  <c r="B321" i="5"/>
  <c r="B322" i="5"/>
  <c r="B323" i="5"/>
  <c r="B324" i="5"/>
  <c r="B325" i="5"/>
  <c r="B326" i="5"/>
  <c r="B327" i="5"/>
  <c r="B328" i="5"/>
  <c r="B329" i="5"/>
  <c r="B330" i="5"/>
  <c r="B331" i="5"/>
  <c r="B332" i="5"/>
  <c r="B333" i="5"/>
  <c r="B334" i="5"/>
  <c r="B335" i="5"/>
  <c r="B336" i="5"/>
  <c r="B337" i="5"/>
  <c r="B338" i="5"/>
  <c r="B339" i="5"/>
  <c r="B340" i="5"/>
  <c r="B341" i="5"/>
  <c r="B342" i="5"/>
  <c r="B343" i="5"/>
  <c r="B344" i="5"/>
  <c r="B345" i="5"/>
  <c r="B346" i="5"/>
  <c r="B347" i="5"/>
  <c r="B348" i="5"/>
  <c r="B349" i="5"/>
  <c r="B350" i="5"/>
  <c r="B351" i="5"/>
  <c r="B352" i="5"/>
  <c r="B353" i="5"/>
  <c r="B354" i="5"/>
  <c r="B355" i="5"/>
  <c r="B356" i="5"/>
  <c r="B357" i="5"/>
  <c r="B358" i="5"/>
  <c r="B359" i="5"/>
  <c r="B360" i="5"/>
  <c r="B361" i="5"/>
  <c r="B362" i="5"/>
  <c r="B363" i="5"/>
  <c r="B364" i="5"/>
  <c r="B365" i="5"/>
  <c r="B366" i="5"/>
  <c r="B367" i="5"/>
  <c r="B368" i="5"/>
  <c r="B369" i="5"/>
  <c r="B370" i="5"/>
  <c r="B371" i="5"/>
  <c r="B372" i="5"/>
  <c r="B373" i="5"/>
  <c r="B374" i="5"/>
  <c r="B375" i="5"/>
  <c r="B376" i="5"/>
  <c r="B377" i="5"/>
  <c r="B378" i="5"/>
  <c r="B379" i="5"/>
  <c r="B380" i="5"/>
  <c r="B381" i="5"/>
  <c r="B382" i="5"/>
  <c r="B383" i="5"/>
  <c r="B384" i="5"/>
  <c r="B385" i="5"/>
  <c r="B386" i="5"/>
  <c r="B387" i="5"/>
  <c r="B388" i="5"/>
  <c r="B389" i="5"/>
  <c r="B390" i="5"/>
  <c r="B391" i="5"/>
  <c r="B392" i="5"/>
  <c r="B393" i="5"/>
  <c r="B394" i="5"/>
  <c r="B395" i="5"/>
  <c r="B396" i="5"/>
  <c r="B397" i="5"/>
  <c r="B398" i="5"/>
  <c r="B399" i="5"/>
  <c r="B400" i="5"/>
  <c r="B401" i="5"/>
  <c r="B402" i="5"/>
  <c r="B403" i="5"/>
  <c r="B404" i="5"/>
  <c r="B405" i="5"/>
  <c r="B406" i="5"/>
  <c r="B407" i="5"/>
  <c r="B408" i="5"/>
  <c r="B409" i="5"/>
  <c r="B410" i="5"/>
  <c r="B411" i="5"/>
  <c r="B412" i="5"/>
  <c r="B413" i="5"/>
  <c r="B414" i="5"/>
  <c r="B415" i="5"/>
  <c r="B416" i="5"/>
  <c r="B417" i="5"/>
  <c r="B418" i="5"/>
  <c r="B419" i="5"/>
  <c r="B420" i="5"/>
  <c r="B421" i="5"/>
  <c r="B4" i="5"/>
  <c r="B5" i="5"/>
  <c r="B6" i="5"/>
  <c r="B7" i="5"/>
  <c r="B8" i="5"/>
  <c r="B9" i="5"/>
  <c r="B10" i="5"/>
  <c r="B11" i="5"/>
  <c r="B12" i="5"/>
  <c r="B14" i="5"/>
  <c r="B15" i="5"/>
  <c r="B16" i="5"/>
  <c r="B17" i="5"/>
  <c r="B18" i="5"/>
  <c r="B19" i="5"/>
  <c r="B3" i="5"/>
  <c r="A421" i="5"/>
  <c r="A420" i="5"/>
  <c r="A419" i="5"/>
  <c r="A418" i="5"/>
  <c r="A417" i="5"/>
  <c r="A416" i="5"/>
  <c r="A415" i="5"/>
  <c r="A414" i="5"/>
  <c r="A413" i="5"/>
  <c r="A412" i="5"/>
  <c r="A411" i="5"/>
  <c r="A410" i="5"/>
  <c r="A409" i="5"/>
  <c r="A408" i="5"/>
  <c r="A407" i="5"/>
  <c r="A406" i="5"/>
  <c r="A405" i="5"/>
  <c r="A404" i="5"/>
  <c r="A403" i="5"/>
  <c r="A402" i="5"/>
  <c r="A401" i="5"/>
  <c r="A400" i="5"/>
  <c r="A399" i="5"/>
  <c r="A398" i="5"/>
  <c r="A397" i="5"/>
  <c r="A396" i="5"/>
  <c r="A395" i="5"/>
  <c r="A394" i="5"/>
  <c r="A393" i="5"/>
  <c r="A392" i="5"/>
  <c r="A391" i="5"/>
  <c r="A390" i="5"/>
  <c r="A389" i="5"/>
  <c r="A388" i="5"/>
  <c r="A387" i="5"/>
  <c r="A386" i="5"/>
  <c r="A385" i="5"/>
  <c r="A384" i="5"/>
  <c r="A383" i="5"/>
  <c r="A382" i="5"/>
  <c r="A381" i="5"/>
  <c r="A380" i="5"/>
  <c r="A379" i="5"/>
  <c r="A378" i="5"/>
  <c r="A377" i="5"/>
  <c r="A376" i="5"/>
  <c r="A375" i="5"/>
  <c r="A374" i="5"/>
  <c r="A373" i="5"/>
  <c r="A372" i="5"/>
  <c r="A371" i="5"/>
  <c r="A370" i="5"/>
  <c r="A369" i="5"/>
  <c r="A368" i="5"/>
  <c r="A367" i="5"/>
  <c r="A366" i="5"/>
  <c r="A365" i="5"/>
  <c r="A364" i="5"/>
  <c r="A363" i="5"/>
  <c r="A362" i="5"/>
  <c r="A361" i="5"/>
  <c r="A360" i="5"/>
  <c r="A359" i="5"/>
  <c r="A358" i="5"/>
  <c r="A357" i="5"/>
  <c r="A356" i="5"/>
  <c r="A355" i="5"/>
  <c r="A354" i="5"/>
  <c r="A353" i="5"/>
  <c r="A352" i="5"/>
  <c r="A351" i="5"/>
  <c r="A350" i="5"/>
  <c r="A349" i="5"/>
  <c r="A348" i="5"/>
  <c r="A347" i="5"/>
  <c r="A346" i="5"/>
  <c r="A345" i="5"/>
  <c r="A344" i="5"/>
  <c r="A343" i="5"/>
  <c r="A342" i="5"/>
  <c r="A341" i="5"/>
  <c r="A340" i="5"/>
  <c r="A339" i="5"/>
  <c r="A338" i="5"/>
  <c r="A337" i="5"/>
  <c r="A336" i="5"/>
  <c r="A335" i="5"/>
  <c r="A334" i="5"/>
  <c r="A333" i="5"/>
  <c r="A332" i="5"/>
  <c r="A331" i="5"/>
  <c r="A330" i="5"/>
  <c r="A329" i="5"/>
  <c r="A328" i="5"/>
  <c r="A327" i="5"/>
  <c r="A326" i="5"/>
  <c r="A325" i="5"/>
  <c r="A324" i="5"/>
  <c r="A323" i="5"/>
  <c r="A322" i="5"/>
  <c r="A321" i="5"/>
  <c r="A320" i="5"/>
  <c r="A319" i="5"/>
  <c r="A318" i="5"/>
  <c r="A317" i="5"/>
  <c r="A316" i="5"/>
  <c r="A315" i="5"/>
  <c r="A314" i="5"/>
  <c r="A313" i="5"/>
  <c r="A312" i="5"/>
  <c r="A311" i="5"/>
  <c r="A310" i="5"/>
  <c r="A309" i="5"/>
  <c r="A308" i="5"/>
  <c r="A307" i="5"/>
  <c r="A306" i="5"/>
  <c r="A305" i="5"/>
  <c r="A304" i="5"/>
  <c r="A303" i="5"/>
  <c r="A302" i="5"/>
  <c r="A301" i="5"/>
  <c r="A300" i="5"/>
  <c r="A299" i="5"/>
  <c r="A298" i="5"/>
  <c r="A297" i="5"/>
  <c r="A296" i="5"/>
  <c r="A295" i="5"/>
  <c r="A294" i="5"/>
  <c r="A293" i="5"/>
  <c r="A292" i="5"/>
  <c r="A291" i="5"/>
  <c r="A290" i="5"/>
  <c r="A289" i="5"/>
  <c r="A288" i="5"/>
  <c r="A287" i="5"/>
  <c r="A286" i="5"/>
  <c r="A285" i="5"/>
  <c r="A284" i="5"/>
  <c r="A283" i="5"/>
  <c r="A282" i="5"/>
  <c r="A281" i="5"/>
  <c r="A280" i="5"/>
  <c r="A279" i="5"/>
  <c r="A278" i="5"/>
  <c r="A277" i="5"/>
  <c r="A276" i="5"/>
  <c r="A275" i="5"/>
  <c r="A274" i="5"/>
  <c r="A273" i="5"/>
  <c r="A272" i="5"/>
  <c r="A271" i="5"/>
  <c r="A270" i="5"/>
  <c r="A269" i="5"/>
  <c r="A268" i="5"/>
  <c r="A267" i="5"/>
  <c r="A266" i="5"/>
  <c r="A265" i="5"/>
  <c r="A264" i="5"/>
  <c r="A263" i="5"/>
  <c r="A262" i="5"/>
  <c r="A261" i="5"/>
  <c r="A260" i="5"/>
  <c r="A259" i="5"/>
  <c r="A258" i="5"/>
  <c r="A257" i="5"/>
  <c r="A256" i="5"/>
  <c r="A255" i="5"/>
  <c r="A254" i="5"/>
  <c r="A253" i="5"/>
  <c r="A252" i="5"/>
  <c r="A251" i="5"/>
  <c r="A250" i="5"/>
  <c r="A249" i="5"/>
  <c r="A248" i="5"/>
  <c r="A247" i="5"/>
  <c r="A246" i="5"/>
  <c r="A245" i="5"/>
  <c r="A244" i="5"/>
  <c r="A243" i="5"/>
  <c r="A242" i="5"/>
  <c r="A241" i="5"/>
  <c r="A240" i="5"/>
  <c r="A239" i="5"/>
  <c r="A238" i="5"/>
  <c r="A237" i="5"/>
  <c r="A236" i="5"/>
  <c r="A235" i="5"/>
  <c r="A234" i="5"/>
  <c r="A233" i="5"/>
  <c r="A232" i="5"/>
  <c r="A231" i="5"/>
  <c r="A230" i="5"/>
  <c r="A229" i="5"/>
  <c r="A228" i="5"/>
  <c r="A227" i="5"/>
  <c r="A226" i="5"/>
  <c r="A225" i="5"/>
  <c r="A224" i="5"/>
  <c r="A223" i="5"/>
  <c r="A222" i="5"/>
  <c r="A221" i="5"/>
  <c r="A220" i="5"/>
  <c r="A219" i="5"/>
  <c r="A218" i="5"/>
  <c r="A217" i="5"/>
  <c r="A216" i="5"/>
  <c r="A215" i="5"/>
  <c r="A214" i="5"/>
  <c r="A213" i="5"/>
  <c r="A212" i="5"/>
  <c r="A211" i="5"/>
  <c r="A210" i="5"/>
  <c r="A209" i="5"/>
  <c r="A208" i="5"/>
  <c r="A207" i="5"/>
  <c r="A206" i="5"/>
  <c r="A205" i="5"/>
  <c r="A204" i="5"/>
  <c r="A203" i="5"/>
  <c r="A202" i="5"/>
  <c r="A201" i="5"/>
  <c r="A200" i="5"/>
  <c r="A199" i="5"/>
  <c r="A198" i="5"/>
  <c r="A197" i="5"/>
  <c r="A196" i="5"/>
  <c r="A195" i="5"/>
  <c r="A194" i="5"/>
  <c r="A193" i="5"/>
  <c r="A192" i="5"/>
  <c r="A191" i="5"/>
  <c r="A190" i="5"/>
  <c r="A189" i="5"/>
  <c r="A188" i="5"/>
  <c r="A187" i="5"/>
  <c r="A186" i="5"/>
  <c r="A185" i="5"/>
  <c r="A184" i="5"/>
  <c r="A183" i="5"/>
  <c r="A182" i="5"/>
  <c r="A181" i="5"/>
  <c r="A180" i="5"/>
  <c r="A179" i="5"/>
  <c r="A178" i="5"/>
  <c r="A177" i="5"/>
  <c r="A176" i="5"/>
  <c r="A175" i="5"/>
  <c r="A174" i="5"/>
  <c r="A173" i="5"/>
  <c r="A172" i="5"/>
  <c r="A171" i="5"/>
  <c r="A170" i="5"/>
  <c r="A169" i="5"/>
  <c r="A168" i="5"/>
  <c r="A167" i="5"/>
  <c r="A166" i="5"/>
  <c r="A165" i="5"/>
  <c r="A164" i="5"/>
  <c r="A163" i="5"/>
  <c r="A162" i="5"/>
  <c r="A161" i="5"/>
  <c r="A160" i="5"/>
  <c r="A159" i="5"/>
  <c r="A158" i="5"/>
  <c r="A157" i="5"/>
  <c r="A156" i="5"/>
  <c r="A155" i="5"/>
  <c r="A154" i="5"/>
  <c r="A153" i="5"/>
  <c r="A152" i="5"/>
  <c r="A151" i="5"/>
  <c r="A150" i="5"/>
  <c r="A149" i="5"/>
  <c r="A148" i="5"/>
  <c r="A147" i="5"/>
  <c r="A146" i="5"/>
  <c r="A145" i="5"/>
  <c r="A144" i="5"/>
  <c r="A143" i="5"/>
  <c r="A142" i="5"/>
  <c r="A141" i="5"/>
  <c r="A140" i="5"/>
  <c r="A139" i="5"/>
  <c r="A138" i="5"/>
  <c r="A137" i="5"/>
  <c r="A136" i="5"/>
  <c r="A135" i="5"/>
  <c r="A134" i="5"/>
  <c r="A133" i="5"/>
  <c r="A132" i="5"/>
  <c r="A131" i="5"/>
  <c r="A130" i="5"/>
  <c r="A129" i="5"/>
  <c r="A128" i="5"/>
  <c r="A127" i="5"/>
  <c r="A126" i="5"/>
  <c r="A125" i="5"/>
  <c r="A124" i="5"/>
  <c r="A123" i="5"/>
  <c r="A122" i="5"/>
  <c r="A121" i="5"/>
  <c r="A120" i="5"/>
  <c r="A119" i="5"/>
  <c r="A118" i="5"/>
  <c r="A117" i="5"/>
  <c r="A116" i="5"/>
  <c r="A115" i="5"/>
  <c r="A114" i="5"/>
  <c r="A113" i="5"/>
  <c r="A112" i="5"/>
  <c r="A111" i="5"/>
  <c r="A110" i="5"/>
  <c r="A109" i="5"/>
  <c r="A108" i="5"/>
  <c r="A107" i="5"/>
  <c r="A106" i="5"/>
  <c r="A105" i="5"/>
  <c r="A104" i="5"/>
  <c r="A103" i="5"/>
  <c r="A102" i="5"/>
  <c r="A101" i="5"/>
  <c r="A100" i="5"/>
  <c r="A99" i="5"/>
  <c r="A98" i="5"/>
  <c r="A97" i="5"/>
  <c r="A96" i="5"/>
  <c r="A95" i="5"/>
  <c r="A94" i="5"/>
  <c r="A93" i="5"/>
  <c r="A92" i="5"/>
  <c r="A91" i="5"/>
  <c r="A90" i="5"/>
  <c r="A89" i="5"/>
  <c r="A88" i="5"/>
  <c r="A87" i="5"/>
  <c r="A86" i="5"/>
  <c r="A85" i="5"/>
  <c r="A84" i="5"/>
  <c r="A83" i="5"/>
  <c r="A82" i="5"/>
  <c r="A81" i="5"/>
  <c r="A80" i="5"/>
  <c r="A79" i="5"/>
  <c r="A78" i="5"/>
  <c r="A77" i="5"/>
  <c r="A76" i="5"/>
  <c r="A75" i="5"/>
  <c r="A74" i="5"/>
  <c r="A73" i="5"/>
  <c r="A72" i="5"/>
  <c r="A71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A4" i="5"/>
  <c r="A3" i="5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O63" i="4"/>
  <c r="O64" i="4"/>
  <c r="O65" i="4"/>
  <c r="O66" i="4"/>
  <c r="O67" i="4"/>
  <c r="O68" i="4"/>
  <c r="O69" i="4"/>
  <c r="O70" i="4"/>
  <c r="O71" i="4"/>
  <c r="O72" i="4"/>
  <c r="O73" i="4"/>
  <c r="O74" i="4"/>
  <c r="O75" i="4"/>
  <c r="O76" i="4"/>
  <c r="O77" i="4"/>
  <c r="O78" i="4"/>
  <c r="O79" i="4"/>
  <c r="O80" i="4"/>
  <c r="O81" i="4"/>
  <c r="O82" i="4"/>
  <c r="O83" i="4"/>
  <c r="O84" i="4"/>
  <c r="O85" i="4"/>
  <c r="O86" i="4"/>
  <c r="O87" i="4"/>
  <c r="O88" i="4"/>
  <c r="O89" i="4"/>
  <c r="O90" i="4"/>
  <c r="O91" i="4"/>
  <c r="O92" i="4"/>
  <c r="O93" i="4"/>
  <c r="O94" i="4"/>
  <c r="O95" i="4"/>
  <c r="O96" i="4"/>
  <c r="O97" i="4"/>
  <c r="O98" i="4"/>
  <c r="O99" i="4"/>
  <c r="O100" i="4"/>
  <c r="O101" i="4"/>
  <c r="O102" i="4"/>
  <c r="O103" i="4"/>
  <c r="O104" i="4"/>
  <c r="O105" i="4"/>
  <c r="O106" i="4"/>
  <c r="O107" i="4"/>
  <c r="O108" i="4"/>
  <c r="O109" i="4"/>
  <c r="O110" i="4"/>
  <c r="O111" i="4"/>
  <c r="O112" i="4"/>
  <c r="O113" i="4"/>
  <c r="O114" i="4"/>
  <c r="O115" i="4"/>
  <c r="O116" i="4"/>
  <c r="O117" i="4"/>
  <c r="O118" i="4"/>
  <c r="O119" i="4"/>
  <c r="O120" i="4"/>
  <c r="O121" i="4"/>
  <c r="O122" i="4"/>
  <c r="O123" i="4"/>
  <c r="O124" i="4"/>
  <c r="O125" i="4"/>
  <c r="O126" i="4"/>
  <c r="O127" i="4"/>
  <c r="O128" i="4"/>
  <c r="O129" i="4"/>
  <c r="O130" i="4"/>
  <c r="O131" i="4"/>
  <c r="O132" i="4"/>
  <c r="O133" i="4"/>
  <c r="O134" i="4"/>
  <c r="O135" i="4"/>
  <c r="O136" i="4"/>
  <c r="O137" i="4"/>
  <c r="O138" i="4"/>
  <c r="O139" i="4"/>
  <c r="O140" i="4"/>
  <c r="O141" i="4"/>
  <c r="O142" i="4"/>
  <c r="O143" i="4"/>
  <c r="O144" i="4"/>
  <c r="O145" i="4"/>
  <c r="O146" i="4"/>
  <c r="O147" i="4"/>
  <c r="O148" i="4"/>
  <c r="O149" i="4"/>
  <c r="O150" i="4"/>
  <c r="O151" i="4"/>
  <c r="O152" i="4"/>
  <c r="O153" i="4"/>
  <c r="O154" i="4"/>
  <c r="O155" i="4"/>
  <c r="O156" i="4"/>
  <c r="O157" i="4"/>
  <c r="O158" i="4"/>
  <c r="O159" i="4"/>
  <c r="O160" i="4"/>
  <c r="O161" i="4"/>
  <c r="O162" i="4"/>
  <c r="O163" i="4"/>
  <c r="O164" i="4"/>
  <c r="O165" i="4"/>
  <c r="O166" i="4"/>
  <c r="O167" i="4"/>
  <c r="O168" i="4"/>
  <c r="O169" i="4"/>
  <c r="O170" i="4"/>
  <c r="O171" i="4"/>
  <c r="O172" i="4"/>
  <c r="O173" i="4"/>
  <c r="O174" i="4"/>
  <c r="O175" i="4"/>
  <c r="O176" i="4"/>
  <c r="O177" i="4"/>
  <c r="O178" i="4"/>
  <c r="O179" i="4"/>
  <c r="O180" i="4"/>
  <c r="O181" i="4"/>
  <c r="O182" i="4"/>
  <c r="O183" i="4"/>
  <c r="O184" i="4"/>
  <c r="O185" i="4"/>
  <c r="O186" i="4"/>
  <c r="O187" i="4"/>
  <c r="O188" i="4"/>
  <c r="O189" i="4"/>
  <c r="O190" i="4"/>
  <c r="O191" i="4"/>
  <c r="O192" i="4"/>
  <c r="O193" i="4"/>
  <c r="O194" i="4"/>
  <c r="O195" i="4"/>
  <c r="O196" i="4"/>
  <c r="O197" i="4"/>
  <c r="O198" i="4"/>
  <c r="O199" i="4"/>
  <c r="O200" i="4"/>
  <c r="O201" i="4"/>
  <c r="O202" i="4"/>
  <c r="O203" i="4"/>
  <c r="O204" i="4"/>
  <c r="O205" i="4"/>
  <c r="O206" i="4"/>
  <c r="O207" i="4"/>
  <c r="O208" i="4"/>
  <c r="O209" i="4"/>
  <c r="O210" i="4"/>
  <c r="O211" i="4"/>
  <c r="O212" i="4"/>
  <c r="O213" i="4"/>
  <c r="O214" i="4"/>
  <c r="O215" i="4"/>
  <c r="O216" i="4"/>
  <c r="O217" i="4"/>
  <c r="O218" i="4"/>
  <c r="O219" i="4"/>
  <c r="O220" i="4"/>
  <c r="O221" i="4"/>
  <c r="O222" i="4"/>
  <c r="O223" i="4"/>
  <c r="O224" i="4"/>
  <c r="O225" i="4"/>
  <c r="O226" i="4"/>
  <c r="O227" i="4"/>
  <c r="O228" i="4"/>
  <c r="O229" i="4"/>
  <c r="O230" i="4"/>
  <c r="O231" i="4"/>
  <c r="O232" i="4"/>
  <c r="O233" i="4"/>
  <c r="O234" i="4"/>
  <c r="O235" i="4"/>
  <c r="O236" i="4"/>
  <c r="O237" i="4"/>
  <c r="O238" i="4"/>
  <c r="O239" i="4"/>
  <c r="O240" i="4"/>
  <c r="O241" i="4"/>
  <c r="O242" i="4"/>
  <c r="O243" i="4"/>
  <c r="O244" i="4"/>
  <c r="O245" i="4"/>
  <c r="O246" i="4"/>
  <c r="O247" i="4"/>
  <c r="O248" i="4"/>
  <c r="O249" i="4"/>
  <c r="O250" i="4"/>
  <c r="O251" i="4"/>
  <c r="O252" i="4"/>
  <c r="O253" i="4"/>
  <c r="O254" i="4"/>
  <c r="O255" i="4"/>
  <c r="O256" i="4"/>
  <c r="O257" i="4"/>
  <c r="O258" i="4"/>
  <c r="O259" i="4"/>
  <c r="O260" i="4"/>
  <c r="O261" i="4"/>
  <c r="O262" i="4"/>
  <c r="O263" i="4"/>
  <c r="O264" i="4"/>
  <c r="O265" i="4"/>
  <c r="O266" i="4"/>
  <c r="O267" i="4"/>
  <c r="O268" i="4"/>
  <c r="O269" i="4"/>
  <c r="O270" i="4"/>
  <c r="O271" i="4"/>
  <c r="O272" i="4"/>
  <c r="O273" i="4"/>
  <c r="O274" i="4"/>
  <c r="O275" i="4"/>
  <c r="O276" i="4"/>
  <c r="O277" i="4"/>
  <c r="O278" i="4"/>
  <c r="O279" i="4"/>
  <c r="O280" i="4"/>
  <c r="O281" i="4"/>
  <c r="O282" i="4"/>
  <c r="O283" i="4"/>
  <c r="O284" i="4"/>
  <c r="O285" i="4"/>
  <c r="O286" i="4"/>
  <c r="O287" i="4"/>
  <c r="O288" i="4"/>
  <c r="O289" i="4"/>
  <c r="O290" i="4"/>
  <c r="O291" i="4"/>
  <c r="O292" i="4"/>
  <c r="O293" i="4"/>
  <c r="O294" i="4"/>
  <c r="O295" i="4"/>
  <c r="O296" i="4"/>
  <c r="O297" i="4"/>
  <c r="O298" i="4"/>
  <c r="O299" i="4"/>
  <c r="O300" i="4"/>
  <c r="O301" i="4"/>
  <c r="O302" i="4"/>
  <c r="O303" i="4"/>
  <c r="O304" i="4"/>
  <c r="O305" i="4"/>
  <c r="O306" i="4"/>
  <c r="O307" i="4"/>
  <c r="O308" i="4"/>
  <c r="O309" i="4"/>
  <c r="O310" i="4"/>
  <c r="O311" i="4"/>
  <c r="O312" i="4"/>
  <c r="O313" i="4"/>
  <c r="O314" i="4"/>
  <c r="O315" i="4"/>
  <c r="O316" i="4"/>
  <c r="O317" i="4"/>
  <c r="O318" i="4"/>
  <c r="O319" i="4"/>
  <c r="O320" i="4"/>
  <c r="O321" i="4"/>
  <c r="O322" i="4"/>
  <c r="O323" i="4"/>
  <c r="O324" i="4"/>
  <c r="O325" i="4"/>
  <c r="O326" i="4"/>
  <c r="O327" i="4"/>
  <c r="O328" i="4"/>
  <c r="O329" i="4"/>
  <c r="O330" i="4"/>
  <c r="O331" i="4"/>
  <c r="O332" i="4"/>
  <c r="O333" i="4"/>
  <c r="O334" i="4"/>
  <c r="O335" i="4"/>
  <c r="O336" i="4"/>
  <c r="O337" i="4"/>
  <c r="O338" i="4"/>
  <c r="O339" i="4"/>
  <c r="O340" i="4"/>
  <c r="O341" i="4"/>
  <c r="O342" i="4"/>
  <c r="O343" i="4"/>
  <c r="O344" i="4"/>
  <c r="O345" i="4"/>
  <c r="O346" i="4"/>
  <c r="O347" i="4"/>
  <c r="O348" i="4"/>
  <c r="O349" i="4"/>
  <c r="O350" i="4"/>
  <c r="O351" i="4"/>
  <c r="O352" i="4"/>
  <c r="O353" i="4"/>
  <c r="O354" i="4"/>
  <c r="O355" i="4"/>
  <c r="O356" i="4"/>
  <c r="O357" i="4"/>
  <c r="O358" i="4"/>
  <c r="O359" i="4"/>
  <c r="O360" i="4"/>
  <c r="O361" i="4"/>
  <c r="O362" i="4"/>
  <c r="O363" i="4"/>
  <c r="O364" i="4"/>
  <c r="O365" i="4"/>
  <c r="O366" i="4"/>
  <c r="O367" i="4"/>
  <c r="O368" i="4"/>
  <c r="O369" i="4"/>
  <c r="O370" i="4"/>
  <c r="O371" i="4"/>
  <c r="O372" i="4"/>
  <c r="O373" i="4"/>
  <c r="O374" i="4"/>
  <c r="O375" i="4"/>
  <c r="O376" i="4"/>
  <c r="O377" i="4"/>
  <c r="O378" i="4"/>
  <c r="O379" i="4"/>
  <c r="O380" i="4"/>
  <c r="O381" i="4"/>
  <c r="O382" i="4"/>
  <c r="O383" i="4"/>
  <c r="O384" i="4"/>
  <c r="O385" i="4"/>
  <c r="O386" i="4"/>
  <c r="O387" i="4"/>
  <c r="O388" i="4"/>
  <c r="O389" i="4"/>
  <c r="O390" i="4"/>
  <c r="O391" i="4"/>
  <c r="O392" i="4"/>
  <c r="O393" i="4"/>
  <c r="O394" i="4"/>
  <c r="O395" i="4"/>
  <c r="O396" i="4"/>
  <c r="O397" i="4"/>
  <c r="O398" i="4"/>
  <c r="O399" i="4"/>
  <c r="O400" i="4"/>
  <c r="O401" i="4"/>
  <c r="O402" i="4"/>
  <c r="O403" i="4"/>
  <c r="O404" i="4"/>
  <c r="O405" i="4"/>
  <c r="O406" i="4"/>
  <c r="O407" i="4"/>
  <c r="O408" i="4"/>
  <c r="O409" i="4"/>
  <c r="O410" i="4"/>
  <c r="O411" i="4"/>
  <c r="O412" i="4"/>
  <c r="O413" i="4"/>
  <c r="O414" i="4"/>
  <c r="O415" i="4"/>
  <c r="O416" i="4"/>
  <c r="O417" i="4"/>
  <c r="O418" i="4"/>
  <c r="O419" i="4"/>
  <c r="O420" i="4"/>
  <c r="O421" i="4"/>
  <c r="O4" i="4"/>
  <c r="O5" i="4"/>
  <c r="O6" i="4"/>
  <c r="O7" i="4"/>
  <c r="O8" i="4"/>
  <c r="O9" i="4"/>
  <c r="O10" i="4"/>
  <c r="O11" i="4"/>
  <c r="O12" i="4"/>
  <c r="O13" i="4"/>
  <c r="O14" i="4"/>
  <c r="O15" i="4"/>
  <c r="O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N67" i="4"/>
  <c r="N68" i="4"/>
  <c r="N69" i="4"/>
  <c r="N70" i="4"/>
  <c r="N71" i="4"/>
  <c r="N72" i="4"/>
  <c r="N73" i="4"/>
  <c r="N74" i="4"/>
  <c r="N75" i="4"/>
  <c r="N76" i="4"/>
  <c r="N77" i="4"/>
  <c r="N78" i="4"/>
  <c r="N79" i="4"/>
  <c r="N80" i="4"/>
  <c r="N81" i="4"/>
  <c r="N82" i="4"/>
  <c r="N83" i="4"/>
  <c r="N84" i="4"/>
  <c r="N85" i="4"/>
  <c r="N86" i="4"/>
  <c r="N87" i="4"/>
  <c r="N88" i="4"/>
  <c r="N89" i="4"/>
  <c r="N90" i="4"/>
  <c r="N91" i="4"/>
  <c r="N92" i="4"/>
  <c r="N93" i="4"/>
  <c r="N94" i="4"/>
  <c r="N95" i="4"/>
  <c r="N96" i="4"/>
  <c r="N97" i="4"/>
  <c r="N98" i="4"/>
  <c r="N99" i="4"/>
  <c r="N100" i="4"/>
  <c r="N101" i="4"/>
  <c r="N102" i="4"/>
  <c r="N103" i="4"/>
  <c r="N104" i="4"/>
  <c r="N105" i="4"/>
  <c r="N106" i="4"/>
  <c r="N107" i="4"/>
  <c r="N108" i="4"/>
  <c r="N109" i="4"/>
  <c r="N110" i="4"/>
  <c r="N111" i="4"/>
  <c r="N112" i="4"/>
  <c r="N113" i="4"/>
  <c r="N114" i="4"/>
  <c r="N115" i="4"/>
  <c r="N116" i="4"/>
  <c r="N117" i="4"/>
  <c r="N118" i="4"/>
  <c r="N119" i="4"/>
  <c r="N120" i="4"/>
  <c r="N121" i="4"/>
  <c r="N122" i="4"/>
  <c r="N123" i="4"/>
  <c r="N124" i="4"/>
  <c r="N125" i="4"/>
  <c r="N126" i="4"/>
  <c r="N127" i="4"/>
  <c r="N128" i="4"/>
  <c r="N129" i="4"/>
  <c r="N130" i="4"/>
  <c r="N131" i="4"/>
  <c r="N132" i="4"/>
  <c r="N133" i="4"/>
  <c r="N134" i="4"/>
  <c r="N135" i="4"/>
  <c r="N136" i="4"/>
  <c r="N137" i="4"/>
  <c r="N138" i="4"/>
  <c r="N139" i="4"/>
  <c r="N140" i="4"/>
  <c r="N141" i="4"/>
  <c r="N142" i="4"/>
  <c r="N143" i="4"/>
  <c r="N144" i="4"/>
  <c r="N145" i="4"/>
  <c r="N146" i="4"/>
  <c r="N147" i="4"/>
  <c r="N148" i="4"/>
  <c r="N149" i="4"/>
  <c r="N150" i="4"/>
  <c r="N151" i="4"/>
  <c r="N152" i="4"/>
  <c r="N153" i="4"/>
  <c r="N154" i="4"/>
  <c r="N155" i="4"/>
  <c r="N156" i="4"/>
  <c r="N157" i="4"/>
  <c r="N158" i="4"/>
  <c r="N159" i="4"/>
  <c r="N160" i="4"/>
  <c r="N161" i="4"/>
  <c r="N162" i="4"/>
  <c r="N163" i="4"/>
  <c r="N164" i="4"/>
  <c r="N165" i="4"/>
  <c r="N166" i="4"/>
  <c r="N167" i="4"/>
  <c r="N168" i="4"/>
  <c r="N169" i="4"/>
  <c r="N170" i="4"/>
  <c r="N171" i="4"/>
  <c r="N172" i="4"/>
  <c r="N173" i="4"/>
  <c r="N174" i="4"/>
  <c r="N175" i="4"/>
  <c r="N176" i="4"/>
  <c r="N177" i="4"/>
  <c r="N178" i="4"/>
  <c r="N179" i="4"/>
  <c r="N180" i="4"/>
  <c r="N181" i="4"/>
  <c r="N182" i="4"/>
  <c r="N183" i="4"/>
  <c r="N184" i="4"/>
  <c r="N185" i="4"/>
  <c r="N186" i="4"/>
  <c r="N187" i="4"/>
  <c r="N188" i="4"/>
  <c r="N189" i="4"/>
  <c r="N190" i="4"/>
  <c r="N191" i="4"/>
  <c r="N192" i="4"/>
  <c r="N193" i="4"/>
  <c r="N194" i="4"/>
  <c r="N195" i="4"/>
  <c r="N196" i="4"/>
  <c r="N197" i="4"/>
  <c r="N198" i="4"/>
  <c r="N199" i="4"/>
  <c r="N200" i="4"/>
  <c r="N201" i="4"/>
  <c r="N202" i="4"/>
  <c r="N203" i="4"/>
  <c r="N204" i="4"/>
  <c r="N205" i="4"/>
  <c r="N206" i="4"/>
  <c r="N207" i="4"/>
  <c r="N208" i="4"/>
  <c r="N209" i="4"/>
  <c r="N210" i="4"/>
  <c r="N211" i="4"/>
  <c r="N212" i="4"/>
  <c r="N213" i="4"/>
  <c r="N214" i="4"/>
  <c r="N215" i="4"/>
  <c r="N216" i="4"/>
  <c r="N217" i="4"/>
  <c r="N218" i="4"/>
  <c r="N219" i="4"/>
  <c r="N220" i="4"/>
  <c r="N221" i="4"/>
  <c r="N222" i="4"/>
  <c r="N223" i="4"/>
  <c r="N224" i="4"/>
  <c r="N225" i="4"/>
  <c r="N226" i="4"/>
  <c r="N227" i="4"/>
  <c r="N228" i="4"/>
  <c r="N229" i="4"/>
  <c r="N230" i="4"/>
  <c r="N231" i="4"/>
  <c r="N232" i="4"/>
  <c r="N233" i="4"/>
  <c r="N234" i="4"/>
  <c r="N235" i="4"/>
  <c r="N236" i="4"/>
  <c r="N237" i="4"/>
  <c r="N238" i="4"/>
  <c r="N239" i="4"/>
  <c r="N240" i="4"/>
  <c r="N241" i="4"/>
  <c r="N242" i="4"/>
  <c r="N243" i="4"/>
  <c r="N244" i="4"/>
  <c r="N245" i="4"/>
  <c r="N246" i="4"/>
  <c r="N247" i="4"/>
  <c r="N248" i="4"/>
  <c r="N249" i="4"/>
  <c r="N250" i="4"/>
  <c r="N251" i="4"/>
  <c r="N252" i="4"/>
  <c r="N253" i="4"/>
  <c r="N254" i="4"/>
  <c r="N255" i="4"/>
  <c r="N256" i="4"/>
  <c r="N257" i="4"/>
  <c r="N258" i="4"/>
  <c r="N259" i="4"/>
  <c r="N260" i="4"/>
  <c r="N261" i="4"/>
  <c r="N262" i="4"/>
  <c r="N263" i="4"/>
  <c r="N264" i="4"/>
  <c r="N265" i="4"/>
  <c r="N266" i="4"/>
  <c r="N267" i="4"/>
  <c r="N268" i="4"/>
  <c r="N269" i="4"/>
  <c r="N270" i="4"/>
  <c r="N271" i="4"/>
  <c r="N272" i="4"/>
  <c r="N273" i="4"/>
  <c r="N274" i="4"/>
  <c r="N275" i="4"/>
  <c r="N276" i="4"/>
  <c r="N277" i="4"/>
  <c r="N278" i="4"/>
  <c r="N279" i="4"/>
  <c r="N280" i="4"/>
  <c r="N281" i="4"/>
  <c r="N282" i="4"/>
  <c r="N283" i="4"/>
  <c r="N284" i="4"/>
  <c r="N285" i="4"/>
  <c r="N286" i="4"/>
  <c r="N287" i="4"/>
  <c r="N288" i="4"/>
  <c r="N289" i="4"/>
  <c r="N290" i="4"/>
  <c r="N291" i="4"/>
  <c r="N292" i="4"/>
  <c r="N293" i="4"/>
  <c r="N294" i="4"/>
  <c r="N295" i="4"/>
  <c r="N296" i="4"/>
  <c r="N297" i="4"/>
  <c r="N298" i="4"/>
  <c r="N299" i="4"/>
  <c r="N300" i="4"/>
  <c r="N301" i="4"/>
  <c r="N302" i="4"/>
  <c r="N303" i="4"/>
  <c r="N304" i="4"/>
  <c r="N305" i="4"/>
  <c r="N306" i="4"/>
  <c r="N307" i="4"/>
  <c r="N308" i="4"/>
  <c r="N309" i="4"/>
  <c r="N310" i="4"/>
  <c r="N311" i="4"/>
  <c r="N312" i="4"/>
  <c r="N313" i="4"/>
  <c r="N314" i="4"/>
  <c r="N315" i="4"/>
  <c r="N316" i="4"/>
  <c r="N317" i="4"/>
  <c r="N318" i="4"/>
  <c r="N319" i="4"/>
  <c r="N320" i="4"/>
  <c r="N321" i="4"/>
  <c r="N322" i="4"/>
  <c r="N323" i="4"/>
  <c r="N324" i="4"/>
  <c r="N325" i="4"/>
  <c r="N326" i="4"/>
  <c r="N327" i="4"/>
  <c r="N328" i="4"/>
  <c r="N329" i="4"/>
  <c r="N330" i="4"/>
  <c r="N331" i="4"/>
  <c r="N332" i="4"/>
  <c r="N333" i="4"/>
  <c r="N334" i="4"/>
  <c r="N335" i="4"/>
  <c r="N336" i="4"/>
  <c r="N337" i="4"/>
  <c r="N338" i="4"/>
  <c r="N339" i="4"/>
  <c r="N340" i="4"/>
  <c r="N341" i="4"/>
  <c r="N342" i="4"/>
  <c r="N343" i="4"/>
  <c r="N344" i="4"/>
  <c r="N345" i="4"/>
  <c r="N346" i="4"/>
  <c r="N347" i="4"/>
  <c r="N348" i="4"/>
  <c r="N349" i="4"/>
  <c r="N350" i="4"/>
  <c r="N351" i="4"/>
  <c r="N352" i="4"/>
  <c r="N353" i="4"/>
  <c r="N354" i="4"/>
  <c r="N355" i="4"/>
  <c r="N356" i="4"/>
  <c r="N357" i="4"/>
  <c r="N358" i="4"/>
  <c r="N359" i="4"/>
  <c r="N360" i="4"/>
  <c r="N361" i="4"/>
  <c r="N362" i="4"/>
  <c r="N363" i="4"/>
  <c r="N364" i="4"/>
  <c r="N365" i="4"/>
  <c r="N366" i="4"/>
  <c r="N367" i="4"/>
  <c r="N368" i="4"/>
  <c r="N369" i="4"/>
  <c r="N370" i="4"/>
  <c r="N371" i="4"/>
  <c r="N372" i="4"/>
  <c r="N373" i="4"/>
  <c r="N374" i="4"/>
  <c r="N375" i="4"/>
  <c r="N376" i="4"/>
  <c r="N377" i="4"/>
  <c r="N378" i="4"/>
  <c r="N379" i="4"/>
  <c r="N380" i="4"/>
  <c r="N381" i="4"/>
  <c r="N382" i="4"/>
  <c r="N383" i="4"/>
  <c r="N384" i="4"/>
  <c r="N385" i="4"/>
  <c r="N386" i="4"/>
  <c r="N387" i="4"/>
  <c r="N388" i="4"/>
  <c r="N389" i="4"/>
  <c r="N390" i="4"/>
  <c r="N391" i="4"/>
  <c r="N392" i="4"/>
  <c r="N393" i="4"/>
  <c r="N394" i="4"/>
  <c r="N395" i="4"/>
  <c r="N396" i="4"/>
  <c r="N397" i="4"/>
  <c r="N398" i="4"/>
  <c r="N399" i="4"/>
  <c r="N400" i="4"/>
  <c r="N401" i="4"/>
  <c r="N402" i="4"/>
  <c r="N403" i="4"/>
  <c r="N404" i="4"/>
  <c r="N405" i="4"/>
  <c r="N406" i="4"/>
  <c r="N407" i="4"/>
  <c r="N408" i="4"/>
  <c r="N409" i="4"/>
  <c r="N410" i="4"/>
  <c r="N411" i="4"/>
  <c r="N412" i="4"/>
  <c r="N413" i="4"/>
  <c r="N414" i="4"/>
  <c r="N415" i="4"/>
  <c r="N416" i="4"/>
  <c r="N417" i="4"/>
  <c r="N418" i="4"/>
  <c r="N419" i="4"/>
  <c r="N420" i="4"/>
  <c r="N421" i="4"/>
  <c r="N3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262" i="4"/>
  <c r="M263" i="4"/>
  <c r="M264" i="4"/>
  <c r="M265" i="4"/>
  <c r="M266" i="4"/>
  <c r="M267" i="4"/>
  <c r="M268" i="4"/>
  <c r="M269" i="4"/>
  <c r="M270" i="4"/>
  <c r="M271" i="4"/>
  <c r="M272" i="4"/>
  <c r="M273" i="4"/>
  <c r="M274" i="4"/>
  <c r="M275" i="4"/>
  <c r="M276" i="4"/>
  <c r="M277" i="4"/>
  <c r="M278" i="4"/>
  <c r="M279" i="4"/>
  <c r="M280" i="4"/>
  <c r="M281" i="4"/>
  <c r="M282" i="4"/>
  <c r="M283" i="4"/>
  <c r="M284" i="4"/>
  <c r="M285" i="4"/>
  <c r="M286" i="4"/>
  <c r="M287" i="4"/>
  <c r="M288" i="4"/>
  <c r="M289" i="4"/>
  <c r="M290" i="4"/>
  <c r="M291" i="4"/>
  <c r="M292" i="4"/>
  <c r="M293" i="4"/>
  <c r="M294" i="4"/>
  <c r="M295" i="4"/>
  <c r="M296" i="4"/>
  <c r="M297" i="4"/>
  <c r="M298" i="4"/>
  <c r="M299" i="4"/>
  <c r="M300" i="4"/>
  <c r="M301" i="4"/>
  <c r="M302" i="4"/>
  <c r="M303" i="4"/>
  <c r="M304" i="4"/>
  <c r="M305" i="4"/>
  <c r="M306" i="4"/>
  <c r="M307" i="4"/>
  <c r="M308" i="4"/>
  <c r="M309" i="4"/>
  <c r="M310" i="4"/>
  <c r="M311" i="4"/>
  <c r="M312" i="4"/>
  <c r="M313" i="4"/>
  <c r="M314" i="4"/>
  <c r="M315" i="4"/>
  <c r="M316" i="4"/>
  <c r="M317" i="4"/>
  <c r="M318" i="4"/>
  <c r="M319" i="4"/>
  <c r="M320" i="4"/>
  <c r="M321" i="4"/>
  <c r="M322" i="4"/>
  <c r="M323" i="4"/>
  <c r="M324" i="4"/>
  <c r="M325" i="4"/>
  <c r="M326" i="4"/>
  <c r="M327" i="4"/>
  <c r="M328" i="4"/>
  <c r="M329" i="4"/>
  <c r="M330" i="4"/>
  <c r="M331" i="4"/>
  <c r="M332" i="4"/>
  <c r="M333" i="4"/>
  <c r="M334" i="4"/>
  <c r="M335" i="4"/>
  <c r="M336" i="4"/>
  <c r="M337" i="4"/>
  <c r="M338" i="4"/>
  <c r="M339" i="4"/>
  <c r="M340" i="4"/>
  <c r="M341" i="4"/>
  <c r="M342" i="4"/>
  <c r="M343" i="4"/>
  <c r="M344" i="4"/>
  <c r="M345" i="4"/>
  <c r="M346" i="4"/>
  <c r="M347" i="4"/>
  <c r="M348" i="4"/>
  <c r="M349" i="4"/>
  <c r="M350" i="4"/>
  <c r="M351" i="4"/>
  <c r="M352" i="4"/>
  <c r="M353" i="4"/>
  <c r="M354" i="4"/>
  <c r="M355" i="4"/>
  <c r="M356" i="4"/>
  <c r="M357" i="4"/>
  <c r="M358" i="4"/>
  <c r="M359" i="4"/>
  <c r="M360" i="4"/>
  <c r="M361" i="4"/>
  <c r="M362" i="4"/>
  <c r="M363" i="4"/>
  <c r="M364" i="4"/>
  <c r="M365" i="4"/>
  <c r="M366" i="4"/>
  <c r="M367" i="4"/>
  <c r="M368" i="4"/>
  <c r="M369" i="4"/>
  <c r="M370" i="4"/>
  <c r="M371" i="4"/>
  <c r="M372" i="4"/>
  <c r="M373" i="4"/>
  <c r="M374" i="4"/>
  <c r="M375" i="4"/>
  <c r="M376" i="4"/>
  <c r="M377" i="4"/>
  <c r="M378" i="4"/>
  <c r="M379" i="4"/>
  <c r="M380" i="4"/>
  <c r="M381" i="4"/>
  <c r="M382" i="4"/>
  <c r="M383" i="4"/>
  <c r="M384" i="4"/>
  <c r="M385" i="4"/>
  <c r="M386" i="4"/>
  <c r="M387" i="4"/>
  <c r="M388" i="4"/>
  <c r="M389" i="4"/>
  <c r="M390" i="4"/>
  <c r="M391" i="4"/>
  <c r="M392" i="4"/>
  <c r="M393" i="4"/>
  <c r="M394" i="4"/>
  <c r="M395" i="4"/>
  <c r="M396" i="4"/>
  <c r="M397" i="4"/>
  <c r="M398" i="4"/>
  <c r="M399" i="4"/>
  <c r="M400" i="4"/>
  <c r="M401" i="4"/>
  <c r="M402" i="4"/>
  <c r="M403" i="4"/>
  <c r="M404" i="4"/>
  <c r="M405" i="4"/>
  <c r="M406" i="4"/>
  <c r="M407" i="4"/>
  <c r="M408" i="4"/>
  <c r="M409" i="4"/>
  <c r="M410" i="4"/>
  <c r="M411" i="4"/>
  <c r="M412" i="4"/>
  <c r="M413" i="4"/>
  <c r="M414" i="4"/>
  <c r="M415" i="4"/>
  <c r="M416" i="4"/>
  <c r="M417" i="4"/>
  <c r="M418" i="4"/>
  <c r="M419" i="4"/>
  <c r="M420" i="4"/>
  <c r="M421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L156" i="4"/>
  <c r="L157" i="4"/>
  <c r="L158" i="4"/>
  <c r="L159" i="4"/>
  <c r="L160" i="4"/>
  <c r="L161" i="4"/>
  <c r="L162" i="4"/>
  <c r="L163" i="4"/>
  <c r="L164" i="4"/>
  <c r="L165" i="4"/>
  <c r="L166" i="4"/>
  <c r="L167" i="4"/>
  <c r="L168" i="4"/>
  <c r="L169" i="4"/>
  <c r="L170" i="4"/>
  <c r="L171" i="4"/>
  <c r="L172" i="4"/>
  <c r="L173" i="4"/>
  <c r="L174" i="4"/>
  <c r="L175" i="4"/>
  <c r="L176" i="4"/>
  <c r="L177" i="4"/>
  <c r="L178" i="4"/>
  <c r="L179" i="4"/>
  <c r="L180" i="4"/>
  <c r="L181" i="4"/>
  <c r="L182" i="4"/>
  <c r="L183" i="4"/>
  <c r="L184" i="4"/>
  <c r="L185" i="4"/>
  <c r="L186" i="4"/>
  <c r="L187" i="4"/>
  <c r="L188" i="4"/>
  <c r="L189" i="4"/>
  <c r="L190" i="4"/>
  <c r="L191" i="4"/>
  <c r="L192" i="4"/>
  <c r="L193" i="4"/>
  <c r="L194" i="4"/>
  <c r="L195" i="4"/>
  <c r="L196" i="4"/>
  <c r="L197" i="4"/>
  <c r="L198" i="4"/>
  <c r="L199" i="4"/>
  <c r="L200" i="4"/>
  <c r="L201" i="4"/>
  <c r="L202" i="4"/>
  <c r="L203" i="4"/>
  <c r="L204" i="4"/>
  <c r="L205" i="4"/>
  <c r="L206" i="4"/>
  <c r="L207" i="4"/>
  <c r="L208" i="4"/>
  <c r="L209" i="4"/>
  <c r="L210" i="4"/>
  <c r="L211" i="4"/>
  <c r="L212" i="4"/>
  <c r="L213" i="4"/>
  <c r="L214" i="4"/>
  <c r="L215" i="4"/>
  <c r="L216" i="4"/>
  <c r="L217" i="4"/>
  <c r="L218" i="4"/>
  <c r="L219" i="4"/>
  <c r="L220" i="4"/>
  <c r="L221" i="4"/>
  <c r="L222" i="4"/>
  <c r="L223" i="4"/>
  <c r="L224" i="4"/>
  <c r="L225" i="4"/>
  <c r="L226" i="4"/>
  <c r="L227" i="4"/>
  <c r="L228" i="4"/>
  <c r="L229" i="4"/>
  <c r="L230" i="4"/>
  <c r="L231" i="4"/>
  <c r="L232" i="4"/>
  <c r="L233" i="4"/>
  <c r="L234" i="4"/>
  <c r="L235" i="4"/>
  <c r="L236" i="4"/>
  <c r="L237" i="4"/>
  <c r="L238" i="4"/>
  <c r="L239" i="4"/>
  <c r="L240" i="4"/>
  <c r="L241" i="4"/>
  <c r="L242" i="4"/>
  <c r="L243" i="4"/>
  <c r="L244" i="4"/>
  <c r="L245" i="4"/>
  <c r="L246" i="4"/>
  <c r="L247" i="4"/>
  <c r="L248" i="4"/>
  <c r="L249" i="4"/>
  <c r="L250" i="4"/>
  <c r="L251" i="4"/>
  <c r="L252" i="4"/>
  <c r="L253" i="4"/>
  <c r="L254" i="4"/>
  <c r="L255" i="4"/>
  <c r="L256" i="4"/>
  <c r="L257" i="4"/>
  <c r="L258" i="4"/>
  <c r="L259" i="4"/>
  <c r="L260" i="4"/>
  <c r="L261" i="4"/>
  <c r="L262" i="4"/>
  <c r="L263" i="4"/>
  <c r="L264" i="4"/>
  <c r="L265" i="4"/>
  <c r="L266" i="4"/>
  <c r="L267" i="4"/>
  <c r="L268" i="4"/>
  <c r="L269" i="4"/>
  <c r="L270" i="4"/>
  <c r="L271" i="4"/>
  <c r="L272" i="4"/>
  <c r="L273" i="4"/>
  <c r="L274" i="4"/>
  <c r="L275" i="4"/>
  <c r="L276" i="4"/>
  <c r="L277" i="4"/>
  <c r="L278" i="4"/>
  <c r="L279" i="4"/>
  <c r="L280" i="4"/>
  <c r="L281" i="4"/>
  <c r="L282" i="4"/>
  <c r="L283" i="4"/>
  <c r="L284" i="4"/>
  <c r="L285" i="4"/>
  <c r="L286" i="4"/>
  <c r="L287" i="4"/>
  <c r="L288" i="4"/>
  <c r="L289" i="4"/>
  <c r="L290" i="4"/>
  <c r="L291" i="4"/>
  <c r="L292" i="4"/>
  <c r="L293" i="4"/>
  <c r="L294" i="4"/>
  <c r="L295" i="4"/>
  <c r="L296" i="4"/>
  <c r="L297" i="4"/>
  <c r="L298" i="4"/>
  <c r="L299" i="4"/>
  <c r="L300" i="4"/>
  <c r="L301" i="4"/>
  <c r="L302" i="4"/>
  <c r="L303" i="4"/>
  <c r="L304" i="4"/>
  <c r="L305" i="4"/>
  <c r="L306" i="4"/>
  <c r="L307" i="4"/>
  <c r="L308" i="4"/>
  <c r="L309" i="4"/>
  <c r="L310" i="4"/>
  <c r="L311" i="4"/>
  <c r="L312" i="4"/>
  <c r="L313" i="4"/>
  <c r="L314" i="4"/>
  <c r="L315" i="4"/>
  <c r="L316" i="4"/>
  <c r="L317" i="4"/>
  <c r="L318" i="4"/>
  <c r="L319" i="4"/>
  <c r="L320" i="4"/>
  <c r="L321" i="4"/>
  <c r="L322" i="4"/>
  <c r="L323" i="4"/>
  <c r="L324" i="4"/>
  <c r="L325" i="4"/>
  <c r="L326" i="4"/>
  <c r="L327" i="4"/>
  <c r="L328" i="4"/>
  <c r="L329" i="4"/>
  <c r="L330" i="4"/>
  <c r="L331" i="4"/>
  <c r="L332" i="4"/>
  <c r="L333" i="4"/>
  <c r="L334" i="4"/>
  <c r="L335" i="4"/>
  <c r="L336" i="4"/>
  <c r="L337" i="4"/>
  <c r="L338" i="4"/>
  <c r="L339" i="4"/>
  <c r="L340" i="4"/>
  <c r="L341" i="4"/>
  <c r="L342" i="4"/>
  <c r="L343" i="4"/>
  <c r="L344" i="4"/>
  <c r="L345" i="4"/>
  <c r="L346" i="4"/>
  <c r="L347" i="4"/>
  <c r="L348" i="4"/>
  <c r="L349" i="4"/>
  <c r="L350" i="4"/>
  <c r="L351" i="4"/>
  <c r="L352" i="4"/>
  <c r="L353" i="4"/>
  <c r="L354" i="4"/>
  <c r="L355" i="4"/>
  <c r="L356" i="4"/>
  <c r="L357" i="4"/>
  <c r="L358" i="4"/>
  <c r="L359" i="4"/>
  <c r="L360" i="4"/>
  <c r="L361" i="4"/>
  <c r="L362" i="4"/>
  <c r="L363" i="4"/>
  <c r="L364" i="4"/>
  <c r="L365" i="4"/>
  <c r="L366" i="4"/>
  <c r="L367" i="4"/>
  <c r="L368" i="4"/>
  <c r="L369" i="4"/>
  <c r="L370" i="4"/>
  <c r="L371" i="4"/>
  <c r="L372" i="4"/>
  <c r="L373" i="4"/>
  <c r="L374" i="4"/>
  <c r="L375" i="4"/>
  <c r="L376" i="4"/>
  <c r="L377" i="4"/>
  <c r="L378" i="4"/>
  <c r="L379" i="4"/>
  <c r="L380" i="4"/>
  <c r="L381" i="4"/>
  <c r="L382" i="4"/>
  <c r="L383" i="4"/>
  <c r="L384" i="4"/>
  <c r="L385" i="4"/>
  <c r="L386" i="4"/>
  <c r="L387" i="4"/>
  <c r="L388" i="4"/>
  <c r="L389" i="4"/>
  <c r="L390" i="4"/>
  <c r="L391" i="4"/>
  <c r="L392" i="4"/>
  <c r="L393" i="4"/>
  <c r="L394" i="4"/>
  <c r="L395" i="4"/>
  <c r="L396" i="4"/>
  <c r="L397" i="4"/>
  <c r="L398" i="4"/>
  <c r="L399" i="4"/>
  <c r="L400" i="4"/>
  <c r="L401" i="4"/>
  <c r="L402" i="4"/>
  <c r="L403" i="4"/>
  <c r="L404" i="4"/>
  <c r="L405" i="4"/>
  <c r="L406" i="4"/>
  <c r="L407" i="4"/>
  <c r="L408" i="4"/>
  <c r="L409" i="4"/>
  <c r="L410" i="4"/>
  <c r="L411" i="4"/>
  <c r="L412" i="4"/>
  <c r="L413" i="4"/>
  <c r="L414" i="4"/>
  <c r="L415" i="4"/>
  <c r="L416" i="4"/>
  <c r="L417" i="4"/>
  <c r="L418" i="4"/>
  <c r="L419" i="4"/>
  <c r="L420" i="4"/>
  <c r="L421" i="4"/>
  <c r="L3" i="4"/>
  <c r="E2" i="2"/>
  <c r="D5" i="15" s="1"/>
  <c r="F2" i="2"/>
  <c r="D6" i="15" s="1"/>
  <c r="G2" i="2"/>
  <c r="H2" i="2"/>
  <c r="D8" i="15" s="1"/>
  <c r="I2" i="2"/>
  <c r="D9" i="15" s="1"/>
  <c r="J2" i="2"/>
  <c r="D10" i="15" s="1"/>
  <c r="K2" i="2"/>
  <c r="D11" i="15" s="1"/>
  <c r="L2" i="2"/>
  <c r="D12" i="15" s="1"/>
  <c r="M2" i="2"/>
  <c r="D13" i="15" s="1"/>
  <c r="N2" i="2"/>
  <c r="D14" i="15" s="1"/>
  <c r="D2" i="2"/>
  <c r="D4" i="15" s="1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49" i="4"/>
  <c r="K250" i="4"/>
  <c r="K251" i="4"/>
  <c r="K252" i="4"/>
  <c r="K253" i="4"/>
  <c r="K254" i="4"/>
  <c r="K255" i="4"/>
  <c r="K256" i="4"/>
  <c r="K257" i="4"/>
  <c r="K258" i="4"/>
  <c r="K259" i="4"/>
  <c r="K260" i="4"/>
  <c r="K261" i="4"/>
  <c r="K262" i="4"/>
  <c r="K263" i="4"/>
  <c r="K264" i="4"/>
  <c r="K265" i="4"/>
  <c r="K266" i="4"/>
  <c r="K267" i="4"/>
  <c r="K268" i="4"/>
  <c r="K269" i="4"/>
  <c r="K270" i="4"/>
  <c r="K271" i="4"/>
  <c r="K272" i="4"/>
  <c r="K273" i="4"/>
  <c r="K274" i="4"/>
  <c r="K275" i="4"/>
  <c r="K276" i="4"/>
  <c r="K277" i="4"/>
  <c r="K278" i="4"/>
  <c r="K279" i="4"/>
  <c r="K280" i="4"/>
  <c r="K281" i="4"/>
  <c r="K282" i="4"/>
  <c r="K283" i="4"/>
  <c r="K284" i="4"/>
  <c r="K285" i="4"/>
  <c r="K286" i="4"/>
  <c r="K287" i="4"/>
  <c r="K288" i="4"/>
  <c r="K289" i="4"/>
  <c r="K290" i="4"/>
  <c r="K291" i="4"/>
  <c r="K292" i="4"/>
  <c r="K293" i="4"/>
  <c r="K294" i="4"/>
  <c r="K295" i="4"/>
  <c r="K296" i="4"/>
  <c r="K297" i="4"/>
  <c r="K298" i="4"/>
  <c r="K299" i="4"/>
  <c r="K300" i="4"/>
  <c r="K301" i="4"/>
  <c r="K302" i="4"/>
  <c r="K303" i="4"/>
  <c r="K304" i="4"/>
  <c r="K305" i="4"/>
  <c r="K306" i="4"/>
  <c r="K307" i="4"/>
  <c r="K308" i="4"/>
  <c r="K309" i="4"/>
  <c r="K310" i="4"/>
  <c r="K311" i="4"/>
  <c r="K312" i="4"/>
  <c r="K313" i="4"/>
  <c r="K314" i="4"/>
  <c r="K315" i="4"/>
  <c r="K316" i="4"/>
  <c r="K317" i="4"/>
  <c r="K318" i="4"/>
  <c r="K319" i="4"/>
  <c r="K320" i="4"/>
  <c r="K321" i="4"/>
  <c r="K322" i="4"/>
  <c r="K323" i="4"/>
  <c r="K324" i="4"/>
  <c r="K325" i="4"/>
  <c r="K326" i="4"/>
  <c r="K327" i="4"/>
  <c r="K328" i="4"/>
  <c r="K329" i="4"/>
  <c r="K330" i="4"/>
  <c r="K331" i="4"/>
  <c r="K332" i="4"/>
  <c r="K333" i="4"/>
  <c r="K334" i="4"/>
  <c r="K335" i="4"/>
  <c r="K336" i="4"/>
  <c r="K337" i="4"/>
  <c r="K338" i="4"/>
  <c r="K339" i="4"/>
  <c r="K340" i="4"/>
  <c r="K341" i="4"/>
  <c r="K342" i="4"/>
  <c r="K343" i="4"/>
  <c r="K344" i="4"/>
  <c r="K345" i="4"/>
  <c r="K346" i="4"/>
  <c r="K347" i="4"/>
  <c r="K348" i="4"/>
  <c r="K349" i="4"/>
  <c r="K350" i="4"/>
  <c r="K351" i="4"/>
  <c r="K352" i="4"/>
  <c r="K353" i="4"/>
  <c r="K354" i="4"/>
  <c r="K355" i="4"/>
  <c r="K356" i="4"/>
  <c r="K357" i="4"/>
  <c r="K358" i="4"/>
  <c r="K359" i="4"/>
  <c r="K360" i="4"/>
  <c r="K361" i="4"/>
  <c r="K362" i="4"/>
  <c r="K363" i="4"/>
  <c r="K364" i="4"/>
  <c r="K365" i="4"/>
  <c r="K366" i="4"/>
  <c r="K367" i="4"/>
  <c r="K368" i="4"/>
  <c r="K369" i="4"/>
  <c r="K370" i="4"/>
  <c r="K371" i="4"/>
  <c r="K372" i="4"/>
  <c r="K373" i="4"/>
  <c r="K374" i="4"/>
  <c r="K375" i="4"/>
  <c r="K376" i="4"/>
  <c r="K377" i="4"/>
  <c r="K378" i="4"/>
  <c r="K379" i="4"/>
  <c r="K380" i="4"/>
  <c r="K381" i="4"/>
  <c r="K382" i="4"/>
  <c r="K383" i="4"/>
  <c r="K384" i="4"/>
  <c r="K385" i="4"/>
  <c r="K386" i="4"/>
  <c r="K387" i="4"/>
  <c r="K388" i="4"/>
  <c r="K389" i="4"/>
  <c r="K390" i="4"/>
  <c r="K391" i="4"/>
  <c r="K392" i="4"/>
  <c r="K393" i="4"/>
  <c r="K394" i="4"/>
  <c r="K395" i="4"/>
  <c r="K396" i="4"/>
  <c r="K397" i="4"/>
  <c r="K398" i="4"/>
  <c r="K399" i="4"/>
  <c r="K400" i="4"/>
  <c r="K401" i="4"/>
  <c r="K402" i="4"/>
  <c r="K403" i="4"/>
  <c r="K404" i="4"/>
  <c r="K405" i="4"/>
  <c r="K406" i="4"/>
  <c r="K407" i="4"/>
  <c r="K408" i="4"/>
  <c r="K409" i="4"/>
  <c r="K410" i="4"/>
  <c r="K411" i="4"/>
  <c r="K412" i="4"/>
  <c r="K413" i="4"/>
  <c r="K414" i="4"/>
  <c r="K415" i="4"/>
  <c r="K416" i="4"/>
  <c r="K417" i="4"/>
  <c r="K418" i="4"/>
  <c r="K419" i="4"/>
  <c r="K420" i="4"/>
  <c r="K421" i="4"/>
  <c r="K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J187" i="4"/>
  <c r="J188" i="4"/>
  <c r="J189" i="4"/>
  <c r="J190" i="4"/>
  <c r="J191" i="4"/>
  <c r="J192" i="4"/>
  <c r="J193" i="4"/>
  <c r="J194" i="4"/>
  <c r="J195" i="4"/>
  <c r="J196" i="4"/>
  <c r="J197" i="4"/>
  <c r="J198" i="4"/>
  <c r="J199" i="4"/>
  <c r="J200" i="4"/>
  <c r="J201" i="4"/>
  <c r="J202" i="4"/>
  <c r="J203" i="4"/>
  <c r="J204" i="4"/>
  <c r="J205" i="4"/>
  <c r="J206" i="4"/>
  <c r="J207" i="4"/>
  <c r="J208" i="4"/>
  <c r="J209" i="4"/>
  <c r="J210" i="4"/>
  <c r="J211" i="4"/>
  <c r="J212" i="4"/>
  <c r="J213" i="4"/>
  <c r="J214" i="4"/>
  <c r="J215" i="4"/>
  <c r="J216" i="4"/>
  <c r="J217" i="4"/>
  <c r="J218" i="4"/>
  <c r="J219" i="4"/>
  <c r="J220" i="4"/>
  <c r="J221" i="4"/>
  <c r="J222" i="4"/>
  <c r="J223" i="4"/>
  <c r="J224" i="4"/>
  <c r="J225" i="4"/>
  <c r="J226" i="4"/>
  <c r="J227" i="4"/>
  <c r="J228" i="4"/>
  <c r="J229" i="4"/>
  <c r="J230" i="4"/>
  <c r="J231" i="4"/>
  <c r="J232" i="4"/>
  <c r="J233" i="4"/>
  <c r="J234" i="4"/>
  <c r="J235" i="4"/>
  <c r="J236" i="4"/>
  <c r="J237" i="4"/>
  <c r="J238" i="4"/>
  <c r="J239" i="4"/>
  <c r="J240" i="4"/>
  <c r="J241" i="4"/>
  <c r="J242" i="4"/>
  <c r="J243" i="4"/>
  <c r="J244" i="4"/>
  <c r="J245" i="4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J276" i="4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4" i="4"/>
  <c r="J305" i="4"/>
  <c r="J306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J326" i="4"/>
  <c r="J327" i="4"/>
  <c r="J328" i="4"/>
  <c r="J329" i="4"/>
  <c r="J330" i="4"/>
  <c r="J331" i="4"/>
  <c r="J332" i="4"/>
  <c r="J333" i="4"/>
  <c r="J334" i="4"/>
  <c r="J335" i="4"/>
  <c r="J336" i="4"/>
  <c r="J337" i="4"/>
  <c r="J338" i="4"/>
  <c r="J339" i="4"/>
  <c r="J340" i="4"/>
  <c r="J341" i="4"/>
  <c r="J342" i="4"/>
  <c r="J343" i="4"/>
  <c r="J344" i="4"/>
  <c r="J345" i="4"/>
  <c r="J346" i="4"/>
  <c r="J347" i="4"/>
  <c r="J348" i="4"/>
  <c r="J349" i="4"/>
  <c r="J350" i="4"/>
  <c r="J351" i="4"/>
  <c r="J352" i="4"/>
  <c r="J353" i="4"/>
  <c r="J354" i="4"/>
  <c r="J355" i="4"/>
  <c r="J356" i="4"/>
  <c r="J357" i="4"/>
  <c r="J358" i="4"/>
  <c r="J359" i="4"/>
  <c r="J360" i="4"/>
  <c r="J361" i="4"/>
  <c r="J362" i="4"/>
  <c r="J363" i="4"/>
  <c r="J364" i="4"/>
  <c r="J365" i="4"/>
  <c r="J366" i="4"/>
  <c r="J367" i="4"/>
  <c r="J368" i="4"/>
  <c r="J369" i="4"/>
  <c r="J370" i="4"/>
  <c r="J371" i="4"/>
  <c r="J372" i="4"/>
  <c r="J373" i="4"/>
  <c r="J374" i="4"/>
  <c r="J375" i="4"/>
  <c r="J376" i="4"/>
  <c r="J377" i="4"/>
  <c r="J378" i="4"/>
  <c r="J379" i="4"/>
  <c r="J380" i="4"/>
  <c r="J381" i="4"/>
  <c r="J382" i="4"/>
  <c r="J383" i="4"/>
  <c r="J384" i="4"/>
  <c r="J385" i="4"/>
  <c r="J386" i="4"/>
  <c r="J387" i="4"/>
  <c r="J388" i="4"/>
  <c r="J389" i="4"/>
  <c r="J390" i="4"/>
  <c r="J391" i="4"/>
  <c r="J392" i="4"/>
  <c r="J393" i="4"/>
  <c r="J394" i="4"/>
  <c r="J395" i="4"/>
  <c r="J396" i="4"/>
  <c r="J397" i="4"/>
  <c r="J398" i="4"/>
  <c r="J399" i="4"/>
  <c r="J400" i="4"/>
  <c r="J401" i="4"/>
  <c r="J402" i="4"/>
  <c r="J403" i="4"/>
  <c r="J404" i="4"/>
  <c r="J405" i="4"/>
  <c r="J406" i="4"/>
  <c r="J407" i="4"/>
  <c r="J408" i="4"/>
  <c r="J409" i="4"/>
  <c r="J410" i="4"/>
  <c r="J411" i="4"/>
  <c r="J412" i="4"/>
  <c r="J413" i="4"/>
  <c r="J414" i="4"/>
  <c r="J415" i="4"/>
  <c r="J416" i="4"/>
  <c r="J417" i="4"/>
  <c r="J418" i="4"/>
  <c r="J419" i="4"/>
  <c r="J420" i="4"/>
  <c r="J421" i="4"/>
  <c r="J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I203" i="4"/>
  <c r="I204" i="4"/>
  <c r="I205" i="4"/>
  <c r="I206" i="4"/>
  <c r="I207" i="4"/>
  <c r="I208" i="4"/>
  <c r="I209" i="4"/>
  <c r="I210" i="4"/>
  <c r="I211" i="4"/>
  <c r="I212" i="4"/>
  <c r="I213" i="4"/>
  <c r="I214" i="4"/>
  <c r="I215" i="4"/>
  <c r="I216" i="4"/>
  <c r="I217" i="4"/>
  <c r="I218" i="4"/>
  <c r="I219" i="4"/>
  <c r="I220" i="4"/>
  <c r="I221" i="4"/>
  <c r="I222" i="4"/>
  <c r="I223" i="4"/>
  <c r="I224" i="4"/>
  <c r="I225" i="4"/>
  <c r="I226" i="4"/>
  <c r="I227" i="4"/>
  <c r="I228" i="4"/>
  <c r="I229" i="4"/>
  <c r="I230" i="4"/>
  <c r="I231" i="4"/>
  <c r="I232" i="4"/>
  <c r="I233" i="4"/>
  <c r="I234" i="4"/>
  <c r="I235" i="4"/>
  <c r="I236" i="4"/>
  <c r="I237" i="4"/>
  <c r="I238" i="4"/>
  <c r="I239" i="4"/>
  <c r="I240" i="4"/>
  <c r="I241" i="4"/>
  <c r="I242" i="4"/>
  <c r="I243" i="4"/>
  <c r="I244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57" i="4"/>
  <c r="I258" i="4"/>
  <c r="I259" i="4"/>
  <c r="I260" i="4"/>
  <c r="I261" i="4"/>
  <c r="I262" i="4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I327" i="4"/>
  <c r="I328" i="4"/>
  <c r="I329" i="4"/>
  <c r="I330" i="4"/>
  <c r="I331" i="4"/>
  <c r="I332" i="4"/>
  <c r="I333" i="4"/>
  <c r="I334" i="4"/>
  <c r="I335" i="4"/>
  <c r="I336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I352" i="4"/>
  <c r="I353" i="4"/>
  <c r="I354" i="4"/>
  <c r="I355" i="4"/>
  <c r="I356" i="4"/>
  <c r="I357" i="4"/>
  <c r="I358" i="4"/>
  <c r="I359" i="4"/>
  <c r="I360" i="4"/>
  <c r="I361" i="4"/>
  <c r="I362" i="4"/>
  <c r="I363" i="4"/>
  <c r="I364" i="4"/>
  <c r="I365" i="4"/>
  <c r="I366" i="4"/>
  <c r="I367" i="4"/>
  <c r="I368" i="4"/>
  <c r="I369" i="4"/>
  <c r="I370" i="4"/>
  <c r="I371" i="4"/>
  <c r="I372" i="4"/>
  <c r="I373" i="4"/>
  <c r="I374" i="4"/>
  <c r="I375" i="4"/>
  <c r="I376" i="4"/>
  <c r="I377" i="4"/>
  <c r="I378" i="4"/>
  <c r="I379" i="4"/>
  <c r="I380" i="4"/>
  <c r="I381" i="4"/>
  <c r="I382" i="4"/>
  <c r="I383" i="4"/>
  <c r="I384" i="4"/>
  <c r="I385" i="4"/>
  <c r="I386" i="4"/>
  <c r="I387" i="4"/>
  <c r="I388" i="4"/>
  <c r="I389" i="4"/>
  <c r="I390" i="4"/>
  <c r="I391" i="4"/>
  <c r="I392" i="4"/>
  <c r="I393" i="4"/>
  <c r="I394" i="4"/>
  <c r="I395" i="4"/>
  <c r="I396" i="4"/>
  <c r="I397" i="4"/>
  <c r="I398" i="4"/>
  <c r="I399" i="4"/>
  <c r="I400" i="4"/>
  <c r="I401" i="4"/>
  <c r="I402" i="4"/>
  <c r="I403" i="4"/>
  <c r="I404" i="4"/>
  <c r="I405" i="4"/>
  <c r="I406" i="4"/>
  <c r="I407" i="4"/>
  <c r="I408" i="4"/>
  <c r="I409" i="4"/>
  <c r="I410" i="4"/>
  <c r="I411" i="4"/>
  <c r="I412" i="4"/>
  <c r="I413" i="4"/>
  <c r="I414" i="4"/>
  <c r="I415" i="4"/>
  <c r="I416" i="4"/>
  <c r="I417" i="4"/>
  <c r="I418" i="4"/>
  <c r="I419" i="4"/>
  <c r="I420" i="4"/>
  <c r="I421" i="4"/>
  <c r="I3" i="4"/>
  <c r="C6" i="15" l="1"/>
  <c r="I2" i="4"/>
  <c r="G10" i="15" s="1"/>
  <c r="K2" i="4"/>
  <c r="G7" i="15" s="1"/>
  <c r="N2" i="4"/>
  <c r="G16" i="15" s="1"/>
  <c r="M2" i="4"/>
  <c r="G14" i="15" s="1"/>
  <c r="J2" i="4"/>
  <c r="G5" i="15" s="1"/>
  <c r="L2" i="4"/>
  <c r="G9" i="15" s="1"/>
  <c r="C2" i="5"/>
  <c r="H8" i="15" s="1"/>
  <c r="O2" i="4"/>
  <c r="G15" i="15" s="1"/>
  <c r="H421" i="4" l="1"/>
  <c r="H420" i="4"/>
  <c r="H419" i="4"/>
  <c r="H418" i="4"/>
  <c r="H417" i="4"/>
  <c r="H416" i="4"/>
  <c r="H415" i="4"/>
  <c r="H414" i="4"/>
  <c r="H413" i="4"/>
  <c r="H412" i="4"/>
  <c r="H411" i="4"/>
  <c r="H410" i="4"/>
  <c r="H409" i="4"/>
  <c r="H408" i="4"/>
  <c r="H407" i="4"/>
  <c r="H406" i="4"/>
  <c r="H405" i="4"/>
  <c r="H404" i="4"/>
  <c r="H403" i="4"/>
  <c r="H402" i="4"/>
  <c r="H401" i="4"/>
  <c r="H400" i="4"/>
  <c r="H399" i="4"/>
  <c r="H398" i="4"/>
  <c r="H397" i="4"/>
  <c r="H396" i="4"/>
  <c r="H395" i="4"/>
  <c r="H394" i="4"/>
  <c r="H393" i="4"/>
  <c r="H392" i="4"/>
  <c r="H391" i="4"/>
  <c r="H390" i="4"/>
  <c r="H389" i="4"/>
  <c r="H388" i="4"/>
  <c r="H387" i="4"/>
  <c r="H386" i="4"/>
  <c r="H385" i="4"/>
  <c r="H384" i="4"/>
  <c r="H383" i="4"/>
  <c r="H382" i="4"/>
  <c r="H381" i="4"/>
  <c r="H380" i="4"/>
  <c r="H379" i="4"/>
  <c r="H378" i="4"/>
  <c r="H377" i="4"/>
  <c r="H376" i="4"/>
  <c r="H375" i="4"/>
  <c r="H374" i="4"/>
  <c r="H373" i="4"/>
  <c r="H372" i="4"/>
  <c r="H371" i="4"/>
  <c r="H370" i="4"/>
  <c r="H369" i="4"/>
  <c r="H368" i="4"/>
  <c r="H367" i="4"/>
  <c r="H366" i="4"/>
  <c r="H365" i="4"/>
  <c r="H364" i="4"/>
  <c r="H363" i="4"/>
  <c r="H362" i="4"/>
  <c r="H361" i="4"/>
  <c r="H360" i="4"/>
  <c r="H359" i="4"/>
  <c r="H358" i="4"/>
  <c r="H357" i="4"/>
  <c r="H356" i="4"/>
  <c r="H355" i="4"/>
  <c r="H354" i="4"/>
  <c r="H353" i="4"/>
  <c r="H352" i="4"/>
  <c r="H351" i="4"/>
  <c r="H350" i="4"/>
  <c r="H349" i="4"/>
  <c r="H348" i="4"/>
  <c r="H347" i="4"/>
  <c r="H346" i="4"/>
  <c r="H345" i="4"/>
  <c r="H344" i="4"/>
  <c r="H343" i="4"/>
  <c r="H342" i="4"/>
  <c r="H341" i="4"/>
  <c r="H340" i="4"/>
  <c r="H339" i="4"/>
  <c r="H338" i="4"/>
  <c r="H337" i="4"/>
  <c r="H336" i="4"/>
  <c r="H335" i="4"/>
  <c r="H334" i="4"/>
  <c r="H333" i="4"/>
  <c r="H332" i="4"/>
  <c r="H331" i="4"/>
  <c r="H330" i="4"/>
  <c r="H329" i="4"/>
  <c r="H328" i="4"/>
  <c r="H327" i="4"/>
  <c r="H326" i="4"/>
  <c r="H325" i="4"/>
  <c r="H324" i="4"/>
  <c r="H323" i="4"/>
  <c r="H322" i="4"/>
  <c r="H321" i="4"/>
  <c r="H320" i="4"/>
  <c r="H319" i="4"/>
  <c r="H318" i="4"/>
  <c r="H317" i="4"/>
  <c r="H316" i="4"/>
  <c r="H315" i="4"/>
  <c r="H314" i="4"/>
  <c r="H313" i="4"/>
  <c r="H312" i="4"/>
  <c r="H311" i="4"/>
  <c r="H310" i="4"/>
  <c r="H309" i="4"/>
  <c r="H308" i="4"/>
  <c r="H307" i="4"/>
  <c r="H306" i="4"/>
  <c r="H305" i="4"/>
  <c r="H304" i="4"/>
  <c r="H303" i="4"/>
  <c r="H302" i="4"/>
  <c r="H301" i="4"/>
  <c r="H300" i="4"/>
  <c r="H299" i="4"/>
  <c r="H298" i="4"/>
  <c r="H297" i="4"/>
  <c r="H296" i="4"/>
  <c r="H295" i="4"/>
  <c r="H294" i="4"/>
  <c r="H293" i="4"/>
  <c r="H292" i="4"/>
  <c r="H291" i="4"/>
  <c r="H290" i="4"/>
  <c r="H289" i="4"/>
  <c r="H288" i="4"/>
  <c r="H287" i="4"/>
  <c r="H286" i="4"/>
  <c r="H285" i="4"/>
  <c r="H284" i="4"/>
  <c r="H283" i="4"/>
  <c r="H282" i="4"/>
  <c r="H281" i="4"/>
  <c r="H280" i="4"/>
  <c r="H279" i="4"/>
  <c r="H278" i="4"/>
  <c r="H277" i="4"/>
  <c r="H276" i="4"/>
  <c r="H275" i="4"/>
  <c r="H274" i="4"/>
  <c r="H273" i="4"/>
  <c r="H272" i="4"/>
  <c r="H271" i="4"/>
  <c r="H270" i="4"/>
  <c r="H269" i="4"/>
  <c r="H268" i="4"/>
  <c r="H267" i="4"/>
  <c r="H266" i="4"/>
  <c r="H265" i="4"/>
  <c r="H264" i="4"/>
  <c r="H263" i="4"/>
  <c r="H262" i="4"/>
  <c r="H261" i="4"/>
  <c r="H260" i="4"/>
  <c r="H259" i="4"/>
  <c r="H258" i="4"/>
  <c r="H257" i="4"/>
  <c r="H256" i="4"/>
  <c r="H255" i="4"/>
  <c r="H254" i="4"/>
  <c r="H253" i="4"/>
  <c r="H252" i="4"/>
  <c r="H251" i="4"/>
  <c r="H250" i="4"/>
  <c r="H249" i="4"/>
  <c r="H248" i="4"/>
  <c r="H247" i="4"/>
  <c r="H246" i="4"/>
  <c r="H245" i="4"/>
  <c r="H244" i="4"/>
  <c r="H243" i="4"/>
  <c r="H242" i="4"/>
  <c r="H241" i="4"/>
  <c r="H240" i="4"/>
  <c r="H239" i="4"/>
  <c r="H238" i="4"/>
  <c r="H237" i="4"/>
  <c r="H236" i="4"/>
  <c r="H235" i="4"/>
  <c r="H234" i="4"/>
  <c r="H233" i="4"/>
  <c r="H232" i="4"/>
  <c r="H231" i="4"/>
  <c r="H230" i="4"/>
  <c r="H229" i="4"/>
  <c r="H228" i="4"/>
  <c r="H227" i="4"/>
  <c r="H226" i="4"/>
  <c r="H225" i="4"/>
  <c r="H224" i="4"/>
  <c r="H223" i="4"/>
  <c r="H222" i="4"/>
  <c r="H221" i="4"/>
  <c r="H220" i="4"/>
  <c r="H219" i="4"/>
  <c r="H218" i="4"/>
  <c r="H217" i="4"/>
  <c r="H216" i="4"/>
  <c r="H215" i="4"/>
  <c r="H214" i="4"/>
  <c r="H213" i="4"/>
  <c r="H212" i="4"/>
  <c r="H211" i="4"/>
  <c r="H210" i="4"/>
  <c r="H209" i="4"/>
  <c r="H208" i="4"/>
  <c r="H207" i="4"/>
  <c r="H206" i="4"/>
  <c r="H205" i="4"/>
  <c r="H204" i="4"/>
  <c r="H203" i="4"/>
  <c r="H202" i="4"/>
  <c r="H201" i="4"/>
  <c r="H200" i="4"/>
  <c r="H199" i="4"/>
  <c r="H198" i="4"/>
  <c r="H197" i="4"/>
  <c r="H196" i="4"/>
  <c r="H195" i="4"/>
  <c r="H194" i="4"/>
  <c r="H193" i="4"/>
  <c r="H192" i="4"/>
  <c r="H191" i="4"/>
  <c r="H190" i="4"/>
  <c r="H189" i="4"/>
  <c r="H188" i="4"/>
  <c r="H187" i="4"/>
  <c r="H186" i="4"/>
  <c r="H185" i="4"/>
  <c r="H184" i="4"/>
  <c r="H183" i="4"/>
  <c r="H182" i="4"/>
  <c r="H181" i="4"/>
  <c r="H180" i="4"/>
  <c r="H179" i="4"/>
  <c r="H178" i="4"/>
  <c r="H177" i="4"/>
  <c r="H176" i="4"/>
  <c r="H175" i="4"/>
  <c r="H174" i="4"/>
  <c r="H173" i="4"/>
  <c r="H172" i="4"/>
  <c r="H171" i="4"/>
  <c r="H170" i="4"/>
  <c r="H169" i="4"/>
  <c r="H168" i="4"/>
  <c r="H167" i="4"/>
  <c r="H166" i="4"/>
  <c r="H165" i="4"/>
  <c r="H164" i="4"/>
  <c r="H163" i="4"/>
  <c r="H162" i="4"/>
  <c r="H161" i="4"/>
  <c r="H160" i="4"/>
  <c r="H159" i="4"/>
  <c r="H158" i="4"/>
  <c r="H157" i="4"/>
  <c r="H156" i="4"/>
  <c r="H155" i="4"/>
  <c r="H154" i="4"/>
  <c r="H153" i="4"/>
  <c r="H152" i="4"/>
  <c r="H151" i="4"/>
  <c r="H150" i="4"/>
  <c r="H149" i="4"/>
  <c r="H148" i="4"/>
  <c r="H147" i="4"/>
  <c r="H146" i="4"/>
  <c r="H145" i="4"/>
  <c r="H144" i="4"/>
  <c r="H143" i="4"/>
  <c r="H142" i="4"/>
  <c r="H141" i="4"/>
  <c r="H140" i="4"/>
  <c r="H139" i="4"/>
  <c r="H138" i="4"/>
  <c r="H137" i="4"/>
  <c r="H136" i="4"/>
  <c r="H135" i="4"/>
  <c r="H134" i="4"/>
  <c r="H133" i="4"/>
  <c r="H132" i="4"/>
  <c r="H131" i="4"/>
  <c r="H130" i="4"/>
  <c r="H129" i="4"/>
  <c r="H128" i="4"/>
  <c r="H127" i="4"/>
  <c r="H126" i="4"/>
  <c r="H125" i="4"/>
  <c r="H124" i="4"/>
  <c r="H123" i="4"/>
  <c r="H122" i="4"/>
  <c r="H121" i="4"/>
  <c r="H120" i="4"/>
  <c r="H119" i="4"/>
  <c r="H118" i="4"/>
  <c r="H117" i="4"/>
  <c r="H116" i="4"/>
  <c r="H115" i="4"/>
  <c r="H114" i="4"/>
  <c r="H113" i="4"/>
  <c r="H112" i="4"/>
  <c r="H111" i="4"/>
  <c r="H110" i="4"/>
  <c r="H109" i="4"/>
  <c r="H108" i="4"/>
  <c r="H107" i="4"/>
  <c r="H106" i="4"/>
  <c r="H105" i="4"/>
  <c r="H104" i="4"/>
  <c r="H103" i="4"/>
  <c r="H102" i="4"/>
  <c r="H101" i="4"/>
  <c r="H100" i="4"/>
  <c r="H99" i="4"/>
  <c r="H98" i="4"/>
  <c r="H97" i="4"/>
  <c r="H96" i="4"/>
  <c r="H95" i="4"/>
  <c r="H94" i="4"/>
  <c r="H93" i="4"/>
  <c r="H92" i="4"/>
  <c r="H91" i="4"/>
  <c r="H90" i="4"/>
  <c r="H89" i="4"/>
  <c r="H88" i="4"/>
  <c r="H87" i="4"/>
  <c r="H86" i="4"/>
  <c r="H85" i="4"/>
  <c r="H84" i="4"/>
  <c r="H83" i="4"/>
  <c r="H82" i="4"/>
  <c r="H81" i="4"/>
  <c r="H80" i="4"/>
  <c r="H79" i="4"/>
  <c r="H78" i="4"/>
  <c r="H77" i="4"/>
  <c r="H76" i="4"/>
  <c r="H75" i="4"/>
  <c r="H74" i="4"/>
  <c r="H73" i="4"/>
  <c r="H72" i="4"/>
  <c r="H71" i="4"/>
  <c r="H70" i="4"/>
  <c r="H69" i="4"/>
  <c r="H68" i="4"/>
  <c r="H67" i="4"/>
  <c r="H66" i="4"/>
  <c r="H65" i="4"/>
  <c r="H64" i="4"/>
  <c r="H63" i="4"/>
  <c r="H62" i="4"/>
  <c r="H61" i="4"/>
  <c r="H60" i="4"/>
  <c r="H59" i="4"/>
  <c r="H58" i="4"/>
  <c r="H57" i="4"/>
  <c r="H56" i="4"/>
  <c r="H55" i="4"/>
  <c r="H54" i="4"/>
  <c r="H53" i="4"/>
  <c r="H52" i="4"/>
  <c r="H51" i="4"/>
  <c r="H50" i="4"/>
  <c r="H49" i="4"/>
  <c r="H48" i="4"/>
  <c r="H47" i="4"/>
  <c r="H46" i="4"/>
  <c r="H45" i="4"/>
  <c r="H44" i="4"/>
  <c r="H43" i="4"/>
  <c r="H42" i="4"/>
  <c r="H41" i="4"/>
  <c r="H40" i="4"/>
  <c r="H39" i="4"/>
  <c r="H38" i="4"/>
  <c r="H37" i="4"/>
  <c r="H36" i="4"/>
  <c r="H35" i="4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H6" i="4"/>
  <c r="H5" i="4"/>
  <c r="H4" i="4"/>
  <c r="H3" i="4"/>
  <c r="G421" i="4"/>
  <c r="G420" i="4"/>
  <c r="G419" i="4"/>
  <c r="G418" i="4"/>
  <c r="G417" i="4"/>
  <c r="G416" i="4"/>
  <c r="G415" i="4"/>
  <c r="G414" i="4"/>
  <c r="G413" i="4"/>
  <c r="G412" i="4"/>
  <c r="G411" i="4"/>
  <c r="G410" i="4"/>
  <c r="G409" i="4"/>
  <c r="G408" i="4"/>
  <c r="G407" i="4"/>
  <c r="G406" i="4"/>
  <c r="G405" i="4"/>
  <c r="G404" i="4"/>
  <c r="G403" i="4"/>
  <c r="G402" i="4"/>
  <c r="G401" i="4"/>
  <c r="G400" i="4"/>
  <c r="G399" i="4"/>
  <c r="G398" i="4"/>
  <c r="G397" i="4"/>
  <c r="G396" i="4"/>
  <c r="G395" i="4"/>
  <c r="G394" i="4"/>
  <c r="G393" i="4"/>
  <c r="G392" i="4"/>
  <c r="G391" i="4"/>
  <c r="G390" i="4"/>
  <c r="G389" i="4"/>
  <c r="G388" i="4"/>
  <c r="G387" i="4"/>
  <c r="G386" i="4"/>
  <c r="G385" i="4"/>
  <c r="G384" i="4"/>
  <c r="G383" i="4"/>
  <c r="G382" i="4"/>
  <c r="G381" i="4"/>
  <c r="G380" i="4"/>
  <c r="G379" i="4"/>
  <c r="G378" i="4"/>
  <c r="G377" i="4"/>
  <c r="G376" i="4"/>
  <c r="G375" i="4"/>
  <c r="G374" i="4"/>
  <c r="G373" i="4"/>
  <c r="G372" i="4"/>
  <c r="G371" i="4"/>
  <c r="G370" i="4"/>
  <c r="G369" i="4"/>
  <c r="G368" i="4"/>
  <c r="G367" i="4"/>
  <c r="G366" i="4"/>
  <c r="G365" i="4"/>
  <c r="G364" i="4"/>
  <c r="G363" i="4"/>
  <c r="G362" i="4"/>
  <c r="G361" i="4"/>
  <c r="G360" i="4"/>
  <c r="G359" i="4"/>
  <c r="G358" i="4"/>
  <c r="G357" i="4"/>
  <c r="G356" i="4"/>
  <c r="G355" i="4"/>
  <c r="G354" i="4"/>
  <c r="G353" i="4"/>
  <c r="G352" i="4"/>
  <c r="G351" i="4"/>
  <c r="G350" i="4"/>
  <c r="G349" i="4"/>
  <c r="G348" i="4"/>
  <c r="G347" i="4"/>
  <c r="G346" i="4"/>
  <c r="G345" i="4"/>
  <c r="G344" i="4"/>
  <c r="G343" i="4"/>
  <c r="G342" i="4"/>
  <c r="G341" i="4"/>
  <c r="G340" i="4"/>
  <c r="G339" i="4"/>
  <c r="G338" i="4"/>
  <c r="G337" i="4"/>
  <c r="G336" i="4"/>
  <c r="G335" i="4"/>
  <c r="G334" i="4"/>
  <c r="G333" i="4"/>
  <c r="G332" i="4"/>
  <c r="G331" i="4"/>
  <c r="G330" i="4"/>
  <c r="G329" i="4"/>
  <c r="G328" i="4"/>
  <c r="G327" i="4"/>
  <c r="G326" i="4"/>
  <c r="G325" i="4"/>
  <c r="G324" i="4"/>
  <c r="G323" i="4"/>
  <c r="G322" i="4"/>
  <c r="G321" i="4"/>
  <c r="G320" i="4"/>
  <c r="G319" i="4"/>
  <c r="G318" i="4"/>
  <c r="G317" i="4"/>
  <c r="G316" i="4"/>
  <c r="G315" i="4"/>
  <c r="G314" i="4"/>
  <c r="G313" i="4"/>
  <c r="G312" i="4"/>
  <c r="G311" i="4"/>
  <c r="G310" i="4"/>
  <c r="G309" i="4"/>
  <c r="G308" i="4"/>
  <c r="G307" i="4"/>
  <c r="G306" i="4"/>
  <c r="G305" i="4"/>
  <c r="G304" i="4"/>
  <c r="G303" i="4"/>
  <c r="G302" i="4"/>
  <c r="G301" i="4"/>
  <c r="G300" i="4"/>
  <c r="G299" i="4"/>
  <c r="G298" i="4"/>
  <c r="G297" i="4"/>
  <c r="G296" i="4"/>
  <c r="G295" i="4"/>
  <c r="G294" i="4"/>
  <c r="G293" i="4"/>
  <c r="G292" i="4"/>
  <c r="G291" i="4"/>
  <c r="G290" i="4"/>
  <c r="G289" i="4"/>
  <c r="G288" i="4"/>
  <c r="G287" i="4"/>
  <c r="G286" i="4"/>
  <c r="G285" i="4"/>
  <c r="G284" i="4"/>
  <c r="G283" i="4"/>
  <c r="G282" i="4"/>
  <c r="G281" i="4"/>
  <c r="G280" i="4"/>
  <c r="G279" i="4"/>
  <c r="G278" i="4"/>
  <c r="G277" i="4"/>
  <c r="G276" i="4"/>
  <c r="G275" i="4"/>
  <c r="G274" i="4"/>
  <c r="G273" i="4"/>
  <c r="G272" i="4"/>
  <c r="G271" i="4"/>
  <c r="G270" i="4"/>
  <c r="G269" i="4"/>
  <c r="G268" i="4"/>
  <c r="G267" i="4"/>
  <c r="G266" i="4"/>
  <c r="G265" i="4"/>
  <c r="G264" i="4"/>
  <c r="G263" i="4"/>
  <c r="G262" i="4"/>
  <c r="G261" i="4"/>
  <c r="G260" i="4"/>
  <c r="G259" i="4"/>
  <c r="G258" i="4"/>
  <c r="G257" i="4"/>
  <c r="G256" i="4"/>
  <c r="G255" i="4"/>
  <c r="G254" i="4"/>
  <c r="G253" i="4"/>
  <c r="G252" i="4"/>
  <c r="G251" i="4"/>
  <c r="G250" i="4"/>
  <c r="G249" i="4"/>
  <c r="G248" i="4"/>
  <c r="G247" i="4"/>
  <c r="G246" i="4"/>
  <c r="G245" i="4"/>
  <c r="G244" i="4"/>
  <c r="G243" i="4"/>
  <c r="G242" i="4"/>
  <c r="G241" i="4"/>
  <c r="G240" i="4"/>
  <c r="G239" i="4"/>
  <c r="G238" i="4"/>
  <c r="G237" i="4"/>
  <c r="G236" i="4"/>
  <c r="G235" i="4"/>
  <c r="G234" i="4"/>
  <c r="G233" i="4"/>
  <c r="G232" i="4"/>
  <c r="G231" i="4"/>
  <c r="G230" i="4"/>
  <c r="G229" i="4"/>
  <c r="G228" i="4"/>
  <c r="G227" i="4"/>
  <c r="G226" i="4"/>
  <c r="G225" i="4"/>
  <c r="G224" i="4"/>
  <c r="G223" i="4"/>
  <c r="G222" i="4"/>
  <c r="G221" i="4"/>
  <c r="G220" i="4"/>
  <c r="G219" i="4"/>
  <c r="G218" i="4"/>
  <c r="G217" i="4"/>
  <c r="G216" i="4"/>
  <c r="G215" i="4"/>
  <c r="G214" i="4"/>
  <c r="G213" i="4"/>
  <c r="G212" i="4"/>
  <c r="G211" i="4"/>
  <c r="G210" i="4"/>
  <c r="G209" i="4"/>
  <c r="G208" i="4"/>
  <c r="G207" i="4"/>
  <c r="G206" i="4"/>
  <c r="G205" i="4"/>
  <c r="G204" i="4"/>
  <c r="G203" i="4"/>
  <c r="G202" i="4"/>
  <c r="G201" i="4"/>
  <c r="G200" i="4"/>
  <c r="G199" i="4"/>
  <c r="G198" i="4"/>
  <c r="G197" i="4"/>
  <c r="G196" i="4"/>
  <c r="G195" i="4"/>
  <c r="G194" i="4"/>
  <c r="G193" i="4"/>
  <c r="G192" i="4"/>
  <c r="G191" i="4"/>
  <c r="G190" i="4"/>
  <c r="G189" i="4"/>
  <c r="G188" i="4"/>
  <c r="G187" i="4"/>
  <c r="G186" i="4"/>
  <c r="G185" i="4"/>
  <c r="G184" i="4"/>
  <c r="G183" i="4"/>
  <c r="G182" i="4"/>
  <c r="G181" i="4"/>
  <c r="G180" i="4"/>
  <c r="G179" i="4"/>
  <c r="G178" i="4"/>
  <c r="G177" i="4"/>
  <c r="G176" i="4"/>
  <c r="G175" i="4"/>
  <c r="G174" i="4"/>
  <c r="G173" i="4"/>
  <c r="G172" i="4"/>
  <c r="G171" i="4"/>
  <c r="G170" i="4"/>
  <c r="G169" i="4"/>
  <c r="G168" i="4"/>
  <c r="G167" i="4"/>
  <c r="G166" i="4"/>
  <c r="G165" i="4"/>
  <c r="G164" i="4"/>
  <c r="G163" i="4"/>
  <c r="G162" i="4"/>
  <c r="G161" i="4"/>
  <c r="G160" i="4"/>
  <c r="G159" i="4"/>
  <c r="G158" i="4"/>
  <c r="G157" i="4"/>
  <c r="G156" i="4"/>
  <c r="G155" i="4"/>
  <c r="G154" i="4"/>
  <c r="G153" i="4"/>
  <c r="G152" i="4"/>
  <c r="G151" i="4"/>
  <c r="G150" i="4"/>
  <c r="G149" i="4"/>
  <c r="G148" i="4"/>
  <c r="G147" i="4"/>
  <c r="G146" i="4"/>
  <c r="G145" i="4"/>
  <c r="G144" i="4"/>
  <c r="G143" i="4"/>
  <c r="G142" i="4"/>
  <c r="G141" i="4"/>
  <c r="G140" i="4"/>
  <c r="G139" i="4"/>
  <c r="G138" i="4"/>
  <c r="G137" i="4"/>
  <c r="G136" i="4"/>
  <c r="G135" i="4"/>
  <c r="G134" i="4"/>
  <c r="G133" i="4"/>
  <c r="G132" i="4"/>
  <c r="G131" i="4"/>
  <c r="G130" i="4"/>
  <c r="G129" i="4"/>
  <c r="G128" i="4"/>
  <c r="G127" i="4"/>
  <c r="G126" i="4"/>
  <c r="G125" i="4"/>
  <c r="G124" i="4"/>
  <c r="G123" i="4"/>
  <c r="G122" i="4"/>
  <c r="G121" i="4"/>
  <c r="G120" i="4"/>
  <c r="G119" i="4"/>
  <c r="G118" i="4"/>
  <c r="G117" i="4"/>
  <c r="G116" i="4"/>
  <c r="G115" i="4"/>
  <c r="G114" i="4"/>
  <c r="G113" i="4"/>
  <c r="G112" i="4"/>
  <c r="G111" i="4"/>
  <c r="G110" i="4"/>
  <c r="G109" i="4"/>
  <c r="G108" i="4"/>
  <c r="G107" i="4"/>
  <c r="G106" i="4"/>
  <c r="G105" i="4"/>
  <c r="G104" i="4"/>
  <c r="G103" i="4"/>
  <c r="G102" i="4"/>
  <c r="G101" i="4"/>
  <c r="G100" i="4"/>
  <c r="G99" i="4"/>
  <c r="G98" i="4"/>
  <c r="G97" i="4"/>
  <c r="G96" i="4"/>
  <c r="G95" i="4"/>
  <c r="G94" i="4"/>
  <c r="G93" i="4"/>
  <c r="G92" i="4"/>
  <c r="G91" i="4"/>
  <c r="G90" i="4"/>
  <c r="G89" i="4"/>
  <c r="G88" i="4"/>
  <c r="G87" i="4"/>
  <c r="G86" i="4"/>
  <c r="G85" i="4"/>
  <c r="G84" i="4"/>
  <c r="G83" i="4"/>
  <c r="G82" i="4"/>
  <c r="G81" i="4"/>
  <c r="G80" i="4"/>
  <c r="G79" i="4"/>
  <c r="G78" i="4"/>
  <c r="G77" i="4"/>
  <c r="G76" i="4"/>
  <c r="G75" i="4"/>
  <c r="G74" i="4"/>
  <c r="G73" i="4"/>
  <c r="G72" i="4"/>
  <c r="G71" i="4"/>
  <c r="G70" i="4"/>
  <c r="G69" i="4"/>
  <c r="G68" i="4"/>
  <c r="G67" i="4"/>
  <c r="G66" i="4"/>
  <c r="G65" i="4"/>
  <c r="G64" i="4"/>
  <c r="G63" i="4"/>
  <c r="G62" i="4"/>
  <c r="G61" i="4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4" i="4"/>
  <c r="G3" i="4"/>
  <c r="F421" i="4"/>
  <c r="F420" i="4"/>
  <c r="F419" i="4"/>
  <c r="F418" i="4"/>
  <c r="F417" i="4"/>
  <c r="F416" i="4"/>
  <c r="F415" i="4"/>
  <c r="F414" i="4"/>
  <c r="F413" i="4"/>
  <c r="F412" i="4"/>
  <c r="F411" i="4"/>
  <c r="F410" i="4"/>
  <c r="F409" i="4"/>
  <c r="F408" i="4"/>
  <c r="F407" i="4"/>
  <c r="F406" i="4"/>
  <c r="F405" i="4"/>
  <c r="F404" i="4"/>
  <c r="F403" i="4"/>
  <c r="F402" i="4"/>
  <c r="F401" i="4"/>
  <c r="F400" i="4"/>
  <c r="F399" i="4"/>
  <c r="F398" i="4"/>
  <c r="F397" i="4"/>
  <c r="F396" i="4"/>
  <c r="F395" i="4"/>
  <c r="F394" i="4"/>
  <c r="F393" i="4"/>
  <c r="F392" i="4"/>
  <c r="F391" i="4"/>
  <c r="F390" i="4"/>
  <c r="F389" i="4"/>
  <c r="F388" i="4"/>
  <c r="F387" i="4"/>
  <c r="F386" i="4"/>
  <c r="F385" i="4"/>
  <c r="F384" i="4"/>
  <c r="F383" i="4"/>
  <c r="F382" i="4"/>
  <c r="F381" i="4"/>
  <c r="F380" i="4"/>
  <c r="F379" i="4"/>
  <c r="F378" i="4"/>
  <c r="F377" i="4"/>
  <c r="F376" i="4"/>
  <c r="F375" i="4"/>
  <c r="F374" i="4"/>
  <c r="F373" i="4"/>
  <c r="F372" i="4"/>
  <c r="F371" i="4"/>
  <c r="F370" i="4"/>
  <c r="F369" i="4"/>
  <c r="F368" i="4"/>
  <c r="F367" i="4"/>
  <c r="F366" i="4"/>
  <c r="F365" i="4"/>
  <c r="F364" i="4"/>
  <c r="F363" i="4"/>
  <c r="F362" i="4"/>
  <c r="F361" i="4"/>
  <c r="F360" i="4"/>
  <c r="F359" i="4"/>
  <c r="F358" i="4"/>
  <c r="F357" i="4"/>
  <c r="F356" i="4"/>
  <c r="F355" i="4"/>
  <c r="F354" i="4"/>
  <c r="F353" i="4"/>
  <c r="F352" i="4"/>
  <c r="F351" i="4"/>
  <c r="F350" i="4"/>
  <c r="F349" i="4"/>
  <c r="F348" i="4"/>
  <c r="F347" i="4"/>
  <c r="F346" i="4"/>
  <c r="F345" i="4"/>
  <c r="F344" i="4"/>
  <c r="F343" i="4"/>
  <c r="F342" i="4"/>
  <c r="F341" i="4"/>
  <c r="F340" i="4"/>
  <c r="F339" i="4"/>
  <c r="F338" i="4"/>
  <c r="F337" i="4"/>
  <c r="F336" i="4"/>
  <c r="F335" i="4"/>
  <c r="F334" i="4"/>
  <c r="F333" i="4"/>
  <c r="F332" i="4"/>
  <c r="F331" i="4"/>
  <c r="F330" i="4"/>
  <c r="F329" i="4"/>
  <c r="F328" i="4"/>
  <c r="F327" i="4"/>
  <c r="F326" i="4"/>
  <c r="F325" i="4"/>
  <c r="F324" i="4"/>
  <c r="F323" i="4"/>
  <c r="F322" i="4"/>
  <c r="F321" i="4"/>
  <c r="F320" i="4"/>
  <c r="F319" i="4"/>
  <c r="F318" i="4"/>
  <c r="F317" i="4"/>
  <c r="F316" i="4"/>
  <c r="F315" i="4"/>
  <c r="F314" i="4"/>
  <c r="F313" i="4"/>
  <c r="F312" i="4"/>
  <c r="F311" i="4"/>
  <c r="F310" i="4"/>
  <c r="F309" i="4"/>
  <c r="F308" i="4"/>
  <c r="F307" i="4"/>
  <c r="F306" i="4"/>
  <c r="F305" i="4"/>
  <c r="F304" i="4"/>
  <c r="F303" i="4"/>
  <c r="F302" i="4"/>
  <c r="F301" i="4"/>
  <c r="F300" i="4"/>
  <c r="F299" i="4"/>
  <c r="F298" i="4"/>
  <c r="F297" i="4"/>
  <c r="F296" i="4"/>
  <c r="F295" i="4"/>
  <c r="F294" i="4"/>
  <c r="F293" i="4"/>
  <c r="F292" i="4"/>
  <c r="F291" i="4"/>
  <c r="F290" i="4"/>
  <c r="F289" i="4"/>
  <c r="F288" i="4"/>
  <c r="F287" i="4"/>
  <c r="F286" i="4"/>
  <c r="F285" i="4"/>
  <c r="F284" i="4"/>
  <c r="F283" i="4"/>
  <c r="F282" i="4"/>
  <c r="F281" i="4"/>
  <c r="F280" i="4"/>
  <c r="F279" i="4"/>
  <c r="F278" i="4"/>
  <c r="F277" i="4"/>
  <c r="F276" i="4"/>
  <c r="F275" i="4"/>
  <c r="F274" i="4"/>
  <c r="F273" i="4"/>
  <c r="F272" i="4"/>
  <c r="F271" i="4"/>
  <c r="F270" i="4"/>
  <c r="F269" i="4"/>
  <c r="F268" i="4"/>
  <c r="F267" i="4"/>
  <c r="F266" i="4"/>
  <c r="F265" i="4"/>
  <c r="F264" i="4"/>
  <c r="F263" i="4"/>
  <c r="F262" i="4"/>
  <c r="F261" i="4"/>
  <c r="F260" i="4"/>
  <c r="F259" i="4"/>
  <c r="F258" i="4"/>
  <c r="F257" i="4"/>
  <c r="F256" i="4"/>
  <c r="F255" i="4"/>
  <c r="F254" i="4"/>
  <c r="F253" i="4"/>
  <c r="F252" i="4"/>
  <c r="F251" i="4"/>
  <c r="F250" i="4"/>
  <c r="F249" i="4"/>
  <c r="F248" i="4"/>
  <c r="F247" i="4"/>
  <c r="F246" i="4"/>
  <c r="F245" i="4"/>
  <c r="F244" i="4"/>
  <c r="F243" i="4"/>
  <c r="F242" i="4"/>
  <c r="F241" i="4"/>
  <c r="F240" i="4"/>
  <c r="F239" i="4"/>
  <c r="F238" i="4"/>
  <c r="F237" i="4"/>
  <c r="F236" i="4"/>
  <c r="F235" i="4"/>
  <c r="F234" i="4"/>
  <c r="F233" i="4"/>
  <c r="F232" i="4"/>
  <c r="F231" i="4"/>
  <c r="F230" i="4"/>
  <c r="F229" i="4"/>
  <c r="F228" i="4"/>
  <c r="F227" i="4"/>
  <c r="F226" i="4"/>
  <c r="F225" i="4"/>
  <c r="F224" i="4"/>
  <c r="F223" i="4"/>
  <c r="F222" i="4"/>
  <c r="F221" i="4"/>
  <c r="F220" i="4"/>
  <c r="F219" i="4"/>
  <c r="F218" i="4"/>
  <c r="F217" i="4"/>
  <c r="F216" i="4"/>
  <c r="F215" i="4"/>
  <c r="F214" i="4"/>
  <c r="F213" i="4"/>
  <c r="F212" i="4"/>
  <c r="F211" i="4"/>
  <c r="F210" i="4"/>
  <c r="F209" i="4"/>
  <c r="F208" i="4"/>
  <c r="F207" i="4"/>
  <c r="F206" i="4"/>
  <c r="F205" i="4"/>
  <c r="F204" i="4"/>
  <c r="F203" i="4"/>
  <c r="F202" i="4"/>
  <c r="F201" i="4"/>
  <c r="F200" i="4"/>
  <c r="F199" i="4"/>
  <c r="F198" i="4"/>
  <c r="F197" i="4"/>
  <c r="F196" i="4"/>
  <c r="F195" i="4"/>
  <c r="F194" i="4"/>
  <c r="F193" i="4"/>
  <c r="F192" i="4"/>
  <c r="F191" i="4"/>
  <c r="F190" i="4"/>
  <c r="F189" i="4"/>
  <c r="F188" i="4"/>
  <c r="F187" i="4"/>
  <c r="F186" i="4"/>
  <c r="F185" i="4"/>
  <c r="F184" i="4"/>
  <c r="F183" i="4"/>
  <c r="F182" i="4"/>
  <c r="F181" i="4"/>
  <c r="F180" i="4"/>
  <c r="F179" i="4"/>
  <c r="F178" i="4"/>
  <c r="F177" i="4"/>
  <c r="F176" i="4"/>
  <c r="F175" i="4"/>
  <c r="F174" i="4"/>
  <c r="F173" i="4"/>
  <c r="F172" i="4"/>
  <c r="F171" i="4"/>
  <c r="F170" i="4"/>
  <c r="F169" i="4"/>
  <c r="F168" i="4"/>
  <c r="F167" i="4"/>
  <c r="F166" i="4"/>
  <c r="F165" i="4"/>
  <c r="F164" i="4"/>
  <c r="F163" i="4"/>
  <c r="F162" i="4"/>
  <c r="F161" i="4"/>
  <c r="F160" i="4"/>
  <c r="F159" i="4"/>
  <c r="F158" i="4"/>
  <c r="F157" i="4"/>
  <c r="F156" i="4"/>
  <c r="F155" i="4"/>
  <c r="F154" i="4"/>
  <c r="F153" i="4"/>
  <c r="F152" i="4"/>
  <c r="F151" i="4"/>
  <c r="F150" i="4"/>
  <c r="F149" i="4"/>
  <c r="F148" i="4"/>
  <c r="F147" i="4"/>
  <c r="F146" i="4"/>
  <c r="F145" i="4"/>
  <c r="F144" i="4"/>
  <c r="F143" i="4"/>
  <c r="F142" i="4"/>
  <c r="F141" i="4"/>
  <c r="F140" i="4"/>
  <c r="F139" i="4"/>
  <c r="F138" i="4"/>
  <c r="F137" i="4"/>
  <c r="F136" i="4"/>
  <c r="F135" i="4"/>
  <c r="F134" i="4"/>
  <c r="F133" i="4"/>
  <c r="F132" i="4"/>
  <c r="F131" i="4"/>
  <c r="F130" i="4"/>
  <c r="F129" i="4"/>
  <c r="F128" i="4"/>
  <c r="F127" i="4"/>
  <c r="F126" i="4"/>
  <c r="F125" i="4"/>
  <c r="F124" i="4"/>
  <c r="F123" i="4"/>
  <c r="F122" i="4"/>
  <c r="F121" i="4"/>
  <c r="F120" i="4"/>
  <c r="F119" i="4"/>
  <c r="F118" i="4"/>
  <c r="F117" i="4"/>
  <c r="F116" i="4"/>
  <c r="F115" i="4"/>
  <c r="F114" i="4"/>
  <c r="F113" i="4"/>
  <c r="F112" i="4"/>
  <c r="F111" i="4"/>
  <c r="F110" i="4"/>
  <c r="F109" i="4"/>
  <c r="F108" i="4"/>
  <c r="F107" i="4"/>
  <c r="F106" i="4"/>
  <c r="F105" i="4"/>
  <c r="F104" i="4"/>
  <c r="F103" i="4"/>
  <c r="F102" i="4"/>
  <c r="F101" i="4"/>
  <c r="F100" i="4"/>
  <c r="F99" i="4"/>
  <c r="F98" i="4"/>
  <c r="F97" i="4"/>
  <c r="F96" i="4"/>
  <c r="F95" i="4"/>
  <c r="F94" i="4"/>
  <c r="F93" i="4"/>
  <c r="F92" i="4"/>
  <c r="F91" i="4"/>
  <c r="F90" i="4"/>
  <c r="F89" i="4"/>
  <c r="F88" i="4"/>
  <c r="F87" i="4"/>
  <c r="F86" i="4"/>
  <c r="F85" i="4"/>
  <c r="F84" i="4"/>
  <c r="F83" i="4"/>
  <c r="F82" i="4"/>
  <c r="F81" i="4"/>
  <c r="F80" i="4"/>
  <c r="F79" i="4"/>
  <c r="F78" i="4"/>
  <c r="F77" i="4"/>
  <c r="F76" i="4"/>
  <c r="F75" i="4"/>
  <c r="F74" i="4"/>
  <c r="F73" i="4"/>
  <c r="F72" i="4"/>
  <c r="F71" i="4"/>
  <c r="F70" i="4"/>
  <c r="F69" i="4"/>
  <c r="F68" i="4"/>
  <c r="F67" i="4"/>
  <c r="F66" i="4"/>
  <c r="F65" i="4"/>
  <c r="F64" i="4"/>
  <c r="F63" i="4"/>
  <c r="F62" i="4"/>
  <c r="F61" i="4"/>
  <c r="F60" i="4"/>
  <c r="F59" i="4"/>
  <c r="F58" i="4"/>
  <c r="F57" i="4"/>
  <c r="F56" i="4"/>
  <c r="F55" i="4"/>
  <c r="F54" i="4"/>
  <c r="F53" i="4"/>
  <c r="F52" i="4"/>
  <c r="F51" i="4"/>
  <c r="F50" i="4"/>
  <c r="F49" i="4"/>
  <c r="F48" i="4"/>
  <c r="F47" i="4"/>
  <c r="F46" i="4"/>
  <c r="F45" i="4"/>
  <c r="F44" i="4"/>
  <c r="F43" i="4"/>
  <c r="F42" i="4"/>
  <c r="F41" i="4"/>
  <c r="F40" i="4"/>
  <c r="F39" i="4"/>
  <c r="F38" i="4"/>
  <c r="F37" i="4"/>
  <c r="F36" i="4"/>
  <c r="F35" i="4"/>
  <c r="F34" i="4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F4" i="4"/>
  <c r="F3" i="4"/>
  <c r="E421" i="4"/>
  <c r="E420" i="4"/>
  <c r="E419" i="4"/>
  <c r="E418" i="4"/>
  <c r="E417" i="4"/>
  <c r="E416" i="4"/>
  <c r="E415" i="4"/>
  <c r="E414" i="4"/>
  <c r="E413" i="4"/>
  <c r="E412" i="4"/>
  <c r="E411" i="4"/>
  <c r="E410" i="4"/>
  <c r="E409" i="4"/>
  <c r="E408" i="4"/>
  <c r="E407" i="4"/>
  <c r="E406" i="4"/>
  <c r="E405" i="4"/>
  <c r="E404" i="4"/>
  <c r="E403" i="4"/>
  <c r="E402" i="4"/>
  <c r="E401" i="4"/>
  <c r="E400" i="4"/>
  <c r="E399" i="4"/>
  <c r="E398" i="4"/>
  <c r="E397" i="4"/>
  <c r="E396" i="4"/>
  <c r="E395" i="4"/>
  <c r="E394" i="4"/>
  <c r="E393" i="4"/>
  <c r="E392" i="4"/>
  <c r="E391" i="4"/>
  <c r="E390" i="4"/>
  <c r="E389" i="4"/>
  <c r="E388" i="4"/>
  <c r="E387" i="4"/>
  <c r="E386" i="4"/>
  <c r="E385" i="4"/>
  <c r="E384" i="4"/>
  <c r="E383" i="4"/>
  <c r="E382" i="4"/>
  <c r="E381" i="4"/>
  <c r="E380" i="4"/>
  <c r="E379" i="4"/>
  <c r="E378" i="4"/>
  <c r="E377" i="4"/>
  <c r="E376" i="4"/>
  <c r="E375" i="4"/>
  <c r="E374" i="4"/>
  <c r="E373" i="4"/>
  <c r="E372" i="4"/>
  <c r="E371" i="4"/>
  <c r="E370" i="4"/>
  <c r="E369" i="4"/>
  <c r="E368" i="4"/>
  <c r="E367" i="4"/>
  <c r="E366" i="4"/>
  <c r="E365" i="4"/>
  <c r="E364" i="4"/>
  <c r="E363" i="4"/>
  <c r="E362" i="4"/>
  <c r="E361" i="4"/>
  <c r="E360" i="4"/>
  <c r="E359" i="4"/>
  <c r="E358" i="4"/>
  <c r="E357" i="4"/>
  <c r="E356" i="4"/>
  <c r="E355" i="4"/>
  <c r="E354" i="4"/>
  <c r="E353" i="4"/>
  <c r="E352" i="4"/>
  <c r="E351" i="4"/>
  <c r="E350" i="4"/>
  <c r="E349" i="4"/>
  <c r="E348" i="4"/>
  <c r="E347" i="4"/>
  <c r="E346" i="4"/>
  <c r="E345" i="4"/>
  <c r="E344" i="4"/>
  <c r="E343" i="4"/>
  <c r="E342" i="4"/>
  <c r="E341" i="4"/>
  <c r="E340" i="4"/>
  <c r="E339" i="4"/>
  <c r="E338" i="4"/>
  <c r="E337" i="4"/>
  <c r="E336" i="4"/>
  <c r="E335" i="4"/>
  <c r="E334" i="4"/>
  <c r="E333" i="4"/>
  <c r="E332" i="4"/>
  <c r="E331" i="4"/>
  <c r="E330" i="4"/>
  <c r="E329" i="4"/>
  <c r="E328" i="4"/>
  <c r="E327" i="4"/>
  <c r="E326" i="4"/>
  <c r="E325" i="4"/>
  <c r="E324" i="4"/>
  <c r="E323" i="4"/>
  <c r="E322" i="4"/>
  <c r="E321" i="4"/>
  <c r="E320" i="4"/>
  <c r="E319" i="4"/>
  <c r="E318" i="4"/>
  <c r="E317" i="4"/>
  <c r="E316" i="4"/>
  <c r="E315" i="4"/>
  <c r="E314" i="4"/>
  <c r="E313" i="4"/>
  <c r="E312" i="4"/>
  <c r="E311" i="4"/>
  <c r="E310" i="4"/>
  <c r="E309" i="4"/>
  <c r="E308" i="4"/>
  <c r="E307" i="4"/>
  <c r="E306" i="4"/>
  <c r="E305" i="4"/>
  <c r="E304" i="4"/>
  <c r="E303" i="4"/>
  <c r="E302" i="4"/>
  <c r="E301" i="4"/>
  <c r="E300" i="4"/>
  <c r="E299" i="4"/>
  <c r="E298" i="4"/>
  <c r="E297" i="4"/>
  <c r="E296" i="4"/>
  <c r="E295" i="4"/>
  <c r="E294" i="4"/>
  <c r="E293" i="4"/>
  <c r="E292" i="4"/>
  <c r="E291" i="4"/>
  <c r="E290" i="4"/>
  <c r="E289" i="4"/>
  <c r="E288" i="4"/>
  <c r="E287" i="4"/>
  <c r="E286" i="4"/>
  <c r="E285" i="4"/>
  <c r="E284" i="4"/>
  <c r="E283" i="4"/>
  <c r="E282" i="4"/>
  <c r="E281" i="4"/>
  <c r="E280" i="4"/>
  <c r="E279" i="4"/>
  <c r="E278" i="4"/>
  <c r="E277" i="4"/>
  <c r="E276" i="4"/>
  <c r="E275" i="4"/>
  <c r="E274" i="4"/>
  <c r="E273" i="4"/>
  <c r="E272" i="4"/>
  <c r="E271" i="4"/>
  <c r="E270" i="4"/>
  <c r="E269" i="4"/>
  <c r="E268" i="4"/>
  <c r="E267" i="4"/>
  <c r="E266" i="4"/>
  <c r="E265" i="4"/>
  <c r="E264" i="4"/>
  <c r="E263" i="4"/>
  <c r="E262" i="4"/>
  <c r="E261" i="4"/>
  <c r="E260" i="4"/>
  <c r="E259" i="4"/>
  <c r="E258" i="4"/>
  <c r="E257" i="4"/>
  <c r="E256" i="4"/>
  <c r="E255" i="4"/>
  <c r="E254" i="4"/>
  <c r="E253" i="4"/>
  <c r="E252" i="4"/>
  <c r="E251" i="4"/>
  <c r="E250" i="4"/>
  <c r="E249" i="4"/>
  <c r="E248" i="4"/>
  <c r="E247" i="4"/>
  <c r="E246" i="4"/>
  <c r="E245" i="4"/>
  <c r="E244" i="4"/>
  <c r="E243" i="4"/>
  <c r="E242" i="4"/>
  <c r="E241" i="4"/>
  <c r="E240" i="4"/>
  <c r="E239" i="4"/>
  <c r="E238" i="4"/>
  <c r="E237" i="4"/>
  <c r="E236" i="4"/>
  <c r="E235" i="4"/>
  <c r="E234" i="4"/>
  <c r="E233" i="4"/>
  <c r="E232" i="4"/>
  <c r="E231" i="4"/>
  <c r="E230" i="4"/>
  <c r="E229" i="4"/>
  <c r="E228" i="4"/>
  <c r="E227" i="4"/>
  <c r="E226" i="4"/>
  <c r="E225" i="4"/>
  <c r="E224" i="4"/>
  <c r="E223" i="4"/>
  <c r="E222" i="4"/>
  <c r="E221" i="4"/>
  <c r="E220" i="4"/>
  <c r="E219" i="4"/>
  <c r="E218" i="4"/>
  <c r="E217" i="4"/>
  <c r="E216" i="4"/>
  <c r="E215" i="4"/>
  <c r="E214" i="4"/>
  <c r="E213" i="4"/>
  <c r="E212" i="4"/>
  <c r="E211" i="4"/>
  <c r="E210" i="4"/>
  <c r="E209" i="4"/>
  <c r="E208" i="4"/>
  <c r="E207" i="4"/>
  <c r="E206" i="4"/>
  <c r="E205" i="4"/>
  <c r="E204" i="4"/>
  <c r="E203" i="4"/>
  <c r="E202" i="4"/>
  <c r="E201" i="4"/>
  <c r="E200" i="4"/>
  <c r="E199" i="4"/>
  <c r="E198" i="4"/>
  <c r="E197" i="4"/>
  <c r="E196" i="4"/>
  <c r="E195" i="4"/>
  <c r="E194" i="4"/>
  <c r="E193" i="4"/>
  <c r="E192" i="4"/>
  <c r="E191" i="4"/>
  <c r="E190" i="4"/>
  <c r="E189" i="4"/>
  <c r="E188" i="4"/>
  <c r="E187" i="4"/>
  <c r="E186" i="4"/>
  <c r="E185" i="4"/>
  <c r="E184" i="4"/>
  <c r="E183" i="4"/>
  <c r="E182" i="4"/>
  <c r="E181" i="4"/>
  <c r="E180" i="4"/>
  <c r="E179" i="4"/>
  <c r="E178" i="4"/>
  <c r="E177" i="4"/>
  <c r="E176" i="4"/>
  <c r="E175" i="4"/>
  <c r="E174" i="4"/>
  <c r="E173" i="4"/>
  <c r="E172" i="4"/>
  <c r="E171" i="4"/>
  <c r="E170" i="4"/>
  <c r="E169" i="4"/>
  <c r="E168" i="4"/>
  <c r="E167" i="4"/>
  <c r="E166" i="4"/>
  <c r="E165" i="4"/>
  <c r="E164" i="4"/>
  <c r="E163" i="4"/>
  <c r="E162" i="4"/>
  <c r="E161" i="4"/>
  <c r="E160" i="4"/>
  <c r="E159" i="4"/>
  <c r="E158" i="4"/>
  <c r="E157" i="4"/>
  <c r="E156" i="4"/>
  <c r="E155" i="4"/>
  <c r="E154" i="4"/>
  <c r="E153" i="4"/>
  <c r="E152" i="4"/>
  <c r="E151" i="4"/>
  <c r="E150" i="4"/>
  <c r="E149" i="4"/>
  <c r="E148" i="4"/>
  <c r="E147" i="4"/>
  <c r="E146" i="4"/>
  <c r="E145" i="4"/>
  <c r="E144" i="4"/>
  <c r="E143" i="4"/>
  <c r="E142" i="4"/>
  <c r="E141" i="4"/>
  <c r="E140" i="4"/>
  <c r="E139" i="4"/>
  <c r="E138" i="4"/>
  <c r="E137" i="4"/>
  <c r="E136" i="4"/>
  <c r="E135" i="4"/>
  <c r="E134" i="4"/>
  <c r="E133" i="4"/>
  <c r="E132" i="4"/>
  <c r="E131" i="4"/>
  <c r="E130" i="4"/>
  <c r="E129" i="4"/>
  <c r="E128" i="4"/>
  <c r="E127" i="4"/>
  <c r="E126" i="4"/>
  <c r="E125" i="4"/>
  <c r="E124" i="4"/>
  <c r="E123" i="4"/>
  <c r="E122" i="4"/>
  <c r="E121" i="4"/>
  <c r="E120" i="4"/>
  <c r="E119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8" i="4"/>
  <c r="E67" i="4"/>
  <c r="E66" i="4"/>
  <c r="E65" i="4"/>
  <c r="E64" i="4"/>
  <c r="E63" i="4"/>
  <c r="E62" i="4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3" i="4"/>
  <c r="D421" i="4"/>
  <c r="D420" i="4"/>
  <c r="D419" i="4"/>
  <c r="D418" i="4"/>
  <c r="D417" i="4"/>
  <c r="D416" i="4"/>
  <c r="D415" i="4"/>
  <c r="D414" i="4"/>
  <c r="D413" i="4"/>
  <c r="D412" i="4"/>
  <c r="D411" i="4"/>
  <c r="D410" i="4"/>
  <c r="D409" i="4"/>
  <c r="D408" i="4"/>
  <c r="D407" i="4"/>
  <c r="D406" i="4"/>
  <c r="D405" i="4"/>
  <c r="D404" i="4"/>
  <c r="D403" i="4"/>
  <c r="D402" i="4"/>
  <c r="D401" i="4"/>
  <c r="D400" i="4"/>
  <c r="D399" i="4"/>
  <c r="D398" i="4"/>
  <c r="D397" i="4"/>
  <c r="D396" i="4"/>
  <c r="D395" i="4"/>
  <c r="D394" i="4"/>
  <c r="D393" i="4"/>
  <c r="D392" i="4"/>
  <c r="D391" i="4"/>
  <c r="D390" i="4"/>
  <c r="D389" i="4"/>
  <c r="D388" i="4"/>
  <c r="D387" i="4"/>
  <c r="D386" i="4"/>
  <c r="D385" i="4"/>
  <c r="D384" i="4"/>
  <c r="D383" i="4"/>
  <c r="D382" i="4"/>
  <c r="D381" i="4"/>
  <c r="D380" i="4"/>
  <c r="D379" i="4"/>
  <c r="D378" i="4"/>
  <c r="D377" i="4"/>
  <c r="D376" i="4"/>
  <c r="D375" i="4"/>
  <c r="D374" i="4"/>
  <c r="D373" i="4"/>
  <c r="D372" i="4"/>
  <c r="D371" i="4"/>
  <c r="D370" i="4"/>
  <c r="D369" i="4"/>
  <c r="D368" i="4"/>
  <c r="D367" i="4"/>
  <c r="D366" i="4"/>
  <c r="D365" i="4"/>
  <c r="D364" i="4"/>
  <c r="D363" i="4"/>
  <c r="D362" i="4"/>
  <c r="D361" i="4"/>
  <c r="D360" i="4"/>
  <c r="D359" i="4"/>
  <c r="D358" i="4"/>
  <c r="D357" i="4"/>
  <c r="D356" i="4"/>
  <c r="D355" i="4"/>
  <c r="D354" i="4"/>
  <c r="D353" i="4"/>
  <c r="D352" i="4"/>
  <c r="D351" i="4"/>
  <c r="D350" i="4"/>
  <c r="D349" i="4"/>
  <c r="D348" i="4"/>
  <c r="D347" i="4"/>
  <c r="D346" i="4"/>
  <c r="D345" i="4"/>
  <c r="D344" i="4"/>
  <c r="D343" i="4"/>
  <c r="D342" i="4"/>
  <c r="D341" i="4"/>
  <c r="D340" i="4"/>
  <c r="D339" i="4"/>
  <c r="D338" i="4"/>
  <c r="D337" i="4"/>
  <c r="D336" i="4"/>
  <c r="D335" i="4"/>
  <c r="D334" i="4"/>
  <c r="D333" i="4"/>
  <c r="D332" i="4"/>
  <c r="D331" i="4"/>
  <c r="D330" i="4"/>
  <c r="D329" i="4"/>
  <c r="D328" i="4"/>
  <c r="D327" i="4"/>
  <c r="D326" i="4"/>
  <c r="D325" i="4"/>
  <c r="D324" i="4"/>
  <c r="D323" i="4"/>
  <c r="D322" i="4"/>
  <c r="D321" i="4"/>
  <c r="D320" i="4"/>
  <c r="D319" i="4"/>
  <c r="D318" i="4"/>
  <c r="D317" i="4"/>
  <c r="D316" i="4"/>
  <c r="D315" i="4"/>
  <c r="D314" i="4"/>
  <c r="D313" i="4"/>
  <c r="D312" i="4"/>
  <c r="D311" i="4"/>
  <c r="D310" i="4"/>
  <c r="D309" i="4"/>
  <c r="D308" i="4"/>
  <c r="D307" i="4"/>
  <c r="D306" i="4"/>
  <c r="D305" i="4"/>
  <c r="D304" i="4"/>
  <c r="D303" i="4"/>
  <c r="D302" i="4"/>
  <c r="D301" i="4"/>
  <c r="D300" i="4"/>
  <c r="D299" i="4"/>
  <c r="D298" i="4"/>
  <c r="D297" i="4"/>
  <c r="D296" i="4"/>
  <c r="D295" i="4"/>
  <c r="D294" i="4"/>
  <c r="D293" i="4"/>
  <c r="D292" i="4"/>
  <c r="D291" i="4"/>
  <c r="D290" i="4"/>
  <c r="D289" i="4"/>
  <c r="D288" i="4"/>
  <c r="D287" i="4"/>
  <c r="D286" i="4"/>
  <c r="D285" i="4"/>
  <c r="D284" i="4"/>
  <c r="D283" i="4"/>
  <c r="D282" i="4"/>
  <c r="D281" i="4"/>
  <c r="D280" i="4"/>
  <c r="D279" i="4"/>
  <c r="D278" i="4"/>
  <c r="D277" i="4"/>
  <c r="D276" i="4"/>
  <c r="D275" i="4"/>
  <c r="D274" i="4"/>
  <c r="D273" i="4"/>
  <c r="D272" i="4"/>
  <c r="D271" i="4"/>
  <c r="D270" i="4"/>
  <c r="D269" i="4"/>
  <c r="D268" i="4"/>
  <c r="D267" i="4"/>
  <c r="D266" i="4"/>
  <c r="D265" i="4"/>
  <c r="D264" i="4"/>
  <c r="D263" i="4"/>
  <c r="D262" i="4"/>
  <c r="D261" i="4"/>
  <c r="D260" i="4"/>
  <c r="D259" i="4"/>
  <c r="D258" i="4"/>
  <c r="D257" i="4"/>
  <c r="D256" i="4"/>
  <c r="D255" i="4"/>
  <c r="D254" i="4"/>
  <c r="D253" i="4"/>
  <c r="D252" i="4"/>
  <c r="D251" i="4"/>
  <c r="D250" i="4"/>
  <c r="D249" i="4"/>
  <c r="D248" i="4"/>
  <c r="D247" i="4"/>
  <c r="D246" i="4"/>
  <c r="D245" i="4"/>
  <c r="D244" i="4"/>
  <c r="D243" i="4"/>
  <c r="D242" i="4"/>
  <c r="D241" i="4"/>
  <c r="D240" i="4"/>
  <c r="D239" i="4"/>
  <c r="D238" i="4"/>
  <c r="D237" i="4"/>
  <c r="D236" i="4"/>
  <c r="D235" i="4"/>
  <c r="D234" i="4"/>
  <c r="D233" i="4"/>
  <c r="D232" i="4"/>
  <c r="D231" i="4"/>
  <c r="D230" i="4"/>
  <c r="D229" i="4"/>
  <c r="D228" i="4"/>
  <c r="D227" i="4"/>
  <c r="D226" i="4"/>
  <c r="D225" i="4"/>
  <c r="D224" i="4"/>
  <c r="D223" i="4"/>
  <c r="D222" i="4"/>
  <c r="D221" i="4"/>
  <c r="D220" i="4"/>
  <c r="D219" i="4"/>
  <c r="D218" i="4"/>
  <c r="D217" i="4"/>
  <c r="D216" i="4"/>
  <c r="D215" i="4"/>
  <c r="D214" i="4"/>
  <c r="D213" i="4"/>
  <c r="D212" i="4"/>
  <c r="D211" i="4"/>
  <c r="D210" i="4"/>
  <c r="D209" i="4"/>
  <c r="D208" i="4"/>
  <c r="D207" i="4"/>
  <c r="D206" i="4"/>
  <c r="D205" i="4"/>
  <c r="D204" i="4"/>
  <c r="D203" i="4"/>
  <c r="D202" i="4"/>
  <c r="D201" i="4"/>
  <c r="D200" i="4"/>
  <c r="D199" i="4"/>
  <c r="D198" i="4"/>
  <c r="D197" i="4"/>
  <c r="D196" i="4"/>
  <c r="D195" i="4"/>
  <c r="D194" i="4"/>
  <c r="D193" i="4"/>
  <c r="D192" i="4"/>
  <c r="D191" i="4"/>
  <c r="D190" i="4"/>
  <c r="D189" i="4"/>
  <c r="D188" i="4"/>
  <c r="D187" i="4"/>
  <c r="D186" i="4"/>
  <c r="D185" i="4"/>
  <c r="D184" i="4"/>
  <c r="D183" i="4"/>
  <c r="D182" i="4"/>
  <c r="D181" i="4"/>
  <c r="D180" i="4"/>
  <c r="D179" i="4"/>
  <c r="D178" i="4"/>
  <c r="D177" i="4"/>
  <c r="D176" i="4"/>
  <c r="D175" i="4"/>
  <c r="D174" i="4"/>
  <c r="D173" i="4"/>
  <c r="D172" i="4"/>
  <c r="D171" i="4"/>
  <c r="D170" i="4"/>
  <c r="D169" i="4"/>
  <c r="D168" i="4"/>
  <c r="D167" i="4"/>
  <c r="D166" i="4"/>
  <c r="D165" i="4"/>
  <c r="D164" i="4"/>
  <c r="D163" i="4"/>
  <c r="D162" i="4"/>
  <c r="D161" i="4"/>
  <c r="D160" i="4"/>
  <c r="D159" i="4"/>
  <c r="D158" i="4"/>
  <c r="D157" i="4"/>
  <c r="D156" i="4"/>
  <c r="D155" i="4"/>
  <c r="D154" i="4"/>
  <c r="D153" i="4"/>
  <c r="D152" i="4"/>
  <c r="D151" i="4"/>
  <c r="D150" i="4"/>
  <c r="D149" i="4"/>
  <c r="D148" i="4"/>
  <c r="D147" i="4"/>
  <c r="D146" i="4"/>
  <c r="D145" i="4"/>
  <c r="D144" i="4"/>
  <c r="D143" i="4"/>
  <c r="D142" i="4"/>
  <c r="D141" i="4"/>
  <c r="D140" i="4"/>
  <c r="D139" i="4"/>
  <c r="D138" i="4"/>
  <c r="D137" i="4"/>
  <c r="D136" i="4"/>
  <c r="D135" i="4"/>
  <c r="D134" i="4"/>
  <c r="D133" i="4"/>
  <c r="D132" i="4"/>
  <c r="D131" i="4"/>
  <c r="D130" i="4"/>
  <c r="D129" i="4"/>
  <c r="D128" i="4"/>
  <c r="D127" i="4"/>
  <c r="D126" i="4"/>
  <c r="D125" i="4"/>
  <c r="D124" i="4"/>
  <c r="D123" i="4"/>
  <c r="D122" i="4"/>
  <c r="D121" i="4"/>
  <c r="D120" i="4"/>
  <c r="D119" i="4"/>
  <c r="D118" i="4"/>
  <c r="D117" i="4"/>
  <c r="D116" i="4"/>
  <c r="D115" i="4"/>
  <c r="D114" i="4"/>
  <c r="D113" i="4"/>
  <c r="D112" i="4"/>
  <c r="D111" i="4"/>
  <c r="D110" i="4"/>
  <c r="D109" i="4"/>
  <c r="D108" i="4"/>
  <c r="D107" i="4"/>
  <c r="D106" i="4"/>
  <c r="D105" i="4"/>
  <c r="D104" i="4"/>
  <c r="D103" i="4"/>
  <c r="D102" i="4"/>
  <c r="D101" i="4"/>
  <c r="D100" i="4"/>
  <c r="D99" i="4"/>
  <c r="D98" i="4"/>
  <c r="D97" i="4"/>
  <c r="D96" i="4"/>
  <c r="D95" i="4"/>
  <c r="D94" i="4"/>
  <c r="D93" i="4"/>
  <c r="D92" i="4"/>
  <c r="D91" i="4"/>
  <c r="D90" i="4"/>
  <c r="D89" i="4"/>
  <c r="D88" i="4"/>
  <c r="D87" i="4"/>
  <c r="D86" i="4"/>
  <c r="D85" i="4"/>
  <c r="D84" i="4"/>
  <c r="D83" i="4"/>
  <c r="D82" i="4"/>
  <c r="D81" i="4"/>
  <c r="D80" i="4"/>
  <c r="D79" i="4"/>
  <c r="D78" i="4"/>
  <c r="D77" i="4"/>
  <c r="D76" i="4"/>
  <c r="D75" i="4"/>
  <c r="D74" i="4"/>
  <c r="D73" i="4"/>
  <c r="D72" i="4"/>
  <c r="D71" i="4"/>
  <c r="D70" i="4"/>
  <c r="D69" i="4"/>
  <c r="D68" i="4"/>
  <c r="D67" i="4"/>
  <c r="D66" i="4"/>
  <c r="D65" i="4"/>
  <c r="D64" i="4"/>
  <c r="D63" i="4"/>
  <c r="D62" i="4"/>
  <c r="D61" i="4"/>
  <c r="D60" i="4"/>
  <c r="D59" i="4"/>
  <c r="D58" i="4"/>
  <c r="D57" i="4"/>
  <c r="D56" i="4"/>
  <c r="D55" i="4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D3" i="4"/>
  <c r="C421" i="4"/>
  <c r="C420" i="4"/>
  <c r="C419" i="4"/>
  <c r="C418" i="4"/>
  <c r="C417" i="4"/>
  <c r="C416" i="4"/>
  <c r="C415" i="4"/>
  <c r="C414" i="4"/>
  <c r="C413" i="4"/>
  <c r="C412" i="4"/>
  <c r="C411" i="4"/>
  <c r="C410" i="4"/>
  <c r="C409" i="4"/>
  <c r="C408" i="4"/>
  <c r="C407" i="4"/>
  <c r="C406" i="4"/>
  <c r="C405" i="4"/>
  <c r="C404" i="4"/>
  <c r="C403" i="4"/>
  <c r="C402" i="4"/>
  <c r="C401" i="4"/>
  <c r="C400" i="4"/>
  <c r="C399" i="4"/>
  <c r="C398" i="4"/>
  <c r="C397" i="4"/>
  <c r="C396" i="4"/>
  <c r="C395" i="4"/>
  <c r="C394" i="4"/>
  <c r="C393" i="4"/>
  <c r="C392" i="4"/>
  <c r="C391" i="4"/>
  <c r="C390" i="4"/>
  <c r="C389" i="4"/>
  <c r="C388" i="4"/>
  <c r="C387" i="4"/>
  <c r="C386" i="4"/>
  <c r="C385" i="4"/>
  <c r="C384" i="4"/>
  <c r="C383" i="4"/>
  <c r="C382" i="4"/>
  <c r="C381" i="4"/>
  <c r="C380" i="4"/>
  <c r="C379" i="4"/>
  <c r="C378" i="4"/>
  <c r="C377" i="4"/>
  <c r="C376" i="4"/>
  <c r="C375" i="4"/>
  <c r="C374" i="4"/>
  <c r="C373" i="4"/>
  <c r="C372" i="4"/>
  <c r="C371" i="4"/>
  <c r="C370" i="4"/>
  <c r="C369" i="4"/>
  <c r="C368" i="4"/>
  <c r="C367" i="4"/>
  <c r="C366" i="4"/>
  <c r="C365" i="4"/>
  <c r="C364" i="4"/>
  <c r="C363" i="4"/>
  <c r="C362" i="4"/>
  <c r="C361" i="4"/>
  <c r="C360" i="4"/>
  <c r="C359" i="4"/>
  <c r="C358" i="4"/>
  <c r="C357" i="4"/>
  <c r="C356" i="4"/>
  <c r="C355" i="4"/>
  <c r="C354" i="4"/>
  <c r="C353" i="4"/>
  <c r="C352" i="4"/>
  <c r="C351" i="4"/>
  <c r="C350" i="4"/>
  <c r="C349" i="4"/>
  <c r="C348" i="4"/>
  <c r="C347" i="4"/>
  <c r="C346" i="4"/>
  <c r="C345" i="4"/>
  <c r="C344" i="4"/>
  <c r="C343" i="4"/>
  <c r="C342" i="4"/>
  <c r="C341" i="4"/>
  <c r="C340" i="4"/>
  <c r="C339" i="4"/>
  <c r="C338" i="4"/>
  <c r="C337" i="4"/>
  <c r="C336" i="4"/>
  <c r="C335" i="4"/>
  <c r="C334" i="4"/>
  <c r="C333" i="4"/>
  <c r="C332" i="4"/>
  <c r="C331" i="4"/>
  <c r="C330" i="4"/>
  <c r="C329" i="4"/>
  <c r="C328" i="4"/>
  <c r="C327" i="4"/>
  <c r="C326" i="4"/>
  <c r="C325" i="4"/>
  <c r="C324" i="4"/>
  <c r="C323" i="4"/>
  <c r="C322" i="4"/>
  <c r="C321" i="4"/>
  <c r="C320" i="4"/>
  <c r="C319" i="4"/>
  <c r="C318" i="4"/>
  <c r="C317" i="4"/>
  <c r="C316" i="4"/>
  <c r="C315" i="4"/>
  <c r="C314" i="4"/>
  <c r="C313" i="4"/>
  <c r="C312" i="4"/>
  <c r="C311" i="4"/>
  <c r="C310" i="4"/>
  <c r="C309" i="4"/>
  <c r="C308" i="4"/>
  <c r="C307" i="4"/>
  <c r="C306" i="4"/>
  <c r="C305" i="4"/>
  <c r="C304" i="4"/>
  <c r="C303" i="4"/>
  <c r="C302" i="4"/>
  <c r="C301" i="4"/>
  <c r="C300" i="4"/>
  <c r="C299" i="4"/>
  <c r="C298" i="4"/>
  <c r="C297" i="4"/>
  <c r="C296" i="4"/>
  <c r="C295" i="4"/>
  <c r="C294" i="4"/>
  <c r="C293" i="4"/>
  <c r="C292" i="4"/>
  <c r="C291" i="4"/>
  <c r="C290" i="4"/>
  <c r="C289" i="4"/>
  <c r="C288" i="4"/>
  <c r="C287" i="4"/>
  <c r="C286" i="4"/>
  <c r="C285" i="4"/>
  <c r="C284" i="4"/>
  <c r="C283" i="4"/>
  <c r="C282" i="4"/>
  <c r="C281" i="4"/>
  <c r="C280" i="4"/>
  <c r="C279" i="4"/>
  <c r="C278" i="4"/>
  <c r="C277" i="4"/>
  <c r="C276" i="4"/>
  <c r="C275" i="4"/>
  <c r="C274" i="4"/>
  <c r="C273" i="4"/>
  <c r="C272" i="4"/>
  <c r="C271" i="4"/>
  <c r="C270" i="4"/>
  <c r="C269" i="4"/>
  <c r="C268" i="4"/>
  <c r="C267" i="4"/>
  <c r="C266" i="4"/>
  <c r="C265" i="4"/>
  <c r="C264" i="4"/>
  <c r="C263" i="4"/>
  <c r="C262" i="4"/>
  <c r="C261" i="4"/>
  <c r="C260" i="4"/>
  <c r="C259" i="4"/>
  <c r="C258" i="4"/>
  <c r="C257" i="4"/>
  <c r="C256" i="4"/>
  <c r="C255" i="4"/>
  <c r="C254" i="4"/>
  <c r="C253" i="4"/>
  <c r="C252" i="4"/>
  <c r="C251" i="4"/>
  <c r="C250" i="4"/>
  <c r="C249" i="4"/>
  <c r="C248" i="4"/>
  <c r="C247" i="4"/>
  <c r="C246" i="4"/>
  <c r="C245" i="4"/>
  <c r="C244" i="4"/>
  <c r="C243" i="4"/>
  <c r="C242" i="4"/>
  <c r="C241" i="4"/>
  <c r="C240" i="4"/>
  <c r="C239" i="4"/>
  <c r="C238" i="4"/>
  <c r="C237" i="4"/>
  <c r="C236" i="4"/>
  <c r="C235" i="4"/>
  <c r="C234" i="4"/>
  <c r="C233" i="4"/>
  <c r="C232" i="4"/>
  <c r="C231" i="4"/>
  <c r="C230" i="4"/>
  <c r="C229" i="4"/>
  <c r="C228" i="4"/>
  <c r="C227" i="4"/>
  <c r="C226" i="4"/>
  <c r="C225" i="4"/>
  <c r="C224" i="4"/>
  <c r="C223" i="4"/>
  <c r="C222" i="4"/>
  <c r="C221" i="4"/>
  <c r="C220" i="4"/>
  <c r="C219" i="4"/>
  <c r="C218" i="4"/>
  <c r="C217" i="4"/>
  <c r="C216" i="4"/>
  <c r="C215" i="4"/>
  <c r="C214" i="4"/>
  <c r="C213" i="4"/>
  <c r="C212" i="4"/>
  <c r="C211" i="4"/>
  <c r="C210" i="4"/>
  <c r="C209" i="4"/>
  <c r="C208" i="4"/>
  <c r="C207" i="4"/>
  <c r="C206" i="4"/>
  <c r="C205" i="4"/>
  <c r="C204" i="4"/>
  <c r="C203" i="4"/>
  <c r="C202" i="4"/>
  <c r="C201" i="4"/>
  <c r="C200" i="4"/>
  <c r="C199" i="4"/>
  <c r="C198" i="4"/>
  <c r="C197" i="4"/>
  <c r="C196" i="4"/>
  <c r="C195" i="4"/>
  <c r="C194" i="4"/>
  <c r="C193" i="4"/>
  <c r="C192" i="4"/>
  <c r="C191" i="4"/>
  <c r="C190" i="4"/>
  <c r="C189" i="4"/>
  <c r="C188" i="4"/>
  <c r="C187" i="4"/>
  <c r="C186" i="4"/>
  <c r="C185" i="4"/>
  <c r="C184" i="4"/>
  <c r="C183" i="4"/>
  <c r="C182" i="4"/>
  <c r="C181" i="4"/>
  <c r="C180" i="4"/>
  <c r="C179" i="4"/>
  <c r="C178" i="4"/>
  <c r="C177" i="4"/>
  <c r="C176" i="4"/>
  <c r="C175" i="4"/>
  <c r="C174" i="4"/>
  <c r="C173" i="4"/>
  <c r="C172" i="4"/>
  <c r="C171" i="4"/>
  <c r="C170" i="4"/>
  <c r="C169" i="4"/>
  <c r="C168" i="4"/>
  <c r="C167" i="4"/>
  <c r="C166" i="4"/>
  <c r="C165" i="4"/>
  <c r="C164" i="4"/>
  <c r="C163" i="4"/>
  <c r="C162" i="4"/>
  <c r="C161" i="4"/>
  <c r="C160" i="4"/>
  <c r="C159" i="4"/>
  <c r="C158" i="4"/>
  <c r="C157" i="4"/>
  <c r="C156" i="4"/>
  <c r="C155" i="4"/>
  <c r="C154" i="4"/>
  <c r="C153" i="4"/>
  <c r="C152" i="4"/>
  <c r="C151" i="4"/>
  <c r="C150" i="4"/>
  <c r="C149" i="4"/>
  <c r="C148" i="4"/>
  <c r="C147" i="4"/>
  <c r="C146" i="4"/>
  <c r="C145" i="4"/>
  <c r="C144" i="4"/>
  <c r="C143" i="4"/>
  <c r="C142" i="4"/>
  <c r="C141" i="4"/>
  <c r="C140" i="4"/>
  <c r="C139" i="4"/>
  <c r="C138" i="4"/>
  <c r="C137" i="4"/>
  <c r="C136" i="4"/>
  <c r="C135" i="4"/>
  <c r="C134" i="4"/>
  <c r="C133" i="4"/>
  <c r="C132" i="4"/>
  <c r="C131" i="4"/>
  <c r="C130" i="4"/>
  <c r="C129" i="4"/>
  <c r="C128" i="4"/>
  <c r="C127" i="4"/>
  <c r="C126" i="4"/>
  <c r="C125" i="4"/>
  <c r="C124" i="4"/>
  <c r="C123" i="4"/>
  <c r="C122" i="4"/>
  <c r="C121" i="4"/>
  <c r="C120" i="4"/>
  <c r="C119" i="4"/>
  <c r="C118" i="4"/>
  <c r="C117" i="4"/>
  <c r="C116" i="4"/>
  <c r="C115" i="4"/>
  <c r="C114" i="4"/>
  <c r="C113" i="4"/>
  <c r="C112" i="4"/>
  <c r="C111" i="4"/>
  <c r="C110" i="4"/>
  <c r="C109" i="4"/>
  <c r="C108" i="4"/>
  <c r="C107" i="4"/>
  <c r="C106" i="4"/>
  <c r="C105" i="4"/>
  <c r="C104" i="4"/>
  <c r="C103" i="4"/>
  <c r="C102" i="4"/>
  <c r="C101" i="4"/>
  <c r="C100" i="4"/>
  <c r="C99" i="4"/>
  <c r="C98" i="4"/>
  <c r="C97" i="4"/>
  <c r="C96" i="4"/>
  <c r="C95" i="4"/>
  <c r="C94" i="4"/>
  <c r="C93" i="4"/>
  <c r="C92" i="4"/>
  <c r="C91" i="4"/>
  <c r="C90" i="4"/>
  <c r="C89" i="4"/>
  <c r="C88" i="4"/>
  <c r="C87" i="4"/>
  <c r="C86" i="4"/>
  <c r="C85" i="4"/>
  <c r="C84" i="4"/>
  <c r="C83" i="4"/>
  <c r="C82" i="4"/>
  <c r="C81" i="4"/>
  <c r="C80" i="4"/>
  <c r="C79" i="4"/>
  <c r="C78" i="4"/>
  <c r="C77" i="4"/>
  <c r="C76" i="4"/>
  <c r="C75" i="4"/>
  <c r="C74" i="4"/>
  <c r="C73" i="4"/>
  <c r="C72" i="4"/>
  <c r="C71" i="4"/>
  <c r="C70" i="4"/>
  <c r="C69" i="4"/>
  <c r="C68" i="4"/>
  <c r="C67" i="4"/>
  <c r="C66" i="4"/>
  <c r="C65" i="4"/>
  <c r="C64" i="4"/>
  <c r="C63" i="4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5" i="4"/>
  <c r="C4" i="4"/>
  <c r="C3" i="4"/>
  <c r="C6" i="4"/>
  <c r="D2" i="4" l="1"/>
  <c r="G13" i="15" s="1"/>
  <c r="E2" i="4"/>
  <c r="G12" i="15" s="1"/>
  <c r="G2" i="4"/>
  <c r="G11" i="15" s="1"/>
  <c r="H2" i="4"/>
  <c r="G4" i="15" s="1"/>
  <c r="C2" i="4"/>
  <c r="G8" i="15" s="1"/>
  <c r="F2" i="4"/>
  <c r="G6" i="15" s="1"/>
  <c r="B4" i="4"/>
  <c r="B5" i="4"/>
  <c r="B6" i="4"/>
  <c r="B7" i="4"/>
  <c r="B8" i="4"/>
  <c r="B9" i="4"/>
  <c r="B10" i="4"/>
  <c r="B11" i="4"/>
  <c r="B3" i="4"/>
  <c r="A25" i="4" l="1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39" i="4"/>
  <c r="A140" i="4"/>
  <c r="A141" i="4"/>
  <c r="A142" i="4"/>
  <c r="A143" i="4"/>
  <c r="A144" i="4"/>
  <c r="A145" i="4"/>
  <c r="A146" i="4"/>
  <c r="A147" i="4"/>
  <c r="A148" i="4"/>
  <c r="A149" i="4"/>
  <c r="A150" i="4"/>
  <c r="A151" i="4"/>
  <c r="A152" i="4"/>
  <c r="A153" i="4"/>
  <c r="A154" i="4"/>
  <c r="A155" i="4"/>
  <c r="A156" i="4"/>
  <c r="A157" i="4"/>
  <c r="A158" i="4"/>
  <c r="A159" i="4"/>
  <c r="A160" i="4"/>
  <c r="A161" i="4"/>
  <c r="A162" i="4"/>
  <c r="A163" i="4"/>
  <c r="A164" i="4"/>
  <c r="A165" i="4"/>
  <c r="A166" i="4"/>
  <c r="A167" i="4"/>
  <c r="A168" i="4"/>
  <c r="A169" i="4"/>
  <c r="A170" i="4"/>
  <c r="A171" i="4"/>
  <c r="A172" i="4"/>
  <c r="A173" i="4"/>
  <c r="A174" i="4"/>
  <c r="A175" i="4"/>
  <c r="A176" i="4"/>
  <c r="A177" i="4"/>
  <c r="A178" i="4"/>
  <c r="A179" i="4"/>
  <c r="A180" i="4"/>
  <c r="A181" i="4"/>
  <c r="A182" i="4"/>
  <c r="A183" i="4"/>
  <c r="A184" i="4"/>
  <c r="A185" i="4"/>
  <c r="A186" i="4"/>
  <c r="A187" i="4"/>
  <c r="A188" i="4"/>
  <c r="A189" i="4"/>
  <c r="A190" i="4"/>
  <c r="A191" i="4"/>
  <c r="A192" i="4"/>
  <c r="A193" i="4"/>
  <c r="A194" i="4"/>
  <c r="A195" i="4"/>
  <c r="A196" i="4"/>
  <c r="A197" i="4"/>
  <c r="A198" i="4"/>
  <c r="A199" i="4"/>
  <c r="A200" i="4"/>
  <c r="A201" i="4"/>
  <c r="A202" i="4"/>
  <c r="A203" i="4"/>
  <c r="A204" i="4"/>
  <c r="A205" i="4"/>
  <c r="A206" i="4"/>
  <c r="A207" i="4"/>
  <c r="A208" i="4"/>
  <c r="A209" i="4"/>
  <c r="A210" i="4"/>
  <c r="A211" i="4"/>
  <c r="A212" i="4"/>
  <c r="A213" i="4"/>
  <c r="A214" i="4"/>
  <c r="A215" i="4"/>
  <c r="A216" i="4"/>
  <c r="A217" i="4"/>
  <c r="A218" i="4"/>
  <c r="A219" i="4"/>
  <c r="A220" i="4"/>
  <c r="A221" i="4"/>
  <c r="A222" i="4"/>
  <c r="A223" i="4"/>
  <c r="A224" i="4"/>
  <c r="A225" i="4"/>
  <c r="A226" i="4"/>
  <c r="A227" i="4"/>
  <c r="A228" i="4"/>
  <c r="A229" i="4"/>
  <c r="A230" i="4"/>
  <c r="A231" i="4"/>
  <c r="A232" i="4"/>
  <c r="A233" i="4"/>
  <c r="A234" i="4"/>
  <c r="A235" i="4"/>
  <c r="A236" i="4"/>
  <c r="A237" i="4"/>
  <c r="A238" i="4"/>
  <c r="A239" i="4"/>
  <c r="A240" i="4"/>
  <c r="A241" i="4"/>
  <c r="A242" i="4"/>
  <c r="A243" i="4"/>
  <c r="A244" i="4"/>
  <c r="A245" i="4"/>
  <c r="A246" i="4"/>
  <c r="A247" i="4"/>
  <c r="A248" i="4"/>
  <c r="A249" i="4"/>
  <c r="A250" i="4"/>
  <c r="A251" i="4"/>
  <c r="A252" i="4"/>
  <c r="A253" i="4"/>
  <c r="A254" i="4"/>
  <c r="A255" i="4"/>
  <c r="A256" i="4"/>
  <c r="A257" i="4"/>
  <c r="A258" i="4"/>
  <c r="A259" i="4"/>
  <c r="A260" i="4"/>
  <c r="A261" i="4"/>
  <c r="A262" i="4"/>
  <c r="A263" i="4"/>
  <c r="A264" i="4"/>
  <c r="A265" i="4"/>
  <c r="A266" i="4"/>
  <c r="A267" i="4"/>
  <c r="A268" i="4"/>
  <c r="A269" i="4"/>
  <c r="A270" i="4"/>
  <c r="A271" i="4"/>
  <c r="A272" i="4"/>
  <c r="A273" i="4"/>
  <c r="A274" i="4"/>
  <c r="A275" i="4"/>
  <c r="A276" i="4"/>
  <c r="A277" i="4"/>
  <c r="A278" i="4"/>
  <c r="A279" i="4"/>
  <c r="A280" i="4"/>
  <c r="A281" i="4"/>
  <c r="A282" i="4"/>
  <c r="A283" i="4"/>
  <c r="A284" i="4"/>
  <c r="A285" i="4"/>
  <c r="A286" i="4"/>
  <c r="A287" i="4"/>
  <c r="A288" i="4"/>
  <c r="A289" i="4"/>
  <c r="A290" i="4"/>
  <c r="A291" i="4"/>
  <c r="A292" i="4"/>
  <c r="A293" i="4"/>
  <c r="A294" i="4"/>
  <c r="A295" i="4"/>
  <c r="A296" i="4"/>
  <c r="A297" i="4"/>
  <c r="A298" i="4"/>
  <c r="A299" i="4"/>
  <c r="A300" i="4"/>
  <c r="A301" i="4"/>
  <c r="A302" i="4"/>
  <c r="A303" i="4"/>
  <c r="A304" i="4"/>
  <c r="A305" i="4"/>
  <c r="A306" i="4"/>
  <c r="A307" i="4"/>
  <c r="A308" i="4"/>
  <c r="A309" i="4"/>
  <c r="A310" i="4"/>
  <c r="A311" i="4"/>
  <c r="A312" i="4"/>
  <c r="A313" i="4"/>
  <c r="A314" i="4"/>
  <c r="A315" i="4"/>
  <c r="A316" i="4"/>
  <c r="A317" i="4"/>
  <c r="A318" i="4"/>
  <c r="A319" i="4"/>
  <c r="A320" i="4"/>
  <c r="A321" i="4"/>
  <c r="A322" i="4"/>
  <c r="A323" i="4"/>
  <c r="A324" i="4"/>
  <c r="A325" i="4"/>
  <c r="A326" i="4"/>
  <c r="A327" i="4"/>
  <c r="A328" i="4"/>
  <c r="A329" i="4"/>
  <c r="A330" i="4"/>
  <c r="A331" i="4"/>
  <c r="A332" i="4"/>
  <c r="A333" i="4"/>
  <c r="A334" i="4"/>
  <c r="A335" i="4"/>
  <c r="A336" i="4"/>
  <c r="A337" i="4"/>
  <c r="A338" i="4"/>
  <c r="A339" i="4"/>
  <c r="A340" i="4"/>
  <c r="A341" i="4"/>
  <c r="A342" i="4"/>
  <c r="A343" i="4"/>
  <c r="A344" i="4"/>
  <c r="A345" i="4"/>
  <c r="A346" i="4"/>
  <c r="A347" i="4"/>
  <c r="A348" i="4"/>
  <c r="A349" i="4"/>
  <c r="A350" i="4"/>
  <c r="A351" i="4"/>
  <c r="A352" i="4"/>
  <c r="A353" i="4"/>
  <c r="A354" i="4"/>
  <c r="A355" i="4"/>
  <c r="A356" i="4"/>
  <c r="A357" i="4"/>
  <c r="A358" i="4"/>
  <c r="A359" i="4"/>
  <c r="A360" i="4"/>
  <c r="A361" i="4"/>
  <c r="A362" i="4"/>
  <c r="A363" i="4"/>
  <c r="A364" i="4"/>
  <c r="A365" i="4"/>
  <c r="A366" i="4"/>
  <c r="A367" i="4"/>
  <c r="A368" i="4"/>
  <c r="A369" i="4"/>
  <c r="A370" i="4"/>
  <c r="A371" i="4"/>
  <c r="A372" i="4"/>
  <c r="A373" i="4"/>
  <c r="A374" i="4"/>
  <c r="A375" i="4"/>
  <c r="A376" i="4"/>
  <c r="A377" i="4"/>
  <c r="A378" i="4"/>
  <c r="A379" i="4"/>
  <c r="A380" i="4"/>
  <c r="A381" i="4"/>
  <c r="A382" i="4"/>
  <c r="A383" i="4"/>
  <c r="A384" i="4"/>
  <c r="A385" i="4"/>
  <c r="A386" i="4"/>
  <c r="A387" i="4"/>
  <c r="A388" i="4"/>
  <c r="A389" i="4"/>
  <c r="A390" i="4"/>
  <c r="A391" i="4"/>
  <c r="A392" i="4"/>
  <c r="A393" i="4"/>
  <c r="A394" i="4"/>
  <c r="A395" i="4"/>
  <c r="A396" i="4"/>
  <c r="A397" i="4"/>
  <c r="A398" i="4"/>
  <c r="A399" i="4"/>
  <c r="A400" i="4"/>
  <c r="A401" i="4"/>
  <c r="A402" i="4"/>
  <c r="A403" i="4"/>
  <c r="A404" i="4"/>
  <c r="A405" i="4"/>
  <c r="A406" i="4"/>
  <c r="A407" i="4"/>
  <c r="A408" i="4"/>
  <c r="A409" i="4"/>
  <c r="A410" i="4"/>
  <c r="A411" i="4"/>
  <c r="A412" i="4"/>
  <c r="A413" i="4"/>
  <c r="A414" i="4"/>
  <c r="A415" i="4"/>
  <c r="A416" i="4"/>
  <c r="A417" i="4"/>
  <c r="A418" i="4"/>
  <c r="A419" i="4"/>
  <c r="A420" i="4"/>
  <c r="A421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3" i="4"/>
  <c r="C4" i="2"/>
  <c r="C421" i="2"/>
  <c r="C420" i="2"/>
  <c r="C419" i="2"/>
  <c r="C418" i="2"/>
  <c r="C417" i="2"/>
  <c r="C416" i="2"/>
  <c r="C415" i="2"/>
  <c r="C414" i="2"/>
  <c r="C413" i="2"/>
  <c r="C412" i="2"/>
  <c r="C411" i="2"/>
  <c r="C410" i="2"/>
  <c r="C409" i="2"/>
  <c r="C408" i="2"/>
  <c r="C407" i="2"/>
  <c r="C406" i="2"/>
  <c r="C405" i="2"/>
  <c r="C404" i="2"/>
  <c r="C403" i="2"/>
  <c r="C402" i="2"/>
  <c r="C401" i="2"/>
  <c r="C400" i="2"/>
  <c r="C399" i="2"/>
  <c r="C398" i="2"/>
  <c r="C397" i="2"/>
  <c r="C396" i="2"/>
  <c r="C395" i="2"/>
  <c r="C394" i="2"/>
  <c r="C393" i="2"/>
  <c r="C392" i="2"/>
  <c r="C391" i="2"/>
  <c r="C390" i="2"/>
  <c r="C389" i="2"/>
  <c r="C388" i="2"/>
  <c r="C387" i="2"/>
  <c r="C386" i="2"/>
  <c r="C385" i="2"/>
  <c r="C384" i="2"/>
  <c r="C383" i="2"/>
  <c r="C382" i="2"/>
  <c r="C381" i="2"/>
  <c r="C380" i="2"/>
  <c r="C379" i="2"/>
  <c r="C378" i="2"/>
  <c r="C377" i="2"/>
  <c r="C376" i="2"/>
  <c r="C375" i="2"/>
  <c r="C374" i="2"/>
  <c r="C373" i="2"/>
  <c r="C372" i="2"/>
  <c r="C371" i="2"/>
  <c r="C370" i="2"/>
  <c r="C369" i="2"/>
  <c r="C368" i="2"/>
  <c r="C367" i="2"/>
  <c r="C366" i="2"/>
  <c r="C365" i="2"/>
  <c r="C364" i="2"/>
  <c r="C363" i="2"/>
  <c r="C362" i="2"/>
  <c r="C361" i="2"/>
  <c r="C360" i="2"/>
  <c r="C359" i="2"/>
  <c r="C358" i="2"/>
  <c r="C357" i="2"/>
  <c r="C356" i="2"/>
  <c r="C355" i="2"/>
  <c r="C354" i="2"/>
  <c r="C353" i="2"/>
  <c r="C352" i="2"/>
  <c r="C351" i="2"/>
  <c r="C350" i="2"/>
  <c r="C349" i="2"/>
  <c r="C348" i="2"/>
  <c r="C347" i="2"/>
  <c r="C346" i="2"/>
  <c r="C345" i="2"/>
  <c r="C344" i="2"/>
  <c r="C343" i="2"/>
  <c r="C342" i="2"/>
  <c r="C341" i="2"/>
  <c r="C340" i="2"/>
  <c r="C339" i="2"/>
  <c r="C338" i="2"/>
  <c r="C337" i="2"/>
  <c r="C336" i="2"/>
  <c r="C335" i="2"/>
  <c r="C334" i="2"/>
  <c r="C333" i="2"/>
  <c r="C332" i="2"/>
  <c r="C331" i="2"/>
  <c r="C330" i="2"/>
  <c r="C329" i="2"/>
  <c r="C328" i="2"/>
  <c r="C327" i="2"/>
  <c r="C326" i="2"/>
  <c r="C325" i="2"/>
  <c r="C324" i="2"/>
  <c r="C323" i="2"/>
  <c r="C322" i="2"/>
  <c r="C321" i="2"/>
  <c r="C320" i="2"/>
  <c r="C319" i="2"/>
  <c r="C318" i="2"/>
  <c r="C317" i="2"/>
  <c r="C316" i="2"/>
  <c r="C315" i="2"/>
  <c r="C314" i="2"/>
  <c r="C313" i="2"/>
  <c r="C312" i="2"/>
  <c r="C311" i="2"/>
  <c r="C310" i="2"/>
  <c r="C309" i="2"/>
  <c r="C308" i="2"/>
  <c r="C307" i="2"/>
  <c r="C306" i="2"/>
  <c r="C305" i="2"/>
  <c r="C304" i="2"/>
  <c r="C303" i="2"/>
  <c r="C302" i="2"/>
  <c r="C301" i="2"/>
  <c r="C300" i="2"/>
  <c r="C299" i="2"/>
  <c r="C298" i="2"/>
  <c r="C297" i="2"/>
  <c r="C296" i="2"/>
  <c r="C295" i="2"/>
  <c r="C294" i="2"/>
  <c r="C293" i="2"/>
  <c r="C292" i="2"/>
  <c r="C291" i="2"/>
  <c r="C290" i="2"/>
  <c r="C289" i="2"/>
  <c r="C288" i="2"/>
  <c r="C287" i="2"/>
  <c r="C286" i="2"/>
  <c r="C285" i="2"/>
  <c r="C284" i="2"/>
  <c r="C283" i="2"/>
  <c r="C282" i="2"/>
  <c r="C281" i="2"/>
  <c r="C280" i="2"/>
  <c r="C279" i="2"/>
  <c r="C278" i="2"/>
  <c r="C277" i="2"/>
  <c r="C276" i="2"/>
  <c r="C275" i="2"/>
  <c r="C274" i="2"/>
  <c r="C273" i="2"/>
  <c r="C272" i="2"/>
  <c r="C271" i="2"/>
  <c r="C270" i="2"/>
  <c r="C269" i="2"/>
  <c r="C268" i="2"/>
  <c r="C267" i="2"/>
  <c r="C266" i="2"/>
  <c r="C265" i="2"/>
  <c r="C264" i="2"/>
  <c r="C263" i="2"/>
  <c r="C262" i="2"/>
  <c r="C261" i="2"/>
  <c r="C260" i="2"/>
  <c r="C259" i="2"/>
  <c r="C258" i="2"/>
  <c r="C257" i="2"/>
  <c r="C256" i="2"/>
  <c r="C255" i="2"/>
  <c r="C254" i="2"/>
  <c r="C253" i="2"/>
  <c r="C252" i="2"/>
  <c r="C251" i="2"/>
  <c r="C250" i="2"/>
  <c r="C249" i="2"/>
  <c r="C248" i="2"/>
  <c r="C247" i="2"/>
  <c r="C246" i="2"/>
  <c r="C245" i="2"/>
  <c r="C244" i="2"/>
  <c r="C243" i="2"/>
  <c r="C242" i="2"/>
  <c r="C241" i="2"/>
  <c r="C240" i="2"/>
  <c r="C239" i="2"/>
  <c r="C238" i="2"/>
  <c r="C237" i="2"/>
  <c r="C236" i="2"/>
  <c r="C235" i="2"/>
  <c r="C234" i="2"/>
  <c r="C233" i="2"/>
  <c r="C232" i="2"/>
  <c r="C231" i="2"/>
  <c r="C230" i="2"/>
  <c r="C229" i="2"/>
  <c r="C228" i="2"/>
  <c r="C227" i="2"/>
  <c r="C226" i="2"/>
  <c r="C225" i="2"/>
  <c r="C224" i="2"/>
  <c r="C223" i="2"/>
  <c r="C222" i="2"/>
  <c r="C221" i="2"/>
  <c r="C220" i="2"/>
  <c r="C219" i="2"/>
  <c r="C218" i="2"/>
  <c r="C217" i="2"/>
  <c r="C216" i="2"/>
  <c r="C215" i="2"/>
  <c r="C214" i="2"/>
  <c r="C213" i="2"/>
  <c r="C212" i="2"/>
  <c r="C211" i="2"/>
  <c r="C210" i="2"/>
  <c r="C209" i="2"/>
  <c r="C208" i="2"/>
  <c r="C207" i="2"/>
  <c r="C206" i="2"/>
  <c r="C205" i="2"/>
  <c r="C204" i="2"/>
  <c r="C203" i="2"/>
  <c r="C202" i="2"/>
  <c r="C201" i="2"/>
  <c r="C200" i="2"/>
  <c r="C199" i="2"/>
  <c r="C198" i="2"/>
  <c r="C197" i="2"/>
  <c r="C196" i="2"/>
  <c r="C195" i="2"/>
  <c r="C194" i="2"/>
  <c r="C193" i="2"/>
  <c r="C192" i="2"/>
  <c r="C191" i="2"/>
  <c r="C190" i="2"/>
  <c r="C189" i="2"/>
  <c r="C188" i="2"/>
  <c r="C187" i="2"/>
  <c r="C186" i="2"/>
  <c r="C185" i="2"/>
  <c r="C184" i="2"/>
  <c r="C183" i="2"/>
  <c r="C182" i="2"/>
  <c r="C181" i="2"/>
  <c r="C180" i="2"/>
  <c r="C179" i="2"/>
  <c r="C178" i="2"/>
  <c r="C177" i="2"/>
  <c r="C176" i="2"/>
  <c r="C175" i="2"/>
  <c r="C174" i="2"/>
  <c r="C173" i="2"/>
  <c r="C172" i="2"/>
  <c r="C171" i="2"/>
  <c r="C170" i="2"/>
  <c r="C169" i="2"/>
  <c r="C168" i="2"/>
  <c r="C167" i="2"/>
  <c r="C166" i="2"/>
  <c r="C165" i="2"/>
  <c r="C164" i="2"/>
  <c r="C163" i="2"/>
  <c r="C162" i="2"/>
  <c r="C161" i="2"/>
  <c r="C160" i="2"/>
  <c r="C159" i="2"/>
  <c r="C158" i="2"/>
  <c r="C157" i="2"/>
  <c r="C156" i="2"/>
  <c r="C155" i="2"/>
  <c r="C154" i="2"/>
  <c r="C153" i="2"/>
  <c r="C152" i="2"/>
  <c r="C151" i="2"/>
  <c r="C150" i="2"/>
  <c r="C149" i="2"/>
  <c r="C148" i="2"/>
  <c r="C147" i="2"/>
  <c r="C146" i="2"/>
  <c r="C145" i="2"/>
  <c r="C144" i="2"/>
  <c r="C143" i="2"/>
  <c r="C142" i="2"/>
  <c r="C141" i="2"/>
  <c r="C140" i="2"/>
  <c r="C139" i="2"/>
  <c r="C138" i="2"/>
  <c r="C137" i="2"/>
  <c r="C136" i="2"/>
  <c r="C135" i="2"/>
  <c r="C134" i="2"/>
  <c r="C133" i="2"/>
  <c r="C132" i="2"/>
  <c r="C131" i="2"/>
  <c r="C130" i="2"/>
  <c r="C129" i="2"/>
  <c r="C128" i="2"/>
  <c r="C127" i="2"/>
  <c r="C126" i="2"/>
  <c r="C125" i="2"/>
  <c r="C124" i="2"/>
  <c r="C123" i="2"/>
  <c r="C122" i="2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3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3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13" i="2"/>
  <c r="A14" i="2"/>
  <c r="A15" i="2"/>
  <c r="A4" i="2"/>
  <c r="A5" i="2"/>
  <c r="A6" i="2"/>
  <c r="A7" i="2"/>
  <c r="A8" i="2"/>
  <c r="A9" i="2"/>
  <c r="A10" i="2"/>
  <c r="A11" i="2"/>
  <c r="A12" i="2"/>
  <c r="A3" i="2"/>
  <c r="B13" i="5" l="1"/>
  <c r="J13" i="5"/>
  <c r="J2" i="5" s="1"/>
  <c r="H5" i="15" s="1"/>
  <c r="O13" i="5"/>
  <c r="O2" i="5" s="1"/>
  <c r="H15" i="15" s="1"/>
  <c r="G13" i="5"/>
  <c r="G2" i="5" s="1"/>
  <c r="H11" i="15" s="1"/>
  <c r="E13" i="5"/>
  <c r="E2" i="5" s="1"/>
  <c r="H12" i="15" s="1"/>
  <c r="L13" i="5"/>
  <c r="L2" i="5" s="1"/>
  <c r="H9" i="15" s="1"/>
  <c r="D13" i="5"/>
  <c r="D2" i="5" s="1"/>
  <c r="H13" i="15" s="1"/>
  <c r="I13" i="5"/>
  <c r="I2" i="5" s="1"/>
  <c r="H10" i="15" s="1"/>
  <c r="N13" i="5"/>
  <c r="N2" i="5" s="1"/>
  <c r="H16" i="15" s="1"/>
  <c r="F13" i="5"/>
  <c r="F2" i="5" s="1"/>
  <c r="H6" i="15" s="1"/>
  <c r="K13" i="5"/>
  <c r="K2" i="5" s="1"/>
  <c r="H7" i="15" s="1"/>
  <c r="H13" i="5"/>
  <c r="H2" i="5" s="1"/>
  <c r="H4" i="15" s="1"/>
  <c r="M13" i="5"/>
  <c r="M2" i="5" s="1"/>
  <c r="H14" i="15" s="1"/>
</calcChain>
</file>

<file path=xl/sharedStrings.xml><?xml version="1.0" encoding="utf-8"?>
<sst xmlns="http://schemas.openxmlformats.org/spreadsheetml/2006/main" count="217" uniqueCount="37">
  <si>
    <t>Plano de Retorno \ Rollback</t>
  </si>
  <si>
    <t>Atualização do Inventário OCS</t>
  </si>
  <si>
    <t>Catálogo de Serviços Tprocess</t>
  </si>
  <si>
    <t>Atualização de Monitoração NOC</t>
  </si>
  <si>
    <t>Backup Definido</t>
  </si>
  <si>
    <t>Gravação Ativa</t>
  </si>
  <si>
    <t>SLA Definido \ Conhecido</t>
  </si>
  <si>
    <t>Contrato Conhecido</t>
  </si>
  <si>
    <t>Existe Contingência?</t>
  </si>
  <si>
    <t>Book Atualizado</t>
  </si>
  <si>
    <t>Avaliação Desenho x Solução</t>
  </si>
  <si>
    <t>ID</t>
  </si>
  <si>
    <t>N/A</t>
  </si>
  <si>
    <t>Planejamento</t>
  </si>
  <si>
    <t>CSE Microsoft</t>
  </si>
  <si>
    <t>CSE Telecom</t>
  </si>
  <si>
    <t>CSC Service Desk</t>
  </si>
  <si>
    <t>Infraestrutura</t>
  </si>
  <si>
    <t>Produção TI</t>
  </si>
  <si>
    <t>CSC NOC</t>
  </si>
  <si>
    <t>CSE Gravadores</t>
  </si>
  <si>
    <t>CSC</t>
  </si>
  <si>
    <t>Operações \ Negócio</t>
  </si>
  <si>
    <t>Projetos</t>
  </si>
  <si>
    <t>Engenharia</t>
  </si>
  <si>
    <t>Final do Planejamento</t>
  </si>
  <si>
    <t>Prazo Final</t>
  </si>
  <si>
    <t>Média</t>
  </si>
  <si>
    <t>Pré Implantação</t>
  </si>
  <si>
    <t>URA</t>
  </si>
  <si>
    <t>Site Suporte de Campo</t>
  </si>
  <si>
    <t>Média de Entrega</t>
  </si>
  <si>
    <t>Controle por Requisito</t>
  </si>
  <si>
    <t>Controle de Requisitos</t>
  </si>
  <si>
    <t>Pós Implantação</t>
  </si>
  <si>
    <t>Controle por equipe</t>
  </si>
  <si>
    <t>Equipe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</si>
</sst>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/>
    <xf numFmtId="0" fontId="2" fillId="0" borderId="4" xfId="0" applyFont="1" applyBorder="1" applyAlignment="1">
      <alignment horizontal="right"/>
    </xf>
    <xf numFmtId="0" fontId="2" fillId="0" borderId="5" xfId="0" applyFont="1" applyBorder="1" applyAlignment="1">
      <alignment horizontal="right"/>
    </xf>
    <xf numFmtId="0" fontId="0" fillId="0" borderId="11" xfId="0" applyFont="1" applyBorder="1" applyAlignment="1">
      <alignment horizontal="center"/>
    </xf>
    <xf numFmtId="0" fontId="0" fillId="0" borderId="6" xfId="0" applyFont="1" applyBorder="1"/>
    <xf numFmtId="0" fontId="0" fillId="0" borderId="8" xfId="0" applyFont="1" applyBorder="1"/>
    <xf numFmtId="0" fontId="0" fillId="0" borderId="2" xfId="0" applyFont="1" applyBorder="1" applyAlignment="1">
      <alignment horizontal="center"/>
    </xf>
    <xf numFmtId="0" fontId="0" fillId="0" borderId="12" xfId="0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7" xfId="0" applyFont="1" applyBorder="1" applyAlignment="1">
      <alignment horizontal="center"/>
    </xf>
    <xf numFmtId="0" fontId="0" fillId="0" borderId="9" xfId="0" applyFont="1" applyBorder="1" applyAlignment="1">
      <alignment horizontal="center"/>
    </xf>
    <xf numFmtId="0" fontId="0" fillId="0" borderId="10" xfId="0" applyFont="1" applyBorder="1" applyAlignment="1">
      <alignment horizontal="center"/>
    </xf>
    <xf numFmtId="9" fontId="0" fillId="0" borderId="2" xfId="0" applyNumberFormat="1" applyFont="1" applyBorder="1" applyAlignment="1">
      <alignment horizontal="center"/>
    </xf>
    <xf numFmtId="9" fontId="0" fillId="0" borderId="12" xfId="0" applyNumberFormat="1" applyFont="1" applyBorder="1" applyAlignment="1">
      <alignment horizontal="center"/>
    </xf>
    <xf numFmtId="9" fontId="0" fillId="0" borderId="1" xfId="0" applyNumberFormat="1" applyFont="1" applyBorder="1" applyAlignment="1">
      <alignment horizontal="center"/>
    </xf>
    <xf numFmtId="9" fontId="0" fillId="0" borderId="7" xfId="0" applyNumberFormat="1" applyFont="1" applyBorder="1" applyAlignment="1">
      <alignment horizontal="center"/>
    </xf>
    <xf numFmtId="9" fontId="0" fillId="0" borderId="9" xfId="0" applyNumberFormat="1" applyFont="1" applyBorder="1" applyAlignment="1">
      <alignment horizontal="center"/>
    </xf>
    <xf numFmtId="9" fontId="0" fillId="0" borderId="10" xfId="0" applyNumberFormat="1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0" borderId="15" xfId="0" applyFont="1" applyBorder="1"/>
    <xf numFmtId="0" fontId="0" fillId="0" borderId="16" xfId="0" applyFont="1" applyBorder="1"/>
    <xf numFmtId="0" fontId="0" fillId="0" borderId="17" xfId="0" applyFont="1" applyBorder="1" applyAlignment="1">
      <alignment horizontal="center"/>
    </xf>
    <xf numFmtId="0" fontId="0" fillId="0" borderId="18" xfId="0" applyFont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22" fontId="0" fillId="0" borderId="2" xfId="0" applyNumberFormat="1" applyFont="1" applyBorder="1" applyAlignment="1">
      <alignment horizontal="center"/>
    </xf>
    <xf numFmtId="22" fontId="0" fillId="0" borderId="14" xfId="0" applyNumberFormat="1" applyFont="1" applyBorder="1" applyAlignment="1">
      <alignment horizontal="center"/>
    </xf>
    <xf numFmtId="22" fontId="0" fillId="0" borderId="18" xfId="0" applyNumberFormat="1" applyFont="1" applyBorder="1" applyAlignment="1">
      <alignment horizontal="center"/>
    </xf>
    <xf numFmtId="0" fontId="0" fillId="0" borderId="6" xfId="0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22" fontId="0" fillId="0" borderId="15" xfId="0" applyNumberForma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right"/>
    </xf>
    <xf numFmtId="9" fontId="2" fillId="0" borderId="2" xfId="0" applyNumberFormat="1" applyFont="1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9" fontId="1" fillId="2" borderId="1" xfId="0" applyNumberFormat="1" applyFont="1" applyFill="1" applyBorder="1" applyAlignment="1">
      <alignment horizontal="center"/>
    </xf>
    <xf numFmtId="9" fontId="1" fillId="2" borderId="5" xfId="0" applyNumberFormat="1" applyFont="1" applyFill="1" applyBorder="1" applyAlignment="1">
      <alignment horizontal="center"/>
    </xf>
    <xf numFmtId="9" fontId="1" fillId="2" borderId="21" xfId="0" applyNumberFormat="1" applyFont="1" applyFill="1" applyBorder="1" applyAlignment="1">
      <alignment horizontal="center"/>
    </xf>
    <xf numFmtId="9" fontId="0" fillId="0" borderId="0" xfId="0" applyNumberFormat="1" applyAlignment="1">
      <alignment horizontal="center"/>
    </xf>
    <xf numFmtId="9" fontId="2" fillId="3" borderId="2" xfId="0" applyNumberFormat="1" applyFont="1" applyFill="1" applyBorder="1" applyAlignment="1">
      <alignment horizontal="center"/>
    </xf>
    <xf numFmtId="9" fontId="2" fillId="3" borderId="22" xfId="0" applyNumberFormat="1" applyFont="1" applyFill="1" applyBorder="1" applyAlignment="1">
      <alignment horizontal="center"/>
    </xf>
    <xf numFmtId="9" fontId="2" fillId="3" borderId="12" xfId="0" applyNumberFormat="1" applyFont="1" applyFill="1" applyBorder="1" applyAlignment="1">
      <alignment horizontal="center"/>
    </xf>
    <xf numFmtId="9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22" fontId="0" fillId="0" borderId="16" xfId="0" applyNumberForma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3" borderId="19" xfId="0" applyFont="1" applyFill="1" applyBorder="1" applyAlignment="1">
      <alignment horizontal="center"/>
    </xf>
    <xf numFmtId="0" fontId="2" fillId="3" borderId="15" xfId="0" applyFont="1" applyFill="1" applyBorder="1" applyAlignment="1">
      <alignment horizontal="center"/>
    </xf>
    <xf numFmtId="0" fontId="1" fillId="2" borderId="23" xfId="0" applyFont="1" applyFill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</cellXfs>
  <cellStyles count="1">
    <cellStyle name="Normal" xfId="0" builtinId="0"/>
  </cellStyles>
  <dxfs count="21"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2000"/>
              <a:t>Comparativo de </a:t>
            </a:r>
            <a:r>
              <a:rPr lang="pt-BR" sz="2000" baseline="0"/>
              <a:t>Entrega por Requisitos</a:t>
            </a:r>
            <a:endParaRPr lang="pt-BR" sz="2000"/>
          </a:p>
        </c:rich>
      </c:tx>
      <c:layout>
        <c:manualLayout>
          <c:xMode val="edge"/>
          <c:yMode val="edge"/>
          <c:x val="0.33465011921100585"/>
          <c:y val="2.0481469816272965E-2"/>
        </c:manualLayout>
      </c:layout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effectLst>
                    <a:glow rad="190500">
                      <a:schemeClr val="bg1">
                        <a:alpha val="70000"/>
                      </a:schemeClr>
                    </a:glow>
                  </a:effectLst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"/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effectLst>
                    <a:glow rad="190500">
                      <a:schemeClr val="bg1">
                        <a:alpha val="70000"/>
                      </a:schemeClr>
                    </a:glow>
                  </a:effectLst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effectLst>
                    <a:glow rad="190500">
                      <a:schemeClr val="bg1">
                        <a:alpha val="65000"/>
                      </a:schemeClr>
                    </a:glow>
                  </a:effectLst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effectLst>
                    <a:glow rad="190500">
                      <a:schemeClr val="bg1">
                        <a:alpha val="65000"/>
                      </a:schemeClr>
                    </a:glow>
                  </a:effectLst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effectLst>
                    <a:glow rad="190500">
                      <a:schemeClr val="bg1">
                        <a:alpha val="65000"/>
                      </a:schemeClr>
                    </a:glow>
                  </a:effectLst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effectLst>
                    <a:glow rad="190500">
                      <a:schemeClr val="bg1">
                        <a:alpha val="65000"/>
                      </a:schemeClr>
                    </a:glow>
                  </a:effectLst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effectLst>
                    <a:glow rad="190500">
                      <a:schemeClr val="bg1">
                        <a:alpha val="65000"/>
                      </a:schemeClr>
                    </a:glow>
                  </a:effectLst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effectLst>
                    <a:glow rad="190500">
                      <a:schemeClr val="bg1">
                        <a:alpha val="65000"/>
                      </a:schemeClr>
                    </a:glow>
                  </a:effectLst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pt-BR"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rgbClr val="4472C4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rgbClr val="4472C4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rgbClr val="4472C4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rgbClr val="4472C4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2262597610081348E-2"/>
          <c:y val="0.12233784776902884"/>
          <c:w val="0.86635279285741451"/>
          <c:h val="0.7196029396325460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Consolidado!$C$3</c:f>
              <c:strCache>
                <c:ptCount val="1"/>
                <c:pt idx="0">
                  <c:v>Pré Implantação</c:v>
                </c:pt>
              </c:strCache>
            </c:strRef>
          </c:tx>
          <c:spPr>
            <a:solidFill>
              <a:sysClr val="window" lastClr="FFFFFF">
                <a:lumMod val="50000"/>
              </a:sysClr>
            </a:solidFill>
            <a:ln w="12700">
              <a:solidFill>
                <a:sysClr val="window" lastClr="FFFFFF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Consolidado!$B$4:$B$14</c:f>
              <c:strCache>
                <c:ptCount val="11"/>
                <c:pt idx="0">
                  <c:v>Plano de Retorno \ Rollback</c:v>
                </c:pt>
                <c:pt idx="1">
                  <c:v>Atualização do Inventário OCS</c:v>
                </c:pt>
                <c:pt idx="2">
                  <c:v>Catálogo de Serviços Tprocess</c:v>
                </c:pt>
                <c:pt idx="3">
                  <c:v>Atualização de Monitoração NOC</c:v>
                </c:pt>
                <c:pt idx="4">
                  <c:v>Backup Definido</c:v>
                </c:pt>
                <c:pt idx="5">
                  <c:v>Gravação Ativa</c:v>
                </c:pt>
                <c:pt idx="6">
                  <c:v>SLA Definido \ Conhecido</c:v>
                </c:pt>
                <c:pt idx="7">
                  <c:v>Contrato Conhecido</c:v>
                </c:pt>
                <c:pt idx="8">
                  <c:v>Existe Contingência?</c:v>
                </c:pt>
                <c:pt idx="9">
                  <c:v>Book Atualizado</c:v>
                </c:pt>
                <c:pt idx="10">
                  <c:v>Avaliação Desenho x Solução</c:v>
                </c:pt>
              </c:strCache>
            </c:strRef>
          </c:cat>
          <c:val>
            <c:numRef>
              <c:f>Consolidado!$C$4:$C$14</c:f>
              <c:numCache>
                <c:formatCode>0%</c:formatCode>
                <c:ptCount val="11"/>
                <c:pt idx="0">
                  <c:v>0.97</c:v>
                </c:pt>
                <c:pt idx="1">
                  <c:v>0.61666666666666659</c:v>
                </c:pt>
                <c:pt idx="2">
                  <c:v>1</c:v>
                </c:pt>
                <c:pt idx="3">
                  <c:v>0.6</c:v>
                </c:pt>
                <c:pt idx="4">
                  <c:v>0.75714285714285712</c:v>
                </c:pt>
                <c:pt idx="5">
                  <c:v>0.48333333333333339</c:v>
                </c:pt>
                <c:pt idx="6">
                  <c:v>0.91999999999999993</c:v>
                </c:pt>
                <c:pt idx="7">
                  <c:v>0.39999999999999997</c:v>
                </c:pt>
                <c:pt idx="8">
                  <c:v>0.9</c:v>
                </c:pt>
                <c:pt idx="9">
                  <c:v>0.9</c:v>
                </c:pt>
                <c:pt idx="10">
                  <c:v>0.56666666666666676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96-41AC-B4E2-F480DA7D6F28}"/>
            </c:ext>
          </c:extLst>
        </c:ser>
        <c:ser>
          <c:idx val="1"/>
          <c:order val="1"/>
          <c:tx>
            <c:strRef>
              <c:f>Consolidado!$D$3</c:f>
              <c:strCache>
                <c:ptCount val="1"/>
                <c:pt idx="0">
                  <c:v>Pós Implantação</c:v>
                </c:pt>
              </c:strCache>
            </c:strRef>
          </c:tx>
          <c:spPr>
            <a:solidFill>
              <a:srgbClr val="44546A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>
                    <a:solidFill>
                      <a:schemeClr val="bg1"/>
                    </a:solidFill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Consolidado!$B$4:$B$14</c:f>
              <c:strCache>
                <c:ptCount val="11"/>
                <c:pt idx="0">
                  <c:v>Plano de Retorno \ Rollback</c:v>
                </c:pt>
                <c:pt idx="1">
                  <c:v>Atualização do Inventário OCS</c:v>
                </c:pt>
                <c:pt idx="2">
                  <c:v>Catálogo de Serviços Tprocess</c:v>
                </c:pt>
                <c:pt idx="3">
                  <c:v>Atualização de Monitoração NOC</c:v>
                </c:pt>
                <c:pt idx="4">
                  <c:v>Backup Definido</c:v>
                </c:pt>
                <c:pt idx="5">
                  <c:v>Gravação Ativa</c:v>
                </c:pt>
                <c:pt idx="6">
                  <c:v>SLA Definido \ Conhecido</c:v>
                </c:pt>
                <c:pt idx="7">
                  <c:v>Contrato Conhecido</c:v>
                </c:pt>
                <c:pt idx="8">
                  <c:v>Existe Contingência?</c:v>
                </c:pt>
                <c:pt idx="9">
                  <c:v>Book Atualizado</c:v>
                </c:pt>
                <c:pt idx="10">
                  <c:v>Avaliação Desenho x Solução</c:v>
                </c:pt>
              </c:strCache>
            </c:strRef>
          </c:cat>
          <c:val>
            <c:numRef>
              <c:f>Consolidado!$D$4:$D$14</c:f>
              <c:numCache>
                <c:formatCode>0%</c:formatCode>
                <c:ptCount val="11"/>
                <c:pt idx="0">
                  <c:v>0.97</c:v>
                </c:pt>
                <c:pt idx="1">
                  <c:v>0.93333333333333346</c:v>
                </c:pt>
                <c:pt idx="2">
                  <c:v>1</c:v>
                </c:pt>
                <c:pt idx="3">
                  <c:v>1</c:v>
                </c:pt>
                <c:pt idx="4">
                  <c:v>0.84285714285714275</c:v>
                </c:pt>
                <c:pt idx="5">
                  <c:v>0.85</c:v>
                </c:pt>
                <c:pt idx="6">
                  <c:v>0.94000000000000006</c:v>
                </c:pt>
                <c:pt idx="7">
                  <c:v>0.65</c:v>
                </c:pt>
                <c:pt idx="8">
                  <c:v>0.91666666666666663</c:v>
                </c:pt>
                <c:pt idx="9">
                  <c:v>0.9</c:v>
                </c:pt>
                <c:pt idx="10">
                  <c:v>0.76666666666666672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196-41AC-B4E2-F480DA7D6F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10"/>
        <c:axId val="197782856"/>
        <c:axId val="197783184"/>
      </c:barChart>
      <c:catAx>
        <c:axId val="1977828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pt-BR"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7783184"/>
        <c:crosses val="autoZero"/>
        <c:auto val="1"/>
        <c:lblAlgn val="ctr"/>
        <c:lblOffset val="100"/>
        <c:noMultiLvlLbl val="0"/>
      </c:catAx>
      <c:valAx>
        <c:axId val="197783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7782856"/>
        <c:crosses val="autoZero"/>
        <c:crossBetween val="between"/>
      </c:valAx>
      <c:spPr>
        <a:solidFill>
          <a:sysClr val="window" lastClr="FFFFFF"/>
        </a:solidFill>
      </c:spPr>
    </c:plotArea>
    <c:legend>
      <c:legendPos val="r"/>
      <c:layout>
        <c:manualLayout>
          <c:xMode val="edge"/>
          <c:yMode val="edge"/>
          <c:x val="0.39407622009771087"/>
          <c:y val="0.93189879265091868"/>
          <c:w val="0.2232150747664573"/>
          <c:h val="5.9108871391076116E-2"/>
        </c:manualLayout>
      </c:layout>
      <c:overlay val="0"/>
    </c:legend>
    <c:plotVisOnly val="1"/>
    <c:dispBlanksAs val="gap"/>
    <c:showDLblsOverMax val="0"/>
  </c:chart>
  <c:spPr>
    <a:solidFill>
      <a:sysClr val="window" lastClr="FFFFFF"/>
    </a:solidFill>
    <a:ln>
      <a:solidFill>
        <a:sysClr val="window" lastClr="FFFFFF"/>
      </a:solidFill>
    </a:ln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2000"/>
              <a:t>Comparativo de Entrega</a:t>
            </a:r>
            <a:r>
              <a:rPr lang="pt-BR" sz="2000" baseline="0"/>
              <a:t> de Requisitos por Equipe</a:t>
            </a:r>
            <a:endParaRPr lang="pt-BR" sz="2000"/>
          </a:p>
        </c:rich>
      </c:tx>
      <c:layout>
        <c:manualLayout>
          <c:xMode val="edge"/>
          <c:yMode val="edge"/>
          <c:x val="0.29399971270694075"/>
          <c:y val="1.7814803149606297E-2"/>
        </c:manualLayout>
      </c:layout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effectLst>
                    <a:glow rad="190500">
                      <a:schemeClr val="bg1">
                        <a:alpha val="70000"/>
                      </a:schemeClr>
                    </a:glow>
                  </a:effectLst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"/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effectLst>
                    <a:glow rad="190500">
                      <a:schemeClr val="bg1">
                        <a:alpha val="70000"/>
                      </a:schemeClr>
                    </a:glow>
                  </a:effectLst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effectLst>
                    <a:glow rad="190500">
                      <a:schemeClr val="bg1">
                        <a:alpha val="65000"/>
                      </a:schemeClr>
                    </a:glow>
                  </a:effectLst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effectLst>
                    <a:glow rad="190500">
                      <a:schemeClr val="bg1">
                        <a:alpha val="65000"/>
                      </a:schemeClr>
                    </a:glow>
                  </a:effectLst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effectLst>
                    <a:glow rad="190500">
                      <a:schemeClr val="bg1">
                        <a:alpha val="65000"/>
                      </a:schemeClr>
                    </a:glow>
                  </a:effectLst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effectLst>
                    <a:glow rad="190500">
                      <a:schemeClr val="bg1">
                        <a:alpha val="65000"/>
                      </a:schemeClr>
                    </a:glow>
                  </a:effectLst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effectLst>
                    <a:glow rad="190500">
                      <a:schemeClr val="bg1">
                        <a:alpha val="65000"/>
                      </a:schemeClr>
                    </a:glow>
                  </a:effectLst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effectLst>
                    <a:glow rad="190500">
                      <a:schemeClr val="bg1">
                        <a:alpha val="65000"/>
                      </a:schemeClr>
                    </a:glow>
                  </a:effectLst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pt-BR"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rgbClr val="4472C4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rgbClr val="4472C4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rgbClr val="4472C4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rgbClr val="4472C4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2262597610081348E-2"/>
          <c:y val="0.12233784776902884"/>
          <c:w val="0.86635279285741451"/>
          <c:h val="0.7196029396325460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Consolidado!$G$3</c:f>
              <c:strCache>
                <c:ptCount val="1"/>
                <c:pt idx="0">
                  <c:v>Pré Implantação</c:v>
                </c:pt>
              </c:strCache>
            </c:strRef>
          </c:tx>
          <c:spPr>
            <a:solidFill>
              <a:sysClr val="window" lastClr="FFFFFF">
                <a:lumMod val="50000"/>
              </a:sysClr>
            </a:solidFill>
            <a:ln w="12700">
              <a:solidFill>
                <a:sysClr val="window" lastClr="FFFFFF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>
                    <a:solidFill>
                      <a:schemeClr val="bg1"/>
                    </a:solidFill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Consolidado!$F$4:$F$16</c:f>
              <c:strCache>
                <c:ptCount val="13"/>
                <c:pt idx="0">
                  <c:v>Operações \ Negócio</c:v>
                </c:pt>
                <c:pt idx="1">
                  <c:v>Engenharia</c:v>
                </c:pt>
                <c:pt idx="2">
                  <c:v>CSE Gravadores</c:v>
                </c:pt>
                <c:pt idx="3">
                  <c:v>URA</c:v>
                </c:pt>
                <c:pt idx="4">
                  <c:v>Produção TI</c:v>
                </c:pt>
                <c:pt idx="5">
                  <c:v>CSE Microsoft</c:v>
                </c:pt>
                <c:pt idx="6">
                  <c:v>Projetos</c:v>
                </c:pt>
                <c:pt idx="7">
                  <c:v>CSC</c:v>
                </c:pt>
                <c:pt idx="8">
                  <c:v>CSC NOC</c:v>
                </c:pt>
                <c:pt idx="9">
                  <c:v>CSC Service Desk</c:v>
                </c:pt>
                <c:pt idx="10">
                  <c:v>CSE Telecom</c:v>
                </c:pt>
                <c:pt idx="11">
                  <c:v>Infraestrutura</c:v>
                </c:pt>
                <c:pt idx="12">
                  <c:v>Site Suporte de Campo</c:v>
                </c:pt>
              </c:strCache>
            </c:strRef>
          </c:cat>
          <c:val>
            <c:numRef>
              <c:f>Consolidado!$G$4:$G$16</c:f>
              <c:numCache>
                <c:formatCode>0%</c:formatCode>
                <c:ptCount val="13"/>
                <c:pt idx="0">
                  <c:v>0.39999999999999997</c:v>
                </c:pt>
                <c:pt idx="1">
                  <c:v>0.56666666666666676</c:v>
                </c:pt>
                <c:pt idx="2">
                  <c:v>0.48333333333333339</c:v>
                </c:pt>
                <c:pt idx="3">
                  <c:v>0.875</c:v>
                </c:pt>
                <c:pt idx="4">
                  <c:v>0.68888888888888888</c:v>
                </c:pt>
                <c:pt idx="5">
                  <c:v>0.8833333333333333</c:v>
                </c:pt>
                <c:pt idx="6">
                  <c:v>0.9</c:v>
                </c:pt>
                <c:pt idx="7">
                  <c:v>0.91999999999999993</c:v>
                </c:pt>
                <c:pt idx="8">
                  <c:v>0.6</c:v>
                </c:pt>
                <c:pt idx="9">
                  <c:v>0.77777777777777779</c:v>
                </c:pt>
                <c:pt idx="10">
                  <c:v>1</c:v>
                </c:pt>
                <c:pt idx="11">
                  <c:v>1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F0-4BE3-8CCD-C38C7334C75C}"/>
            </c:ext>
          </c:extLst>
        </c:ser>
        <c:ser>
          <c:idx val="1"/>
          <c:order val="1"/>
          <c:tx>
            <c:strRef>
              <c:f>Consolidado!$H$3</c:f>
              <c:strCache>
                <c:ptCount val="1"/>
                <c:pt idx="0">
                  <c:v>Pós Implantação</c:v>
                </c:pt>
              </c:strCache>
            </c:strRef>
          </c:tx>
          <c:spPr>
            <a:solidFill>
              <a:srgbClr val="44546A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>
                    <a:solidFill>
                      <a:schemeClr val="bg1"/>
                    </a:solidFill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Consolidado!$F$4:$F$16</c:f>
              <c:strCache>
                <c:ptCount val="13"/>
                <c:pt idx="0">
                  <c:v>Operações \ Negócio</c:v>
                </c:pt>
                <c:pt idx="1">
                  <c:v>Engenharia</c:v>
                </c:pt>
                <c:pt idx="2">
                  <c:v>CSE Gravadores</c:v>
                </c:pt>
                <c:pt idx="3">
                  <c:v>URA</c:v>
                </c:pt>
                <c:pt idx="4">
                  <c:v>Produção TI</c:v>
                </c:pt>
                <c:pt idx="5">
                  <c:v>CSE Microsoft</c:v>
                </c:pt>
                <c:pt idx="6">
                  <c:v>Projetos</c:v>
                </c:pt>
                <c:pt idx="7">
                  <c:v>CSC</c:v>
                </c:pt>
                <c:pt idx="8">
                  <c:v>CSC NOC</c:v>
                </c:pt>
                <c:pt idx="9">
                  <c:v>CSC Service Desk</c:v>
                </c:pt>
                <c:pt idx="10">
                  <c:v>CSE Telecom</c:v>
                </c:pt>
                <c:pt idx="11">
                  <c:v>Infraestrutura</c:v>
                </c:pt>
                <c:pt idx="12">
                  <c:v>Site Suporte de Campo</c:v>
                </c:pt>
              </c:strCache>
            </c:strRef>
          </c:cat>
          <c:val>
            <c:numRef>
              <c:f>Consolidado!$H$4:$H$16</c:f>
              <c:numCache>
                <c:formatCode>0%</c:formatCode>
                <c:ptCount val="13"/>
                <c:pt idx="0">
                  <c:v>0.65</c:v>
                </c:pt>
                <c:pt idx="1">
                  <c:v>0.76666666666666672</c:v>
                </c:pt>
                <c:pt idx="2">
                  <c:v>0.85</c:v>
                </c:pt>
                <c:pt idx="3">
                  <c:v>0.875</c:v>
                </c:pt>
                <c:pt idx="4">
                  <c:v>0.7</c:v>
                </c:pt>
                <c:pt idx="5">
                  <c:v>0.9</c:v>
                </c:pt>
                <c:pt idx="6">
                  <c:v>0.9</c:v>
                </c:pt>
                <c:pt idx="7">
                  <c:v>0.94000000000000006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7F0-4BE3-8CCD-C38C7334C7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10"/>
        <c:axId val="197782856"/>
        <c:axId val="197783184"/>
      </c:barChart>
      <c:catAx>
        <c:axId val="1977828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pt-BR"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7783184"/>
        <c:crosses val="autoZero"/>
        <c:auto val="1"/>
        <c:lblAlgn val="ctr"/>
        <c:lblOffset val="100"/>
        <c:noMultiLvlLbl val="0"/>
      </c:catAx>
      <c:valAx>
        <c:axId val="197783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7782856"/>
        <c:crosses val="autoZero"/>
        <c:crossBetween val="between"/>
      </c:valAx>
      <c:spPr>
        <a:solidFill>
          <a:sysClr val="window" lastClr="FFFFFF"/>
        </a:solidFill>
      </c:spPr>
    </c:plotArea>
    <c:legend>
      <c:legendPos val="r"/>
      <c:layout>
        <c:manualLayout>
          <c:xMode val="edge"/>
          <c:yMode val="edge"/>
          <c:x val="0.39407622009771087"/>
          <c:y val="0.93189879265091868"/>
          <c:w val="0.2232150747664573"/>
          <c:h val="5.9108871391076116E-2"/>
        </c:manualLayout>
      </c:layout>
      <c:overlay val="0"/>
    </c:legend>
    <c:plotVisOnly val="1"/>
    <c:dispBlanksAs val="gap"/>
    <c:showDLblsOverMax val="0"/>
  </c:chart>
  <c:spPr>
    <a:ln>
      <a:noFill/>
    </a:ln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aseline="0"/>
              <a:t>Percentual Implantado por Requisito</a:t>
            </a:r>
            <a:endParaRPr lang="pt-BR"/>
          </a:p>
        </c:rich>
      </c:tx>
      <c:layout>
        <c:manualLayout>
          <c:xMode val="edge"/>
          <c:yMode val="edge"/>
          <c:x val="0.29057278064680819"/>
          <c:y val="4.441346745532406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effectLst>
                    <a:glow rad="190500">
                      <a:schemeClr val="bg1">
                        <a:alpha val="70000"/>
                      </a:schemeClr>
                    </a:glow>
                  </a:effectLst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dLblPos val="bestFit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effectLst>
                    <a:glow rad="190500">
                      <a:schemeClr val="bg1">
                        <a:alpha val="70000"/>
                      </a:schemeClr>
                    </a:glow>
                  </a:effectLst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effectLst>
                    <a:glow rad="190500">
                      <a:schemeClr val="bg1">
                        <a:alpha val="70000"/>
                      </a:schemeClr>
                    </a:glow>
                  </a:effectLst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1960354955630548"/>
          <c:y val="0.14590498335359089"/>
          <c:w val="0.59253918260217475"/>
          <c:h val="0.86411964129483809"/>
        </c:manualLayout>
      </c:layout>
      <c:pieChart>
        <c:varyColors val="1"/>
        <c:ser>
          <c:idx val="0"/>
          <c:order val="0"/>
          <c:tx>
            <c:strRef>
              <c:f>Consolidado!$D$3</c:f>
              <c:strCache>
                <c:ptCount val="1"/>
                <c:pt idx="0">
                  <c:v>Pós Implantação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F5F-490C-B4EC-BB079149D5F3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F5F-490C-B4EC-BB079149D5F3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F5F-490C-B4EC-BB079149D5F3}"/>
              </c:ext>
            </c:extLst>
          </c:dPt>
          <c:dPt>
            <c:idx val="3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F5F-490C-B4EC-BB079149D5F3}"/>
              </c:ext>
            </c:extLst>
          </c:dPt>
          <c:dPt>
            <c:idx val="4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F5F-490C-B4EC-BB079149D5F3}"/>
              </c:ext>
            </c:extLst>
          </c:dPt>
          <c:dPt>
            <c:idx val="5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1F5F-490C-B4EC-BB079149D5F3}"/>
              </c:ext>
            </c:extLst>
          </c:dPt>
          <c:dPt>
            <c:idx val="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1F5F-490C-B4EC-BB079149D5F3}"/>
              </c:ext>
            </c:extLst>
          </c:dPt>
          <c:dPt>
            <c:idx val="7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1F5F-490C-B4EC-BB079149D5F3}"/>
              </c:ext>
            </c:extLst>
          </c:dPt>
          <c:dPt>
            <c:idx val="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1F5F-490C-B4EC-BB079149D5F3}"/>
              </c:ext>
            </c:extLst>
          </c:dPt>
          <c:dPt>
            <c:idx val="9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1F5F-490C-B4EC-BB079149D5F3}"/>
              </c:ext>
            </c:extLst>
          </c:dPt>
          <c:dPt>
            <c:idx val="1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1F5F-490C-B4EC-BB079149D5F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pt-BR" sz="900" b="1" i="0" u="none" strike="noStrike" kern="1200" baseline="0">
                    <a:solidFill>
                      <a:sysClr val="windowText" lastClr="000000"/>
                    </a:solidFill>
                    <a:effectLst>
                      <a:glow rad="228600">
                        <a:schemeClr val="bg1">
                          <a:alpha val="40000"/>
                        </a:schemeClr>
                      </a:glow>
                    </a:effectLst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Consolidado!$B$4:$B$14</c:f>
              <c:strCache>
                <c:ptCount val="11"/>
                <c:pt idx="0">
                  <c:v>Plano de Retorno \ Rollback</c:v>
                </c:pt>
                <c:pt idx="1">
                  <c:v>Atualização do Inventário OCS</c:v>
                </c:pt>
                <c:pt idx="2">
                  <c:v>Catálogo de Serviços Tprocess</c:v>
                </c:pt>
                <c:pt idx="3">
                  <c:v>Atualização de Monitoração NOC</c:v>
                </c:pt>
                <c:pt idx="4">
                  <c:v>Backup Definido</c:v>
                </c:pt>
                <c:pt idx="5">
                  <c:v>Gravação Ativa</c:v>
                </c:pt>
                <c:pt idx="6">
                  <c:v>SLA Definido \ Conhecido</c:v>
                </c:pt>
                <c:pt idx="7">
                  <c:v>Contrato Conhecido</c:v>
                </c:pt>
                <c:pt idx="8">
                  <c:v>Existe Contingência?</c:v>
                </c:pt>
                <c:pt idx="9">
                  <c:v>Book Atualizado</c:v>
                </c:pt>
                <c:pt idx="10">
                  <c:v>Avaliação Desenho x Solução</c:v>
                </c:pt>
              </c:strCache>
            </c:strRef>
          </c:cat>
          <c:val>
            <c:numRef>
              <c:f>Consolidado!$D$4:$D$14</c:f>
              <c:numCache>
                <c:formatCode>0%</c:formatCode>
                <c:ptCount val="11"/>
                <c:pt idx="0">
                  <c:v>0.97</c:v>
                </c:pt>
                <c:pt idx="1">
                  <c:v>0.93333333333333346</c:v>
                </c:pt>
                <c:pt idx="2">
                  <c:v>1</c:v>
                </c:pt>
                <c:pt idx="3">
                  <c:v>1</c:v>
                </c:pt>
                <c:pt idx="4">
                  <c:v>0.84285714285714275</c:v>
                </c:pt>
                <c:pt idx="5">
                  <c:v>0.85</c:v>
                </c:pt>
                <c:pt idx="6">
                  <c:v>0.94000000000000006</c:v>
                </c:pt>
                <c:pt idx="7">
                  <c:v>0.65</c:v>
                </c:pt>
                <c:pt idx="8">
                  <c:v>0.91666666666666663</c:v>
                </c:pt>
                <c:pt idx="9">
                  <c:v>0.9</c:v>
                </c:pt>
                <c:pt idx="10">
                  <c:v>0.76666666666666672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1F5F-490C-B4EC-BB079149D5F3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1" i="0" u="none" strike="noStrike" baseline="0">
                <a:effectLst/>
              </a:rPr>
              <a:t>Entrega de Requisitos por Equipe</a:t>
            </a:r>
            <a:endParaRPr lang="pt-BR"/>
          </a:p>
        </c:rich>
      </c:tx>
      <c:layout>
        <c:manualLayout>
          <c:xMode val="edge"/>
          <c:yMode val="edge"/>
          <c:x val="0.30395498507891994"/>
          <c:y val="4.468832551019975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effectLst>
                    <a:glow rad="190500">
                      <a:schemeClr val="bg1">
                        <a:alpha val="70000"/>
                      </a:schemeClr>
                    </a:glow>
                  </a:effectLst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dLblPos val="bestFit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effectLst>
                    <a:glow rad="190500">
                      <a:schemeClr val="bg1">
                        <a:alpha val="70000"/>
                      </a:schemeClr>
                    </a:glow>
                  </a:effectLst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effectLst>
                    <a:glow rad="190500">
                      <a:schemeClr val="bg1">
                        <a:alpha val="70000"/>
                      </a:schemeClr>
                    </a:glow>
                  </a:effectLst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1960354955630548"/>
          <c:y val="0.14590498335359089"/>
          <c:w val="0.59253918260217475"/>
          <c:h val="0.86411964129483809"/>
        </c:manualLayout>
      </c:layout>
      <c:pieChart>
        <c:varyColors val="1"/>
        <c:ser>
          <c:idx val="0"/>
          <c:order val="0"/>
          <c:tx>
            <c:strRef>
              <c:f>Consolidado!$H$3</c:f>
              <c:strCache>
                <c:ptCount val="1"/>
                <c:pt idx="0">
                  <c:v>Pós Implantação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21F-446E-AA38-89EC598630FD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21F-446E-AA38-89EC598630FD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21F-446E-AA38-89EC598630FD}"/>
              </c:ext>
            </c:extLst>
          </c:dPt>
          <c:dPt>
            <c:idx val="3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21F-446E-AA38-89EC598630FD}"/>
              </c:ext>
            </c:extLst>
          </c:dPt>
          <c:dPt>
            <c:idx val="4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21F-446E-AA38-89EC598630FD}"/>
              </c:ext>
            </c:extLst>
          </c:dPt>
          <c:dPt>
            <c:idx val="5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921F-446E-AA38-89EC598630FD}"/>
              </c:ext>
            </c:extLst>
          </c:dPt>
          <c:dPt>
            <c:idx val="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921F-446E-AA38-89EC598630FD}"/>
              </c:ext>
            </c:extLst>
          </c:dPt>
          <c:dPt>
            <c:idx val="7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921F-446E-AA38-89EC598630FD}"/>
              </c:ext>
            </c:extLst>
          </c:dPt>
          <c:dPt>
            <c:idx val="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921F-446E-AA38-89EC598630FD}"/>
              </c:ext>
            </c:extLst>
          </c:dPt>
          <c:dPt>
            <c:idx val="9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921F-446E-AA38-89EC598630FD}"/>
              </c:ext>
            </c:extLst>
          </c:dPt>
          <c:dPt>
            <c:idx val="1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921F-446E-AA38-89EC598630FD}"/>
              </c:ext>
            </c:extLst>
          </c:dPt>
          <c:dPt>
            <c:idx val="11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921F-446E-AA38-89EC598630FD}"/>
              </c:ext>
            </c:extLst>
          </c:dPt>
          <c:dPt>
            <c:idx val="1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921F-446E-AA38-89EC598630FD}"/>
              </c:ext>
            </c:extLst>
          </c:dPt>
          <c:dLbls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921F-446E-AA38-89EC598630F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pt-BR" sz="900" b="1" i="0" u="none" strike="noStrike" kern="1200" baseline="0">
                    <a:solidFill>
                      <a:sysClr val="windowText" lastClr="000000"/>
                    </a:solidFill>
                    <a:effectLst>
                      <a:glow rad="228600">
                        <a:schemeClr val="bg1">
                          <a:alpha val="40000"/>
                        </a:schemeClr>
                      </a:glow>
                    </a:effectLst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Consolidado!$F$4:$F$16</c:f>
              <c:strCache>
                <c:ptCount val="13"/>
                <c:pt idx="0">
                  <c:v>Operações \ Negócio</c:v>
                </c:pt>
                <c:pt idx="1">
                  <c:v>Engenharia</c:v>
                </c:pt>
                <c:pt idx="2">
                  <c:v>CSE Gravadores</c:v>
                </c:pt>
                <c:pt idx="3">
                  <c:v>URA</c:v>
                </c:pt>
                <c:pt idx="4">
                  <c:v>Produção TI</c:v>
                </c:pt>
                <c:pt idx="5">
                  <c:v>CSE Microsoft</c:v>
                </c:pt>
                <c:pt idx="6">
                  <c:v>Projetos</c:v>
                </c:pt>
                <c:pt idx="7">
                  <c:v>CSC</c:v>
                </c:pt>
                <c:pt idx="8">
                  <c:v>CSC NOC</c:v>
                </c:pt>
                <c:pt idx="9">
                  <c:v>CSC Service Desk</c:v>
                </c:pt>
                <c:pt idx="10">
                  <c:v>CSE Telecom</c:v>
                </c:pt>
                <c:pt idx="11">
                  <c:v>Infraestrutura</c:v>
                </c:pt>
                <c:pt idx="12">
                  <c:v>Site Suporte de Campo</c:v>
                </c:pt>
              </c:strCache>
            </c:strRef>
          </c:cat>
          <c:val>
            <c:numRef>
              <c:f>Consolidado!$H$4:$H$16</c:f>
              <c:numCache>
                <c:formatCode>0%</c:formatCode>
                <c:ptCount val="13"/>
                <c:pt idx="0">
                  <c:v>0.65</c:v>
                </c:pt>
                <c:pt idx="1">
                  <c:v>0.76666666666666672</c:v>
                </c:pt>
                <c:pt idx="2">
                  <c:v>0.85</c:v>
                </c:pt>
                <c:pt idx="3">
                  <c:v>0.875</c:v>
                </c:pt>
                <c:pt idx="4">
                  <c:v>0.7</c:v>
                </c:pt>
                <c:pt idx="5">
                  <c:v>0.9</c:v>
                </c:pt>
                <c:pt idx="6">
                  <c:v>0.9</c:v>
                </c:pt>
                <c:pt idx="7">
                  <c:v>0.94000000000000006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921F-446E-AA38-89EC598630FD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586740</xdr:colOff>
      <xdr:row>28</xdr:row>
      <xdr:rowOff>76200</xdr:rowOff>
    </xdr:from>
    <xdr:to>
      <xdr:col>21</xdr:col>
      <xdr:colOff>594360</xdr:colOff>
      <xdr:row>54</xdr:row>
      <xdr:rowOff>83820</xdr:rowOff>
    </xdr:to>
    <xdr:graphicFrame macro="">
      <xdr:nvGraphicFramePr>
        <xdr:cNvPr id="2" name="Grá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571500</xdr:colOff>
      <xdr:row>55</xdr:row>
      <xdr:rowOff>68580</xdr:rowOff>
    </xdr:from>
    <xdr:to>
      <xdr:col>21</xdr:col>
      <xdr:colOff>579120</xdr:colOff>
      <xdr:row>81</xdr:row>
      <xdr:rowOff>76200</xdr:rowOff>
    </xdr:to>
    <xdr:graphicFrame macro="">
      <xdr:nvGraphicFramePr>
        <xdr:cNvPr id="3" name="Gráfico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601980</xdr:colOff>
      <xdr:row>1</xdr:row>
      <xdr:rowOff>30480</xdr:rowOff>
    </xdr:from>
    <xdr:to>
      <xdr:col>11</xdr:col>
      <xdr:colOff>7620</xdr:colOff>
      <xdr:row>27</xdr:row>
      <xdr:rowOff>53340</xdr:rowOff>
    </xdr:to>
    <xdr:graphicFrame macro="">
      <xdr:nvGraphicFramePr>
        <xdr:cNvPr id="5" name="Gráfico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15240</xdr:colOff>
      <xdr:row>1</xdr:row>
      <xdr:rowOff>30480</xdr:rowOff>
    </xdr:from>
    <xdr:to>
      <xdr:col>22</xdr:col>
      <xdr:colOff>38100</xdr:colOff>
      <xdr:row>26</xdr:row>
      <xdr:rowOff>175260</xdr:rowOff>
    </xdr:to>
    <xdr:graphicFrame macro="">
      <xdr:nvGraphicFramePr>
        <xdr:cNvPr id="6" name="Gráfico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tabSelected="1" topLeftCell="A13" workbookViewId="0">
      <selection activeCell="A58" sqref="A58"/>
    </sheetView>
  </sheetViews>
  <sheetFormatPr defaultRowHeight="14.4" x14ac:dyDescent="0.3"/>
  <sheetData/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21"/>
  <sheetViews>
    <sheetView workbookViewId="0">
      <selection activeCell="H2" sqref="H2:H13"/>
    </sheetView>
  </sheetViews>
  <sheetFormatPr defaultRowHeight="14.4" x14ac:dyDescent="0.3"/>
  <cols>
    <col min="1" max="1" width="6" bestFit="1" customWidth="1"/>
    <col min="2" max="2" width="14.77734375" bestFit="1" customWidth="1"/>
    <col min="3" max="3" width="20" bestFit="1" customWidth="1"/>
    <col min="4" max="4" width="15.33203125" customWidth="1"/>
    <col min="5" max="5" width="13.33203125" customWidth="1"/>
    <col min="6" max="6" width="18.109375" customWidth="1"/>
    <col min="7" max="7" width="15.88671875" customWidth="1"/>
    <col min="8" max="8" width="14.88671875" customWidth="1"/>
    <col min="9" max="9" width="13.5546875" customWidth="1"/>
    <col min="10" max="10" width="11.6640625" customWidth="1"/>
    <col min="11" max="11" width="8.33203125" customWidth="1"/>
    <col min="12" max="12" width="16.88671875" customWidth="1"/>
    <col min="13" max="13" width="14.6640625" customWidth="1"/>
    <col min="14" max="14" width="16.33203125" customWidth="1"/>
  </cols>
  <sheetData>
    <row r="1" spans="1:14" x14ac:dyDescent="0.3">
      <c r="A1" s="3" t="s">
        <v>11</v>
      </c>
      <c r="B1" s="2" t="s">
        <v>13</v>
      </c>
      <c r="C1" s="2" t="s">
        <v>25</v>
      </c>
      <c r="D1" s="37" t="s">
        <v>0</v>
      </c>
      <c r="E1" s="38" t="s">
        <v>1</v>
      </c>
      <c r="F1" s="37" t="s">
        <v>2</v>
      </c>
      <c r="G1" s="38" t="s">
        <v>3</v>
      </c>
      <c r="H1" s="37" t="s">
        <v>4</v>
      </c>
      <c r="I1" s="37" t="s">
        <v>5</v>
      </c>
      <c r="J1" s="37" t="s">
        <v>6</v>
      </c>
      <c r="K1" s="37" t="s">
        <v>7</v>
      </c>
      <c r="L1" s="37" t="s">
        <v>8</v>
      </c>
      <c r="M1" s="37" t="s">
        <v>9</v>
      </c>
      <c r="N1" s="38" t="s">
        <v>10</v>
      </c>
    </row>
    <row r="2" spans="1:14" x14ac:dyDescent="0.3">
      <c r="A2" s="52" t="s">
        <v>27</v>
      </c>
      <c r="B2" s="53"/>
      <c r="C2" s="54"/>
      <c r="D2" s="39">
        <f t="shared" ref="D2:N2" si="0">AVERAGE(D3:D421)</f>
        <v>0.97</v>
      </c>
      <c r="E2" s="39">
        <f t="shared" si="0"/>
        <v>0.61666666666666659</v>
      </c>
      <c r="F2" s="39">
        <f t="shared" si="0"/>
        <v>0.76666666666666672</v>
      </c>
      <c r="G2" s="39">
        <f t="shared" si="0"/>
        <v>0.6</v>
      </c>
      <c r="H2" s="39">
        <f t="shared" si="0"/>
        <v>0.75714285714285712</v>
      </c>
      <c r="I2" s="39">
        <f t="shared" si="0"/>
        <v>0.48333333333333339</v>
      </c>
      <c r="J2" s="39">
        <f t="shared" si="0"/>
        <v>0.91999999999999993</v>
      </c>
      <c r="K2" s="39">
        <f t="shared" si="0"/>
        <v>0.39999999999999997</v>
      </c>
      <c r="L2" s="39">
        <f t="shared" si="0"/>
        <v>0.9</v>
      </c>
      <c r="M2" s="39">
        <f t="shared" si="0"/>
        <v>0.9</v>
      </c>
      <c r="N2" s="39">
        <f t="shared" si="0"/>
        <v>0.56666666666666676</v>
      </c>
    </row>
    <row r="3" spans="1:14" x14ac:dyDescent="0.3">
      <c r="A3" s="7">
        <v>12345</v>
      </c>
      <c r="B3" s="12" t="s">
        <v>18</v>
      </c>
      <c r="C3" s="30">
        <v>42569.657638888886</v>
      </c>
      <c r="D3" s="16">
        <v>1</v>
      </c>
      <c r="E3" s="16" t="s">
        <v>12</v>
      </c>
      <c r="F3" s="16">
        <v>1</v>
      </c>
      <c r="G3" s="16">
        <v>0.9</v>
      </c>
      <c r="H3" s="16">
        <v>0.7</v>
      </c>
      <c r="I3" s="16">
        <v>0</v>
      </c>
      <c r="J3" s="16" t="s">
        <v>12</v>
      </c>
      <c r="K3" s="16" t="s">
        <v>12</v>
      </c>
      <c r="L3" s="16" t="s">
        <v>12</v>
      </c>
      <c r="M3" s="16">
        <v>0.7</v>
      </c>
      <c r="N3" s="17" t="s">
        <v>12</v>
      </c>
    </row>
    <row r="4" spans="1:14" x14ac:dyDescent="0.3">
      <c r="A4" s="7">
        <v>12346</v>
      </c>
      <c r="B4" s="23" t="s">
        <v>14</v>
      </c>
      <c r="C4" s="30">
        <v>42568.791666666664</v>
      </c>
      <c r="D4" s="16">
        <v>1</v>
      </c>
      <c r="E4" s="16" t="s">
        <v>12</v>
      </c>
      <c r="F4" s="16" t="s">
        <v>12</v>
      </c>
      <c r="G4" s="16">
        <v>1</v>
      </c>
      <c r="H4" s="16">
        <v>0.5</v>
      </c>
      <c r="I4" s="16">
        <v>1</v>
      </c>
      <c r="J4" s="16">
        <v>0.9</v>
      </c>
      <c r="K4" s="16" t="s">
        <v>12</v>
      </c>
      <c r="L4" s="16">
        <v>0.9</v>
      </c>
      <c r="M4" s="16" t="s">
        <v>12</v>
      </c>
      <c r="N4" s="17">
        <v>1</v>
      </c>
    </row>
    <row r="5" spans="1:14" x14ac:dyDescent="0.3">
      <c r="A5" s="7">
        <v>12347</v>
      </c>
      <c r="B5" s="23" t="s">
        <v>16</v>
      </c>
      <c r="C5" s="30">
        <v>42564.5</v>
      </c>
      <c r="D5" s="16">
        <v>1</v>
      </c>
      <c r="E5" s="16">
        <v>0.2</v>
      </c>
      <c r="F5" s="16">
        <v>0.9</v>
      </c>
      <c r="G5" s="16">
        <v>0</v>
      </c>
      <c r="H5" s="16" t="s">
        <v>12</v>
      </c>
      <c r="I5" s="16">
        <v>0.2</v>
      </c>
      <c r="J5" s="16" t="s">
        <v>12</v>
      </c>
      <c r="K5" s="16" t="s">
        <v>12</v>
      </c>
      <c r="L5" s="16">
        <v>1</v>
      </c>
      <c r="M5" s="16" t="s">
        <v>12</v>
      </c>
      <c r="N5" s="17">
        <v>0.5</v>
      </c>
    </row>
    <row r="6" spans="1:14" x14ac:dyDescent="0.3">
      <c r="A6" s="7">
        <v>12348</v>
      </c>
      <c r="B6" s="23" t="s">
        <v>15</v>
      </c>
      <c r="C6" s="30">
        <v>42573.409722222219</v>
      </c>
      <c r="D6" s="16">
        <v>1</v>
      </c>
      <c r="E6" s="16" t="s">
        <v>12</v>
      </c>
      <c r="F6" s="16">
        <v>0.5</v>
      </c>
      <c r="G6" s="16" t="s">
        <v>12</v>
      </c>
      <c r="H6" s="16" t="s">
        <v>12</v>
      </c>
      <c r="I6" s="16" t="s">
        <v>12</v>
      </c>
      <c r="J6" s="16" t="s">
        <v>12</v>
      </c>
      <c r="K6" s="16" t="s">
        <v>12</v>
      </c>
      <c r="L6" s="16" t="s">
        <v>12</v>
      </c>
      <c r="M6" s="16" t="s">
        <v>12</v>
      </c>
      <c r="N6" s="17" t="s">
        <v>12</v>
      </c>
    </row>
    <row r="7" spans="1:14" x14ac:dyDescent="0.3">
      <c r="A7" s="7">
        <v>12349</v>
      </c>
      <c r="B7" s="23" t="s">
        <v>17</v>
      </c>
      <c r="C7" s="30">
        <v>42561.083333333336</v>
      </c>
      <c r="D7" s="16">
        <v>1</v>
      </c>
      <c r="E7" s="16">
        <v>1</v>
      </c>
      <c r="F7" s="16">
        <v>1</v>
      </c>
      <c r="G7" s="16">
        <v>0.8</v>
      </c>
      <c r="H7" s="16">
        <v>1</v>
      </c>
      <c r="I7" s="16">
        <v>1</v>
      </c>
      <c r="J7" s="16">
        <v>1</v>
      </c>
      <c r="K7" s="16">
        <v>0.2</v>
      </c>
      <c r="L7" s="16">
        <v>1</v>
      </c>
      <c r="M7" s="16">
        <v>1</v>
      </c>
      <c r="N7" s="17">
        <v>0.6</v>
      </c>
    </row>
    <row r="8" spans="1:14" x14ac:dyDescent="0.3">
      <c r="A8" s="7">
        <v>12350</v>
      </c>
      <c r="B8" s="23" t="s">
        <v>29</v>
      </c>
      <c r="C8" s="30">
        <v>42570.583333333336</v>
      </c>
      <c r="D8" s="16">
        <v>1</v>
      </c>
      <c r="E8" s="16">
        <v>0.7</v>
      </c>
      <c r="F8" s="16" t="s">
        <v>12</v>
      </c>
      <c r="G8" s="16">
        <v>0</v>
      </c>
      <c r="H8" s="16">
        <v>0.7</v>
      </c>
      <c r="I8" s="16" t="s">
        <v>12</v>
      </c>
      <c r="J8" s="16">
        <v>0.9</v>
      </c>
      <c r="K8" s="16" t="s">
        <v>12</v>
      </c>
      <c r="L8" s="16" t="s">
        <v>12</v>
      </c>
      <c r="M8" s="16" t="s">
        <v>12</v>
      </c>
      <c r="N8" s="17" t="s">
        <v>12</v>
      </c>
    </row>
    <row r="9" spans="1:14" x14ac:dyDescent="0.3">
      <c r="A9" s="7">
        <v>12351</v>
      </c>
      <c r="B9" s="23" t="s">
        <v>14</v>
      </c>
      <c r="C9" s="30">
        <v>42562.229166666664</v>
      </c>
      <c r="D9" s="16">
        <v>0.7</v>
      </c>
      <c r="E9" s="16" t="s">
        <v>12</v>
      </c>
      <c r="F9" s="16" t="s">
        <v>12</v>
      </c>
      <c r="G9" s="16">
        <v>0.7</v>
      </c>
      <c r="H9" s="16">
        <v>0.8</v>
      </c>
      <c r="I9" s="16" t="s">
        <v>12</v>
      </c>
      <c r="J9" s="16" t="s">
        <v>12</v>
      </c>
      <c r="K9" s="16" t="s">
        <v>12</v>
      </c>
      <c r="L9" s="16" t="s">
        <v>12</v>
      </c>
      <c r="M9" s="16" t="s">
        <v>12</v>
      </c>
      <c r="N9" s="17">
        <v>0.2</v>
      </c>
    </row>
    <row r="10" spans="1:14" x14ac:dyDescent="0.3">
      <c r="A10" s="7">
        <v>12352</v>
      </c>
      <c r="B10" s="23" t="s">
        <v>29</v>
      </c>
      <c r="C10" s="30">
        <v>42574.458333333336</v>
      </c>
      <c r="D10" s="16">
        <v>1</v>
      </c>
      <c r="E10" s="16">
        <v>0.9</v>
      </c>
      <c r="F10" s="16" t="s">
        <v>12</v>
      </c>
      <c r="G10" s="16" t="s">
        <v>12</v>
      </c>
      <c r="H10" s="16" t="s">
        <v>12</v>
      </c>
      <c r="I10" s="16" t="s">
        <v>12</v>
      </c>
      <c r="J10" s="16" t="s">
        <v>12</v>
      </c>
      <c r="K10" s="16" t="s">
        <v>12</v>
      </c>
      <c r="L10" s="16">
        <v>0.5</v>
      </c>
      <c r="M10" s="16" t="s">
        <v>12</v>
      </c>
      <c r="N10" s="17" t="s">
        <v>12</v>
      </c>
    </row>
    <row r="11" spans="1:14" x14ac:dyDescent="0.3">
      <c r="A11" s="7">
        <v>12353</v>
      </c>
      <c r="B11" s="23" t="s">
        <v>15</v>
      </c>
      <c r="C11" s="30">
        <v>42568.020833333336</v>
      </c>
      <c r="D11" s="16">
        <v>1</v>
      </c>
      <c r="E11" s="16" t="s">
        <v>12</v>
      </c>
      <c r="F11" s="16" t="s">
        <v>12</v>
      </c>
      <c r="G11" s="16" t="s">
        <v>12</v>
      </c>
      <c r="H11" s="16" t="s">
        <v>12</v>
      </c>
      <c r="I11" s="16">
        <v>0</v>
      </c>
      <c r="J11" s="16" t="s">
        <v>12</v>
      </c>
      <c r="K11" s="16" t="s">
        <v>12</v>
      </c>
      <c r="L11" s="16">
        <v>1</v>
      </c>
      <c r="M11" s="16" t="s">
        <v>12</v>
      </c>
      <c r="N11" s="17" t="s">
        <v>12</v>
      </c>
    </row>
    <row r="12" spans="1:14" x14ac:dyDescent="0.3">
      <c r="A12" s="7">
        <v>12354</v>
      </c>
      <c r="B12" s="23" t="s">
        <v>14</v>
      </c>
      <c r="C12" s="30">
        <v>42569.802083333336</v>
      </c>
      <c r="D12" s="16">
        <v>1</v>
      </c>
      <c r="E12" s="16">
        <v>0.5</v>
      </c>
      <c r="F12" s="16">
        <v>1</v>
      </c>
      <c r="G12" s="16">
        <v>0.8</v>
      </c>
      <c r="H12" s="16">
        <v>1</v>
      </c>
      <c r="I12" s="16">
        <v>0.7</v>
      </c>
      <c r="J12" s="16">
        <v>1</v>
      </c>
      <c r="K12" s="16">
        <v>1</v>
      </c>
      <c r="L12" s="16">
        <v>1</v>
      </c>
      <c r="M12" s="16">
        <v>1</v>
      </c>
      <c r="N12" s="17">
        <v>1</v>
      </c>
    </row>
    <row r="13" spans="1:14" x14ac:dyDescent="0.3">
      <c r="A13" s="7">
        <v>12355</v>
      </c>
      <c r="B13" s="23" t="s">
        <v>29</v>
      </c>
      <c r="C13" s="30">
        <v>42569.666666666664</v>
      </c>
      <c r="D13" s="16" t="s">
        <v>12</v>
      </c>
      <c r="E13" s="16">
        <v>0.4</v>
      </c>
      <c r="F13" s="16">
        <v>0.2</v>
      </c>
      <c r="G13" s="16" t="s">
        <v>12</v>
      </c>
      <c r="H13" s="16">
        <v>0.6</v>
      </c>
      <c r="I13" s="16" t="s">
        <v>12</v>
      </c>
      <c r="J13" s="16">
        <v>0.8</v>
      </c>
      <c r="K13" s="16">
        <v>0</v>
      </c>
      <c r="L13" s="16" t="s">
        <v>12</v>
      </c>
      <c r="M13" s="16" t="s">
        <v>12</v>
      </c>
      <c r="N13" s="17">
        <v>0.1</v>
      </c>
    </row>
    <row r="14" spans="1:14" x14ac:dyDescent="0.3">
      <c r="A14" s="7"/>
      <c r="B14" s="23"/>
      <c r="C14" s="23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7"/>
    </row>
    <row r="15" spans="1:14" x14ac:dyDescent="0.3">
      <c r="A15" s="7"/>
      <c r="B15" s="23"/>
      <c r="C15" s="23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7"/>
    </row>
    <row r="16" spans="1:14" x14ac:dyDescent="0.3">
      <c r="A16" s="7"/>
      <c r="B16" s="23"/>
      <c r="C16" s="23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7"/>
    </row>
    <row r="17" spans="1:14" x14ac:dyDescent="0.3">
      <c r="A17" s="7"/>
      <c r="B17" s="23"/>
      <c r="C17" s="23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7"/>
    </row>
    <row r="18" spans="1:14" x14ac:dyDescent="0.3">
      <c r="A18" s="7"/>
      <c r="B18" s="23"/>
      <c r="C18" s="23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7"/>
    </row>
    <row r="19" spans="1:14" x14ac:dyDescent="0.3">
      <c r="A19" s="7"/>
      <c r="B19" s="23"/>
      <c r="C19" s="23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7"/>
    </row>
    <row r="20" spans="1:14" x14ac:dyDescent="0.3">
      <c r="A20" s="7"/>
      <c r="B20" s="23"/>
      <c r="C20" s="23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7"/>
    </row>
    <row r="21" spans="1:14" x14ac:dyDescent="0.3">
      <c r="A21" s="7"/>
      <c r="B21" s="23"/>
      <c r="C21" s="23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7"/>
    </row>
    <row r="22" spans="1:14" x14ac:dyDescent="0.3">
      <c r="A22" s="7"/>
      <c r="B22" s="23"/>
      <c r="C22" s="23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7"/>
    </row>
    <row r="23" spans="1:14" x14ac:dyDescent="0.3">
      <c r="A23" s="7"/>
      <c r="B23" s="23"/>
      <c r="C23" s="23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7"/>
    </row>
    <row r="24" spans="1:14" x14ac:dyDescent="0.3">
      <c r="A24" s="7"/>
      <c r="B24" s="23"/>
      <c r="C24" s="23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7"/>
    </row>
    <row r="25" spans="1:14" x14ac:dyDescent="0.3">
      <c r="A25" s="7"/>
      <c r="B25" s="23"/>
      <c r="C25" s="23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7"/>
    </row>
    <row r="26" spans="1:14" x14ac:dyDescent="0.3">
      <c r="A26" s="7"/>
      <c r="B26" s="23"/>
      <c r="C26" s="23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7"/>
    </row>
    <row r="27" spans="1:14" x14ac:dyDescent="0.3">
      <c r="A27" s="7"/>
      <c r="B27" s="23"/>
      <c r="C27" s="23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7"/>
    </row>
    <row r="28" spans="1:14" x14ac:dyDescent="0.3">
      <c r="A28" s="7"/>
      <c r="B28" s="23"/>
      <c r="C28" s="23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7"/>
    </row>
    <row r="29" spans="1:14" x14ac:dyDescent="0.3">
      <c r="A29" s="7"/>
      <c r="B29" s="23"/>
      <c r="C29" s="23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7"/>
    </row>
    <row r="30" spans="1:14" x14ac:dyDescent="0.3">
      <c r="A30" s="7"/>
      <c r="B30" s="23"/>
      <c r="C30" s="23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7"/>
    </row>
    <row r="31" spans="1:14" x14ac:dyDescent="0.3">
      <c r="A31" s="7"/>
      <c r="B31" s="23"/>
      <c r="C31" s="23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7"/>
    </row>
    <row r="32" spans="1:14" x14ac:dyDescent="0.3">
      <c r="A32" s="7"/>
      <c r="B32" s="23"/>
      <c r="C32" s="23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7"/>
    </row>
    <row r="33" spans="1:14" x14ac:dyDescent="0.3">
      <c r="A33" s="7"/>
      <c r="B33" s="23"/>
      <c r="C33" s="23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7"/>
    </row>
    <row r="34" spans="1:14" x14ac:dyDescent="0.3">
      <c r="A34" s="7"/>
      <c r="B34" s="23"/>
      <c r="C34" s="23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7"/>
    </row>
    <row r="35" spans="1:14" x14ac:dyDescent="0.3">
      <c r="A35" s="7"/>
      <c r="B35" s="23"/>
      <c r="C35" s="23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7"/>
    </row>
    <row r="36" spans="1:14" x14ac:dyDescent="0.3">
      <c r="A36" s="7"/>
      <c r="B36" s="23"/>
      <c r="C36" s="23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7"/>
    </row>
    <row r="37" spans="1:14" x14ac:dyDescent="0.3">
      <c r="A37" s="7"/>
      <c r="B37" s="23"/>
      <c r="C37" s="23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7"/>
    </row>
    <row r="38" spans="1:14" x14ac:dyDescent="0.3">
      <c r="A38" s="7"/>
      <c r="B38" s="23"/>
      <c r="C38" s="23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7"/>
    </row>
    <row r="39" spans="1:14" x14ac:dyDescent="0.3">
      <c r="A39" s="7"/>
      <c r="B39" s="23"/>
      <c r="C39" s="23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7"/>
    </row>
    <row r="40" spans="1:14" x14ac:dyDescent="0.3">
      <c r="A40" s="7"/>
      <c r="B40" s="23"/>
      <c r="C40" s="23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7"/>
    </row>
    <row r="41" spans="1:14" x14ac:dyDescent="0.3">
      <c r="A41" s="7"/>
      <c r="B41" s="23"/>
      <c r="C41" s="23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7"/>
    </row>
    <row r="42" spans="1:14" x14ac:dyDescent="0.3">
      <c r="A42" s="7"/>
      <c r="B42" s="23"/>
      <c r="C42" s="23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7"/>
    </row>
    <row r="43" spans="1:14" x14ac:dyDescent="0.3">
      <c r="A43" s="7"/>
      <c r="B43" s="23"/>
      <c r="C43" s="23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7"/>
    </row>
    <row r="44" spans="1:14" x14ac:dyDescent="0.3">
      <c r="A44" s="7"/>
      <c r="B44" s="23"/>
      <c r="C44" s="23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7"/>
    </row>
    <row r="45" spans="1:14" x14ac:dyDescent="0.3">
      <c r="A45" s="7"/>
      <c r="B45" s="23"/>
      <c r="C45" s="23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7"/>
    </row>
    <row r="46" spans="1:14" x14ac:dyDescent="0.3">
      <c r="A46" s="7"/>
      <c r="B46" s="23"/>
      <c r="C46" s="23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7"/>
    </row>
    <row r="47" spans="1:14" x14ac:dyDescent="0.3">
      <c r="A47" s="7"/>
      <c r="B47" s="23"/>
      <c r="C47" s="23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7"/>
    </row>
    <row r="48" spans="1:14" x14ac:dyDescent="0.3">
      <c r="A48" s="7"/>
      <c r="B48" s="23"/>
      <c r="C48" s="23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7"/>
    </row>
    <row r="49" spans="1:14" x14ac:dyDescent="0.3">
      <c r="A49" s="7"/>
      <c r="B49" s="23"/>
      <c r="C49" s="23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7"/>
    </row>
    <row r="50" spans="1:14" x14ac:dyDescent="0.3">
      <c r="A50" s="7"/>
      <c r="B50" s="23"/>
      <c r="C50" s="23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7"/>
    </row>
    <row r="51" spans="1:14" x14ac:dyDescent="0.3">
      <c r="A51" s="7"/>
      <c r="B51" s="23"/>
      <c r="C51" s="23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7"/>
    </row>
    <row r="52" spans="1:14" x14ac:dyDescent="0.3">
      <c r="A52" s="7"/>
      <c r="B52" s="23"/>
      <c r="C52" s="23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7"/>
    </row>
    <row r="53" spans="1:14" x14ac:dyDescent="0.3">
      <c r="A53" s="7"/>
      <c r="B53" s="23"/>
      <c r="C53" s="23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7"/>
    </row>
    <row r="54" spans="1:14" x14ac:dyDescent="0.3">
      <c r="A54" s="7"/>
      <c r="B54" s="23"/>
      <c r="C54" s="23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7"/>
    </row>
    <row r="55" spans="1:14" x14ac:dyDescent="0.3">
      <c r="A55" s="7"/>
      <c r="B55" s="23"/>
      <c r="C55" s="23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7"/>
    </row>
    <row r="56" spans="1:14" x14ac:dyDescent="0.3">
      <c r="A56" s="7"/>
      <c r="B56" s="23"/>
      <c r="C56" s="23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7"/>
    </row>
    <row r="57" spans="1:14" x14ac:dyDescent="0.3">
      <c r="A57" s="7"/>
      <c r="B57" s="23"/>
      <c r="C57" s="23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7"/>
    </row>
    <row r="58" spans="1:14" x14ac:dyDescent="0.3">
      <c r="A58" s="7"/>
      <c r="B58" s="23"/>
      <c r="C58" s="23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7"/>
    </row>
    <row r="59" spans="1:14" x14ac:dyDescent="0.3">
      <c r="A59" s="7"/>
      <c r="B59" s="23"/>
      <c r="C59" s="23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7"/>
    </row>
    <row r="60" spans="1:14" x14ac:dyDescent="0.3">
      <c r="A60" s="7"/>
      <c r="B60" s="23"/>
      <c r="C60" s="23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7"/>
    </row>
    <row r="61" spans="1:14" x14ac:dyDescent="0.3">
      <c r="A61" s="7"/>
      <c r="B61" s="23"/>
      <c r="C61" s="23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7"/>
    </row>
    <row r="62" spans="1:14" x14ac:dyDescent="0.3">
      <c r="A62" s="7"/>
      <c r="B62" s="23"/>
      <c r="C62" s="23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7"/>
    </row>
    <row r="63" spans="1:14" x14ac:dyDescent="0.3">
      <c r="A63" s="7"/>
      <c r="B63" s="23"/>
      <c r="C63" s="23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7"/>
    </row>
    <row r="64" spans="1:14" x14ac:dyDescent="0.3">
      <c r="A64" s="7"/>
      <c r="B64" s="23"/>
      <c r="C64" s="23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7"/>
    </row>
    <row r="65" spans="1:14" x14ac:dyDescent="0.3">
      <c r="A65" s="7"/>
      <c r="B65" s="23"/>
      <c r="C65" s="23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7"/>
    </row>
    <row r="66" spans="1:14" x14ac:dyDescent="0.3">
      <c r="A66" s="7"/>
      <c r="B66" s="23"/>
      <c r="C66" s="23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7"/>
    </row>
    <row r="67" spans="1:14" x14ac:dyDescent="0.3">
      <c r="A67" s="7"/>
      <c r="B67" s="23"/>
      <c r="C67" s="23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7"/>
    </row>
    <row r="68" spans="1:14" x14ac:dyDescent="0.3">
      <c r="A68" s="7"/>
      <c r="B68" s="23"/>
      <c r="C68" s="23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7"/>
    </row>
    <row r="69" spans="1:14" x14ac:dyDescent="0.3">
      <c r="A69" s="7"/>
      <c r="B69" s="23"/>
      <c r="C69" s="23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7"/>
    </row>
    <row r="70" spans="1:14" x14ac:dyDescent="0.3">
      <c r="A70" s="7"/>
      <c r="B70" s="23"/>
      <c r="C70" s="23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7"/>
    </row>
    <row r="71" spans="1:14" x14ac:dyDescent="0.3">
      <c r="A71" s="7"/>
      <c r="B71" s="23"/>
      <c r="C71" s="23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7"/>
    </row>
    <row r="72" spans="1:14" x14ac:dyDescent="0.3">
      <c r="A72" s="7"/>
      <c r="B72" s="23"/>
      <c r="C72" s="23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7"/>
    </row>
    <row r="73" spans="1:14" x14ac:dyDescent="0.3">
      <c r="A73" s="7"/>
      <c r="B73" s="23"/>
      <c r="C73" s="23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7"/>
    </row>
    <row r="74" spans="1:14" x14ac:dyDescent="0.3">
      <c r="A74" s="7"/>
      <c r="B74" s="23"/>
      <c r="C74" s="23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7"/>
    </row>
    <row r="75" spans="1:14" x14ac:dyDescent="0.3">
      <c r="A75" s="7"/>
      <c r="B75" s="23"/>
      <c r="C75" s="23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7"/>
    </row>
    <row r="76" spans="1:14" x14ac:dyDescent="0.3">
      <c r="A76" s="7"/>
      <c r="B76" s="23"/>
      <c r="C76" s="23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7"/>
    </row>
    <row r="77" spans="1:14" x14ac:dyDescent="0.3">
      <c r="A77" s="7"/>
      <c r="B77" s="23"/>
      <c r="C77" s="23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7"/>
    </row>
    <row r="78" spans="1:14" x14ac:dyDescent="0.3">
      <c r="A78" s="7"/>
      <c r="B78" s="23"/>
      <c r="C78" s="23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7"/>
    </row>
    <row r="79" spans="1:14" x14ac:dyDescent="0.3">
      <c r="A79" s="7"/>
      <c r="B79" s="23"/>
      <c r="C79" s="23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7"/>
    </row>
    <row r="80" spans="1:14" x14ac:dyDescent="0.3">
      <c r="A80" s="7"/>
      <c r="B80" s="23"/>
      <c r="C80" s="23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7"/>
    </row>
    <row r="81" spans="1:14" x14ac:dyDescent="0.3">
      <c r="A81" s="7"/>
      <c r="B81" s="23"/>
      <c r="C81" s="23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7"/>
    </row>
    <row r="82" spans="1:14" x14ac:dyDescent="0.3">
      <c r="A82" s="7"/>
      <c r="B82" s="23"/>
      <c r="C82" s="23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7"/>
    </row>
    <row r="83" spans="1:14" x14ac:dyDescent="0.3">
      <c r="A83" s="7"/>
      <c r="B83" s="23"/>
      <c r="C83" s="23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7"/>
    </row>
    <row r="84" spans="1:14" x14ac:dyDescent="0.3">
      <c r="A84" s="7"/>
      <c r="B84" s="23"/>
      <c r="C84" s="23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7"/>
    </row>
    <row r="85" spans="1:14" x14ac:dyDescent="0.3">
      <c r="A85" s="7"/>
      <c r="B85" s="23"/>
      <c r="C85" s="23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7"/>
    </row>
    <row r="86" spans="1:14" x14ac:dyDescent="0.3">
      <c r="A86" s="7"/>
      <c r="B86" s="23"/>
      <c r="C86" s="23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7"/>
    </row>
    <row r="87" spans="1:14" x14ac:dyDescent="0.3">
      <c r="A87" s="7"/>
      <c r="B87" s="23"/>
      <c r="C87" s="23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7"/>
    </row>
    <row r="88" spans="1:14" x14ac:dyDescent="0.3">
      <c r="A88" s="7"/>
      <c r="B88" s="23"/>
      <c r="C88" s="23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7"/>
    </row>
    <row r="89" spans="1:14" x14ac:dyDescent="0.3">
      <c r="A89" s="7"/>
      <c r="B89" s="23"/>
      <c r="C89" s="23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7"/>
    </row>
    <row r="90" spans="1:14" x14ac:dyDescent="0.3">
      <c r="A90" s="7"/>
      <c r="B90" s="23"/>
      <c r="C90" s="23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7"/>
    </row>
    <row r="91" spans="1:14" x14ac:dyDescent="0.3">
      <c r="A91" s="7"/>
      <c r="B91" s="23"/>
      <c r="C91" s="23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7"/>
    </row>
    <row r="92" spans="1:14" x14ac:dyDescent="0.3">
      <c r="A92" s="7"/>
      <c r="B92" s="23"/>
      <c r="C92" s="23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7"/>
    </row>
    <row r="93" spans="1:14" x14ac:dyDescent="0.3">
      <c r="A93" s="7"/>
      <c r="B93" s="23"/>
      <c r="C93" s="23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7"/>
    </row>
    <row r="94" spans="1:14" x14ac:dyDescent="0.3">
      <c r="A94" s="7"/>
      <c r="B94" s="23"/>
      <c r="C94" s="23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7"/>
    </row>
    <row r="95" spans="1:14" x14ac:dyDescent="0.3">
      <c r="A95" s="7"/>
      <c r="B95" s="23"/>
      <c r="C95" s="23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7"/>
    </row>
    <row r="96" spans="1:14" x14ac:dyDescent="0.3">
      <c r="A96" s="7"/>
      <c r="B96" s="23"/>
      <c r="C96" s="23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7"/>
    </row>
    <row r="97" spans="1:14" x14ac:dyDescent="0.3">
      <c r="A97" s="7"/>
      <c r="B97" s="23"/>
      <c r="C97" s="23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7"/>
    </row>
    <row r="98" spans="1:14" x14ac:dyDescent="0.3">
      <c r="A98" s="7"/>
      <c r="B98" s="23"/>
      <c r="C98" s="23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7"/>
    </row>
    <row r="99" spans="1:14" x14ac:dyDescent="0.3">
      <c r="A99" s="7"/>
      <c r="B99" s="23"/>
      <c r="C99" s="23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7"/>
    </row>
    <row r="100" spans="1:14" x14ac:dyDescent="0.3">
      <c r="A100" s="7"/>
      <c r="B100" s="23"/>
      <c r="C100" s="23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7"/>
    </row>
    <row r="101" spans="1:14" x14ac:dyDescent="0.3">
      <c r="A101" s="7"/>
      <c r="B101" s="23"/>
      <c r="C101" s="23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7"/>
    </row>
    <row r="102" spans="1:14" x14ac:dyDescent="0.3">
      <c r="A102" s="7"/>
      <c r="B102" s="23"/>
      <c r="C102" s="23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7"/>
    </row>
    <row r="103" spans="1:14" x14ac:dyDescent="0.3">
      <c r="A103" s="7"/>
      <c r="B103" s="23"/>
      <c r="C103" s="23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7"/>
    </row>
    <row r="104" spans="1:14" x14ac:dyDescent="0.3">
      <c r="A104" s="7"/>
      <c r="B104" s="23"/>
      <c r="C104" s="23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7"/>
    </row>
    <row r="105" spans="1:14" x14ac:dyDescent="0.3">
      <c r="A105" s="7"/>
      <c r="B105" s="23"/>
      <c r="C105" s="23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7"/>
    </row>
    <row r="106" spans="1:14" x14ac:dyDescent="0.3">
      <c r="A106" s="7"/>
      <c r="B106" s="23"/>
      <c r="C106" s="23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7"/>
    </row>
    <row r="107" spans="1:14" x14ac:dyDescent="0.3">
      <c r="A107" s="7"/>
      <c r="B107" s="23"/>
      <c r="C107" s="23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7"/>
    </row>
    <row r="108" spans="1:14" x14ac:dyDescent="0.3">
      <c r="A108" s="7"/>
      <c r="B108" s="23"/>
      <c r="C108" s="23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7"/>
    </row>
    <row r="109" spans="1:14" x14ac:dyDescent="0.3">
      <c r="A109" s="7"/>
      <c r="B109" s="23"/>
      <c r="C109" s="23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7"/>
    </row>
    <row r="110" spans="1:14" x14ac:dyDescent="0.3">
      <c r="A110" s="7"/>
      <c r="B110" s="23"/>
      <c r="C110" s="23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7"/>
    </row>
    <row r="111" spans="1:14" x14ac:dyDescent="0.3">
      <c r="A111" s="7"/>
      <c r="B111" s="23"/>
      <c r="C111" s="23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7"/>
    </row>
    <row r="112" spans="1:14" x14ac:dyDescent="0.3">
      <c r="A112" s="7"/>
      <c r="B112" s="23"/>
      <c r="C112" s="23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7"/>
    </row>
    <row r="113" spans="1:14" x14ac:dyDescent="0.3">
      <c r="A113" s="7"/>
      <c r="B113" s="23"/>
      <c r="C113" s="23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7"/>
    </row>
    <row r="114" spans="1:14" x14ac:dyDescent="0.3">
      <c r="A114" s="7"/>
      <c r="B114" s="23"/>
      <c r="C114" s="23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7"/>
    </row>
    <row r="115" spans="1:14" x14ac:dyDescent="0.3">
      <c r="A115" s="7"/>
      <c r="B115" s="23"/>
      <c r="C115" s="23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7"/>
    </row>
    <row r="116" spans="1:14" x14ac:dyDescent="0.3">
      <c r="A116" s="7"/>
      <c r="B116" s="23"/>
      <c r="C116" s="23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7"/>
    </row>
    <row r="117" spans="1:14" x14ac:dyDescent="0.3">
      <c r="A117" s="7"/>
      <c r="B117" s="23"/>
      <c r="C117" s="23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7"/>
    </row>
    <row r="118" spans="1:14" x14ac:dyDescent="0.3">
      <c r="A118" s="7"/>
      <c r="B118" s="23"/>
      <c r="C118" s="23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7"/>
    </row>
    <row r="119" spans="1:14" x14ac:dyDescent="0.3">
      <c r="A119" s="7"/>
      <c r="B119" s="23"/>
      <c r="C119" s="23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7"/>
    </row>
    <row r="120" spans="1:14" x14ac:dyDescent="0.3">
      <c r="A120" s="7"/>
      <c r="B120" s="23"/>
      <c r="C120" s="23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7"/>
    </row>
    <row r="121" spans="1:14" x14ac:dyDescent="0.3">
      <c r="A121" s="7"/>
      <c r="B121" s="23"/>
      <c r="C121" s="23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7"/>
    </row>
    <row r="122" spans="1:14" x14ac:dyDescent="0.3">
      <c r="A122" s="7"/>
      <c r="B122" s="23"/>
      <c r="C122" s="23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7"/>
    </row>
    <row r="123" spans="1:14" x14ac:dyDescent="0.3">
      <c r="A123" s="7"/>
      <c r="B123" s="23"/>
      <c r="C123" s="23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7"/>
    </row>
    <row r="124" spans="1:14" x14ac:dyDescent="0.3">
      <c r="A124" s="7"/>
      <c r="B124" s="23"/>
      <c r="C124" s="23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7"/>
    </row>
    <row r="125" spans="1:14" x14ac:dyDescent="0.3">
      <c r="A125" s="7"/>
      <c r="B125" s="23"/>
      <c r="C125" s="23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7"/>
    </row>
    <row r="126" spans="1:14" x14ac:dyDescent="0.3">
      <c r="A126" s="7"/>
      <c r="B126" s="23"/>
      <c r="C126" s="23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7"/>
    </row>
    <row r="127" spans="1:14" x14ac:dyDescent="0.3">
      <c r="A127" s="7"/>
      <c r="B127" s="23"/>
      <c r="C127" s="23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7"/>
    </row>
    <row r="128" spans="1:14" x14ac:dyDescent="0.3">
      <c r="A128" s="7"/>
      <c r="B128" s="23"/>
      <c r="C128" s="23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7"/>
    </row>
    <row r="129" spans="1:14" x14ac:dyDescent="0.3">
      <c r="A129" s="7"/>
      <c r="B129" s="23"/>
      <c r="C129" s="23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7"/>
    </row>
    <row r="130" spans="1:14" x14ac:dyDescent="0.3">
      <c r="A130" s="7"/>
      <c r="B130" s="23"/>
      <c r="C130" s="23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7"/>
    </row>
    <row r="131" spans="1:14" x14ac:dyDescent="0.3">
      <c r="A131" s="7"/>
      <c r="B131" s="23"/>
      <c r="C131" s="23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7"/>
    </row>
    <row r="132" spans="1:14" x14ac:dyDescent="0.3">
      <c r="A132" s="7"/>
      <c r="B132" s="23"/>
      <c r="C132" s="23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7"/>
    </row>
    <row r="133" spans="1:14" x14ac:dyDescent="0.3">
      <c r="A133" s="7"/>
      <c r="B133" s="23"/>
      <c r="C133" s="23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7"/>
    </row>
    <row r="134" spans="1:14" x14ac:dyDescent="0.3">
      <c r="A134" s="7"/>
      <c r="B134" s="23"/>
      <c r="C134" s="23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7"/>
    </row>
    <row r="135" spans="1:14" x14ac:dyDescent="0.3">
      <c r="A135" s="7"/>
      <c r="B135" s="23"/>
      <c r="C135" s="23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7"/>
    </row>
    <row r="136" spans="1:14" x14ac:dyDescent="0.3">
      <c r="A136" s="7"/>
      <c r="B136" s="23"/>
      <c r="C136" s="23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7"/>
    </row>
    <row r="137" spans="1:14" x14ac:dyDescent="0.3">
      <c r="A137" s="7"/>
      <c r="B137" s="23"/>
      <c r="C137" s="23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7"/>
    </row>
    <row r="138" spans="1:14" x14ac:dyDescent="0.3">
      <c r="A138" s="7"/>
      <c r="B138" s="23"/>
      <c r="C138" s="23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7"/>
    </row>
    <row r="139" spans="1:14" x14ac:dyDescent="0.3">
      <c r="A139" s="7"/>
      <c r="B139" s="23"/>
      <c r="C139" s="23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7"/>
    </row>
    <row r="140" spans="1:14" x14ac:dyDescent="0.3">
      <c r="A140" s="7"/>
      <c r="B140" s="23"/>
      <c r="C140" s="23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7"/>
    </row>
    <row r="141" spans="1:14" x14ac:dyDescent="0.3">
      <c r="A141" s="7"/>
      <c r="B141" s="23"/>
      <c r="C141" s="23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7"/>
    </row>
    <row r="142" spans="1:14" x14ac:dyDescent="0.3">
      <c r="A142" s="7"/>
      <c r="B142" s="23"/>
      <c r="C142" s="23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7"/>
    </row>
    <row r="143" spans="1:14" x14ac:dyDescent="0.3">
      <c r="A143" s="7"/>
      <c r="B143" s="23"/>
      <c r="C143" s="23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7"/>
    </row>
    <row r="144" spans="1:14" x14ac:dyDescent="0.3">
      <c r="A144" s="7"/>
      <c r="B144" s="23"/>
      <c r="C144" s="23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7"/>
    </row>
    <row r="145" spans="1:14" x14ac:dyDescent="0.3">
      <c r="A145" s="7"/>
      <c r="B145" s="23"/>
      <c r="C145" s="23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7"/>
    </row>
    <row r="146" spans="1:14" x14ac:dyDescent="0.3">
      <c r="A146" s="7"/>
      <c r="B146" s="23"/>
      <c r="C146" s="23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7"/>
    </row>
    <row r="147" spans="1:14" x14ac:dyDescent="0.3">
      <c r="A147" s="7"/>
      <c r="B147" s="23"/>
      <c r="C147" s="23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7"/>
    </row>
    <row r="148" spans="1:14" x14ac:dyDescent="0.3">
      <c r="A148" s="7"/>
      <c r="B148" s="23"/>
      <c r="C148" s="23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7"/>
    </row>
    <row r="149" spans="1:14" x14ac:dyDescent="0.3">
      <c r="A149" s="7"/>
      <c r="B149" s="23"/>
      <c r="C149" s="23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7"/>
    </row>
    <row r="150" spans="1:14" x14ac:dyDescent="0.3">
      <c r="A150" s="7"/>
      <c r="B150" s="23"/>
      <c r="C150" s="23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7"/>
    </row>
    <row r="151" spans="1:14" x14ac:dyDescent="0.3">
      <c r="A151" s="7"/>
      <c r="B151" s="23"/>
      <c r="C151" s="23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7"/>
    </row>
    <row r="152" spans="1:14" x14ac:dyDescent="0.3">
      <c r="A152" s="7"/>
      <c r="B152" s="23"/>
      <c r="C152" s="23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7"/>
    </row>
    <row r="153" spans="1:14" x14ac:dyDescent="0.3">
      <c r="A153" s="7"/>
      <c r="B153" s="23"/>
      <c r="C153" s="23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7"/>
    </row>
    <row r="154" spans="1:14" x14ac:dyDescent="0.3">
      <c r="A154" s="7"/>
      <c r="B154" s="23"/>
      <c r="C154" s="23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7"/>
    </row>
    <row r="155" spans="1:14" x14ac:dyDescent="0.3">
      <c r="A155" s="7"/>
      <c r="B155" s="23"/>
      <c r="C155" s="23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7"/>
    </row>
    <row r="156" spans="1:14" x14ac:dyDescent="0.3">
      <c r="A156" s="7"/>
      <c r="B156" s="23"/>
      <c r="C156" s="23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7"/>
    </row>
    <row r="157" spans="1:14" x14ac:dyDescent="0.3">
      <c r="A157" s="7"/>
      <c r="B157" s="23"/>
      <c r="C157" s="23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7"/>
    </row>
    <row r="158" spans="1:14" x14ac:dyDescent="0.3">
      <c r="A158" s="7"/>
      <c r="B158" s="23"/>
      <c r="C158" s="23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7"/>
    </row>
    <row r="159" spans="1:14" x14ac:dyDescent="0.3">
      <c r="A159" s="7"/>
      <c r="B159" s="23"/>
      <c r="C159" s="23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7"/>
    </row>
    <row r="160" spans="1:14" x14ac:dyDescent="0.3">
      <c r="A160" s="7"/>
      <c r="B160" s="23"/>
      <c r="C160" s="23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7"/>
    </row>
    <row r="161" spans="1:14" x14ac:dyDescent="0.3">
      <c r="A161" s="7"/>
      <c r="B161" s="23"/>
      <c r="C161" s="23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7"/>
    </row>
    <row r="162" spans="1:14" x14ac:dyDescent="0.3">
      <c r="A162" s="7"/>
      <c r="B162" s="23"/>
      <c r="C162" s="23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7"/>
    </row>
    <row r="163" spans="1:14" x14ac:dyDescent="0.3">
      <c r="A163" s="7"/>
      <c r="B163" s="23"/>
      <c r="C163" s="23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7"/>
    </row>
    <row r="164" spans="1:14" x14ac:dyDescent="0.3">
      <c r="A164" s="7"/>
      <c r="B164" s="23"/>
      <c r="C164" s="23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7"/>
    </row>
    <row r="165" spans="1:14" x14ac:dyDescent="0.3">
      <c r="A165" s="7"/>
      <c r="B165" s="23"/>
      <c r="C165" s="23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7"/>
    </row>
    <row r="166" spans="1:14" x14ac:dyDescent="0.3">
      <c r="A166" s="7"/>
      <c r="B166" s="23"/>
      <c r="C166" s="23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7"/>
    </row>
    <row r="167" spans="1:14" x14ac:dyDescent="0.3">
      <c r="A167" s="7"/>
      <c r="B167" s="23"/>
      <c r="C167" s="23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7"/>
    </row>
    <row r="168" spans="1:14" x14ac:dyDescent="0.3">
      <c r="A168" s="7"/>
      <c r="B168" s="23"/>
      <c r="C168" s="23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7"/>
    </row>
    <row r="169" spans="1:14" x14ac:dyDescent="0.3">
      <c r="A169" s="7"/>
      <c r="B169" s="23"/>
      <c r="C169" s="23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7"/>
    </row>
    <row r="170" spans="1:14" x14ac:dyDescent="0.3">
      <c r="A170" s="7"/>
      <c r="B170" s="23"/>
      <c r="C170" s="23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7"/>
    </row>
    <row r="171" spans="1:14" x14ac:dyDescent="0.3">
      <c r="A171" s="7"/>
      <c r="B171" s="23"/>
      <c r="C171" s="23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7"/>
    </row>
    <row r="172" spans="1:14" x14ac:dyDescent="0.3">
      <c r="A172" s="7"/>
      <c r="B172" s="23"/>
      <c r="C172" s="23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7"/>
    </row>
    <row r="173" spans="1:14" x14ac:dyDescent="0.3">
      <c r="A173" s="7"/>
      <c r="B173" s="23"/>
      <c r="C173" s="23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7"/>
    </row>
    <row r="174" spans="1:14" x14ac:dyDescent="0.3">
      <c r="A174" s="7"/>
      <c r="B174" s="23"/>
      <c r="C174" s="23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7"/>
    </row>
    <row r="175" spans="1:14" x14ac:dyDescent="0.3">
      <c r="A175" s="7"/>
      <c r="B175" s="23"/>
      <c r="C175" s="23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7"/>
    </row>
    <row r="176" spans="1:14" x14ac:dyDescent="0.3">
      <c r="A176" s="7"/>
      <c r="B176" s="23"/>
      <c r="C176" s="23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7"/>
    </row>
    <row r="177" spans="1:14" x14ac:dyDescent="0.3">
      <c r="A177" s="7"/>
      <c r="B177" s="23"/>
      <c r="C177" s="23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7"/>
    </row>
    <row r="178" spans="1:14" x14ac:dyDescent="0.3">
      <c r="A178" s="7"/>
      <c r="B178" s="23"/>
      <c r="C178" s="23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7"/>
    </row>
    <row r="179" spans="1:14" x14ac:dyDescent="0.3">
      <c r="A179" s="7"/>
      <c r="B179" s="23"/>
      <c r="C179" s="23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7"/>
    </row>
    <row r="180" spans="1:14" x14ac:dyDescent="0.3">
      <c r="A180" s="7"/>
      <c r="B180" s="23"/>
      <c r="C180" s="23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7"/>
    </row>
    <row r="181" spans="1:14" x14ac:dyDescent="0.3">
      <c r="A181" s="7"/>
      <c r="B181" s="23"/>
      <c r="C181" s="23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7"/>
    </row>
    <row r="182" spans="1:14" x14ac:dyDescent="0.3">
      <c r="A182" s="7"/>
      <c r="B182" s="23"/>
      <c r="C182" s="23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7"/>
    </row>
    <row r="183" spans="1:14" x14ac:dyDescent="0.3">
      <c r="A183" s="7"/>
      <c r="B183" s="23"/>
      <c r="C183" s="23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7"/>
    </row>
    <row r="184" spans="1:14" x14ac:dyDescent="0.3">
      <c r="A184" s="7"/>
      <c r="B184" s="23"/>
      <c r="C184" s="23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7"/>
    </row>
    <row r="185" spans="1:14" x14ac:dyDescent="0.3">
      <c r="A185" s="7"/>
      <c r="B185" s="23"/>
      <c r="C185" s="23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7"/>
    </row>
    <row r="186" spans="1:14" x14ac:dyDescent="0.3">
      <c r="A186" s="7"/>
      <c r="B186" s="23"/>
      <c r="C186" s="23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7"/>
    </row>
    <row r="187" spans="1:14" x14ac:dyDescent="0.3">
      <c r="A187" s="7"/>
      <c r="B187" s="23"/>
      <c r="C187" s="23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7"/>
    </row>
    <row r="188" spans="1:14" x14ac:dyDescent="0.3">
      <c r="A188" s="7"/>
      <c r="B188" s="23"/>
      <c r="C188" s="23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7"/>
    </row>
    <row r="189" spans="1:14" x14ac:dyDescent="0.3">
      <c r="A189" s="7"/>
      <c r="B189" s="23"/>
      <c r="C189" s="23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7"/>
    </row>
    <row r="190" spans="1:14" x14ac:dyDescent="0.3">
      <c r="A190" s="7"/>
      <c r="B190" s="23"/>
      <c r="C190" s="23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7"/>
    </row>
    <row r="191" spans="1:14" x14ac:dyDescent="0.3">
      <c r="A191" s="7"/>
      <c r="B191" s="23"/>
      <c r="C191" s="23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7"/>
    </row>
    <row r="192" spans="1:14" x14ac:dyDescent="0.3">
      <c r="A192" s="7"/>
      <c r="B192" s="23"/>
      <c r="C192" s="23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7"/>
    </row>
    <row r="193" spans="1:14" x14ac:dyDescent="0.3">
      <c r="A193" s="7"/>
      <c r="B193" s="23"/>
      <c r="C193" s="23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7"/>
    </row>
    <row r="194" spans="1:14" x14ac:dyDescent="0.3">
      <c r="A194" s="7"/>
      <c r="B194" s="23"/>
      <c r="C194" s="23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7"/>
    </row>
    <row r="195" spans="1:14" x14ac:dyDescent="0.3">
      <c r="A195" s="7"/>
      <c r="B195" s="23"/>
      <c r="C195" s="23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7"/>
    </row>
    <row r="196" spans="1:14" x14ac:dyDescent="0.3">
      <c r="A196" s="7"/>
      <c r="B196" s="23"/>
      <c r="C196" s="23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7"/>
    </row>
    <row r="197" spans="1:14" x14ac:dyDescent="0.3">
      <c r="A197" s="7"/>
      <c r="B197" s="23"/>
      <c r="C197" s="23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7"/>
    </row>
    <row r="198" spans="1:14" x14ac:dyDescent="0.3">
      <c r="A198" s="7"/>
      <c r="B198" s="23"/>
      <c r="C198" s="23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7"/>
    </row>
    <row r="199" spans="1:14" x14ac:dyDescent="0.3">
      <c r="A199" s="7"/>
      <c r="B199" s="23"/>
      <c r="C199" s="23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7"/>
    </row>
    <row r="200" spans="1:14" x14ac:dyDescent="0.3">
      <c r="A200" s="7"/>
      <c r="B200" s="23"/>
      <c r="C200" s="23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7"/>
    </row>
    <row r="201" spans="1:14" x14ac:dyDescent="0.3">
      <c r="A201" s="7"/>
      <c r="B201" s="23"/>
      <c r="C201" s="23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7"/>
    </row>
    <row r="202" spans="1:14" x14ac:dyDescent="0.3">
      <c r="A202" s="7"/>
      <c r="B202" s="23"/>
      <c r="C202" s="23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7"/>
    </row>
    <row r="203" spans="1:14" x14ac:dyDescent="0.3">
      <c r="A203" s="7"/>
      <c r="B203" s="23"/>
      <c r="C203" s="23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7"/>
    </row>
    <row r="204" spans="1:14" x14ac:dyDescent="0.3">
      <c r="A204" s="7"/>
      <c r="B204" s="23"/>
      <c r="C204" s="23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7"/>
    </row>
    <row r="205" spans="1:14" x14ac:dyDescent="0.3">
      <c r="A205" s="7"/>
      <c r="B205" s="23"/>
      <c r="C205" s="23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7"/>
    </row>
    <row r="206" spans="1:14" x14ac:dyDescent="0.3">
      <c r="A206" s="7"/>
      <c r="B206" s="23"/>
      <c r="C206" s="23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7"/>
    </row>
    <row r="207" spans="1:14" x14ac:dyDescent="0.3">
      <c r="A207" s="7"/>
      <c r="B207" s="23"/>
      <c r="C207" s="23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7"/>
    </row>
    <row r="208" spans="1:14" x14ac:dyDescent="0.3">
      <c r="A208" s="7"/>
      <c r="B208" s="23"/>
      <c r="C208" s="23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7"/>
    </row>
    <row r="209" spans="1:14" x14ac:dyDescent="0.3">
      <c r="A209" s="7"/>
      <c r="B209" s="23"/>
      <c r="C209" s="23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7"/>
    </row>
    <row r="210" spans="1:14" x14ac:dyDescent="0.3">
      <c r="A210" s="7"/>
      <c r="B210" s="23"/>
      <c r="C210" s="23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7"/>
    </row>
    <row r="211" spans="1:14" x14ac:dyDescent="0.3">
      <c r="A211" s="7"/>
      <c r="B211" s="23"/>
      <c r="C211" s="23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7"/>
    </row>
    <row r="212" spans="1:14" x14ac:dyDescent="0.3">
      <c r="A212" s="7"/>
      <c r="B212" s="23"/>
      <c r="C212" s="23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7"/>
    </row>
    <row r="213" spans="1:14" x14ac:dyDescent="0.3">
      <c r="A213" s="7"/>
      <c r="B213" s="23"/>
      <c r="C213" s="23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7"/>
    </row>
    <row r="214" spans="1:14" x14ac:dyDescent="0.3">
      <c r="A214" s="7"/>
      <c r="B214" s="23"/>
      <c r="C214" s="23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7"/>
    </row>
    <row r="215" spans="1:14" x14ac:dyDescent="0.3">
      <c r="A215" s="7"/>
      <c r="B215" s="23"/>
      <c r="C215" s="23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7"/>
    </row>
    <row r="216" spans="1:14" x14ac:dyDescent="0.3">
      <c r="A216" s="7"/>
      <c r="B216" s="23"/>
      <c r="C216" s="23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7"/>
    </row>
    <row r="217" spans="1:14" x14ac:dyDescent="0.3">
      <c r="A217" s="7"/>
      <c r="B217" s="23"/>
      <c r="C217" s="23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7"/>
    </row>
    <row r="218" spans="1:14" x14ac:dyDescent="0.3">
      <c r="A218" s="7"/>
      <c r="B218" s="23"/>
      <c r="C218" s="23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7"/>
    </row>
    <row r="219" spans="1:14" x14ac:dyDescent="0.3">
      <c r="A219" s="7"/>
      <c r="B219" s="23"/>
      <c r="C219" s="23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7"/>
    </row>
    <row r="220" spans="1:14" x14ac:dyDescent="0.3">
      <c r="A220" s="7"/>
      <c r="B220" s="23"/>
      <c r="C220" s="23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7"/>
    </row>
    <row r="221" spans="1:14" x14ac:dyDescent="0.3">
      <c r="A221" s="7"/>
      <c r="B221" s="23"/>
      <c r="C221" s="23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7"/>
    </row>
    <row r="222" spans="1:14" x14ac:dyDescent="0.3">
      <c r="A222" s="7"/>
      <c r="B222" s="23"/>
      <c r="C222" s="23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7"/>
    </row>
    <row r="223" spans="1:14" x14ac:dyDescent="0.3">
      <c r="A223" s="7"/>
      <c r="B223" s="23"/>
      <c r="C223" s="23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7"/>
    </row>
    <row r="224" spans="1:14" x14ac:dyDescent="0.3">
      <c r="A224" s="7"/>
      <c r="B224" s="23"/>
      <c r="C224" s="23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7"/>
    </row>
    <row r="225" spans="1:14" x14ac:dyDescent="0.3">
      <c r="A225" s="7"/>
      <c r="B225" s="23"/>
      <c r="C225" s="23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7"/>
    </row>
    <row r="226" spans="1:14" x14ac:dyDescent="0.3">
      <c r="A226" s="7"/>
      <c r="B226" s="23"/>
      <c r="C226" s="23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7"/>
    </row>
    <row r="227" spans="1:14" x14ac:dyDescent="0.3">
      <c r="A227" s="7"/>
      <c r="B227" s="23"/>
      <c r="C227" s="23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7"/>
    </row>
    <row r="228" spans="1:14" x14ac:dyDescent="0.3">
      <c r="A228" s="7"/>
      <c r="B228" s="23"/>
      <c r="C228" s="23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7"/>
    </row>
    <row r="229" spans="1:14" x14ac:dyDescent="0.3">
      <c r="A229" s="7"/>
      <c r="B229" s="23"/>
      <c r="C229" s="23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7"/>
    </row>
    <row r="230" spans="1:14" x14ac:dyDescent="0.3">
      <c r="A230" s="7"/>
      <c r="B230" s="23"/>
      <c r="C230" s="23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7"/>
    </row>
    <row r="231" spans="1:14" x14ac:dyDescent="0.3">
      <c r="A231" s="7"/>
      <c r="B231" s="23"/>
      <c r="C231" s="23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7"/>
    </row>
    <row r="232" spans="1:14" x14ac:dyDescent="0.3">
      <c r="A232" s="7"/>
      <c r="B232" s="23"/>
      <c r="C232" s="23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7"/>
    </row>
    <row r="233" spans="1:14" x14ac:dyDescent="0.3">
      <c r="A233" s="7"/>
      <c r="B233" s="23"/>
      <c r="C233" s="23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7"/>
    </row>
    <row r="234" spans="1:14" x14ac:dyDescent="0.3">
      <c r="A234" s="7"/>
      <c r="B234" s="23"/>
      <c r="C234" s="23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7"/>
    </row>
    <row r="235" spans="1:14" x14ac:dyDescent="0.3">
      <c r="A235" s="7"/>
      <c r="B235" s="23"/>
      <c r="C235" s="23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7"/>
    </row>
    <row r="236" spans="1:14" x14ac:dyDescent="0.3">
      <c r="A236" s="7"/>
      <c r="B236" s="23"/>
      <c r="C236" s="23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7"/>
    </row>
    <row r="237" spans="1:14" x14ac:dyDescent="0.3">
      <c r="A237" s="7"/>
      <c r="B237" s="23"/>
      <c r="C237" s="23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7"/>
    </row>
    <row r="238" spans="1:14" x14ac:dyDescent="0.3">
      <c r="A238" s="7"/>
      <c r="B238" s="23"/>
      <c r="C238" s="23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7"/>
    </row>
    <row r="239" spans="1:14" x14ac:dyDescent="0.3">
      <c r="A239" s="7"/>
      <c r="B239" s="23"/>
      <c r="C239" s="23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7"/>
    </row>
    <row r="240" spans="1:14" x14ac:dyDescent="0.3">
      <c r="A240" s="7"/>
      <c r="B240" s="23"/>
      <c r="C240" s="23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7"/>
    </row>
    <row r="241" spans="1:14" x14ac:dyDescent="0.3">
      <c r="A241" s="7"/>
      <c r="B241" s="23"/>
      <c r="C241" s="23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7"/>
    </row>
    <row r="242" spans="1:14" x14ac:dyDescent="0.3">
      <c r="A242" s="7"/>
      <c r="B242" s="23"/>
      <c r="C242" s="23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7"/>
    </row>
    <row r="243" spans="1:14" x14ac:dyDescent="0.3">
      <c r="A243" s="7"/>
      <c r="B243" s="23"/>
      <c r="C243" s="23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7"/>
    </row>
    <row r="244" spans="1:14" x14ac:dyDescent="0.3">
      <c r="A244" s="7"/>
      <c r="B244" s="23"/>
      <c r="C244" s="23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7"/>
    </row>
    <row r="245" spans="1:14" x14ac:dyDescent="0.3">
      <c r="A245" s="7"/>
      <c r="B245" s="23"/>
      <c r="C245" s="23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7"/>
    </row>
    <row r="246" spans="1:14" x14ac:dyDescent="0.3">
      <c r="A246" s="7"/>
      <c r="B246" s="23"/>
      <c r="C246" s="23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7"/>
    </row>
    <row r="247" spans="1:14" x14ac:dyDescent="0.3">
      <c r="A247" s="7"/>
      <c r="B247" s="23"/>
      <c r="C247" s="23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7"/>
    </row>
    <row r="248" spans="1:14" x14ac:dyDescent="0.3">
      <c r="A248" s="7"/>
      <c r="B248" s="23"/>
      <c r="C248" s="23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7"/>
    </row>
    <row r="249" spans="1:14" x14ac:dyDescent="0.3">
      <c r="A249" s="7"/>
      <c r="B249" s="23"/>
      <c r="C249" s="23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7"/>
    </row>
    <row r="250" spans="1:14" x14ac:dyDescent="0.3">
      <c r="A250" s="7"/>
      <c r="B250" s="23"/>
      <c r="C250" s="23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7"/>
    </row>
    <row r="251" spans="1:14" x14ac:dyDescent="0.3">
      <c r="A251" s="7"/>
      <c r="B251" s="23"/>
      <c r="C251" s="23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7"/>
    </row>
    <row r="252" spans="1:14" x14ac:dyDescent="0.3">
      <c r="A252" s="7"/>
      <c r="B252" s="23"/>
      <c r="C252" s="23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7"/>
    </row>
    <row r="253" spans="1:14" x14ac:dyDescent="0.3">
      <c r="A253" s="7"/>
      <c r="B253" s="23"/>
      <c r="C253" s="23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7"/>
    </row>
    <row r="254" spans="1:14" x14ac:dyDescent="0.3">
      <c r="A254" s="7"/>
      <c r="B254" s="23"/>
      <c r="C254" s="23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7"/>
    </row>
    <row r="255" spans="1:14" x14ac:dyDescent="0.3">
      <c r="A255" s="7"/>
      <c r="B255" s="23"/>
      <c r="C255" s="23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7"/>
    </row>
    <row r="256" spans="1:14" x14ac:dyDescent="0.3">
      <c r="A256" s="7"/>
      <c r="B256" s="23"/>
      <c r="C256" s="23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7"/>
    </row>
    <row r="257" spans="1:14" x14ac:dyDescent="0.3">
      <c r="A257" s="7"/>
      <c r="B257" s="23"/>
      <c r="C257" s="23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7"/>
    </row>
    <row r="258" spans="1:14" x14ac:dyDescent="0.3">
      <c r="A258" s="7"/>
      <c r="B258" s="23"/>
      <c r="C258" s="23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7"/>
    </row>
    <row r="259" spans="1:14" x14ac:dyDescent="0.3">
      <c r="A259" s="7"/>
      <c r="B259" s="23"/>
      <c r="C259" s="23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7"/>
    </row>
    <row r="260" spans="1:14" x14ac:dyDescent="0.3">
      <c r="A260" s="7"/>
      <c r="B260" s="23"/>
      <c r="C260" s="23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7"/>
    </row>
    <row r="261" spans="1:14" x14ac:dyDescent="0.3">
      <c r="A261" s="7"/>
      <c r="B261" s="23"/>
      <c r="C261" s="23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7"/>
    </row>
    <row r="262" spans="1:14" x14ac:dyDescent="0.3">
      <c r="A262" s="7"/>
      <c r="B262" s="23"/>
      <c r="C262" s="23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7"/>
    </row>
    <row r="263" spans="1:14" x14ac:dyDescent="0.3">
      <c r="A263" s="7"/>
      <c r="B263" s="23"/>
      <c r="C263" s="23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7"/>
    </row>
    <row r="264" spans="1:14" x14ac:dyDescent="0.3">
      <c r="A264" s="7"/>
      <c r="B264" s="23"/>
      <c r="C264" s="23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7"/>
    </row>
    <row r="265" spans="1:14" x14ac:dyDescent="0.3">
      <c r="A265" s="7"/>
      <c r="B265" s="23"/>
      <c r="C265" s="23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7"/>
    </row>
    <row r="266" spans="1:14" x14ac:dyDescent="0.3">
      <c r="A266" s="7"/>
      <c r="B266" s="23"/>
      <c r="C266" s="23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7"/>
    </row>
    <row r="267" spans="1:14" x14ac:dyDescent="0.3">
      <c r="A267" s="7"/>
      <c r="B267" s="23"/>
      <c r="C267" s="23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7"/>
    </row>
    <row r="268" spans="1:14" x14ac:dyDescent="0.3">
      <c r="A268" s="7"/>
      <c r="B268" s="23"/>
      <c r="C268" s="23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7"/>
    </row>
    <row r="269" spans="1:14" x14ac:dyDescent="0.3">
      <c r="A269" s="7"/>
      <c r="B269" s="23"/>
      <c r="C269" s="23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7"/>
    </row>
    <row r="270" spans="1:14" x14ac:dyDescent="0.3">
      <c r="A270" s="7"/>
      <c r="B270" s="23"/>
      <c r="C270" s="23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7"/>
    </row>
    <row r="271" spans="1:14" x14ac:dyDescent="0.3">
      <c r="A271" s="7"/>
      <c r="B271" s="23"/>
      <c r="C271" s="23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7"/>
    </row>
    <row r="272" spans="1:14" x14ac:dyDescent="0.3">
      <c r="A272" s="7"/>
      <c r="B272" s="23"/>
      <c r="C272" s="23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7"/>
    </row>
    <row r="273" spans="1:14" x14ac:dyDescent="0.3">
      <c r="A273" s="7"/>
      <c r="B273" s="23"/>
      <c r="C273" s="23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7"/>
    </row>
    <row r="274" spans="1:14" x14ac:dyDescent="0.3">
      <c r="A274" s="7"/>
      <c r="B274" s="23"/>
      <c r="C274" s="23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7"/>
    </row>
    <row r="275" spans="1:14" x14ac:dyDescent="0.3">
      <c r="A275" s="7"/>
      <c r="B275" s="23"/>
      <c r="C275" s="23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7"/>
    </row>
    <row r="276" spans="1:14" x14ac:dyDescent="0.3">
      <c r="A276" s="7"/>
      <c r="B276" s="23"/>
      <c r="C276" s="23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7"/>
    </row>
    <row r="277" spans="1:14" x14ac:dyDescent="0.3">
      <c r="A277" s="7"/>
      <c r="B277" s="23"/>
      <c r="C277" s="23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7"/>
    </row>
    <row r="278" spans="1:14" x14ac:dyDescent="0.3">
      <c r="A278" s="7"/>
      <c r="B278" s="23"/>
      <c r="C278" s="23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7"/>
    </row>
    <row r="279" spans="1:14" x14ac:dyDescent="0.3">
      <c r="A279" s="7"/>
      <c r="B279" s="23"/>
      <c r="C279" s="23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7"/>
    </row>
    <row r="280" spans="1:14" x14ac:dyDescent="0.3">
      <c r="A280" s="7"/>
      <c r="B280" s="23"/>
      <c r="C280" s="23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7"/>
    </row>
    <row r="281" spans="1:14" x14ac:dyDescent="0.3">
      <c r="A281" s="7"/>
      <c r="B281" s="23"/>
      <c r="C281" s="23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7"/>
    </row>
    <row r="282" spans="1:14" x14ac:dyDescent="0.3">
      <c r="A282" s="7"/>
      <c r="B282" s="23"/>
      <c r="C282" s="23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7"/>
    </row>
    <row r="283" spans="1:14" x14ac:dyDescent="0.3">
      <c r="A283" s="7"/>
      <c r="B283" s="23"/>
      <c r="C283" s="23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7"/>
    </row>
    <row r="284" spans="1:14" x14ac:dyDescent="0.3">
      <c r="A284" s="7"/>
      <c r="B284" s="23"/>
      <c r="C284" s="23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7"/>
    </row>
    <row r="285" spans="1:14" x14ac:dyDescent="0.3">
      <c r="A285" s="7"/>
      <c r="B285" s="23"/>
      <c r="C285" s="23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7"/>
    </row>
    <row r="286" spans="1:14" x14ac:dyDescent="0.3">
      <c r="A286" s="7"/>
      <c r="B286" s="23"/>
      <c r="C286" s="23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7"/>
    </row>
    <row r="287" spans="1:14" x14ac:dyDescent="0.3">
      <c r="A287" s="7"/>
      <c r="B287" s="23"/>
      <c r="C287" s="23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7"/>
    </row>
    <row r="288" spans="1:14" x14ac:dyDescent="0.3">
      <c r="A288" s="7"/>
      <c r="B288" s="23"/>
      <c r="C288" s="23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7"/>
    </row>
    <row r="289" spans="1:14" x14ac:dyDescent="0.3">
      <c r="A289" s="7"/>
      <c r="B289" s="23"/>
      <c r="C289" s="23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7"/>
    </row>
    <row r="290" spans="1:14" x14ac:dyDescent="0.3">
      <c r="A290" s="7"/>
      <c r="B290" s="23"/>
      <c r="C290" s="23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7"/>
    </row>
    <row r="291" spans="1:14" x14ac:dyDescent="0.3">
      <c r="A291" s="7"/>
      <c r="B291" s="23"/>
      <c r="C291" s="23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7"/>
    </row>
    <row r="292" spans="1:14" x14ac:dyDescent="0.3">
      <c r="A292" s="7"/>
      <c r="B292" s="23"/>
      <c r="C292" s="23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7"/>
    </row>
    <row r="293" spans="1:14" x14ac:dyDescent="0.3">
      <c r="A293" s="7"/>
      <c r="B293" s="23"/>
      <c r="C293" s="23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7"/>
    </row>
    <row r="294" spans="1:14" x14ac:dyDescent="0.3">
      <c r="A294" s="7"/>
      <c r="B294" s="23"/>
      <c r="C294" s="23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7"/>
    </row>
    <row r="295" spans="1:14" x14ac:dyDescent="0.3">
      <c r="A295" s="7"/>
      <c r="B295" s="23"/>
      <c r="C295" s="23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7"/>
    </row>
    <row r="296" spans="1:14" x14ac:dyDescent="0.3">
      <c r="A296" s="7"/>
      <c r="B296" s="23"/>
      <c r="C296" s="23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7"/>
    </row>
    <row r="297" spans="1:14" x14ac:dyDescent="0.3">
      <c r="A297" s="7"/>
      <c r="B297" s="23"/>
      <c r="C297" s="23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7"/>
    </row>
    <row r="298" spans="1:14" x14ac:dyDescent="0.3">
      <c r="A298" s="7"/>
      <c r="B298" s="23"/>
      <c r="C298" s="23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7"/>
    </row>
    <row r="299" spans="1:14" x14ac:dyDescent="0.3">
      <c r="A299" s="7"/>
      <c r="B299" s="23"/>
      <c r="C299" s="23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7"/>
    </row>
    <row r="300" spans="1:14" x14ac:dyDescent="0.3">
      <c r="A300" s="7"/>
      <c r="B300" s="23"/>
      <c r="C300" s="23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7"/>
    </row>
    <row r="301" spans="1:14" x14ac:dyDescent="0.3">
      <c r="A301" s="7"/>
      <c r="B301" s="23"/>
      <c r="C301" s="23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7"/>
    </row>
    <row r="302" spans="1:14" x14ac:dyDescent="0.3">
      <c r="A302" s="7"/>
      <c r="B302" s="23"/>
      <c r="C302" s="23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7"/>
    </row>
    <row r="303" spans="1:14" x14ac:dyDescent="0.3">
      <c r="A303" s="7"/>
      <c r="B303" s="23"/>
      <c r="C303" s="23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7"/>
    </row>
    <row r="304" spans="1:14" x14ac:dyDescent="0.3">
      <c r="A304" s="7"/>
      <c r="B304" s="23"/>
      <c r="C304" s="23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7"/>
    </row>
    <row r="305" spans="1:14" x14ac:dyDescent="0.3">
      <c r="A305" s="7"/>
      <c r="B305" s="23"/>
      <c r="C305" s="23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7"/>
    </row>
    <row r="306" spans="1:14" x14ac:dyDescent="0.3">
      <c r="A306" s="7"/>
      <c r="B306" s="23"/>
      <c r="C306" s="23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7"/>
    </row>
    <row r="307" spans="1:14" x14ac:dyDescent="0.3">
      <c r="A307" s="7"/>
      <c r="B307" s="23"/>
      <c r="C307" s="23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7"/>
    </row>
    <row r="308" spans="1:14" x14ac:dyDescent="0.3">
      <c r="A308" s="7"/>
      <c r="B308" s="23"/>
      <c r="C308" s="23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7"/>
    </row>
    <row r="309" spans="1:14" x14ac:dyDescent="0.3">
      <c r="A309" s="7"/>
      <c r="B309" s="23"/>
      <c r="C309" s="23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7"/>
    </row>
    <row r="310" spans="1:14" x14ac:dyDescent="0.3">
      <c r="A310" s="7"/>
      <c r="B310" s="23"/>
      <c r="C310" s="23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7"/>
    </row>
    <row r="311" spans="1:14" x14ac:dyDescent="0.3">
      <c r="A311" s="7"/>
      <c r="B311" s="23"/>
      <c r="C311" s="23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7"/>
    </row>
    <row r="312" spans="1:14" x14ac:dyDescent="0.3">
      <c r="A312" s="7"/>
      <c r="B312" s="23"/>
      <c r="C312" s="23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7"/>
    </row>
    <row r="313" spans="1:14" x14ac:dyDescent="0.3">
      <c r="A313" s="7"/>
      <c r="B313" s="23"/>
      <c r="C313" s="23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7"/>
    </row>
    <row r="314" spans="1:14" x14ac:dyDescent="0.3">
      <c r="A314" s="7"/>
      <c r="B314" s="23"/>
      <c r="C314" s="23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7"/>
    </row>
    <row r="315" spans="1:14" x14ac:dyDescent="0.3">
      <c r="A315" s="7"/>
      <c r="B315" s="23"/>
      <c r="C315" s="23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7"/>
    </row>
    <row r="316" spans="1:14" x14ac:dyDescent="0.3">
      <c r="A316" s="7"/>
      <c r="B316" s="23"/>
      <c r="C316" s="23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7"/>
    </row>
    <row r="317" spans="1:14" x14ac:dyDescent="0.3">
      <c r="A317" s="7"/>
      <c r="B317" s="23"/>
      <c r="C317" s="23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7"/>
    </row>
    <row r="318" spans="1:14" x14ac:dyDescent="0.3">
      <c r="A318" s="7"/>
      <c r="B318" s="23"/>
      <c r="C318" s="23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7"/>
    </row>
    <row r="319" spans="1:14" x14ac:dyDescent="0.3">
      <c r="A319" s="7"/>
      <c r="B319" s="23"/>
      <c r="C319" s="23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7"/>
    </row>
    <row r="320" spans="1:14" x14ac:dyDescent="0.3">
      <c r="A320" s="7"/>
      <c r="B320" s="23"/>
      <c r="C320" s="23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7"/>
    </row>
    <row r="321" spans="1:14" x14ac:dyDescent="0.3">
      <c r="A321" s="7"/>
      <c r="B321" s="23"/>
      <c r="C321" s="23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7"/>
    </row>
    <row r="322" spans="1:14" x14ac:dyDescent="0.3">
      <c r="A322" s="7"/>
      <c r="B322" s="23"/>
      <c r="C322" s="23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7"/>
    </row>
    <row r="323" spans="1:14" x14ac:dyDescent="0.3">
      <c r="A323" s="7"/>
      <c r="B323" s="23"/>
      <c r="C323" s="23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7"/>
    </row>
    <row r="324" spans="1:14" x14ac:dyDescent="0.3">
      <c r="A324" s="7"/>
      <c r="B324" s="23"/>
      <c r="C324" s="23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7"/>
    </row>
    <row r="325" spans="1:14" x14ac:dyDescent="0.3">
      <c r="A325" s="7"/>
      <c r="B325" s="23"/>
      <c r="C325" s="23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7"/>
    </row>
    <row r="326" spans="1:14" x14ac:dyDescent="0.3">
      <c r="A326" s="7"/>
      <c r="B326" s="23"/>
      <c r="C326" s="23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7"/>
    </row>
    <row r="327" spans="1:14" x14ac:dyDescent="0.3">
      <c r="A327" s="7"/>
      <c r="B327" s="23"/>
      <c r="C327" s="23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7"/>
    </row>
    <row r="328" spans="1:14" x14ac:dyDescent="0.3">
      <c r="A328" s="7"/>
      <c r="B328" s="23"/>
      <c r="C328" s="23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7"/>
    </row>
    <row r="329" spans="1:14" x14ac:dyDescent="0.3">
      <c r="A329" s="7"/>
      <c r="B329" s="23"/>
      <c r="C329" s="23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7"/>
    </row>
    <row r="330" spans="1:14" x14ac:dyDescent="0.3">
      <c r="A330" s="7"/>
      <c r="B330" s="23"/>
      <c r="C330" s="23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7"/>
    </row>
    <row r="331" spans="1:14" x14ac:dyDescent="0.3">
      <c r="A331" s="7"/>
      <c r="B331" s="23"/>
      <c r="C331" s="23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7"/>
    </row>
    <row r="332" spans="1:14" x14ac:dyDescent="0.3">
      <c r="A332" s="7"/>
      <c r="B332" s="23"/>
      <c r="C332" s="23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7"/>
    </row>
    <row r="333" spans="1:14" x14ac:dyDescent="0.3">
      <c r="A333" s="7"/>
      <c r="B333" s="23"/>
      <c r="C333" s="23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7"/>
    </row>
    <row r="334" spans="1:14" x14ac:dyDescent="0.3">
      <c r="A334" s="7"/>
      <c r="B334" s="23"/>
      <c r="C334" s="23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7"/>
    </row>
    <row r="335" spans="1:14" x14ac:dyDescent="0.3">
      <c r="A335" s="7"/>
      <c r="B335" s="23"/>
      <c r="C335" s="23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7"/>
    </row>
    <row r="336" spans="1:14" x14ac:dyDescent="0.3">
      <c r="A336" s="7"/>
      <c r="B336" s="23"/>
      <c r="C336" s="23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7"/>
    </row>
    <row r="337" spans="1:14" x14ac:dyDescent="0.3">
      <c r="A337" s="7"/>
      <c r="B337" s="23"/>
      <c r="C337" s="23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7"/>
    </row>
    <row r="338" spans="1:14" x14ac:dyDescent="0.3">
      <c r="A338" s="7"/>
      <c r="B338" s="23"/>
      <c r="C338" s="23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7"/>
    </row>
    <row r="339" spans="1:14" x14ac:dyDescent="0.3">
      <c r="A339" s="7"/>
      <c r="B339" s="23"/>
      <c r="C339" s="23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7"/>
    </row>
    <row r="340" spans="1:14" x14ac:dyDescent="0.3">
      <c r="A340" s="7"/>
      <c r="B340" s="23"/>
      <c r="C340" s="23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7"/>
    </row>
    <row r="341" spans="1:14" x14ac:dyDescent="0.3">
      <c r="A341" s="7"/>
      <c r="B341" s="23"/>
      <c r="C341" s="23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7"/>
    </row>
    <row r="342" spans="1:14" x14ac:dyDescent="0.3">
      <c r="A342" s="7"/>
      <c r="B342" s="23"/>
      <c r="C342" s="23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7"/>
    </row>
    <row r="343" spans="1:14" x14ac:dyDescent="0.3">
      <c r="A343" s="7"/>
      <c r="B343" s="23"/>
      <c r="C343" s="23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7"/>
    </row>
    <row r="344" spans="1:14" x14ac:dyDescent="0.3">
      <c r="A344" s="7"/>
      <c r="B344" s="23"/>
      <c r="C344" s="23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7"/>
    </row>
    <row r="345" spans="1:14" x14ac:dyDescent="0.3">
      <c r="A345" s="7"/>
      <c r="B345" s="23"/>
      <c r="C345" s="23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7"/>
    </row>
    <row r="346" spans="1:14" x14ac:dyDescent="0.3">
      <c r="A346" s="7"/>
      <c r="B346" s="23"/>
      <c r="C346" s="23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7"/>
    </row>
    <row r="347" spans="1:14" x14ac:dyDescent="0.3">
      <c r="A347" s="7"/>
      <c r="B347" s="23"/>
      <c r="C347" s="23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7"/>
    </row>
    <row r="348" spans="1:14" x14ac:dyDescent="0.3">
      <c r="A348" s="7"/>
      <c r="B348" s="23"/>
      <c r="C348" s="23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7"/>
    </row>
    <row r="349" spans="1:14" x14ac:dyDescent="0.3">
      <c r="A349" s="7"/>
      <c r="B349" s="23"/>
      <c r="C349" s="23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7"/>
    </row>
    <row r="350" spans="1:14" x14ac:dyDescent="0.3">
      <c r="A350" s="7"/>
      <c r="B350" s="23"/>
      <c r="C350" s="23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7"/>
    </row>
    <row r="351" spans="1:14" x14ac:dyDescent="0.3">
      <c r="A351" s="7"/>
      <c r="B351" s="23"/>
      <c r="C351" s="23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7"/>
    </row>
    <row r="352" spans="1:14" x14ac:dyDescent="0.3">
      <c r="A352" s="7"/>
      <c r="B352" s="23"/>
      <c r="C352" s="23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7"/>
    </row>
    <row r="353" spans="1:14" x14ac:dyDescent="0.3">
      <c r="A353" s="7"/>
      <c r="B353" s="23"/>
      <c r="C353" s="23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7"/>
    </row>
    <row r="354" spans="1:14" x14ac:dyDescent="0.3">
      <c r="A354" s="7"/>
      <c r="B354" s="23"/>
      <c r="C354" s="23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7"/>
    </row>
    <row r="355" spans="1:14" x14ac:dyDescent="0.3">
      <c r="A355" s="7"/>
      <c r="B355" s="23"/>
      <c r="C355" s="23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7"/>
    </row>
    <row r="356" spans="1:14" x14ac:dyDescent="0.3">
      <c r="A356" s="7"/>
      <c r="B356" s="23"/>
      <c r="C356" s="23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7"/>
    </row>
    <row r="357" spans="1:14" x14ac:dyDescent="0.3">
      <c r="A357" s="7"/>
      <c r="B357" s="23"/>
      <c r="C357" s="23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7"/>
    </row>
    <row r="358" spans="1:14" x14ac:dyDescent="0.3">
      <c r="A358" s="7"/>
      <c r="B358" s="23"/>
      <c r="C358" s="23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7"/>
    </row>
    <row r="359" spans="1:14" x14ac:dyDescent="0.3">
      <c r="A359" s="7"/>
      <c r="B359" s="23"/>
      <c r="C359" s="23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7"/>
    </row>
    <row r="360" spans="1:14" x14ac:dyDescent="0.3">
      <c r="A360" s="7"/>
      <c r="B360" s="23"/>
      <c r="C360" s="23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7"/>
    </row>
    <row r="361" spans="1:14" x14ac:dyDescent="0.3">
      <c r="A361" s="7"/>
      <c r="B361" s="23"/>
      <c r="C361" s="23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7"/>
    </row>
    <row r="362" spans="1:14" x14ac:dyDescent="0.3">
      <c r="A362" s="7"/>
      <c r="B362" s="23"/>
      <c r="C362" s="23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7"/>
    </row>
    <row r="363" spans="1:14" x14ac:dyDescent="0.3">
      <c r="A363" s="7"/>
      <c r="B363" s="23"/>
      <c r="C363" s="23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7"/>
    </row>
    <row r="364" spans="1:14" x14ac:dyDescent="0.3">
      <c r="A364" s="7"/>
      <c r="B364" s="23"/>
      <c r="C364" s="23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7"/>
    </row>
    <row r="365" spans="1:14" x14ac:dyDescent="0.3">
      <c r="A365" s="7"/>
      <c r="B365" s="23"/>
      <c r="C365" s="23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7"/>
    </row>
    <row r="366" spans="1:14" x14ac:dyDescent="0.3">
      <c r="A366" s="7"/>
      <c r="B366" s="23"/>
      <c r="C366" s="23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7"/>
    </row>
    <row r="367" spans="1:14" x14ac:dyDescent="0.3">
      <c r="A367" s="7"/>
      <c r="B367" s="23"/>
      <c r="C367" s="23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7"/>
    </row>
    <row r="368" spans="1:14" x14ac:dyDescent="0.3">
      <c r="A368" s="7"/>
      <c r="B368" s="23"/>
      <c r="C368" s="23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7"/>
    </row>
    <row r="369" spans="1:14" x14ac:dyDescent="0.3">
      <c r="A369" s="7"/>
      <c r="B369" s="23"/>
      <c r="C369" s="23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7"/>
    </row>
    <row r="370" spans="1:14" x14ac:dyDescent="0.3">
      <c r="A370" s="7"/>
      <c r="B370" s="23"/>
      <c r="C370" s="23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7"/>
    </row>
    <row r="371" spans="1:14" x14ac:dyDescent="0.3">
      <c r="A371" s="7"/>
      <c r="B371" s="23"/>
      <c r="C371" s="23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7"/>
    </row>
    <row r="372" spans="1:14" x14ac:dyDescent="0.3">
      <c r="A372" s="7"/>
      <c r="B372" s="23"/>
      <c r="C372" s="23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7"/>
    </row>
    <row r="373" spans="1:14" x14ac:dyDescent="0.3">
      <c r="A373" s="7"/>
      <c r="B373" s="23"/>
      <c r="C373" s="23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7"/>
    </row>
    <row r="374" spans="1:14" x14ac:dyDescent="0.3">
      <c r="A374" s="7"/>
      <c r="B374" s="23"/>
      <c r="C374" s="23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7"/>
    </row>
    <row r="375" spans="1:14" x14ac:dyDescent="0.3">
      <c r="A375" s="7"/>
      <c r="B375" s="23"/>
      <c r="C375" s="23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7"/>
    </row>
    <row r="376" spans="1:14" x14ac:dyDescent="0.3">
      <c r="A376" s="7"/>
      <c r="B376" s="23"/>
      <c r="C376" s="23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7"/>
    </row>
    <row r="377" spans="1:14" x14ac:dyDescent="0.3">
      <c r="A377" s="7"/>
      <c r="B377" s="23"/>
      <c r="C377" s="23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7"/>
    </row>
    <row r="378" spans="1:14" x14ac:dyDescent="0.3">
      <c r="A378" s="7"/>
      <c r="B378" s="23"/>
      <c r="C378" s="23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7"/>
    </row>
    <row r="379" spans="1:14" x14ac:dyDescent="0.3">
      <c r="A379" s="7"/>
      <c r="B379" s="23"/>
      <c r="C379" s="23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7"/>
    </row>
    <row r="380" spans="1:14" x14ac:dyDescent="0.3">
      <c r="A380" s="7"/>
      <c r="B380" s="23"/>
      <c r="C380" s="23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7"/>
    </row>
    <row r="381" spans="1:14" x14ac:dyDescent="0.3">
      <c r="A381" s="7"/>
      <c r="B381" s="23"/>
      <c r="C381" s="23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7"/>
    </row>
    <row r="382" spans="1:14" x14ac:dyDescent="0.3">
      <c r="A382" s="7"/>
      <c r="B382" s="23"/>
      <c r="C382" s="23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7"/>
    </row>
    <row r="383" spans="1:14" x14ac:dyDescent="0.3">
      <c r="A383" s="7"/>
      <c r="B383" s="23"/>
      <c r="C383" s="23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7"/>
    </row>
    <row r="384" spans="1:14" x14ac:dyDescent="0.3">
      <c r="A384" s="7"/>
      <c r="B384" s="23"/>
      <c r="C384" s="23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7"/>
    </row>
    <row r="385" spans="1:14" x14ac:dyDescent="0.3">
      <c r="A385" s="7"/>
      <c r="B385" s="23"/>
      <c r="C385" s="23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7"/>
    </row>
    <row r="386" spans="1:14" x14ac:dyDescent="0.3">
      <c r="A386" s="7"/>
      <c r="B386" s="23"/>
      <c r="C386" s="23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7"/>
    </row>
    <row r="387" spans="1:14" x14ac:dyDescent="0.3">
      <c r="A387" s="7"/>
      <c r="B387" s="23"/>
      <c r="C387" s="23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7"/>
    </row>
    <row r="388" spans="1:14" x14ac:dyDescent="0.3">
      <c r="A388" s="7"/>
      <c r="B388" s="23"/>
      <c r="C388" s="23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7"/>
    </row>
    <row r="389" spans="1:14" x14ac:dyDescent="0.3">
      <c r="A389" s="7"/>
      <c r="B389" s="23"/>
      <c r="C389" s="23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7"/>
    </row>
    <row r="390" spans="1:14" x14ac:dyDescent="0.3">
      <c r="A390" s="7"/>
      <c r="B390" s="23"/>
      <c r="C390" s="23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7"/>
    </row>
    <row r="391" spans="1:14" x14ac:dyDescent="0.3">
      <c r="A391" s="7"/>
      <c r="B391" s="23"/>
      <c r="C391" s="23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7"/>
    </row>
    <row r="392" spans="1:14" x14ac:dyDescent="0.3">
      <c r="A392" s="7"/>
      <c r="B392" s="23"/>
      <c r="C392" s="23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7"/>
    </row>
    <row r="393" spans="1:14" x14ac:dyDescent="0.3">
      <c r="A393" s="7"/>
      <c r="B393" s="23"/>
      <c r="C393" s="23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7"/>
    </row>
    <row r="394" spans="1:14" x14ac:dyDescent="0.3">
      <c r="A394" s="7"/>
      <c r="B394" s="23"/>
      <c r="C394" s="23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7"/>
    </row>
    <row r="395" spans="1:14" x14ac:dyDescent="0.3">
      <c r="A395" s="7"/>
      <c r="B395" s="23"/>
      <c r="C395" s="23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7"/>
    </row>
    <row r="396" spans="1:14" x14ac:dyDescent="0.3">
      <c r="A396" s="7"/>
      <c r="B396" s="23"/>
      <c r="C396" s="23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7"/>
    </row>
    <row r="397" spans="1:14" x14ac:dyDescent="0.3">
      <c r="A397" s="7"/>
      <c r="B397" s="23"/>
      <c r="C397" s="23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7"/>
    </row>
    <row r="398" spans="1:14" x14ac:dyDescent="0.3">
      <c r="A398" s="7"/>
      <c r="B398" s="23"/>
      <c r="C398" s="23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7"/>
    </row>
    <row r="399" spans="1:14" x14ac:dyDescent="0.3">
      <c r="A399" s="7"/>
      <c r="B399" s="23"/>
      <c r="C399" s="23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7"/>
    </row>
    <row r="400" spans="1:14" x14ac:dyDescent="0.3">
      <c r="A400" s="7"/>
      <c r="B400" s="23"/>
      <c r="C400" s="23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7"/>
    </row>
    <row r="401" spans="1:14" x14ac:dyDescent="0.3">
      <c r="A401" s="7"/>
      <c r="B401" s="23"/>
      <c r="C401" s="23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7"/>
    </row>
    <row r="402" spans="1:14" x14ac:dyDescent="0.3">
      <c r="A402" s="7"/>
      <c r="B402" s="23"/>
      <c r="C402" s="23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7"/>
    </row>
    <row r="403" spans="1:14" x14ac:dyDescent="0.3">
      <c r="A403" s="7"/>
      <c r="B403" s="23"/>
      <c r="C403" s="23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7"/>
    </row>
    <row r="404" spans="1:14" x14ac:dyDescent="0.3">
      <c r="A404" s="7"/>
      <c r="B404" s="23"/>
      <c r="C404" s="23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7"/>
    </row>
    <row r="405" spans="1:14" x14ac:dyDescent="0.3">
      <c r="A405" s="7"/>
      <c r="B405" s="23"/>
      <c r="C405" s="23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7"/>
    </row>
    <row r="406" spans="1:14" x14ac:dyDescent="0.3">
      <c r="A406" s="7"/>
      <c r="B406" s="23"/>
      <c r="C406" s="23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7"/>
    </row>
    <row r="407" spans="1:14" x14ac:dyDescent="0.3">
      <c r="A407" s="8"/>
      <c r="B407" s="24"/>
      <c r="C407" s="24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9"/>
    </row>
    <row r="408" spans="1:14" x14ac:dyDescent="0.3">
      <c r="A408" s="8"/>
      <c r="B408" s="24"/>
      <c r="C408" s="24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9"/>
    </row>
    <row r="409" spans="1:14" x14ac:dyDescent="0.3">
      <c r="A409" s="8"/>
      <c r="B409" s="24"/>
      <c r="C409" s="24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9"/>
    </row>
    <row r="410" spans="1:14" x14ac:dyDescent="0.3">
      <c r="A410" s="8"/>
      <c r="B410" s="24"/>
      <c r="C410" s="24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9"/>
    </row>
    <row r="411" spans="1:14" x14ac:dyDescent="0.3">
      <c r="A411" s="8"/>
      <c r="B411" s="24"/>
      <c r="C411" s="24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9"/>
    </row>
    <row r="412" spans="1:14" x14ac:dyDescent="0.3">
      <c r="A412" s="8"/>
      <c r="B412" s="24"/>
      <c r="C412" s="24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9"/>
    </row>
    <row r="413" spans="1:14" x14ac:dyDescent="0.3">
      <c r="A413" s="8"/>
      <c r="B413" s="24"/>
      <c r="C413" s="24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9"/>
    </row>
    <row r="414" spans="1:14" x14ac:dyDescent="0.3">
      <c r="A414" s="8"/>
      <c r="B414" s="24"/>
      <c r="C414" s="24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9"/>
    </row>
    <row r="415" spans="1:14" x14ac:dyDescent="0.3">
      <c r="A415" s="8"/>
      <c r="B415" s="24"/>
      <c r="C415" s="24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9"/>
    </row>
    <row r="416" spans="1:14" x14ac:dyDescent="0.3">
      <c r="A416" s="8"/>
      <c r="B416" s="24"/>
      <c r="C416" s="24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9"/>
    </row>
    <row r="417" spans="1:14" x14ac:dyDescent="0.3">
      <c r="A417" s="8"/>
      <c r="B417" s="24"/>
      <c r="C417" s="24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9"/>
    </row>
    <row r="418" spans="1:14" x14ac:dyDescent="0.3">
      <c r="A418" s="8"/>
      <c r="B418" s="24"/>
      <c r="C418" s="24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9"/>
    </row>
    <row r="419" spans="1:14" x14ac:dyDescent="0.3">
      <c r="A419" s="8"/>
      <c r="B419" s="24"/>
      <c r="C419" s="24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9"/>
    </row>
    <row r="420" spans="1:14" x14ac:dyDescent="0.3">
      <c r="A420" s="8"/>
      <c r="B420" s="24"/>
      <c r="C420" s="24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9"/>
    </row>
    <row r="421" spans="1:14" ht="15" thickBot="1" x14ac:dyDescent="0.35">
      <c r="A421" s="9"/>
      <c r="B421" s="25"/>
      <c r="C421" s="25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1"/>
    </row>
  </sheetData>
  <mergeCells count="1">
    <mergeCell ref="A2:C2"/>
  </mergeCells>
  <conditionalFormatting sqref="A14:N1048576 A1:N1 A2:A13 D2:N13">
    <cfRule type="cellIs" dxfId="20" priority="17" operator="equal">
      <formula>"N/A"</formula>
    </cfRule>
  </conditionalFormatting>
  <conditionalFormatting sqref="B3:C12">
    <cfRule type="cellIs" dxfId="19" priority="15" operator="equal">
      <formula>"N/A"</formula>
    </cfRule>
  </conditionalFormatting>
  <conditionalFormatting sqref="B4:C12">
    <cfRule type="cellIs" dxfId="18" priority="16" operator="equal">
      <formula>"N/A"</formula>
    </cfRule>
  </conditionalFormatting>
  <conditionalFormatting sqref="B3:C3">
    <cfRule type="cellIs" dxfId="17" priority="14" operator="equal">
      <formula>"N/A"</formula>
    </cfRule>
  </conditionalFormatting>
  <conditionalFormatting sqref="B3:C3">
    <cfRule type="cellIs" dxfId="16" priority="13" operator="equal">
      <formula>"N/A"</formula>
    </cfRule>
  </conditionalFormatting>
  <conditionalFormatting sqref="C4">
    <cfRule type="cellIs" dxfId="15" priority="12" operator="equal">
      <formula>"N/A"</formula>
    </cfRule>
  </conditionalFormatting>
  <conditionalFormatting sqref="C4">
    <cfRule type="cellIs" dxfId="14" priority="11" operator="equal">
      <formula>"N/A"</formula>
    </cfRule>
  </conditionalFormatting>
  <conditionalFormatting sqref="C4">
    <cfRule type="cellIs" dxfId="13" priority="10" operator="equal">
      <formula>"N/A"</formula>
    </cfRule>
  </conditionalFormatting>
  <conditionalFormatting sqref="C4">
    <cfRule type="cellIs" dxfId="12" priority="9" operator="equal">
      <formula>"N/A"</formula>
    </cfRule>
  </conditionalFormatting>
  <conditionalFormatting sqref="C4:C12">
    <cfRule type="cellIs" dxfId="11" priority="8" operator="equal">
      <formula>"N/A"</formula>
    </cfRule>
  </conditionalFormatting>
  <conditionalFormatting sqref="C4:C12">
    <cfRule type="cellIs" dxfId="10" priority="7" operator="equal">
      <formula>"N/A"</formula>
    </cfRule>
  </conditionalFormatting>
  <conditionalFormatting sqref="B13">
    <cfRule type="cellIs" dxfId="9" priority="5" operator="equal">
      <formula>"N/A"</formula>
    </cfRule>
  </conditionalFormatting>
  <conditionalFormatting sqref="B13">
    <cfRule type="cellIs" dxfId="8" priority="6" operator="equal">
      <formula>"N/A"</formula>
    </cfRule>
  </conditionalFormatting>
  <conditionalFormatting sqref="C13">
    <cfRule type="cellIs" dxfId="7" priority="3" operator="equal">
      <formula>"N/A"</formula>
    </cfRule>
  </conditionalFormatting>
  <conditionalFormatting sqref="C13">
    <cfRule type="cellIs" dxfId="6" priority="4" operator="equal">
      <formula>"N/A"</formula>
    </cfRule>
  </conditionalFormatting>
  <conditionalFormatting sqref="C13">
    <cfRule type="cellIs" dxfId="5" priority="2" operator="equal">
      <formula>"N/A"</formula>
    </cfRule>
  </conditionalFormatting>
  <conditionalFormatting sqref="C13">
    <cfRule type="cellIs" dxfId="4" priority="1" operator="equal">
      <formula>"N/A"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21"/>
  <sheetViews>
    <sheetView workbookViewId="0">
      <selection activeCell="A15" sqref="A15:XFD15"/>
    </sheetView>
  </sheetViews>
  <sheetFormatPr defaultRowHeight="14.4" x14ac:dyDescent="0.3"/>
  <cols>
    <col min="1" max="1" width="6" bestFit="1" customWidth="1"/>
    <col min="2" max="2" width="14.77734375" bestFit="1" customWidth="1"/>
    <col min="3" max="3" width="15.6640625" bestFit="1" customWidth="1"/>
    <col min="4" max="4" width="15.33203125" customWidth="1"/>
    <col min="5" max="5" width="13.33203125" customWidth="1"/>
    <col min="6" max="6" width="18.109375" customWidth="1"/>
    <col min="7" max="7" width="15.88671875" customWidth="1"/>
    <col min="8" max="8" width="14.88671875" customWidth="1"/>
    <col min="9" max="9" width="13.5546875" customWidth="1"/>
    <col min="10" max="10" width="11.6640625" customWidth="1"/>
    <col min="11" max="11" width="17.6640625" bestFit="1" customWidth="1"/>
    <col min="12" max="12" width="17.88671875" bestFit="1" customWidth="1"/>
    <col min="13" max="13" width="14.6640625" customWidth="1"/>
    <col min="14" max="14" width="16.33203125" customWidth="1"/>
  </cols>
  <sheetData>
    <row r="1" spans="1:14" x14ac:dyDescent="0.3">
      <c r="A1" s="3" t="s">
        <v>11</v>
      </c>
      <c r="B1" s="22" t="s">
        <v>13</v>
      </c>
      <c r="C1" s="22" t="s">
        <v>26</v>
      </c>
      <c r="D1" s="4" t="s">
        <v>0</v>
      </c>
      <c r="E1" s="5" t="s">
        <v>1</v>
      </c>
      <c r="F1" s="4" t="s">
        <v>2</v>
      </c>
      <c r="G1" s="5" t="s">
        <v>3</v>
      </c>
      <c r="H1" s="4" t="s">
        <v>4</v>
      </c>
      <c r="I1" s="4" t="s">
        <v>5</v>
      </c>
      <c r="J1" s="4" t="s">
        <v>6</v>
      </c>
      <c r="K1" s="4" t="s">
        <v>7</v>
      </c>
      <c r="L1" s="4" t="s">
        <v>8</v>
      </c>
      <c r="M1" s="4" t="s">
        <v>9</v>
      </c>
      <c r="N1" s="6" t="s">
        <v>10</v>
      </c>
    </row>
    <row r="2" spans="1:14" x14ac:dyDescent="0.3">
      <c r="A2" s="52" t="s">
        <v>27</v>
      </c>
      <c r="B2" s="53"/>
      <c r="C2" s="54"/>
      <c r="D2" s="39">
        <f>AVERAGE(D3:D421)</f>
        <v>0.97</v>
      </c>
      <c r="E2" s="39">
        <f t="shared" ref="E2:N2" si="0">AVERAGE(E3:E421)</f>
        <v>0.93333333333333346</v>
      </c>
      <c r="F2" s="39">
        <f t="shared" si="0"/>
        <v>1</v>
      </c>
      <c r="G2" s="39">
        <f t="shared" si="0"/>
        <v>1</v>
      </c>
      <c r="H2" s="39">
        <f t="shared" si="0"/>
        <v>0.84285714285714275</v>
      </c>
      <c r="I2" s="39">
        <f t="shared" si="0"/>
        <v>0.85</v>
      </c>
      <c r="J2" s="39">
        <f t="shared" si="0"/>
        <v>0.94000000000000006</v>
      </c>
      <c r="K2" s="39">
        <f t="shared" si="0"/>
        <v>0.65</v>
      </c>
      <c r="L2" s="39">
        <f t="shared" si="0"/>
        <v>0.91666666666666663</v>
      </c>
      <c r="M2" s="39">
        <f t="shared" si="0"/>
        <v>0.9</v>
      </c>
      <c r="N2" s="39">
        <f t="shared" si="0"/>
        <v>0.76666666666666672</v>
      </c>
    </row>
    <row r="3" spans="1:14" x14ac:dyDescent="0.3">
      <c r="A3" s="7">
        <f>'Pré Implantação'!A3</f>
        <v>12345</v>
      </c>
      <c r="B3" s="23" t="str">
        <f>'Pré Implantação'!B3</f>
        <v>Produção TI</v>
      </c>
      <c r="C3" s="31">
        <f>IF('Pré Implantação'!C3=0,"0",'Pré Implantação'!C3+10)</f>
        <v>42579.657638888886</v>
      </c>
      <c r="D3" s="16">
        <v>1</v>
      </c>
      <c r="E3" s="16" t="s">
        <v>12</v>
      </c>
      <c r="F3" s="16">
        <v>1</v>
      </c>
      <c r="G3" s="16">
        <v>1</v>
      </c>
      <c r="H3" s="16">
        <v>0.9</v>
      </c>
      <c r="I3" s="16">
        <v>1</v>
      </c>
      <c r="J3" s="16" t="s">
        <v>12</v>
      </c>
      <c r="K3" s="16" t="s">
        <v>12</v>
      </c>
      <c r="L3" s="16" t="s">
        <v>12</v>
      </c>
      <c r="M3" s="16">
        <v>0.7</v>
      </c>
      <c r="N3" s="17" t="s">
        <v>12</v>
      </c>
    </row>
    <row r="4" spans="1:14" x14ac:dyDescent="0.3">
      <c r="A4" s="7">
        <f>'Pré Implantação'!A4</f>
        <v>12346</v>
      </c>
      <c r="B4" s="23" t="str">
        <f>'Pré Implantação'!B4</f>
        <v>CSE Microsoft</v>
      </c>
      <c r="C4" s="31">
        <f>IF('Pré Implantação'!C4=0,"0",'Pré Implantação'!C4+10)</f>
        <v>42578.791666666664</v>
      </c>
      <c r="D4" s="16">
        <v>1</v>
      </c>
      <c r="E4" s="16" t="s">
        <v>12</v>
      </c>
      <c r="F4" s="16" t="s">
        <v>12</v>
      </c>
      <c r="G4" s="16">
        <v>1</v>
      </c>
      <c r="H4" s="16">
        <v>0.7</v>
      </c>
      <c r="I4" s="16">
        <v>1</v>
      </c>
      <c r="J4" s="16">
        <v>0.9</v>
      </c>
      <c r="K4" s="16" t="s">
        <v>12</v>
      </c>
      <c r="L4" s="16">
        <v>1</v>
      </c>
      <c r="M4" s="16" t="s">
        <v>12</v>
      </c>
      <c r="N4" s="17">
        <v>1</v>
      </c>
    </row>
    <row r="5" spans="1:14" x14ac:dyDescent="0.3">
      <c r="A5" s="7">
        <f>'Pré Implantação'!A5</f>
        <v>12347</v>
      </c>
      <c r="B5" s="23" t="str">
        <f>'Pré Implantação'!B5</f>
        <v>CSC Service Desk</v>
      </c>
      <c r="C5" s="31">
        <f>IF('Pré Implantação'!C5=0,"0",'Pré Implantação'!C5+10)</f>
        <v>42574.5</v>
      </c>
      <c r="D5" s="16">
        <v>1</v>
      </c>
      <c r="E5" s="16">
        <v>1</v>
      </c>
      <c r="F5" s="16">
        <v>1</v>
      </c>
      <c r="G5" s="16">
        <v>1</v>
      </c>
      <c r="H5" s="16" t="s">
        <v>12</v>
      </c>
      <c r="I5" s="16">
        <v>0.8</v>
      </c>
      <c r="J5" s="16" t="s">
        <v>12</v>
      </c>
      <c r="K5" s="16" t="s">
        <v>12</v>
      </c>
      <c r="L5" s="16">
        <v>1</v>
      </c>
      <c r="M5" s="16" t="s">
        <v>12</v>
      </c>
      <c r="N5" s="17">
        <v>0.6</v>
      </c>
    </row>
    <row r="6" spans="1:14" x14ac:dyDescent="0.3">
      <c r="A6" s="7">
        <f>'Pré Implantação'!A6</f>
        <v>12348</v>
      </c>
      <c r="B6" s="23" t="str">
        <f>'Pré Implantação'!B6</f>
        <v>CSE Telecom</v>
      </c>
      <c r="C6" s="31">
        <f>IF('Pré Implantação'!C6=0,"0",'Pré Implantação'!C6+10)</f>
        <v>42583.409722222219</v>
      </c>
      <c r="D6" s="16">
        <v>1</v>
      </c>
      <c r="E6" s="16" t="s">
        <v>12</v>
      </c>
      <c r="F6" s="16">
        <v>1</v>
      </c>
      <c r="G6" s="16" t="s">
        <v>12</v>
      </c>
      <c r="H6" s="16" t="s">
        <v>12</v>
      </c>
      <c r="I6" s="16" t="s">
        <v>12</v>
      </c>
      <c r="J6" s="16" t="s">
        <v>12</v>
      </c>
      <c r="K6" s="16" t="s">
        <v>12</v>
      </c>
      <c r="L6" s="16" t="s">
        <v>12</v>
      </c>
      <c r="M6" s="16" t="s">
        <v>12</v>
      </c>
      <c r="N6" s="17" t="s">
        <v>12</v>
      </c>
    </row>
    <row r="7" spans="1:14" x14ac:dyDescent="0.3">
      <c r="A7" s="7">
        <f>'Pré Implantação'!A7</f>
        <v>12349</v>
      </c>
      <c r="B7" s="23" t="str">
        <f>'Pré Implantação'!B7</f>
        <v>Infraestrutura</v>
      </c>
      <c r="C7" s="31">
        <f>IF('Pré Implantação'!C7=0,"0",'Pré Implantação'!C7+10)</f>
        <v>42571.083333333336</v>
      </c>
      <c r="D7" s="16">
        <v>1</v>
      </c>
      <c r="E7" s="16">
        <v>1</v>
      </c>
      <c r="F7" s="16">
        <v>1</v>
      </c>
      <c r="G7" s="16">
        <v>1</v>
      </c>
      <c r="H7" s="16">
        <v>1</v>
      </c>
      <c r="I7" s="16">
        <v>1</v>
      </c>
      <c r="J7" s="16">
        <v>1</v>
      </c>
      <c r="K7" s="16">
        <v>0.2</v>
      </c>
      <c r="L7" s="16">
        <v>1</v>
      </c>
      <c r="M7" s="16">
        <v>1</v>
      </c>
      <c r="N7" s="17">
        <v>0.6</v>
      </c>
    </row>
    <row r="8" spans="1:14" x14ac:dyDescent="0.3">
      <c r="A8" s="7">
        <f>'Pré Implantação'!A8</f>
        <v>12350</v>
      </c>
      <c r="B8" s="23" t="str">
        <f>'Pré Implantação'!B8</f>
        <v>URA</v>
      </c>
      <c r="C8" s="31">
        <f>IF('Pré Implantação'!C8=0,"0",'Pré Implantação'!C8+10)</f>
        <v>42580.583333333336</v>
      </c>
      <c r="D8" s="16">
        <v>1</v>
      </c>
      <c r="E8" s="16">
        <v>1</v>
      </c>
      <c r="F8" s="16" t="s">
        <v>12</v>
      </c>
      <c r="G8" s="16">
        <v>1</v>
      </c>
      <c r="H8" s="16">
        <v>0.7</v>
      </c>
      <c r="I8" s="16" t="s">
        <v>12</v>
      </c>
      <c r="J8" s="16">
        <v>1</v>
      </c>
      <c r="K8" s="16" t="s">
        <v>12</v>
      </c>
      <c r="L8" s="16" t="s">
        <v>12</v>
      </c>
      <c r="M8" s="16" t="s">
        <v>12</v>
      </c>
      <c r="N8" s="17" t="s">
        <v>12</v>
      </c>
    </row>
    <row r="9" spans="1:14" x14ac:dyDescent="0.3">
      <c r="A9" s="7">
        <f>'Pré Implantação'!A9</f>
        <v>12351</v>
      </c>
      <c r="B9" s="23" t="str">
        <f>'Pré Implantação'!B9</f>
        <v>CSE Microsoft</v>
      </c>
      <c r="C9" s="31">
        <f>IF('Pré Implantação'!C9=0,"0",'Pré Implantação'!C9+10)</f>
        <v>42572.229166666664</v>
      </c>
      <c r="D9" s="16">
        <v>0.7</v>
      </c>
      <c r="E9" s="16" t="s">
        <v>12</v>
      </c>
      <c r="F9" s="16" t="s">
        <v>12</v>
      </c>
      <c r="G9" s="16">
        <v>1</v>
      </c>
      <c r="H9" s="16">
        <v>0.8</v>
      </c>
      <c r="I9" s="16" t="s">
        <v>12</v>
      </c>
      <c r="J9" s="16" t="s">
        <v>12</v>
      </c>
      <c r="K9" s="16" t="s">
        <v>12</v>
      </c>
      <c r="L9" s="16" t="s">
        <v>12</v>
      </c>
      <c r="M9" s="16" t="s">
        <v>12</v>
      </c>
      <c r="N9" s="17">
        <v>1</v>
      </c>
    </row>
    <row r="10" spans="1:14" x14ac:dyDescent="0.3">
      <c r="A10" s="7">
        <f>'Pré Implantação'!A10</f>
        <v>12352</v>
      </c>
      <c r="B10" s="23" t="str">
        <f>'Pré Implantação'!B10</f>
        <v>URA</v>
      </c>
      <c r="C10" s="31">
        <f>IF('Pré Implantação'!C10=0,"0",'Pré Implantação'!C10+10)</f>
        <v>42584.458333333336</v>
      </c>
      <c r="D10" s="16">
        <v>1</v>
      </c>
      <c r="E10" s="16">
        <v>0.9</v>
      </c>
      <c r="F10" s="16" t="s">
        <v>12</v>
      </c>
      <c r="G10" s="16" t="s">
        <v>12</v>
      </c>
      <c r="H10" s="16" t="s">
        <v>12</v>
      </c>
      <c r="I10" s="16" t="s">
        <v>12</v>
      </c>
      <c r="J10" s="16" t="s">
        <v>12</v>
      </c>
      <c r="K10" s="16" t="s">
        <v>12</v>
      </c>
      <c r="L10" s="16">
        <v>0.5</v>
      </c>
      <c r="M10" s="16" t="s">
        <v>12</v>
      </c>
      <c r="N10" s="17" t="s">
        <v>12</v>
      </c>
    </row>
    <row r="11" spans="1:14" x14ac:dyDescent="0.3">
      <c r="A11" s="7">
        <f>'Pré Implantação'!A11</f>
        <v>12353</v>
      </c>
      <c r="B11" s="23" t="str">
        <f>'Pré Implantação'!B11</f>
        <v>CSE Telecom</v>
      </c>
      <c r="C11" s="31">
        <f>IF('Pré Implantação'!C11=0,"0",'Pré Implantação'!C11+10)</f>
        <v>42578.020833333336</v>
      </c>
      <c r="D11" s="16">
        <v>1</v>
      </c>
      <c r="E11" s="16" t="s">
        <v>12</v>
      </c>
      <c r="F11" s="16" t="s">
        <v>12</v>
      </c>
      <c r="G11" s="16" t="s">
        <v>12</v>
      </c>
      <c r="H11" s="16" t="s">
        <v>12</v>
      </c>
      <c r="I11" s="16">
        <v>0.3</v>
      </c>
      <c r="J11" s="16" t="s">
        <v>12</v>
      </c>
      <c r="K11" s="16" t="s">
        <v>12</v>
      </c>
      <c r="L11" s="16">
        <v>1</v>
      </c>
      <c r="M11" s="16" t="s">
        <v>12</v>
      </c>
      <c r="N11" s="17" t="s">
        <v>12</v>
      </c>
    </row>
    <row r="12" spans="1:14" x14ac:dyDescent="0.3">
      <c r="A12" s="7">
        <f>'Pré Implantação'!A12</f>
        <v>12354</v>
      </c>
      <c r="B12" s="23" t="str">
        <f>'Pré Implantação'!B12</f>
        <v>CSE Microsoft</v>
      </c>
      <c r="C12" s="31">
        <f>IF('Pré Implantação'!C12=0,"0",'Pré Implantação'!C12+10)</f>
        <v>42579.802083333336</v>
      </c>
      <c r="D12" s="16">
        <v>1</v>
      </c>
      <c r="E12" s="16">
        <v>1</v>
      </c>
      <c r="F12" s="16">
        <v>1</v>
      </c>
      <c r="G12" s="16">
        <v>1</v>
      </c>
      <c r="H12" s="16">
        <v>1</v>
      </c>
      <c r="I12" s="16">
        <v>1</v>
      </c>
      <c r="J12" s="16">
        <v>1</v>
      </c>
      <c r="K12" s="16">
        <v>1</v>
      </c>
      <c r="L12" s="16">
        <v>1</v>
      </c>
      <c r="M12" s="16">
        <v>1</v>
      </c>
      <c r="N12" s="17">
        <v>1</v>
      </c>
    </row>
    <row r="13" spans="1:14" x14ac:dyDescent="0.3">
      <c r="A13" s="7">
        <f>'Pré Implantação'!A13</f>
        <v>12355</v>
      </c>
      <c r="B13" s="23" t="str">
        <f>'Pré Implantação'!B13</f>
        <v>URA</v>
      </c>
      <c r="C13" s="31">
        <f>IF('Pré Implantação'!C13=0,"0",'Pré Implantação'!C13+10)</f>
        <v>42579.666666666664</v>
      </c>
      <c r="D13" s="16" t="s">
        <v>12</v>
      </c>
      <c r="E13" s="16">
        <v>0.7</v>
      </c>
      <c r="F13" s="16">
        <v>1</v>
      </c>
      <c r="G13" s="16" t="s">
        <v>12</v>
      </c>
      <c r="H13" s="16">
        <v>0.8</v>
      </c>
      <c r="I13" s="16" t="s">
        <v>12</v>
      </c>
      <c r="J13" s="16">
        <v>0.8</v>
      </c>
      <c r="K13" s="16">
        <v>0.75</v>
      </c>
      <c r="L13" s="16" t="s">
        <v>12</v>
      </c>
      <c r="M13" s="16" t="s">
        <v>12</v>
      </c>
      <c r="N13" s="17">
        <v>0.4</v>
      </c>
    </row>
    <row r="14" spans="1:14" x14ac:dyDescent="0.3">
      <c r="A14" s="7">
        <f>'Pré Implantação'!A14</f>
        <v>0</v>
      </c>
      <c r="B14" s="23">
        <f>'Pré Implantação'!B14</f>
        <v>0</v>
      </c>
      <c r="C14" s="31" t="str">
        <f>IF('Pré Implantação'!C14=0,"0",'Pré Implantação'!C14+10)</f>
        <v>0</v>
      </c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7"/>
    </row>
    <row r="15" spans="1:14" x14ac:dyDescent="0.3">
      <c r="A15" s="7">
        <f>'Pré Implantação'!A15</f>
        <v>0</v>
      </c>
      <c r="B15" s="23">
        <f>'Pré Implantação'!B15</f>
        <v>0</v>
      </c>
      <c r="C15" s="31" t="str">
        <f>IF('Pré Implantação'!C15=0,"0",'Pré Implantação'!C15+10)</f>
        <v>0</v>
      </c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7"/>
    </row>
    <row r="16" spans="1:14" x14ac:dyDescent="0.3">
      <c r="A16" s="7">
        <f>'Pré Implantação'!A16</f>
        <v>0</v>
      </c>
      <c r="B16" s="23">
        <f>'Pré Implantação'!B16</f>
        <v>0</v>
      </c>
      <c r="C16" s="31" t="str">
        <f>IF('Pré Implantação'!C16=0,"0",'Pré Implantação'!C16+10)</f>
        <v>0</v>
      </c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1"/>
    </row>
    <row r="17" spans="1:14" x14ac:dyDescent="0.3">
      <c r="A17" s="7">
        <f>'Pré Implantação'!A17</f>
        <v>0</v>
      </c>
      <c r="B17" s="23">
        <f>'Pré Implantação'!B17</f>
        <v>0</v>
      </c>
      <c r="C17" s="31" t="str">
        <f>IF('Pré Implantação'!C17=0,"0",'Pré Implantação'!C17+10)</f>
        <v>0</v>
      </c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1"/>
    </row>
    <row r="18" spans="1:14" x14ac:dyDescent="0.3">
      <c r="A18" s="7">
        <f>'Pré Implantação'!A18</f>
        <v>0</v>
      </c>
      <c r="B18" s="23">
        <f>'Pré Implantação'!B18</f>
        <v>0</v>
      </c>
      <c r="C18" s="31" t="str">
        <f>IF('Pré Implantação'!C18=0,"0",'Pré Implantação'!C18+10)</f>
        <v>0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1"/>
    </row>
    <row r="19" spans="1:14" x14ac:dyDescent="0.3">
      <c r="A19" s="7">
        <f>'Pré Implantação'!A19</f>
        <v>0</v>
      </c>
      <c r="B19" s="23">
        <f>'Pré Implantação'!B19</f>
        <v>0</v>
      </c>
      <c r="C19" s="31" t="str">
        <f>IF('Pré Implantação'!C19=0,"0",'Pré Implantação'!C19+10)</f>
        <v>0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1"/>
    </row>
    <row r="20" spans="1:14" x14ac:dyDescent="0.3">
      <c r="A20" s="7">
        <f>'Pré Implantação'!A20</f>
        <v>0</v>
      </c>
      <c r="B20" s="23">
        <f>'Pré Implantação'!B20</f>
        <v>0</v>
      </c>
      <c r="C20" s="31" t="str">
        <f>IF('Pré Implantação'!C20=0,"0",'Pré Implantação'!C20+10)</f>
        <v>0</v>
      </c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1"/>
    </row>
    <row r="21" spans="1:14" x14ac:dyDescent="0.3">
      <c r="A21" s="7">
        <f>'Pré Implantação'!A21</f>
        <v>0</v>
      </c>
      <c r="B21" s="23">
        <f>'Pré Implantação'!B21</f>
        <v>0</v>
      </c>
      <c r="C21" s="31" t="str">
        <f>IF('Pré Implantação'!C21=0,"0",'Pré Implantação'!C21+10)</f>
        <v>0</v>
      </c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1"/>
    </row>
    <row r="22" spans="1:14" x14ac:dyDescent="0.3">
      <c r="A22" s="7">
        <f>'Pré Implantação'!A22</f>
        <v>0</v>
      </c>
      <c r="B22" s="23">
        <f>'Pré Implantação'!B22</f>
        <v>0</v>
      </c>
      <c r="C22" s="31" t="str">
        <f>IF('Pré Implantação'!C22=0,"0",'Pré Implantação'!C22+10)</f>
        <v>0</v>
      </c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1"/>
    </row>
    <row r="23" spans="1:14" x14ac:dyDescent="0.3">
      <c r="A23" s="7">
        <f>'Pré Implantação'!A23</f>
        <v>0</v>
      </c>
      <c r="B23" s="23">
        <f>'Pré Implantação'!B23</f>
        <v>0</v>
      </c>
      <c r="C23" s="31" t="str">
        <f>IF('Pré Implantação'!C23=0,"0",'Pré Implantação'!C23+10)</f>
        <v>0</v>
      </c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1"/>
    </row>
    <row r="24" spans="1:14" x14ac:dyDescent="0.3">
      <c r="A24" s="7">
        <f>'Pré Implantação'!A24</f>
        <v>0</v>
      </c>
      <c r="B24" s="23">
        <f>'Pré Implantação'!B24</f>
        <v>0</v>
      </c>
      <c r="C24" s="31" t="str">
        <f>IF('Pré Implantação'!C24=0,"0",'Pré Implantação'!C24+10)</f>
        <v>0</v>
      </c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1"/>
    </row>
    <row r="25" spans="1:14" x14ac:dyDescent="0.3">
      <c r="A25" s="7">
        <f>'Pré Implantação'!A25</f>
        <v>0</v>
      </c>
      <c r="B25" s="23">
        <f>'Pré Implantação'!B25</f>
        <v>0</v>
      </c>
      <c r="C25" s="31" t="str">
        <f>IF('Pré Implantação'!C25=0,"0",'Pré Implantação'!C25+10)</f>
        <v>0</v>
      </c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1"/>
    </row>
    <row r="26" spans="1:14" x14ac:dyDescent="0.3">
      <c r="A26" s="7">
        <f>'Pré Implantação'!A26</f>
        <v>0</v>
      </c>
      <c r="B26" s="23">
        <f>'Pré Implantação'!B26</f>
        <v>0</v>
      </c>
      <c r="C26" s="31" t="str">
        <f>IF('Pré Implantação'!C26=0,"0",'Pré Implantação'!C26+10)</f>
        <v>0</v>
      </c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1"/>
    </row>
    <row r="27" spans="1:14" x14ac:dyDescent="0.3">
      <c r="A27" s="7">
        <f>'Pré Implantação'!A27</f>
        <v>0</v>
      </c>
      <c r="B27" s="23">
        <f>'Pré Implantação'!B27</f>
        <v>0</v>
      </c>
      <c r="C27" s="31" t="str">
        <f>IF('Pré Implantação'!C27=0,"0",'Pré Implantação'!C27+10)</f>
        <v>0</v>
      </c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1"/>
    </row>
    <row r="28" spans="1:14" x14ac:dyDescent="0.3">
      <c r="A28" s="7">
        <f>'Pré Implantação'!A28</f>
        <v>0</v>
      </c>
      <c r="B28" s="23">
        <f>'Pré Implantação'!B28</f>
        <v>0</v>
      </c>
      <c r="C28" s="31" t="str">
        <f>IF('Pré Implantação'!C28=0,"0",'Pré Implantação'!C28+10)</f>
        <v>0</v>
      </c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1"/>
    </row>
    <row r="29" spans="1:14" x14ac:dyDescent="0.3">
      <c r="A29" s="7">
        <f>'Pré Implantação'!A29</f>
        <v>0</v>
      </c>
      <c r="B29" s="23">
        <f>'Pré Implantação'!B29</f>
        <v>0</v>
      </c>
      <c r="C29" s="31" t="str">
        <f>IF('Pré Implantação'!C29=0,"0",'Pré Implantação'!C29+10)</f>
        <v>0</v>
      </c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1"/>
    </row>
    <row r="30" spans="1:14" x14ac:dyDescent="0.3">
      <c r="A30" s="7">
        <f>'Pré Implantação'!A30</f>
        <v>0</v>
      </c>
      <c r="B30" s="23">
        <f>'Pré Implantação'!B30</f>
        <v>0</v>
      </c>
      <c r="C30" s="31" t="str">
        <f>IF('Pré Implantação'!C30=0,"0",'Pré Implantação'!C30+10)</f>
        <v>0</v>
      </c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1"/>
    </row>
    <row r="31" spans="1:14" x14ac:dyDescent="0.3">
      <c r="A31" s="7">
        <f>'Pré Implantação'!A31</f>
        <v>0</v>
      </c>
      <c r="B31" s="23">
        <f>'Pré Implantação'!B31</f>
        <v>0</v>
      </c>
      <c r="C31" s="31" t="str">
        <f>IF('Pré Implantação'!C31=0,"0",'Pré Implantação'!C31+10)</f>
        <v>0</v>
      </c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1"/>
    </row>
    <row r="32" spans="1:14" x14ac:dyDescent="0.3">
      <c r="A32" s="7">
        <f>'Pré Implantação'!A32</f>
        <v>0</v>
      </c>
      <c r="B32" s="23">
        <f>'Pré Implantação'!B32</f>
        <v>0</v>
      </c>
      <c r="C32" s="31" t="str">
        <f>IF('Pré Implantação'!C32=0,"0",'Pré Implantação'!C32+10)</f>
        <v>0</v>
      </c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1"/>
    </row>
    <row r="33" spans="1:14" x14ac:dyDescent="0.3">
      <c r="A33" s="7">
        <f>'Pré Implantação'!A33</f>
        <v>0</v>
      </c>
      <c r="B33" s="23">
        <f>'Pré Implantação'!B33</f>
        <v>0</v>
      </c>
      <c r="C33" s="31" t="str">
        <f>IF('Pré Implantação'!C33=0,"0",'Pré Implantação'!C33+10)</f>
        <v>0</v>
      </c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1"/>
    </row>
    <row r="34" spans="1:14" x14ac:dyDescent="0.3">
      <c r="A34" s="7">
        <f>'Pré Implantação'!A34</f>
        <v>0</v>
      </c>
      <c r="B34" s="23">
        <f>'Pré Implantação'!B34</f>
        <v>0</v>
      </c>
      <c r="C34" s="31" t="str">
        <f>IF('Pré Implantação'!C34=0,"0",'Pré Implantação'!C34+10)</f>
        <v>0</v>
      </c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1"/>
    </row>
    <row r="35" spans="1:14" x14ac:dyDescent="0.3">
      <c r="A35" s="7">
        <f>'Pré Implantação'!A35</f>
        <v>0</v>
      </c>
      <c r="B35" s="23">
        <f>'Pré Implantação'!B35</f>
        <v>0</v>
      </c>
      <c r="C35" s="31" t="str">
        <f>IF('Pré Implantação'!C35=0,"0",'Pré Implantação'!C35+10)</f>
        <v>0</v>
      </c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1"/>
    </row>
    <row r="36" spans="1:14" x14ac:dyDescent="0.3">
      <c r="A36" s="7">
        <f>'Pré Implantação'!A36</f>
        <v>0</v>
      </c>
      <c r="B36" s="23">
        <f>'Pré Implantação'!B36</f>
        <v>0</v>
      </c>
      <c r="C36" s="31" t="str">
        <f>IF('Pré Implantação'!C36=0,"0",'Pré Implantação'!C36+10)</f>
        <v>0</v>
      </c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1"/>
    </row>
    <row r="37" spans="1:14" x14ac:dyDescent="0.3">
      <c r="A37" s="7">
        <f>'Pré Implantação'!A37</f>
        <v>0</v>
      </c>
      <c r="B37" s="23">
        <f>'Pré Implantação'!B37</f>
        <v>0</v>
      </c>
      <c r="C37" s="31" t="str">
        <f>IF('Pré Implantação'!C37=0,"0",'Pré Implantação'!C37+10)</f>
        <v>0</v>
      </c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1"/>
    </row>
    <row r="38" spans="1:14" x14ac:dyDescent="0.3">
      <c r="A38" s="7">
        <f>'Pré Implantação'!A38</f>
        <v>0</v>
      </c>
      <c r="B38" s="23">
        <f>'Pré Implantação'!B38</f>
        <v>0</v>
      </c>
      <c r="C38" s="31" t="str">
        <f>IF('Pré Implantação'!C38=0,"0",'Pré Implantação'!C38+10)</f>
        <v>0</v>
      </c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1"/>
    </row>
    <row r="39" spans="1:14" x14ac:dyDescent="0.3">
      <c r="A39" s="7">
        <f>'Pré Implantação'!A39</f>
        <v>0</v>
      </c>
      <c r="B39" s="23">
        <f>'Pré Implantação'!B39</f>
        <v>0</v>
      </c>
      <c r="C39" s="31" t="str">
        <f>IF('Pré Implantação'!C39=0,"0",'Pré Implantação'!C39+10)</f>
        <v>0</v>
      </c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1"/>
    </row>
    <row r="40" spans="1:14" x14ac:dyDescent="0.3">
      <c r="A40" s="7">
        <f>'Pré Implantação'!A40</f>
        <v>0</v>
      </c>
      <c r="B40" s="23">
        <f>'Pré Implantação'!B40</f>
        <v>0</v>
      </c>
      <c r="C40" s="31" t="str">
        <f>IF('Pré Implantação'!C40=0,"0",'Pré Implantação'!C40+10)</f>
        <v>0</v>
      </c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1"/>
    </row>
    <row r="41" spans="1:14" x14ac:dyDescent="0.3">
      <c r="A41" s="7">
        <f>'Pré Implantação'!A41</f>
        <v>0</v>
      </c>
      <c r="B41" s="23">
        <f>'Pré Implantação'!B41</f>
        <v>0</v>
      </c>
      <c r="C41" s="31" t="str">
        <f>IF('Pré Implantação'!C41=0,"0",'Pré Implantação'!C41+10)</f>
        <v>0</v>
      </c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1"/>
    </row>
    <row r="42" spans="1:14" x14ac:dyDescent="0.3">
      <c r="A42" s="7">
        <f>'Pré Implantação'!A42</f>
        <v>0</v>
      </c>
      <c r="B42" s="23">
        <f>'Pré Implantação'!B42</f>
        <v>0</v>
      </c>
      <c r="C42" s="31" t="str">
        <f>IF('Pré Implantação'!C42=0,"0",'Pré Implantação'!C42+10)</f>
        <v>0</v>
      </c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1"/>
    </row>
    <row r="43" spans="1:14" x14ac:dyDescent="0.3">
      <c r="A43" s="7">
        <f>'Pré Implantação'!A43</f>
        <v>0</v>
      </c>
      <c r="B43" s="23">
        <f>'Pré Implantação'!B43</f>
        <v>0</v>
      </c>
      <c r="C43" s="31" t="str">
        <f>IF('Pré Implantação'!C43=0,"0",'Pré Implantação'!C43+10)</f>
        <v>0</v>
      </c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1"/>
    </row>
    <row r="44" spans="1:14" x14ac:dyDescent="0.3">
      <c r="A44" s="7">
        <f>'Pré Implantação'!A44</f>
        <v>0</v>
      </c>
      <c r="B44" s="23">
        <f>'Pré Implantação'!B44</f>
        <v>0</v>
      </c>
      <c r="C44" s="31" t="str">
        <f>IF('Pré Implantação'!C44=0,"0",'Pré Implantação'!C44+10)</f>
        <v>0</v>
      </c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1"/>
    </row>
    <row r="45" spans="1:14" x14ac:dyDescent="0.3">
      <c r="A45" s="7">
        <f>'Pré Implantação'!A45</f>
        <v>0</v>
      </c>
      <c r="B45" s="23">
        <f>'Pré Implantação'!B45</f>
        <v>0</v>
      </c>
      <c r="C45" s="31" t="str">
        <f>IF('Pré Implantação'!C45=0,"0",'Pré Implantação'!C45+10)</f>
        <v>0</v>
      </c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1"/>
    </row>
    <row r="46" spans="1:14" x14ac:dyDescent="0.3">
      <c r="A46" s="7">
        <f>'Pré Implantação'!A46</f>
        <v>0</v>
      </c>
      <c r="B46" s="23">
        <f>'Pré Implantação'!B46</f>
        <v>0</v>
      </c>
      <c r="C46" s="31" t="str">
        <f>IF('Pré Implantação'!C46=0,"0",'Pré Implantação'!C46+10)</f>
        <v>0</v>
      </c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1"/>
    </row>
    <row r="47" spans="1:14" x14ac:dyDescent="0.3">
      <c r="A47" s="7">
        <f>'Pré Implantação'!A47</f>
        <v>0</v>
      </c>
      <c r="B47" s="23">
        <f>'Pré Implantação'!B47</f>
        <v>0</v>
      </c>
      <c r="C47" s="31" t="str">
        <f>IF('Pré Implantação'!C47=0,"0",'Pré Implantação'!C47+10)</f>
        <v>0</v>
      </c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1"/>
    </row>
    <row r="48" spans="1:14" x14ac:dyDescent="0.3">
      <c r="A48" s="7">
        <f>'Pré Implantação'!A48</f>
        <v>0</v>
      </c>
      <c r="B48" s="23">
        <f>'Pré Implantação'!B48</f>
        <v>0</v>
      </c>
      <c r="C48" s="31" t="str">
        <f>IF('Pré Implantação'!C48=0,"0",'Pré Implantação'!C48+10)</f>
        <v>0</v>
      </c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1"/>
    </row>
    <row r="49" spans="1:14" x14ac:dyDescent="0.3">
      <c r="A49" s="7">
        <f>'Pré Implantação'!A49</f>
        <v>0</v>
      </c>
      <c r="B49" s="23">
        <f>'Pré Implantação'!B49</f>
        <v>0</v>
      </c>
      <c r="C49" s="31" t="str">
        <f>IF('Pré Implantação'!C49=0,"0",'Pré Implantação'!C49+10)</f>
        <v>0</v>
      </c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1"/>
    </row>
    <row r="50" spans="1:14" x14ac:dyDescent="0.3">
      <c r="A50" s="7">
        <f>'Pré Implantação'!A50</f>
        <v>0</v>
      </c>
      <c r="B50" s="23">
        <f>'Pré Implantação'!B50</f>
        <v>0</v>
      </c>
      <c r="C50" s="31" t="str">
        <f>IF('Pré Implantação'!C50=0,"0",'Pré Implantação'!C50+10)</f>
        <v>0</v>
      </c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1"/>
    </row>
    <row r="51" spans="1:14" x14ac:dyDescent="0.3">
      <c r="A51" s="7">
        <f>'Pré Implantação'!A51</f>
        <v>0</v>
      </c>
      <c r="B51" s="23">
        <f>'Pré Implantação'!B51</f>
        <v>0</v>
      </c>
      <c r="C51" s="31" t="str">
        <f>IF('Pré Implantação'!C51=0,"0",'Pré Implantação'!C51+10)</f>
        <v>0</v>
      </c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1"/>
    </row>
    <row r="52" spans="1:14" x14ac:dyDescent="0.3">
      <c r="A52" s="7">
        <f>'Pré Implantação'!A52</f>
        <v>0</v>
      </c>
      <c r="B52" s="23">
        <f>'Pré Implantação'!B52</f>
        <v>0</v>
      </c>
      <c r="C52" s="31" t="str">
        <f>IF('Pré Implantação'!C52=0,"0",'Pré Implantação'!C52+10)</f>
        <v>0</v>
      </c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1"/>
    </row>
    <row r="53" spans="1:14" x14ac:dyDescent="0.3">
      <c r="A53" s="7">
        <f>'Pré Implantação'!A53</f>
        <v>0</v>
      </c>
      <c r="B53" s="23">
        <f>'Pré Implantação'!B53</f>
        <v>0</v>
      </c>
      <c r="C53" s="31" t="str">
        <f>IF('Pré Implantação'!C53=0,"0",'Pré Implantação'!C53+10)</f>
        <v>0</v>
      </c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1"/>
    </row>
    <row r="54" spans="1:14" x14ac:dyDescent="0.3">
      <c r="A54" s="7">
        <f>'Pré Implantação'!A54</f>
        <v>0</v>
      </c>
      <c r="B54" s="23">
        <f>'Pré Implantação'!B54</f>
        <v>0</v>
      </c>
      <c r="C54" s="31" t="str">
        <f>IF('Pré Implantação'!C54=0,"0",'Pré Implantação'!C54+10)</f>
        <v>0</v>
      </c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1"/>
    </row>
    <row r="55" spans="1:14" x14ac:dyDescent="0.3">
      <c r="A55" s="7">
        <f>'Pré Implantação'!A55</f>
        <v>0</v>
      </c>
      <c r="B55" s="23">
        <f>'Pré Implantação'!B55</f>
        <v>0</v>
      </c>
      <c r="C55" s="31" t="str">
        <f>IF('Pré Implantação'!C55=0,"0",'Pré Implantação'!C55+10)</f>
        <v>0</v>
      </c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1"/>
    </row>
    <row r="56" spans="1:14" x14ac:dyDescent="0.3">
      <c r="A56" s="7">
        <f>'Pré Implantação'!A56</f>
        <v>0</v>
      </c>
      <c r="B56" s="23">
        <f>'Pré Implantação'!B56</f>
        <v>0</v>
      </c>
      <c r="C56" s="31" t="str">
        <f>IF('Pré Implantação'!C56=0,"0",'Pré Implantação'!C56+10)</f>
        <v>0</v>
      </c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1"/>
    </row>
    <row r="57" spans="1:14" x14ac:dyDescent="0.3">
      <c r="A57" s="7">
        <f>'Pré Implantação'!A57</f>
        <v>0</v>
      </c>
      <c r="B57" s="23">
        <f>'Pré Implantação'!B57</f>
        <v>0</v>
      </c>
      <c r="C57" s="31" t="str">
        <f>IF('Pré Implantação'!C57=0,"0",'Pré Implantação'!C57+10)</f>
        <v>0</v>
      </c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1"/>
    </row>
    <row r="58" spans="1:14" x14ac:dyDescent="0.3">
      <c r="A58" s="7">
        <f>'Pré Implantação'!A58</f>
        <v>0</v>
      </c>
      <c r="B58" s="23">
        <f>'Pré Implantação'!B58</f>
        <v>0</v>
      </c>
      <c r="C58" s="31" t="str">
        <f>IF('Pré Implantação'!C58=0,"0",'Pré Implantação'!C58+10)</f>
        <v>0</v>
      </c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1"/>
    </row>
    <row r="59" spans="1:14" x14ac:dyDescent="0.3">
      <c r="A59" s="7">
        <f>'Pré Implantação'!A59</f>
        <v>0</v>
      </c>
      <c r="B59" s="23">
        <f>'Pré Implantação'!B59</f>
        <v>0</v>
      </c>
      <c r="C59" s="31" t="str">
        <f>IF('Pré Implantação'!C59=0,"0",'Pré Implantação'!C59+10)</f>
        <v>0</v>
      </c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1"/>
    </row>
    <row r="60" spans="1:14" x14ac:dyDescent="0.3">
      <c r="A60" s="7">
        <f>'Pré Implantação'!A60</f>
        <v>0</v>
      </c>
      <c r="B60" s="23">
        <f>'Pré Implantação'!B60</f>
        <v>0</v>
      </c>
      <c r="C60" s="31" t="str">
        <f>IF('Pré Implantação'!C60=0,"0",'Pré Implantação'!C60+10)</f>
        <v>0</v>
      </c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1"/>
    </row>
    <row r="61" spans="1:14" x14ac:dyDescent="0.3">
      <c r="A61" s="7">
        <f>'Pré Implantação'!A61</f>
        <v>0</v>
      </c>
      <c r="B61" s="23">
        <f>'Pré Implantação'!B61</f>
        <v>0</v>
      </c>
      <c r="C61" s="31" t="str">
        <f>IF('Pré Implantação'!C61=0,"0",'Pré Implantação'!C61+10)</f>
        <v>0</v>
      </c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1"/>
    </row>
    <row r="62" spans="1:14" x14ac:dyDescent="0.3">
      <c r="A62" s="7">
        <f>'Pré Implantação'!A62</f>
        <v>0</v>
      </c>
      <c r="B62" s="23">
        <f>'Pré Implantação'!B62</f>
        <v>0</v>
      </c>
      <c r="C62" s="31" t="str">
        <f>IF('Pré Implantação'!C62=0,"0",'Pré Implantação'!C62+10)</f>
        <v>0</v>
      </c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1"/>
    </row>
    <row r="63" spans="1:14" x14ac:dyDescent="0.3">
      <c r="A63" s="7">
        <f>'Pré Implantação'!A63</f>
        <v>0</v>
      </c>
      <c r="B63" s="23">
        <f>'Pré Implantação'!B63</f>
        <v>0</v>
      </c>
      <c r="C63" s="31" t="str">
        <f>IF('Pré Implantação'!C63=0,"0",'Pré Implantação'!C63+10)</f>
        <v>0</v>
      </c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1"/>
    </row>
    <row r="64" spans="1:14" x14ac:dyDescent="0.3">
      <c r="A64" s="7">
        <f>'Pré Implantação'!A64</f>
        <v>0</v>
      </c>
      <c r="B64" s="23">
        <f>'Pré Implantação'!B64</f>
        <v>0</v>
      </c>
      <c r="C64" s="31" t="str">
        <f>IF('Pré Implantação'!C64=0,"0",'Pré Implantação'!C64+10)</f>
        <v>0</v>
      </c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1"/>
    </row>
    <row r="65" spans="1:14" x14ac:dyDescent="0.3">
      <c r="A65" s="7">
        <f>'Pré Implantação'!A65</f>
        <v>0</v>
      </c>
      <c r="B65" s="23">
        <f>'Pré Implantação'!B65</f>
        <v>0</v>
      </c>
      <c r="C65" s="31" t="str">
        <f>IF('Pré Implantação'!C65=0,"0",'Pré Implantação'!C65+10)</f>
        <v>0</v>
      </c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1"/>
    </row>
    <row r="66" spans="1:14" x14ac:dyDescent="0.3">
      <c r="A66" s="7">
        <f>'Pré Implantação'!A66</f>
        <v>0</v>
      </c>
      <c r="B66" s="23">
        <f>'Pré Implantação'!B66</f>
        <v>0</v>
      </c>
      <c r="C66" s="31" t="str">
        <f>IF('Pré Implantação'!C66=0,"0",'Pré Implantação'!C66+10)</f>
        <v>0</v>
      </c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1"/>
    </row>
    <row r="67" spans="1:14" x14ac:dyDescent="0.3">
      <c r="A67" s="7">
        <f>'Pré Implantação'!A67</f>
        <v>0</v>
      </c>
      <c r="B67" s="23">
        <f>'Pré Implantação'!B67</f>
        <v>0</v>
      </c>
      <c r="C67" s="31" t="str">
        <f>IF('Pré Implantação'!C67=0,"0",'Pré Implantação'!C67+10)</f>
        <v>0</v>
      </c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1"/>
    </row>
    <row r="68" spans="1:14" x14ac:dyDescent="0.3">
      <c r="A68" s="7">
        <f>'Pré Implantação'!A68</f>
        <v>0</v>
      </c>
      <c r="B68" s="23">
        <f>'Pré Implantação'!B68</f>
        <v>0</v>
      </c>
      <c r="C68" s="31" t="str">
        <f>IF('Pré Implantação'!C68=0,"0",'Pré Implantação'!C68+10)</f>
        <v>0</v>
      </c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1"/>
    </row>
    <row r="69" spans="1:14" x14ac:dyDescent="0.3">
      <c r="A69" s="7">
        <f>'Pré Implantação'!A69</f>
        <v>0</v>
      </c>
      <c r="B69" s="23">
        <f>'Pré Implantação'!B69</f>
        <v>0</v>
      </c>
      <c r="C69" s="31" t="str">
        <f>IF('Pré Implantação'!C69=0,"0",'Pré Implantação'!C69+10)</f>
        <v>0</v>
      </c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1"/>
    </row>
    <row r="70" spans="1:14" x14ac:dyDescent="0.3">
      <c r="A70" s="7">
        <f>'Pré Implantação'!A70</f>
        <v>0</v>
      </c>
      <c r="B70" s="23">
        <f>'Pré Implantação'!B70</f>
        <v>0</v>
      </c>
      <c r="C70" s="31" t="str">
        <f>IF('Pré Implantação'!C70=0,"0",'Pré Implantação'!C70+10)</f>
        <v>0</v>
      </c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1"/>
    </row>
    <row r="71" spans="1:14" x14ac:dyDescent="0.3">
      <c r="A71" s="7">
        <f>'Pré Implantação'!A71</f>
        <v>0</v>
      </c>
      <c r="B71" s="23">
        <f>'Pré Implantação'!B71</f>
        <v>0</v>
      </c>
      <c r="C71" s="31" t="str">
        <f>IF('Pré Implantação'!C71=0,"0",'Pré Implantação'!C71+10)</f>
        <v>0</v>
      </c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1"/>
    </row>
    <row r="72" spans="1:14" x14ac:dyDescent="0.3">
      <c r="A72" s="7">
        <f>'Pré Implantação'!A72</f>
        <v>0</v>
      </c>
      <c r="B72" s="23">
        <f>'Pré Implantação'!B72</f>
        <v>0</v>
      </c>
      <c r="C72" s="31" t="str">
        <f>IF('Pré Implantação'!C72=0,"0",'Pré Implantação'!C72+10)</f>
        <v>0</v>
      </c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1"/>
    </row>
    <row r="73" spans="1:14" x14ac:dyDescent="0.3">
      <c r="A73" s="7">
        <f>'Pré Implantação'!A73</f>
        <v>0</v>
      </c>
      <c r="B73" s="23">
        <f>'Pré Implantação'!B73</f>
        <v>0</v>
      </c>
      <c r="C73" s="31" t="str">
        <f>IF('Pré Implantação'!C73=0,"0",'Pré Implantação'!C73+10)</f>
        <v>0</v>
      </c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1"/>
    </row>
    <row r="74" spans="1:14" x14ac:dyDescent="0.3">
      <c r="A74" s="7">
        <f>'Pré Implantação'!A74</f>
        <v>0</v>
      </c>
      <c r="B74" s="23">
        <f>'Pré Implantação'!B74</f>
        <v>0</v>
      </c>
      <c r="C74" s="31" t="str">
        <f>IF('Pré Implantação'!C74=0,"0",'Pré Implantação'!C74+10)</f>
        <v>0</v>
      </c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1"/>
    </row>
    <row r="75" spans="1:14" x14ac:dyDescent="0.3">
      <c r="A75" s="7">
        <f>'Pré Implantação'!A75</f>
        <v>0</v>
      </c>
      <c r="B75" s="23">
        <f>'Pré Implantação'!B75</f>
        <v>0</v>
      </c>
      <c r="C75" s="31" t="str">
        <f>IF('Pré Implantação'!C75=0,"0",'Pré Implantação'!C75+10)</f>
        <v>0</v>
      </c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1"/>
    </row>
    <row r="76" spans="1:14" x14ac:dyDescent="0.3">
      <c r="A76" s="7">
        <f>'Pré Implantação'!A76</f>
        <v>0</v>
      </c>
      <c r="B76" s="23">
        <f>'Pré Implantação'!B76</f>
        <v>0</v>
      </c>
      <c r="C76" s="31" t="str">
        <f>IF('Pré Implantação'!C76=0,"0",'Pré Implantação'!C76+10)</f>
        <v>0</v>
      </c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1"/>
    </row>
    <row r="77" spans="1:14" x14ac:dyDescent="0.3">
      <c r="A77" s="7">
        <f>'Pré Implantação'!A77</f>
        <v>0</v>
      </c>
      <c r="B77" s="23">
        <f>'Pré Implantação'!B77</f>
        <v>0</v>
      </c>
      <c r="C77" s="31" t="str">
        <f>IF('Pré Implantação'!C77=0,"0",'Pré Implantação'!C77+10)</f>
        <v>0</v>
      </c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1"/>
    </row>
    <row r="78" spans="1:14" x14ac:dyDescent="0.3">
      <c r="A78" s="7">
        <f>'Pré Implantação'!A78</f>
        <v>0</v>
      </c>
      <c r="B78" s="23">
        <f>'Pré Implantação'!B78</f>
        <v>0</v>
      </c>
      <c r="C78" s="31" t="str">
        <f>IF('Pré Implantação'!C78=0,"0",'Pré Implantação'!C78+10)</f>
        <v>0</v>
      </c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1"/>
    </row>
    <row r="79" spans="1:14" x14ac:dyDescent="0.3">
      <c r="A79" s="7">
        <f>'Pré Implantação'!A79</f>
        <v>0</v>
      </c>
      <c r="B79" s="23">
        <f>'Pré Implantação'!B79</f>
        <v>0</v>
      </c>
      <c r="C79" s="31" t="str">
        <f>IF('Pré Implantação'!C79=0,"0",'Pré Implantação'!C79+10)</f>
        <v>0</v>
      </c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1"/>
    </row>
    <row r="80" spans="1:14" x14ac:dyDescent="0.3">
      <c r="A80" s="7">
        <f>'Pré Implantação'!A80</f>
        <v>0</v>
      </c>
      <c r="B80" s="23">
        <f>'Pré Implantação'!B80</f>
        <v>0</v>
      </c>
      <c r="C80" s="31" t="str">
        <f>IF('Pré Implantação'!C80=0,"0",'Pré Implantação'!C80+10)</f>
        <v>0</v>
      </c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1"/>
    </row>
    <row r="81" spans="1:14" x14ac:dyDescent="0.3">
      <c r="A81" s="7">
        <f>'Pré Implantação'!A81</f>
        <v>0</v>
      </c>
      <c r="B81" s="23">
        <f>'Pré Implantação'!B81</f>
        <v>0</v>
      </c>
      <c r="C81" s="31" t="str">
        <f>IF('Pré Implantação'!C81=0,"0",'Pré Implantação'!C81+10)</f>
        <v>0</v>
      </c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1"/>
    </row>
    <row r="82" spans="1:14" x14ac:dyDescent="0.3">
      <c r="A82" s="7">
        <f>'Pré Implantação'!A82</f>
        <v>0</v>
      </c>
      <c r="B82" s="23">
        <f>'Pré Implantação'!B82</f>
        <v>0</v>
      </c>
      <c r="C82" s="31" t="str">
        <f>IF('Pré Implantação'!C82=0,"0",'Pré Implantação'!C82+10)</f>
        <v>0</v>
      </c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1"/>
    </row>
    <row r="83" spans="1:14" x14ac:dyDescent="0.3">
      <c r="A83" s="7">
        <f>'Pré Implantação'!A83</f>
        <v>0</v>
      </c>
      <c r="B83" s="23">
        <f>'Pré Implantação'!B83</f>
        <v>0</v>
      </c>
      <c r="C83" s="31" t="str">
        <f>IF('Pré Implantação'!C83=0,"0",'Pré Implantação'!C83+10)</f>
        <v>0</v>
      </c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1"/>
    </row>
    <row r="84" spans="1:14" x14ac:dyDescent="0.3">
      <c r="A84" s="7">
        <f>'Pré Implantação'!A84</f>
        <v>0</v>
      </c>
      <c r="B84" s="23">
        <f>'Pré Implantação'!B84</f>
        <v>0</v>
      </c>
      <c r="C84" s="31" t="str">
        <f>IF('Pré Implantação'!C84=0,"0",'Pré Implantação'!C84+10)</f>
        <v>0</v>
      </c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1"/>
    </row>
    <row r="85" spans="1:14" x14ac:dyDescent="0.3">
      <c r="A85" s="7">
        <f>'Pré Implantação'!A85</f>
        <v>0</v>
      </c>
      <c r="B85" s="23">
        <f>'Pré Implantação'!B85</f>
        <v>0</v>
      </c>
      <c r="C85" s="31" t="str">
        <f>IF('Pré Implantação'!C85=0,"0",'Pré Implantação'!C85+10)</f>
        <v>0</v>
      </c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1"/>
    </row>
    <row r="86" spans="1:14" x14ac:dyDescent="0.3">
      <c r="A86" s="7">
        <f>'Pré Implantação'!A86</f>
        <v>0</v>
      </c>
      <c r="B86" s="23">
        <f>'Pré Implantação'!B86</f>
        <v>0</v>
      </c>
      <c r="C86" s="31" t="str">
        <f>IF('Pré Implantação'!C86=0,"0",'Pré Implantação'!C86+10)</f>
        <v>0</v>
      </c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1"/>
    </row>
    <row r="87" spans="1:14" x14ac:dyDescent="0.3">
      <c r="A87" s="7">
        <f>'Pré Implantação'!A87</f>
        <v>0</v>
      </c>
      <c r="B87" s="23">
        <f>'Pré Implantação'!B87</f>
        <v>0</v>
      </c>
      <c r="C87" s="31" t="str">
        <f>IF('Pré Implantação'!C87=0,"0",'Pré Implantação'!C87+10)</f>
        <v>0</v>
      </c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1"/>
    </row>
    <row r="88" spans="1:14" x14ac:dyDescent="0.3">
      <c r="A88" s="7">
        <f>'Pré Implantação'!A88</f>
        <v>0</v>
      </c>
      <c r="B88" s="23">
        <f>'Pré Implantação'!B88</f>
        <v>0</v>
      </c>
      <c r="C88" s="31" t="str">
        <f>IF('Pré Implantação'!C88=0,"0",'Pré Implantação'!C88+10)</f>
        <v>0</v>
      </c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1"/>
    </row>
    <row r="89" spans="1:14" x14ac:dyDescent="0.3">
      <c r="A89" s="7">
        <f>'Pré Implantação'!A89</f>
        <v>0</v>
      </c>
      <c r="B89" s="23">
        <f>'Pré Implantação'!B89</f>
        <v>0</v>
      </c>
      <c r="C89" s="31" t="str">
        <f>IF('Pré Implantação'!C89=0,"0",'Pré Implantação'!C89+10)</f>
        <v>0</v>
      </c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1"/>
    </row>
    <row r="90" spans="1:14" x14ac:dyDescent="0.3">
      <c r="A90" s="7">
        <f>'Pré Implantação'!A90</f>
        <v>0</v>
      </c>
      <c r="B90" s="23">
        <f>'Pré Implantação'!B90</f>
        <v>0</v>
      </c>
      <c r="C90" s="31" t="str">
        <f>IF('Pré Implantação'!C90=0,"0",'Pré Implantação'!C90+10)</f>
        <v>0</v>
      </c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1"/>
    </row>
    <row r="91" spans="1:14" x14ac:dyDescent="0.3">
      <c r="A91" s="7">
        <f>'Pré Implantação'!A91</f>
        <v>0</v>
      </c>
      <c r="B91" s="23">
        <f>'Pré Implantação'!B91</f>
        <v>0</v>
      </c>
      <c r="C91" s="31" t="str">
        <f>IF('Pré Implantação'!C91=0,"0",'Pré Implantação'!C91+10)</f>
        <v>0</v>
      </c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1"/>
    </row>
    <row r="92" spans="1:14" x14ac:dyDescent="0.3">
      <c r="A92" s="7">
        <f>'Pré Implantação'!A92</f>
        <v>0</v>
      </c>
      <c r="B92" s="23">
        <f>'Pré Implantação'!B92</f>
        <v>0</v>
      </c>
      <c r="C92" s="31" t="str">
        <f>IF('Pré Implantação'!C92=0,"0",'Pré Implantação'!C92+10)</f>
        <v>0</v>
      </c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1"/>
    </row>
    <row r="93" spans="1:14" x14ac:dyDescent="0.3">
      <c r="A93" s="7">
        <f>'Pré Implantação'!A93</f>
        <v>0</v>
      </c>
      <c r="B93" s="23">
        <f>'Pré Implantação'!B93</f>
        <v>0</v>
      </c>
      <c r="C93" s="31" t="str">
        <f>IF('Pré Implantação'!C93=0,"0",'Pré Implantação'!C93+10)</f>
        <v>0</v>
      </c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1"/>
    </row>
    <row r="94" spans="1:14" x14ac:dyDescent="0.3">
      <c r="A94" s="7">
        <f>'Pré Implantação'!A94</f>
        <v>0</v>
      </c>
      <c r="B94" s="23">
        <f>'Pré Implantação'!B94</f>
        <v>0</v>
      </c>
      <c r="C94" s="31" t="str">
        <f>IF('Pré Implantação'!C94=0,"0",'Pré Implantação'!C94+10)</f>
        <v>0</v>
      </c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1"/>
    </row>
    <row r="95" spans="1:14" x14ac:dyDescent="0.3">
      <c r="A95" s="7">
        <f>'Pré Implantação'!A95</f>
        <v>0</v>
      </c>
      <c r="B95" s="23">
        <f>'Pré Implantação'!B95</f>
        <v>0</v>
      </c>
      <c r="C95" s="31" t="str">
        <f>IF('Pré Implantação'!C95=0,"0",'Pré Implantação'!C95+10)</f>
        <v>0</v>
      </c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1"/>
    </row>
    <row r="96" spans="1:14" x14ac:dyDescent="0.3">
      <c r="A96" s="7">
        <f>'Pré Implantação'!A96</f>
        <v>0</v>
      </c>
      <c r="B96" s="23">
        <f>'Pré Implantação'!B96</f>
        <v>0</v>
      </c>
      <c r="C96" s="31" t="str">
        <f>IF('Pré Implantação'!C96=0,"0",'Pré Implantação'!C96+10)</f>
        <v>0</v>
      </c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1"/>
    </row>
    <row r="97" spans="1:14" x14ac:dyDescent="0.3">
      <c r="A97" s="7">
        <f>'Pré Implantação'!A97</f>
        <v>0</v>
      </c>
      <c r="B97" s="23">
        <f>'Pré Implantação'!B97</f>
        <v>0</v>
      </c>
      <c r="C97" s="31" t="str">
        <f>IF('Pré Implantação'!C97=0,"0",'Pré Implantação'!C97+10)</f>
        <v>0</v>
      </c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1"/>
    </row>
    <row r="98" spans="1:14" x14ac:dyDescent="0.3">
      <c r="A98" s="7">
        <f>'Pré Implantação'!A98</f>
        <v>0</v>
      </c>
      <c r="B98" s="23">
        <f>'Pré Implantação'!B98</f>
        <v>0</v>
      </c>
      <c r="C98" s="31" t="str">
        <f>IF('Pré Implantação'!C98=0,"0",'Pré Implantação'!C98+10)</f>
        <v>0</v>
      </c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1"/>
    </row>
    <row r="99" spans="1:14" x14ac:dyDescent="0.3">
      <c r="A99" s="7">
        <f>'Pré Implantação'!A99</f>
        <v>0</v>
      </c>
      <c r="B99" s="23">
        <f>'Pré Implantação'!B99</f>
        <v>0</v>
      </c>
      <c r="C99" s="31" t="str">
        <f>IF('Pré Implantação'!C99=0,"0",'Pré Implantação'!C99+10)</f>
        <v>0</v>
      </c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1"/>
    </row>
    <row r="100" spans="1:14" x14ac:dyDescent="0.3">
      <c r="A100" s="7">
        <f>'Pré Implantação'!A100</f>
        <v>0</v>
      </c>
      <c r="B100" s="23">
        <f>'Pré Implantação'!B100</f>
        <v>0</v>
      </c>
      <c r="C100" s="31" t="str">
        <f>IF('Pré Implantação'!C100=0,"0",'Pré Implantação'!C100+10)</f>
        <v>0</v>
      </c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1"/>
    </row>
    <row r="101" spans="1:14" x14ac:dyDescent="0.3">
      <c r="A101" s="7">
        <f>'Pré Implantação'!A101</f>
        <v>0</v>
      </c>
      <c r="B101" s="23">
        <f>'Pré Implantação'!B101</f>
        <v>0</v>
      </c>
      <c r="C101" s="31" t="str">
        <f>IF('Pré Implantação'!C101=0,"0",'Pré Implantação'!C101+10)</f>
        <v>0</v>
      </c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1"/>
    </row>
    <row r="102" spans="1:14" x14ac:dyDescent="0.3">
      <c r="A102" s="7">
        <f>'Pré Implantação'!A102</f>
        <v>0</v>
      </c>
      <c r="B102" s="23">
        <f>'Pré Implantação'!B102</f>
        <v>0</v>
      </c>
      <c r="C102" s="31" t="str">
        <f>IF('Pré Implantação'!C102=0,"0",'Pré Implantação'!C102+10)</f>
        <v>0</v>
      </c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1"/>
    </row>
    <row r="103" spans="1:14" x14ac:dyDescent="0.3">
      <c r="A103" s="7">
        <f>'Pré Implantação'!A103</f>
        <v>0</v>
      </c>
      <c r="B103" s="23">
        <f>'Pré Implantação'!B103</f>
        <v>0</v>
      </c>
      <c r="C103" s="31" t="str">
        <f>IF('Pré Implantação'!C103=0,"0",'Pré Implantação'!C103+10)</f>
        <v>0</v>
      </c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1"/>
    </row>
    <row r="104" spans="1:14" x14ac:dyDescent="0.3">
      <c r="A104" s="7">
        <f>'Pré Implantação'!A104</f>
        <v>0</v>
      </c>
      <c r="B104" s="23">
        <f>'Pré Implantação'!B104</f>
        <v>0</v>
      </c>
      <c r="C104" s="31" t="str">
        <f>IF('Pré Implantação'!C104=0,"0",'Pré Implantação'!C104+10)</f>
        <v>0</v>
      </c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1"/>
    </row>
    <row r="105" spans="1:14" x14ac:dyDescent="0.3">
      <c r="A105" s="7">
        <f>'Pré Implantação'!A105</f>
        <v>0</v>
      </c>
      <c r="B105" s="23">
        <f>'Pré Implantação'!B105</f>
        <v>0</v>
      </c>
      <c r="C105" s="31" t="str">
        <f>IF('Pré Implantação'!C105=0,"0",'Pré Implantação'!C105+10)</f>
        <v>0</v>
      </c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1"/>
    </row>
    <row r="106" spans="1:14" x14ac:dyDescent="0.3">
      <c r="A106" s="7">
        <f>'Pré Implantação'!A106</f>
        <v>0</v>
      </c>
      <c r="B106" s="23">
        <f>'Pré Implantação'!B106</f>
        <v>0</v>
      </c>
      <c r="C106" s="31" t="str">
        <f>IF('Pré Implantação'!C106=0,"0",'Pré Implantação'!C106+10)</f>
        <v>0</v>
      </c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1"/>
    </row>
    <row r="107" spans="1:14" x14ac:dyDescent="0.3">
      <c r="A107" s="7">
        <f>'Pré Implantação'!A107</f>
        <v>0</v>
      </c>
      <c r="B107" s="23">
        <f>'Pré Implantação'!B107</f>
        <v>0</v>
      </c>
      <c r="C107" s="31" t="str">
        <f>IF('Pré Implantação'!C107=0,"0",'Pré Implantação'!C107+10)</f>
        <v>0</v>
      </c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1"/>
    </row>
    <row r="108" spans="1:14" x14ac:dyDescent="0.3">
      <c r="A108" s="7">
        <f>'Pré Implantação'!A108</f>
        <v>0</v>
      </c>
      <c r="B108" s="23">
        <f>'Pré Implantação'!B108</f>
        <v>0</v>
      </c>
      <c r="C108" s="31" t="str">
        <f>IF('Pré Implantação'!C108=0,"0",'Pré Implantação'!C108+10)</f>
        <v>0</v>
      </c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1"/>
    </row>
    <row r="109" spans="1:14" x14ac:dyDescent="0.3">
      <c r="A109" s="7">
        <f>'Pré Implantação'!A109</f>
        <v>0</v>
      </c>
      <c r="B109" s="23">
        <f>'Pré Implantação'!B109</f>
        <v>0</v>
      </c>
      <c r="C109" s="31" t="str">
        <f>IF('Pré Implantação'!C109=0,"0",'Pré Implantação'!C109+10)</f>
        <v>0</v>
      </c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1"/>
    </row>
    <row r="110" spans="1:14" x14ac:dyDescent="0.3">
      <c r="A110" s="7">
        <f>'Pré Implantação'!A110</f>
        <v>0</v>
      </c>
      <c r="B110" s="23">
        <f>'Pré Implantação'!B110</f>
        <v>0</v>
      </c>
      <c r="C110" s="31" t="str">
        <f>IF('Pré Implantação'!C110=0,"0",'Pré Implantação'!C110+10)</f>
        <v>0</v>
      </c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1"/>
    </row>
    <row r="111" spans="1:14" x14ac:dyDescent="0.3">
      <c r="A111" s="7">
        <f>'Pré Implantação'!A111</f>
        <v>0</v>
      </c>
      <c r="B111" s="23">
        <f>'Pré Implantação'!B111</f>
        <v>0</v>
      </c>
      <c r="C111" s="31" t="str">
        <f>IF('Pré Implantação'!C111=0,"0",'Pré Implantação'!C111+10)</f>
        <v>0</v>
      </c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1"/>
    </row>
    <row r="112" spans="1:14" x14ac:dyDescent="0.3">
      <c r="A112" s="7">
        <f>'Pré Implantação'!A112</f>
        <v>0</v>
      </c>
      <c r="B112" s="23">
        <f>'Pré Implantação'!B112</f>
        <v>0</v>
      </c>
      <c r="C112" s="31" t="str">
        <f>IF('Pré Implantação'!C112=0,"0",'Pré Implantação'!C112+10)</f>
        <v>0</v>
      </c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1"/>
    </row>
    <row r="113" spans="1:14" x14ac:dyDescent="0.3">
      <c r="A113" s="7">
        <f>'Pré Implantação'!A113</f>
        <v>0</v>
      </c>
      <c r="B113" s="23">
        <f>'Pré Implantação'!B113</f>
        <v>0</v>
      </c>
      <c r="C113" s="31" t="str">
        <f>IF('Pré Implantação'!C113=0,"0",'Pré Implantação'!C113+10)</f>
        <v>0</v>
      </c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1"/>
    </row>
    <row r="114" spans="1:14" x14ac:dyDescent="0.3">
      <c r="A114" s="7">
        <f>'Pré Implantação'!A114</f>
        <v>0</v>
      </c>
      <c r="B114" s="23">
        <f>'Pré Implantação'!B114</f>
        <v>0</v>
      </c>
      <c r="C114" s="31" t="str">
        <f>IF('Pré Implantação'!C114=0,"0",'Pré Implantação'!C114+10)</f>
        <v>0</v>
      </c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1"/>
    </row>
    <row r="115" spans="1:14" x14ac:dyDescent="0.3">
      <c r="A115" s="7">
        <f>'Pré Implantação'!A115</f>
        <v>0</v>
      </c>
      <c r="B115" s="23">
        <f>'Pré Implantação'!B115</f>
        <v>0</v>
      </c>
      <c r="C115" s="31" t="str">
        <f>IF('Pré Implantação'!C115=0,"0",'Pré Implantação'!C115+10)</f>
        <v>0</v>
      </c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1"/>
    </row>
    <row r="116" spans="1:14" x14ac:dyDescent="0.3">
      <c r="A116" s="7">
        <f>'Pré Implantação'!A116</f>
        <v>0</v>
      </c>
      <c r="B116" s="23">
        <f>'Pré Implantação'!B116</f>
        <v>0</v>
      </c>
      <c r="C116" s="31" t="str">
        <f>IF('Pré Implantação'!C116=0,"0",'Pré Implantação'!C116+10)</f>
        <v>0</v>
      </c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1"/>
    </row>
    <row r="117" spans="1:14" x14ac:dyDescent="0.3">
      <c r="A117" s="7">
        <f>'Pré Implantação'!A117</f>
        <v>0</v>
      </c>
      <c r="B117" s="23">
        <f>'Pré Implantação'!B117</f>
        <v>0</v>
      </c>
      <c r="C117" s="31" t="str">
        <f>IF('Pré Implantação'!C117=0,"0",'Pré Implantação'!C117+10)</f>
        <v>0</v>
      </c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1"/>
    </row>
    <row r="118" spans="1:14" x14ac:dyDescent="0.3">
      <c r="A118" s="7">
        <f>'Pré Implantação'!A118</f>
        <v>0</v>
      </c>
      <c r="B118" s="23">
        <f>'Pré Implantação'!B118</f>
        <v>0</v>
      </c>
      <c r="C118" s="31" t="str">
        <f>IF('Pré Implantação'!C118=0,"0",'Pré Implantação'!C118+10)</f>
        <v>0</v>
      </c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1"/>
    </row>
    <row r="119" spans="1:14" x14ac:dyDescent="0.3">
      <c r="A119" s="7">
        <f>'Pré Implantação'!A119</f>
        <v>0</v>
      </c>
      <c r="B119" s="23">
        <f>'Pré Implantação'!B119</f>
        <v>0</v>
      </c>
      <c r="C119" s="31" t="str">
        <f>IF('Pré Implantação'!C119=0,"0",'Pré Implantação'!C119+10)</f>
        <v>0</v>
      </c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1"/>
    </row>
    <row r="120" spans="1:14" x14ac:dyDescent="0.3">
      <c r="A120" s="7">
        <f>'Pré Implantação'!A120</f>
        <v>0</v>
      </c>
      <c r="B120" s="23">
        <f>'Pré Implantação'!B120</f>
        <v>0</v>
      </c>
      <c r="C120" s="31" t="str">
        <f>IF('Pré Implantação'!C120=0,"0",'Pré Implantação'!C120+10)</f>
        <v>0</v>
      </c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1"/>
    </row>
    <row r="121" spans="1:14" x14ac:dyDescent="0.3">
      <c r="A121" s="7">
        <f>'Pré Implantação'!A121</f>
        <v>0</v>
      </c>
      <c r="B121" s="23">
        <f>'Pré Implantação'!B121</f>
        <v>0</v>
      </c>
      <c r="C121" s="31" t="str">
        <f>IF('Pré Implantação'!C121=0,"0",'Pré Implantação'!C121+10)</f>
        <v>0</v>
      </c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1"/>
    </row>
    <row r="122" spans="1:14" x14ac:dyDescent="0.3">
      <c r="A122" s="7">
        <f>'Pré Implantação'!A122</f>
        <v>0</v>
      </c>
      <c r="B122" s="23">
        <f>'Pré Implantação'!B122</f>
        <v>0</v>
      </c>
      <c r="C122" s="31" t="str">
        <f>IF('Pré Implantação'!C122=0,"0",'Pré Implantação'!C122+10)</f>
        <v>0</v>
      </c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1"/>
    </row>
    <row r="123" spans="1:14" x14ac:dyDescent="0.3">
      <c r="A123" s="7">
        <f>'Pré Implantação'!A123</f>
        <v>0</v>
      </c>
      <c r="B123" s="23">
        <f>'Pré Implantação'!B123</f>
        <v>0</v>
      </c>
      <c r="C123" s="31" t="str">
        <f>IF('Pré Implantação'!C123=0,"0",'Pré Implantação'!C123+10)</f>
        <v>0</v>
      </c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1"/>
    </row>
    <row r="124" spans="1:14" x14ac:dyDescent="0.3">
      <c r="A124" s="7">
        <f>'Pré Implantação'!A124</f>
        <v>0</v>
      </c>
      <c r="B124" s="23">
        <f>'Pré Implantação'!B124</f>
        <v>0</v>
      </c>
      <c r="C124" s="31" t="str">
        <f>IF('Pré Implantação'!C124=0,"0",'Pré Implantação'!C124+10)</f>
        <v>0</v>
      </c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1"/>
    </row>
    <row r="125" spans="1:14" x14ac:dyDescent="0.3">
      <c r="A125" s="7">
        <f>'Pré Implantação'!A125</f>
        <v>0</v>
      </c>
      <c r="B125" s="23">
        <f>'Pré Implantação'!B125</f>
        <v>0</v>
      </c>
      <c r="C125" s="31" t="str">
        <f>IF('Pré Implantação'!C125=0,"0",'Pré Implantação'!C125+10)</f>
        <v>0</v>
      </c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1"/>
    </row>
    <row r="126" spans="1:14" x14ac:dyDescent="0.3">
      <c r="A126" s="7">
        <f>'Pré Implantação'!A126</f>
        <v>0</v>
      </c>
      <c r="B126" s="23">
        <f>'Pré Implantação'!B126</f>
        <v>0</v>
      </c>
      <c r="C126" s="31" t="str">
        <f>IF('Pré Implantação'!C126=0,"0",'Pré Implantação'!C126+10)</f>
        <v>0</v>
      </c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1"/>
    </row>
    <row r="127" spans="1:14" x14ac:dyDescent="0.3">
      <c r="A127" s="7">
        <f>'Pré Implantação'!A127</f>
        <v>0</v>
      </c>
      <c r="B127" s="23">
        <f>'Pré Implantação'!B127</f>
        <v>0</v>
      </c>
      <c r="C127" s="31" t="str">
        <f>IF('Pré Implantação'!C127=0,"0",'Pré Implantação'!C127+10)</f>
        <v>0</v>
      </c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1"/>
    </row>
    <row r="128" spans="1:14" x14ac:dyDescent="0.3">
      <c r="A128" s="7">
        <f>'Pré Implantação'!A128</f>
        <v>0</v>
      </c>
      <c r="B128" s="23">
        <f>'Pré Implantação'!B128</f>
        <v>0</v>
      </c>
      <c r="C128" s="31" t="str">
        <f>IF('Pré Implantação'!C128=0,"0",'Pré Implantação'!C128+10)</f>
        <v>0</v>
      </c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1"/>
    </row>
    <row r="129" spans="1:14" x14ac:dyDescent="0.3">
      <c r="A129" s="7">
        <f>'Pré Implantação'!A129</f>
        <v>0</v>
      </c>
      <c r="B129" s="23">
        <f>'Pré Implantação'!B129</f>
        <v>0</v>
      </c>
      <c r="C129" s="31" t="str">
        <f>IF('Pré Implantação'!C129=0,"0",'Pré Implantação'!C129+10)</f>
        <v>0</v>
      </c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1"/>
    </row>
    <row r="130" spans="1:14" x14ac:dyDescent="0.3">
      <c r="A130" s="7">
        <f>'Pré Implantação'!A130</f>
        <v>0</v>
      </c>
      <c r="B130" s="23">
        <f>'Pré Implantação'!B130</f>
        <v>0</v>
      </c>
      <c r="C130" s="31" t="str">
        <f>IF('Pré Implantação'!C130=0,"0",'Pré Implantação'!C130+10)</f>
        <v>0</v>
      </c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1"/>
    </row>
    <row r="131" spans="1:14" x14ac:dyDescent="0.3">
      <c r="A131" s="7">
        <f>'Pré Implantação'!A131</f>
        <v>0</v>
      </c>
      <c r="B131" s="23">
        <f>'Pré Implantação'!B131</f>
        <v>0</v>
      </c>
      <c r="C131" s="31" t="str">
        <f>IF('Pré Implantação'!C131=0,"0",'Pré Implantação'!C131+10)</f>
        <v>0</v>
      </c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1"/>
    </row>
    <row r="132" spans="1:14" x14ac:dyDescent="0.3">
      <c r="A132" s="7">
        <f>'Pré Implantação'!A132</f>
        <v>0</v>
      </c>
      <c r="B132" s="23">
        <f>'Pré Implantação'!B132</f>
        <v>0</v>
      </c>
      <c r="C132" s="31" t="str">
        <f>IF('Pré Implantação'!C132=0,"0",'Pré Implantação'!C132+10)</f>
        <v>0</v>
      </c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1"/>
    </row>
    <row r="133" spans="1:14" x14ac:dyDescent="0.3">
      <c r="A133" s="7">
        <f>'Pré Implantação'!A133</f>
        <v>0</v>
      </c>
      <c r="B133" s="23">
        <f>'Pré Implantação'!B133</f>
        <v>0</v>
      </c>
      <c r="C133" s="31" t="str">
        <f>IF('Pré Implantação'!C133=0,"0",'Pré Implantação'!C133+10)</f>
        <v>0</v>
      </c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1"/>
    </row>
    <row r="134" spans="1:14" x14ac:dyDescent="0.3">
      <c r="A134" s="7">
        <f>'Pré Implantação'!A134</f>
        <v>0</v>
      </c>
      <c r="B134" s="23">
        <f>'Pré Implantação'!B134</f>
        <v>0</v>
      </c>
      <c r="C134" s="31" t="str">
        <f>IF('Pré Implantação'!C134=0,"0",'Pré Implantação'!C134+10)</f>
        <v>0</v>
      </c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1"/>
    </row>
    <row r="135" spans="1:14" x14ac:dyDescent="0.3">
      <c r="A135" s="7">
        <f>'Pré Implantação'!A135</f>
        <v>0</v>
      </c>
      <c r="B135" s="23">
        <f>'Pré Implantação'!B135</f>
        <v>0</v>
      </c>
      <c r="C135" s="31" t="str">
        <f>IF('Pré Implantação'!C135=0,"0",'Pré Implantação'!C135+10)</f>
        <v>0</v>
      </c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1"/>
    </row>
    <row r="136" spans="1:14" x14ac:dyDescent="0.3">
      <c r="A136" s="7">
        <f>'Pré Implantação'!A136</f>
        <v>0</v>
      </c>
      <c r="B136" s="23">
        <f>'Pré Implantação'!B136</f>
        <v>0</v>
      </c>
      <c r="C136" s="31" t="str">
        <f>IF('Pré Implantação'!C136=0,"0",'Pré Implantação'!C136+10)</f>
        <v>0</v>
      </c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1"/>
    </row>
    <row r="137" spans="1:14" x14ac:dyDescent="0.3">
      <c r="A137" s="7">
        <f>'Pré Implantação'!A137</f>
        <v>0</v>
      </c>
      <c r="B137" s="23">
        <f>'Pré Implantação'!B137</f>
        <v>0</v>
      </c>
      <c r="C137" s="31" t="str">
        <f>IF('Pré Implantação'!C137=0,"0",'Pré Implantação'!C137+10)</f>
        <v>0</v>
      </c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1"/>
    </row>
    <row r="138" spans="1:14" x14ac:dyDescent="0.3">
      <c r="A138" s="7">
        <f>'Pré Implantação'!A138</f>
        <v>0</v>
      </c>
      <c r="B138" s="23">
        <f>'Pré Implantação'!B138</f>
        <v>0</v>
      </c>
      <c r="C138" s="31" t="str">
        <f>IF('Pré Implantação'!C138=0,"0",'Pré Implantação'!C138+10)</f>
        <v>0</v>
      </c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1"/>
    </row>
    <row r="139" spans="1:14" x14ac:dyDescent="0.3">
      <c r="A139" s="7">
        <f>'Pré Implantação'!A139</f>
        <v>0</v>
      </c>
      <c r="B139" s="23">
        <f>'Pré Implantação'!B139</f>
        <v>0</v>
      </c>
      <c r="C139" s="31" t="str">
        <f>IF('Pré Implantação'!C139=0,"0",'Pré Implantação'!C139+10)</f>
        <v>0</v>
      </c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1"/>
    </row>
    <row r="140" spans="1:14" x14ac:dyDescent="0.3">
      <c r="A140" s="7">
        <f>'Pré Implantação'!A140</f>
        <v>0</v>
      </c>
      <c r="B140" s="23">
        <f>'Pré Implantação'!B140</f>
        <v>0</v>
      </c>
      <c r="C140" s="31" t="str">
        <f>IF('Pré Implantação'!C140=0,"0",'Pré Implantação'!C140+10)</f>
        <v>0</v>
      </c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1"/>
    </row>
    <row r="141" spans="1:14" x14ac:dyDescent="0.3">
      <c r="A141" s="7">
        <f>'Pré Implantação'!A141</f>
        <v>0</v>
      </c>
      <c r="B141" s="23">
        <f>'Pré Implantação'!B141</f>
        <v>0</v>
      </c>
      <c r="C141" s="31" t="str">
        <f>IF('Pré Implantação'!C141=0,"0",'Pré Implantação'!C141+10)</f>
        <v>0</v>
      </c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1"/>
    </row>
    <row r="142" spans="1:14" x14ac:dyDescent="0.3">
      <c r="A142" s="7">
        <f>'Pré Implantação'!A142</f>
        <v>0</v>
      </c>
      <c r="B142" s="23">
        <f>'Pré Implantação'!B142</f>
        <v>0</v>
      </c>
      <c r="C142" s="31" t="str">
        <f>IF('Pré Implantação'!C142=0,"0",'Pré Implantação'!C142+10)</f>
        <v>0</v>
      </c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1"/>
    </row>
    <row r="143" spans="1:14" x14ac:dyDescent="0.3">
      <c r="A143" s="7">
        <f>'Pré Implantação'!A143</f>
        <v>0</v>
      </c>
      <c r="B143" s="23">
        <f>'Pré Implantação'!B143</f>
        <v>0</v>
      </c>
      <c r="C143" s="31" t="str">
        <f>IF('Pré Implantação'!C143=0,"0",'Pré Implantação'!C143+10)</f>
        <v>0</v>
      </c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1"/>
    </row>
    <row r="144" spans="1:14" x14ac:dyDescent="0.3">
      <c r="A144" s="7">
        <f>'Pré Implantação'!A144</f>
        <v>0</v>
      </c>
      <c r="B144" s="23">
        <f>'Pré Implantação'!B144</f>
        <v>0</v>
      </c>
      <c r="C144" s="31" t="str">
        <f>IF('Pré Implantação'!C144=0,"0",'Pré Implantação'!C144+10)</f>
        <v>0</v>
      </c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1"/>
    </row>
    <row r="145" spans="1:14" x14ac:dyDescent="0.3">
      <c r="A145" s="7">
        <f>'Pré Implantação'!A145</f>
        <v>0</v>
      </c>
      <c r="B145" s="23">
        <f>'Pré Implantação'!B145</f>
        <v>0</v>
      </c>
      <c r="C145" s="31" t="str">
        <f>IF('Pré Implantação'!C145=0,"0",'Pré Implantação'!C145+10)</f>
        <v>0</v>
      </c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1"/>
    </row>
    <row r="146" spans="1:14" x14ac:dyDescent="0.3">
      <c r="A146" s="7">
        <f>'Pré Implantação'!A146</f>
        <v>0</v>
      </c>
      <c r="B146" s="23">
        <f>'Pré Implantação'!B146</f>
        <v>0</v>
      </c>
      <c r="C146" s="31" t="str">
        <f>IF('Pré Implantação'!C146=0,"0",'Pré Implantação'!C146+10)</f>
        <v>0</v>
      </c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1"/>
    </row>
    <row r="147" spans="1:14" x14ac:dyDescent="0.3">
      <c r="A147" s="7">
        <f>'Pré Implantação'!A147</f>
        <v>0</v>
      </c>
      <c r="B147" s="23">
        <f>'Pré Implantação'!B147</f>
        <v>0</v>
      </c>
      <c r="C147" s="31" t="str">
        <f>IF('Pré Implantação'!C147=0,"0",'Pré Implantação'!C147+10)</f>
        <v>0</v>
      </c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1"/>
    </row>
    <row r="148" spans="1:14" x14ac:dyDescent="0.3">
      <c r="A148" s="7">
        <f>'Pré Implantação'!A148</f>
        <v>0</v>
      </c>
      <c r="B148" s="23">
        <f>'Pré Implantação'!B148</f>
        <v>0</v>
      </c>
      <c r="C148" s="31" t="str">
        <f>IF('Pré Implantação'!C148=0,"0",'Pré Implantação'!C148+10)</f>
        <v>0</v>
      </c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1"/>
    </row>
    <row r="149" spans="1:14" x14ac:dyDescent="0.3">
      <c r="A149" s="7">
        <f>'Pré Implantação'!A149</f>
        <v>0</v>
      </c>
      <c r="B149" s="23">
        <f>'Pré Implantação'!B149</f>
        <v>0</v>
      </c>
      <c r="C149" s="31" t="str">
        <f>IF('Pré Implantação'!C149=0,"0",'Pré Implantação'!C149+10)</f>
        <v>0</v>
      </c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1"/>
    </row>
    <row r="150" spans="1:14" x14ac:dyDescent="0.3">
      <c r="A150" s="7">
        <f>'Pré Implantação'!A150</f>
        <v>0</v>
      </c>
      <c r="B150" s="23">
        <f>'Pré Implantação'!B150</f>
        <v>0</v>
      </c>
      <c r="C150" s="31" t="str">
        <f>IF('Pré Implantação'!C150=0,"0",'Pré Implantação'!C150+10)</f>
        <v>0</v>
      </c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1"/>
    </row>
    <row r="151" spans="1:14" x14ac:dyDescent="0.3">
      <c r="A151" s="7">
        <f>'Pré Implantação'!A151</f>
        <v>0</v>
      </c>
      <c r="B151" s="23">
        <f>'Pré Implantação'!B151</f>
        <v>0</v>
      </c>
      <c r="C151" s="31" t="str">
        <f>IF('Pré Implantação'!C151=0,"0",'Pré Implantação'!C151+10)</f>
        <v>0</v>
      </c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1"/>
    </row>
    <row r="152" spans="1:14" x14ac:dyDescent="0.3">
      <c r="A152" s="7">
        <f>'Pré Implantação'!A152</f>
        <v>0</v>
      </c>
      <c r="B152" s="23">
        <f>'Pré Implantação'!B152</f>
        <v>0</v>
      </c>
      <c r="C152" s="31" t="str">
        <f>IF('Pré Implantação'!C152=0,"0",'Pré Implantação'!C152+10)</f>
        <v>0</v>
      </c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1"/>
    </row>
    <row r="153" spans="1:14" x14ac:dyDescent="0.3">
      <c r="A153" s="7">
        <f>'Pré Implantação'!A153</f>
        <v>0</v>
      </c>
      <c r="B153" s="23">
        <f>'Pré Implantação'!B153</f>
        <v>0</v>
      </c>
      <c r="C153" s="31" t="str">
        <f>IF('Pré Implantação'!C153=0,"0",'Pré Implantação'!C153+10)</f>
        <v>0</v>
      </c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1"/>
    </row>
    <row r="154" spans="1:14" x14ac:dyDescent="0.3">
      <c r="A154" s="7">
        <f>'Pré Implantação'!A154</f>
        <v>0</v>
      </c>
      <c r="B154" s="23">
        <f>'Pré Implantação'!B154</f>
        <v>0</v>
      </c>
      <c r="C154" s="31" t="str">
        <f>IF('Pré Implantação'!C154=0,"0",'Pré Implantação'!C154+10)</f>
        <v>0</v>
      </c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1"/>
    </row>
    <row r="155" spans="1:14" x14ac:dyDescent="0.3">
      <c r="A155" s="7">
        <f>'Pré Implantação'!A155</f>
        <v>0</v>
      </c>
      <c r="B155" s="23">
        <f>'Pré Implantação'!B155</f>
        <v>0</v>
      </c>
      <c r="C155" s="31" t="str">
        <f>IF('Pré Implantação'!C155=0,"0",'Pré Implantação'!C155+10)</f>
        <v>0</v>
      </c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1"/>
    </row>
    <row r="156" spans="1:14" x14ac:dyDescent="0.3">
      <c r="A156" s="7">
        <f>'Pré Implantação'!A156</f>
        <v>0</v>
      </c>
      <c r="B156" s="23">
        <f>'Pré Implantação'!B156</f>
        <v>0</v>
      </c>
      <c r="C156" s="31" t="str">
        <f>IF('Pré Implantação'!C156=0,"0",'Pré Implantação'!C156+10)</f>
        <v>0</v>
      </c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1"/>
    </row>
    <row r="157" spans="1:14" x14ac:dyDescent="0.3">
      <c r="A157" s="7">
        <f>'Pré Implantação'!A157</f>
        <v>0</v>
      </c>
      <c r="B157" s="23">
        <f>'Pré Implantação'!B157</f>
        <v>0</v>
      </c>
      <c r="C157" s="31" t="str">
        <f>IF('Pré Implantação'!C157=0,"0",'Pré Implantação'!C157+10)</f>
        <v>0</v>
      </c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1"/>
    </row>
    <row r="158" spans="1:14" x14ac:dyDescent="0.3">
      <c r="A158" s="7">
        <f>'Pré Implantação'!A158</f>
        <v>0</v>
      </c>
      <c r="B158" s="23">
        <f>'Pré Implantação'!B158</f>
        <v>0</v>
      </c>
      <c r="C158" s="31" t="str">
        <f>IF('Pré Implantação'!C158=0,"0",'Pré Implantação'!C158+10)</f>
        <v>0</v>
      </c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1"/>
    </row>
    <row r="159" spans="1:14" x14ac:dyDescent="0.3">
      <c r="A159" s="7">
        <f>'Pré Implantação'!A159</f>
        <v>0</v>
      </c>
      <c r="B159" s="23">
        <f>'Pré Implantação'!B159</f>
        <v>0</v>
      </c>
      <c r="C159" s="31" t="str">
        <f>IF('Pré Implantação'!C159=0,"0",'Pré Implantação'!C159+10)</f>
        <v>0</v>
      </c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1"/>
    </row>
    <row r="160" spans="1:14" x14ac:dyDescent="0.3">
      <c r="A160" s="7">
        <f>'Pré Implantação'!A160</f>
        <v>0</v>
      </c>
      <c r="B160" s="23">
        <f>'Pré Implantação'!B160</f>
        <v>0</v>
      </c>
      <c r="C160" s="31" t="str">
        <f>IF('Pré Implantação'!C160=0,"0",'Pré Implantação'!C160+10)</f>
        <v>0</v>
      </c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1"/>
    </row>
    <row r="161" spans="1:14" x14ac:dyDescent="0.3">
      <c r="A161" s="7">
        <f>'Pré Implantação'!A161</f>
        <v>0</v>
      </c>
      <c r="B161" s="23">
        <f>'Pré Implantação'!B161</f>
        <v>0</v>
      </c>
      <c r="C161" s="31" t="str">
        <f>IF('Pré Implantação'!C161=0,"0",'Pré Implantação'!C161+10)</f>
        <v>0</v>
      </c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1"/>
    </row>
    <row r="162" spans="1:14" x14ac:dyDescent="0.3">
      <c r="A162" s="7">
        <f>'Pré Implantação'!A162</f>
        <v>0</v>
      </c>
      <c r="B162" s="23">
        <f>'Pré Implantação'!B162</f>
        <v>0</v>
      </c>
      <c r="C162" s="31" t="str">
        <f>IF('Pré Implantação'!C162=0,"0",'Pré Implantação'!C162+10)</f>
        <v>0</v>
      </c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1"/>
    </row>
    <row r="163" spans="1:14" x14ac:dyDescent="0.3">
      <c r="A163" s="7">
        <f>'Pré Implantação'!A163</f>
        <v>0</v>
      </c>
      <c r="B163" s="23">
        <f>'Pré Implantação'!B163</f>
        <v>0</v>
      </c>
      <c r="C163" s="31" t="str">
        <f>IF('Pré Implantação'!C163=0,"0",'Pré Implantação'!C163+10)</f>
        <v>0</v>
      </c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1"/>
    </row>
    <row r="164" spans="1:14" x14ac:dyDescent="0.3">
      <c r="A164" s="7">
        <f>'Pré Implantação'!A164</f>
        <v>0</v>
      </c>
      <c r="B164" s="23">
        <f>'Pré Implantação'!B164</f>
        <v>0</v>
      </c>
      <c r="C164" s="31" t="str">
        <f>IF('Pré Implantação'!C164=0,"0",'Pré Implantação'!C164+10)</f>
        <v>0</v>
      </c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1"/>
    </row>
    <row r="165" spans="1:14" x14ac:dyDescent="0.3">
      <c r="A165" s="7">
        <f>'Pré Implantação'!A165</f>
        <v>0</v>
      </c>
      <c r="B165" s="23">
        <f>'Pré Implantação'!B165</f>
        <v>0</v>
      </c>
      <c r="C165" s="31" t="str">
        <f>IF('Pré Implantação'!C165=0,"0",'Pré Implantação'!C165+10)</f>
        <v>0</v>
      </c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1"/>
    </row>
    <row r="166" spans="1:14" x14ac:dyDescent="0.3">
      <c r="A166" s="7">
        <f>'Pré Implantação'!A166</f>
        <v>0</v>
      </c>
      <c r="B166" s="23">
        <f>'Pré Implantação'!B166</f>
        <v>0</v>
      </c>
      <c r="C166" s="31" t="str">
        <f>IF('Pré Implantação'!C166=0,"0",'Pré Implantação'!C166+10)</f>
        <v>0</v>
      </c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1"/>
    </row>
    <row r="167" spans="1:14" x14ac:dyDescent="0.3">
      <c r="A167" s="7">
        <f>'Pré Implantação'!A167</f>
        <v>0</v>
      </c>
      <c r="B167" s="23">
        <f>'Pré Implantação'!B167</f>
        <v>0</v>
      </c>
      <c r="C167" s="31" t="str">
        <f>IF('Pré Implantação'!C167=0,"0",'Pré Implantação'!C167+10)</f>
        <v>0</v>
      </c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1"/>
    </row>
    <row r="168" spans="1:14" x14ac:dyDescent="0.3">
      <c r="A168" s="7">
        <f>'Pré Implantação'!A168</f>
        <v>0</v>
      </c>
      <c r="B168" s="23">
        <f>'Pré Implantação'!B168</f>
        <v>0</v>
      </c>
      <c r="C168" s="31" t="str">
        <f>IF('Pré Implantação'!C168=0,"0",'Pré Implantação'!C168+10)</f>
        <v>0</v>
      </c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1"/>
    </row>
    <row r="169" spans="1:14" x14ac:dyDescent="0.3">
      <c r="A169" s="7">
        <f>'Pré Implantação'!A169</f>
        <v>0</v>
      </c>
      <c r="B169" s="23">
        <f>'Pré Implantação'!B169</f>
        <v>0</v>
      </c>
      <c r="C169" s="31" t="str">
        <f>IF('Pré Implantação'!C169=0,"0",'Pré Implantação'!C169+10)</f>
        <v>0</v>
      </c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1"/>
    </row>
    <row r="170" spans="1:14" x14ac:dyDescent="0.3">
      <c r="A170" s="7">
        <f>'Pré Implantação'!A170</f>
        <v>0</v>
      </c>
      <c r="B170" s="23">
        <f>'Pré Implantação'!B170</f>
        <v>0</v>
      </c>
      <c r="C170" s="31" t="str">
        <f>IF('Pré Implantação'!C170=0,"0",'Pré Implantação'!C170+10)</f>
        <v>0</v>
      </c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1"/>
    </row>
    <row r="171" spans="1:14" x14ac:dyDescent="0.3">
      <c r="A171" s="7">
        <f>'Pré Implantação'!A171</f>
        <v>0</v>
      </c>
      <c r="B171" s="23">
        <f>'Pré Implantação'!B171</f>
        <v>0</v>
      </c>
      <c r="C171" s="31" t="str">
        <f>IF('Pré Implantação'!C171=0,"0",'Pré Implantação'!C171+10)</f>
        <v>0</v>
      </c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1"/>
    </row>
    <row r="172" spans="1:14" x14ac:dyDescent="0.3">
      <c r="A172" s="7">
        <f>'Pré Implantação'!A172</f>
        <v>0</v>
      </c>
      <c r="B172" s="23">
        <f>'Pré Implantação'!B172</f>
        <v>0</v>
      </c>
      <c r="C172" s="31" t="str">
        <f>IF('Pré Implantação'!C172=0,"0",'Pré Implantação'!C172+10)</f>
        <v>0</v>
      </c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1"/>
    </row>
    <row r="173" spans="1:14" x14ac:dyDescent="0.3">
      <c r="A173" s="7">
        <f>'Pré Implantação'!A173</f>
        <v>0</v>
      </c>
      <c r="B173" s="23">
        <f>'Pré Implantação'!B173</f>
        <v>0</v>
      </c>
      <c r="C173" s="31" t="str">
        <f>IF('Pré Implantação'!C173=0,"0",'Pré Implantação'!C173+10)</f>
        <v>0</v>
      </c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1"/>
    </row>
    <row r="174" spans="1:14" x14ac:dyDescent="0.3">
      <c r="A174" s="7">
        <f>'Pré Implantação'!A174</f>
        <v>0</v>
      </c>
      <c r="B174" s="23">
        <f>'Pré Implantação'!B174</f>
        <v>0</v>
      </c>
      <c r="C174" s="31" t="str">
        <f>IF('Pré Implantação'!C174=0,"0",'Pré Implantação'!C174+10)</f>
        <v>0</v>
      </c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1"/>
    </row>
    <row r="175" spans="1:14" x14ac:dyDescent="0.3">
      <c r="A175" s="7">
        <f>'Pré Implantação'!A175</f>
        <v>0</v>
      </c>
      <c r="B175" s="23">
        <f>'Pré Implantação'!B175</f>
        <v>0</v>
      </c>
      <c r="C175" s="31" t="str">
        <f>IF('Pré Implantação'!C175=0,"0",'Pré Implantação'!C175+10)</f>
        <v>0</v>
      </c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1"/>
    </row>
    <row r="176" spans="1:14" x14ac:dyDescent="0.3">
      <c r="A176" s="7">
        <f>'Pré Implantação'!A176</f>
        <v>0</v>
      </c>
      <c r="B176" s="23">
        <f>'Pré Implantação'!B176</f>
        <v>0</v>
      </c>
      <c r="C176" s="31" t="str">
        <f>IF('Pré Implantação'!C176=0,"0",'Pré Implantação'!C176+10)</f>
        <v>0</v>
      </c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1"/>
    </row>
    <row r="177" spans="1:14" x14ac:dyDescent="0.3">
      <c r="A177" s="7">
        <f>'Pré Implantação'!A177</f>
        <v>0</v>
      </c>
      <c r="B177" s="23">
        <f>'Pré Implantação'!B177</f>
        <v>0</v>
      </c>
      <c r="C177" s="31" t="str">
        <f>IF('Pré Implantação'!C177=0,"0",'Pré Implantação'!C177+10)</f>
        <v>0</v>
      </c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1"/>
    </row>
    <row r="178" spans="1:14" x14ac:dyDescent="0.3">
      <c r="A178" s="7">
        <f>'Pré Implantação'!A178</f>
        <v>0</v>
      </c>
      <c r="B178" s="23">
        <f>'Pré Implantação'!B178</f>
        <v>0</v>
      </c>
      <c r="C178" s="31" t="str">
        <f>IF('Pré Implantação'!C178=0,"0",'Pré Implantação'!C178+10)</f>
        <v>0</v>
      </c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1"/>
    </row>
    <row r="179" spans="1:14" x14ac:dyDescent="0.3">
      <c r="A179" s="7">
        <f>'Pré Implantação'!A179</f>
        <v>0</v>
      </c>
      <c r="B179" s="23">
        <f>'Pré Implantação'!B179</f>
        <v>0</v>
      </c>
      <c r="C179" s="31" t="str">
        <f>IF('Pré Implantação'!C179=0,"0",'Pré Implantação'!C179+10)</f>
        <v>0</v>
      </c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1"/>
    </row>
    <row r="180" spans="1:14" x14ac:dyDescent="0.3">
      <c r="A180" s="7">
        <f>'Pré Implantação'!A180</f>
        <v>0</v>
      </c>
      <c r="B180" s="23">
        <f>'Pré Implantação'!B180</f>
        <v>0</v>
      </c>
      <c r="C180" s="31" t="str">
        <f>IF('Pré Implantação'!C180=0,"0",'Pré Implantação'!C180+10)</f>
        <v>0</v>
      </c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1"/>
    </row>
    <row r="181" spans="1:14" x14ac:dyDescent="0.3">
      <c r="A181" s="7">
        <f>'Pré Implantação'!A181</f>
        <v>0</v>
      </c>
      <c r="B181" s="23">
        <f>'Pré Implantação'!B181</f>
        <v>0</v>
      </c>
      <c r="C181" s="31" t="str">
        <f>IF('Pré Implantação'!C181=0,"0",'Pré Implantação'!C181+10)</f>
        <v>0</v>
      </c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1"/>
    </row>
    <row r="182" spans="1:14" x14ac:dyDescent="0.3">
      <c r="A182" s="7">
        <f>'Pré Implantação'!A182</f>
        <v>0</v>
      </c>
      <c r="B182" s="23">
        <f>'Pré Implantação'!B182</f>
        <v>0</v>
      </c>
      <c r="C182" s="31" t="str">
        <f>IF('Pré Implantação'!C182=0,"0",'Pré Implantação'!C182+10)</f>
        <v>0</v>
      </c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1"/>
    </row>
    <row r="183" spans="1:14" x14ac:dyDescent="0.3">
      <c r="A183" s="7">
        <f>'Pré Implantação'!A183</f>
        <v>0</v>
      </c>
      <c r="B183" s="23">
        <f>'Pré Implantação'!B183</f>
        <v>0</v>
      </c>
      <c r="C183" s="31" t="str">
        <f>IF('Pré Implantação'!C183=0,"0",'Pré Implantação'!C183+10)</f>
        <v>0</v>
      </c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1"/>
    </row>
    <row r="184" spans="1:14" x14ac:dyDescent="0.3">
      <c r="A184" s="7">
        <f>'Pré Implantação'!A184</f>
        <v>0</v>
      </c>
      <c r="B184" s="23">
        <f>'Pré Implantação'!B184</f>
        <v>0</v>
      </c>
      <c r="C184" s="31" t="str">
        <f>IF('Pré Implantação'!C184=0,"0",'Pré Implantação'!C184+10)</f>
        <v>0</v>
      </c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1"/>
    </row>
    <row r="185" spans="1:14" x14ac:dyDescent="0.3">
      <c r="A185" s="7">
        <f>'Pré Implantação'!A185</f>
        <v>0</v>
      </c>
      <c r="B185" s="23">
        <f>'Pré Implantação'!B185</f>
        <v>0</v>
      </c>
      <c r="C185" s="31" t="str">
        <f>IF('Pré Implantação'!C185=0,"0",'Pré Implantação'!C185+10)</f>
        <v>0</v>
      </c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1"/>
    </row>
    <row r="186" spans="1:14" x14ac:dyDescent="0.3">
      <c r="A186" s="7">
        <f>'Pré Implantação'!A186</f>
        <v>0</v>
      </c>
      <c r="B186" s="23">
        <f>'Pré Implantação'!B186</f>
        <v>0</v>
      </c>
      <c r="C186" s="31" t="str">
        <f>IF('Pré Implantação'!C186=0,"0",'Pré Implantação'!C186+10)</f>
        <v>0</v>
      </c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1"/>
    </row>
    <row r="187" spans="1:14" x14ac:dyDescent="0.3">
      <c r="A187" s="7">
        <f>'Pré Implantação'!A187</f>
        <v>0</v>
      </c>
      <c r="B187" s="23">
        <f>'Pré Implantação'!B187</f>
        <v>0</v>
      </c>
      <c r="C187" s="31" t="str">
        <f>IF('Pré Implantação'!C187=0,"0",'Pré Implantação'!C187+10)</f>
        <v>0</v>
      </c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1"/>
    </row>
    <row r="188" spans="1:14" x14ac:dyDescent="0.3">
      <c r="A188" s="7">
        <f>'Pré Implantação'!A188</f>
        <v>0</v>
      </c>
      <c r="B188" s="23">
        <f>'Pré Implantação'!B188</f>
        <v>0</v>
      </c>
      <c r="C188" s="31" t="str">
        <f>IF('Pré Implantação'!C188=0,"0",'Pré Implantação'!C188+10)</f>
        <v>0</v>
      </c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1"/>
    </row>
    <row r="189" spans="1:14" x14ac:dyDescent="0.3">
      <c r="A189" s="7">
        <f>'Pré Implantação'!A189</f>
        <v>0</v>
      </c>
      <c r="B189" s="23">
        <f>'Pré Implantação'!B189</f>
        <v>0</v>
      </c>
      <c r="C189" s="31" t="str">
        <f>IF('Pré Implantação'!C189=0,"0",'Pré Implantação'!C189+10)</f>
        <v>0</v>
      </c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1"/>
    </row>
    <row r="190" spans="1:14" x14ac:dyDescent="0.3">
      <c r="A190" s="7">
        <f>'Pré Implantação'!A190</f>
        <v>0</v>
      </c>
      <c r="B190" s="23">
        <f>'Pré Implantação'!B190</f>
        <v>0</v>
      </c>
      <c r="C190" s="31" t="str">
        <f>IF('Pré Implantação'!C190=0,"0",'Pré Implantação'!C190+10)</f>
        <v>0</v>
      </c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1"/>
    </row>
    <row r="191" spans="1:14" x14ac:dyDescent="0.3">
      <c r="A191" s="7">
        <f>'Pré Implantação'!A191</f>
        <v>0</v>
      </c>
      <c r="B191" s="23">
        <f>'Pré Implantação'!B191</f>
        <v>0</v>
      </c>
      <c r="C191" s="31" t="str">
        <f>IF('Pré Implantação'!C191=0,"0",'Pré Implantação'!C191+10)</f>
        <v>0</v>
      </c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1"/>
    </row>
    <row r="192" spans="1:14" x14ac:dyDescent="0.3">
      <c r="A192" s="7">
        <f>'Pré Implantação'!A192</f>
        <v>0</v>
      </c>
      <c r="B192" s="23">
        <f>'Pré Implantação'!B192</f>
        <v>0</v>
      </c>
      <c r="C192" s="31" t="str">
        <f>IF('Pré Implantação'!C192=0,"0",'Pré Implantação'!C192+10)</f>
        <v>0</v>
      </c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1"/>
    </row>
    <row r="193" spans="1:14" x14ac:dyDescent="0.3">
      <c r="A193" s="7">
        <f>'Pré Implantação'!A193</f>
        <v>0</v>
      </c>
      <c r="B193" s="23">
        <f>'Pré Implantação'!B193</f>
        <v>0</v>
      </c>
      <c r="C193" s="31" t="str">
        <f>IF('Pré Implantação'!C193=0,"0",'Pré Implantação'!C193+10)</f>
        <v>0</v>
      </c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1"/>
    </row>
    <row r="194" spans="1:14" x14ac:dyDescent="0.3">
      <c r="A194" s="7">
        <f>'Pré Implantação'!A194</f>
        <v>0</v>
      </c>
      <c r="B194" s="23">
        <f>'Pré Implantação'!B194</f>
        <v>0</v>
      </c>
      <c r="C194" s="31" t="str">
        <f>IF('Pré Implantação'!C194=0,"0",'Pré Implantação'!C194+10)</f>
        <v>0</v>
      </c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1"/>
    </row>
    <row r="195" spans="1:14" x14ac:dyDescent="0.3">
      <c r="A195" s="7">
        <f>'Pré Implantação'!A195</f>
        <v>0</v>
      </c>
      <c r="B195" s="23">
        <f>'Pré Implantação'!B195</f>
        <v>0</v>
      </c>
      <c r="C195" s="31" t="str">
        <f>IF('Pré Implantação'!C195=0,"0",'Pré Implantação'!C195+10)</f>
        <v>0</v>
      </c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1"/>
    </row>
    <row r="196" spans="1:14" x14ac:dyDescent="0.3">
      <c r="A196" s="7">
        <f>'Pré Implantação'!A196</f>
        <v>0</v>
      </c>
      <c r="B196" s="23">
        <f>'Pré Implantação'!B196</f>
        <v>0</v>
      </c>
      <c r="C196" s="31" t="str">
        <f>IF('Pré Implantação'!C196=0,"0",'Pré Implantação'!C196+10)</f>
        <v>0</v>
      </c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1"/>
    </row>
    <row r="197" spans="1:14" x14ac:dyDescent="0.3">
      <c r="A197" s="7">
        <f>'Pré Implantação'!A197</f>
        <v>0</v>
      </c>
      <c r="B197" s="23">
        <f>'Pré Implantação'!B197</f>
        <v>0</v>
      </c>
      <c r="C197" s="31" t="str">
        <f>IF('Pré Implantação'!C197=0,"0",'Pré Implantação'!C197+10)</f>
        <v>0</v>
      </c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1"/>
    </row>
    <row r="198" spans="1:14" x14ac:dyDescent="0.3">
      <c r="A198" s="7">
        <f>'Pré Implantação'!A198</f>
        <v>0</v>
      </c>
      <c r="B198" s="23">
        <f>'Pré Implantação'!B198</f>
        <v>0</v>
      </c>
      <c r="C198" s="31" t="str">
        <f>IF('Pré Implantação'!C198=0,"0",'Pré Implantação'!C198+10)</f>
        <v>0</v>
      </c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1"/>
    </row>
    <row r="199" spans="1:14" x14ac:dyDescent="0.3">
      <c r="A199" s="7">
        <f>'Pré Implantação'!A199</f>
        <v>0</v>
      </c>
      <c r="B199" s="23">
        <f>'Pré Implantação'!B199</f>
        <v>0</v>
      </c>
      <c r="C199" s="31" t="str">
        <f>IF('Pré Implantação'!C199=0,"0",'Pré Implantação'!C199+10)</f>
        <v>0</v>
      </c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1"/>
    </row>
    <row r="200" spans="1:14" x14ac:dyDescent="0.3">
      <c r="A200" s="7">
        <f>'Pré Implantação'!A200</f>
        <v>0</v>
      </c>
      <c r="B200" s="23">
        <f>'Pré Implantação'!B200</f>
        <v>0</v>
      </c>
      <c r="C200" s="31" t="str">
        <f>IF('Pré Implantação'!C200=0,"0",'Pré Implantação'!C200+10)</f>
        <v>0</v>
      </c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1"/>
    </row>
    <row r="201" spans="1:14" x14ac:dyDescent="0.3">
      <c r="A201" s="7">
        <f>'Pré Implantação'!A201</f>
        <v>0</v>
      </c>
      <c r="B201" s="23">
        <f>'Pré Implantação'!B201</f>
        <v>0</v>
      </c>
      <c r="C201" s="31" t="str">
        <f>IF('Pré Implantação'!C201=0,"0",'Pré Implantação'!C201+10)</f>
        <v>0</v>
      </c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1"/>
    </row>
    <row r="202" spans="1:14" x14ac:dyDescent="0.3">
      <c r="A202" s="7">
        <f>'Pré Implantação'!A202</f>
        <v>0</v>
      </c>
      <c r="B202" s="23">
        <f>'Pré Implantação'!B202</f>
        <v>0</v>
      </c>
      <c r="C202" s="31" t="str">
        <f>IF('Pré Implantação'!C202=0,"0",'Pré Implantação'!C202+10)</f>
        <v>0</v>
      </c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1"/>
    </row>
    <row r="203" spans="1:14" x14ac:dyDescent="0.3">
      <c r="A203" s="7">
        <f>'Pré Implantação'!A203</f>
        <v>0</v>
      </c>
      <c r="B203" s="23">
        <f>'Pré Implantação'!B203</f>
        <v>0</v>
      </c>
      <c r="C203" s="31" t="str">
        <f>IF('Pré Implantação'!C203=0,"0",'Pré Implantação'!C203+10)</f>
        <v>0</v>
      </c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1"/>
    </row>
    <row r="204" spans="1:14" x14ac:dyDescent="0.3">
      <c r="A204" s="7">
        <f>'Pré Implantação'!A204</f>
        <v>0</v>
      </c>
      <c r="B204" s="23">
        <f>'Pré Implantação'!B204</f>
        <v>0</v>
      </c>
      <c r="C204" s="31" t="str">
        <f>IF('Pré Implantação'!C204=0,"0",'Pré Implantação'!C204+10)</f>
        <v>0</v>
      </c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1"/>
    </row>
    <row r="205" spans="1:14" x14ac:dyDescent="0.3">
      <c r="A205" s="7">
        <f>'Pré Implantação'!A205</f>
        <v>0</v>
      </c>
      <c r="B205" s="23">
        <f>'Pré Implantação'!B205</f>
        <v>0</v>
      </c>
      <c r="C205" s="31" t="str">
        <f>IF('Pré Implantação'!C205=0,"0",'Pré Implantação'!C205+10)</f>
        <v>0</v>
      </c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1"/>
    </row>
    <row r="206" spans="1:14" x14ac:dyDescent="0.3">
      <c r="A206" s="7">
        <f>'Pré Implantação'!A206</f>
        <v>0</v>
      </c>
      <c r="B206" s="23">
        <f>'Pré Implantação'!B206</f>
        <v>0</v>
      </c>
      <c r="C206" s="31" t="str">
        <f>IF('Pré Implantação'!C206=0,"0",'Pré Implantação'!C206+10)</f>
        <v>0</v>
      </c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1"/>
    </row>
    <row r="207" spans="1:14" x14ac:dyDescent="0.3">
      <c r="A207" s="7">
        <f>'Pré Implantação'!A207</f>
        <v>0</v>
      </c>
      <c r="B207" s="23">
        <f>'Pré Implantação'!B207</f>
        <v>0</v>
      </c>
      <c r="C207" s="31" t="str">
        <f>IF('Pré Implantação'!C207=0,"0",'Pré Implantação'!C207+10)</f>
        <v>0</v>
      </c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1"/>
    </row>
    <row r="208" spans="1:14" x14ac:dyDescent="0.3">
      <c r="A208" s="7">
        <f>'Pré Implantação'!A208</f>
        <v>0</v>
      </c>
      <c r="B208" s="23">
        <f>'Pré Implantação'!B208</f>
        <v>0</v>
      </c>
      <c r="C208" s="31" t="str">
        <f>IF('Pré Implantação'!C208=0,"0",'Pré Implantação'!C208+10)</f>
        <v>0</v>
      </c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1"/>
    </row>
    <row r="209" spans="1:14" x14ac:dyDescent="0.3">
      <c r="A209" s="7">
        <f>'Pré Implantação'!A209</f>
        <v>0</v>
      </c>
      <c r="B209" s="23">
        <f>'Pré Implantação'!B209</f>
        <v>0</v>
      </c>
      <c r="C209" s="31" t="str">
        <f>IF('Pré Implantação'!C209=0,"0",'Pré Implantação'!C209+10)</f>
        <v>0</v>
      </c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1"/>
    </row>
    <row r="210" spans="1:14" x14ac:dyDescent="0.3">
      <c r="A210" s="7">
        <f>'Pré Implantação'!A210</f>
        <v>0</v>
      </c>
      <c r="B210" s="23">
        <f>'Pré Implantação'!B210</f>
        <v>0</v>
      </c>
      <c r="C210" s="31" t="str">
        <f>IF('Pré Implantação'!C210=0,"0",'Pré Implantação'!C210+10)</f>
        <v>0</v>
      </c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1"/>
    </row>
    <row r="211" spans="1:14" x14ac:dyDescent="0.3">
      <c r="A211" s="7">
        <f>'Pré Implantação'!A211</f>
        <v>0</v>
      </c>
      <c r="B211" s="23">
        <f>'Pré Implantação'!B211</f>
        <v>0</v>
      </c>
      <c r="C211" s="31" t="str">
        <f>IF('Pré Implantação'!C211=0,"0",'Pré Implantação'!C211+10)</f>
        <v>0</v>
      </c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1"/>
    </row>
    <row r="212" spans="1:14" x14ac:dyDescent="0.3">
      <c r="A212" s="7">
        <f>'Pré Implantação'!A212</f>
        <v>0</v>
      </c>
      <c r="B212" s="23">
        <f>'Pré Implantação'!B212</f>
        <v>0</v>
      </c>
      <c r="C212" s="31" t="str">
        <f>IF('Pré Implantação'!C212=0,"0",'Pré Implantação'!C212+10)</f>
        <v>0</v>
      </c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1"/>
    </row>
    <row r="213" spans="1:14" x14ac:dyDescent="0.3">
      <c r="A213" s="7">
        <f>'Pré Implantação'!A213</f>
        <v>0</v>
      </c>
      <c r="B213" s="23">
        <f>'Pré Implantação'!B213</f>
        <v>0</v>
      </c>
      <c r="C213" s="31" t="str">
        <f>IF('Pré Implantação'!C213=0,"0",'Pré Implantação'!C213+10)</f>
        <v>0</v>
      </c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1"/>
    </row>
    <row r="214" spans="1:14" x14ac:dyDescent="0.3">
      <c r="A214" s="7">
        <f>'Pré Implantação'!A214</f>
        <v>0</v>
      </c>
      <c r="B214" s="23">
        <f>'Pré Implantação'!B214</f>
        <v>0</v>
      </c>
      <c r="C214" s="31" t="str">
        <f>IF('Pré Implantação'!C214=0,"0",'Pré Implantação'!C214+10)</f>
        <v>0</v>
      </c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1"/>
    </row>
    <row r="215" spans="1:14" x14ac:dyDescent="0.3">
      <c r="A215" s="7">
        <f>'Pré Implantação'!A215</f>
        <v>0</v>
      </c>
      <c r="B215" s="23">
        <f>'Pré Implantação'!B215</f>
        <v>0</v>
      </c>
      <c r="C215" s="31" t="str">
        <f>IF('Pré Implantação'!C215=0,"0",'Pré Implantação'!C215+10)</f>
        <v>0</v>
      </c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1"/>
    </row>
    <row r="216" spans="1:14" x14ac:dyDescent="0.3">
      <c r="A216" s="7">
        <f>'Pré Implantação'!A216</f>
        <v>0</v>
      </c>
      <c r="B216" s="23">
        <f>'Pré Implantação'!B216</f>
        <v>0</v>
      </c>
      <c r="C216" s="31" t="str">
        <f>IF('Pré Implantação'!C216=0,"0",'Pré Implantação'!C216+10)</f>
        <v>0</v>
      </c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1"/>
    </row>
    <row r="217" spans="1:14" x14ac:dyDescent="0.3">
      <c r="A217" s="7">
        <f>'Pré Implantação'!A217</f>
        <v>0</v>
      </c>
      <c r="B217" s="23">
        <f>'Pré Implantação'!B217</f>
        <v>0</v>
      </c>
      <c r="C217" s="31" t="str">
        <f>IF('Pré Implantação'!C217=0,"0",'Pré Implantação'!C217+10)</f>
        <v>0</v>
      </c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1"/>
    </row>
    <row r="218" spans="1:14" x14ac:dyDescent="0.3">
      <c r="A218" s="7">
        <f>'Pré Implantação'!A218</f>
        <v>0</v>
      </c>
      <c r="B218" s="23">
        <f>'Pré Implantação'!B218</f>
        <v>0</v>
      </c>
      <c r="C218" s="31" t="str">
        <f>IF('Pré Implantação'!C218=0,"0",'Pré Implantação'!C218+10)</f>
        <v>0</v>
      </c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1"/>
    </row>
    <row r="219" spans="1:14" x14ac:dyDescent="0.3">
      <c r="A219" s="7">
        <f>'Pré Implantação'!A219</f>
        <v>0</v>
      </c>
      <c r="B219" s="23">
        <f>'Pré Implantação'!B219</f>
        <v>0</v>
      </c>
      <c r="C219" s="31" t="str">
        <f>IF('Pré Implantação'!C219=0,"0",'Pré Implantação'!C219+10)</f>
        <v>0</v>
      </c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1"/>
    </row>
    <row r="220" spans="1:14" x14ac:dyDescent="0.3">
      <c r="A220" s="7">
        <f>'Pré Implantação'!A220</f>
        <v>0</v>
      </c>
      <c r="B220" s="23">
        <f>'Pré Implantação'!B220</f>
        <v>0</v>
      </c>
      <c r="C220" s="31" t="str">
        <f>IF('Pré Implantação'!C220=0,"0",'Pré Implantação'!C220+10)</f>
        <v>0</v>
      </c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1"/>
    </row>
    <row r="221" spans="1:14" x14ac:dyDescent="0.3">
      <c r="A221" s="7">
        <f>'Pré Implantação'!A221</f>
        <v>0</v>
      </c>
      <c r="B221" s="23">
        <f>'Pré Implantação'!B221</f>
        <v>0</v>
      </c>
      <c r="C221" s="31" t="str">
        <f>IF('Pré Implantação'!C221=0,"0",'Pré Implantação'!C221+10)</f>
        <v>0</v>
      </c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1"/>
    </row>
    <row r="222" spans="1:14" x14ac:dyDescent="0.3">
      <c r="A222" s="7">
        <f>'Pré Implantação'!A222</f>
        <v>0</v>
      </c>
      <c r="B222" s="23">
        <f>'Pré Implantação'!B222</f>
        <v>0</v>
      </c>
      <c r="C222" s="31" t="str">
        <f>IF('Pré Implantação'!C222=0,"0",'Pré Implantação'!C222+10)</f>
        <v>0</v>
      </c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1"/>
    </row>
    <row r="223" spans="1:14" x14ac:dyDescent="0.3">
      <c r="A223" s="7">
        <f>'Pré Implantação'!A223</f>
        <v>0</v>
      </c>
      <c r="B223" s="23">
        <f>'Pré Implantação'!B223</f>
        <v>0</v>
      </c>
      <c r="C223" s="31" t="str">
        <f>IF('Pré Implantação'!C223=0,"0",'Pré Implantação'!C223+10)</f>
        <v>0</v>
      </c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1"/>
    </row>
    <row r="224" spans="1:14" x14ac:dyDescent="0.3">
      <c r="A224" s="7">
        <f>'Pré Implantação'!A224</f>
        <v>0</v>
      </c>
      <c r="B224" s="23">
        <f>'Pré Implantação'!B224</f>
        <v>0</v>
      </c>
      <c r="C224" s="31" t="str">
        <f>IF('Pré Implantação'!C224=0,"0",'Pré Implantação'!C224+10)</f>
        <v>0</v>
      </c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1"/>
    </row>
    <row r="225" spans="1:14" x14ac:dyDescent="0.3">
      <c r="A225" s="7">
        <f>'Pré Implantação'!A225</f>
        <v>0</v>
      </c>
      <c r="B225" s="23">
        <f>'Pré Implantação'!B225</f>
        <v>0</v>
      </c>
      <c r="C225" s="31" t="str">
        <f>IF('Pré Implantação'!C225=0,"0",'Pré Implantação'!C225+10)</f>
        <v>0</v>
      </c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1"/>
    </row>
    <row r="226" spans="1:14" x14ac:dyDescent="0.3">
      <c r="A226" s="7">
        <f>'Pré Implantação'!A226</f>
        <v>0</v>
      </c>
      <c r="B226" s="23">
        <f>'Pré Implantação'!B226</f>
        <v>0</v>
      </c>
      <c r="C226" s="31" t="str">
        <f>IF('Pré Implantação'!C226=0,"0",'Pré Implantação'!C226+10)</f>
        <v>0</v>
      </c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1"/>
    </row>
    <row r="227" spans="1:14" x14ac:dyDescent="0.3">
      <c r="A227" s="7">
        <f>'Pré Implantação'!A227</f>
        <v>0</v>
      </c>
      <c r="B227" s="23">
        <f>'Pré Implantação'!B227</f>
        <v>0</v>
      </c>
      <c r="C227" s="31" t="str">
        <f>IF('Pré Implantação'!C227=0,"0",'Pré Implantação'!C227+10)</f>
        <v>0</v>
      </c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1"/>
    </row>
    <row r="228" spans="1:14" x14ac:dyDescent="0.3">
      <c r="A228" s="7">
        <f>'Pré Implantação'!A228</f>
        <v>0</v>
      </c>
      <c r="B228" s="23">
        <f>'Pré Implantação'!B228</f>
        <v>0</v>
      </c>
      <c r="C228" s="31" t="str">
        <f>IF('Pré Implantação'!C228=0,"0",'Pré Implantação'!C228+10)</f>
        <v>0</v>
      </c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1"/>
    </row>
    <row r="229" spans="1:14" x14ac:dyDescent="0.3">
      <c r="A229" s="7">
        <f>'Pré Implantação'!A229</f>
        <v>0</v>
      </c>
      <c r="B229" s="23">
        <f>'Pré Implantação'!B229</f>
        <v>0</v>
      </c>
      <c r="C229" s="31" t="str">
        <f>IF('Pré Implantação'!C229=0,"0",'Pré Implantação'!C229+10)</f>
        <v>0</v>
      </c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1"/>
    </row>
    <row r="230" spans="1:14" x14ac:dyDescent="0.3">
      <c r="A230" s="7">
        <f>'Pré Implantação'!A230</f>
        <v>0</v>
      </c>
      <c r="B230" s="23">
        <f>'Pré Implantação'!B230</f>
        <v>0</v>
      </c>
      <c r="C230" s="31" t="str">
        <f>IF('Pré Implantação'!C230=0,"0",'Pré Implantação'!C230+10)</f>
        <v>0</v>
      </c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1"/>
    </row>
    <row r="231" spans="1:14" x14ac:dyDescent="0.3">
      <c r="A231" s="7">
        <f>'Pré Implantação'!A231</f>
        <v>0</v>
      </c>
      <c r="B231" s="23">
        <f>'Pré Implantação'!B231</f>
        <v>0</v>
      </c>
      <c r="C231" s="31" t="str">
        <f>IF('Pré Implantação'!C231=0,"0",'Pré Implantação'!C231+10)</f>
        <v>0</v>
      </c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1"/>
    </row>
    <row r="232" spans="1:14" x14ac:dyDescent="0.3">
      <c r="A232" s="7">
        <f>'Pré Implantação'!A232</f>
        <v>0</v>
      </c>
      <c r="B232" s="23">
        <f>'Pré Implantação'!B232</f>
        <v>0</v>
      </c>
      <c r="C232" s="31" t="str">
        <f>IF('Pré Implantação'!C232=0,"0",'Pré Implantação'!C232+10)</f>
        <v>0</v>
      </c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1"/>
    </row>
    <row r="233" spans="1:14" x14ac:dyDescent="0.3">
      <c r="A233" s="7">
        <f>'Pré Implantação'!A233</f>
        <v>0</v>
      </c>
      <c r="B233" s="23">
        <f>'Pré Implantação'!B233</f>
        <v>0</v>
      </c>
      <c r="C233" s="31" t="str">
        <f>IF('Pré Implantação'!C233=0,"0",'Pré Implantação'!C233+10)</f>
        <v>0</v>
      </c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1"/>
    </row>
    <row r="234" spans="1:14" x14ac:dyDescent="0.3">
      <c r="A234" s="7">
        <f>'Pré Implantação'!A234</f>
        <v>0</v>
      </c>
      <c r="B234" s="23">
        <f>'Pré Implantação'!B234</f>
        <v>0</v>
      </c>
      <c r="C234" s="31" t="str">
        <f>IF('Pré Implantação'!C234=0,"0",'Pré Implantação'!C234+10)</f>
        <v>0</v>
      </c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1"/>
    </row>
    <row r="235" spans="1:14" x14ac:dyDescent="0.3">
      <c r="A235" s="7">
        <f>'Pré Implantação'!A235</f>
        <v>0</v>
      </c>
      <c r="B235" s="23">
        <f>'Pré Implantação'!B235</f>
        <v>0</v>
      </c>
      <c r="C235" s="31" t="str">
        <f>IF('Pré Implantação'!C235=0,"0",'Pré Implantação'!C235+10)</f>
        <v>0</v>
      </c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1"/>
    </row>
    <row r="236" spans="1:14" x14ac:dyDescent="0.3">
      <c r="A236" s="7">
        <f>'Pré Implantação'!A236</f>
        <v>0</v>
      </c>
      <c r="B236" s="23">
        <f>'Pré Implantação'!B236</f>
        <v>0</v>
      </c>
      <c r="C236" s="31" t="str">
        <f>IF('Pré Implantação'!C236=0,"0",'Pré Implantação'!C236+10)</f>
        <v>0</v>
      </c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1"/>
    </row>
    <row r="237" spans="1:14" x14ac:dyDescent="0.3">
      <c r="A237" s="7">
        <f>'Pré Implantação'!A237</f>
        <v>0</v>
      </c>
      <c r="B237" s="23">
        <f>'Pré Implantação'!B237</f>
        <v>0</v>
      </c>
      <c r="C237" s="31" t="str">
        <f>IF('Pré Implantação'!C237=0,"0",'Pré Implantação'!C237+10)</f>
        <v>0</v>
      </c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1"/>
    </row>
    <row r="238" spans="1:14" x14ac:dyDescent="0.3">
      <c r="A238" s="7">
        <f>'Pré Implantação'!A238</f>
        <v>0</v>
      </c>
      <c r="B238" s="23">
        <f>'Pré Implantação'!B238</f>
        <v>0</v>
      </c>
      <c r="C238" s="31" t="str">
        <f>IF('Pré Implantação'!C238=0,"0",'Pré Implantação'!C238+10)</f>
        <v>0</v>
      </c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1"/>
    </row>
    <row r="239" spans="1:14" x14ac:dyDescent="0.3">
      <c r="A239" s="7">
        <f>'Pré Implantação'!A239</f>
        <v>0</v>
      </c>
      <c r="B239" s="23">
        <f>'Pré Implantação'!B239</f>
        <v>0</v>
      </c>
      <c r="C239" s="31" t="str">
        <f>IF('Pré Implantação'!C239=0,"0",'Pré Implantação'!C239+10)</f>
        <v>0</v>
      </c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1"/>
    </row>
    <row r="240" spans="1:14" x14ac:dyDescent="0.3">
      <c r="A240" s="7">
        <f>'Pré Implantação'!A240</f>
        <v>0</v>
      </c>
      <c r="B240" s="23">
        <f>'Pré Implantação'!B240</f>
        <v>0</v>
      </c>
      <c r="C240" s="31" t="str">
        <f>IF('Pré Implantação'!C240=0,"0",'Pré Implantação'!C240+10)</f>
        <v>0</v>
      </c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1"/>
    </row>
    <row r="241" spans="1:14" x14ac:dyDescent="0.3">
      <c r="A241" s="7">
        <f>'Pré Implantação'!A241</f>
        <v>0</v>
      </c>
      <c r="B241" s="23">
        <f>'Pré Implantação'!B241</f>
        <v>0</v>
      </c>
      <c r="C241" s="31" t="str">
        <f>IF('Pré Implantação'!C241=0,"0",'Pré Implantação'!C241+10)</f>
        <v>0</v>
      </c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1"/>
    </row>
    <row r="242" spans="1:14" x14ac:dyDescent="0.3">
      <c r="A242" s="7">
        <f>'Pré Implantação'!A242</f>
        <v>0</v>
      </c>
      <c r="B242" s="23">
        <f>'Pré Implantação'!B242</f>
        <v>0</v>
      </c>
      <c r="C242" s="31" t="str">
        <f>IF('Pré Implantação'!C242=0,"0",'Pré Implantação'!C242+10)</f>
        <v>0</v>
      </c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1"/>
    </row>
    <row r="243" spans="1:14" x14ac:dyDescent="0.3">
      <c r="A243" s="7">
        <f>'Pré Implantação'!A243</f>
        <v>0</v>
      </c>
      <c r="B243" s="23">
        <f>'Pré Implantação'!B243</f>
        <v>0</v>
      </c>
      <c r="C243" s="31" t="str">
        <f>IF('Pré Implantação'!C243=0,"0",'Pré Implantação'!C243+10)</f>
        <v>0</v>
      </c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1"/>
    </row>
    <row r="244" spans="1:14" x14ac:dyDescent="0.3">
      <c r="A244" s="7">
        <f>'Pré Implantação'!A244</f>
        <v>0</v>
      </c>
      <c r="B244" s="23">
        <f>'Pré Implantação'!B244</f>
        <v>0</v>
      </c>
      <c r="C244" s="31" t="str">
        <f>IF('Pré Implantação'!C244=0,"0",'Pré Implantação'!C244+10)</f>
        <v>0</v>
      </c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1"/>
    </row>
    <row r="245" spans="1:14" x14ac:dyDescent="0.3">
      <c r="A245" s="7">
        <f>'Pré Implantação'!A245</f>
        <v>0</v>
      </c>
      <c r="B245" s="23">
        <f>'Pré Implantação'!B245</f>
        <v>0</v>
      </c>
      <c r="C245" s="31" t="str">
        <f>IF('Pré Implantação'!C245=0,"0",'Pré Implantação'!C245+10)</f>
        <v>0</v>
      </c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1"/>
    </row>
    <row r="246" spans="1:14" x14ac:dyDescent="0.3">
      <c r="A246" s="7">
        <f>'Pré Implantação'!A246</f>
        <v>0</v>
      </c>
      <c r="B246" s="23">
        <f>'Pré Implantação'!B246</f>
        <v>0</v>
      </c>
      <c r="C246" s="31" t="str">
        <f>IF('Pré Implantação'!C246=0,"0",'Pré Implantação'!C246+10)</f>
        <v>0</v>
      </c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1"/>
    </row>
    <row r="247" spans="1:14" x14ac:dyDescent="0.3">
      <c r="A247" s="7">
        <f>'Pré Implantação'!A247</f>
        <v>0</v>
      </c>
      <c r="B247" s="23">
        <f>'Pré Implantação'!B247</f>
        <v>0</v>
      </c>
      <c r="C247" s="31" t="str">
        <f>IF('Pré Implantação'!C247=0,"0",'Pré Implantação'!C247+10)</f>
        <v>0</v>
      </c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1"/>
    </row>
    <row r="248" spans="1:14" x14ac:dyDescent="0.3">
      <c r="A248" s="7">
        <f>'Pré Implantação'!A248</f>
        <v>0</v>
      </c>
      <c r="B248" s="23">
        <f>'Pré Implantação'!B248</f>
        <v>0</v>
      </c>
      <c r="C248" s="31" t="str">
        <f>IF('Pré Implantação'!C248=0,"0",'Pré Implantação'!C248+10)</f>
        <v>0</v>
      </c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1"/>
    </row>
    <row r="249" spans="1:14" x14ac:dyDescent="0.3">
      <c r="A249" s="7">
        <f>'Pré Implantação'!A249</f>
        <v>0</v>
      </c>
      <c r="B249" s="23">
        <f>'Pré Implantação'!B249</f>
        <v>0</v>
      </c>
      <c r="C249" s="31" t="str">
        <f>IF('Pré Implantação'!C249=0,"0",'Pré Implantação'!C249+10)</f>
        <v>0</v>
      </c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1"/>
    </row>
    <row r="250" spans="1:14" x14ac:dyDescent="0.3">
      <c r="A250" s="7">
        <f>'Pré Implantação'!A250</f>
        <v>0</v>
      </c>
      <c r="B250" s="23">
        <f>'Pré Implantação'!B250</f>
        <v>0</v>
      </c>
      <c r="C250" s="31" t="str">
        <f>IF('Pré Implantação'!C250=0,"0",'Pré Implantação'!C250+10)</f>
        <v>0</v>
      </c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1"/>
    </row>
    <row r="251" spans="1:14" x14ac:dyDescent="0.3">
      <c r="A251" s="7">
        <f>'Pré Implantação'!A251</f>
        <v>0</v>
      </c>
      <c r="B251" s="23">
        <f>'Pré Implantação'!B251</f>
        <v>0</v>
      </c>
      <c r="C251" s="31" t="str">
        <f>IF('Pré Implantação'!C251=0,"0",'Pré Implantação'!C251+10)</f>
        <v>0</v>
      </c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1"/>
    </row>
    <row r="252" spans="1:14" x14ac:dyDescent="0.3">
      <c r="A252" s="7">
        <f>'Pré Implantação'!A252</f>
        <v>0</v>
      </c>
      <c r="B252" s="23">
        <f>'Pré Implantação'!B252</f>
        <v>0</v>
      </c>
      <c r="C252" s="31" t="str">
        <f>IF('Pré Implantação'!C252=0,"0",'Pré Implantação'!C252+10)</f>
        <v>0</v>
      </c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1"/>
    </row>
    <row r="253" spans="1:14" x14ac:dyDescent="0.3">
      <c r="A253" s="7">
        <f>'Pré Implantação'!A253</f>
        <v>0</v>
      </c>
      <c r="B253" s="23">
        <f>'Pré Implantação'!B253</f>
        <v>0</v>
      </c>
      <c r="C253" s="31" t="str">
        <f>IF('Pré Implantação'!C253=0,"0",'Pré Implantação'!C253+10)</f>
        <v>0</v>
      </c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1"/>
    </row>
    <row r="254" spans="1:14" x14ac:dyDescent="0.3">
      <c r="A254" s="7">
        <f>'Pré Implantação'!A254</f>
        <v>0</v>
      </c>
      <c r="B254" s="23">
        <f>'Pré Implantação'!B254</f>
        <v>0</v>
      </c>
      <c r="C254" s="31" t="str">
        <f>IF('Pré Implantação'!C254=0,"0",'Pré Implantação'!C254+10)</f>
        <v>0</v>
      </c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1"/>
    </row>
    <row r="255" spans="1:14" x14ac:dyDescent="0.3">
      <c r="A255" s="7">
        <f>'Pré Implantação'!A255</f>
        <v>0</v>
      </c>
      <c r="B255" s="23">
        <f>'Pré Implantação'!B255</f>
        <v>0</v>
      </c>
      <c r="C255" s="31" t="str">
        <f>IF('Pré Implantação'!C255=0,"0",'Pré Implantação'!C255+10)</f>
        <v>0</v>
      </c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1"/>
    </row>
    <row r="256" spans="1:14" x14ac:dyDescent="0.3">
      <c r="A256" s="7">
        <f>'Pré Implantação'!A256</f>
        <v>0</v>
      </c>
      <c r="B256" s="23">
        <f>'Pré Implantação'!B256</f>
        <v>0</v>
      </c>
      <c r="C256" s="31" t="str">
        <f>IF('Pré Implantação'!C256=0,"0",'Pré Implantação'!C256+10)</f>
        <v>0</v>
      </c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1"/>
    </row>
    <row r="257" spans="1:14" x14ac:dyDescent="0.3">
      <c r="A257" s="7">
        <f>'Pré Implantação'!A257</f>
        <v>0</v>
      </c>
      <c r="B257" s="23">
        <f>'Pré Implantação'!B257</f>
        <v>0</v>
      </c>
      <c r="C257" s="31" t="str">
        <f>IF('Pré Implantação'!C257=0,"0",'Pré Implantação'!C257+10)</f>
        <v>0</v>
      </c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1"/>
    </row>
    <row r="258" spans="1:14" x14ac:dyDescent="0.3">
      <c r="A258" s="7">
        <f>'Pré Implantação'!A258</f>
        <v>0</v>
      </c>
      <c r="B258" s="23">
        <f>'Pré Implantação'!B258</f>
        <v>0</v>
      </c>
      <c r="C258" s="31" t="str">
        <f>IF('Pré Implantação'!C258=0,"0",'Pré Implantação'!C258+10)</f>
        <v>0</v>
      </c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1"/>
    </row>
    <row r="259" spans="1:14" x14ac:dyDescent="0.3">
      <c r="A259" s="7">
        <f>'Pré Implantação'!A259</f>
        <v>0</v>
      </c>
      <c r="B259" s="23">
        <f>'Pré Implantação'!B259</f>
        <v>0</v>
      </c>
      <c r="C259" s="31" t="str">
        <f>IF('Pré Implantação'!C259=0,"0",'Pré Implantação'!C259+10)</f>
        <v>0</v>
      </c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1"/>
    </row>
    <row r="260" spans="1:14" x14ac:dyDescent="0.3">
      <c r="A260" s="7">
        <f>'Pré Implantação'!A260</f>
        <v>0</v>
      </c>
      <c r="B260" s="23">
        <f>'Pré Implantação'!B260</f>
        <v>0</v>
      </c>
      <c r="C260" s="31" t="str">
        <f>IF('Pré Implantação'!C260=0,"0",'Pré Implantação'!C260+10)</f>
        <v>0</v>
      </c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1"/>
    </row>
    <row r="261" spans="1:14" x14ac:dyDescent="0.3">
      <c r="A261" s="7">
        <f>'Pré Implantação'!A261</f>
        <v>0</v>
      </c>
      <c r="B261" s="23">
        <f>'Pré Implantação'!B261</f>
        <v>0</v>
      </c>
      <c r="C261" s="31" t="str">
        <f>IF('Pré Implantação'!C261=0,"0",'Pré Implantação'!C261+10)</f>
        <v>0</v>
      </c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1"/>
    </row>
    <row r="262" spans="1:14" x14ac:dyDescent="0.3">
      <c r="A262" s="7">
        <f>'Pré Implantação'!A262</f>
        <v>0</v>
      </c>
      <c r="B262" s="23">
        <f>'Pré Implantação'!B262</f>
        <v>0</v>
      </c>
      <c r="C262" s="31" t="str">
        <f>IF('Pré Implantação'!C262=0,"0",'Pré Implantação'!C262+10)</f>
        <v>0</v>
      </c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1"/>
    </row>
    <row r="263" spans="1:14" x14ac:dyDescent="0.3">
      <c r="A263" s="7">
        <f>'Pré Implantação'!A263</f>
        <v>0</v>
      </c>
      <c r="B263" s="23">
        <f>'Pré Implantação'!B263</f>
        <v>0</v>
      </c>
      <c r="C263" s="31" t="str">
        <f>IF('Pré Implantação'!C263=0,"0",'Pré Implantação'!C263+10)</f>
        <v>0</v>
      </c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1"/>
    </row>
    <row r="264" spans="1:14" x14ac:dyDescent="0.3">
      <c r="A264" s="7">
        <f>'Pré Implantação'!A264</f>
        <v>0</v>
      </c>
      <c r="B264" s="23">
        <f>'Pré Implantação'!B264</f>
        <v>0</v>
      </c>
      <c r="C264" s="31" t="str">
        <f>IF('Pré Implantação'!C264=0,"0",'Pré Implantação'!C264+10)</f>
        <v>0</v>
      </c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1"/>
    </row>
    <row r="265" spans="1:14" x14ac:dyDescent="0.3">
      <c r="A265" s="7">
        <f>'Pré Implantação'!A265</f>
        <v>0</v>
      </c>
      <c r="B265" s="23">
        <f>'Pré Implantação'!B265</f>
        <v>0</v>
      </c>
      <c r="C265" s="31" t="str">
        <f>IF('Pré Implantação'!C265=0,"0",'Pré Implantação'!C265+10)</f>
        <v>0</v>
      </c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1"/>
    </row>
    <row r="266" spans="1:14" x14ac:dyDescent="0.3">
      <c r="A266" s="7">
        <f>'Pré Implantação'!A266</f>
        <v>0</v>
      </c>
      <c r="B266" s="23">
        <f>'Pré Implantação'!B266</f>
        <v>0</v>
      </c>
      <c r="C266" s="31" t="str">
        <f>IF('Pré Implantação'!C266=0,"0",'Pré Implantação'!C266+10)</f>
        <v>0</v>
      </c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1"/>
    </row>
    <row r="267" spans="1:14" x14ac:dyDescent="0.3">
      <c r="A267" s="7">
        <f>'Pré Implantação'!A267</f>
        <v>0</v>
      </c>
      <c r="B267" s="23">
        <f>'Pré Implantação'!B267</f>
        <v>0</v>
      </c>
      <c r="C267" s="31" t="str">
        <f>IF('Pré Implantação'!C267=0,"0",'Pré Implantação'!C267+10)</f>
        <v>0</v>
      </c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1"/>
    </row>
    <row r="268" spans="1:14" x14ac:dyDescent="0.3">
      <c r="A268" s="7">
        <f>'Pré Implantação'!A268</f>
        <v>0</v>
      </c>
      <c r="B268" s="23">
        <f>'Pré Implantação'!B268</f>
        <v>0</v>
      </c>
      <c r="C268" s="31" t="str">
        <f>IF('Pré Implantação'!C268=0,"0",'Pré Implantação'!C268+10)</f>
        <v>0</v>
      </c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1"/>
    </row>
    <row r="269" spans="1:14" x14ac:dyDescent="0.3">
      <c r="A269" s="7">
        <f>'Pré Implantação'!A269</f>
        <v>0</v>
      </c>
      <c r="B269" s="23">
        <f>'Pré Implantação'!B269</f>
        <v>0</v>
      </c>
      <c r="C269" s="31" t="str">
        <f>IF('Pré Implantação'!C269=0,"0",'Pré Implantação'!C269+10)</f>
        <v>0</v>
      </c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1"/>
    </row>
    <row r="270" spans="1:14" x14ac:dyDescent="0.3">
      <c r="A270" s="7">
        <f>'Pré Implantação'!A270</f>
        <v>0</v>
      </c>
      <c r="B270" s="23">
        <f>'Pré Implantação'!B270</f>
        <v>0</v>
      </c>
      <c r="C270" s="31" t="str">
        <f>IF('Pré Implantação'!C270=0,"0",'Pré Implantação'!C270+10)</f>
        <v>0</v>
      </c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1"/>
    </row>
    <row r="271" spans="1:14" x14ac:dyDescent="0.3">
      <c r="A271" s="7">
        <f>'Pré Implantação'!A271</f>
        <v>0</v>
      </c>
      <c r="B271" s="23">
        <f>'Pré Implantação'!B271</f>
        <v>0</v>
      </c>
      <c r="C271" s="31" t="str">
        <f>IF('Pré Implantação'!C271=0,"0",'Pré Implantação'!C271+10)</f>
        <v>0</v>
      </c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1"/>
    </row>
    <row r="272" spans="1:14" x14ac:dyDescent="0.3">
      <c r="A272" s="7">
        <f>'Pré Implantação'!A272</f>
        <v>0</v>
      </c>
      <c r="B272" s="23">
        <f>'Pré Implantação'!B272</f>
        <v>0</v>
      </c>
      <c r="C272" s="31" t="str">
        <f>IF('Pré Implantação'!C272=0,"0",'Pré Implantação'!C272+10)</f>
        <v>0</v>
      </c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1"/>
    </row>
    <row r="273" spans="1:14" x14ac:dyDescent="0.3">
      <c r="A273" s="7">
        <f>'Pré Implantação'!A273</f>
        <v>0</v>
      </c>
      <c r="B273" s="23">
        <f>'Pré Implantação'!B273</f>
        <v>0</v>
      </c>
      <c r="C273" s="31" t="str">
        <f>IF('Pré Implantação'!C273=0,"0",'Pré Implantação'!C273+10)</f>
        <v>0</v>
      </c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1"/>
    </row>
    <row r="274" spans="1:14" x14ac:dyDescent="0.3">
      <c r="A274" s="7">
        <f>'Pré Implantação'!A274</f>
        <v>0</v>
      </c>
      <c r="B274" s="23">
        <f>'Pré Implantação'!B274</f>
        <v>0</v>
      </c>
      <c r="C274" s="31" t="str">
        <f>IF('Pré Implantação'!C274=0,"0",'Pré Implantação'!C274+10)</f>
        <v>0</v>
      </c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1"/>
    </row>
    <row r="275" spans="1:14" x14ac:dyDescent="0.3">
      <c r="A275" s="7">
        <f>'Pré Implantação'!A275</f>
        <v>0</v>
      </c>
      <c r="B275" s="23">
        <f>'Pré Implantação'!B275</f>
        <v>0</v>
      </c>
      <c r="C275" s="31" t="str">
        <f>IF('Pré Implantação'!C275=0,"0",'Pré Implantação'!C275+10)</f>
        <v>0</v>
      </c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1"/>
    </row>
    <row r="276" spans="1:14" x14ac:dyDescent="0.3">
      <c r="A276" s="7">
        <f>'Pré Implantação'!A276</f>
        <v>0</v>
      </c>
      <c r="B276" s="23">
        <f>'Pré Implantação'!B276</f>
        <v>0</v>
      </c>
      <c r="C276" s="31" t="str">
        <f>IF('Pré Implantação'!C276=0,"0",'Pré Implantação'!C276+10)</f>
        <v>0</v>
      </c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1"/>
    </row>
    <row r="277" spans="1:14" x14ac:dyDescent="0.3">
      <c r="A277" s="7">
        <f>'Pré Implantação'!A277</f>
        <v>0</v>
      </c>
      <c r="B277" s="23">
        <f>'Pré Implantação'!B277</f>
        <v>0</v>
      </c>
      <c r="C277" s="31" t="str">
        <f>IF('Pré Implantação'!C277=0,"0",'Pré Implantação'!C277+10)</f>
        <v>0</v>
      </c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1"/>
    </row>
    <row r="278" spans="1:14" x14ac:dyDescent="0.3">
      <c r="A278" s="7">
        <f>'Pré Implantação'!A278</f>
        <v>0</v>
      </c>
      <c r="B278" s="23">
        <f>'Pré Implantação'!B278</f>
        <v>0</v>
      </c>
      <c r="C278" s="31" t="str">
        <f>IF('Pré Implantação'!C278=0,"0",'Pré Implantação'!C278+10)</f>
        <v>0</v>
      </c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1"/>
    </row>
    <row r="279" spans="1:14" x14ac:dyDescent="0.3">
      <c r="A279" s="7">
        <f>'Pré Implantação'!A279</f>
        <v>0</v>
      </c>
      <c r="B279" s="23">
        <f>'Pré Implantação'!B279</f>
        <v>0</v>
      </c>
      <c r="C279" s="31" t="str">
        <f>IF('Pré Implantação'!C279=0,"0",'Pré Implantação'!C279+10)</f>
        <v>0</v>
      </c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1"/>
    </row>
    <row r="280" spans="1:14" x14ac:dyDescent="0.3">
      <c r="A280" s="7">
        <f>'Pré Implantação'!A280</f>
        <v>0</v>
      </c>
      <c r="B280" s="23">
        <f>'Pré Implantação'!B280</f>
        <v>0</v>
      </c>
      <c r="C280" s="31" t="str">
        <f>IF('Pré Implantação'!C280=0,"0",'Pré Implantação'!C280+10)</f>
        <v>0</v>
      </c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1"/>
    </row>
    <row r="281" spans="1:14" x14ac:dyDescent="0.3">
      <c r="A281" s="7">
        <f>'Pré Implantação'!A281</f>
        <v>0</v>
      </c>
      <c r="B281" s="23">
        <f>'Pré Implantação'!B281</f>
        <v>0</v>
      </c>
      <c r="C281" s="31" t="str">
        <f>IF('Pré Implantação'!C281=0,"0",'Pré Implantação'!C281+10)</f>
        <v>0</v>
      </c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1"/>
    </row>
    <row r="282" spans="1:14" x14ac:dyDescent="0.3">
      <c r="A282" s="7">
        <f>'Pré Implantação'!A282</f>
        <v>0</v>
      </c>
      <c r="B282" s="23">
        <f>'Pré Implantação'!B282</f>
        <v>0</v>
      </c>
      <c r="C282" s="31" t="str">
        <f>IF('Pré Implantação'!C282=0,"0",'Pré Implantação'!C282+10)</f>
        <v>0</v>
      </c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1"/>
    </row>
    <row r="283" spans="1:14" x14ac:dyDescent="0.3">
      <c r="A283" s="7">
        <f>'Pré Implantação'!A283</f>
        <v>0</v>
      </c>
      <c r="B283" s="23">
        <f>'Pré Implantação'!B283</f>
        <v>0</v>
      </c>
      <c r="C283" s="31" t="str">
        <f>IF('Pré Implantação'!C283=0,"0",'Pré Implantação'!C283+10)</f>
        <v>0</v>
      </c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1"/>
    </row>
    <row r="284" spans="1:14" x14ac:dyDescent="0.3">
      <c r="A284" s="7">
        <f>'Pré Implantação'!A284</f>
        <v>0</v>
      </c>
      <c r="B284" s="23">
        <f>'Pré Implantação'!B284</f>
        <v>0</v>
      </c>
      <c r="C284" s="31" t="str">
        <f>IF('Pré Implantação'!C284=0,"0",'Pré Implantação'!C284+10)</f>
        <v>0</v>
      </c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1"/>
    </row>
    <row r="285" spans="1:14" x14ac:dyDescent="0.3">
      <c r="A285" s="7">
        <f>'Pré Implantação'!A285</f>
        <v>0</v>
      </c>
      <c r="B285" s="23">
        <f>'Pré Implantação'!B285</f>
        <v>0</v>
      </c>
      <c r="C285" s="31" t="str">
        <f>IF('Pré Implantação'!C285=0,"0",'Pré Implantação'!C285+10)</f>
        <v>0</v>
      </c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1"/>
    </row>
    <row r="286" spans="1:14" x14ac:dyDescent="0.3">
      <c r="A286" s="7">
        <f>'Pré Implantação'!A286</f>
        <v>0</v>
      </c>
      <c r="B286" s="23">
        <f>'Pré Implantação'!B286</f>
        <v>0</v>
      </c>
      <c r="C286" s="31" t="str">
        <f>IF('Pré Implantação'!C286=0,"0",'Pré Implantação'!C286+10)</f>
        <v>0</v>
      </c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1"/>
    </row>
    <row r="287" spans="1:14" x14ac:dyDescent="0.3">
      <c r="A287" s="7">
        <f>'Pré Implantação'!A287</f>
        <v>0</v>
      </c>
      <c r="B287" s="23">
        <f>'Pré Implantação'!B287</f>
        <v>0</v>
      </c>
      <c r="C287" s="31" t="str">
        <f>IF('Pré Implantação'!C287=0,"0",'Pré Implantação'!C287+10)</f>
        <v>0</v>
      </c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1"/>
    </row>
    <row r="288" spans="1:14" x14ac:dyDescent="0.3">
      <c r="A288" s="7">
        <f>'Pré Implantação'!A288</f>
        <v>0</v>
      </c>
      <c r="B288" s="23">
        <f>'Pré Implantação'!B288</f>
        <v>0</v>
      </c>
      <c r="C288" s="31" t="str">
        <f>IF('Pré Implantação'!C288=0,"0",'Pré Implantação'!C288+10)</f>
        <v>0</v>
      </c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1"/>
    </row>
    <row r="289" spans="1:14" x14ac:dyDescent="0.3">
      <c r="A289" s="7">
        <f>'Pré Implantação'!A289</f>
        <v>0</v>
      </c>
      <c r="B289" s="23">
        <f>'Pré Implantação'!B289</f>
        <v>0</v>
      </c>
      <c r="C289" s="31" t="str">
        <f>IF('Pré Implantação'!C289=0,"0",'Pré Implantação'!C289+10)</f>
        <v>0</v>
      </c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1"/>
    </row>
    <row r="290" spans="1:14" x14ac:dyDescent="0.3">
      <c r="A290" s="7">
        <f>'Pré Implantação'!A290</f>
        <v>0</v>
      </c>
      <c r="B290" s="23">
        <f>'Pré Implantação'!B290</f>
        <v>0</v>
      </c>
      <c r="C290" s="31" t="str">
        <f>IF('Pré Implantação'!C290=0,"0",'Pré Implantação'!C290+10)</f>
        <v>0</v>
      </c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1"/>
    </row>
    <row r="291" spans="1:14" x14ac:dyDescent="0.3">
      <c r="A291" s="7">
        <f>'Pré Implantação'!A291</f>
        <v>0</v>
      </c>
      <c r="B291" s="23">
        <f>'Pré Implantação'!B291</f>
        <v>0</v>
      </c>
      <c r="C291" s="31" t="str">
        <f>IF('Pré Implantação'!C291=0,"0",'Pré Implantação'!C291+10)</f>
        <v>0</v>
      </c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1"/>
    </row>
    <row r="292" spans="1:14" x14ac:dyDescent="0.3">
      <c r="A292" s="7">
        <f>'Pré Implantação'!A292</f>
        <v>0</v>
      </c>
      <c r="B292" s="23">
        <f>'Pré Implantação'!B292</f>
        <v>0</v>
      </c>
      <c r="C292" s="31" t="str">
        <f>IF('Pré Implantação'!C292=0,"0",'Pré Implantação'!C292+10)</f>
        <v>0</v>
      </c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1"/>
    </row>
    <row r="293" spans="1:14" x14ac:dyDescent="0.3">
      <c r="A293" s="7">
        <f>'Pré Implantação'!A293</f>
        <v>0</v>
      </c>
      <c r="B293" s="23">
        <f>'Pré Implantação'!B293</f>
        <v>0</v>
      </c>
      <c r="C293" s="31" t="str">
        <f>IF('Pré Implantação'!C293=0,"0",'Pré Implantação'!C293+10)</f>
        <v>0</v>
      </c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1"/>
    </row>
    <row r="294" spans="1:14" x14ac:dyDescent="0.3">
      <c r="A294" s="7">
        <f>'Pré Implantação'!A294</f>
        <v>0</v>
      </c>
      <c r="B294" s="23">
        <f>'Pré Implantação'!B294</f>
        <v>0</v>
      </c>
      <c r="C294" s="31" t="str">
        <f>IF('Pré Implantação'!C294=0,"0",'Pré Implantação'!C294+10)</f>
        <v>0</v>
      </c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1"/>
    </row>
    <row r="295" spans="1:14" x14ac:dyDescent="0.3">
      <c r="A295" s="7">
        <f>'Pré Implantação'!A295</f>
        <v>0</v>
      </c>
      <c r="B295" s="23">
        <f>'Pré Implantação'!B295</f>
        <v>0</v>
      </c>
      <c r="C295" s="31" t="str">
        <f>IF('Pré Implantação'!C295=0,"0",'Pré Implantação'!C295+10)</f>
        <v>0</v>
      </c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1"/>
    </row>
    <row r="296" spans="1:14" x14ac:dyDescent="0.3">
      <c r="A296" s="7">
        <f>'Pré Implantação'!A296</f>
        <v>0</v>
      </c>
      <c r="B296" s="23">
        <f>'Pré Implantação'!B296</f>
        <v>0</v>
      </c>
      <c r="C296" s="31" t="str">
        <f>IF('Pré Implantação'!C296=0,"0",'Pré Implantação'!C296+10)</f>
        <v>0</v>
      </c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1"/>
    </row>
    <row r="297" spans="1:14" x14ac:dyDescent="0.3">
      <c r="A297" s="7">
        <f>'Pré Implantação'!A297</f>
        <v>0</v>
      </c>
      <c r="B297" s="23">
        <f>'Pré Implantação'!B297</f>
        <v>0</v>
      </c>
      <c r="C297" s="31" t="str">
        <f>IF('Pré Implantação'!C297=0,"0",'Pré Implantação'!C297+10)</f>
        <v>0</v>
      </c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1"/>
    </row>
    <row r="298" spans="1:14" x14ac:dyDescent="0.3">
      <c r="A298" s="7">
        <f>'Pré Implantação'!A298</f>
        <v>0</v>
      </c>
      <c r="B298" s="23">
        <f>'Pré Implantação'!B298</f>
        <v>0</v>
      </c>
      <c r="C298" s="31" t="str">
        <f>IF('Pré Implantação'!C298=0,"0",'Pré Implantação'!C298+10)</f>
        <v>0</v>
      </c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1"/>
    </row>
    <row r="299" spans="1:14" x14ac:dyDescent="0.3">
      <c r="A299" s="7">
        <f>'Pré Implantação'!A299</f>
        <v>0</v>
      </c>
      <c r="B299" s="23">
        <f>'Pré Implantação'!B299</f>
        <v>0</v>
      </c>
      <c r="C299" s="31" t="str">
        <f>IF('Pré Implantação'!C299=0,"0",'Pré Implantação'!C299+10)</f>
        <v>0</v>
      </c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1"/>
    </row>
    <row r="300" spans="1:14" x14ac:dyDescent="0.3">
      <c r="A300" s="7">
        <f>'Pré Implantação'!A300</f>
        <v>0</v>
      </c>
      <c r="B300" s="23">
        <f>'Pré Implantação'!B300</f>
        <v>0</v>
      </c>
      <c r="C300" s="31" t="str">
        <f>IF('Pré Implantação'!C300=0,"0",'Pré Implantação'!C300+10)</f>
        <v>0</v>
      </c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1"/>
    </row>
    <row r="301" spans="1:14" x14ac:dyDescent="0.3">
      <c r="A301" s="7">
        <f>'Pré Implantação'!A301</f>
        <v>0</v>
      </c>
      <c r="B301" s="23">
        <f>'Pré Implantação'!B301</f>
        <v>0</v>
      </c>
      <c r="C301" s="31" t="str">
        <f>IF('Pré Implantação'!C301=0,"0",'Pré Implantação'!C301+10)</f>
        <v>0</v>
      </c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1"/>
    </row>
    <row r="302" spans="1:14" x14ac:dyDescent="0.3">
      <c r="A302" s="7">
        <f>'Pré Implantação'!A302</f>
        <v>0</v>
      </c>
      <c r="B302" s="23">
        <f>'Pré Implantação'!B302</f>
        <v>0</v>
      </c>
      <c r="C302" s="31" t="str">
        <f>IF('Pré Implantação'!C302=0,"0",'Pré Implantação'!C302+10)</f>
        <v>0</v>
      </c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1"/>
    </row>
    <row r="303" spans="1:14" x14ac:dyDescent="0.3">
      <c r="A303" s="7">
        <f>'Pré Implantação'!A303</f>
        <v>0</v>
      </c>
      <c r="B303" s="23">
        <f>'Pré Implantação'!B303</f>
        <v>0</v>
      </c>
      <c r="C303" s="31" t="str">
        <f>IF('Pré Implantação'!C303=0,"0",'Pré Implantação'!C303+10)</f>
        <v>0</v>
      </c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1"/>
    </row>
    <row r="304" spans="1:14" x14ac:dyDescent="0.3">
      <c r="A304" s="7">
        <f>'Pré Implantação'!A304</f>
        <v>0</v>
      </c>
      <c r="B304" s="23">
        <f>'Pré Implantação'!B304</f>
        <v>0</v>
      </c>
      <c r="C304" s="31" t="str">
        <f>IF('Pré Implantação'!C304=0,"0",'Pré Implantação'!C304+10)</f>
        <v>0</v>
      </c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1"/>
    </row>
    <row r="305" spans="1:14" x14ac:dyDescent="0.3">
      <c r="A305" s="7">
        <f>'Pré Implantação'!A305</f>
        <v>0</v>
      </c>
      <c r="B305" s="23">
        <f>'Pré Implantação'!B305</f>
        <v>0</v>
      </c>
      <c r="C305" s="31" t="str">
        <f>IF('Pré Implantação'!C305=0,"0",'Pré Implantação'!C305+10)</f>
        <v>0</v>
      </c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1"/>
    </row>
    <row r="306" spans="1:14" x14ac:dyDescent="0.3">
      <c r="A306" s="7">
        <f>'Pré Implantação'!A306</f>
        <v>0</v>
      </c>
      <c r="B306" s="23">
        <f>'Pré Implantação'!B306</f>
        <v>0</v>
      </c>
      <c r="C306" s="31" t="str">
        <f>IF('Pré Implantação'!C306=0,"0",'Pré Implantação'!C306+10)</f>
        <v>0</v>
      </c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1"/>
    </row>
    <row r="307" spans="1:14" x14ac:dyDescent="0.3">
      <c r="A307" s="7">
        <f>'Pré Implantação'!A307</f>
        <v>0</v>
      </c>
      <c r="B307" s="23">
        <f>'Pré Implantação'!B307</f>
        <v>0</v>
      </c>
      <c r="C307" s="31" t="str">
        <f>IF('Pré Implantação'!C307=0,"0",'Pré Implantação'!C307+10)</f>
        <v>0</v>
      </c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1"/>
    </row>
    <row r="308" spans="1:14" x14ac:dyDescent="0.3">
      <c r="A308" s="7">
        <f>'Pré Implantação'!A308</f>
        <v>0</v>
      </c>
      <c r="B308" s="23">
        <f>'Pré Implantação'!B308</f>
        <v>0</v>
      </c>
      <c r="C308" s="31" t="str">
        <f>IF('Pré Implantação'!C308=0,"0",'Pré Implantação'!C308+10)</f>
        <v>0</v>
      </c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1"/>
    </row>
    <row r="309" spans="1:14" x14ac:dyDescent="0.3">
      <c r="A309" s="7">
        <f>'Pré Implantação'!A309</f>
        <v>0</v>
      </c>
      <c r="B309" s="23">
        <f>'Pré Implantação'!B309</f>
        <v>0</v>
      </c>
      <c r="C309" s="31" t="str">
        <f>IF('Pré Implantação'!C309=0,"0",'Pré Implantação'!C309+10)</f>
        <v>0</v>
      </c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1"/>
    </row>
    <row r="310" spans="1:14" x14ac:dyDescent="0.3">
      <c r="A310" s="7">
        <f>'Pré Implantação'!A310</f>
        <v>0</v>
      </c>
      <c r="B310" s="23">
        <f>'Pré Implantação'!B310</f>
        <v>0</v>
      </c>
      <c r="C310" s="31" t="str">
        <f>IF('Pré Implantação'!C310=0,"0",'Pré Implantação'!C310+10)</f>
        <v>0</v>
      </c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1"/>
    </row>
    <row r="311" spans="1:14" x14ac:dyDescent="0.3">
      <c r="A311" s="7">
        <f>'Pré Implantação'!A311</f>
        <v>0</v>
      </c>
      <c r="B311" s="23">
        <f>'Pré Implantação'!B311</f>
        <v>0</v>
      </c>
      <c r="C311" s="31" t="str">
        <f>IF('Pré Implantação'!C311=0,"0",'Pré Implantação'!C311+10)</f>
        <v>0</v>
      </c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1"/>
    </row>
    <row r="312" spans="1:14" x14ac:dyDescent="0.3">
      <c r="A312" s="7">
        <f>'Pré Implantação'!A312</f>
        <v>0</v>
      </c>
      <c r="B312" s="23">
        <f>'Pré Implantação'!B312</f>
        <v>0</v>
      </c>
      <c r="C312" s="31" t="str">
        <f>IF('Pré Implantação'!C312=0,"0",'Pré Implantação'!C312+10)</f>
        <v>0</v>
      </c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1"/>
    </row>
    <row r="313" spans="1:14" x14ac:dyDescent="0.3">
      <c r="A313" s="7">
        <f>'Pré Implantação'!A313</f>
        <v>0</v>
      </c>
      <c r="B313" s="23">
        <f>'Pré Implantação'!B313</f>
        <v>0</v>
      </c>
      <c r="C313" s="31" t="str">
        <f>IF('Pré Implantação'!C313=0,"0",'Pré Implantação'!C313+10)</f>
        <v>0</v>
      </c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1"/>
    </row>
    <row r="314" spans="1:14" x14ac:dyDescent="0.3">
      <c r="A314" s="7">
        <f>'Pré Implantação'!A314</f>
        <v>0</v>
      </c>
      <c r="B314" s="23">
        <f>'Pré Implantação'!B314</f>
        <v>0</v>
      </c>
      <c r="C314" s="31" t="str">
        <f>IF('Pré Implantação'!C314=0,"0",'Pré Implantação'!C314+10)</f>
        <v>0</v>
      </c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1"/>
    </row>
    <row r="315" spans="1:14" x14ac:dyDescent="0.3">
      <c r="A315" s="7">
        <f>'Pré Implantação'!A315</f>
        <v>0</v>
      </c>
      <c r="B315" s="23">
        <f>'Pré Implantação'!B315</f>
        <v>0</v>
      </c>
      <c r="C315" s="31" t="str">
        <f>IF('Pré Implantação'!C315=0,"0",'Pré Implantação'!C315+10)</f>
        <v>0</v>
      </c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1"/>
    </row>
    <row r="316" spans="1:14" x14ac:dyDescent="0.3">
      <c r="A316" s="7">
        <f>'Pré Implantação'!A316</f>
        <v>0</v>
      </c>
      <c r="B316" s="23">
        <f>'Pré Implantação'!B316</f>
        <v>0</v>
      </c>
      <c r="C316" s="31" t="str">
        <f>IF('Pré Implantação'!C316=0,"0",'Pré Implantação'!C316+10)</f>
        <v>0</v>
      </c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1"/>
    </row>
    <row r="317" spans="1:14" x14ac:dyDescent="0.3">
      <c r="A317" s="7">
        <f>'Pré Implantação'!A317</f>
        <v>0</v>
      </c>
      <c r="B317" s="23">
        <f>'Pré Implantação'!B317</f>
        <v>0</v>
      </c>
      <c r="C317" s="31" t="str">
        <f>IF('Pré Implantação'!C317=0,"0",'Pré Implantação'!C317+10)</f>
        <v>0</v>
      </c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1"/>
    </row>
    <row r="318" spans="1:14" x14ac:dyDescent="0.3">
      <c r="A318" s="7">
        <f>'Pré Implantação'!A318</f>
        <v>0</v>
      </c>
      <c r="B318" s="23">
        <f>'Pré Implantação'!B318</f>
        <v>0</v>
      </c>
      <c r="C318" s="31" t="str">
        <f>IF('Pré Implantação'!C318=0,"0",'Pré Implantação'!C318+10)</f>
        <v>0</v>
      </c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1"/>
    </row>
    <row r="319" spans="1:14" x14ac:dyDescent="0.3">
      <c r="A319" s="7">
        <f>'Pré Implantação'!A319</f>
        <v>0</v>
      </c>
      <c r="B319" s="23">
        <f>'Pré Implantação'!B319</f>
        <v>0</v>
      </c>
      <c r="C319" s="31" t="str">
        <f>IF('Pré Implantação'!C319=0,"0",'Pré Implantação'!C319+10)</f>
        <v>0</v>
      </c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1"/>
    </row>
    <row r="320" spans="1:14" x14ac:dyDescent="0.3">
      <c r="A320" s="7">
        <f>'Pré Implantação'!A320</f>
        <v>0</v>
      </c>
      <c r="B320" s="23">
        <f>'Pré Implantação'!B320</f>
        <v>0</v>
      </c>
      <c r="C320" s="31" t="str">
        <f>IF('Pré Implantação'!C320=0,"0",'Pré Implantação'!C320+10)</f>
        <v>0</v>
      </c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1"/>
    </row>
    <row r="321" spans="1:14" x14ac:dyDescent="0.3">
      <c r="A321" s="7">
        <f>'Pré Implantação'!A321</f>
        <v>0</v>
      </c>
      <c r="B321" s="23">
        <f>'Pré Implantação'!B321</f>
        <v>0</v>
      </c>
      <c r="C321" s="31" t="str">
        <f>IF('Pré Implantação'!C321=0,"0",'Pré Implantação'!C321+10)</f>
        <v>0</v>
      </c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1"/>
    </row>
    <row r="322" spans="1:14" x14ac:dyDescent="0.3">
      <c r="A322" s="7">
        <f>'Pré Implantação'!A322</f>
        <v>0</v>
      </c>
      <c r="B322" s="23">
        <f>'Pré Implantação'!B322</f>
        <v>0</v>
      </c>
      <c r="C322" s="31" t="str">
        <f>IF('Pré Implantação'!C322=0,"0",'Pré Implantação'!C322+10)</f>
        <v>0</v>
      </c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1"/>
    </row>
    <row r="323" spans="1:14" x14ac:dyDescent="0.3">
      <c r="A323" s="7">
        <f>'Pré Implantação'!A323</f>
        <v>0</v>
      </c>
      <c r="B323" s="23">
        <f>'Pré Implantação'!B323</f>
        <v>0</v>
      </c>
      <c r="C323" s="31" t="str">
        <f>IF('Pré Implantação'!C323=0,"0",'Pré Implantação'!C323+10)</f>
        <v>0</v>
      </c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1"/>
    </row>
    <row r="324" spans="1:14" x14ac:dyDescent="0.3">
      <c r="A324" s="7">
        <f>'Pré Implantação'!A324</f>
        <v>0</v>
      </c>
      <c r="B324" s="23">
        <f>'Pré Implantação'!B324</f>
        <v>0</v>
      </c>
      <c r="C324" s="31" t="str">
        <f>IF('Pré Implantação'!C324=0,"0",'Pré Implantação'!C324+10)</f>
        <v>0</v>
      </c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1"/>
    </row>
    <row r="325" spans="1:14" x14ac:dyDescent="0.3">
      <c r="A325" s="7">
        <f>'Pré Implantação'!A325</f>
        <v>0</v>
      </c>
      <c r="B325" s="23">
        <f>'Pré Implantação'!B325</f>
        <v>0</v>
      </c>
      <c r="C325" s="31" t="str">
        <f>IF('Pré Implantação'!C325=0,"0",'Pré Implantação'!C325+10)</f>
        <v>0</v>
      </c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1"/>
    </row>
    <row r="326" spans="1:14" x14ac:dyDescent="0.3">
      <c r="A326" s="7">
        <f>'Pré Implantação'!A326</f>
        <v>0</v>
      </c>
      <c r="B326" s="23">
        <f>'Pré Implantação'!B326</f>
        <v>0</v>
      </c>
      <c r="C326" s="31" t="str">
        <f>IF('Pré Implantação'!C326=0,"0",'Pré Implantação'!C326+10)</f>
        <v>0</v>
      </c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1"/>
    </row>
    <row r="327" spans="1:14" x14ac:dyDescent="0.3">
      <c r="A327" s="7">
        <f>'Pré Implantação'!A327</f>
        <v>0</v>
      </c>
      <c r="B327" s="23">
        <f>'Pré Implantação'!B327</f>
        <v>0</v>
      </c>
      <c r="C327" s="31" t="str">
        <f>IF('Pré Implantação'!C327=0,"0",'Pré Implantação'!C327+10)</f>
        <v>0</v>
      </c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1"/>
    </row>
    <row r="328" spans="1:14" x14ac:dyDescent="0.3">
      <c r="A328" s="7">
        <f>'Pré Implantação'!A328</f>
        <v>0</v>
      </c>
      <c r="B328" s="23">
        <f>'Pré Implantação'!B328</f>
        <v>0</v>
      </c>
      <c r="C328" s="31" t="str">
        <f>IF('Pré Implantação'!C328=0,"0",'Pré Implantação'!C328+10)</f>
        <v>0</v>
      </c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1"/>
    </row>
    <row r="329" spans="1:14" x14ac:dyDescent="0.3">
      <c r="A329" s="7">
        <f>'Pré Implantação'!A329</f>
        <v>0</v>
      </c>
      <c r="B329" s="23">
        <f>'Pré Implantação'!B329</f>
        <v>0</v>
      </c>
      <c r="C329" s="31" t="str">
        <f>IF('Pré Implantação'!C329=0,"0",'Pré Implantação'!C329+10)</f>
        <v>0</v>
      </c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1"/>
    </row>
    <row r="330" spans="1:14" x14ac:dyDescent="0.3">
      <c r="A330" s="7">
        <f>'Pré Implantação'!A330</f>
        <v>0</v>
      </c>
      <c r="B330" s="23">
        <f>'Pré Implantação'!B330</f>
        <v>0</v>
      </c>
      <c r="C330" s="31" t="str">
        <f>IF('Pré Implantação'!C330=0,"0",'Pré Implantação'!C330+10)</f>
        <v>0</v>
      </c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1"/>
    </row>
    <row r="331" spans="1:14" x14ac:dyDescent="0.3">
      <c r="A331" s="7">
        <f>'Pré Implantação'!A331</f>
        <v>0</v>
      </c>
      <c r="B331" s="23">
        <f>'Pré Implantação'!B331</f>
        <v>0</v>
      </c>
      <c r="C331" s="31" t="str">
        <f>IF('Pré Implantação'!C331=0,"0",'Pré Implantação'!C331+10)</f>
        <v>0</v>
      </c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1"/>
    </row>
    <row r="332" spans="1:14" x14ac:dyDescent="0.3">
      <c r="A332" s="7">
        <f>'Pré Implantação'!A332</f>
        <v>0</v>
      </c>
      <c r="B332" s="23">
        <f>'Pré Implantação'!B332</f>
        <v>0</v>
      </c>
      <c r="C332" s="31" t="str">
        <f>IF('Pré Implantação'!C332=0,"0",'Pré Implantação'!C332+10)</f>
        <v>0</v>
      </c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1"/>
    </row>
    <row r="333" spans="1:14" x14ac:dyDescent="0.3">
      <c r="A333" s="7">
        <f>'Pré Implantação'!A333</f>
        <v>0</v>
      </c>
      <c r="B333" s="23">
        <f>'Pré Implantação'!B333</f>
        <v>0</v>
      </c>
      <c r="C333" s="31" t="str">
        <f>IF('Pré Implantação'!C333=0,"0",'Pré Implantação'!C333+10)</f>
        <v>0</v>
      </c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1"/>
    </row>
    <row r="334" spans="1:14" x14ac:dyDescent="0.3">
      <c r="A334" s="7">
        <f>'Pré Implantação'!A334</f>
        <v>0</v>
      </c>
      <c r="B334" s="23">
        <f>'Pré Implantação'!B334</f>
        <v>0</v>
      </c>
      <c r="C334" s="31" t="str">
        <f>IF('Pré Implantação'!C334=0,"0",'Pré Implantação'!C334+10)</f>
        <v>0</v>
      </c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1"/>
    </row>
    <row r="335" spans="1:14" x14ac:dyDescent="0.3">
      <c r="A335" s="7">
        <f>'Pré Implantação'!A335</f>
        <v>0</v>
      </c>
      <c r="B335" s="23">
        <f>'Pré Implantação'!B335</f>
        <v>0</v>
      </c>
      <c r="C335" s="31" t="str">
        <f>IF('Pré Implantação'!C335=0,"0",'Pré Implantação'!C335+10)</f>
        <v>0</v>
      </c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1"/>
    </row>
    <row r="336" spans="1:14" x14ac:dyDescent="0.3">
      <c r="A336" s="7">
        <f>'Pré Implantação'!A336</f>
        <v>0</v>
      </c>
      <c r="B336" s="23">
        <f>'Pré Implantação'!B336</f>
        <v>0</v>
      </c>
      <c r="C336" s="31" t="str">
        <f>IF('Pré Implantação'!C336=0,"0",'Pré Implantação'!C336+10)</f>
        <v>0</v>
      </c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1"/>
    </row>
    <row r="337" spans="1:14" x14ac:dyDescent="0.3">
      <c r="A337" s="7">
        <f>'Pré Implantação'!A337</f>
        <v>0</v>
      </c>
      <c r="B337" s="23">
        <f>'Pré Implantação'!B337</f>
        <v>0</v>
      </c>
      <c r="C337" s="31" t="str">
        <f>IF('Pré Implantação'!C337=0,"0",'Pré Implantação'!C337+10)</f>
        <v>0</v>
      </c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1"/>
    </row>
    <row r="338" spans="1:14" x14ac:dyDescent="0.3">
      <c r="A338" s="7">
        <f>'Pré Implantação'!A338</f>
        <v>0</v>
      </c>
      <c r="B338" s="23">
        <f>'Pré Implantação'!B338</f>
        <v>0</v>
      </c>
      <c r="C338" s="31" t="str">
        <f>IF('Pré Implantação'!C338=0,"0",'Pré Implantação'!C338+10)</f>
        <v>0</v>
      </c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1"/>
    </row>
    <row r="339" spans="1:14" x14ac:dyDescent="0.3">
      <c r="A339" s="7">
        <f>'Pré Implantação'!A339</f>
        <v>0</v>
      </c>
      <c r="B339" s="23">
        <f>'Pré Implantação'!B339</f>
        <v>0</v>
      </c>
      <c r="C339" s="31" t="str">
        <f>IF('Pré Implantação'!C339=0,"0",'Pré Implantação'!C339+10)</f>
        <v>0</v>
      </c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1"/>
    </row>
    <row r="340" spans="1:14" x14ac:dyDescent="0.3">
      <c r="A340" s="7">
        <f>'Pré Implantação'!A340</f>
        <v>0</v>
      </c>
      <c r="B340" s="23">
        <f>'Pré Implantação'!B340</f>
        <v>0</v>
      </c>
      <c r="C340" s="31" t="str">
        <f>IF('Pré Implantação'!C340=0,"0",'Pré Implantação'!C340+10)</f>
        <v>0</v>
      </c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1"/>
    </row>
    <row r="341" spans="1:14" x14ac:dyDescent="0.3">
      <c r="A341" s="7">
        <f>'Pré Implantação'!A341</f>
        <v>0</v>
      </c>
      <c r="B341" s="23">
        <f>'Pré Implantação'!B341</f>
        <v>0</v>
      </c>
      <c r="C341" s="31" t="str">
        <f>IF('Pré Implantação'!C341=0,"0",'Pré Implantação'!C341+10)</f>
        <v>0</v>
      </c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1"/>
    </row>
    <row r="342" spans="1:14" x14ac:dyDescent="0.3">
      <c r="A342" s="7">
        <f>'Pré Implantação'!A342</f>
        <v>0</v>
      </c>
      <c r="B342" s="23">
        <f>'Pré Implantação'!B342</f>
        <v>0</v>
      </c>
      <c r="C342" s="31" t="str">
        <f>IF('Pré Implantação'!C342=0,"0",'Pré Implantação'!C342+10)</f>
        <v>0</v>
      </c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1"/>
    </row>
    <row r="343" spans="1:14" x14ac:dyDescent="0.3">
      <c r="A343" s="7">
        <f>'Pré Implantação'!A343</f>
        <v>0</v>
      </c>
      <c r="B343" s="23">
        <f>'Pré Implantação'!B343</f>
        <v>0</v>
      </c>
      <c r="C343" s="31" t="str">
        <f>IF('Pré Implantação'!C343=0,"0",'Pré Implantação'!C343+10)</f>
        <v>0</v>
      </c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1"/>
    </row>
    <row r="344" spans="1:14" x14ac:dyDescent="0.3">
      <c r="A344" s="7">
        <f>'Pré Implantação'!A344</f>
        <v>0</v>
      </c>
      <c r="B344" s="23">
        <f>'Pré Implantação'!B344</f>
        <v>0</v>
      </c>
      <c r="C344" s="31" t="str">
        <f>IF('Pré Implantação'!C344=0,"0",'Pré Implantação'!C344+10)</f>
        <v>0</v>
      </c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1"/>
    </row>
    <row r="345" spans="1:14" x14ac:dyDescent="0.3">
      <c r="A345" s="7">
        <f>'Pré Implantação'!A345</f>
        <v>0</v>
      </c>
      <c r="B345" s="23">
        <f>'Pré Implantação'!B345</f>
        <v>0</v>
      </c>
      <c r="C345" s="31" t="str">
        <f>IF('Pré Implantação'!C345=0,"0",'Pré Implantação'!C345+10)</f>
        <v>0</v>
      </c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1"/>
    </row>
    <row r="346" spans="1:14" x14ac:dyDescent="0.3">
      <c r="A346" s="7">
        <f>'Pré Implantação'!A346</f>
        <v>0</v>
      </c>
      <c r="B346" s="23">
        <f>'Pré Implantação'!B346</f>
        <v>0</v>
      </c>
      <c r="C346" s="31" t="str">
        <f>IF('Pré Implantação'!C346=0,"0",'Pré Implantação'!C346+10)</f>
        <v>0</v>
      </c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1"/>
    </row>
    <row r="347" spans="1:14" x14ac:dyDescent="0.3">
      <c r="A347" s="7">
        <f>'Pré Implantação'!A347</f>
        <v>0</v>
      </c>
      <c r="B347" s="23">
        <f>'Pré Implantação'!B347</f>
        <v>0</v>
      </c>
      <c r="C347" s="31" t="str">
        <f>IF('Pré Implantação'!C347=0,"0",'Pré Implantação'!C347+10)</f>
        <v>0</v>
      </c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1"/>
    </row>
    <row r="348" spans="1:14" x14ac:dyDescent="0.3">
      <c r="A348" s="7">
        <f>'Pré Implantação'!A348</f>
        <v>0</v>
      </c>
      <c r="B348" s="23">
        <f>'Pré Implantação'!B348</f>
        <v>0</v>
      </c>
      <c r="C348" s="31" t="str">
        <f>IF('Pré Implantação'!C348=0,"0",'Pré Implantação'!C348+10)</f>
        <v>0</v>
      </c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1"/>
    </row>
    <row r="349" spans="1:14" x14ac:dyDescent="0.3">
      <c r="A349" s="7">
        <f>'Pré Implantação'!A349</f>
        <v>0</v>
      </c>
      <c r="B349" s="23">
        <f>'Pré Implantação'!B349</f>
        <v>0</v>
      </c>
      <c r="C349" s="31" t="str">
        <f>IF('Pré Implantação'!C349=0,"0",'Pré Implantação'!C349+10)</f>
        <v>0</v>
      </c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1"/>
    </row>
    <row r="350" spans="1:14" x14ac:dyDescent="0.3">
      <c r="A350" s="7">
        <f>'Pré Implantação'!A350</f>
        <v>0</v>
      </c>
      <c r="B350" s="23">
        <f>'Pré Implantação'!B350</f>
        <v>0</v>
      </c>
      <c r="C350" s="31" t="str">
        <f>IF('Pré Implantação'!C350=0,"0",'Pré Implantação'!C350+10)</f>
        <v>0</v>
      </c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1"/>
    </row>
    <row r="351" spans="1:14" x14ac:dyDescent="0.3">
      <c r="A351" s="7">
        <f>'Pré Implantação'!A351</f>
        <v>0</v>
      </c>
      <c r="B351" s="23">
        <f>'Pré Implantação'!B351</f>
        <v>0</v>
      </c>
      <c r="C351" s="31" t="str">
        <f>IF('Pré Implantação'!C351=0,"0",'Pré Implantação'!C351+10)</f>
        <v>0</v>
      </c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1"/>
    </row>
    <row r="352" spans="1:14" x14ac:dyDescent="0.3">
      <c r="A352" s="7">
        <f>'Pré Implantação'!A352</f>
        <v>0</v>
      </c>
      <c r="B352" s="23">
        <f>'Pré Implantação'!B352</f>
        <v>0</v>
      </c>
      <c r="C352" s="31" t="str">
        <f>IF('Pré Implantação'!C352=0,"0",'Pré Implantação'!C352+10)</f>
        <v>0</v>
      </c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1"/>
    </row>
    <row r="353" spans="1:14" x14ac:dyDescent="0.3">
      <c r="A353" s="7">
        <f>'Pré Implantação'!A353</f>
        <v>0</v>
      </c>
      <c r="B353" s="23">
        <f>'Pré Implantação'!B353</f>
        <v>0</v>
      </c>
      <c r="C353" s="31" t="str">
        <f>IF('Pré Implantação'!C353=0,"0",'Pré Implantação'!C353+10)</f>
        <v>0</v>
      </c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1"/>
    </row>
    <row r="354" spans="1:14" x14ac:dyDescent="0.3">
      <c r="A354" s="7">
        <f>'Pré Implantação'!A354</f>
        <v>0</v>
      </c>
      <c r="B354" s="23">
        <f>'Pré Implantação'!B354</f>
        <v>0</v>
      </c>
      <c r="C354" s="31" t="str">
        <f>IF('Pré Implantação'!C354=0,"0",'Pré Implantação'!C354+10)</f>
        <v>0</v>
      </c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1"/>
    </row>
    <row r="355" spans="1:14" x14ac:dyDescent="0.3">
      <c r="A355" s="7">
        <f>'Pré Implantação'!A355</f>
        <v>0</v>
      </c>
      <c r="B355" s="23">
        <f>'Pré Implantação'!B355</f>
        <v>0</v>
      </c>
      <c r="C355" s="31" t="str">
        <f>IF('Pré Implantação'!C355=0,"0",'Pré Implantação'!C355+10)</f>
        <v>0</v>
      </c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1"/>
    </row>
    <row r="356" spans="1:14" x14ac:dyDescent="0.3">
      <c r="A356" s="7">
        <f>'Pré Implantação'!A356</f>
        <v>0</v>
      </c>
      <c r="B356" s="23">
        <f>'Pré Implantação'!B356</f>
        <v>0</v>
      </c>
      <c r="C356" s="31" t="str">
        <f>IF('Pré Implantação'!C356=0,"0",'Pré Implantação'!C356+10)</f>
        <v>0</v>
      </c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1"/>
    </row>
    <row r="357" spans="1:14" x14ac:dyDescent="0.3">
      <c r="A357" s="7">
        <f>'Pré Implantação'!A357</f>
        <v>0</v>
      </c>
      <c r="B357" s="23">
        <f>'Pré Implantação'!B357</f>
        <v>0</v>
      </c>
      <c r="C357" s="31" t="str">
        <f>IF('Pré Implantação'!C357=0,"0",'Pré Implantação'!C357+10)</f>
        <v>0</v>
      </c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1"/>
    </row>
    <row r="358" spans="1:14" x14ac:dyDescent="0.3">
      <c r="A358" s="7">
        <f>'Pré Implantação'!A358</f>
        <v>0</v>
      </c>
      <c r="B358" s="23">
        <f>'Pré Implantação'!B358</f>
        <v>0</v>
      </c>
      <c r="C358" s="31" t="str">
        <f>IF('Pré Implantação'!C358=0,"0",'Pré Implantação'!C358+10)</f>
        <v>0</v>
      </c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1"/>
    </row>
    <row r="359" spans="1:14" x14ac:dyDescent="0.3">
      <c r="A359" s="7">
        <f>'Pré Implantação'!A359</f>
        <v>0</v>
      </c>
      <c r="B359" s="23">
        <f>'Pré Implantação'!B359</f>
        <v>0</v>
      </c>
      <c r="C359" s="31" t="str">
        <f>IF('Pré Implantação'!C359=0,"0",'Pré Implantação'!C359+10)</f>
        <v>0</v>
      </c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1"/>
    </row>
    <row r="360" spans="1:14" x14ac:dyDescent="0.3">
      <c r="A360" s="7">
        <f>'Pré Implantação'!A360</f>
        <v>0</v>
      </c>
      <c r="B360" s="23">
        <f>'Pré Implantação'!B360</f>
        <v>0</v>
      </c>
      <c r="C360" s="31" t="str">
        <f>IF('Pré Implantação'!C360=0,"0",'Pré Implantação'!C360+10)</f>
        <v>0</v>
      </c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1"/>
    </row>
    <row r="361" spans="1:14" x14ac:dyDescent="0.3">
      <c r="A361" s="7">
        <f>'Pré Implantação'!A361</f>
        <v>0</v>
      </c>
      <c r="B361" s="23">
        <f>'Pré Implantação'!B361</f>
        <v>0</v>
      </c>
      <c r="C361" s="31" t="str">
        <f>IF('Pré Implantação'!C361=0,"0",'Pré Implantação'!C361+10)</f>
        <v>0</v>
      </c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1"/>
    </row>
    <row r="362" spans="1:14" x14ac:dyDescent="0.3">
      <c r="A362" s="7">
        <f>'Pré Implantação'!A362</f>
        <v>0</v>
      </c>
      <c r="B362" s="23">
        <f>'Pré Implantação'!B362</f>
        <v>0</v>
      </c>
      <c r="C362" s="31" t="str">
        <f>IF('Pré Implantação'!C362=0,"0",'Pré Implantação'!C362+10)</f>
        <v>0</v>
      </c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1"/>
    </row>
    <row r="363" spans="1:14" x14ac:dyDescent="0.3">
      <c r="A363" s="7">
        <f>'Pré Implantação'!A363</f>
        <v>0</v>
      </c>
      <c r="B363" s="23">
        <f>'Pré Implantação'!B363</f>
        <v>0</v>
      </c>
      <c r="C363" s="31" t="str">
        <f>IF('Pré Implantação'!C363=0,"0",'Pré Implantação'!C363+10)</f>
        <v>0</v>
      </c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1"/>
    </row>
    <row r="364" spans="1:14" x14ac:dyDescent="0.3">
      <c r="A364" s="7">
        <f>'Pré Implantação'!A364</f>
        <v>0</v>
      </c>
      <c r="B364" s="23">
        <f>'Pré Implantação'!B364</f>
        <v>0</v>
      </c>
      <c r="C364" s="31" t="str">
        <f>IF('Pré Implantação'!C364=0,"0",'Pré Implantação'!C364+10)</f>
        <v>0</v>
      </c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1"/>
    </row>
    <row r="365" spans="1:14" x14ac:dyDescent="0.3">
      <c r="A365" s="7">
        <f>'Pré Implantação'!A365</f>
        <v>0</v>
      </c>
      <c r="B365" s="23">
        <f>'Pré Implantação'!B365</f>
        <v>0</v>
      </c>
      <c r="C365" s="31" t="str">
        <f>IF('Pré Implantação'!C365=0,"0",'Pré Implantação'!C365+10)</f>
        <v>0</v>
      </c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1"/>
    </row>
    <row r="366" spans="1:14" x14ac:dyDescent="0.3">
      <c r="A366" s="7">
        <f>'Pré Implantação'!A366</f>
        <v>0</v>
      </c>
      <c r="B366" s="23">
        <f>'Pré Implantação'!B366</f>
        <v>0</v>
      </c>
      <c r="C366" s="31" t="str">
        <f>IF('Pré Implantação'!C366=0,"0",'Pré Implantação'!C366+10)</f>
        <v>0</v>
      </c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1"/>
    </row>
    <row r="367" spans="1:14" x14ac:dyDescent="0.3">
      <c r="A367" s="7">
        <f>'Pré Implantação'!A367</f>
        <v>0</v>
      </c>
      <c r="B367" s="23">
        <f>'Pré Implantação'!B367</f>
        <v>0</v>
      </c>
      <c r="C367" s="31" t="str">
        <f>IF('Pré Implantação'!C367=0,"0",'Pré Implantação'!C367+10)</f>
        <v>0</v>
      </c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1"/>
    </row>
    <row r="368" spans="1:14" x14ac:dyDescent="0.3">
      <c r="A368" s="7">
        <f>'Pré Implantação'!A368</f>
        <v>0</v>
      </c>
      <c r="B368" s="23">
        <f>'Pré Implantação'!B368</f>
        <v>0</v>
      </c>
      <c r="C368" s="31" t="str">
        <f>IF('Pré Implantação'!C368=0,"0",'Pré Implantação'!C368+10)</f>
        <v>0</v>
      </c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1"/>
    </row>
    <row r="369" spans="1:14" x14ac:dyDescent="0.3">
      <c r="A369" s="7">
        <f>'Pré Implantação'!A369</f>
        <v>0</v>
      </c>
      <c r="B369" s="23">
        <f>'Pré Implantação'!B369</f>
        <v>0</v>
      </c>
      <c r="C369" s="31" t="str">
        <f>IF('Pré Implantação'!C369=0,"0",'Pré Implantação'!C369+10)</f>
        <v>0</v>
      </c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1"/>
    </row>
    <row r="370" spans="1:14" x14ac:dyDescent="0.3">
      <c r="A370" s="7">
        <f>'Pré Implantação'!A370</f>
        <v>0</v>
      </c>
      <c r="B370" s="23">
        <f>'Pré Implantação'!B370</f>
        <v>0</v>
      </c>
      <c r="C370" s="31" t="str">
        <f>IF('Pré Implantação'!C370=0,"0",'Pré Implantação'!C370+10)</f>
        <v>0</v>
      </c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1"/>
    </row>
    <row r="371" spans="1:14" x14ac:dyDescent="0.3">
      <c r="A371" s="7">
        <f>'Pré Implantação'!A371</f>
        <v>0</v>
      </c>
      <c r="B371" s="23">
        <f>'Pré Implantação'!B371</f>
        <v>0</v>
      </c>
      <c r="C371" s="31" t="str">
        <f>IF('Pré Implantação'!C371=0,"0",'Pré Implantação'!C371+10)</f>
        <v>0</v>
      </c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1"/>
    </row>
    <row r="372" spans="1:14" x14ac:dyDescent="0.3">
      <c r="A372" s="7">
        <f>'Pré Implantação'!A372</f>
        <v>0</v>
      </c>
      <c r="B372" s="23">
        <f>'Pré Implantação'!B372</f>
        <v>0</v>
      </c>
      <c r="C372" s="31" t="str">
        <f>IF('Pré Implantação'!C372=0,"0",'Pré Implantação'!C372+10)</f>
        <v>0</v>
      </c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1"/>
    </row>
    <row r="373" spans="1:14" x14ac:dyDescent="0.3">
      <c r="A373" s="7">
        <f>'Pré Implantação'!A373</f>
        <v>0</v>
      </c>
      <c r="B373" s="23">
        <f>'Pré Implantação'!B373</f>
        <v>0</v>
      </c>
      <c r="C373" s="31" t="str">
        <f>IF('Pré Implantação'!C373=0,"0",'Pré Implantação'!C373+10)</f>
        <v>0</v>
      </c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1"/>
    </row>
    <row r="374" spans="1:14" x14ac:dyDescent="0.3">
      <c r="A374" s="7">
        <f>'Pré Implantação'!A374</f>
        <v>0</v>
      </c>
      <c r="B374" s="23">
        <f>'Pré Implantação'!B374</f>
        <v>0</v>
      </c>
      <c r="C374" s="31" t="str">
        <f>IF('Pré Implantação'!C374=0,"0",'Pré Implantação'!C374+10)</f>
        <v>0</v>
      </c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1"/>
    </row>
    <row r="375" spans="1:14" x14ac:dyDescent="0.3">
      <c r="A375" s="7">
        <f>'Pré Implantação'!A375</f>
        <v>0</v>
      </c>
      <c r="B375" s="23">
        <f>'Pré Implantação'!B375</f>
        <v>0</v>
      </c>
      <c r="C375" s="31" t="str">
        <f>IF('Pré Implantação'!C375=0,"0",'Pré Implantação'!C375+10)</f>
        <v>0</v>
      </c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1"/>
    </row>
    <row r="376" spans="1:14" x14ac:dyDescent="0.3">
      <c r="A376" s="7">
        <f>'Pré Implantação'!A376</f>
        <v>0</v>
      </c>
      <c r="B376" s="23">
        <f>'Pré Implantação'!B376</f>
        <v>0</v>
      </c>
      <c r="C376" s="31" t="str">
        <f>IF('Pré Implantação'!C376=0,"0",'Pré Implantação'!C376+10)</f>
        <v>0</v>
      </c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1"/>
    </row>
    <row r="377" spans="1:14" x14ac:dyDescent="0.3">
      <c r="A377" s="7">
        <f>'Pré Implantação'!A377</f>
        <v>0</v>
      </c>
      <c r="B377" s="23">
        <f>'Pré Implantação'!B377</f>
        <v>0</v>
      </c>
      <c r="C377" s="31" t="str">
        <f>IF('Pré Implantação'!C377=0,"0",'Pré Implantação'!C377+10)</f>
        <v>0</v>
      </c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1"/>
    </row>
    <row r="378" spans="1:14" x14ac:dyDescent="0.3">
      <c r="A378" s="7">
        <f>'Pré Implantação'!A378</f>
        <v>0</v>
      </c>
      <c r="B378" s="23">
        <f>'Pré Implantação'!B378</f>
        <v>0</v>
      </c>
      <c r="C378" s="31" t="str">
        <f>IF('Pré Implantação'!C378=0,"0",'Pré Implantação'!C378+10)</f>
        <v>0</v>
      </c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1"/>
    </row>
    <row r="379" spans="1:14" x14ac:dyDescent="0.3">
      <c r="A379" s="7">
        <f>'Pré Implantação'!A379</f>
        <v>0</v>
      </c>
      <c r="B379" s="23">
        <f>'Pré Implantação'!B379</f>
        <v>0</v>
      </c>
      <c r="C379" s="31" t="str">
        <f>IF('Pré Implantação'!C379=0,"0",'Pré Implantação'!C379+10)</f>
        <v>0</v>
      </c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1"/>
    </row>
    <row r="380" spans="1:14" x14ac:dyDescent="0.3">
      <c r="A380" s="7">
        <f>'Pré Implantação'!A380</f>
        <v>0</v>
      </c>
      <c r="B380" s="23">
        <f>'Pré Implantação'!B380</f>
        <v>0</v>
      </c>
      <c r="C380" s="31" t="str">
        <f>IF('Pré Implantação'!C380=0,"0",'Pré Implantação'!C380+10)</f>
        <v>0</v>
      </c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1"/>
    </row>
    <row r="381" spans="1:14" x14ac:dyDescent="0.3">
      <c r="A381" s="7">
        <f>'Pré Implantação'!A381</f>
        <v>0</v>
      </c>
      <c r="B381" s="23">
        <f>'Pré Implantação'!B381</f>
        <v>0</v>
      </c>
      <c r="C381" s="31" t="str">
        <f>IF('Pré Implantação'!C381=0,"0",'Pré Implantação'!C381+10)</f>
        <v>0</v>
      </c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1"/>
    </row>
    <row r="382" spans="1:14" x14ac:dyDescent="0.3">
      <c r="A382" s="7">
        <f>'Pré Implantação'!A382</f>
        <v>0</v>
      </c>
      <c r="B382" s="23">
        <f>'Pré Implantação'!B382</f>
        <v>0</v>
      </c>
      <c r="C382" s="31" t="str">
        <f>IF('Pré Implantação'!C382=0,"0",'Pré Implantação'!C382+10)</f>
        <v>0</v>
      </c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1"/>
    </row>
    <row r="383" spans="1:14" x14ac:dyDescent="0.3">
      <c r="A383" s="7">
        <f>'Pré Implantação'!A383</f>
        <v>0</v>
      </c>
      <c r="B383" s="23">
        <f>'Pré Implantação'!B383</f>
        <v>0</v>
      </c>
      <c r="C383" s="31" t="str">
        <f>IF('Pré Implantação'!C383=0,"0",'Pré Implantação'!C383+10)</f>
        <v>0</v>
      </c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1"/>
    </row>
    <row r="384" spans="1:14" x14ac:dyDescent="0.3">
      <c r="A384" s="7">
        <f>'Pré Implantação'!A384</f>
        <v>0</v>
      </c>
      <c r="B384" s="23">
        <f>'Pré Implantação'!B384</f>
        <v>0</v>
      </c>
      <c r="C384" s="31" t="str">
        <f>IF('Pré Implantação'!C384=0,"0",'Pré Implantação'!C384+10)</f>
        <v>0</v>
      </c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1"/>
    </row>
    <row r="385" spans="1:14" x14ac:dyDescent="0.3">
      <c r="A385" s="7">
        <f>'Pré Implantação'!A385</f>
        <v>0</v>
      </c>
      <c r="B385" s="23">
        <f>'Pré Implantação'!B385</f>
        <v>0</v>
      </c>
      <c r="C385" s="31" t="str">
        <f>IF('Pré Implantação'!C385=0,"0",'Pré Implantação'!C385+10)</f>
        <v>0</v>
      </c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1"/>
    </row>
    <row r="386" spans="1:14" x14ac:dyDescent="0.3">
      <c r="A386" s="7">
        <f>'Pré Implantação'!A386</f>
        <v>0</v>
      </c>
      <c r="B386" s="23">
        <f>'Pré Implantação'!B386</f>
        <v>0</v>
      </c>
      <c r="C386" s="31" t="str">
        <f>IF('Pré Implantação'!C386=0,"0",'Pré Implantação'!C386+10)</f>
        <v>0</v>
      </c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1"/>
    </row>
    <row r="387" spans="1:14" x14ac:dyDescent="0.3">
      <c r="A387" s="7">
        <f>'Pré Implantação'!A387</f>
        <v>0</v>
      </c>
      <c r="B387" s="23">
        <f>'Pré Implantação'!B387</f>
        <v>0</v>
      </c>
      <c r="C387" s="31" t="str">
        <f>IF('Pré Implantação'!C387=0,"0",'Pré Implantação'!C387+10)</f>
        <v>0</v>
      </c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1"/>
    </row>
    <row r="388" spans="1:14" x14ac:dyDescent="0.3">
      <c r="A388" s="7">
        <f>'Pré Implantação'!A388</f>
        <v>0</v>
      </c>
      <c r="B388" s="23">
        <f>'Pré Implantação'!B388</f>
        <v>0</v>
      </c>
      <c r="C388" s="31" t="str">
        <f>IF('Pré Implantação'!C388=0,"0",'Pré Implantação'!C388+10)</f>
        <v>0</v>
      </c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1"/>
    </row>
    <row r="389" spans="1:14" x14ac:dyDescent="0.3">
      <c r="A389" s="7">
        <f>'Pré Implantação'!A389</f>
        <v>0</v>
      </c>
      <c r="B389" s="23">
        <f>'Pré Implantação'!B389</f>
        <v>0</v>
      </c>
      <c r="C389" s="31" t="str">
        <f>IF('Pré Implantação'!C389=0,"0",'Pré Implantação'!C389+10)</f>
        <v>0</v>
      </c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1"/>
    </row>
    <row r="390" spans="1:14" x14ac:dyDescent="0.3">
      <c r="A390" s="7">
        <f>'Pré Implantação'!A390</f>
        <v>0</v>
      </c>
      <c r="B390" s="23">
        <f>'Pré Implantação'!B390</f>
        <v>0</v>
      </c>
      <c r="C390" s="31" t="str">
        <f>IF('Pré Implantação'!C390=0,"0",'Pré Implantação'!C390+10)</f>
        <v>0</v>
      </c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1"/>
    </row>
    <row r="391" spans="1:14" x14ac:dyDescent="0.3">
      <c r="A391" s="7">
        <f>'Pré Implantação'!A391</f>
        <v>0</v>
      </c>
      <c r="B391" s="23">
        <f>'Pré Implantação'!B391</f>
        <v>0</v>
      </c>
      <c r="C391" s="31" t="str">
        <f>IF('Pré Implantação'!C391=0,"0",'Pré Implantação'!C391+10)</f>
        <v>0</v>
      </c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1"/>
    </row>
    <row r="392" spans="1:14" x14ac:dyDescent="0.3">
      <c r="A392" s="7">
        <f>'Pré Implantação'!A392</f>
        <v>0</v>
      </c>
      <c r="B392" s="23">
        <f>'Pré Implantação'!B392</f>
        <v>0</v>
      </c>
      <c r="C392" s="31" t="str">
        <f>IF('Pré Implantação'!C392=0,"0",'Pré Implantação'!C392+10)</f>
        <v>0</v>
      </c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1"/>
    </row>
    <row r="393" spans="1:14" x14ac:dyDescent="0.3">
      <c r="A393" s="7">
        <f>'Pré Implantação'!A393</f>
        <v>0</v>
      </c>
      <c r="B393" s="23">
        <f>'Pré Implantação'!B393</f>
        <v>0</v>
      </c>
      <c r="C393" s="31" t="str">
        <f>IF('Pré Implantação'!C393=0,"0",'Pré Implantação'!C393+10)</f>
        <v>0</v>
      </c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1"/>
    </row>
    <row r="394" spans="1:14" x14ac:dyDescent="0.3">
      <c r="A394" s="7">
        <f>'Pré Implantação'!A394</f>
        <v>0</v>
      </c>
      <c r="B394" s="23">
        <f>'Pré Implantação'!B394</f>
        <v>0</v>
      </c>
      <c r="C394" s="31" t="str">
        <f>IF('Pré Implantação'!C394=0,"0",'Pré Implantação'!C394+10)</f>
        <v>0</v>
      </c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1"/>
    </row>
    <row r="395" spans="1:14" x14ac:dyDescent="0.3">
      <c r="A395" s="7">
        <f>'Pré Implantação'!A395</f>
        <v>0</v>
      </c>
      <c r="B395" s="23">
        <f>'Pré Implantação'!B395</f>
        <v>0</v>
      </c>
      <c r="C395" s="31" t="str">
        <f>IF('Pré Implantação'!C395=0,"0",'Pré Implantação'!C395+10)</f>
        <v>0</v>
      </c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1"/>
    </row>
    <row r="396" spans="1:14" x14ac:dyDescent="0.3">
      <c r="A396" s="7">
        <f>'Pré Implantação'!A396</f>
        <v>0</v>
      </c>
      <c r="B396" s="23">
        <f>'Pré Implantação'!B396</f>
        <v>0</v>
      </c>
      <c r="C396" s="31" t="str">
        <f>IF('Pré Implantação'!C396=0,"0",'Pré Implantação'!C396+10)</f>
        <v>0</v>
      </c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1"/>
    </row>
    <row r="397" spans="1:14" x14ac:dyDescent="0.3">
      <c r="A397" s="7">
        <f>'Pré Implantação'!A397</f>
        <v>0</v>
      </c>
      <c r="B397" s="23">
        <f>'Pré Implantação'!B397</f>
        <v>0</v>
      </c>
      <c r="C397" s="31" t="str">
        <f>IF('Pré Implantação'!C397=0,"0",'Pré Implantação'!C397+10)</f>
        <v>0</v>
      </c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1"/>
    </row>
    <row r="398" spans="1:14" x14ac:dyDescent="0.3">
      <c r="A398" s="7">
        <f>'Pré Implantação'!A398</f>
        <v>0</v>
      </c>
      <c r="B398" s="23">
        <f>'Pré Implantação'!B398</f>
        <v>0</v>
      </c>
      <c r="C398" s="31" t="str">
        <f>IF('Pré Implantação'!C398=0,"0",'Pré Implantação'!C398+10)</f>
        <v>0</v>
      </c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1"/>
    </row>
    <row r="399" spans="1:14" x14ac:dyDescent="0.3">
      <c r="A399" s="7">
        <f>'Pré Implantação'!A399</f>
        <v>0</v>
      </c>
      <c r="B399" s="23">
        <f>'Pré Implantação'!B399</f>
        <v>0</v>
      </c>
      <c r="C399" s="31" t="str">
        <f>IF('Pré Implantação'!C399=0,"0",'Pré Implantação'!C399+10)</f>
        <v>0</v>
      </c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1"/>
    </row>
    <row r="400" spans="1:14" x14ac:dyDescent="0.3">
      <c r="A400" s="7">
        <f>'Pré Implantação'!A400</f>
        <v>0</v>
      </c>
      <c r="B400" s="23">
        <f>'Pré Implantação'!B400</f>
        <v>0</v>
      </c>
      <c r="C400" s="31" t="str">
        <f>IF('Pré Implantação'!C400=0,"0",'Pré Implantação'!C400+10)</f>
        <v>0</v>
      </c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1"/>
    </row>
    <row r="401" spans="1:14" x14ac:dyDescent="0.3">
      <c r="A401" s="7">
        <f>'Pré Implantação'!A401</f>
        <v>0</v>
      </c>
      <c r="B401" s="23">
        <f>'Pré Implantação'!B401</f>
        <v>0</v>
      </c>
      <c r="C401" s="31" t="str">
        <f>IF('Pré Implantação'!C401=0,"0",'Pré Implantação'!C401+10)</f>
        <v>0</v>
      </c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1"/>
    </row>
    <row r="402" spans="1:14" x14ac:dyDescent="0.3">
      <c r="A402" s="7">
        <f>'Pré Implantação'!A402</f>
        <v>0</v>
      </c>
      <c r="B402" s="23">
        <f>'Pré Implantação'!B402</f>
        <v>0</v>
      </c>
      <c r="C402" s="31" t="str">
        <f>IF('Pré Implantação'!C402=0,"0",'Pré Implantação'!C402+10)</f>
        <v>0</v>
      </c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1"/>
    </row>
    <row r="403" spans="1:14" x14ac:dyDescent="0.3">
      <c r="A403" s="7">
        <f>'Pré Implantação'!A403</f>
        <v>0</v>
      </c>
      <c r="B403" s="23">
        <f>'Pré Implantação'!B403</f>
        <v>0</v>
      </c>
      <c r="C403" s="31" t="str">
        <f>IF('Pré Implantação'!C403=0,"0",'Pré Implantação'!C403+10)</f>
        <v>0</v>
      </c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1"/>
    </row>
    <row r="404" spans="1:14" x14ac:dyDescent="0.3">
      <c r="A404" s="7">
        <f>'Pré Implantação'!A404</f>
        <v>0</v>
      </c>
      <c r="B404" s="23">
        <f>'Pré Implantação'!B404</f>
        <v>0</v>
      </c>
      <c r="C404" s="31" t="str">
        <f>IF('Pré Implantação'!C404=0,"0",'Pré Implantação'!C404+10)</f>
        <v>0</v>
      </c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1"/>
    </row>
    <row r="405" spans="1:14" x14ac:dyDescent="0.3">
      <c r="A405" s="7">
        <f>'Pré Implantação'!A405</f>
        <v>0</v>
      </c>
      <c r="B405" s="23">
        <f>'Pré Implantação'!B405</f>
        <v>0</v>
      </c>
      <c r="C405" s="31" t="str">
        <f>IF('Pré Implantação'!C405=0,"0",'Pré Implantação'!C405+10)</f>
        <v>0</v>
      </c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1"/>
    </row>
    <row r="406" spans="1:14" x14ac:dyDescent="0.3">
      <c r="A406" s="7">
        <f>'Pré Implantação'!A406</f>
        <v>0</v>
      </c>
      <c r="B406" s="23">
        <f>'Pré Implantação'!B406</f>
        <v>0</v>
      </c>
      <c r="C406" s="31" t="str">
        <f>IF('Pré Implantação'!C406=0,"0",'Pré Implantação'!C406+10)</f>
        <v>0</v>
      </c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1"/>
    </row>
    <row r="407" spans="1:14" x14ac:dyDescent="0.3">
      <c r="A407" s="7">
        <f>'Pré Implantação'!A407</f>
        <v>0</v>
      </c>
      <c r="B407" s="23">
        <f>'Pré Implantação'!B407</f>
        <v>0</v>
      </c>
      <c r="C407" s="31" t="str">
        <f>IF('Pré Implantação'!C407=0,"0",'Pré Implantação'!C407+10)</f>
        <v>0</v>
      </c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3"/>
    </row>
    <row r="408" spans="1:14" x14ac:dyDescent="0.3">
      <c r="A408" s="7">
        <f>'Pré Implantação'!A408</f>
        <v>0</v>
      </c>
      <c r="B408" s="23">
        <f>'Pré Implantação'!B408</f>
        <v>0</v>
      </c>
      <c r="C408" s="31" t="str">
        <f>IF('Pré Implantação'!C408=0,"0",'Pré Implantação'!C408+10)</f>
        <v>0</v>
      </c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3"/>
    </row>
    <row r="409" spans="1:14" x14ac:dyDescent="0.3">
      <c r="A409" s="7">
        <f>'Pré Implantação'!A409</f>
        <v>0</v>
      </c>
      <c r="B409" s="23">
        <f>'Pré Implantação'!B409</f>
        <v>0</v>
      </c>
      <c r="C409" s="31" t="str">
        <f>IF('Pré Implantação'!C409=0,"0",'Pré Implantação'!C409+10)</f>
        <v>0</v>
      </c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3"/>
    </row>
    <row r="410" spans="1:14" x14ac:dyDescent="0.3">
      <c r="A410" s="7">
        <f>'Pré Implantação'!A410</f>
        <v>0</v>
      </c>
      <c r="B410" s="23">
        <f>'Pré Implantação'!B410</f>
        <v>0</v>
      </c>
      <c r="C410" s="31" t="str">
        <f>IF('Pré Implantação'!C410=0,"0",'Pré Implantação'!C410+10)</f>
        <v>0</v>
      </c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3"/>
    </row>
    <row r="411" spans="1:14" x14ac:dyDescent="0.3">
      <c r="A411" s="7">
        <f>'Pré Implantação'!A411</f>
        <v>0</v>
      </c>
      <c r="B411" s="23">
        <f>'Pré Implantação'!B411</f>
        <v>0</v>
      </c>
      <c r="C411" s="31" t="str">
        <f>IF('Pré Implantação'!C411=0,"0",'Pré Implantação'!C411+10)</f>
        <v>0</v>
      </c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3"/>
    </row>
    <row r="412" spans="1:14" x14ac:dyDescent="0.3">
      <c r="A412" s="7">
        <f>'Pré Implantação'!A412</f>
        <v>0</v>
      </c>
      <c r="B412" s="23">
        <f>'Pré Implantação'!B412</f>
        <v>0</v>
      </c>
      <c r="C412" s="31" t="str">
        <f>IF('Pré Implantação'!C412=0,"0",'Pré Implantação'!C412+10)</f>
        <v>0</v>
      </c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3"/>
    </row>
    <row r="413" spans="1:14" x14ac:dyDescent="0.3">
      <c r="A413" s="7">
        <f>'Pré Implantação'!A413</f>
        <v>0</v>
      </c>
      <c r="B413" s="23">
        <f>'Pré Implantação'!B413</f>
        <v>0</v>
      </c>
      <c r="C413" s="31" t="str">
        <f>IF('Pré Implantação'!C413=0,"0",'Pré Implantação'!C413+10)</f>
        <v>0</v>
      </c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3"/>
    </row>
    <row r="414" spans="1:14" x14ac:dyDescent="0.3">
      <c r="A414" s="7">
        <f>'Pré Implantação'!A414</f>
        <v>0</v>
      </c>
      <c r="B414" s="23">
        <f>'Pré Implantação'!B414</f>
        <v>0</v>
      </c>
      <c r="C414" s="31" t="str">
        <f>IF('Pré Implantação'!C414=0,"0",'Pré Implantação'!C414+10)</f>
        <v>0</v>
      </c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3"/>
    </row>
    <row r="415" spans="1:14" x14ac:dyDescent="0.3">
      <c r="A415" s="7">
        <f>'Pré Implantação'!A415</f>
        <v>0</v>
      </c>
      <c r="B415" s="23">
        <f>'Pré Implantação'!B415</f>
        <v>0</v>
      </c>
      <c r="C415" s="31" t="str">
        <f>IF('Pré Implantação'!C415=0,"0",'Pré Implantação'!C415+10)</f>
        <v>0</v>
      </c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3"/>
    </row>
    <row r="416" spans="1:14" x14ac:dyDescent="0.3">
      <c r="A416" s="7">
        <f>'Pré Implantação'!A416</f>
        <v>0</v>
      </c>
      <c r="B416" s="23">
        <f>'Pré Implantação'!B416</f>
        <v>0</v>
      </c>
      <c r="C416" s="31" t="str">
        <f>IF('Pré Implantação'!C416=0,"0",'Pré Implantação'!C416+10)</f>
        <v>0</v>
      </c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3"/>
    </row>
    <row r="417" spans="1:14" x14ac:dyDescent="0.3">
      <c r="A417" s="7">
        <f>'Pré Implantação'!A417</f>
        <v>0</v>
      </c>
      <c r="B417" s="23">
        <f>'Pré Implantação'!B417</f>
        <v>0</v>
      </c>
      <c r="C417" s="31" t="str">
        <f>IF('Pré Implantação'!C417=0,"0",'Pré Implantação'!C417+10)</f>
        <v>0</v>
      </c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3"/>
    </row>
    <row r="418" spans="1:14" x14ac:dyDescent="0.3">
      <c r="A418" s="7">
        <f>'Pré Implantação'!A418</f>
        <v>0</v>
      </c>
      <c r="B418" s="23">
        <f>'Pré Implantação'!B418</f>
        <v>0</v>
      </c>
      <c r="C418" s="31" t="str">
        <f>IF('Pré Implantação'!C418=0,"0",'Pré Implantação'!C418+10)</f>
        <v>0</v>
      </c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3"/>
    </row>
    <row r="419" spans="1:14" x14ac:dyDescent="0.3">
      <c r="A419" s="7">
        <f>'Pré Implantação'!A419</f>
        <v>0</v>
      </c>
      <c r="B419" s="23">
        <f>'Pré Implantação'!B419</f>
        <v>0</v>
      </c>
      <c r="C419" s="31" t="str">
        <f>IF('Pré Implantação'!C419=0,"0",'Pré Implantação'!C419+10)</f>
        <v>0</v>
      </c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3"/>
    </row>
    <row r="420" spans="1:14" x14ac:dyDescent="0.3">
      <c r="A420" s="7">
        <f>'Pré Implantação'!A420</f>
        <v>0</v>
      </c>
      <c r="B420" s="23">
        <f>'Pré Implantação'!B420</f>
        <v>0</v>
      </c>
      <c r="C420" s="31" t="str">
        <f>IF('Pré Implantação'!C420=0,"0",'Pré Implantação'!C420+10)</f>
        <v>0</v>
      </c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3"/>
    </row>
    <row r="421" spans="1:14" ht="15" thickBot="1" x14ac:dyDescent="0.35">
      <c r="A421" s="26">
        <f>'Pré Implantação'!A421</f>
        <v>0</v>
      </c>
      <c r="B421" s="27">
        <f>'Pré Implantação'!B421</f>
        <v>0</v>
      </c>
      <c r="C421" s="32" t="str">
        <f>IF('Pré Implantação'!C421=0,"0",'Pré Implantação'!C421+10)</f>
        <v>0</v>
      </c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5"/>
    </row>
  </sheetData>
  <mergeCells count="1">
    <mergeCell ref="A2:C2"/>
  </mergeCells>
  <conditionalFormatting sqref="A1:N1 A3:N12 A14:N1048576 A13:C13">
    <cfRule type="cellIs" dxfId="3" priority="3" operator="equal">
      <formula>"N/A"</formula>
    </cfRule>
  </conditionalFormatting>
  <conditionalFormatting sqref="A13:C421 B4:C421 A3:N12 N14:N15">
    <cfRule type="cellIs" dxfId="2" priority="4" operator="equal">
      <formula>"N/A"</formula>
    </cfRule>
  </conditionalFormatting>
  <conditionalFormatting sqref="A2 D2:N2">
    <cfRule type="cellIs" dxfId="1" priority="2" operator="equal">
      <formula>"N/A"</formula>
    </cfRule>
  </conditionalFormatting>
  <conditionalFormatting sqref="D13:N13">
    <cfRule type="cellIs" dxfId="0" priority="1" operator="equal">
      <formula>"N/A"</formula>
    </cfRule>
  </conditionalFormatting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21"/>
  <sheetViews>
    <sheetView topLeftCell="F1" workbookViewId="0">
      <selection activeCell="C14" sqref="C14"/>
    </sheetView>
  </sheetViews>
  <sheetFormatPr defaultRowHeight="14.4" x14ac:dyDescent="0.3"/>
  <cols>
    <col min="1" max="1" width="10.88671875" style="1" customWidth="1"/>
    <col min="2" max="2" width="20" style="1" bestFit="1" customWidth="1"/>
    <col min="3" max="7" width="15.77734375" customWidth="1"/>
    <col min="8" max="8" width="18.77734375" bestFit="1" customWidth="1"/>
    <col min="9" max="9" width="15.77734375" customWidth="1"/>
    <col min="10" max="15" width="15.77734375" style="45" customWidth="1"/>
  </cols>
  <sheetData>
    <row r="1" spans="1:15" s="1" customFormat="1" x14ac:dyDescent="0.3">
      <c r="A1" s="28" t="s">
        <v>11</v>
      </c>
      <c r="B1" s="35" t="s">
        <v>25</v>
      </c>
      <c r="C1" s="29" t="s">
        <v>18</v>
      </c>
      <c r="D1" s="29" t="s">
        <v>16</v>
      </c>
      <c r="E1" s="29" t="s">
        <v>19</v>
      </c>
      <c r="F1" s="29" t="s">
        <v>20</v>
      </c>
      <c r="G1" s="29" t="s">
        <v>21</v>
      </c>
      <c r="H1" s="29" t="s">
        <v>22</v>
      </c>
      <c r="I1" s="29" t="s">
        <v>23</v>
      </c>
      <c r="J1" s="43" t="s">
        <v>24</v>
      </c>
      <c r="K1" s="43" t="s">
        <v>29</v>
      </c>
      <c r="L1" s="43" t="s">
        <v>14</v>
      </c>
      <c r="M1" s="43" t="s">
        <v>15</v>
      </c>
      <c r="N1" s="44" t="s">
        <v>30</v>
      </c>
      <c r="O1" s="43" t="s">
        <v>17</v>
      </c>
    </row>
    <row r="2" spans="1:15" s="1" customFormat="1" x14ac:dyDescent="0.3">
      <c r="A2" s="55" t="s">
        <v>31</v>
      </c>
      <c r="B2" s="56"/>
      <c r="C2" s="46">
        <f t="shared" ref="C2:O2" si="0">IFERROR(AVERAGE(C3:C421),"")</f>
        <v>0.68888888888888888</v>
      </c>
      <c r="D2" s="46">
        <f t="shared" si="0"/>
        <v>0.77777777777777779</v>
      </c>
      <c r="E2" s="46">
        <f t="shared" si="0"/>
        <v>0.6</v>
      </c>
      <c r="F2" s="46">
        <f t="shared" si="0"/>
        <v>0.48333333333333339</v>
      </c>
      <c r="G2" s="46">
        <f t="shared" si="0"/>
        <v>0.91999999999999993</v>
      </c>
      <c r="H2" s="46">
        <f t="shared" si="0"/>
        <v>0.39999999999999997</v>
      </c>
      <c r="I2" s="46">
        <f t="shared" si="0"/>
        <v>0.9</v>
      </c>
      <c r="J2" s="46">
        <f t="shared" si="0"/>
        <v>0.56666666666666676</v>
      </c>
      <c r="K2" s="46">
        <f t="shared" si="0"/>
        <v>0.875</v>
      </c>
      <c r="L2" s="46">
        <f t="shared" si="0"/>
        <v>0.8833333333333333</v>
      </c>
      <c r="M2" s="46">
        <f t="shared" si="0"/>
        <v>1</v>
      </c>
      <c r="N2" s="47" t="str">
        <f t="shared" si="0"/>
        <v/>
      </c>
      <c r="O2" s="48">
        <f t="shared" si="0"/>
        <v>1</v>
      </c>
    </row>
    <row r="3" spans="1:15" x14ac:dyDescent="0.3">
      <c r="A3" s="33">
        <f>'Pré Implantação'!A3</f>
        <v>12345</v>
      </c>
      <c r="B3" s="36">
        <f>'Pré Implantação'!C3</f>
        <v>42569.657638888886</v>
      </c>
      <c r="C3" s="34">
        <f>IFERROR(IF('Pré Implantação'!B3="Produção TI",AVERAGE('Pré Implantação'!D3,'Pré Implantação'!L3,'Pré Implantação'!E3,'Pré Implantação'!H3),AVERAGE('Pré Implantação'!E3,'Pré Implantação'!H3)),"")</f>
        <v>0.85</v>
      </c>
      <c r="D3" s="34">
        <f>IFERROR(IF('Pré Implantação'!B3="CSC Service Desk",AVERAGE('Pré Implantação'!D3,'Pré Implantação'!L3,'Pré Implantação'!F3),AVERAGE('Pré Implantação'!F3)),"")</f>
        <v>1</v>
      </c>
      <c r="E3" s="34">
        <f>IFERROR(IF('Pré Implantação'!B3="CSC NOC",AVERAGE('Pré Implantação'!D3,'Pré Implantação'!L3,'Pré Implantação'!G3),AVERAGE('Pré Implantação'!G3)),"")</f>
        <v>0.9</v>
      </c>
      <c r="F3" s="34">
        <f>IFERROR(IF('Pré Implantação'!B3="CSE Gravadores",AVERAGE('Pré Implantação'!D3,'Pré Implantação'!L3,'Pré Implantação'!I3),AVERAGE('Pré Implantação'!I3)),"")</f>
        <v>0</v>
      </c>
      <c r="G3" s="34" t="str">
        <f>IFERROR(IF('Pré Implantação'!B3="CSC",AVERAGE('Pré Implantação'!D3,'Pré Implantação'!L3,'Pré Implantação'!J3),AVERAGE('Pré Implantação'!J3)),"")</f>
        <v/>
      </c>
      <c r="H3" s="34" t="str">
        <f>IFERROR(IF('Pré Implantação'!B3="Operações \ Negócio",AVERAGE('Pré Implantação'!D3,'Pré Implantação'!L3,'Pré Implantação'!K3),AVERAGE('Pré Implantação'!K3)),"")</f>
        <v/>
      </c>
      <c r="I3" s="34">
        <f>IFERROR(IF('Pré Implantação'!B3="Projetos",AVERAGE('Pré Implantação'!D3,'Pré Implantação'!L3,'Pré Implantação'!M3),AVERAGE('Pré Implantação'!M3)),"")</f>
        <v>0.7</v>
      </c>
      <c r="J3" s="34" t="str">
        <f>IFERROR(IF('Pré Implantação'!B3="Engenharia",AVERAGE('Pré Implantação'!D3,'Pré Implantação'!L3,'Pré Implantação'!N3),AVERAGE('Pré Implantação'!N3)),"")</f>
        <v/>
      </c>
      <c r="K3" s="34" t="str">
        <f>IFERROR(IF('Pré Implantação'!B3="URA",AVERAGE('Pré Implantação'!D3,'Pré Implantação'!L3),""),"")</f>
        <v/>
      </c>
      <c r="L3" s="34" t="str">
        <f>IFERROR(IF('Pré Implantação'!B3="CSE Microsoft",AVERAGE('Pré Implantação'!D3,'Pré Implantação'!L3),""),"")</f>
        <v/>
      </c>
      <c r="M3" s="34" t="str">
        <f>IFERROR(IF('Pré Implantação'!B3="CSE Telecom",AVERAGE('Pré Implantação'!D3,'Pré Implantação'!L3),""),"")</f>
        <v/>
      </c>
      <c r="N3" s="34" t="str">
        <f>IFERROR(IF('Pré Implantação'!B3="Site Suporte de Campo",AVERAGE('Pré Implantação'!D3,'Pré Implantação'!L3),""),"")</f>
        <v/>
      </c>
      <c r="O3" s="49" t="str">
        <f>IFERROR(IF('Pré Implantação'!B3="Infraestrutura",AVERAGE('Pré Implantação'!D3,'Pré Implantação'!L3),""),"")</f>
        <v/>
      </c>
    </row>
    <row r="4" spans="1:15" x14ac:dyDescent="0.3">
      <c r="A4" s="33">
        <f>'Pré Implantação'!A4</f>
        <v>12346</v>
      </c>
      <c r="B4" s="36">
        <f>'Pré Implantação'!C4</f>
        <v>42568.791666666664</v>
      </c>
      <c r="C4" s="34">
        <f>IFERROR(IF('Pré Implantação'!B4="Produção TI",AVERAGE('Pré Implantação'!D4,'Pré Implantação'!L4,'Pré Implantação'!E4,'Pré Implantação'!H4),AVERAGE('Pré Implantação'!E4,'Pré Implantação'!H4)),"")</f>
        <v>0.5</v>
      </c>
      <c r="D4" s="34" t="str">
        <f>IFERROR(IF('Pré Implantação'!B4="CSC Service Desk",AVERAGE('Pré Implantação'!D4,'Pré Implantação'!L4,'Pré Implantação'!F4),AVERAGE('Pré Implantação'!F4)),"")</f>
        <v/>
      </c>
      <c r="E4" s="34">
        <f>IFERROR(IF('Pré Implantação'!B4="CSC NOC",AVERAGE('Pré Implantação'!D4,'Pré Implantação'!L4,'Pré Implantação'!G4),AVERAGE('Pré Implantação'!G4)),"")</f>
        <v>1</v>
      </c>
      <c r="F4" s="34">
        <f>IFERROR(IF('Pré Implantação'!B4="CSE Gravadores",AVERAGE('Pré Implantação'!D4,'Pré Implantação'!L4,'Pré Implantação'!I4),AVERAGE('Pré Implantação'!I4)),"")</f>
        <v>1</v>
      </c>
      <c r="G4" s="34">
        <f>IFERROR(IF('Pré Implantação'!B4="CSC",AVERAGE('Pré Implantação'!D4,'Pré Implantação'!L4,'Pré Implantação'!J4),AVERAGE('Pré Implantação'!J4)),"")</f>
        <v>0.9</v>
      </c>
      <c r="H4" s="34" t="str">
        <f>IFERROR(IF('Pré Implantação'!B4="Operações \ Negócio",AVERAGE('Pré Implantação'!D4,'Pré Implantação'!L4,'Pré Implantação'!K4),AVERAGE('Pré Implantação'!K4)),"")</f>
        <v/>
      </c>
      <c r="I4" s="34" t="str">
        <f>IFERROR(IF('Pré Implantação'!B4="Projetos",AVERAGE('Pré Implantação'!D4,'Pré Implantação'!L4,'Pré Implantação'!M4),AVERAGE('Pré Implantação'!M4)),"")</f>
        <v/>
      </c>
      <c r="J4" s="34">
        <f>IFERROR(IF('Pré Implantação'!B4="Engenharia",AVERAGE('Pré Implantação'!D4,'Pré Implantação'!L4,'Pré Implantação'!N4),AVERAGE('Pré Implantação'!N4)),"")</f>
        <v>1</v>
      </c>
      <c r="K4" s="34" t="str">
        <f>IFERROR(IF('Pré Implantação'!B4="URA",AVERAGE('Pré Implantação'!D4,'Pré Implantação'!L4),""),"")</f>
        <v/>
      </c>
      <c r="L4" s="34">
        <f>IFERROR(IF('Pré Implantação'!B4="CSE Microsoft",AVERAGE('Pré Implantação'!D4,'Pré Implantação'!L4),""),"")</f>
        <v>0.95</v>
      </c>
      <c r="M4" s="34" t="str">
        <f>IFERROR(IF('Pré Implantação'!B4="CSE Telecom",AVERAGE('Pré Implantação'!D4,'Pré Implantação'!L4),""),"")</f>
        <v/>
      </c>
      <c r="N4" s="34" t="str">
        <f>IFERROR(IF('Pré Implantação'!B4="Site Suporte de Campo",AVERAGE('Pré Implantação'!D4,'Pré Implantação'!L4),""),"")</f>
        <v/>
      </c>
      <c r="O4" s="49" t="str">
        <f>IFERROR(IF('Pré Implantação'!B4="Infraestrutura",AVERAGE('Pré Implantação'!D4,'Pré Implantação'!L4),""),"")</f>
        <v/>
      </c>
    </row>
    <row r="5" spans="1:15" x14ac:dyDescent="0.3">
      <c r="A5" s="33">
        <f>'Pré Implantação'!A5</f>
        <v>12347</v>
      </c>
      <c r="B5" s="36">
        <f>'Pré Implantação'!C5</f>
        <v>42564.5</v>
      </c>
      <c r="C5" s="34">
        <f>IFERROR(IF('Pré Implantação'!B5="Produção TI",AVERAGE('Pré Implantação'!D5,'Pré Implantação'!L5,'Pré Implantação'!E5,'Pré Implantação'!H5),AVERAGE('Pré Implantação'!E5,'Pré Implantação'!H5)),"")</f>
        <v>0.2</v>
      </c>
      <c r="D5" s="34">
        <f>IFERROR(IF('Pré Implantação'!B5="CSC Service Desk",AVERAGE('Pré Implantação'!D5,'Pré Implantação'!L5,'Pré Implantação'!F5),AVERAGE('Pré Implantação'!F5)),"")</f>
        <v>0.96666666666666667</v>
      </c>
      <c r="E5" s="34">
        <f>IFERROR(IF('Pré Implantação'!B5="CSC NOC",AVERAGE('Pré Implantação'!D5,'Pré Implantação'!L5,'Pré Implantação'!G5),AVERAGE('Pré Implantação'!G5)),"")</f>
        <v>0</v>
      </c>
      <c r="F5" s="34">
        <f>IFERROR(IF('Pré Implantação'!B5="CSE Gravadores",AVERAGE('Pré Implantação'!D5,'Pré Implantação'!L5,'Pré Implantação'!I5),AVERAGE('Pré Implantação'!I5)),"")</f>
        <v>0.2</v>
      </c>
      <c r="G5" s="34" t="str">
        <f>IFERROR(IF('Pré Implantação'!B5="CSC",AVERAGE('Pré Implantação'!D5,'Pré Implantação'!L5,'Pré Implantação'!J5),AVERAGE('Pré Implantação'!J5)),"")</f>
        <v/>
      </c>
      <c r="H5" s="34" t="str">
        <f>IFERROR(IF('Pré Implantação'!B5="Operações \ Negócio",AVERAGE('Pré Implantação'!D5,'Pré Implantação'!L5,'Pré Implantação'!K5),AVERAGE('Pré Implantação'!K5)),"")</f>
        <v/>
      </c>
      <c r="I5" s="34" t="str">
        <f>IFERROR(IF('Pré Implantação'!B5="Projetos",AVERAGE('Pré Implantação'!D5,'Pré Implantação'!L5,'Pré Implantação'!M5),AVERAGE('Pré Implantação'!M5)),"")</f>
        <v/>
      </c>
      <c r="J5" s="34">
        <f>IFERROR(IF('Pré Implantação'!B5="Engenharia",AVERAGE('Pré Implantação'!D5,'Pré Implantação'!L5,'Pré Implantação'!N5),AVERAGE('Pré Implantação'!N5)),"")</f>
        <v>0.5</v>
      </c>
      <c r="K5" s="34" t="str">
        <f>IFERROR(IF('Pré Implantação'!B5="URA",AVERAGE('Pré Implantação'!D5,'Pré Implantação'!L5),""),"")</f>
        <v/>
      </c>
      <c r="L5" s="34" t="str">
        <f>IFERROR(IF('Pré Implantação'!B5="CSE Microsoft",AVERAGE('Pré Implantação'!D5,'Pré Implantação'!L5),""),"")</f>
        <v/>
      </c>
      <c r="M5" s="34" t="str">
        <f>IFERROR(IF('Pré Implantação'!B5="CSE Telecom",AVERAGE('Pré Implantação'!D5,'Pré Implantação'!L5),""),"")</f>
        <v/>
      </c>
      <c r="N5" s="34" t="str">
        <f>IFERROR(IF('Pré Implantação'!B5="Site Suporte de Campo",AVERAGE('Pré Implantação'!D5,'Pré Implantação'!L5),""),"")</f>
        <v/>
      </c>
      <c r="O5" s="49" t="str">
        <f>IFERROR(IF('Pré Implantação'!B5="Infraestrutura",AVERAGE('Pré Implantação'!D5,'Pré Implantação'!L5),""),"")</f>
        <v/>
      </c>
    </row>
    <row r="6" spans="1:15" x14ac:dyDescent="0.3">
      <c r="A6" s="33">
        <f>'Pré Implantação'!A6</f>
        <v>12348</v>
      </c>
      <c r="B6" s="36">
        <f>'Pré Implantação'!C6</f>
        <v>42573.409722222219</v>
      </c>
      <c r="C6" s="34" t="str">
        <f>IFERROR(IF('Pré Implantação'!B6="Produção TI",AVERAGE('Pré Implantação'!D6,'Pré Implantação'!L6,'Pré Implantação'!E6,'Pré Implantação'!H6),AVERAGE('Pré Implantação'!E6,'Pré Implantação'!H6)),"")</f>
        <v/>
      </c>
      <c r="D6" s="34">
        <f>IFERROR(IF('Pré Implantação'!B6="CSC Service Desk",AVERAGE('Pré Implantação'!D6,'Pré Implantação'!L6,'Pré Implantação'!F6),AVERAGE('Pré Implantação'!F6)),"")</f>
        <v>0.5</v>
      </c>
      <c r="E6" s="34" t="str">
        <f>IFERROR(IF('Pré Implantação'!B6="CSC NOC",AVERAGE('Pré Implantação'!D6,'Pré Implantação'!L6,'Pré Implantação'!G6),AVERAGE('Pré Implantação'!G6)),"")</f>
        <v/>
      </c>
      <c r="F6" s="34" t="str">
        <f>IFERROR(IF('Pré Implantação'!B6="CSE Gravadores",AVERAGE('Pré Implantação'!D6,'Pré Implantação'!L6,'Pré Implantação'!I6),AVERAGE('Pré Implantação'!I6)),"")</f>
        <v/>
      </c>
      <c r="G6" s="34" t="str">
        <f>IFERROR(IF('Pré Implantação'!B6="CSC",AVERAGE('Pré Implantação'!D6,'Pré Implantação'!L6,'Pré Implantação'!J6),AVERAGE('Pré Implantação'!J6)),"")</f>
        <v/>
      </c>
      <c r="H6" s="34" t="str">
        <f>IFERROR(IF('Pré Implantação'!B6="Operações \ Negócio",AVERAGE('Pré Implantação'!D6,'Pré Implantação'!L6,'Pré Implantação'!K6),AVERAGE('Pré Implantação'!K6)),"")</f>
        <v/>
      </c>
      <c r="I6" s="34" t="str">
        <f>IFERROR(IF('Pré Implantação'!B6="Projetos",AVERAGE('Pré Implantação'!D6,'Pré Implantação'!L6,'Pré Implantação'!M6),AVERAGE('Pré Implantação'!M6)),"")</f>
        <v/>
      </c>
      <c r="J6" s="34" t="str">
        <f>IFERROR(IF('Pré Implantação'!B6="Engenharia",AVERAGE('Pré Implantação'!D6,'Pré Implantação'!L6,'Pré Implantação'!N6),AVERAGE('Pré Implantação'!N6)),"")</f>
        <v/>
      </c>
      <c r="K6" s="34" t="str">
        <f>IFERROR(IF('Pré Implantação'!B6="URA",AVERAGE('Pré Implantação'!D6,'Pré Implantação'!L6),""),"")</f>
        <v/>
      </c>
      <c r="L6" s="34" t="str">
        <f>IFERROR(IF('Pré Implantação'!B6="CSE Microsoft",AVERAGE('Pré Implantação'!D6,'Pré Implantação'!L6),""),"")</f>
        <v/>
      </c>
      <c r="M6" s="34">
        <f>IFERROR(IF('Pré Implantação'!B6="CSE Telecom",AVERAGE('Pré Implantação'!D6,'Pré Implantação'!L6),""),"")</f>
        <v>1</v>
      </c>
      <c r="N6" s="34" t="str">
        <f>IFERROR(IF('Pré Implantação'!B6="Site Suporte de Campo",AVERAGE('Pré Implantação'!D6,'Pré Implantação'!L6),""),"")</f>
        <v/>
      </c>
      <c r="O6" s="49" t="str">
        <f>IFERROR(IF('Pré Implantação'!B6="Infraestrutura",AVERAGE('Pré Implantação'!D6,'Pré Implantação'!L6),""),"")</f>
        <v/>
      </c>
    </row>
    <row r="7" spans="1:15" x14ac:dyDescent="0.3">
      <c r="A7" s="33">
        <f>'Pré Implantação'!A7</f>
        <v>12349</v>
      </c>
      <c r="B7" s="36">
        <f>'Pré Implantação'!C7</f>
        <v>42561.083333333336</v>
      </c>
      <c r="C7" s="34">
        <f>IFERROR(IF('Pré Implantação'!B7="Produção TI",AVERAGE('Pré Implantação'!D7,'Pré Implantação'!L7,'Pré Implantação'!E7,'Pré Implantação'!H7),AVERAGE('Pré Implantação'!E7,'Pré Implantação'!H7)),"")</f>
        <v>1</v>
      </c>
      <c r="D7" s="34">
        <f>IFERROR(IF('Pré Implantação'!B7="CSC Service Desk",AVERAGE('Pré Implantação'!D7,'Pré Implantação'!L7,'Pré Implantação'!F7),AVERAGE('Pré Implantação'!F7)),"")</f>
        <v>1</v>
      </c>
      <c r="E7" s="34">
        <f>IFERROR(IF('Pré Implantação'!B7="CSC NOC",AVERAGE('Pré Implantação'!D7,'Pré Implantação'!L7,'Pré Implantação'!G7),AVERAGE('Pré Implantação'!G7)),"")</f>
        <v>0.8</v>
      </c>
      <c r="F7" s="34">
        <f>IFERROR(IF('Pré Implantação'!B7="CSE Gravadores",AVERAGE('Pré Implantação'!D7,'Pré Implantação'!L7,'Pré Implantação'!I7),AVERAGE('Pré Implantação'!I7)),"")</f>
        <v>1</v>
      </c>
      <c r="G7" s="34">
        <f>IFERROR(IF('Pré Implantação'!B7="CSC",AVERAGE('Pré Implantação'!D7,'Pré Implantação'!L7,'Pré Implantação'!J7),AVERAGE('Pré Implantação'!J7)),"")</f>
        <v>1</v>
      </c>
      <c r="H7" s="34">
        <f>IFERROR(IF('Pré Implantação'!B7="Operações \ Negócio",AVERAGE('Pré Implantação'!D7,'Pré Implantação'!L7,'Pré Implantação'!K7),AVERAGE('Pré Implantação'!K7)),"")</f>
        <v>0.2</v>
      </c>
      <c r="I7" s="34">
        <f>IFERROR(IF('Pré Implantação'!B7="Projetos",AVERAGE('Pré Implantação'!D7,'Pré Implantação'!L7,'Pré Implantação'!M7),AVERAGE('Pré Implantação'!M7)),"")</f>
        <v>1</v>
      </c>
      <c r="J7" s="34">
        <f>IFERROR(IF('Pré Implantação'!B7="Engenharia",AVERAGE('Pré Implantação'!D7,'Pré Implantação'!L7,'Pré Implantação'!N7),AVERAGE('Pré Implantação'!N7)),"")</f>
        <v>0.6</v>
      </c>
      <c r="K7" s="34" t="str">
        <f>IFERROR(IF('Pré Implantação'!B7="URA",AVERAGE('Pré Implantação'!D7,'Pré Implantação'!L7),""),"")</f>
        <v/>
      </c>
      <c r="L7" s="34" t="str">
        <f>IFERROR(IF('Pré Implantação'!B7="CSE Microsoft",AVERAGE('Pré Implantação'!D7,'Pré Implantação'!L7),""),"")</f>
        <v/>
      </c>
      <c r="M7" s="34" t="str">
        <f>IFERROR(IF('Pré Implantação'!B7="CSE Telecom",AVERAGE('Pré Implantação'!D7,'Pré Implantação'!L7),""),"")</f>
        <v/>
      </c>
      <c r="N7" s="34" t="str">
        <f>IFERROR(IF('Pré Implantação'!B7="Site Suporte de Campo",AVERAGE('Pré Implantação'!D7,'Pré Implantação'!L7),""),"")</f>
        <v/>
      </c>
      <c r="O7" s="49">
        <f>IFERROR(IF('Pré Implantação'!B7="Infraestrutura",AVERAGE('Pré Implantação'!D7,'Pré Implantação'!L7),""),"")</f>
        <v>1</v>
      </c>
    </row>
    <row r="8" spans="1:15" x14ac:dyDescent="0.3">
      <c r="A8" s="33">
        <f>'Pré Implantação'!A8</f>
        <v>12350</v>
      </c>
      <c r="B8" s="36">
        <f>'Pré Implantação'!C8</f>
        <v>42570.583333333336</v>
      </c>
      <c r="C8" s="34">
        <f>IFERROR(IF('Pré Implantação'!B8="Produção TI",AVERAGE('Pré Implantação'!D8,'Pré Implantação'!L8,'Pré Implantação'!E8,'Pré Implantação'!H8),AVERAGE('Pré Implantação'!E8,'Pré Implantação'!H8)),"")</f>
        <v>0.7</v>
      </c>
      <c r="D8" s="34" t="str">
        <f>IFERROR(IF('Pré Implantação'!B8="CSC Service Desk",AVERAGE('Pré Implantação'!D8,'Pré Implantação'!L8,'Pré Implantação'!F8),AVERAGE('Pré Implantação'!F8)),"")</f>
        <v/>
      </c>
      <c r="E8" s="34">
        <f>IFERROR(IF('Pré Implantação'!B8="CSC NOC",AVERAGE('Pré Implantação'!D8,'Pré Implantação'!L8,'Pré Implantação'!G8),AVERAGE('Pré Implantação'!G8)),"")</f>
        <v>0</v>
      </c>
      <c r="F8" s="34" t="str">
        <f>IFERROR(IF('Pré Implantação'!B8="CSE Gravadores",AVERAGE('Pré Implantação'!D8,'Pré Implantação'!L8,'Pré Implantação'!I8),AVERAGE('Pré Implantação'!I8)),"")</f>
        <v/>
      </c>
      <c r="G8" s="34">
        <f>IFERROR(IF('Pré Implantação'!B8="CSC",AVERAGE('Pré Implantação'!D8,'Pré Implantação'!L8,'Pré Implantação'!J8),AVERAGE('Pré Implantação'!J8)),"")</f>
        <v>0.9</v>
      </c>
      <c r="H8" s="34" t="str">
        <f>IFERROR(IF('Pré Implantação'!B8="Operações \ Negócio",AVERAGE('Pré Implantação'!D8,'Pré Implantação'!L8,'Pré Implantação'!K8),AVERAGE('Pré Implantação'!K8)),"")</f>
        <v/>
      </c>
      <c r="I8" s="34" t="str">
        <f>IFERROR(IF('Pré Implantação'!B8="Projetos",AVERAGE('Pré Implantação'!D8,'Pré Implantação'!L8,'Pré Implantação'!M8),AVERAGE('Pré Implantação'!M8)),"")</f>
        <v/>
      </c>
      <c r="J8" s="34" t="str">
        <f>IFERROR(IF('Pré Implantação'!B8="Engenharia",AVERAGE('Pré Implantação'!D8,'Pré Implantação'!L8,'Pré Implantação'!N8),AVERAGE('Pré Implantação'!N8)),"")</f>
        <v/>
      </c>
      <c r="K8" s="34">
        <f>IFERROR(IF('Pré Implantação'!B8="URA",AVERAGE('Pré Implantação'!D8,'Pré Implantação'!L8),""),"")</f>
        <v>1</v>
      </c>
      <c r="L8" s="34" t="str">
        <f>IFERROR(IF('Pré Implantação'!B8="CSE Microsoft",AVERAGE('Pré Implantação'!D8,'Pré Implantação'!L8),""),"")</f>
        <v/>
      </c>
      <c r="M8" s="34" t="str">
        <f>IFERROR(IF('Pré Implantação'!B8="CSE Telecom",AVERAGE('Pré Implantação'!D8,'Pré Implantação'!L8),""),"")</f>
        <v/>
      </c>
      <c r="N8" s="34" t="str">
        <f>IFERROR(IF('Pré Implantação'!B8="Site Suporte de Campo",AVERAGE('Pré Implantação'!D8,'Pré Implantação'!L8),""),"")</f>
        <v/>
      </c>
      <c r="O8" s="49" t="str">
        <f>IFERROR(IF('Pré Implantação'!B8="Infraestrutura",AVERAGE('Pré Implantação'!D8,'Pré Implantação'!L8),""),"")</f>
        <v/>
      </c>
    </row>
    <row r="9" spans="1:15" x14ac:dyDescent="0.3">
      <c r="A9" s="33">
        <f>'Pré Implantação'!A9</f>
        <v>12351</v>
      </c>
      <c r="B9" s="36">
        <f>'Pré Implantação'!C9</f>
        <v>42562.229166666664</v>
      </c>
      <c r="C9" s="34">
        <f>IFERROR(IF('Pré Implantação'!B9="Produção TI",AVERAGE('Pré Implantação'!D9,'Pré Implantação'!L9,'Pré Implantação'!E9,'Pré Implantação'!H9),AVERAGE('Pré Implantação'!E9,'Pré Implantação'!H9)),"")</f>
        <v>0.8</v>
      </c>
      <c r="D9" s="34" t="str">
        <f>IFERROR(IF('Pré Implantação'!B9="CSC Service Desk",AVERAGE('Pré Implantação'!D9,'Pré Implantação'!L9,'Pré Implantação'!F9),AVERAGE('Pré Implantação'!F9)),"")</f>
        <v/>
      </c>
      <c r="E9" s="34">
        <f>IFERROR(IF('Pré Implantação'!B9="CSC NOC",AVERAGE('Pré Implantação'!D9,'Pré Implantação'!L9,'Pré Implantação'!G9),AVERAGE('Pré Implantação'!G9)),"")</f>
        <v>0.7</v>
      </c>
      <c r="F9" s="34" t="str">
        <f>IFERROR(IF('Pré Implantação'!B9="CSE Gravadores",AVERAGE('Pré Implantação'!D9,'Pré Implantação'!L9,'Pré Implantação'!I9),AVERAGE('Pré Implantação'!I9)),"")</f>
        <v/>
      </c>
      <c r="G9" s="34" t="str">
        <f>IFERROR(IF('Pré Implantação'!B9="CSC",AVERAGE('Pré Implantação'!D9,'Pré Implantação'!L9,'Pré Implantação'!J9),AVERAGE('Pré Implantação'!J9)),"")</f>
        <v/>
      </c>
      <c r="H9" s="34" t="str">
        <f>IFERROR(IF('Pré Implantação'!B9="Operações \ Negócio",AVERAGE('Pré Implantação'!D9,'Pré Implantação'!L9,'Pré Implantação'!K9),AVERAGE('Pré Implantação'!K9)),"")</f>
        <v/>
      </c>
      <c r="I9" s="34" t="str">
        <f>IFERROR(IF('Pré Implantação'!B9="Projetos",AVERAGE('Pré Implantação'!D9,'Pré Implantação'!L9,'Pré Implantação'!M9),AVERAGE('Pré Implantação'!M9)),"")</f>
        <v/>
      </c>
      <c r="J9" s="34">
        <f>IFERROR(IF('Pré Implantação'!B9="Engenharia",AVERAGE('Pré Implantação'!D9,'Pré Implantação'!L9,'Pré Implantação'!N9),AVERAGE('Pré Implantação'!N9)),"")</f>
        <v>0.2</v>
      </c>
      <c r="K9" s="34" t="str">
        <f>IFERROR(IF('Pré Implantação'!B9="URA",AVERAGE('Pré Implantação'!D9,'Pré Implantação'!L9),""),"")</f>
        <v/>
      </c>
      <c r="L9" s="34">
        <f>IFERROR(IF('Pré Implantação'!B9="CSE Microsoft",AVERAGE('Pré Implantação'!D9,'Pré Implantação'!L9),""),"")</f>
        <v>0.7</v>
      </c>
      <c r="M9" s="34" t="str">
        <f>IFERROR(IF('Pré Implantação'!B9="CSE Telecom",AVERAGE('Pré Implantação'!D9,'Pré Implantação'!L9),""),"")</f>
        <v/>
      </c>
      <c r="N9" s="34" t="str">
        <f>IFERROR(IF('Pré Implantação'!B9="Site Suporte de Campo",AVERAGE('Pré Implantação'!D9,'Pré Implantação'!L9),""),"")</f>
        <v/>
      </c>
      <c r="O9" s="49" t="str">
        <f>IFERROR(IF('Pré Implantação'!B9="Infraestrutura",AVERAGE('Pré Implantação'!D9,'Pré Implantação'!L9),""),"")</f>
        <v/>
      </c>
    </row>
    <row r="10" spans="1:15" x14ac:dyDescent="0.3">
      <c r="A10" s="33">
        <f>'Pré Implantação'!A10</f>
        <v>12352</v>
      </c>
      <c r="B10" s="36">
        <f>'Pré Implantação'!C10</f>
        <v>42574.458333333336</v>
      </c>
      <c r="C10" s="34">
        <f>IFERROR(IF('Pré Implantação'!B10="Produção TI",AVERAGE('Pré Implantação'!D10,'Pré Implantação'!L10,'Pré Implantação'!E10,'Pré Implantação'!H10),AVERAGE('Pré Implantação'!E10,'Pré Implantação'!H10)),"")</f>
        <v>0.9</v>
      </c>
      <c r="D10" s="34" t="str">
        <f>IFERROR(IF('Pré Implantação'!B10="CSC Service Desk",AVERAGE('Pré Implantação'!D10,'Pré Implantação'!L10,'Pré Implantação'!F10),AVERAGE('Pré Implantação'!F10)),"")</f>
        <v/>
      </c>
      <c r="E10" s="34" t="str">
        <f>IFERROR(IF('Pré Implantação'!B10="CSC NOC",AVERAGE('Pré Implantação'!D10,'Pré Implantação'!L10,'Pré Implantação'!G10),AVERAGE('Pré Implantação'!G10)),"")</f>
        <v/>
      </c>
      <c r="F10" s="34" t="str">
        <f>IFERROR(IF('Pré Implantação'!B10="CSE Gravadores",AVERAGE('Pré Implantação'!D10,'Pré Implantação'!L10,'Pré Implantação'!I10),AVERAGE('Pré Implantação'!I10)),"")</f>
        <v/>
      </c>
      <c r="G10" s="34" t="str">
        <f>IFERROR(IF('Pré Implantação'!B10="CSC",AVERAGE('Pré Implantação'!D10,'Pré Implantação'!L10,'Pré Implantação'!J10),AVERAGE('Pré Implantação'!J10)),"")</f>
        <v/>
      </c>
      <c r="H10" s="34" t="str">
        <f>IFERROR(IF('Pré Implantação'!B10="Operações \ Negócio",AVERAGE('Pré Implantação'!D10,'Pré Implantação'!L10,'Pré Implantação'!K10),AVERAGE('Pré Implantação'!K10)),"")</f>
        <v/>
      </c>
      <c r="I10" s="34" t="str">
        <f>IFERROR(IF('Pré Implantação'!B10="Projetos",AVERAGE('Pré Implantação'!D10,'Pré Implantação'!L10,'Pré Implantação'!M10),AVERAGE('Pré Implantação'!M10)),"")</f>
        <v/>
      </c>
      <c r="J10" s="34" t="str">
        <f>IFERROR(IF('Pré Implantação'!B10="Engenharia",AVERAGE('Pré Implantação'!D10,'Pré Implantação'!L10,'Pré Implantação'!N10),AVERAGE('Pré Implantação'!N10)),"")</f>
        <v/>
      </c>
      <c r="K10" s="34">
        <f>IFERROR(IF('Pré Implantação'!B10="URA",AVERAGE('Pré Implantação'!D10,'Pré Implantação'!L10),""),"")</f>
        <v>0.75</v>
      </c>
      <c r="L10" s="34" t="str">
        <f>IFERROR(IF('Pré Implantação'!B10="CSE Microsoft",AVERAGE('Pré Implantação'!D10,'Pré Implantação'!L10),""),"")</f>
        <v/>
      </c>
      <c r="M10" s="34" t="str">
        <f>IFERROR(IF('Pré Implantação'!B10="CSE Telecom",AVERAGE('Pré Implantação'!D10,'Pré Implantação'!L10),""),"")</f>
        <v/>
      </c>
      <c r="N10" s="34" t="str">
        <f>IFERROR(IF('Pré Implantação'!B10="Site Suporte de Campo",AVERAGE('Pré Implantação'!D10,'Pré Implantação'!L10),""),"")</f>
        <v/>
      </c>
      <c r="O10" s="49" t="str">
        <f>IFERROR(IF('Pré Implantação'!B10="Infraestrutura",AVERAGE('Pré Implantação'!D10,'Pré Implantação'!L10),""),"")</f>
        <v/>
      </c>
    </row>
    <row r="11" spans="1:15" x14ac:dyDescent="0.3">
      <c r="A11" s="33">
        <f>'Pré Implantação'!A11</f>
        <v>12353</v>
      </c>
      <c r="B11" s="36">
        <f>'Pré Implantação'!C11</f>
        <v>42568.020833333336</v>
      </c>
      <c r="C11" s="34" t="str">
        <f>IFERROR(IF('Pré Implantação'!B11="Produção TI",AVERAGE('Pré Implantação'!D11,'Pré Implantação'!L11,'Pré Implantação'!E11,'Pré Implantação'!H11),AVERAGE('Pré Implantação'!E11,'Pré Implantação'!H11)),"")</f>
        <v/>
      </c>
      <c r="D11" s="34" t="str">
        <f>IFERROR(IF('Pré Implantação'!B11="CSC Service Desk",AVERAGE('Pré Implantação'!D11,'Pré Implantação'!L11,'Pré Implantação'!F11),AVERAGE('Pré Implantação'!F11)),"")</f>
        <v/>
      </c>
      <c r="E11" s="34" t="str">
        <f>IFERROR(IF('Pré Implantação'!B11="CSC NOC",AVERAGE('Pré Implantação'!D11,'Pré Implantação'!L11,'Pré Implantação'!G11),AVERAGE('Pré Implantação'!G11)),"")</f>
        <v/>
      </c>
      <c r="F11" s="34">
        <f>IFERROR(IF('Pré Implantação'!B11="CSE Gravadores",AVERAGE('Pré Implantação'!D11,'Pré Implantação'!L11,'Pré Implantação'!I11),AVERAGE('Pré Implantação'!I11)),"")</f>
        <v>0</v>
      </c>
      <c r="G11" s="34" t="str">
        <f>IFERROR(IF('Pré Implantação'!B11="CSC",AVERAGE('Pré Implantação'!D11,'Pré Implantação'!L11,'Pré Implantação'!J11),AVERAGE('Pré Implantação'!J11)),"")</f>
        <v/>
      </c>
      <c r="H11" s="34" t="str">
        <f>IFERROR(IF('Pré Implantação'!B11="Operações \ Negócio",AVERAGE('Pré Implantação'!D11,'Pré Implantação'!L11,'Pré Implantação'!K11),AVERAGE('Pré Implantação'!K11)),"")</f>
        <v/>
      </c>
      <c r="I11" s="34" t="str">
        <f>IFERROR(IF('Pré Implantação'!B11="Projetos",AVERAGE('Pré Implantação'!D11,'Pré Implantação'!L11,'Pré Implantação'!M11),AVERAGE('Pré Implantação'!M11)),"")</f>
        <v/>
      </c>
      <c r="J11" s="34" t="str">
        <f>IFERROR(IF('Pré Implantação'!B11="Engenharia",AVERAGE('Pré Implantação'!D11,'Pré Implantação'!L11,'Pré Implantação'!N11),AVERAGE('Pré Implantação'!N11)),"")</f>
        <v/>
      </c>
      <c r="K11" s="34" t="str">
        <f>IFERROR(IF('Pré Implantação'!B11="URA",AVERAGE('Pré Implantação'!D11,'Pré Implantação'!L11),""),"")</f>
        <v/>
      </c>
      <c r="L11" s="34" t="str">
        <f>IFERROR(IF('Pré Implantação'!B11="CSE Microsoft",AVERAGE('Pré Implantação'!D11,'Pré Implantação'!L11),""),"")</f>
        <v/>
      </c>
      <c r="M11" s="34">
        <f>IFERROR(IF('Pré Implantação'!B11="CSE Telecom",AVERAGE('Pré Implantação'!D11,'Pré Implantação'!L11),""),"")</f>
        <v>1</v>
      </c>
      <c r="N11" s="34" t="str">
        <f>IFERROR(IF('Pré Implantação'!B11="Site Suporte de Campo",AVERAGE('Pré Implantação'!D11,'Pré Implantação'!L11),""),"")</f>
        <v/>
      </c>
      <c r="O11" s="49" t="str">
        <f>IFERROR(IF('Pré Implantação'!B11="Infraestrutura",AVERAGE('Pré Implantação'!D11,'Pré Implantação'!L11),""),"")</f>
        <v/>
      </c>
    </row>
    <row r="12" spans="1:15" x14ac:dyDescent="0.3">
      <c r="A12" s="33">
        <f>'Pré Implantação'!A12</f>
        <v>12354</v>
      </c>
      <c r="B12" s="36">
        <f>'Pré Implantação'!C12</f>
        <v>42569.802083333336</v>
      </c>
      <c r="C12" s="34">
        <f>IFERROR(IF('Pré Implantação'!B12="Produção TI",AVERAGE('Pré Implantação'!D12,'Pré Implantação'!L12,'Pré Implantação'!E12,'Pré Implantação'!H12),AVERAGE('Pré Implantação'!E12,'Pré Implantação'!H12)),"")</f>
        <v>0.75</v>
      </c>
      <c r="D12" s="34">
        <f>IFERROR(IF('Pré Implantação'!B12="CSC Service Desk",AVERAGE('Pré Implantação'!D12,'Pré Implantação'!L12,'Pré Implantação'!F12),AVERAGE('Pré Implantação'!F12)),"")</f>
        <v>1</v>
      </c>
      <c r="E12" s="34">
        <f>IFERROR(IF('Pré Implantação'!B12="CSC NOC",AVERAGE('Pré Implantação'!D12,'Pré Implantação'!L12,'Pré Implantação'!G12),AVERAGE('Pré Implantação'!G12)),"")</f>
        <v>0.8</v>
      </c>
      <c r="F12" s="34">
        <f>IFERROR(IF('Pré Implantação'!B12="CSE Gravadores",AVERAGE('Pré Implantação'!D12,'Pré Implantação'!L12,'Pré Implantação'!I12),AVERAGE('Pré Implantação'!I12)),"")</f>
        <v>0.7</v>
      </c>
      <c r="G12" s="34">
        <f>IFERROR(IF('Pré Implantação'!B12="CSC",AVERAGE('Pré Implantação'!D12,'Pré Implantação'!L12,'Pré Implantação'!J12),AVERAGE('Pré Implantação'!J12)),"")</f>
        <v>1</v>
      </c>
      <c r="H12" s="34">
        <f>IFERROR(IF('Pré Implantação'!B12="Operações \ Negócio",AVERAGE('Pré Implantação'!D12,'Pré Implantação'!L12,'Pré Implantação'!K12),AVERAGE('Pré Implantação'!K12)),"")</f>
        <v>1</v>
      </c>
      <c r="I12" s="34">
        <f>IFERROR(IF('Pré Implantação'!B12="Projetos",AVERAGE('Pré Implantação'!D12,'Pré Implantação'!L12,'Pré Implantação'!M12),AVERAGE('Pré Implantação'!M12)),"")</f>
        <v>1</v>
      </c>
      <c r="J12" s="34">
        <f>IFERROR(IF('Pré Implantação'!B12="Engenharia",AVERAGE('Pré Implantação'!D12,'Pré Implantação'!L12,'Pré Implantação'!N12),AVERAGE('Pré Implantação'!N12)),"")</f>
        <v>1</v>
      </c>
      <c r="K12" s="34" t="str">
        <f>IFERROR(IF('Pré Implantação'!B12="URA",AVERAGE('Pré Implantação'!D12,'Pré Implantação'!L12),""),"")</f>
        <v/>
      </c>
      <c r="L12" s="34">
        <f>IFERROR(IF('Pré Implantação'!B12="CSE Microsoft",AVERAGE('Pré Implantação'!D12,'Pré Implantação'!L12),""),"")</f>
        <v>1</v>
      </c>
      <c r="M12" s="34" t="str">
        <f>IFERROR(IF('Pré Implantação'!B12="CSE Telecom",AVERAGE('Pré Implantação'!D12,'Pré Implantação'!L12),""),"")</f>
        <v/>
      </c>
      <c r="N12" s="34" t="str">
        <f>IFERROR(IF('Pré Implantação'!B12="Site Suporte de Campo",AVERAGE('Pré Implantação'!D12,'Pré Implantação'!L12),""),"")</f>
        <v/>
      </c>
      <c r="O12" s="49" t="str">
        <f>IFERROR(IF('Pré Implantação'!B12="Infraestrutura",AVERAGE('Pré Implantação'!D12,'Pré Implantação'!L12),""),"")</f>
        <v/>
      </c>
    </row>
    <row r="13" spans="1:15" x14ac:dyDescent="0.3">
      <c r="A13" s="33">
        <f>'Pré Implantação'!A13</f>
        <v>12355</v>
      </c>
      <c r="B13" s="36">
        <f>'Pré Implantação'!C13</f>
        <v>42569.666666666664</v>
      </c>
      <c r="C13" s="34">
        <f>IFERROR(IF('Pré Implantação'!B13="Produção TI",AVERAGE('Pré Implantação'!D13,'Pré Implantação'!L13,'Pré Implantação'!E13,'Pré Implantação'!H13),AVERAGE('Pré Implantação'!E13,'Pré Implantação'!H13)),"")</f>
        <v>0.5</v>
      </c>
      <c r="D13" s="34">
        <f>IFERROR(IF('Pré Implantação'!B13="CSC Service Desk",AVERAGE('Pré Implantação'!D13,'Pré Implantação'!L13,'Pré Implantação'!F13),AVERAGE('Pré Implantação'!F13)),"")</f>
        <v>0.2</v>
      </c>
      <c r="E13" s="34" t="str">
        <f>IFERROR(IF('Pré Implantação'!B13="CSC NOC",AVERAGE('Pré Implantação'!D13,'Pré Implantação'!L13,'Pré Implantação'!G13),AVERAGE('Pré Implantação'!G13)),"")</f>
        <v/>
      </c>
      <c r="F13" s="34" t="str">
        <f>IFERROR(IF('Pré Implantação'!B13="CSE Gravadores",AVERAGE('Pré Implantação'!D13,'Pré Implantação'!L13,'Pré Implantação'!I13),AVERAGE('Pré Implantação'!I13)),"")</f>
        <v/>
      </c>
      <c r="G13" s="34">
        <f>IFERROR(IF('Pré Implantação'!B13="CSC",AVERAGE('Pré Implantação'!D13,'Pré Implantação'!L13,'Pré Implantação'!J13),AVERAGE('Pré Implantação'!J13)),"")</f>
        <v>0.8</v>
      </c>
      <c r="H13" s="34">
        <f>IFERROR(IF('Pré Implantação'!B13="Operações \ Negócio",AVERAGE('Pré Implantação'!D13,'Pré Implantação'!L13,'Pré Implantação'!K13),AVERAGE('Pré Implantação'!K13)),"")</f>
        <v>0</v>
      </c>
      <c r="I13" s="34" t="str">
        <f>IFERROR(IF('Pré Implantação'!B13="Projetos",AVERAGE('Pré Implantação'!D13,'Pré Implantação'!L13,'Pré Implantação'!M13),AVERAGE('Pré Implantação'!M13)),"")</f>
        <v/>
      </c>
      <c r="J13" s="34">
        <f>IFERROR(IF('Pré Implantação'!B13="Engenharia",AVERAGE('Pré Implantação'!D13,'Pré Implantação'!L13,'Pré Implantação'!N13),AVERAGE('Pré Implantação'!N13)),"")</f>
        <v>0.1</v>
      </c>
      <c r="K13" s="34" t="str">
        <f>IFERROR(IF('Pré Implantação'!B13="URA",AVERAGE('Pré Implantação'!D13,'Pré Implantação'!L13),""),"")</f>
        <v/>
      </c>
      <c r="L13" s="34" t="str">
        <f>IFERROR(IF('Pré Implantação'!B13="CSE Microsoft",AVERAGE('Pré Implantação'!D13,'Pré Implantação'!L13),""),"")</f>
        <v/>
      </c>
      <c r="M13" s="34" t="str">
        <f>IFERROR(IF('Pré Implantação'!B13="CSE Telecom",AVERAGE('Pré Implantação'!D13,'Pré Implantação'!L13),""),"")</f>
        <v/>
      </c>
      <c r="N13" s="34" t="str">
        <f>IFERROR(IF('Pré Implantação'!B13="Site Suporte de Campo",AVERAGE('Pré Implantação'!D13,'Pré Implantação'!L13),""),"")</f>
        <v/>
      </c>
      <c r="O13" s="49" t="str">
        <f>IFERROR(IF('Pré Implantação'!B13="Infraestrutura",AVERAGE('Pré Implantação'!D13,'Pré Implantação'!L13),""),"")</f>
        <v/>
      </c>
    </row>
    <row r="14" spans="1:15" x14ac:dyDescent="0.3">
      <c r="A14" s="33">
        <f>'Pré Implantação'!A14</f>
        <v>0</v>
      </c>
      <c r="B14" s="36">
        <f>'Pré Implantação'!C14</f>
        <v>0</v>
      </c>
      <c r="C14" s="34" t="str">
        <f>IFERROR(IF('Pré Implantação'!B14="Produção TI",AVERAGE('Pré Implantação'!D14,'Pré Implantação'!L14,'Pré Implantação'!E14,'Pré Implantação'!H14),AVERAGE('Pré Implantação'!E14,'Pré Implantação'!H14)),"")</f>
        <v/>
      </c>
      <c r="D14" s="34" t="str">
        <f>IFERROR(IF('Pré Implantação'!B14="CSC Service Desk",AVERAGE('Pré Implantação'!D14,'Pré Implantação'!L14,'Pré Implantação'!F14),AVERAGE('Pré Implantação'!F14)),"")</f>
        <v/>
      </c>
      <c r="E14" s="34" t="str">
        <f>IFERROR(IF('Pré Implantação'!B14="CSC NOC",AVERAGE('Pré Implantação'!D14,'Pré Implantação'!L14,'Pré Implantação'!G14),AVERAGE('Pré Implantação'!G14)),"")</f>
        <v/>
      </c>
      <c r="F14" s="34" t="str">
        <f>IFERROR(IF('Pré Implantação'!B14="CSE Gravadores",AVERAGE('Pré Implantação'!D14,'Pré Implantação'!L14,'Pré Implantação'!I14),AVERAGE('Pré Implantação'!I14)),"")</f>
        <v/>
      </c>
      <c r="G14" s="34" t="str">
        <f>IFERROR(IF('Pré Implantação'!B14="CSC",AVERAGE('Pré Implantação'!D14,'Pré Implantação'!L14,'Pré Implantação'!J14),AVERAGE('Pré Implantação'!J14)),"")</f>
        <v/>
      </c>
      <c r="H14" s="34" t="str">
        <f>IFERROR(IF('Pré Implantação'!B14="Operações \ Negócio",AVERAGE('Pré Implantação'!D14,'Pré Implantação'!L14,'Pré Implantação'!K14),AVERAGE('Pré Implantação'!K14)),"")</f>
        <v/>
      </c>
      <c r="I14" s="34" t="str">
        <f>IFERROR(IF('Pré Implantação'!B14="Projetos",AVERAGE('Pré Implantação'!D14,'Pré Implantação'!L14,'Pré Implantação'!M14),AVERAGE('Pré Implantação'!M14)),"")</f>
        <v/>
      </c>
      <c r="J14" s="34" t="str">
        <f>IFERROR(IF('Pré Implantação'!B14="Engenharia",AVERAGE('Pré Implantação'!D14,'Pré Implantação'!L14,'Pré Implantação'!N14),AVERAGE('Pré Implantação'!N14)),"")</f>
        <v/>
      </c>
      <c r="K14" s="34" t="str">
        <f>IFERROR(IF('Pré Implantação'!B14="URA",AVERAGE('Pré Implantação'!D14,'Pré Implantação'!L14),""),"")</f>
        <v/>
      </c>
      <c r="L14" s="34" t="str">
        <f>IFERROR(IF('Pré Implantação'!B14="CSE Microsoft",AVERAGE('Pré Implantação'!D14,'Pré Implantação'!L14),""),"")</f>
        <v/>
      </c>
      <c r="M14" s="34" t="str">
        <f>IFERROR(IF('Pré Implantação'!B14="CSE Telecom",AVERAGE('Pré Implantação'!D14,'Pré Implantação'!L14),""),"")</f>
        <v/>
      </c>
      <c r="N14" s="34" t="str">
        <f>IFERROR(IF('Pré Implantação'!B14="Site Suporte de Campo",AVERAGE('Pré Implantação'!D14,'Pré Implantação'!L14),""),"")</f>
        <v/>
      </c>
      <c r="O14" s="49" t="str">
        <f>IFERROR(IF('Pré Implantação'!B14="Infraestrutura",AVERAGE('Pré Implantação'!D14,'Pré Implantação'!L14),""),"")</f>
        <v/>
      </c>
    </row>
    <row r="15" spans="1:15" x14ac:dyDescent="0.3">
      <c r="A15" s="33">
        <f>'Pré Implantação'!A15</f>
        <v>0</v>
      </c>
      <c r="B15" s="36">
        <f>'Pré Implantação'!C15</f>
        <v>0</v>
      </c>
      <c r="C15" s="34" t="str">
        <f>IFERROR(IF('Pré Implantação'!B15="Produção TI",AVERAGE('Pré Implantação'!D15,'Pré Implantação'!L15,'Pré Implantação'!E15,'Pré Implantação'!H15),AVERAGE('Pré Implantação'!E15,'Pré Implantação'!H15)),"")</f>
        <v/>
      </c>
      <c r="D15" s="34" t="str">
        <f>IFERROR(IF('Pré Implantação'!B15="CSC Service Desk",AVERAGE('Pré Implantação'!D15,'Pré Implantação'!L15,'Pré Implantação'!F15),AVERAGE('Pré Implantação'!F15)),"")</f>
        <v/>
      </c>
      <c r="E15" s="34" t="str">
        <f>IFERROR(IF('Pré Implantação'!B15="CSC NOC",AVERAGE('Pré Implantação'!D15,'Pré Implantação'!L15,'Pré Implantação'!G15),AVERAGE('Pré Implantação'!G15)),"")</f>
        <v/>
      </c>
      <c r="F15" s="34" t="str">
        <f>IFERROR(IF('Pré Implantação'!B15="CSE Gravadores",AVERAGE('Pré Implantação'!D15,'Pré Implantação'!L15,'Pré Implantação'!I15),AVERAGE('Pré Implantação'!I15)),"")</f>
        <v/>
      </c>
      <c r="G15" s="34" t="str">
        <f>IFERROR(IF('Pré Implantação'!B15="CSC",AVERAGE('Pré Implantação'!D15,'Pré Implantação'!L15,'Pré Implantação'!J15),AVERAGE('Pré Implantação'!J15)),"")</f>
        <v/>
      </c>
      <c r="H15" s="34" t="str">
        <f>IFERROR(IF('Pré Implantação'!B15="Operações \ Negócio",AVERAGE('Pré Implantação'!D15,'Pré Implantação'!L15,'Pré Implantação'!K15),AVERAGE('Pré Implantação'!K15)),"")</f>
        <v/>
      </c>
      <c r="I15" s="34" t="str">
        <f>IFERROR(IF('Pré Implantação'!B15="Projetos",AVERAGE('Pré Implantação'!D15,'Pré Implantação'!L15,'Pré Implantação'!M15),AVERAGE('Pré Implantação'!M15)),"")</f>
        <v/>
      </c>
      <c r="J15" s="34" t="str">
        <f>IFERROR(IF('Pré Implantação'!B15="Engenharia",AVERAGE('Pré Implantação'!D15,'Pré Implantação'!L15,'Pré Implantação'!N15),AVERAGE('Pré Implantação'!N15)),"")</f>
        <v/>
      </c>
      <c r="K15" s="34" t="str">
        <f>IFERROR(IF('Pré Implantação'!B15="URA",AVERAGE('Pré Implantação'!D15,'Pré Implantação'!L15),""),"")</f>
        <v/>
      </c>
      <c r="L15" s="34" t="str">
        <f>IFERROR(IF('Pré Implantação'!B15="CSE Microsoft",AVERAGE('Pré Implantação'!D15,'Pré Implantação'!L15),""),"")</f>
        <v/>
      </c>
      <c r="M15" s="34" t="str">
        <f>IFERROR(IF('Pré Implantação'!B15="CSE Telecom",AVERAGE('Pré Implantação'!D15,'Pré Implantação'!L15),""),"")</f>
        <v/>
      </c>
      <c r="N15" s="34" t="str">
        <f>IFERROR(IF('Pré Implantação'!B15="Site Suporte de Campo",AVERAGE('Pré Implantação'!D15,'Pré Implantação'!L15),""),"")</f>
        <v/>
      </c>
      <c r="O15" s="49" t="str">
        <f>IFERROR(IF('Pré Implantação'!B15="Infraestrutura",AVERAGE('Pré Implantação'!D15,'Pré Implantação'!L15),""),"")</f>
        <v/>
      </c>
    </row>
    <row r="16" spans="1:15" x14ac:dyDescent="0.3">
      <c r="A16" s="33">
        <f>'Pré Implantação'!A16</f>
        <v>0</v>
      </c>
      <c r="B16" s="36">
        <f>'Pré Implantação'!C16</f>
        <v>0</v>
      </c>
      <c r="C16" s="34" t="str">
        <f>IFERROR(IF('Pré Implantação'!B16="Produção TI",AVERAGE('Pré Implantação'!D16,'Pré Implantação'!L16,'Pré Implantação'!E16,'Pré Implantação'!H16),AVERAGE('Pré Implantação'!E16,'Pré Implantação'!H16)),"")</f>
        <v/>
      </c>
      <c r="D16" s="34" t="str">
        <f>IFERROR(IF('Pré Implantação'!B16="CSC Service Desk",AVERAGE('Pré Implantação'!D16,'Pré Implantação'!L16,'Pré Implantação'!F16),AVERAGE('Pré Implantação'!F16)),"")</f>
        <v/>
      </c>
      <c r="E16" s="34" t="str">
        <f>IFERROR(IF('Pré Implantação'!B16="CSC NOC",AVERAGE('Pré Implantação'!D16,'Pré Implantação'!L16,'Pré Implantação'!G16),AVERAGE('Pré Implantação'!G16)),"")</f>
        <v/>
      </c>
      <c r="F16" s="34" t="str">
        <f>IFERROR(IF('Pré Implantação'!B16="CSE Gravadores",AVERAGE('Pré Implantação'!D16,'Pré Implantação'!L16,'Pré Implantação'!I16),AVERAGE('Pré Implantação'!I16)),"")</f>
        <v/>
      </c>
      <c r="G16" s="34" t="str">
        <f>IFERROR(IF('Pré Implantação'!B16="CSC",AVERAGE('Pré Implantação'!D16,'Pré Implantação'!L16,'Pré Implantação'!J16),AVERAGE('Pré Implantação'!J16)),"")</f>
        <v/>
      </c>
      <c r="H16" s="34" t="str">
        <f>IFERROR(IF('Pré Implantação'!B16="Operações \ Negócio",AVERAGE('Pré Implantação'!D16,'Pré Implantação'!L16,'Pré Implantação'!K16),AVERAGE('Pré Implantação'!K16)),"")</f>
        <v/>
      </c>
      <c r="I16" s="34" t="str">
        <f>IFERROR(IF('Pré Implantação'!B16="Projetos",AVERAGE('Pré Implantação'!D16,'Pré Implantação'!L16,'Pré Implantação'!M16),AVERAGE('Pré Implantação'!M16)),"")</f>
        <v/>
      </c>
      <c r="J16" s="34" t="str">
        <f>IFERROR(IF('Pré Implantação'!B16="Engenharia",AVERAGE('Pré Implantação'!D16,'Pré Implantação'!L16,'Pré Implantação'!N16),AVERAGE('Pré Implantação'!N16)),"")</f>
        <v/>
      </c>
      <c r="K16" s="34" t="str">
        <f>IFERROR(IF('Pré Implantação'!B16="URA",AVERAGE('Pré Implantação'!D16,'Pré Implantação'!L16),""),"")</f>
        <v/>
      </c>
      <c r="L16" s="34" t="str">
        <f>IFERROR(IF('Pré Implantação'!B16="CSE Microsoft",AVERAGE('Pré Implantação'!D16,'Pré Implantação'!L16),""),"")</f>
        <v/>
      </c>
      <c r="M16" s="34" t="str">
        <f>IFERROR(IF('Pré Implantação'!B16="CSE Telecom",AVERAGE('Pré Implantação'!D16,'Pré Implantação'!L16),""),"")</f>
        <v/>
      </c>
      <c r="N16" s="34" t="str">
        <f>IFERROR(IF('Pré Implantação'!B16="Site Suporte de Campo",AVERAGE('Pré Implantação'!D16,'Pré Implantação'!L16),""),"")</f>
        <v/>
      </c>
      <c r="O16" s="49" t="str">
        <f>IFERROR(IF('Pré Implantação'!B16="Infraestrutura",AVERAGE('Pré Implantação'!D16,'Pré Implantação'!L16),""),"")</f>
        <v/>
      </c>
    </row>
    <row r="17" spans="1:15" x14ac:dyDescent="0.3">
      <c r="A17" s="33">
        <f>'Pré Implantação'!A17</f>
        <v>0</v>
      </c>
      <c r="B17" s="36">
        <f>'Pré Implantação'!C17</f>
        <v>0</v>
      </c>
      <c r="C17" s="34" t="str">
        <f>IFERROR(IF('Pré Implantação'!B17="Produção TI",AVERAGE('Pré Implantação'!D17,'Pré Implantação'!L17,'Pré Implantação'!E17,'Pré Implantação'!H17),AVERAGE('Pré Implantação'!E17,'Pré Implantação'!H17)),"")</f>
        <v/>
      </c>
      <c r="D17" s="34" t="str">
        <f>IFERROR(IF('Pré Implantação'!B17="CSC Service Desk",AVERAGE('Pré Implantação'!D17,'Pré Implantação'!L17,'Pré Implantação'!F17),AVERAGE('Pré Implantação'!F17)),"")</f>
        <v/>
      </c>
      <c r="E17" s="34" t="str">
        <f>IFERROR(IF('Pré Implantação'!B17="CSC NOC",AVERAGE('Pré Implantação'!D17,'Pré Implantação'!L17,'Pré Implantação'!G17),AVERAGE('Pré Implantação'!G17)),"")</f>
        <v/>
      </c>
      <c r="F17" s="34" t="str">
        <f>IFERROR(IF('Pré Implantação'!B17="CSE Gravadores",AVERAGE('Pré Implantação'!D17,'Pré Implantação'!L17,'Pré Implantação'!I17),AVERAGE('Pré Implantação'!I17)),"")</f>
        <v/>
      </c>
      <c r="G17" s="34" t="str">
        <f>IFERROR(IF('Pré Implantação'!B17="CSC",AVERAGE('Pré Implantação'!D17,'Pré Implantação'!L17,'Pré Implantação'!J17),AVERAGE('Pré Implantação'!J17)),"")</f>
        <v/>
      </c>
      <c r="H17" s="34" t="str">
        <f>IFERROR(IF('Pré Implantação'!B17="Operações \ Negócio",AVERAGE('Pré Implantação'!D17,'Pré Implantação'!L17,'Pré Implantação'!K17),AVERAGE('Pré Implantação'!K17)),"")</f>
        <v/>
      </c>
      <c r="I17" s="34" t="str">
        <f>IFERROR(IF('Pré Implantação'!B17="Projetos",AVERAGE('Pré Implantação'!D17,'Pré Implantação'!L17,'Pré Implantação'!M17),AVERAGE('Pré Implantação'!M17)),"")</f>
        <v/>
      </c>
      <c r="J17" s="34" t="str">
        <f>IFERROR(IF('Pré Implantação'!B17="Engenharia",AVERAGE('Pré Implantação'!D17,'Pré Implantação'!L17,'Pré Implantação'!N17),AVERAGE('Pré Implantação'!N17)),"")</f>
        <v/>
      </c>
      <c r="K17" s="34" t="str">
        <f>IFERROR(IF('Pré Implantação'!B17="URA",AVERAGE('Pré Implantação'!D17,'Pré Implantação'!L17),""),"")</f>
        <v/>
      </c>
      <c r="L17" s="34" t="str">
        <f>IFERROR(IF('Pré Implantação'!B17="CSE Microsoft",AVERAGE('Pré Implantação'!D17,'Pré Implantação'!L17),""),"")</f>
        <v/>
      </c>
      <c r="M17" s="34" t="str">
        <f>IFERROR(IF('Pré Implantação'!B17="CSE Telecom",AVERAGE('Pré Implantação'!D17,'Pré Implantação'!L17),""),"")</f>
        <v/>
      </c>
      <c r="N17" s="34" t="str">
        <f>IFERROR(IF('Pré Implantação'!B17="Site Suporte de Campo",AVERAGE('Pré Implantação'!D17,'Pré Implantação'!L17),""),"")</f>
        <v/>
      </c>
      <c r="O17" s="49" t="str">
        <f>IFERROR(IF('Pré Implantação'!B17="Infraestrutura",AVERAGE('Pré Implantação'!D17,'Pré Implantação'!L17),""),"")</f>
        <v/>
      </c>
    </row>
    <row r="18" spans="1:15" x14ac:dyDescent="0.3">
      <c r="A18" s="33">
        <f>'Pré Implantação'!A18</f>
        <v>0</v>
      </c>
      <c r="B18" s="36">
        <f>'Pré Implantação'!C18</f>
        <v>0</v>
      </c>
      <c r="C18" s="34" t="str">
        <f>IFERROR(IF('Pré Implantação'!B18="Produção TI",AVERAGE('Pré Implantação'!D18,'Pré Implantação'!L18,'Pré Implantação'!E18,'Pré Implantação'!H18),AVERAGE('Pré Implantação'!E18,'Pré Implantação'!H18)),"")</f>
        <v/>
      </c>
      <c r="D18" s="34" t="str">
        <f>IFERROR(IF('Pré Implantação'!B18="CSC Service Desk",AVERAGE('Pré Implantação'!D18,'Pré Implantação'!L18,'Pré Implantação'!F18),AVERAGE('Pré Implantação'!F18)),"")</f>
        <v/>
      </c>
      <c r="E18" s="34" t="str">
        <f>IFERROR(IF('Pré Implantação'!B18="CSC NOC",AVERAGE('Pré Implantação'!D18,'Pré Implantação'!L18,'Pré Implantação'!G18),AVERAGE('Pré Implantação'!G18)),"")</f>
        <v/>
      </c>
      <c r="F18" s="34" t="str">
        <f>IFERROR(IF('Pré Implantação'!B18="CSE Gravadores",AVERAGE('Pré Implantação'!D18,'Pré Implantação'!L18,'Pré Implantação'!I18),AVERAGE('Pré Implantação'!I18)),"")</f>
        <v/>
      </c>
      <c r="G18" s="34" t="str">
        <f>IFERROR(IF('Pré Implantação'!B18="CSC",AVERAGE('Pré Implantação'!D18,'Pré Implantação'!L18,'Pré Implantação'!J18),AVERAGE('Pré Implantação'!J18)),"")</f>
        <v/>
      </c>
      <c r="H18" s="34" t="str">
        <f>IFERROR(IF('Pré Implantação'!B18="Operações \ Negócio",AVERAGE('Pré Implantação'!D18,'Pré Implantação'!L18,'Pré Implantação'!K18),AVERAGE('Pré Implantação'!K18)),"")</f>
        <v/>
      </c>
      <c r="I18" s="34" t="str">
        <f>IFERROR(IF('Pré Implantação'!B18="Projetos",AVERAGE('Pré Implantação'!D18,'Pré Implantação'!L18,'Pré Implantação'!M18),AVERAGE('Pré Implantação'!M18)),"")</f>
        <v/>
      </c>
      <c r="J18" s="34" t="str">
        <f>IFERROR(IF('Pré Implantação'!B18="Engenharia",AVERAGE('Pré Implantação'!D18,'Pré Implantação'!L18,'Pré Implantação'!N18),AVERAGE('Pré Implantação'!N18)),"")</f>
        <v/>
      </c>
      <c r="K18" s="34" t="str">
        <f>IFERROR(IF('Pré Implantação'!B18="URA",AVERAGE('Pré Implantação'!D18,'Pré Implantação'!L18),""),"")</f>
        <v/>
      </c>
      <c r="L18" s="34" t="str">
        <f>IFERROR(IF('Pré Implantação'!B18="CSE Microsoft",AVERAGE('Pré Implantação'!D18,'Pré Implantação'!L18),""),"")</f>
        <v/>
      </c>
      <c r="M18" s="34" t="str">
        <f>IFERROR(IF('Pré Implantação'!B18="CSE Telecom",AVERAGE('Pré Implantação'!D18,'Pré Implantação'!L18),""),"")</f>
        <v/>
      </c>
      <c r="N18" s="34" t="str">
        <f>IFERROR(IF('Pré Implantação'!B18="Site Suporte de Campo",AVERAGE('Pré Implantação'!D18,'Pré Implantação'!L18),""),"")</f>
        <v/>
      </c>
      <c r="O18" s="49" t="str">
        <f>IFERROR(IF('Pré Implantação'!B18="Infraestrutura",AVERAGE('Pré Implantação'!D18,'Pré Implantação'!L18),""),"")</f>
        <v/>
      </c>
    </row>
    <row r="19" spans="1:15" x14ac:dyDescent="0.3">
      <c r="A19" s="33">
        <f>'Pré Implantação'!A19</f>
        <v>0</v>
      </c>
      <c r="B19" s="36">
        <f>'Pré Implantação'!C19</f>
        <v>0</v>
      </c>
      <c r="C19" s="34" t="str">
        <f>IFERROR(IF('Pré Implantação'!B19="Produção TI",AVERAGE('Pré Implantação'!D19,'Pré Implantação'!L19,'Pré Implantação'!E19,'Pré Implantação'!H19),AVERAGE('Pré Implantação'!E19,'Pré Implantação'!H19)),"")</f>
        <v/>
      </c>
      <c r="D19" s="34" t="str">
        <f>IFERROR(IF('Pré Implantação'!B19="CSC Service Desk",AVERAGE('Pré Implantação'!D19,'Pré Implantação'!L19,'Pré Implantação'!F19),AVERAGE('Pré Implantação'!F19)),"")</f>
        <v/>
      </c>
      <c r="E19" s="34" t="str">
        <f>IFERROR(IF('Pré Implantação'!B19="CSC NOC",AVERAGE('Pré Implantação'!D19,'Pré Implantação'!L19,'Pré Implantação'!G19),AVERAGE('Pré Implantação'!G19)),"")</f>
        <v/>
      </c>
      <c r="F19" s="34" t="str">
        <f>IFERROR(IF('Pré Implantação'!B19="CSE Gravadores",AVERAGE('Pré Implantação'!D19,'Pré Implantação'!L19,'Pré Implantação'!I19),AVERAGE('Pré Implantação'!I19)),"")</f>
        <v/>
      </c>
      <c r="G19" s="34" t="str">
        <f>IFERROR(IF('Pré Implantação'!B19="CSC",AVERAGE('Pré Implantação'!D19,'Pré Implantação'!L19,'Pré Implantação'!J19),AVERAGE('Pré Implantação'!J19)),"")</f>
        <v/>
      </c>
      <c r="H19" s="34" t="str">
        <f>IFERROR(IF('Pré Implantação'!B19="Operações \ Negócio",AVERAGE('Pré Implantação'!D19,'Pré Implantação'!L19,'Pré Implantação'!K19),AVERAGE('Pré Implantação'!K19)),"")</f>
        <v/>
      </c>
      <c r="I19" s="34" t="str">
        <f>IFERROR(IF('Pré Implantação'!B19="Projetos",AVERAGE('Pré Implantação'!D19,'Pré Implantação'!L19,'Pré Implantação'!M19),AVERAGE('Pré Implantação'!M19)),"")</f>
        <v/>
      </c>
      <c r="J19" s="34" t="str">
        <f>IFERROR(IF('Pré Implantação'!B19="Engenharia",AVERAGE('Pré Implantação'!D19,'Pré Implantação'!L19,'Pré Implantação'!N19),AVERAGE('Pré Implantação'!N19)),"")</f>
        <v/>
      </c>
      <c r="K19" s="34" t="str">
        <f>IFERROR(IF('Pré Implantação'!B19="URA",AVERAGE('Pré Implantação'!D19,'Pré Implantação'!L19),""),"")</f>
        <v/>
      </c>
      <c r="L19" s="34" t="str">
        <f>IFERROR(IF('Pré Implantação'!B19="CSE Microsoft",AVERAGE('Pré Implantação'!D19,'Pré Implantação'!L19),""),"")</f>
        <v/>
      </c>
      <c r="M19" s="34" t="str">
        <f>IFERROR(IF('Pré Implantação'!B19="CSE Telecom",AVERAGE('Pré Implantação'!D19,'Pré Implantação'!L19),""),"")</f>
        <v/>
      </c>
      <c r="N19" s="34" t="str">
        <f>IFERROR(IF('Pré Implantação'!B19="Site Suporte de Campo",AVERAGE('Pré Implantação'!D19,'Pré Implantação'!L19),""),"")</f>
        <v/>
      </c>
      <c r="O19" s="49" t="str">
        <f>IFERROR(IF('Pré Implantação'!B19="Infraestrutura",AVERAGE('Pré Implantação'!D19,'Pré Implantação'!L19),""),"")</f>
        <v/>
      </c>
    </row>
    <row r="20" spans="1:15" x14ac:dyDescent="0.3">
      <c r="A20" s="33">
        <f>'Pré Implantação'!A20</f>
        <v>0</v>
      </c>
      <c r="B20" s="36">
        <f>'Pré Implantação'!C20</f>
        <v>0</v>
      </c>
      <c r="C20" s="34" t="str">
        <f>IFERROR(IF('Pré Implantação'!B20="Produção TI",AVERAGE('Pré Implantação'!D20,'Pré Implantação'!L20,'Pré Implantação'!E20,'Pré Implantação'!H20),AVERAGE('Pré Implantação'!E20,'Pré Implantação'!H20)),"")</f>
        <v/>
      </c>
      <c r="D20" s="34" t="str">
        <f>IFERROR(IF('Pré Implantação'!B20="CSC Service Desk",AVERAGE('Pré Implantação'!D20,'Pré Implantação'!L20,'Pré Implantação'!F20),AVERAGE('Pré Implantação'!F20)),"")</f>
        <v/>
      </c>
      <c r="E20" s="34" t="str">
        <f>IFERROR(IF('Pré Implantação'!B20="CSC NOC",AVERAGE('Pré Implantação'!D20,'Pré Implantação'!L20,'Pré Implantação'!G20),AVERAGE('Pré Implantação'!G20)),"")</f>
        <v/>
      </c>
      <c r="F20" s="34" t="str">
        <f>IFERROR(IF('Pré Implantação'!B20="CSE Gravadores",AVERAGE('Pré Implantação'!D20,'Pré Implantação'!L20,'Pré Implantação'!I20),AVERAGE('Pré Implantação'!I20)),"")</f>
        <v/>
      </c>
      <c r="G20" s="34" t="str">
        <f>IFERROR(IF('Pré Implantação'!B20="CSC",AVERAGE('Pré Implantação'!D20,'Pré Implantação'!L20,'Pré Implantação'!J20),AVERAGE('Pré Implantação'!J20)),"")</f>
        <v/>
      </c>
      <c r="H20" s="34" t="str">
        <f>IFERROR(IF('Pré Implantação'!B20="Operações \ Negócio",AVERAGE('Pré Implantação'!D20,'Pré Implantação'!L20,'Pré Implantação'!K20),AVERAGE('Pré Implantação'!K20)),"")</f>
        <v/>
      </c>
      <c r="I20" s="34" t="str">
        <f>IFERROR(IF('Pré Implantação'!B20="Projetos",AVERAGE('Pré Implantação'!D20,'Pré Implantação'!L20,'Pré Implantação'!M20),AVERAGE('Pré Implantação'!M20)),"")</f>
        <v/>
      </c>
      <c r="J20" s="34" t="str">
        <f>IFERROR(IF('Pré Implantação'!B20="Engenharia",AVERAGE('Pré Implantação'!D20,'Pré Implantação'!L20,'Pré Implantação'!N20),AVERAGE('Pré Implantação'!N20)),"")</f>
        <v/>
      </c>
      <c r="K20" s="34" t="str">
        <f>IFERROR(IF('Pré Implantação'!B20="URA",AVERAGE('Pré Implantação'!D20,'Pré Implantação'!L20),""),"")</f>
        <v/>
      </c>
      <c r="L20" s="34" t="str">
        <f>IFERROR(IF('Pré Implantação'!B20="CSE Microsoft",AVERAGE('Pré Implantação'!D20,'Pré Implantação'!L20),""),"")</f>
        <v/>
      </c>
      <c r="M20" s="34" t="str">
        <f>IFERROR(IF('Pré Implantação'!B20="CSE Telecom",AVERAGE('Pré Implantação'!D20,'Pré Implantação'!L20),""),"")</f>
        <v/>
      </c>
      <c r="N20" s="34" t="str">
        <f>IFERROR(IF('Pré Implantação'!B20="Site Suporte de Campo",AVERAGE('Pré Implantação'!D20,'Pré Implantação'!L20),""),"")</f>
        <v/>
      </c>
      <c r="O20" s="49" t="str">
        <f>IFERROR(IF('Pré Implantação'!B20="Infraestrutura",AVERAGE('Pré Implantação'!D20,'Pré Implantação'!L20),""),"")</f>
        <v/>
      </c>
    </row>
    <row r="21" spans="1:15" x14ac:dyDescent="0.3">
      <c r="A21" s="33">
        <f>'Pré Implantação'!A21</f>
        <v>0</v>
      </c>
      <c r="B21" s="36">
        <f>'Pré Implantação'!C21</f>
        <v>0</v>
      </c>
      <c r="C21" s="34" t="str">
        <f>IFERROR(IF('Pré Implantação'!B21="Produção TI",AVERAGE('Pré Implantação'!D21,'Pré Implantação'!L21,'Pré Implantação'!E21,'Pré Implantação'!H21),AVERAGE('Pré Implantação'!E21,'Pré Implantação'!H21)),"")</f>
        <v/>
      </c>
      <c r="D21" s="34" t="str">
        <f>IFERROR(IF('Pré Implantação'!B21="CSC Service Desk",AVERAGE('Pré Implantação'!D21,'Pré Implantação'!L21,'Pré Implantação'!F21),AVERAGE('Pré Implantação'!F21)),"")</f>
        <v/>
      </c>
      <c r="E21" s="34" t="str">
        <f>IFERROR(IF('Pré Implantação'!B21="CSC NOC",AVERAGE('Pré Implantação'!D21,'Pré Implantação'!L21,'Pré Implantação'!G21),AVERAGE('Pré Implantação'!G21)),"")</f>
        <v/>
      </c>
      <c r="F21" s="34" t="str">
        <f>IFERROR(IF('Pré Implantação'!B21="CSE Gravadores",AVERAGE('Pré Implantação'!D21,'Pré Implantação'!L21,'Pré Implantação'!I21),AVERAGE('Pré Implantação'!I21)),"")</f>
        <v/>
      </c>
      <c r="G21" s="34" t="str">
        <f>IFERROR(IF('Pré Implantação'!B21="CSC",AVERAGE('Pré Implantação'!D21,'Pré Implantação'!L21,'Pré Implantação'!J21),AVERAGE('Pré Implantação'!J21)),"")</f>
        <v/>
      </c>
      <c r="H21" s="34" t="str">
        <f>IFERROR(IF('Pré Implantação'!B21="Operações \ Negócio",AVERAGE('Pré Implantação'!D21,'Pré Implantação'!L21,'Pré Implantação'!K21),AVERAGE('Pré Implantação'!K21)),"")</f>
        <v/>
      </c>
      <c r="I21" s="34" t="str">
        <f>IFERROR(IF('Pré Implantação'!B21="Projetos",AVERAGE('Pré Implantação'!D21,'Pré Implantação'!L21,'Pré Implantação'!M21),AVERAGE('Pré Implantação'!M21)),"")</f>
        <v/>
      </c>
      <c r="J21" s="34" t="str">
        <f>IFERROR(IF('Pré Implantação'!B21="Engenharia",AVERAGE('Pré Implantação'!D21,'Pré Implantação'!L21,'Pré Implantação'!N21),AVERAGE('Pré Implantação'!N21)),"")</f>
        <v/>
      </c>
      <c r="K21" s="34" t="str">
        <f>IFERROR(IF('Pré Implantação'!B21="URA",AVERAGE('Pré Implantação'!D21,'Pré Implantação'!L21),""),"")</f>
        <v/>
      </c>
      <c r="L21" s="34" t="str">
        <f>IFERROR(IF('Pré Implantação'!B21="CSE Microsoft",AVERAGE('Pré Implantação'!D21,'Pré Implantação'!L21),""),"")</f>
        <v/>
      </c>
      <c r="M21" s="34" t="str">
        <f>IFERROR(IF('Pré Implantação'!B21="CSE Telecom",AVERAGE('Pré Implantação'!D21,'Pré Implantação'!L21),""),"")</f>
        <v/>
      </c>
      <c r="N21" s="34" t="str">
        <f>IFERROR(IF('Pré Implantação'!B21="Site Suporte de Campo",AVERAGE('Pré Implantação'!D21,'Pré Implantação'!L21),""),"")</f>
        <v/>
      </c>
      <c r="O21" s="49" t="str">
        <f>IFERROR(IF('Pré Implantação'!B21="Infraestrutura",AVERAGE('Pré Implantação'!D21,'Pré Implantação'!L21),""),"")</f>
        <v/>
      </c>
    </row>
    <row r="22" spans="1:15" x14ac:dyDescent="0.3">
      <c r="A22" s="33">
        <f>'Pré Implantação'!A22</f>
        <v>0</v>
      </c>
      <c r="B22" s="36">
        <f>'Pré Implantação'!C22</f>
        <v>0</v>
      </c>
      <c r="C22" s="34" t="str">
        <f>IFERROR(IF('Pré Implantação'!B22="Produção TI",AVERAGE('Pré Implantação'!D22,'Pré Implantação'!L22,'Pré Implantação'!E22,'Pré Implantação'!H22),AVERAGE('Pré Implantação'!E22,'Pré Implantação'!H22)),"")</f>
        <v/>
      </c>
      <c r="D22" s="34" t="str">
        <f>IFERROR(IF('Pré Implantação'!B22="CSC Service Desk",AVERAGE('Pré Implantação'!D22,'Pré Implantação'!L22,'Pré Implantação'!F22),AVERAGE('Pré Implantação'!F22)),"")</f>
        <v/>
      </c>
      <c r="E22" s="34" t="str">
        <f>IFERROR(IF('Pré Implantação'!B22="CSC NOC",AVERAGE('Pré Implantação'!D22,'Pré Implantação'!L22,'Pré Implantação'!G22),AVERAGE('Pré Implantação'!G22)),"")</f>
        <v/>
      </c>
      <c r="F22" s="34" t="str">
        <f>IFERROR(IF('Pré Implantação'!B22="CSE Gravadores",AVERAGE('Pré Implantação'!D22,'Pré Implantação'!L22,'Pré Implantação'!I22),AVERAGE('Pré Implantação'!I22)),"")</f>
        <v/>
      </c>
      <c r="G22" s="34" t="str">
        <f>IFERROR(IF('Pré Implantação'!B22="CSC",AVERAGE('Pré Implantação'!D22,'Pré Implantação'!L22,'Pré Implantação'!J22),AVERAGE('Pré Implantação'!J22)),"")</f>
        <v/>
      </c>
      <c r="H22" s="34" t="str">
        <f>IFERROR(IF('Pré Implantação'!B22="Operações \ Negócio",AVERAGE('Pré Implantação'!D22,'Pré Implantação'!L22,'Pré Implantação'!K22),AVERAGE('Pré Implantação'!K22)),"")</f>
        <v/>
      </c>
      <c r="I22" s="34" t="str">
        <f>IFERROR(IF('Pré Implantação'!B22="Projetos",AVERAGE('Pré Implantação'!D22,'Pré Implantação'!L22,'Pré Implantação'!M22),AVERAGE('Pré Implantação'!M22)),"")</f>
        <v/>
      </c>
      <c r="J22" s="34" t="str">
        <f>IFERROR(IF('Pré Implantação'!B22="Engenharia",AVERAGE('Pré Implantação'!D22,'Pré Implantação'!L22,'Pré Implantação'!N22),AVERAGE('Pré Implantação'!N22)),"")</f>
        <v/>
      </c>
      <c r="K22" s="34" t="str">
        <f>IFERROR(IF('Pré Implantação'!B22="URA",AVERAGE('Pré Implantação'!D22,'Pré Implantação'!L22),""),"")</f>
        <v/>
      </c>
      <c r="L22" s="34" t="str">
        <f>IFERROR(IF('Pré Implantação'!B22="CSE Microsoft",AVERAGE('Pré Implantação'!D22,'Pré Implantação'!L22),""),"")</f>
        <v/>
      </c>
      <c r="M22" s="34" t="str">
        <f>IFERROR(IF('Pré Implantação'!B22="CSE Telecom",AVERAGE('Pré Implantação'!D22,'Pré Implantação'!L22),""),"")</f>
        <v/>
      </c>
      <c r="N22" s="34" t="str">
        <f>IFERROR(IF('Pré Implantação'!B22="Site Suporte de Campo",AVERAGE('Pré Implantação'!D22,'Pré Implantação'!L22),""),"")</f>
        <v/>
      </c>
      <c r="O22" s="49" t="str">
        <f>IFERROR(IF('Pré Implantação'!B22="Infraestrutura",AVERAGE('Pré Implantação'!D22,'Pré Implantação'!L22),""),"")</f>
        <v/>
      </c>
    </row>
    <row r="23" spans="1:15" x14ac:dyDescent="0.3">
      <c r="A23" s="33">
        <f>'Pré Implantação'!A23</f>
        <v>0</v>
      </c>
      <c r="B23" s="36">
        <f>'Pré Implantação'!C23</f>
        <v>0</v>
      </c>
      <c r="C23" s="34" t="str">
        <f>IFERROR(IF('Pré Implantação'!B23="Produção TI",AVERAGE('Pré Implantação'!D23,'Pré Implantação'!L23,'Pré Implantação'!E23,'Pré Implantação'!H23),AVERAGE('Pré Implantação'!E23,'Pré Implantação'!H23)),"")</f>
        <v/>
      </c>
      <c r="D23" s="34" t="str">
        <f>IFERROR(IF('Pré Implantação'!B23="CSC Service Desk",AVERAGE('Pré Implantação'!D23,'Pré Implantação'!L23,'Pré Implantação'!F23),AVERAGE('Pré Implantação'!F23)),"")</f>
        <v/>
      </c>
      <c r="E23" s="34" t="str">
        <f>IFERROR(IF('Pré Implantação'!B23="CSC NOC",AVERAGE('Pré Implantação'!D23,'Pré Implantação'!L23,'Pré Implantação'!G23),AVERAGE('Pré Implantação'!G23)),"")</f>
        <v/>
      </c>
      <c r="F23" s="34" t="str">
        <f>IFERROR(IF('Pré Implantação'!B23="CSE Gravadores",AVERAGE('Pré Implantação'!D23,'Pré Implantação'!L23,'Pré Implantação'!I23),AVERAGE('Pré Implantação'!I23)),"")</f>
        <v/>
      </c>
      <c r="G23" s="34" t="str">
        <f>IFERROR(IF('Pré Implantação'!B23="CSC",AVERAGE('Pré Implantação'!D23,'Pré Implantação'!L23,'Pré Implantação'!J23),AVERAGE('Pré Implantação'!J23)),"")</f>
        <v/>
      </c>
      <c r="H23" s="34" t="str">
        <f>IFERROR(IF('Pré Implantação'!B23="Operações \ Negócio",AVERAGE('Pré Implantação'!D23,'Pré Implantação'!L23,'Pré Implantação'!K23),AVERAGE('Pré Implantação'!K23)),"")</f>
        <v/>
      </c>
      <c r="I23" s="34" t="str">
        <f>IFERROR(IF('Pré Implantação'!B23="Projetos",AVERAGE('Pré Implantação'!D23,'Pré Implantação'!L23,'Pré Implantação'!M23),AVERAGE('Pré Implantação'!M23)),"")</f>
        <v/>
      </c>
      <c r="J23" s="34" t="str">
        <f>IFERROR(IF('Pré Implantação'!B23="Engenharia",AVERAGE('Pré Implantação'!D23,'Pré Implantação'!L23,'Pré Implantação'!N23),AVERAGE('Pré Implantação'!N23)),"")</f>
        <v/>
      </c>
      <c r="K23" s="34" t="str">
        <f>IFERROR(IF('Pré Implantação'!B23="URA",AVERAGE('Pré Implantação'!D23,'Pré Implantação'!L23),""),"")</f>
        <v/>
      </c>
      <c r="L23" s="34" t="str">
        <f>IFERROR(IF('Pré Implantação'!B23="CSE Microsoft",AVERAGE('Pré Implantação'!D23,'Pré Implantação'!L23),""),"")</f>
        <v/>
      </c>
      <c r="M23" s="34" t="str">
        <f>IFERROR(IF('Pré Implantação'!B23="CSE Telecom",AVERAGE('Pré Implantação'!D23,'Pré Implantação'!L23),""),"")</f>
        <v/>
      </c>
      <c r="N23" s="34" t="str">
        <f>IFERROR(IF('Pré Implantação'!B23="Site Suporte de Campo",AVERAGE('Pré Implantação'!D23,'Pré Implantação'!L23),""),"")</f>
        <v/>
      </c>
      <c r="O23" s="49" t="str">
        <f>IFERROR(IF('Pré Implantação'!B23="Infraestrutura",AVERAGE('Pré Implantação'!D23,'Pré Implantação'!L23),""),"")</f>
        <v/>
      </c>
    </row>
    <row r="24" spans="1:15" x14ac:dyDescent="0.3">
      <c r="A24" s="33">
        <f>'Pré Implantação'!A24</f>
        <v>0</v>
      </c>
      <c r="B24" s="36">
        <f>'Pré Implantação'!C24</f>
        <v>0</v>
      </c>
      <c r="C24" s="34" t="str">
        <f>IFERROR(IF('Pré Implantação'!B24="Produção TI",AVERAGE('Pré Implantação'!D24,'Pré Implantação'!L24,'Pré Implantação'!E24,'Pré Implantação'!H24),AVERAGE('Pré Implantação'!E24,'Pré Implantação'!H24)),"")</f>
        <v/>
      </c>
      <c r="D24" s="34" t="str">
        <f>IFERROR(IF('Pré Implantação'!B24="CSC Service Desk",AVERAGE('Pré Implantação'!D24,'Pré Implantação'!L24,'Pré Implantação'!F24),AVERAGE('Pré Implantação'!F24)),"")</f>
        <v/>
      </c>
      <c r="E24" s="34" t="str">
        <f>IFERROR(IF('Pré Implantação'!B24="CSC NOC",AVERAGE('Pré Implantação'!D24,'Pré Implantação'!L24,'Pré Implantação'!G24),AVERAGE('Pré Implantação'!G24)),"")</f>
        <v/>
      </c>
      <c r="F24" s="34" t="str">
        <f>IFERROR(IF('Pré Implantação'!B24="CSE Gravadores",AVERAGE('Pré Implantação'!D24,'Pré Implantação'!L24,'Pré Implantação'!I24),AVERAGE('Pré Implantação'!I24)),"")</f>
        <v/>
      </c>
      <c r="G24" s="34" t="str">
        <f>IFERROR(IF('Pré Implantação'!B24="CSC",AVERAGE('Pré Implantação'!D24,'Pré Implantação'!L24,'Pré Implantação'!J24),AVERAGE('Pré Implantação'!J24)),"")</f>
        <v/>
      </c>
      <c r="H24" s="34" t="str">
        <f>IFERROR(IF('Pré Implantação'!B24="Operações \ Negócio",AVERAGE('Pré Implantação'!D24,'Pré Implantação'!L24,'Pré Implantação'!K24),AVERAGE('Pré Implantação'!K24)),"")</f>
        <v/>
      </c>
      <c r="I24" s="34" t="str">
        <f>IFERROR(IF('Pré Implantação'!B24="Projetos",AVERAGE('Pré Implantação'!D24,'Pré Implantação'!L24,'Pré Implantação'!M24),AVERAGE('Pré Implantação'!M24)),"")</f>
        <v/>
      </c>
      <c r="J24" s="34" t="str">
        <f>IFERROR(IF('Pré Implantação'!B24="Engenharia",AVERAGE('Pré Implantação'!D24,'Pré Implantação'!L24,'Pré Implantação'!N24),AVERAGE('Pré Implantação'!N24)),"")</f>
        <v/>
      </c>
      <c r="K24" s="34" t="str">
        <f>IFERROR(IF('Pré Implantação'!B24="URA",AVERAGE('Pré Implantação'!D24,'Pré Implantação'!L24),""),"")</f>
        <v/>
      </c>
      <c r="L24" s="34" t="str">
        <f>IFERROR(IF('Pré Implantação'!B24="CSE Microsoft",AVERAGE('Pré Implantação'!D24,'Pré Implantação'!L24),""),"")</f>
        <v/>
      </c>
      <c r="M24" s="34" t="str">
        <f>IFERROR(IF('Pré Implantação'!B24="CSE Telecom",AVERAGE('Pré Implantação'!D24,'Pré Implantação'!L24),""),"")</f>
        <v/>
      </c>
      <c r="N24" s="34" t="str">
        <f>IFERROR(IF('Pré Implantação'!B24="Site Suporte de Campo",AVERAGE('Pré Implantação'!D24,'Pré Implantação'!L24),""),"")</f>
        <v/>
      </c>
      <c r="O24" s="49" t="str">
        <f>IFERROR(IF('Pré Implantação'!B24="Infraestrutura",AVERAGE('Pré Implantação'!D24,'Pré Implantação'!L24),""),"")</f>
        <v/>
      </c>
    </row>
    <row r="25" spans="1:15" x14ac:dyDescent="0.3">
      <c r="A25" s="33">
        <f>'Pré Implantação'!A25</f>
        <v>0</v>
      </c>
      <c r="B25" s="36">
        <f>'Pré Implantação'!C25</f>
        <v>0</v>
      </c>
      <c r="C25" s="34" t="str">
        <f>IFERROR(IF('Pré Implantação'!B25="Produção TI",AVERAGE('Pré Implantação'!D25,'Pré Implantação'!L25,'Pré Implantação'!E25,'Pré Implantação'!H25),AVERAGE('Pré Implantação'!E25,'Pré Implantação'!H25)),"")</f>
        <v/>
      </c>
      <c r="D25" s="34" t="str">
        <f>IFERROR(IF('Pré Implantação'!B25="CSC Service Desk",AVERAGE('Pré Implantação'!D25,'Pré Implantação'!L25,'Pré Implantação'!F25),AVERAGE('Pré Implantação'!F25)),"")</f>
        <v/>
      </c>
      <c r="E25" s="34" t="str">
        <f>IFERROR(IF('Pré Implantação'!B25="CSC NOC",AVERAGE('Pré Implantação'!D25,'Pré Implantação'!L25,'Pré Implantação'!G25),AVERAGE('Pré Implantação'!G25)),"")</f>
        <v/>
      </c>
      <c r="F25" s="34" t="str">
        <f>IFERROR(IF('Pré Implantação'!B25="CSE Gravadores",AVERAGE('Pré Implantação'!D25,'Pré Implantação'!L25,'Pré Implantação'!I25),AVERAGE('Pré Implantação'!I25)),"")</f>
        <v/>
      </c>
      <c r="G25" s="34" t="str">
        <f>IFERROR(IF('Pré Implantação'!B25="CSC",AVERAGE('Pré Implantação'!D25,'Pré Implantação'!L25,'Pré Implantação'!J25),AVERAGE('Pré Implantação'!J25)),"")</f>
        <v/>
      </c>
      <c r="H25" s="34" t="str">
        <f>IFERROR(IF('Pré Implantação'!B25="Operações \ Negócio",AVERAGE('Pré Implantação'!D25,'Pré Implantação'!L25,'Pré Implantação'!K25),AVERAGE('Pré Implantação'!K25)),"")</f>
        <v/>
      </c>
      <c r="I25" s="34" t="str">
        <f>IFERROR(IF('Pré Implantação'!B25="Projetos",AVERAGE('Pré Implantação'!D25,'Pré Implantação'!L25,'Pré Implantação'!M25),AVERAGE('Pré Implantação'!M25)),"")</f>
        <v/>
      </c>
      <c r="J25" s="34" t="str">
        <f>IFERROR(IF('Pré Implantação'!B25="Engenharia",AVERAGE('Pré Implantação'!D25,'Pré Implantação'!L25,'Pré Implantação'!N25),AVERAGE('Pré Implantação'!N25)),"")</f>
        <v/>
      </c>
      <c r="K25" s="34" t="str">
        <f>IFERROR(IF('Pré Implantação'!B25="URA",AVERAGE('Pré Implantação'!D25,'Pré Implantação'!L25),""),"")</f>
        <v/>
      </c>
      <c r="L25" s="34" t="str">
        <f>IFERROR(IF('Pré Implantação'!B25="CSE Microsoft",AVERAGE('Pré Implantação'!D25,'Pré Implantação'!L25),""),"")</f>
        <v/>
      </c>
      <c r="M25" s="34" t="str">
        <f>IFERROR(IF('Pré Implantação'!B25="CSE Telecom",AVERAGE('Pré Implantação'!D25,'Pré Implantação'!L25),""),"")</f>
        <v/>
      </c>
      <c r="N25" s="34" t="str">
        <f>IFERROR(IF('Pré Implantação'!B25="Site Suporte de Campo",AVERAGE('Pré Implantação'!D25,'Pré Implantação'!L25),""),"")</f>
        <v/>
      </c>
      <c r="O25" s="49" t="str">
        <f>IFERROR(IF('Pré Implantação'!B25="Infraestrutura",AVERAGE('Pré Implantação'!D25,'Pré Implantação'!L25),""),"")</f>
        <v/>
      </c>
    </row>
    <row r="26" spans="1:15" x14ac:dyDescent="0.3">
      <c r="A26" s="33">
        <f>'Pré Implantação'!A26</f>
        <v>0</v>
      </c>
      <c r="B26" s="36">
        <f>'Pré Implantação'!C26</f>
        <v>0</v>
      </c>
      <c r="C26" s="34" t="str">
        <f>IFERROR(IF('Pré Implantação'!B26="Produção TI",AVERAGE('Pré Implantação'!D26,'Pré Implantação'!L26,'Pré Implantação'!E26,'Pré Implantação'!H26),AVERAGE('Pré Implantação'!E26,'Pré Implantação'!H26)),"")</f>
        <v/>
      </c>
      <c r="D26" s="34" t="str">
        <f>IFERROR(IF('Pré Implantação'!B26="CSC Service Desk",AVERAGE('Pré Implantação'!D26,'Pré Implantação'!L26,'Pré Implantação'!F26),AVERAGE('Pré Implantação'!F26)),"")</f>
        <v/>
      </c>
      <c r="E26" s="34" t="str">
        <f>IFERROR(IF('Pré Implantação'!B26="CSC NOC",AVERAGE('Pré Implantação'!D26,'Pré Implantação'!L26,'Pré Implantação'!G26),AVERAGE('Pré Implantação'!G26)),"")</f>
        <v/>
      </c>
      <c r="F26" s="34" t="str">
        <f>IFERROR(IF('Pré Implantação'!B26="CSE Gravadores",AVERAGE('Pré Implantação'!D26,'Pré Implantação'!L26,'Pré Implantação'!I26),AVERAGE('Pré Implantação'!I26)),"")</f>
        <v/>
      </c>
      <c r="G26" s="34" t="str">
        <f>IFERROR(IF('Pré Implantação'!B26="CSC",AVERAGE('Pré Implantação'!D26,'Pré Implantação'!L26,'Pré Implantação'!J26),AVERAGE('Pré Implantação'!J26)),"")</f>
        <v/>
      </c>
      <c r="H26" s="34" t="str">
        <f>IFERROR(IF('Pré Implantação'!B26="Operações \ Negócio",AVERAGE('Pré Implantação'!D26,'Pré Implantação'!L26,'Pré Implantação'!K26),AVERAGE('Pré Implantação'!K26)),"")</f>
        <v/>
      </c>
      <c r="I26" s="34" t="str">
        <f>IFERROR(IF('Pré Implantação'!B26="Projetos",AVERAGE('Pré Implantação'!D26,'Pré Implantação'!L26,'Pré Implantação'!M26),AVERAGE('Pré Implantação'!M26)),"")</f>
        <v/>
      </c>
      <c r="J26" s="34" t="str">
        <f>IFERROR(IF('Pré Implantação'!B26="Engenharia",AVERAGE('Pré Implantação'!D26,'Pré Implantação'!L26,'Pré Implantação'!N26),AVERAGE('Pré Implantação'!N26)),"")</f>
        <v/>
      </c>
      <c r="K26" s="34" t="str">
        <f>IFERROR(IF('Pré Implantação'!B26="URA",AVERAGE('Pré Implantação'!D26,'Pré Implantação'!L26),""),"")</f>
        <v/>
      </c>
      <c r="L26" s="34" t="str">
        <f>IFERROR(IF('Pré Implantação'!B26="CSE Microsoft",AVERAGE('Pré Implantação'!D26,'Pré Implantação'!L26),""),"")</f>
        <v/>
      </c>
      <c r="M26" s="34" t="str">
        <f>IFERROR(IF('Pré Implantação'!B26="CSE Telecom",AVERAGE('Pré Implantação'!D26,'Pré Implantação'!L26),""),"")</f>
        <v/>
      </c>
      <c r="N26" s="34" t="str">
        <f>IFERROR(IF('Pré Implantação'!B26="Site Suporte de Campo",AVERAGE('Pré Implantação'!D26,'Pré Implantação'!L26),""),"")</f>
        <v/>
      </c>
      <c r="O26" s="49" t="str">
        <f>IFERROR(IF('Pré Implantação'!B26="Infraestrutura",AVERAGE('Pré Implantação'!D26,'Pré Implantação'!L26),""),"")</f>
        <v/>
      </c>
    </row>
    <row r="27" spans="1:15" x14ac:dyDescent="0.3">
      <c r="A27" s="33">
        <f>'Pré Implantação'!A27</f>
        <v>0</v>
      </c>
      <c r="B27" s="36">
        <f>'Pré Implantação'!C27</f>
        <v>0</v>
      </c>
      <c r="C27" s="34" t="str">
        <f>IFERROR(IF('Pré Implantação'!B27="Produção TI",AVERAGE('Pré Implantação'!D27,'Pré Implantação'!L27,'Pré Implantação'!E27,'Pré Implantação'!H27),AVERAGE('Pré Implantação'!E27,'Pré Implantação'!H27)),"")</f>
        <v/>
      </c>
      <c r="D27" s="34" t="str">
        <f>IFERROR(IF('Pré Implantação'!B27="CSC Service Desk",AVERAGE('Pré Implantação'!D27,'Pré Implantação'!L27,'Pré Implantação'!F27),AVERAGE('Pré Implantação'!F27)),"")</f>
        <v/>
      </c>
      <c r="E27" s="34" t="str">
        <f>IFERROR(IF('Pré Implantação'!B27="CSC NOC",AVERAGE('Pré Implantação'!D27,'Pré Implantação'!L27,'Pré Implantação'!G27),AVERAGE('Pré Implantação'!G27)),"")</f>
        <v/>
      </c>
      <c r="F27" s="34" t="str">
        <f>IFERROR(IF('Pré Implantação'!B27="CSE Gravadores",AVERAGE('Pré Implantação'!D27,'Pré Implantação'!L27,'Pré Implantação'!I27),AVERAGE('Pré Implantação'!I27)),"")</f>
        <v/>
      </c>
      <c r="G27" s="34" t="str">
        <f>IFERROR(IF('Pré Implantação'!B27="CSC",AVERAGE('Pré Implantação'!D27,'Pré Implantação'!L27,'Pré Implantação'!J27),AVERAGE('Pré Implantação'!J27)),"")</f>
        <v/>
      </c>
      <c r="H27" s="34" t="str">
        <f>IFERROR(IF('Pré Implantação'!B27="Operações \ Negócio",AVERAGE('Pré Implantação'!D27,'Pré Implantação'!L27,'Pré Implantação'!K27),AVERAGE('Pré Implantação'!K27)),"")</f>
        <v/>
      </c>
      <c r="I27" s="34" t="str">
        <f>IFERROR(IF('Pré Implantação'!B27="Projetos",AVERAGE('Pré Implantação'!D27,'Pré Implantação'!L27,'Pré Implantação'!M27),AVERAGE('Pré Implantação'!M27)),"")</f>
        <v/>
      </c>
      <c r="J27" s="34" t="str">
        <f>IFERROR(IF('Pré Implantação'!B27="Engenharia",AVERAGE('Pré Implantação'!D27,'Pré Implantação'!L27,'Pré Implantação'!N27),AVERAGE('Pré Implantação'!N27)),"")</f>
        <v/>
      </c>
      <c r="K27" s="34" t="str">
        <f>IFERROR(IF('Pré Implantação'!B27="URA",AVERAGE('Pré Implantação'!D27,'Pré Implantação'!L27),""),"")</f>
        <v/>
      </c>
      <c r="L27" s="34" t="str">
        <f>IFERROR(IF('Pré Implantação'!B27="CSE Microsoft",AVERAGE('Pré Implantação'!D27,'Pré Implantação'!L27),""),"")</f>
        <v/>
      </c>
      <c r="M27" s="34" t="str">
        <f>IFERROR(IF('Pré Implantação'!B27="CSE Telecom",AVERAGE('Pré Implantação'!D27,'Pré Implantação'!L27),""),"")</f>
        <v/>
      </c>
      <c r="N27" s="34" t="str">
        <f>IFERROR(IF('Pré Implantação'!B27="Site Suporte de Campo",AVERAGE('Pré Implantação'!D27,'Pré Implantação'!L27),""),"")</f>
        <v/>
      </c>
      <c r="O27" s="49" t="str">
        <f>IFERROR(IF('Pré Implantação'!B27="Infraestrutura",AVERAGE('Pré Implantação'!D27,'Pré Implantação'!L27),""),"")</f>
        <v/>
      </c>
    </row>
    <row r="28" spans="1:15" x14ac:dyDescent="0.3">
      <c r="A28" s="33">
        <f>'Pré Implantação'!A28</f>
        <v>0</v>
      </c>
      <c r="B28" s="36">
        <f>'Pré Implantação'!C28</f>
        <v>0</v>
      </c>
      <c r="C28" s="34" t="str">
        <f>IFERROR(IF('Pré Implantação'!B28="Produção TI",AVERAGE('Pré Implantação'!D28,'Pré Implantação'!L28,'Pré Implantação'!E28,'Pré Implantação'!H28),AVERAGE('Pré Implantação'!E28,'Pré Implantação'!H28)),"")</f>
        <v/>
      </c>
      <c r="D28" s="34" t="str">
        <f>IFERROR(IF('Pré Implantação'!B28="CSC Service Desk",AVERAGE('Pré Implantação'!D28,'Pré Implantação'!L28,'Pré Implantação'!F28),AVERAGE('Pré Implantação'!F28)),"")</f>
        <v/>
      </c>
      <c r="E28" s="34" t="str">
        <f>IFERROR(IF('Pré Implantação'!B28="CSC NOC",AVERAGE('Pré Implantação'!D28,'Pré Implantação'!L28,'Pré Implantação'!G28),AVERAGE('Pré Implantação'!G28)),"")</f>
        <v/>
      </c>
      <c r="F28" s="34" t="str">
        <f>IFERROR(IF('Pré Implantação'!B28="CSE Gravadores",AVERAGE('Pré Implantação'!D28,'Pré Implantação'!L28,'Pré Implantação'!I28),AVERAGE('Pré Implantação'!I28)),"")</f>
        <v/>
      </c>
      <c r="G28" s="34" t="str">
        <f>IFERROR(IF('Pré Implantação'!B28="CSC",AVERAGE('Pré Implantação'!D28,'Pré Implantação'!L28,'Pré Implantação'!J28),AVERAGE('Pré Implantação'!J28)),"")</f>
        <v/>
      </c>
      <c r="H28" s="34" t="str">
        <f>IFERROR(IF('Pré Implantação'!B28="Operações \ Negócio",AVERAGE('Pré Implantação'!D28,'Pré Implantação'!L28,'Pré Implantação'!K28),AVERAGE('Pré Implantação'!K28)),"")</f>
        <v/>
      </c>
      <c r="I28" s="34" t="str">
        <f>IFERROR(IF('Pré Implantação'!B28="Projetos",AVERAGE('Pré Implantação'!D28,'Pré Implantação'!L28,'Pré Implantação'!M28),AVERAGE('Pré Implantação'!M28)),"")</f>
        <v/>
      </c>
      <c r="J28" s="34" t="str">
        <f>IFERROR(IF('Pré Implantação'!B28="Engenharia",AVERAGE('Pré Implantação'!D28,'Pré Implantação'!L28,'Pré Implantação'!N28),AVERAGE('Pré Implantação'!N28)),"")</f>
        <v/>
      </c>
      <c r="K28" s="34" t="str">
        <f>IFERROR(IF('Pré Implantação'!B28="URA",AVERAGE('Pré Implantação'!D28,'Pré Implantação'!L28),""),"")</f>
        <v/>
      </c>
      <c r="L28" s="34" t="str">
        <f>IFERROR(IF('Pré Implantação'!B28="CSE Microsoft",AVERAGE('Pré Implantação'!D28,'Pré Implantação'!L28),""),"")</f>
        <v/>
      </c>
      <c r="M28" s="34" t="str">
        <f>IFERROR(IF('Pré Implantação'!B28="CSE Telecom",AVERAGE('Pré Implantação'!D28,'Pré Implantação'!L28),""),"")</f>
        <v/>
      </c>
      <c r="N28" s="34" t="str">
        <f>IFERROR(IF('Pré Implantação'!B28="Site Suporte de Campo",AVERAGE('Pré Implantação'!D28,'Pré Implantação'!L28),""),"")</f>
        <v/>
      </c>
      <c r="O28" s="49" t="str">
        <f>IFERROR(IF('Pré Implantação'!B28="Infraestrutura",AVERAGE('Pré Implantação'!D28,'Pré Implantação'!L28),""),"")</f>
        <v/>
      </c>
    </row>
    <row r="29" spans="1:15" x14ac:dyDescent="0.3">
      <c r="A29" s="33">
        <f>'Pré Implantação'!A29</f>
        <v>0</v>
      </c>
      <c r="B29" s="36">
        <f>'Pré Implantação'!C29</f>
        <v>0</v>
      </c>
      <c r="C29" s="34" t="str">
        <f>IFERROR(IF('Pré Implantação'!B29="Produção TI",AVERAGE('Pré Implantação'!D29,'Pré Implantação'!L29,'Pré Implantação'!E29,'Pré Implantação'!H29),AVERAGE('Pré Implantação'!E29,'Pré Implantação'!H29)),"")</f>
        <v/>
      </c>
      <c r="D29" s="34" t="str">
        <f>IFERROR(IF('Pré Implantação'!B29="CSC Service Desk",AVERAGE('Pré Implantação'!D29,'Pré Implantação'!L29,'Pré Implantação'!F29),AVERAGE('Pré Implantação'!F29)),"")</f>
        <v/>
      </c>
      <c r="E29" s="34" t="str">
        <f>IFERROR(IF('Pré Implantação'!B29="CSC NOC",AVERAGE('Pré Implantação'!D29,'Pré Implantação'!L29,'Pré Implantação'!G29),AVERAGE('Pré Implantação'!G29)),"")</f>
        <v/>
      </c>
      <c r="F29" s="34" t="str">
        <f>IFERROR(IF('Pré Implantação'!B29="CSE Gravadores",AVERAGE('Pré Implantação'!D29,'Pré Implantação'!L29,'Pré Implantação'!I29),AVERAGE('Pré Implantação'!I29)),"")</f>
        <v/>
      </c>
      <c r="G29" s="34" t="str">
        <f>IFERROR(IF('Pré Implantação'!B29="CSC",AVERAGE('Pré Implantação'!D29,'Pré Implantação'!L29,'Pré Implantação'!J29),AVERAGE('Pré Implantação'!J29)),"")</f>
        <v/>
      </c>
      <c r="H29" s="34" t="str">
        <f>IFERROR(IF('Pré Implantação'!B29="Operações \ Negócio",AVERAGE('Pré Implantação'!D29,'Pré Implantação'!L29,'Pré Implantação'!K29),AVERAGE('Pré Implantação'!K29)),"")</f>
        <v/>
      </c>
      <c r="I29" s="34" t="str">
        <f>IFERROR(IF('Pré Implantação'!B29="Projetos",AVERAGE('Pré Implantação'!D29,'Pré Implantação'!L29,'Pré Implantação'!M29),AVERAGE('Pré Implantação'!M29)),"")</f>
        <v/>
      </c>
      <c r="J29" s="34" t="str">
        <f>IFERROR(IF('Pré Implantação'!B29="Engenharia",AVERAGE('Pré Implantação'!D29,'Pré Implantação'!L29,'Pré Implantação'!N29),AVERAGE('Pré Implantação'!N29)),"")</f>
        <v/>
      </c>
      <c r="K29" s="34" t="str">
        <f>IFERROR(IF('Pré Implantação'!B29="URA",AVERAGE('Pré Implantação'!D29,'Pré Implantação'!L29),""),"")</f>
        <v/>
      </c>
      <c r="L29" s="34" t="str">
        <f>IFERROR(IF('Pré Implantação'!B29="CSE Microsoft",AVERAGE('Pré Implantação'!D29,'Pré Implantação'!L29),""),"")</f>
        <v/>
      </c>
      <c r="M29" s="34" t="str">
        <f>IFERROR(IF('Pré Implantação'!B29="CSE Telecom",AVERAGE('Pré Implantação'!D29,'Pré Implantação'!L29),""),"")</f>
        <v/>
      </c>
      <c r="N29" s="34" t="str">
        <f>IFERROR(IF('Pré Implantação'!B29="Site Suporte de Campo",AVERAGE('Pré Implantação'!D29,'Pré Implantação'!L29),""),"")</f>
        <v/>
      </c>
      <c r="O29" s="49" t="str">
        <f>IFERROR(IF('Pré Implantação'!B29="Infraestrutura",AVERAGE('Pré Implantação'!D29,'Pré Implantação'!L29),""),"")</f>
        <v/>
      </c>
    </row>
    <row r="30" spans="1:15" x14ac:dyDescent="0.3">
      <c r="A30" s="33">
        <f>'Pré Implantação'!A30</f>
        <v>0</v>
      </c>
      <c r="B30" s="36">
        <f>'Pré Implantação'!C30</f>
        <v>0</v>
      </c>
      <c r="C30" s="34" t="str">
        <f>IFERROR(IF('Pré Implantação'!B30="Produção TI",AVERAGE('Pré Implantação'!D30,'Pré Implantação'!L30,'Pré Implantação'!E30,'Pré Implantação'!H30),AVERAGE('Pré Implantação'!E30,'Pré Implantação'!H30)),"")</f>
        <v/>
      </c>
      <c r="D30" s="34" t="str">
        <f>IFERROR(IF('Pré Implantação'!B30="CSC Service Desk",AVERAGE('Pré Implantação'!D30,'Pré Implantação'!L30,'Pré Implantação'!F30),AVERAGE('Pré Implantação'!F30)),"")</f>
        <v/>
      </c>
      <c r="E30" s="34" t="str">
        <f>IFERROR(IF('Pré Implantação'!B30="CSC NOC",AVERAGE('Pré Implantação'!D30,'Pré Implantação'!L30,'Pré Implantação'!G30),AVERAGE('Pré Implantação'!G30)),"")</f>
        <v/>
      </c>
      <c r="F30" s="34" t="str">
        <f>IFERROR(IF('Pré Implantação'!B30="CSE Gravadores",AVERAGE('Pré Implantação'!D30,'Pré Implantação'!L30,'Pré Implantação'!I30),AVERAGE('Pré Implantação'!I30)),"")</f>
        <v/>
      </c>
      <c r="G30" s="34" t="str">
        <f>IFERROR(IF('Pré Implantação'!B30="CSC",AVERAGE('Pré Implantação'!D30,'Pré Implantação'!L30,'Pré Implantação'!J30),AVERAGE('Pré Implantação'!J30)),"")</f>
        <v/>
      </c>
      <c r="H30" s="34" t="str">
        <f>IFERROR(IF('Pré Implantação'!B30="Operações \ Negócio",AVERAGE('Pré Implantação'!D30,'Pré Implantação'!L30,'Pré Implantação'!K30),AVERAGE('Pré Implantação'!K30)),"")</f>
        <v/>
      </c>
      <c r="I30" s="34" t="str">
        <f>IFERROR(IF('Pré Implantação'!B30="Projetos",AVERAGE('Pré Implantação'!D30,'Pré Implantação'!L30,'Pré Implantação'!M30),AVERAGE('Pré Implantação'!M30)),"")</f>
        <v/>
      </c>
      <c r="J30" s="34" t="str">
        <f>IFERROR(IF('Pré Implantação'!B30="Engenharia",AVERAGE('Pré Implantação'!D30,'Pré Implantação'!L30,'Pré Implantação'!N30),AVERAGE('Pré Implantação'!N30)),"")</f>
        <v/>
      </c>
      <c r="K30" s="34" t="str">
        <f>IFERROR(IF('Pré Implantação'!B30="URA",AVERAGE('Pré Implantação'!D30,'Pré Implantação'!L30),""),"")</f>
        <v/>
      </c>
      <c r="L30" s="34" t="str">
        <f>IFERROR(IF('Pré Implantação'!B30="CSE Microsoft",AVERAGE('Pré Implantação'!D30,'Pré Implantação'!L30),""),"")</f>
        <v/>
      </c>
      <c r="M30" s="34" t="str">
        <f>IFERROR(IF('Pré Implantação'!B30="CSE Telecom",AVERAGE('Pré Implantação'!D30,'Pré Implantação'!L30),""),"")</f>
        <v/>
      </c>
      <c r="N30" s="34" t="str">
        <f>IFERROR(IF('Pré Implantação'!B30="Site Suporte de Campo",AVERAGE('Pré Implantação'!D30,'Pré Implantação'!L30),""),"")</f>
        <v/>
      </c>
      <c r="O30" s="49" t="str">
        <f>IFERROR(IF('Pré Implantação'!B30="Infraestrutura",AVERAGE('Pré Implantação'!D30,'Pré Implantação'!L30),""),"")</f>
        <v/>
      </c>
    </row>
    <row r="31" spans="1:15" x14ac:dyDescent="0.3">
      <c r="A31" s="33">
        <f>'Pré Implantação'!A31</f>
        <v>0</v>
      </c>
      <c r="B31" s="36">
        <f>'Pré Implantação'!C31</f>
        <v>0</v>
      </c>
      <c r="C31" s="34" t="str">
        <f>IFERROR(IF('Pré Implantação'!B31="Produção TI",AVERAGE('Pré Implantação'!D31,'Pré Implantação'!L31,'Pré Implantação'!E31,'Pré Implantação'!H31),AVERAGE('Pré Implantação'!E31,'Pré Implantação'!H31)),"")</f>
        <v/>
      </c>
      <c r="D31" s="34" t="str">
        <f>IFERROR(IF('Pré Implantação'!B31="CSC Service Desk",AVERAGE('Pré Implantação'!D31,'Pré Implantação'!L31,'Pré Implantação'!F31),AVERAGE('Pré Implantação'!F31)),"")</f>
        <v/>
      </c>
      <c r="E31" s="34" t="str">
        <f>IFERROR(IF('Pré Implantação'!B31="CSC NOC",AVERAGE('Pré Implantação'!D31,'Pré Implantação'!L31,'Pré Implantação'!G31),AVERAGE('Pré Implantação'!G31)),"")</f>
        <v/>
      </c>
      <c r="F31" s="34" t="str">
        <f>IFERROR(IF('Pré Implantação'!B31="CSE Gravadores",AVERAGE('Pré Implantação'!D31,'Pré Implantação'!L31,'Pré Implantação'!I31),AVERAGE('Pré Implantação'!I31)),"")</f>
        <v/>
      </c>
      <c r="G31" s="34" t="str">
        <f>IFERROR(IF('Pré Implantação'!B31="CSC",AVERAGE('Pré Implantação'!D31,'Pré Implantação'!L31,'Pré Implantação'!J31),AVERAGE('Pré Implantação'!J31)),"")</f>
        <v/>
      </c>
      <c r="H31" s="34" t="str">
        <f>IFERROR(IF('Pré Implantação'!B31="Operações \ Negócio",AVERAGE('Pré Implantação'!D31,'Pré Implantação'!L31,'Pré Implantação'!K31),AVERAGE('Pré Implantação'!K31)),"")</f>
        <v/>
      </c>
      <c r="I31" s="34" t="str">
        <f>IFERROR(IF('Pré Implantação'!B31="Projetos",AVERAGE('Pré Implantação'!D31,'Pré Implantação'!L31,'Pré Implantação'!M31),AVERAGE('Pré Implantação'!M31)),"")</f>
        <v/>
      </c>
      <c r="J31" s="34" t="str">
        <f>IFERROR(IF('Pré Implantação'!B31="Engenharia",AVERAGE('Pré Implantação'!D31,'Pré Implantação'!L31,'Pré Implantação'!N31),AVERAGE('Pré Implantação'!N31)),"")</f>
        <v/>
      </c>
      <c r="K31" s="34" t="str">
        <f>IFERROR(IF('Pré Implantação'!B31="URA",AVERAGE('Pré Implantação'!D31,'Pré Implantação'!L31),""),"")</f>
        <v/>
      </c>
      <c r="L31" s="34" t="str">
        <f>IFERROR(IF('Pré Implantação'!B31="CSE Microsoft",AVERAGE('Pré Implantação'!D31,'Pré Implantação'!L31),""),"")</f>
        <v/>
      </c>
      <c r="M31" s="34" t="str">
        <f>IFERROR(IF('Pré Implantação'!B31="CSE Telecom",AVERAGE('Pré Implantação'!D31,'Pré Implantação'!L31),""),"")</f>
        <v/>
      </c>
      <c r="N31" s="34" t="str">
        <f>IFERROR(IF('Pré Implantação'!B31="Site Suporte de Campo",AVERAGE('Pré Implantação'!D31,'Pré Implantação'!L31),""),"")</f>
        <v/>
      </c>
      <c r="O31" s="49" t="str">
        <f>IFERROR(IF('Pré Implantação'!B31="Infraestrutura",AVERAGE('Pré Implantação'!D31,'Pré Implantação'!L31),""),"")</f>
        <v/>
      </c>
    </row>
    <row r="32" spans="1:15" x14ac:dyDescent="0.3">
      <c r="A32" s="33">
        <f>'Pré Implantação'!A32</f>
        <v>0</v>
      </c>
      <c r="B32" s="36">
        <f>'Pré Implantação'!C32</f>
        <v>0</v>
      </c>
      <c r="C32" s="34" t="str">
        <f>IFERROR(IF('Pré Implantação'!B32="Produção TI",AVERAGE('Pré Implantação'!D32,'Pré Implantação'!L32,'Pré Implantação'!E32,'Pré Implantação'!H32),AVERAGE('Pré Implantação'!E32,'Pré Implantação'!H32)),"")</f>
        <v/>
      </c>
      <c r="D32" s="34" t="str">
        <f>IFERROR(IF('Pré Implantação'!B32="CSC Service Desk",AVERAGE('Pré Implantação'!D32,'Pré Implantação'!L32,'Pré Implantação'!F32),AVERAGE('Pré Implantação'!F32)),"")</f>
        <v/>
      </c>
      <c r="E32" s="34" t="str">
        <f>IFERROR(IF('Pré Implantação'!B32="CSC NOC",AVERAGE('Pré Implantação'!D32,'Pré Implantação'!L32,'Pré Implantação'!G32),AVERAGE('Pré Implantação'!G32)),"")</f>
        <v/>
      </c>
      <c r="F32" s="34" t="str">
        <f>IFERROR(IF('Pré Implantação'!B32="CSE Gravadores",AVERAGE('Pré Implantação'!D32,'Pré Implantação'!L32,'Pré Implantação'!I32),AVERAGE('Pré Implantação'!I32)),"")</f>
        <v/>
      </c>
      <c r="G32" s="34" t="str">
        <f>IFERROR(IF('Pré Implantação'!B32="CSC",AVERAGE('Pré Implantação'!D32,'Pré Implantação'!L32,'Pré Implantação'!J32),AVERAGE('Pré Implantação'!J32)),"")</f>
        <v/>
      </c>
      <c r="H32" s="34" t="str">
        <f>IFERROR(IF('Pré Implantação'!B32="Operações \ Negócio",AVERAGE('Pré Implantação'!D32,'Pré Implantação'!L32,'Pré Implantação'!K32),AVERAGE('Pré Implantação'!K32)),"")</f>
        <v/>
      </c>
      <c r="I32" s="34" t="str">
        <f>IFERROR(IF('Pré Implantação'!B32="Projetos",AVERAGE('Pré Implantação'!D32,'Pré Implantação'!L32,'Pré Implantação'!M32),AVERAGE('Pré Implantação'!M32)),"")</f>
        <v/>
      </c>
      <c r="J32" s="34" t="str">
        <f>IFERROR(IF('Pré Implantação'!B32="Engenharia",AVERAGE('Pré Implantação'!D32,'Pré Implantação'!L32,'Pré Implantação'!N32),AVERAGE('Pré Implantação'!N32)),"")</f>
        <v/>
      </c>
      <c r="K32" s="34" t="str">
        <f>IFERROR(IF('Pré Implantação'!B32="URA",AVERAGE('Pré Implantação'!D32,'Pré Implantação'!L32),""),"")</f>
        <v/>
      </c>
      <c r="L32" s="34" t="str">
        <f>IFERROR(IF('Pré Implantação'!B32="CSE Microsoft",AVERAGE('Pré Implantação'!D32,'Pré Implantação'!L32),""),"")</f>
        <v/>
      </c>
      <c r="M32" s="34" t="str">
        <f>IFERROR(IF('Pré Implantação'!B32="CSE Telecom",AVERAGE('Pré Implantação'!D32,'Pré Implantação'!L32),""),"")</f>
        <v/>
      </c>
      <c r="N32" s="34" t="str">
        <f>IFERROR(IF('Pré Implantação'!B32="Site Suporte de Campo",AVERAGE('Pré Implantação'!D32,'Pré Implantação'!L32),""),"")</f>
        <v/>
      </c>
      <c r="O32" s="49" t="str">
        <f>IFERROR(IF('Pré Implantação'!B32="Infraestrutura",AVERAGE('Pré Implantação'!D32,'Pré Implantação'!L32),""),"")</f>
        <v/>
      </c>
    </row>
    <row r="33" spans="1:15" x14ac:dyDescent="0.3">
      <c r="A33" s="33">
        <f>'Pré Implantação'!A33</f>
        <v>0</v>
      </c>
      <c r="B33" s="36">
        <f>'Pré Implantação'!C33</f>
        <v>0</v>
      </c>
      <c r="C33" s="34" t="str">
        <f>IFERROR(IF('Pré Implantação'!B33="Produção TI",AVERAGE('Pré Implantação'!D33,'Pré Implantação'!L33,'Pré Implantação'!E33,'Pré Implantação'!H33),AVERAGE('Pré Implantação'!E33,'Pré Implantação'!H33)),"")</f>
        <v/>
      </c>
      <c r="D33" s="34" t="str">
        <f>IFERROR(IF('Pré Implantação'!B33="CSC Service Desk",AVERAGE('Pré Implantação'!D33,'Pré Implantação'!L33,'Pré Implantação'!F33),AVERAGE('Pré Implantação'!F33)),"")</f>
        <v/>
      </c>
      <c r="E33" s="34" t="str">
        <f>IFERROR(IF('Pré Implantação'!B33="CSC NOC",AVERAGE('Pré Implantação'!D33,'Pré Implantação'!L33,'Pré Implantação'!G33),AVERAGE('Pré Implantação'!G33)),"")</f>
        <v/>
      </c>
      <c r="F33" s="34" t="str">
        <f>IFERROR(IF('Pré Implantação'!B33="CSE Gravadores",AVERAGE('Pré Implantação'!D33,'Pré Implantação'!L33,'Pré Implantação'!I33),AVERAGE('Pré Implantação'!I33)),"")</f>
        <v/>
      </c>
      <c r="G33" s="34" t="str">
        <f>IFERROR(IF('Pré Implantação'!B33="CSC",AVERAGE('Pré Implantação'!D33,'Pré Implantação'!L33,'Pré Implantação'!J33),AVERAGE('Pré Implantação'!J33)),"")</f>
        <v/>
      </c>
      <c r="H33" s="34" t="str">
        <f>IFERROR(IF('Pré Implantação'!B33="Operações \ Negócio",AVERAGE('Pré Implantação'!D33,'Pré Implantação'!L33,'Pré Implantação'!K33),AVERAGE('Pré Implantação'!K33)),"")</f>
        <v/>
      </c>
      <c r="I33" s="34" t="str">
        <f>IFERROR(IF('Pré Implantação'!B33="Projetos",AVERAGE('Pré Implantação'!D33,'Pré Implantação'!L33,'Pré Implantação'!M33),AVERAGE('Pré Implantação'!M33)),"")</f>
        <v/>
      </c>
      <c r="J33" s="34" t="str">
        <f>IFERROR(IF('Pré Implantação'!B33="Engenharia",AVERAGE('Pré Implantação'!D33,'Pré Implantação'!L33,'Pré Implantação'!N33),AVERAGE('Pré Implantação'!N33)),"")</f>
        <v/>
      </c>
      <c r="K33" s="34" t="str">
        <f>IFERROR(IF('Pré Implantação'!B33="URA",AVERAGE('Pré Implantação'!D33,'Pré Implantação'!L33),""),"")</f>
        <v/>
      </c>
      <c r="L33" s="34" t="str">
        <f>IFERROR(IF('Pré Implantação'!B33="CSE Microsoft",AVERAGE('Pré Implantação'!D33,'Pré Implantação'!L33),""),"")</f>
        <v/>
      </c>
      <c r="M33" s="34" t="str">
        <f>IFERROR(IF('Pré Implantação'!B33="CSE Telecom",AVERAGE('Pré Implantação'!D33,'Pré Implantação'!L33),""),"")</f>
        <v/>
      </c>
      <c r="N33" s="34" t="str">
        <f>IFERROR(IF('Pré Implantação'!B33="Site Suporte de Campo",AVERAGE('Pré Implantação'!D33,'Pré Implantação'!L33),""),"")</f>
        <v/>
      </c>
      <c r="O33" s="49" t="str">
        <f>IFERROR(IF('Pré Implantação'!B33="Infraestrutura",AVERAGE('Pré Implantação'!D33,'Pré Implantação'!L33),""),"")</f>
        <v/>
      </c>
    </row>
    <row r="34" spans="1:15" x14ac:dyDescent="0.3">
      <c r="A34" s="33">
        <f>'Pré Implantação'!A34</f>
        <v>0</v>
      </c>
      <c r="B34" s="36">
        <f>'Pré Implantação'!C34</f>
        <v>0</v>
      </c>
      <c r="C34" s="34" t="str">
        <f>IFERROR(IF('Pré Implantação'!B34="Produção TI",AVERAGE('Pré Implantação'!D34,'Pré Implantação'!L34,'Pré Implantação'!E34,'Pré Implantação'!H34),AVERAGE('Pré Implantação'!E34,'Pré Implantação'!H34)),"")</f>
        <v/>
      </c>
      <c r="D34" s="34" t="str">
        <f>IFERROR(IF('Pré Implantação'!B34="CSC Service Desk",AVERAGE('Pré Implantação'!D34,'Pré Implantação'!L34,'Pré Implantação'!F34),AVERAGE('Pré Implantação'!F34)),"")</f>
        <v/>
      </c>
      <c r="E34" s="34" t="str">
        <f>IFERROR(IF('Pré Implantação'!B34="CSC NOC",AVERAGE('Pré Implantação'!D34,'Pré Implantação'!L34,'Pré Implantação'!G34),AVERAGE('Pré Implantação'!G34)),"")</f>
        <v/>
      </c>
      <c r="F34" s="34" t="str">
        <f>IFERROR(IF('Pré Implantação'!B34="CSE Gravadores",AVERAGE('Pré Implantação'!D34,'Pré Implantação'!L34,'Pré Implantação'!I34),AVERAGE('Pré Implantação'!I34)),"")</f>
        <v/>
      </c>
      <c r="G34" s="34" t="str">
        <f>IFERROR(IF('Pré Implantação'!B34="CSC",AVERAGE('Pré Implantação'!D34,'Pré Implantação'!L34,'Pré Implantação'!J34),AVERAGE('Pré Implantação'!J34)),"")</f>
        <v/>
      </c>
      <c r="H34" s="34" t="str">
        <f>IFERROR(IF('Pré Implantação'!B34="Operações \ Negócio",AVERAGE('Pré Implantação'!D34,'Pré Implantação'!L34,'Pré Implantação'!K34),AVERAGE('Pré Implantação'!K34)),"")</f>
        <v/>
      </c>
      <c r="I34" s="34" t="str">
        <f>IFERROR(IF('Pré Implantação'!B34="Projetos",AVERAGE('Pré Implantação'!D34,'Pré Implantação'!L34,'Pré Implantação'!M34),AVERAGE('Pré Implantação'!M34)),"")</f>
        <v/>
      </c>
      <c r="J34" s="34" t="str">
        <f>IFERROR(IF('Pré Implantação'!B34="Engenharia",AVERAGE('Pré Implantação'!D34,'Pré Implantação'!L34,'Pré Implantação'!N34),AVERAGE('Pré Implantação'!N34)),"")</f>
        <v/>
      </c>
      <c r="K34" s="34" t="str">
        <f>IFERROR(IF('Pré Implantação'!B34="URA",AVERAGE('Pré Implantação'!D34,'Pré Implantação'!L34),""),"")</f>
        <v/>
      </c>
      <c r="L34" s="34" t="str">
        <f>IFERROR(IF('Pré Implantação'!B34="CSE Microsoft",AVERAGE('Pré Implantação'!D34,'Pré Implantação'!L34),""),"")</f>
        <v/>
      </c>
      <c r="M34" s="34" t="str">
        <f>IFERROR(IF('Pré Implantação'!B34="CSE Telecom",AVERAGE('Pré Implantação'!D34,'Pré Implantação'!L34),""),"")</f>
        <v/>
      </c>
      <c r="N34" s="34" t="str">
        <f>IFERROR(IF('Pré Implantação'!B34="Site Suporte de Campo",AVERAGE('Pré Implantação'!D34,'Pré Implantação'!L34),""),"")</f>
        <v/>
      </c>
      <c r="O34" s="49" t="str">
        <f>IFERROR(IF('Pré Implantação'!B34="Infraestrutura",AVERAGE('Pré Implantação'!D34,'Pré Implantação'!L34),""),"")</f>
        <v/>
      </c>
    </row>
    <row r="35" spans="1:15" x14ac:dyDescent="0.3">
      <c r="A35" s="33">
        <f>'Pré Implantação'!A35</f>
        <v>0</v>
      </c>
      <c r="B35" s="36">
        <f>'Pré Implantação'!C35</f>
        <v>0</v>
      </c>
      <c r="C35" s="34" t="str">
        <f>IFERROR(IF('Pré Implantação'!B35="Produção TI",AVERAGE('Pré Implantação'!D35,'Pré Implantação'!L35,'Pré Implantação'!E35,'Pré Implantação'!H35),AVERAGE('Pré Implantação'!E35,'Pré Implantação'!H35)),"")</f>
        <v/>
      </c>
      <c r="D35" s="34" t="str">
        <f>IFERROR(IF('Pré Implantação'!B35="CSC Service Desk",AVERAGE('Pré Implantação'!D35,'Pré Implantação'!L35,'Pré Implantação'!F35),AVERAGE('Pré Implantação'!F35)),"")</f>
        <v/>
      </c>
      <c r="E35" s="34" t="str">
        <f>IFERROR(IF('Pré Implantação'!B35="CSC NOC",AVERAGE('Pré Implantação'!D35,'Pré Implantação'!L35,'Pré Implantação'!G35),AVERAGE('Pré Implantação'!G35)),"")</f>
        <v/>
      </c>
      <c r="F35" s="34" t="str">
        <f>IFERROR(IF('Pré Implantação'!B35="CSE Gravadores",AVERAGE('Pré Implantação'!D35,'Pré Implantação'!L35,'Pré Implantação'!I35),AVERAGE('Pré Implantação'!I35)),"")</f>
        <v/>
      </c>
      <c r="G35" s="34" t="str">
        <f>IFERROR(IF('Pré Implantação'!B35="CSC",AVERAGE('Pré Implantação'!D35,'Pré Implantação'!L35,'Pré Implantação'!J35),AVERAGE('Pré Implantação'!J35)),"")</f>
        <v/>
      </c>
      <c r="H35" s="34" t="str">
        <f>IFERROR(IF('Pré Implantação'!B35="Operações \ Negócio",AVERAGE('Pré Implantação'!D35,'Pré Implantação'!L35,'Pré Implantação'!K35),AVERAGE('Pré Implantação'!K35)),"")</f>
        <v/>
      </c>
      <c r="I35" s="34" t="str">
        <f>IFERROR(IF('Pré Implantação'!B35="Projetos",AVERAGE('Pré Implantação'!D35,'Pré Implantação'!L35,'Pré Implantação'!M35),AVERAGE('Pré Implantação'!M35)),"")</f>
        <v/>
      </c>
      <c r="J35" s="34" t="str">
        <f>IFERROR(IF('Pré Implantação'!B35="Engenharia",AVERAGE('Pré Implantação'!D35,'Pré Implantação'!L35,'Pré Implantação'!N35),AVERAGE('Pré Implantação'!N35)),"")</f>
        <v/>
      </c>
      <c r="K35" s="34" t="str">
        <f>IFERROR(IF('Pré Implantação'!B35="URA",AVERAGE('Pré Implantação'!D35,'Pré Implantação'!L35),""),"")</f>
        <v/>
      </c>
      <c r="L35" s="34" t="str">
        <f>IFERROR(IF('Pré Implantação'!B35="CSE Microsoft",AVERAGE('Pré Implantação'!D35,'Pré Implantação'!L35),""),"")</f>
        <v/>
      </c>
      <c r="M35" s="34" t="str">
        <f>IFERROR(IF('Pré Implantação'!B35="CSE Telecom",AVERAGE('Pré Implantação'!D35,'Pré Implantação'!L35),""),"")</f>
        <v/>
      </c>
      <c r="N35" s="34" t="str">
        <f>IFERROR(IF('Pré Implantação'!B35="Site Suporte de Campo",AVERAGE('Pré Implantação'!D35,'Pré Implantação'!L35),""),"")</f>
        <v/>
      </c>
      <c r="O35" s="49" t="str">
        <f>IFERROR(IF('Pré Implantação'!B35="Infraestrutura",AVERAGE('Pré Implantação'!D35,'Pré Implantação'!L35),""),"")</f>
        <v/>
      </c>
    </row>
    <row r="36" spans="1:15" x14ac:dyDescent="0.3">
      <c r="A36" s="33">
        <f>'Pré Implantação'!A36</f>
        <v>0</v>
      </c>
      <c r="B36" s="36">
        <f>'Pré Implantação'!C36</f>
        <v>0</v>
      </c>
      <c r="C36" s="34" t="str">
        <f>IFERROR(IF('Pré Implantação'!B36="Produção TI",AVERAGE('Pré Implantação'!D36,'Pré Implantação'!L36,'Pré Implantação'!E36,'Pré Implantação'!H36),AVERAGE('Pré Implantação'!E36,'Pré Implantação'!H36)),"")</f>
        <v/>
      </c>
      <c r="D36" s="34" t="str">
        <f>IFERROR(IF('Pré Implantação'!B36="CSC Service Desk",AVERAGE('Pré Implantação'!D36,'Pré Implantação'!L36,'Pré Implantação'!F36),AVERAGE('Pré Implantação'!F36)),"")</f>
        <v/>
      </c>
      <c r="E36" s="34" t="str">
        <f>IFERROR(IF('Pré Implantação'!B36="CSC NOC",AVERAGE('Pré Implantação'!D36,'Pré Implantação'!L36,'Pré Implantação'!G36),AVERAGE('Pré Implantação'!G36)),"")</f>
        <v/>
      </c>
      <c r="F36" s="34" t="str">
        <f>IFERROR(IF('Pré Implantação'!B36="CSE Gravadores",AVERAGE('Pré Implantação'!D36,'Pré Implantação'!L36,'Pré Implantação'!I36),AVERAGE('Pré Implantação'!I36)),"")</f>
        <v/>
      </c>
      <c r="G36" s="34" t="str">
        <f>IFERROR(IF('Pré Implantação'!B36="CSC",AVERAGE('Pré Implantação'!D36,'Pré Implantação'!L36,'Pré Implantação'!J36),AVERAGE('Pré Implantação'!J36)),"")</f>
        <v/>
      </c>
      <c r="H36" s="34" t="str">
        <f>IFERROR(IF('Pré Implantação'!B36="Operações \ Negócio",AVERAGE('Pré Implantação'!D36,'Pré Implantação'!L36,'Pré Implantação'!K36),AVERAGE('Pré Implantação'!K36)),"")</f>
        <v/>
      </c>
      <c r="I36" s="34" t="str">
        <f>IFERROR(IF('Pré Implantação'!B36="Projetos",AVERAGE('Pré Implantação'!D36,'Pré Implantação'!L36,'Pré Implantação'!M36),AVERAGE('Pré Implantação'!M36)),"")</f>
        <v/>
      </c>
      <c r="J36" s="34" t="str">
        <f>IFERROR(IF('Pré Implantação'!B36="Engenharia",AVERAGE('Pré Implantação'!D36,'Pré Implantação'!L36,'Pré Implantação'!N36),AVERAGE('Pré Implantação'!N36)),"")</f>
        <v/>
      </c>
      <c r="K36" s="34" t="str">
        <f>IFERROR(IF('Pré Implantação'!B36="URA",AVERAGE('Pré Implantação'!D36,'Pré Implantação'!L36),""),"")</f>
        <v/>
      </c>
      <c r="L36" s="34" t="str">
        <f>IFERROR(IF('Pré Implantação'!B36="CSE Microsoft",AVERAGE('Pré Implantação'!D36,'Pré Implantação'!L36),""),"")</f>
        <v/>
      </c>
      <c r="M36" s="34" t="str">
        <f>IFERROR(IF('Pré Implantação'!B36="CSE Telecom",AVERAGE('Pré Implantação'!D36,'Pré Implantação'!L36),""),"")</f>
        <v/>
      </c>
      <c r="N36" s="34" t="str">
        <f>IFERROR(IF('Pré Implantação'!B36="Site Suporte de Campo",AVERAGE('Pré Implantação'!D36,'Pré Implantação'!L36),""),"")</f>
        <v/>
      </c>
      <c r="O36" s="49" t="str">
        <f>IFERROR(IF('Pré Implantação'!B36="Infraestrutura",AVERAGE('Pré Implantação'!D36,'Pré Implantação'!L36),""),"")</f>
        <v/>
      </c>
    </row>
    <row r="37" spans="1:15" x14ac:dyDescent="0.3">
      <c r="A37" s="33">
        <f>'Pré Implantação'!A37</f>
        <v>0</v>
      </c>
      <c r="B37" s="36">
        <f>'Pré Implantação'!C37</f>
        <v>0</v>
      </c>
      <c r="C37" s="34" t="str">
        <f>IFERROR(IF('Pré Implantação'!B37="Produção TI",AVERAGE('Pré Implantação'!D37,'Pré Implantação'!L37,'Pré Implantação'!E37,'Pré Implantação'!H37),AVERAGE('Pré Implantação'!E37,'Pré Implantação'!H37)),"")</f>
        <v/>
      </c>
      <c r="D37" s="34" t="str">
        <f>IFERROR(IF('Pré Implantação'!B37="CSC Service Desk",AVERAGE('Pré Implantação'!D37,'Pré Implantação'!L37,'Pré Implantação'!F37),AVERAGE('Pré Implantação'!F37)),"")</f>
        <v/>
      </c>
      <c r="E37" s="34" t="str">
        <f>IFERROR(IF('Pré Implantação'!B37="CSC NOC",AVERAGE('Pré Implantação'!D37,'Pré Implantação'!L37,'Pré Implantação'!G37),AVERAGE('Pré Implantação'!G37)),"")</f>
        <v/>
      </c>
      <c r="F37" s="34" t="str">
        <f>IFERROR(IF('Pré Implantação'!B37="CSE Gravadores",AVERAGE('Pré Implantação'!D37,'Pré Implantação'!L37,'Pré Implantação'!I37),AVERAGE('Pré Implantação'!I37)),"")</f>
        <v/>
      </c>
      <c r="G37" s="34" t="str">
        <f>IFERROR(IF('Pré Implantação'!B37="CSC",AVERAGE('Pré Implantação'!D37,'Pré Implantação'!L37,'Pré Implantação'!J37),AVERAGE('Pré Implantação'!J37)),"")</f>
        <v/>
      </c>
      <c r="H37" s="34" t="str">
        <f>IFERROR(IF('Pré Implantação'!B37="Operações \ Negócio",AVERAGE('Pré Implantação'!D37,'Pré Implantação'!L37,'Pré Implantação'!K37),AVERAGE('Pré Implantação'!K37)),"")</f>
        <v/>
      </c>
      <c r="I37" s="34" t="str">
        <f>IFERROR(IF('Pré Implantação'!B37="Projetos",AVERAGE('Pré Implantação'!D37,'Pré Implantação'!L37,'Pré Implantação'!M37),AVERAGE('Pré Implantação'!M37)),"")</f>
        <v/>
      </c>
      <c r="J37" s="34" t="str">
        <f>IFERROR(IF('Pré Implantação'!B37="Engenharia",AVERAGE('Pré Implantação'!D37,'Pré Implantação'!L37,'Pré Implantação'!N37),AVERAGE('Pré Implantação'!N37)),"")</f>
        <v/>
      </c>
      <c r="K37" s="34" t="str">
        <f>IFERROR(IF('Pré Implantação'!B37="URA",AVERAGE('Pré Implantação'!D37,'Pré Implantação'!L37),""),"")</f>
        <v/>
      </c>
      <c r="L37" s="34" t="str">
        <f>IFERROR(IF('Pré Implantação'!B37="CSE Microsoft",AVERAGE('Pré Implantação'!D37,'Pré Implantação'!L37),""),"")</f>
        <v/>
      </c>
      <c r="M37" s="34" t="str">
        <f>IFERROR(IF('Pré Implantação'!B37="CSE Telecom",AVERAGE('Pré Implantação'!D37,'Pré Implantação'!L37),""),"")</f>
        <v/>
      </c>
      <c r="N37" s="34" t="str">
        <f>IFERROR(IF('Pré Implantação'!B37="Site Suporte de Campo",AVERAGE('Pré Implantação'!D37,'Pré Implantação'!L37),""),"")</f>
        <v/>
      </c>
      <c r="O37" s="49" t="str">
        <f>IFERROR(IF('Pré Implantação'!B37="Infraestrutura",AVERAGE('Pré Implantação'!D37,'Pré Implantação'!L37),""),"")</f>
        <v/>
      </c>
    </row>
    <row r="38" spans="1:15" x14ac:dyDescent="0.3">
      <c r="A38" s="33">
        <f>'Pré Implantação'!A38</f>
        <v>0</v>
      </c>
      <c r="B38" s="36">
        <f>'Pré Implantação'!C38</f>
        <v>0</v>
      </c>
      <c r="C38" s="34" t="str">
        <f>IFERROR(IF('Pré Implantação'!B38="Produção TI",AVERAGE('Pré Implantação'!D38,'Pré Implantação'!L38,'Pré Implantação'!E38,'Pré Implantação'!H38),AVERAGE('Pré Implantação'!E38,'Pré Implantação'!H38)),"")</f>
        <v/>
      </c>
      <c r="D38" s="34" t="str">
        <f>IFERROR(IF('Pré Implantação'!B38="CSC Service Desk",AVERAGE('Pré Implantação'!D38,'Pré Implantação'!L38,'Pré Implantação'!F38),AVERAGE('Pré Implantação'!F38)),"")</f>
        <v/>
      </c>
      <c r="E38" s="34" t="str">
        <f>IFERROR(IF('Pré Implantação'!B38="CSC NOC",AVERAGE('Pré Implantação'!D38,'Pré Implantação'!L38,'Pré Implantação'!G38),AVERAGE('Pré Implantação'!G38)),"")</f>
        <v/>
      </c>
      <c r="F38" s="34" t="str">
        <f>IFERROR(IF('Pré Implantação'!B38="CSE Gravadores",AVERAGE('Pré Implantação'!D38,'Pré Implantação'!L38,'Pré Implantação'!I38),AVERAGE('Pré Implantação'!I38)),"")</f>
        <v/>
      </c>
      <c r="G38" s="34" t="str">
        <f>IFERROR(IF('Pré Implantação'!B38="CSC",AVERAGE('Pré Implantação'!D38,'Pré Implantação'!L38,'Pré Implantação'!J38),AVERAGE('Pré Implantação'!J38)),"")</f>
        <v/>
      </c>
      <c r="H38" s="34" t="str">
        <f>IFERROR(IF('Pré Implantação'!B38="Operações \ Negócio",AVERAGE('Pré Implantação'!D38,'Pré Implantação'!L38,'Pré Implantação'!K38),AVERAGE('Pré Implantação'!K38)),"")</f>
        <v/>
      </c>
      <c r="I38" s="34" t="str">
        <f>IFERROR(IF('Pré Implantação'!B38="Projetos",AVERAGE('Pré Implantação'!D38,'Pré Implantação'!L38,'Pré Implantação'!M38),AVERAGE('Pré Implantação'!M38)),"")</f>
        <v/>
      </c>
      <c r="J38" s="34" t="str">
        <f>IFERROR(IF('Pré Implantação'!B38="Engenharia",AVERAGE('Pré Implantação'!D38,'Pré Implantação'!L38,'Pré Implantação'!N38),AVERAGE('Pré Implantação'!N38)),"")</f>
        <v/>
      </c>
      <c r="K38" s="34" t="str">
        <f>IFERROR(IF('Pré Implantação'!B38="URA",AVERAGE('Pré Implantação'!D38,'Pré Implantação'!L38),""),"")</f>
        <v/>
      </c>
      <c r="L38" s="34" t="str">
        <f>IFERROR(IF('Pré Implantação'!B38="CSE Microsoft",AVERAGE('Pré Implantação'!D38,'Pré Implantação'!L38),""),"")</f>
        <v/>
      </c>
      <c r="M38" s="34" t="str">
        <f>IFERROR(IF('Pré Implantação'!B38="CSE Telecom",AVERAGE('Pré Implantação'!D38,'Pré Implantação'!L38),""),"")</f>
        <v/>
      </c>
      <c r="N38" s="34" t="str">
        <f>IFERROR(IF('Pré Implantação'!B38="Site Suporte de Campo",AVERAGE('Pré Implantação'!D38,'Pré Implantação'!L38),""),"")</f>
        <v/>
      </c>
      <c r="O38" s="49" t="str">
        <f>IFERROR(IF('Pré Implantação'!B38="Infraestrutura",AVERAGE('Pré Implantação'!D38,'Pré Implantação'!L38),""),"")</f>
        <v/>
      </c>
    </row>
    <row r="39" spans="1:15" x14ac:dyDescent="0.3">
      <c r="A39" s="33">
        <f>'Pré Implantação'!A39</f>
        <v>0</v>
      </c>
      <c r="B39" s="36">
        <f>'Pré Implantação'!C39</f>
        <v>0</v>
      </c>
      <c r="C39" s="34" t="str">
        <f>IFERROR(IF('Pré Implantação'!B39="Produção TI",AVERAGE('Pré Implantação'!D39,'Pré Implantação'!L39,'Pré Implantação'!E39,'Pré Implantação'!H39),AVERAGE('Pré Implantação'!E39,'Pré Implantação'!H39)),"")</f>
        <v/>
      </c>
      <c r="D39" s="34" t="str">
        <f>IFERROR(IF('Pré Implantação'!B39="CSC Service Desk",AVERAGE('Pré Implantação'!D39,'Pré Implantação'!L39,'Pré Implantação'!F39),AVERAGE('Pré Implantação'!F39)),"")</f>
        <v/>
      </c>
      <c r="E39" s="34" t="str">
        <f>IFERROR(IF('Pré Implantação'!B39="CSC NOC",AVERAGE('Pré Implantação'!D39,'Pré Implantação'!L39,'Pré Implantação'!G39),AVERAGE('Pré Implantação'!G39)),"")</f>
        <v/>
      </c>
      <c r="F39" s="34" t="str">
        <f>IFERROR(IF('Pré Implantação'!B39="CSE Gravadores",AVERAGE('Pré Implantação'!D39,'Pré Implantação'!L39,'Pré Implantação'!I39),AVERAGE('Pré Implantação'!I39)),"")</f>
        <v/>
      </c>
      <c r="G39" s="34" t="str">
        <f>IFERROR(IF('Pré Implantação'!B39="CSC",AVERAGE('Pré Implantação'!D39,'Pré Implantação'!L39,'Pré Implantação'!J39),AVERAGE('Pré Implantação'!J39)),"")</f>
        <v/>
      </c>
      <c r="H39" s="34" t="str">
        <f>IFERROR(IF('Pré Implantação'!B39="Operações \ Negócio",AVERAGE('Pré Implantação'!D39,'Pré Implantação'!L39,'Pré Implantação'!K39),AVERAGE('Pré Implantação'!K39)),"")</f>
        <v/>
      </c>
      <c r="I39" s="34" t="str">
        <f>IFERROR(IF('Pré Implantação'!B39="Projetos",AVERAGE('Pré Implantação'!D39,'Pré Implantação'!L39,'Pré Implantação'!M39),AVERAGE('Pré Implantação'!M39)),"")</f>
        <v/>
      </c>
      <c r="J39" s="34" t="str">
        <f>IFERROR(IF('Pré Implantação'!B39="Engenharia",AVERAGE('Pré Implantação'!D39,'Pré Implantação'!L39,'Pré Implantação'!N39),AVERAGE('Pré Implantação'!N39)),"")</f>
        <v/>
      </c>
      <c r="K39" s="34" t="str">
        <f>IFERROR(IF('Pré Implantação'!B39="URA",AVERAGE('Pré Implantação'!D39,'Pré Implantação'!L39),""),"")</f>
        <v/>
      </c>
      <c r="L39" s="34" t="str">
        <f>IFERROR(IF('Pré Implantação'!B39="CSE Microsoft",AVERAGE('Pré Implantação'!D39,'Pré Implantação'!L39),""),"")</f>
        <v/>
      </c>
      <c r="M39" s="34" t="str">
        <f>IFERROR(IF('Pré Implantação'!B39="CSE Telecom",AVERAGE('Pré Implantação'!D39,'Pré Implantação'!L39),""),"")</f>
        <v/>
      </c>
      <c r="N39" s="34" t="str">
        <f>IFERROR(IF('Pré Implantação'!B39="Site Suporte de Campo",AVERAGE('Pré Implantação'!D39,'Pré Implantação'!L39),""),"")</f>
        <v/>
      </c>
      <c r="O39" s="49" t="str">
        <f>IFERROR(IF('Pré Implantação'!B39="Infraestrutura",AVERAGE('Pré Implantação'!D39,'Pré Implantação'!L39),""),"")</f>
        <v/>
      </c>
    </row>
    <row r="40" spans="1:15" x14ac:dyDescent="0.3">
      <c r="A40" s="33">
        <f>'Pré Implantação'!A40</f>
        <v>0</v>
      </c>
      <c r="B40" s="36">
        <f>'Pré Implantação'!C40</f>
        <v>0</v>
      </c>
      <c r="C40" s="34" t="str">
        <f>IFERROR(IF('Pré Implantação'!B40="Produção TI",AVERAGE('Pré Implantação'!D40,'Pré Implantação'!L40,'Pré Implantação'!E40,'Pré Implantação'!H40),AVERAGE('Pré Implantação'!E40,'Pré Implantação'!H40)),"")</f>
        <v/>
      </c>
      <c r="D40" s="34" t="str">
        <f>IFERROR(IF('Pré Implantação'!B40="CSC Service Desk",AVERAGE('Pré Implantação'!D40,'Pré Implantação'!L40,'Pré Implantação'!F40),AVERAGE('Pré Implantação'!F40)),"")</f>
        <v/>
      </c>
      <c r="E40" s="34" t="str">
        <f>IFERROR(IF('Pré Implantação'!B40="CSC NOC",AVERAGE('Pré Implantação'!D40,'Pré Implantação'!L40,'Pré Implantação'!G40),AVERAGE('Pré Implantação'!G40)),"")</f>
        <v/>
      </c>
      <c r="F40" s="34" t="str">
        <f>IFERROR(IF('Pré Implantação'!B40="CSE Gravadores",AVERAGE('Pré Implantação'!D40,'Pré Implantação'!L40,'Pré Implantação'!I40),AVERAGE('Pré Implantação'!I40)),"")</f>
        <v/>
      </c>
      <c r="G40" s="34" t="str">
        <f>IFERROR(IF('Pré Implantação'!B40="CSC",AVERAGE('Pré Implantação'!D40,'Pré Implantação'!L40,'Pré Implantação'!J40),AVERAGE('Pré Implantação'!J40)),"")</f>
        <v/>
      </c>
      <c r="H40" s="34" t="str">
        <f>IFERROR(IF('Pré Implantação'!B40="Operações \ Negócio",AVERAGE('Pré Implantação'!D40,'Pré Implantação'!L40,'Pré Implantação'!K40),AVERAGE('Pré Implantação'!K40)),"")</f>
        <v/>
      </c>
      <c r="I40" s="34" t="str">
        <f>IFERROR(IF('Pré Implantação'!B40="Projetos",AVERAGE('Pré Implantação'!D40,'Pré Implantação'!L40,'Pré Implantação'!M40),AVERAGE('Pré Implantação'!M40)),"")</f>
        <v/>
      </c>
      <c r="J40" s="34" t="str">
        <f>IFERROR(IF('Pré Implantação'!B40="Engenharia",AVERAGE('Pré Implantação'!D40,'Pré Implantação'!L40,'Pré Implantação'!N40),AVERAGE('Pré Implantação'!N40)),"")</f>
        <v/>
      </c>
      <c r="K40" s="34" t="str">
        <f>IFERROR(IF('Pré Implantação'!B40="URA",AVERAGE('Pré Implantação'!D40,'Pré Implantação'!L40),""),"")</f>
        <v/>
      </c>
      <c r="L40" s="34" t="str">
        <f>IFERROR(IF('Pré Implantação'!B40="CSE Microsoft",AVERAGE('Pré Implantação'!D40,'Pré Implantação'!L40),""),"")</f>
        <v/>
      </c>
      <c r="M40" s="34" t="str">
        <f>IFERROR(IF('Pré Implantação'!B40="CSE Telecom",AVERAGE('Pré Implantação'!D40,'Pré Implantação'!L40),""),"")</f>
        <v/>
      </c>
      <c r="N40" s="34" t="str">
        <f>IFERROR(IF('Pré Implantação'!B40="Site Suporte de Campo",AVERAGE('Pré Implantação'!D40,'Pré Implantação'!L40),""),"")</f>
        <v/>
      </c>
      <c r="O40" s="49" t="str">
        <f>IFERROR(IF('Pré Implantação'!B40="Infraestrutura",AVERAGE('Pré Implantação'!D40,'Pré Implantação'!L40),""),"")</f>
        <v/>
      </c>
    </row>
    <row r="41" spans="1:15" x14ac:dyDescent="0.3">
      <c r="A41" s="33">
        <f>'Pré Implantação'!A41</f>
        <v>0</v>
      </c>
      <c r="B41" s="36">
        <f>'Pré Implantação'!C41</f>
        <v>0</v>
      </c>
      <c r="C41" s="34" t="str">
        <f>IFERROR(IF('Pré Implantação'!B41="Produção TI",AVERAGE('Pré Implantação'!D41,'Pré Implantação'!L41,'Pré Implantação'!E41,'Pré Implantação'!H41),AVERAGE('Pré Implantação'!E41,'Pré Implantação'!H41)),"")</f>
        <v/>
      </c>
      <c r="D41" s="34" t="str">
        <f>IFERROR(IF('Pré Implantação'!B41="CSC Service Desk",AVERAGE('Pré Implantação'!D41,'Pré Implantação'!L41,'Pré Implantação'!F41),AVERAGE('Pré Implantação'!F41)),"")</f>
        <v/>
      </c>
      <c r="E41" s="34" t="str">
        <f>IFERROR(IF('Pré Implantação'!B41="CSC NOC",AVERAGE('Pré Implantação'!D41,'Pré Implantação'!L41,'Pré Implantação'!G41),AVERAGE('Pré Implantação'!G41)),"")</f>
        <v/>
      </c>
      <c r="F41" s="34" t="str">
        <f>IFERROR(IF('Pré Implantação'!B41="CSE Gravadores",AVERAGE('Pré Implantação'!D41,'Pré Implantação'!L41,'Pré Implantação'!I41),AVERAGE('Pré Implantação'!I41)),"")</f>
        <v/>
      </c>
      <c r="G41" s="34" t="str">
        <f>IFERROR(IF('Pré Implantação'!B41="CSC",AVERAGE('Pré Implantação'!D41,'Pré Implantação'!L41,'Pré Implantação'!J41),AVERAGE('Pré Implantação'!J41)),"")</f>
        <v/>
      </c>
      <c r="H41" s="34" t="str">
        <f>IFERROR(IF('Pré Implantação'!B41="Operações \ Negócio",AVERAGE('Pré Implantação'!D41,'Pré Implantação'!L41,'Pré Implantação'!K41),AVERAGE('Pré Implantação'!K41)),"")</f>
        <v/>
      </c>
      <c r="I41" s="34" t="str">
        <f>IFERROR(IF('Pré Implantação'!B41="Projetos",AVERAGE('Pré Implantação'!D41,'Pré Implantação'!L41,'Pré Implantação'!M41),AVERAGE('Pré Implantação'!M41)),"")</f>
        <v/>
      </c>
      <c r="J41" s="34" t="str">
        <f>IFERROR(IF('Pré Implantação'!B41="Engenharia",AVERAGE('Pré Implantação'!D41,'Pré Implantação'!L41,'Pré Implantação'!N41),AVERAGE('Pré Implantação'!N41)),"")</f>
        <v/>
      </c>
      <c r="K41" s="34" t="str">
        <f>IFERROR(IF('Pré Implantação'!B41="URA",AVERAGE('Pré Implantação'!D41,'Pré Implantação'!L41),""),"")</f>
        <v/>
      </c>
      <c r="L41" s="34" t="str">
        <f>IFERROR(IF('Pré Implantação'!B41="CSE Microsoft",AVERAGE('Pré Implantação'!D41,'Pré Implantação'!L41),""),"")</f>
        <v/>
      </c>
      <c r="M41" s="34" t="str">
        <f>IFERROR(IF('Pré Implantação'!B41="CSE Telecom",AVERAGE('Pré Implantação'!D41,'Pré Implantação'!L41),""),"")</f>
        <v/>
      </c>
      <c r="N41" s="34" t="str">
        <f>IFERROR(IF('Pré Implantação'!B41="Site Suporte de Campo",AVERAGE('Pré Implantação'!D41,'Pré Implantação'!L41),""),"")</f>
        <v/>
      </c>
      <c r="O41" s="49" t="str">
        <f>IFERROR(IF('Pré Implantação'!B41="Infraestrutura",AVERAGE('Pré Implantação'!D41,'Pré Implantação'!L41),""),"")</f>
        <v/>
      </c>
    </row>
    <row r="42" spans="1:15" x14ac:dyDescent="0.3">
      <c r="A42" s="33">
        <f>'Pré Implantação'!A42</f>
        <v>0</v>
      </c>
      <c r="B42" s="36">
        <f>'Pré Implantação'!C42</f>
        <v>0</v>
      </c>
      <c r="C42" s="34" t="str">
        <f>IFERROR(IF('Pré Implantação'!B42="Produção TI",AVERAGE('Pré Implantação'!D42,'Pré Implantação'!L42,'Pré Implantação'!E42,'Pré Implantação'!H42),AVERAGE('Pré Implantação'!E42,'Pré Implantação'!H42)),"")</f>
        <v/>
      </c>
      <c r="D42" s="34" t="str">
        <f>IFERROR(IF('Pré Implantação'!B42="CSC Service Desk",AVERAGE('Pré Implantação'!D42,'Pré Implantação'!L42,'Pré Implantação'!F42),AVERAGE('Pré Implantação'!F42)),"")</f>
        <v/>
      </c>
      <c r="E42" s="34" t="str">
        <f>IFERROR(IF('Pré Implantação'!B42="CSC NOC",AVERAGE('Pré Implantação'!D42,'Pré Implantação'!L42,'Pré Implantação'!G42),AVERAGE('Pré Implantação'!G42)),"")</f>
        <v/>
      </c>
      <c r="F42" s="34" t="str">
        <f>IFERROR(IF('Pré Implantação'!B42="CSE Gravadores",AVERAGE('Pré Implantação'!D42,'Pré Implantação'!L42,'Pré Implantação'!I42),AVERAGE('Pré Implantação'!I42)),"")</f>
        <v/>
      </c>
      <c r="G42" s="34" t="str">
        <f>IFERROR(IF('Pré Implantação'!B42="CSC",AVERAGE('Pré Implantação'!D42,'Pré Implantação'!L42,'Pré Implantação'!J42),AVERAGE('Pré Implantação'!J42)),"")</f>
        <v/>
      </c>
      <c r="H42" s="34" t="str">
        <f>IFERROR(IF('Pré Implantação'!B42="Operações \ Negócio",AVERAGE('Pré Implantação'!D42,'Pré Implantação'!L42,'Pré Implantação'!K42),AVERAGE('Pré Implantação'!K42)),"")</f>
        <v/>
      </c>
      <c r="I42" s="34" t="str">
        <f>IFERROR(IF('Pré Implantação'!B42="Projetos",AVERAGE('Pré Implantação'!D42,'Pré Implantação'!L42,'Pré Implantação'!M42),AVERAGE('Pré Implantação'!M42)),"")</f>
        <v/>
      </c>
      <c r="J42" s="34" t="str">
        <f>IFERROR(IF('Pré Implantação'!B42="Engenharia",AVERAGE('Pré Implantação'!D42,'Pré Implantação'!L42,'Pré Implantação'!N42),AVERAGE('Pré Implantação'!N42)),"")</f>
        <v/>
      </c>
      <c r="K42" s="34" t="str">
        <f>IFERROR(IF('Pré Implantação'!B42="URA",AVERAGE('Pré Implantação'!D42,'Pré Implantação'!L42),""),"")</f>
        <v/>
      </c>
      <c r="L42" s="34" t="str">
        <f>IFERROR(IF('Pré Implantação'!B42="CSE Microsoft",AVERAGE('Pré Implantação'!D42,'Pré Implantação'!L42),""),"")</f>
        <v/>
      </c>
      <c r="M42" s="34" t="str">
        <f>IFERROR(IF('Pré Implantação'!B42="CSE Telecom",AVERAGE('Pré Implantação'!D42,'Pré Implantação'!L42),""),"")</f>
        <v/>
      </c>
      <c r="N42" s="34" t="str">
        <f>IFERROR(IF('Pré Implantação'!B42="Site Suporte de Campo",AVERAGE('Pré Implantação'!D42,'Pré Implantação'!L42),""),"")</f>
        <v/>
      </c>
      <c r="O42" s="49" t="str">
        <f>IFERROR(IF('Pré Implantação'!B42="Infraestrutura",AVERAGE('Pré Implantação'!D42,'Pré Implantação'!L42),""),"")</f>
        <v/>
      </c>
    </row>
    <row r="43" spans="1:15" x14ac:dyDescent="0.3">
      <c r="A43" s="33">
        <f>'Pré Implantação'!A43</f>
        <v>0</v>
      </c>
      <c r="B43" s="36">
        <f>'Pré Implantação'!C43</f>
        <v>0</v>
      </c>
      <c r="C43" s="34" t="str">
        <f>IFERROR(IF('Pré Implantação'!B43="Produção TI",AVERAGE('Pré Implantação'!D43,'Pré Implantação'!L43,'Pré Implantação'!E43,'Pré Implantação'!H43),AVERAGE('Pré Implantação'!E43,'Pré Implantação'!H43)),"")</f>
        <v/>
      </c>
      <c r="D43" s="34" t="str">
        <f>IFERROR(IF('Pré Implantação'!B43="CSC Service Desk",AVERAGE('Pré Implantação'!D43,'Pré Implantação'!L43,'Pré Implantação'!F43),AVERAGE('Pré Implantação'!F43)),"")</f>
        <v/>
      </c>
      <c r="E43" s="34" t="str">
        <f>IFERROR(IF('Pré Implantação'!B43="CSC NOC",AVERAGE('Pré Implantação'!D43,'Pré Implantação'!L43,'Pré Implantação'!G43),AVERAGE('Pré Implantação'!G43)),"")</f>
        <v/>
      </c>
      <c r="F43" s="34" t="str">
        <f>IFERROR(IF('Pré Implantação'!B43="CSE Gravadores",AVERAGE('Pré Implantação'!D43,'Pré Implantação'!L43,'Pré Implantação'!I43),AVERAGE('Pré Implantação'!I43)),"")</f>
        <v/>
      </c>
      <c r="G43" s="34" t="str">
        <f>IFERROR(IF('Pré Implantação'!B43="CSC",AVERAGE('Pré Implantação'!D43,'Pré Implantação'!L43,'Pré Implantação'!J43),AVERAGE('Pré Implantação'!J43)),"")</f>
        <v/>
      </c>
      <c r="H43" s="34" t="str">
        <f>IFERROR(IF('Pré Implantação'!B43="Operações \ Negócio",AVERAGE('Pré Implantação'!D43,'Pré Implantação'!L43,'Pré Implantação'!K43),AVERAGE('Pré Implantação'!K43)),"")</f>
        <v/>
      </c>
      <c r="I43" s="34" t="str">
        <f>IFERROR(IF('Pré Implantação'!B43="Projetos",AVERAGE('Pré Implantação'!D43,'Pré Implantação'!L43,'Pré Implantação'!M43),AVERAGE('Pré Implantação'!M43)),"")</f>
        <v/>
      </c>
      <c r="J43" s="34" t="str">
        <f>IFERROR(IF('Pré Implantação'!B43="Engenharia",AVERAGE('Pré Implantação'!D43,'Pré Implantação'!L43,'Pré Implantação'!N43),AVERAGE('Pré Implantação'!N43)),"")</f>
        <v/>
      </c>
      <c r="K43" s="34" t="str">
        <f>IFERROR(IF('Pré Implantação'!B43="URA",AVERAGE('Pré Implantação'!D43,'Pré Implantação'!L43),""),"")</f>
        <v/>
      </c>
      <c r="L43" s="34" t="str">
        <f>IFERROR(IF('Pré Implantação'!B43="CSE Microsoft",AVERAGE('Pré Implantação'!D43,'Pré Implantação'!L43),""),"")</f>
        <v/>
      </c>
      <c r="M43" s="34" t="str">
        <f>IFERROR(IF('Pré Implantação'!B43="CSE Telecom",AVERAGE('Pré Implantação'!D43,'Pré Implantação'!L43),""),"")</f>
        <v/>
      </c>
      <c r="N43" s="34" t="str">
        <f>IFERROR(IF('Pré Implantação'!B43="Site Suporte de Campo",AVERAGE('Pré Implantação'!D43,'Pré Implantação'!L43),""),"")</f>
        <v/>
      </c>
      <c r="O43" s="49" t="str">
        <f>IFERROR(IF('Pré Implantação'!B43="Infraestrutura",AVERAGE('Pré Implantação'!D43,'Pré Implantação'!L43),""),"")</f>
        <v/>
      </c>
    </row>
    <row r="44" spans="1:15" x14ac:dyDescent="0.3">
      <c r="A44" s="33">
        <f>'Pré Implantação'!A44</f>
        <v>0</v>
      </c>
      <c r="B44" s="36">
        <f>'Pré Implantação'!C44</f>
        <v>0</v>
      </c>
      <c r="C44" s="34" t="str">
        <f>IFERROR(IF('Pré Implantação'!B44="Produção TI",AVERAGE('Pré Implantação'!D44,'Pré Implantação'!L44,'Pré Implantação'!E44,'Pré Implantação'!H44),AVERAGE('Pré Implantação'!E44,'Pré Implantação'!H44)),"")</f>
        <v/>
      </c>
      <c r="D44" s="34" t="str">
        <f>IFERROR(IF('Pré Implantação'!B44="CSC Service Desk",AVERAGE('Pré Implantação'!D44,'Pré Implantação'!L44,'Pré Implantação'!F44),AVERAGE('Pré Implantação'!F44)),"")</f>
        <v/>
      </c>
      <c r="E44" s="34" t="str">
        <f>IFERROR(IF('Pré Implantação'!B44="CSC NOC",AVERAGE('Pré Implantação'!D44,'Pré Implantação'!L44,'Pré Implantação'!G44),AVERAGE('Pré Implantação'!G44)),"")</f>
        <v/>
      </c>
      <c r="F44" s="34" t="str">
        <f>IFERROR(IF('Pré Implantação'!B44="CSE Gravadores",AVERAGE('Pré Implantação'!D44,'Pré Implantação'!L44,'Pré Implantação'!I44),AVERAGE('Pré Implantação'!I44)),"")</f>
        <v/>
      </c>
      <c r="G44" s="34" t="str">
        <f>IFERROR(IF('Pré Implantação'!B44="CSC",AVERAGE('Pré Implantação'!D44,'Pré Implantação'!L44,'Pré Implantação'!J44),AVERAGE('Pré Implantação'!J44)),"")</f>
        <v/>
      </c>
      <c r="H44" s="34" t="str">
        <f>IFERROR(IF('Pré Implantação'!B44="Operações \ Negócio",AVERAGE('Pré Implantação'!D44,'Pré Implantação'!L44,'Pré Implantação'!K44),AVERAGE('Pré Implantação'!K44)),"")</f>
        <v/>
      </c>
      <c r="I44" s="34" t="str">
        <f>IFERROR(IF('Pré Implantação'!B44="Projetos",AVERAGE('Pré Implantação'!D44,'Pré Implantação'!L44,'Pré Implantação'!M44),AVERAGE('Pré Implantação'!M44)),"")</f>
        <v/>
      </c>
      <c r="J44" s="34" t="str">
        <f>IFERROR(IF('Pré Implantação'!B44="Engenharia",AVERAGE('Pré Implantação'!D44,'Pré Implantação'!L44,'Pré Implantação'!N44),AVERAGE('Pré Implantação'!N44)),"")</f>
        <v/>
      </c>
      <c r="K44" s="34" t="str">
        <f>IFERROR(IF('Pré Implantação'!B44="URA",AVERAGE('Pré Implantação'!D44,'Pré Implantação'!L44),""),"")</f>
        <v/>
      </c>
      <c r="L44" s="34" t="str">
        <f>IFERROR(IF('Pré Implantação'!B44="CSE Microsoft",AVERAGE('Pré Implantação'!D44,'Pré Implantação'!L44),""),"")</f>
        <v/>
      </c>
      <c r="M44" s="34" t="str">
        <f>IFERROR(IF('Pré Implantação'!B44="CSE Telecom",AVERAGE('Pré Implantação'!D44,'Pré Implantação'!L44),""),"")</f>
        <v/>
      </c>
      <c r="N44" s="34" t="str">
        <f>IFERROR(IF('Pré Implantação'!B44="Site Suporte de Campo",AVERAGE('Pré Implantação'!D44,'Pré Implantação'!L44),""),"")</f>
        <v/>
      </c>
      <c r="O44" s="49" t="str">
        <f>IFERROR(IF('Pré Implantação'!B44="Infraestrutura",AVERAGE('Pré Implantação'!D44,'Pré Implantação'!L44),""),"")</f>
        <v/>
      </c>
    </row>
    <row r="45" spans="1:15" x14ac:dyDescent="0.3">
      <c r="A45" s="33">
        <f>'Pré Implantação'!A45</f>
        <v>0</v>
      </c>
      <c r="B45" s="36">
        <f>'Pré Implantação'!C45</f>
        <v>0</v>
      </c>
      <c r="C45" s="34" t="str">
        <f>IFERROR(IF('Pré Implantação'!B45="Produção TI",AVERAGE('Pré Implantação'!D45,'Pré Implantação'!L45,'Pré Implantação'!E45,'Pré Implantação'!H45),AVERAGE('Pré Implantação'!E45,'Pré Implantação'!H45)),"")</f>
        <v/>
      </c>
      <c r="D45" s="34" t="str">
        <f>IFERROR(IF('Pré Implantação'!B45="CSC Service Desk",AVERAGE('Pré Implantação'!D45,'Pré Implantação'!L45,'Pré Implantação'!F45),AVERAGE('Pré Implantação'!F45)),"")</f>
        <v/>
      </c>
      <c r="E45" s="34" t="str">
        <f>IFERROR(IF('Pré Implantação'!B45="CSC NOC",AVERAGE('Pré Implantação'!D45,'Pré Implantação'!L45,'Pré Implantação'!G45),AVERAGE('Pré Implantação'!G45)),"")</f>
        <v/>
      </c>
      <c r="F45" s="34" t="str">
        <f>IFERROR(IF('Pré Implantação'!B45="CSE Gravadores",AVERAGE('Pré Implantação'!D45,'Pré Implantação'!L45,'Pré Implantação'!I45),AVERAGE('Pré Implantação'!I45)),"")</f>
        <v/>
      </c>
      <c r="G45" s="34" t="str">
        <f>IFERROR(IF('Pré Implantação'!B45="CSC",AVERAGE('Pré Implantação'!D45,'Pré Implantação'!L45,'Pré Implantação'!J45),AVERAGE('Pré Implantação'!J45)),"")</f>
        <v/>
      </c>
      <c r="H45" s="34" t="str">
        <f>IFERROR(IF('Pré Implantação'!B45="Operações \ Negócio",AVERAGE('Pré Implantação'!D45,'Pré Implantação'!L45,'Pré Implantação'!K45),AVERAGE('Pré Implantação'!K45)),"")</f>
        <v/>
      </c>
      <c r="I45" s="34" t="str">
        <f>IFERROR(IF('Pré Implantação'!B45="Projetos",AVERAGE('Pré Implantação'!D45,'Pré Implantação'!L45,'Pré Implantação'!M45),AVERAGE('Pré Implantação'!M45)),"")</f>
        <v/>
      </c>
      <c r="J45" s="34" t="str">
        <f>IFERROR(IF('Pré Implantação'!B45="Engenharia",AVERAGE('Pré Implantação'!D45,'Pré Implantação'!L45,'Pré Implantação'!N45),AVERAGE('Pré Implantação'!N45)),"")</f>
        <v/>
      </c>
      <c r="K45" s="34" t="str">
        <f>IFERROR(IF('Pré Implantação'!B45="URA",AVERAGE('Pré Implantação'!D45,'Pré Implantação'!L45),""),"")</f>
        <v/>
      </c>
      <c r="L45" s="34" t="str">
        <f>IFERROR(IF('Pré Implantação'!B45="CSE Microsoft",AVERAGE('Pré Implantação'!D45,'Pré Implantação'!L45),""),"")</f>
        <v/>
      </c>
      <c r="M45" s="34" t="str">
        <f>IFERROR(IF('Pré Implantação'!B45="CSE Telecom",AVERAGE('Pré Implantação'!D45,'Pré Implantação'!L45),""),"")</f>
        <v/>
      </c>
      <c r="N45" s="34" t="str">
        <f>IFERROR(IF('Pré Implantação'!B45="Site Suporte de Campo",AVERAGE('Pré Implantação'!D45,'Pré Implantação'!L45),""),"")</f>
        <v/>
      </c>
      <c r="O45" s="49" t="str">
        <f>IFERROR(IF('Pré Implantação'!B45="Infraestrutura",AVERAGE('Pré Implantação'!D45,'Pré Implantação'!L45),""),"")</f>
        <v/>
      </c>
    </row>
    <row r="46" spans="1:15" x14ac:dyDescent="0.3">
      <c r="A46" s="33">
        <f>'Pré Implantação'!A46</f>
        <v>0</v>
      </c>
      <c r="B46" s="36">
        <f>'Pré Implantação'!C46</f>
        <v>0</v>
      </c>
      <c r="C46" s="34" t="str">
        <f>IFERROR(IF('Pré Implantação'!B46="Produção TI",AVERAGE('Pré Implantação'!D46,'Pré Implantação'!L46,'Pré Implantação'!E46,'Pré Implantação'!H46),AVERAGE('Pré Implantação'!E46,'Pré Implantação'!H46)),"")</f>
        <v/>
      </c>
      <c r="D46" s="34" t="str">
        <f>IFERROR(IF('Pré Implantação'!B46="CSC Service Desk",AVERAGE('Pré Implantação'!D46,'Pré Implantação'!L46,'Pré Implantação'!F46),AVERAGE('Pré Implantação'!F46)),"")</f>
        <v/>
      </c>
      <c r="E46" s="34" t="str">
        <f>IFERROR(IF('Pré Implantação'!B46="CSC NOC",AVERAGE('Pré Implantação'!D46,'Pré Implantação'!L46,'Pré Implantação'!G46),AVERAGE('Pré Implantação'!G46)),"")</f>
        <v/>
      </c>
      <c r="F46" s="34" t="str">
        <f>IFERROR(IF('Pré Implantação'!B46="CSE Gravadores",AVERAGE('Pré Implantação'!D46,'Pré Implantação'!L46,'Pré Implantação'!I46),AVERAGE('Pré Implantação'!I46)),"")</f>
        <v/>
      </c>
      <c r="G46" s="34" t="str">
        <f>IFERROR(IF('Pré Implantação'!B46="CSC",AVERAGE('Pré Implantação'!D46,'Pré Implantação'!L46,'Pré Implantação'!J46),AVERAGE('Pré Implantação'!J46)),"")</f>
        <v/>
      </c>
      <c r="H46" s="34" t="str">
        <f>IFERROR(IF('Pré Implantação'!B46="Operações \ Negócio",AVERAGE('Pré Implantação'!D46,'Pré Implantação'!L46,'Pré Implantação'!K46),AVERAGE('Pré Implantação'!K46)),"")</f>
        <v/>
      </c>
      <c r="I46" s="34" t="str">
        <f>IFERROR(IF('Pré Implantação'!B46="Projetos",AVERAGE('Pré Implantação'!D46,'Pré Implantação'!L46,'Pré Implantação'!M46),AVERAGE('Pré Implantação'!M46)),"")</f>
        <v/>
      </c>
      <c r="J46" s="34" t="str">
        <f>IFERROR(IF('Pré Implantação'!B46="Engenharia",AVERAGE('Pré Implantação'!D46,'Pré Implantação'!L46,'Pré Implantação'!N46),AVERAGE('Pré Implantação'!N46)),"")</f>
        <v/>
      </c>
      <c r="K46" s="34" t="str">
        <f>IFERROR(IF('Pré Implantação'!B46="URA",AVERAGE('Pré Implantação'!D46,'Pré Implantação'!L46),""),"")</f>
        <v/>
      </c>
      <c r="L46" s="34" t="str">
        <f>IFERROR(IF('Pré Implantação'!B46="CSE Microsoft",AVERAGE('Pré Implantação'!D46,'Pré Implantação'!L46),""),"")</f>
        <v/>
      </c>
      <c r="M46" s="34" t="str">
        <f>IFERROR(IF('Pré Implantação'!B46="CSE Telecom",AVERAGE('Pré Implantação'!D46,'Pré Implantação'!L46),""),"")</f>
        <v/>
      </c>
      <c r="N46" s="34" t="str">
        <f>IFERROR(IF('Pré Implantação'!B46="Site Suporte de Campo",AVERAGE('Pré Implantação'!D46,'Pré Implantação'!L46),""),"")</f>
        <v/>
      </c>
      <c r="O46" s="49" t="str">
        <f>IFERROR(IF('Pré Implantação'!B46="Infraestrutura",AVERAGE('Pré Implantação'!D46,'Pré Implantação'!L46),""),"")</f>
        <v/>
      </c>
    </row>
    <row r="47" spans="1:15" x14ac:dyDescent="0.3">
      <c r="A47" s="33">
        <f>'Pré Implantação'!A47</f>
        <v>0</v>
      </c>
      <c r="B47" s="36">
        <f>'Pré Implantação'!C47</f>
        <v>0</v>
      </c>
      <c r="C47" s="34" t="str">
        <f>IFERROR(IF('Pré Implantação'!B47="Produção TI",AVERAGE('Pré Implantação'!D47,'Pré Implantação'!L47,'Pré Implantação'!E47,'Pré Implantação'!H47),AVERAGE('Pré Implantação'!E47,'Pré Implantação'!H47)),"")</f>
        <v/>
      </c>
      <c r="D47" s="34" t="str">
        <f>IFERROR(IF('Pré Implantação'!B47="CSC Service Desk",AVERAGE('Pré Implantação'!D47,'Pré Implantação'!L47,'Pré Implantação'!F47),AVERAGE('Pré Implantação'!F47)),"")</f>
        <v/>
      </c>
      <c r="E47" s="34" t="str">
        <f>IFERROR(IF('Pré Implantação'!B47="CSC NOC",AVERAGE('Pré Implantação'!D47,'Pré Implantação'!L47,'Pré Implantação'!G47),AVERAGE('Pré Implantação'!G47)),"")</f>
        <v/>
      </c>
      <c r="F47" s="34" t="str">
        <f>IFERROR(IF('Pré Implantação'!B47="CSE Gravadores",AVERAGE('Pré Implantação'!D47,'Pré Implantação'!L47,'Pré Implantação'!I47),AVERAGE('Pré Implantação'!I47)),"")</f>
        <v/>
      </c>
      <c r="G47" s="34" t="str">
        <f>IFERROR(IF('Pré Implantação'!B47="CSC",AVERAGE('Pré Implantação'!D47,'Pré Implantação'!L47,'Pré Implantação'!J47),AVERAGE('Pré Implantação'!J47)),"")</f>
        <v/>
      </c>
      <c r="H47" s="34" t="str">
        <f>IFERROR(IF('Pré Implantação'!B47="Operações \ Negócio",AVERAGE('Pré Implantação'!D47,'Pré Implantação'!L47,'Pré Implantação'!K47),AVERAGE('Pré Implantação'!K47)),"")</f>
        <v/>
      </c>
      <c r="I47" s="34" t="str">
        <f>IFERROR(IF('Pré Implantação'!B47="Projetos",AVERAGE('Pré Implantação'!D47,'Pré Implantação'!L47,'Pré Implantação'!M47),AVERAGE('Pré Implantação'!M47)),"")</f>
        <v/>
      </c>
      <c r="J47" s="34" t="str">
        <f>IFERROR(IF('Pré Implantação'!B47="Engenharia",AVERAGE('Pré Implantação'!D47,'Pré Implantação'!L47,'Pré Implantação'!N47),AVERAGE('Pré Implantação'!N47)),"")</f>
        <v/>
      </c>
      <c r="K47" s="34" t="str">
        <f>IFERROR(IF('Pré Implantação'!B47="URA",AVERAGE('Pré Implantação'!D47,'Pré Implantação'!L47),""),"")</f>
        <v/>
      </c>
      <c r="L47" s="34" t="str">
        <f>IFERROR(IF('Pré Implantação'!B47="CSE Microsoft",AVERAGE('Pré Implantação'!D47,'Pré Implantação'!L47),""),"")</f>
        <v/>
      </c>
      <c r="M47" s="34" t="str">
        <f>IFERROR(IF('Pré Implantação'!B47="CSE Telecom",AVERAGE('Pré Implantação'!D47,'Pré Implantação'!L47),""),"")</f>
        <v/>
      </c>
      <c r="N47" s="34" t="str">
        <f>IFERROR(IF('Pré Implantação'!B47="Site Suporte de Campo",AVERAGE('Pré Implantação'!D47,'Pré Implantação'!L47),""),"")</f>
        <v/>
      </c>
      <c r="O47" s="49" t="str">
        <f>IFERROR(IF('Pré Implantação'!B47="Infraestrutura",AVERAGE('Pré Implantação'!D47,'Pré Implantação'!L47),""),"")</f>
        <v/>
      </c>
    </row>
    <row r="48" spans="1:15" x14ac:dyDescent="0.3">
      <c r="A48" s="33">
        <f>'Pré Implantação'!A48</f>
        <v>0</v>
      </c>
      <c r="B48" s="36">
        <f>'Pré Implantação'!C48</f>
        <v>0</v>
      </c>
      <c r="C48" s="34" t="str">
        <f>IFERROR(IF('Pré Implantação'!B48="Produção TI",AVERAGE('Pré Implantação'!D48,'Pré Implantação'!L48,'Pré Implantação'!E48,'Pré Implantação'!H48),AVERAGE('Pré Implantação'!E48,'Pré Implantação'!H48)),"")</f>
        <v/>
      </c>
      <c r="D48" s="34" t="str">
        <f>IFERROR(IF('Pré Implantação'!B48="CSC Service Desk",AVERAGE('Pré Implantação'!D48,'Pré Implantação'!L48,'Pré Implantação'!F48),AVERAGE('Pré Implantação'!F48)),"")</f>
        <v/>
      </c>
      <c r="E48" s="34" t="str">
        <f>IFERROR(IF('Pré Implantação'!B48="CSC NOC",AVERAGE('Pré Implantação'!D48,'Pré Implantação'!L48,'Pré Implantação'!G48),AVERAGE('Pré Implantação'!G48)),"")</f>
        <v/>
      </c>
      <c r="F48" s="34" t="str">
        <f>IFERROR(IF('Pré Implantação'!B48="CSE Gravadores",AVERAGE('Pré Implantação'!D48,'Pré Implantação'!L48,'Pré Implantação'!I48),AVERAGE('Pré Implantação'!I48)),"")</f>
        <v/>
      </c>
      <c r="G48" s="34" t="str">
        <f>IFERROR(IF('Pré Implantação'!B48="CSC",AVERAGE('Pré Implantação'!D48,'Pré Implantação'!L48,'Pré Implantação'!J48),AVERAGE('Pré Implantação'!J48)),"")</f>
        <v/>
      </c>
      <c r="H48" s="34" t="str">
        <f>IFERROR(IF('Pré Implantação'!B48="Operações \ Negócio",AVERAGE('Pré Implantação'!D48,'Pré Implantação'!L48,'Pré Implantação'!K48),AVERAGE('Pré Implantação'!K48)),"")</f>
        <v/>
      </c>
      <c r="I48" s="34" t="str">
        <f>IFERROR(IF('Pré Implantação'!B48="Projetos",AVERAGE('Pré Implantação'!D48,'Pré Implantação'!L48,'Pré Implantação'!M48),AVERAGE('Pré Implantação'!M48)),"")</f>
        <v/>
      </c>
      <c r="J48" s="34" t="str">
        <f>IFERROR(IF('Pré Implantação'!B48="Engenharia",AVERAGE('Pré Implantação'!D48,'Pré Implantação'!L48,'Pré Implantação'!N48),AVERAGE('Pré Implantação'!N48)),"")</f>
        <v/>
      </c>
      <c r="K48" s="34" t="str">
        <f>IFERROR(IF('Pré Implantação'!B48="URA",AVERAGE('Pré Implantação'!D48,'Pré Implantação'!L48),""),"")</f>
        <v/>
      </c>
      <c r="L48" s="34" t="str">
        <f>IFERROR(IF('Pré Implantação'!B48="CSE Microsoft",AVERAGE('Pré Implantação'!D48,'Pré Implantação'!L48),""),"")</f>
        <v/>
      </c>
      <c r="M48" s="34" t="str">
        <f>IFERROR(IF('Pré Implantação'!B48="CSE Telecom",AVERAGE('Pré Implantação'!D48,'Pré Implantação'!L48),""),"")</f>
        <v/>
      </c>
      <c r="N48" s="34" t="str">
        <f>IFERROR(IF('Pré Implantação'!B48="Site Suporte de Campo",AVERAGE('Pré Implantação'!D48,'Pré Implantação'!L48),""),"")</f>
        <v/>
      </c>
      <c r="O48" s="49" t="str">
        <f>IFERROR(IF('Pré Implantação'!B48="Infraestrutura",AVERAGE('Pré Implantação'!D48,'Pré Implantação'!L48),""),"")</f>
        <v/>
      </c>
    </row>
    <row r="49" spans="1:15" x14ac:dyDescent="0.3">
      <c r="A49" s="33">
        <f>'Pré Implantação'!A49</f>
        <v>0</v>
      </c>
      <c r="B49" s="36">
        <f>'Pré Implantação'!C49</f>
        <v>0</v>
      </c>
      <c r="C49" s="34" t="str">
        <f>IFERROR(IF('Pré Implantação'!B49="Produção TI",AVERAGE('Pré Implantação'!D49,'Pré Implantação'!L49,'Pré Implantação'!E49,'Pré Implantação'!H49),AVERAGE('Pré Implantação'!E49,'Pré Implantação'!H49)),"")</f>
        <v/>
      </c>
      <c r="D49" s="34" t="str">
        <f>IFERROR(IF('Pré Implantação'!B49="CSC Service Desk",AVERAGE('Pré Implantação'!D49,'Pré Implantação'!L49,'Pré Implantação'!F49),AVERAGE('Pré Implantação'!F49)),"")</f>
        <v/>
      </c>
      <c r="E49" s="34" t="str">
        <f>IFERROR(IF('Pré Implantação'!B49="CSC NOC",AVERAGE('Pré Implantação'!D49,'Pré Implantação'!L49,'Pré Implantação'!G49),AVERAGE('Pré Implantação'!G49)),"")</f>
        <v/>
      </c>
      <c r="F49" s="34" t="str">
        <f>IFERROR(IF('Pré Implantação'!B49="CSE Gravadores",AVERAGE('Pré Implantação'!D49,'Pré Implantação'!L49,'Pré Implantação'!I49),AVERAGE('Pré Implantação'!I49)),"")</f>
        <v/>
      </c>
      <c r="G49" s="34" t="str">
        <f>IFERROR(IF('Pré Implantação'!B49="CSC",AVERAGE('Pré Implantação'!D49,'Pré Implantação'!L49,'Pré Implantação'!J49),AVERAGE('Pré Implantação'!J49)),"")</f>
        <v/>
      </c>
      <c r="H49" s="34" t="str">
        <f>IFERROR(IF('Pré Implantação'!B49="Operações \ Negócio",AVERAGE('Pré Implantação'!D49,'Pré Implantação'!L49,'Pré Implantação'!K49),AVERAGE('Pré Implantação'!K49)),"")</f>
        <v/>
      </c>
      <c r="I49" s="34" t="str">
        <f>IFERROR(IF('Pré Implantação'!B49="Projetos",AVERAGE('Pré Implantação'!D49,'Pré Implantação'!L49,'Pré Implantação'!M49),AVERAGE('Pré Implantação'!M49)),"")</f>
        <v/>
      </c>
      <c r="J49" s="34" t="str">
        <f>IFERROR(IF('Pré Implantação'!B49="Engenharia",AVERAGE('Pré Implantação'!D49,'Pré Implantação'!L49,'Pré Implantação'!N49),AVERAGE('Pré Implantação'!N49)),"")</f>
        <v/>
      </c>
      <c r="K49" s="34" t="str">
        <f>IFERROR(IF('Pré Implantação'!B49="URA",AVERAGE('Pré Implantação'!D49,'Pré Implantação'!L49),""),"")</f>
        <v/>
      </c>
      <c r="L49" s="34" t="str">
        <f>IFERROR(IF('Pré Implantação'!B49="CSE Microsoft",AVERAGE('Pré Implantação'!D49,'Pré Implantação'!L49),""),"")</f>
        <v/>
      </c>
      <c r="M49" s="34" t="str">
        <f>IFERROR(IF('Pré Implantação'!B49="CSE Telecom",AVERAGE('Pré Implantação'!D49,'Pré Implantação'!L49),""),"")</f>
        <v/>
      </c>
      <c r="N49" s="34" t="str">
        <f>IFERROR(IF('Pré Implantação'!B49="Site Suporte de Campo",AVERAGE('Pré Implantação'!D49,'Pré Implantação'!L49),""),"")</f>
        <v/>
      </c>
      <c r="O49" s="49" t="str">
        <f>IFERROR(IF('Pré Implantação'!B49="Infraestrutura",AVERAGE('Pré Implantação'!D49,'Pré Implantação'!L49),""),"")</f>
        <v/>
      </c>
    </row>
    <row r="50" spans="1:15" x14ac:dyDescent="0.3">
      <c r="A50" s="33">
        <f>'Pré Implantação'!A50</f>
        <v>0</v>
      </c>
      <c r="B50" s="36">
        <f>'Pré Implantação'!C50</f>
        <v>0</v>
      </c>
      <c r="C50" s="34" t="str">
        <f>IFERROR(IF('Pré Implantação'!B50="Produção TI",AVERAGE('Pré Implantação'!D50,'Pré Implantação'!L50,'Pré Implantação'!E50,'Pré Implantação'!H50),AVERAGE('Pré Implantação'!E50,'Pré Implantação'!H50)),"")</f>
        <v/>
      </c>
      <c r="D50" s="34" t="str">
        <f>IFERROR(IF('Pré Implantação'!B50="CSC Service Desk",AVERAGE('Pré Implantação'!D50,'Pré Implantação'!L50,'Pré Implantação'!F50),AVERAGE('Pré Implantação'!F50)),"")</f>
        <v/>
      </c>
      <c r="E50" s="34" t="str">
        <f>IFERROR(IF('Pré Implantação'!B50="CSC NOC",AVERAGE('Pré Implantação'!D50,'Pré Implantação'!L50,'Pré Implantação'!G50),AVERAGE('Pré Implantação'!G50)),"")</f>
        <v/>
      </c>
      <c r="F50" s="34" t="str">
        <f>IFERROR(IF('Pré Implantação'!B50="CSE Gravadores",AVERAGE('Pré Implantação'!D50,'Pré Implantação'!L50,'Pré Implantação'!I50),AVERAGE('Pré Implantação'!I50)),"")</f>
        <v/>
      </c>
      <c r="G50" s="34" t="str">
        <f>IFERROR(IF('Pré Implantação'!B50="CSC",AVERAGE('Pré Implantação'!D50,'Pré Implantação'!L50,'Pré Implantação'!J50),AVERAGE('Pré Implantação'!J50)),"")</f>
        <v/>
      </c>
      <c r="H50" s="34" t="str">
        <f>IFERROR(IF('Pré Implantação'!B50="Operações \ Negócio",AVERAGE('Pré Implantação'!D50,'Pré Implantação'!L50,'Pré Implantação'!K50),AVERAGE('Pré Implantação'!K50)),"")</f>
        <v/>
      </c>
      <c r="I50" s="34" t="str">
        <f>IFERROR(IF('Pré Implantação'!B50="Projetos",AVERAGE('Pré Implantação'!D50,'Pré Implantação'!L50,'Pré Implantação'!M50),AVERAGE('Pré Implantação'!M50)),"")</f>
        <v/>
      </c>
      <c r="J50" s="34" t="str">
        <f>IFERROR(IF('Pré Implantação'!B50="Engenharia",AVERAGE('Pré Implantação'!D50,'Pré Implantação'!L50,'Pré Implantação'!N50),AVERAGE('Pré Implantação'!N50)),"")</f>
        <v/>
      </c>
      <c r="K50" s="34" t="str">
        <f>IFERROR(IF('Pré Implantação'!B50="URA",AVERAGE('Pré Implantação'!D50,'Pré Implantação'!L50),""),"")</f>
        <v/>
      </c>
      <c r="L50" s="34" t="str">
        <f>IFERROR(IF('Pré Implantação'!B50="CSE Microsoft",AVERAGE('Pré Implantação'!D50,'Pré Implantação'!L50),""),"")</f>
        <v/>
      </c>
      <c r="M50" s="34" t="str">
        <f>IFERROR(IF('Pré Implantação'!B50="CSE Telecom",AVERAGE('Pré Implantação'!D50,'Pré Implantação'!L50),""),"")</f>
        <v/>
      </c>
      <c r="N50" s="34" t="str">
        <f>IFERROR(IF('Pré Implantação'!B50="Site Suporte de Campo",AVERAGE('Pré Implantação'!D50,'Pré Implantação'!L50),""),"")</f>
        <v/>
      </c>
      <c r="O50" s="49" t="str">
        <f>IFERROR(IF('Pré Implantação'!B50="Infraestrutura",AVERAGE('Pré Implantação'!D50,'Pré Implantação'!L50),""),"")</f>
        <v/>
      </c>
    </row>
    <row r="51" spans="1:15" x14ac:dyDescent="0.3">
      <c r="A51" s="33">
        <f>'Pré Implantação'!A51</f>
        <v>0</v>
      </c>
      <c r="B51" s="36">
        <f>'Pré Implantação'!C51</f>
        <v>0</v>
      </c>
      <c r="C51" s="34" t="str">
        <f>IFERROR(IF('Pré Implantação'!B51="Produção TI",AVERAGE('Pré Implantação'!D51,'Pré Implantação'!L51,'Pré Implantação'!E51,'Pré Implantação'!H51),AVERAGE('Pré Implantação'!E51,'Pré Implantação'!H51)),"")</f>
        <v/>
      </c>
      <c r="D51" s="34" t="str">
        <f>IFERROR(IF('Pré Implantação'!B51="CSC Service Desk",AVERAGE('Pré Implantação'!D51,'Pré Implantação'!L51,'Pré Implantação'!F51),AVERAGE('Pré Implantação'!F51)),"")</f>
        <v/>
      </c>
      <c r="E51" s="34" t="str">
        <f>IFERROR(IF('Pré Implantação'!B51="CSC NOC",AVERAGE('Pré Implantação'!D51,'Pré Implantação'!L51,'Pré Implantação'!G51),AVERAGE('Pré Implantação'!G51)),"")</f>
        <v/>
      </c>
      <c r="F51" s="34" t="str">
        <f>IFERROR(IF('Pré Implantação'!B51="CSE Gravadores",AVERAGE('Pré Implantação'!D51,'Pré Implantação'!L51,'Pré Implantação'!I51),AVERAGE('Pré Implantação'!I51)),"")</f>
        <v/>
      </c>
      <c r="G51" s="34" t="str">
        <f>IFERROR(IF('Pré Implantação'!B51="CSC",AVERAGE('Pré Implantação'!D51,'Pré Implantação'!L51,'Pré Implantação'!J51),AVERAGE('Pré Implantação'!J51)),"")</f>
        <v/>
      </c>
      <c r="H51" s="34" t="str">
        <f>IFERROR(IF('Pré Implantação'!B51="Operações \ Negócio",AVERAGE('Pré Implantação'!D51,'Pré Implantação'!L51,'Pré Implantação'!K51),AVERAGE('Pré Implantação'!K51)),"")</f>
        <v/>
      </c>
      <c r="I51" s="34" t="str">
        <f>IFERROR(IF('Pré Implantação'!B51="Projetos",AVERAGE('Pré Implantação'!D51,'Pré Implantação'!L51,'Pré Implantação'!M51),AVERAGE('Pré Implantação'!M51)),"")</f>
        <v/>
      </c>
      <c r="J51" s="34" t="str">
        <f>IFERROR(IF('Pré Implantação'!B51="Engenharia",AVERAGE('Pré Implantação'!D51,'Pré Implantação'!L51,'Pré Implantação'!N51),AVERAGE('Pré Implantação'!N51)),"")</f>
        <v/>
      </c>
      <c r="K51" s="34" t="str">
        <f>IFERROR(IF('Pré Implantação'!B51="URA",AVERAGE('Pré Implantação'!D51,'Pré Implantação'!L51),""),"")</f>
        <v/>
      </c>
      <c r="L51" s="34" t="str">
        <f>IFERROR(IF('Pré Implantação'!B51="CSE Microsoft",AVERAGE('Pré Implantação'!D51,'Pré Implantação'!L51),""),"")</f>
        <v/>
      </c>
      <c r="M51" s="34" t="str">
        <f>IFERROR(IF('Pré Implantação'!B51="CSE Telecom",AVERAGE('Pré Implantação'!D51,'Pré Implantação'!L51),""),"")</f>
        <v/>
      </c>
      <c r="N51" s="34" t="str">
        <f>IFERROR(IF('Pré Implantação'!B51="Site Suporte de Campo",AVERAGE('Pré Implantação'!D51,'Pré Implantação'!L51),""),"")</f>
        <v/>
      </c>
      <c r="O51" s="49" t="str">
        <f>IFERROR(IF('Pré Implantação'!B51="Infraestrutura",AVERAGE('Pré Implantação'!D51,'Pré Implantação'!L51),""),"")</f>
        <v/>
      </c>
    </row>
    <row r="52" spans="1:15" x14ac:dyDescent="0.3">
      <c r="A52" s="33">
        <f>'Pré Implantação'!A52</f>
        <v>0</v>
      </c>
      <c r="B52" s="36">
        <f>'Pré Implantação'!C52</f>
        <v>0</v>
      </c>
      <c r="C52" s="34" t="str">
        <f>IFERROR(IF('Pré Implantação'!B52="Produção TI",AVERAGE('Pré Implantação'!D52,'Pré Implantação'!L52,'Pré Implantação'!E52,'Pré Implantação'!H52),AVERAGE('Pré Implantação'!E52,'Pré Implantação'!H52)),"")</f>
        <v/>
      </c>
      <c r="D52" s="34" t="str">
        <f>IFERROR(IF('Pré Implantação'!B52="CSC Service Desk",AVERAGE('Pré Implantação'!D52,'Pré Implantação'!L52,'Pré Implantação'!F52),AVERAGE('Pré Implantação'!F52)),"")</f>
        <v/>
      </c>
      <c r="E52" s="34" t="str">
        <f>IFERROR(IF('Pré Implantação'!B52="CSC NOC",AVERAGE('Pré Implantação'!D52,'Pré Implantação'!L52,'Pré Implantação'!G52),AVERAGE('Pré Implantação'!G52)),"")</f>
        <v/>
      </c>
      <c r="F52" s="34" t="str">
        <f>IFERROR(IF('Pré Implantação'!B52="CSE Gravadores",AVERAGE('Pré Implantação'!D52,'Pré Implantação'!L52,'Pré Implantação'!I52),AVERAGE('Pré Implantação'!I52)),"")</f>
        <v/>
      </c>
      <c r="G52" s="34" t="str">
        <f>IFERROR(IF('Pré Implantação'!B52="CSC",AVERAGE('Pré Implantação'!D52,'Pré Implantação'!L52,'Pré Implantação'!J52),AVERAGE('Pré Implantação'!J52)),"")</f>
        <v/>
      </c>
      <c r="H52" s="34" t="str">
        <f>IFERROR(IF('Pré Implantação'!B52="Operações \ Negócio",AVERAGE('Pré Implantação'!D52,'Pré Implantação'!L52,'Pré Implantação'!K52),AVERAGE('Pré Implantação'!K52)),"")</f>
        <v/>
      </c>
      <c r="I52" s="34" t="str">
        <f>IFERROR(IF('Pré Implantação'!B52="Projetos",AVERAGE('Pré Implantação'!D52,'Pré Implantação'!L52,'Pré Implantação'!M52),AVERAGE('Pré Implantação'!M52)),"")</f>
        <v/>
      </c>
      <c r="J52" s="34" t="str">
        <f>IFERROR(IF('Pré Implantação'!B52="Engenharia",AVERAGE('Pré Implantação'!D52,'Pré Implantação'!L52,'Pré Implantação'!N52),AVERAGE('Pré Implantação'!N52)),"")</f>
        <v/>
      </c>
      <c r="K52" s="34" t="str">
        <f>IFERROR(IF('Pré Implantação'!B52="URA",AVERAGE('Pré Implantação'!D52,'Pré Implantação'!L52),""),"")</f>
        <v/>
      </c>
      <c r="L52" s="34" t="str">
        <f>IFERROR(IF('Pré Implantação'!B52="CSE Microsoft",AVERAGE('Pré Implantação'!D52,'Pré Implantação'!L52),""),"")</f>
        <v/>
      </c>
      <c r="M52" s="34" t="str">
        <f>IFERROR(IF('Pré Implantação'!B52="CSE Telecom",AVERAGE('Pré Implantação'!D52,'Pré Implantação'!L52),""),"")</f>
        <v/>
      </c>
      <c r="N52" s="34" t="str">
        <f>IFERROR(IF('Pré Implantação'!B52="Site Suporte de Campo",AVERAGE('Pré Implantação'!D52,'Pré Implantação'!L52),""),"")</f>
        <v/>
      </c>
      <c r="O52" s="49" t="str">
        <f>IFERROR(IF('Pré Implantação'!B52="Infraestrutura",AVERAGE('Pré Implantação'!D52,'Pré Implantação'!L52),""),"")</f>
        <v/>
      </c>
    </row>
    <row r="53" spans="1:15" x14ac:dyDescent="0.3">
      <c r="A53" s="33">
        <f>'Pré Implantação'!A53</f>
        <v>0</v>
      </c>
      <c r="B53" s="36">
        <f>'Pré Implantação'!C53</f>
        <v>0</v>
      </c>
      <c r="C53" s="34" t="str">
        <f>IFERROR(IF('Pré Implantação'!B53="Produção TI",AVERAGE('Pré Implantação'!D53,'Pré Implantação'!L53,'Pré Implantação'!E53,'Pré Implantação'!H53),AVERAGE('Pré Implantação'!E53,'Pré Implantação'!H53)),"")</f>
        <v/>
      </c>
      <c r="D53" s="34" t="str">
        <f>IFERROR(IF('Pré Implantação'!B53="CSC Service Desk",AVERAGE('Pré Implantação'!D53,'Pré Implantação'!L53,'Pré Implantação'!F53),AVERAGE('Pré Implantação'!F53)),"")</f>
        <v/>
      </c>
      <c r="E53" s="34" t="str">
        <f>IFERROR(IF('Pré Implantação'!B53="CSC NOC",AVERAGE('Pré Implantação'!D53,'Pré Implantação'!L53,'Pré Implantação'!G53),AVERAGE('Pré Implantação'!G53)),"")</f>
        <v/>
      </c>
      <c r="F53" s="34" t="str">
        <f>IFERROR(IF('Pré Implantação'!B53="CSE Gravadores",AVERAGE('Pré Implantação'!D53,'Pré Implantação'!L53,'Pré Implantação'!I53),AVERAGE('Pré Implantação'!I53)),"")</f>
        <v/>
      </c>
      <c r="G53" s="34" t="str">
        <f>IFERROR(IF('Pré Implantação'!B53="CSC",AVERAGE('Pré Implantação'!D53,'Pré Implantação'!L53,'Pré Implantação'!J53),AVERAGE('Pré Implantação'!J53)),"")</f>
        <v/>
      </c>
      <c r="H53" s="34" t="str">
        <f>IFERROR(IF('Pré Implantação'!B53="Operações \ Negócio",AVERAGE('Pré Implantação'!D53,'Pré Implantação'!L53,'Pré Implantação'!K53),AVERAGE('Pré Implantação'!K53)),"")</f>
        <v/>
      </c>
      <c r="I53" s="34" t="str">
        <f>IFERROR(IF('Pré Implantação'!B53="Projetos",AVERAGE('Pré Implantação'!D53,'Pré Implantação'!L53,'Pré Implantação'!M53),AVERAGE('Pré Implantação'!M53)),"")</f>
        <v/>
      </c>
      <c r="J53" s="34" t="str">
        <f>IFERROR(IF('Pré Implantação'!B53="Engenharia",AVERAGE('Pré Implantação'!D53,'Pré Implantação'!L53,'Pré Implantação'!N53),AVERAGE('Pré Implantação'!N53)),"")</f>
        <v/>
      </c>
      <c r="K53" s="34" t="str">
        <f>IFERROR(IF('Pré Implantação'!B53="URA",AVERAGE('Pré Implantação'!D53,'Pré Implantação'!L53),""),"")</f>
        <v/>
      </c>
      <c r="L53" s="34" t="str">
        <f>IFERROR(IF('Pré Implantação'!B53="CSE Microsoft",AVERAGE('Pré Implantação'!D53,'Pré Implantação'!L53),""),"")</f>
        <v/>
      </c>
      <c r="M53" s="34" t="str">
        <f>IFERROR(IF('Pré Implantação'!B53="CSE Telecom",AVERAGE('Pré Implantação'!D53,'Pré Implantação'!L53),""),"")</f>
        <v/>
      </c>
      <c r="N53" s="34" t="str">
        <f>IFERROR(IF('Pré Implantação'!B53="Site Suporte de Campo",AVERAGE('Pré Implantação'!D53,'Pré Implantação'!L53),""),"")</f>
        <v/>
      </c>
      <c r="O53" s="49" t="str">
        <f>IFERROR(IF('Pré Implantação'!B53="Infraestrutura",AVERAGE('Pré Implantação'!D53,'Pré Implantação'!L53),""),"")</f>
        <v/>
      </c>
    </row>
    <row r="54" spans="1:15" x14ac:dyDescent="0.3">
      <c r="A54" s="33">
        <f>'Pré Implantação'!A54</f>
        <v>0</v>
      </c>
      <c r="B54" s="36">
        <f>'Pré Implantação'!C54</f>
        <v>0</v>
      </c>
      <c r="C54" s="34" t="str">
        <f>IFERROR(IF('Pré Implantação'!B54="Produção TI",AVERAGE('Pré Implantação'!D54,'Pré Implantação'!L54,'Pré Implantação'!E54,'Pré Implantação'!H54),AVERAGE('Pré Implantação'!E54,'Pré Implantação'!H54)),"")</f>
        <v/>
      </c>
      <c r="D54" s="34" t="str">
        <f>IFERROR(IF('Pré Implantação'!B54="CSC Service Desk",AVERAGE('Pré Implantação'!D54,'Pré Implantação'!L54,'Pré Implantação'!F54),AVERAGE('Pré Implantação'!F54)),"")</f>
        <v/>
      </c>
      <c r="E54" s="34" t="str">
        <f>IFERROR(IF('Pré Implantação'!B54="CSC NOC",AVERAGE('Pré Implantação'!D54,'Pré Implantação'!L54,'Pré Implantação'!G54),AVERAGE('Pré Implantação'!G54)),"")</f>
        <v/>
      </c>
      <c r="F54" s="34" t="str">
        <f>IFERROR(IF('Pré Implantação'!B54="CSE Gravadores",AVERAGE('Pré Implantação'!D54,'Pré Implantação'!L54,'Pré Implantação'!I54),AVERAGE('Pré Implantação'!I54)),"")</f>
        <v/>
      </c>
      <c r="G54" s="34" t="str">
        <f>IFERROR(IF('Pré Implantação'!B54="CSC",AVERAGE('Pré Implantação'!D54,'Pré Implantação'!L54,'Pré Implantação'!J54),AVERAGE('Pré Implantação'!J54)),"")</f>
        <v/>
      </c>
      <c r="H54" s="34" t="str">
        <f>IFERROR(IF('Pré Implantação'!B54="Operações \ Negócio",AVERAGE('Pré Implantação'!D54,'Pré Implantação'!L54,'Pré Implantação'!K54),AVERAGE('Pré Implantação'!K54)),"")</f>
        <v/>
      </c>
      <c r="I54" s="34" t="str">
        <f>IFERROR(IF('Pré Implantação'!B54="Projetos",AVERAGE('Pré Implantação'!D54,'Pré Implantação'!L54,'Pré Implantação'!M54),AVERAGE('Pré Implantação'!M54)),"")</f>
        <v/>
      </c>
      <c r="J54" s="34" t="str">
        <f>IFERROR(IF('Pré Implantação'!B54="Engenharia",AVERAGE('Pré Implantação'!D54,'Pré Implantação'!L54,'Pré Implantação'!N54),AVERAGE('Pré Implantação'!N54)),"")</f>
        <v/>
      </c>
      <c r="K54" s="34" t="str">
        <f>IFERROR(IF('Pré Implantação'!B54="URA",AVERAGE('Pré Implantação'!D54,'Pré Implantação'!L54),""),"")</f>
        <v/>
      </c>
      <c r="L54" s="34" t="str">
        <f>IFERROR(IF('Pré Implantação'!B54="CSE Microsoft",AVERAGE('Pré Implantação'!D54,'Pré Implantação'!L54),""),"")</f>
        <v/>
      </c>
      <c r="M54" s="34" t="str">
        <f>IFERROR(IF('Pré Implantação'!B54="CSE Telecom",AVERAGE('Pré Implantação'!D54,'Pré Implantação'!L54),""),"")</f>
        <v/>
      </c>
      <c r="N54" s="34" t="str">
        <f>IFERROR(IF('Pré Implantação'!B54="Site Suporte de Campo",AVERAGE('Pré Implantação'!D54,'Pré Implantação'!L54),""),"")</f>
        <v/>
      </c>
      <c r="O54" s="49" t="str">
        <f>IFERROR(IF('Pré Implantação'!B54="Infraestrutura",AVERAGE('Pré Implantação'!D54,'Pré Implantação'!L54),""),"")</f>
        <v/>
      </c>
    </row>
    <row r="55" spans="1:15" x14ac:dyDescent="0.3">
      <c r="A55" s="33">
        <f>'Pré Implantação'!A55</f>
        <v>0</v>
      </c>
      <c r="B55" s="36">
        <f>'Pré Implantação'!C55</f>
        <v>0</v>
      </c>
      <c r="C55" s="34" t="str">
        <f>IFERROR(IF('Pré Implantação'!B55="Produção TI",AVERAGE('Pré Implantação'!D55,'Pré Implantação'!L55,'Pré Implantação'!E55,'Pré Implantação'!H55),AVERAGE('Pré Implantação'!E55,'Pré Implantação'!H55)),"")</f>
        <v/>
      </c>
      <c r="D55" s="34" t="str">
        <f>IFERROR(IF('Pré Implantação'!B55="CSC Service Desk",AVERAGE('Pré Implantação'!D55,'Pré Implantação'!L55,'Pré Implantação'!F55),AVERAGE('Pré Implantação'!F55)),"")</f>
        <v/>
      </c>
      <c r="E55" s="34" t="str">
        <f>IFERROR(IF('Pré Implantação'!B55="CSC NOC",AVERAGE('Pré Implantação'!D55,'Pré Implantação'!L55,'Pré Implantação'!G55),AVERAGE('Pré Implantação'!G55)),"")</f>
        <v/>
      </c>
      <c r="F55" s="34" t="str">
        <f>IFERROR(IF('Pré Implantação'!B55="CSE Gravadores",AVERAGE('Pré Implantação'!D55,'Pré Implantação'!L55,'Pré Implantação'!I55),AVERAGE('Pré Implantação'!I55)),"")</f>
        <v/>
      </c>
      <c r="G55" s="34" t="str">
        <f>IFERROR(IF('Pré Implantação'!B55="CSC",AVERAGE('Pré Implantação'!D55,'Pré Implantação'!L55,'Pré Implantação'!J55),AVERAGE('Pré Implantação'!J55)),"")</f>
        <v/>
      </c>
      <c r="H55" s="34" t="str">
        <f>IFERROR(IF('Pré Implantação'!B55="Operações \ Negócio",AVERAGE('Pré Implantação'!D55,'Pré Implantação'!L55,'Pré Implantação'!K55),AVERAGE('Pré Implantação'!K55)),"")</f>
        <v/>
      </c>
      <c r="I55" s="34" t="str">
        <f>IFERROR(IF('Pré Implantação'!B55="Projetos",AVERAGE('Pré Implantação'!D55,'Pré Implantação'!L55,'Pré Implantação'!M55),AVERAGE('Pré Implantação'!M55)),"")</f>
        <v/>
      </c>
      <c r="J55" s="34" t="str">
        <f>IFERROR(IF('Pré Implantação'!B55="Engenharia",AVERAGE('Pré Implantação'!D55,'Pré Implantação'!L55,'Pré Implantação'!N55),AVERAGE('Pré Implantação'!N55)),"")</f>
        <v/>
      </c>
      <c r="K55" s="34" t="str">
        <f>IFERROR(IF('Pré Implantação'!B55="URA",AVERAGE('Pré Implantação'!D55,'Pré Implantação'!L55),""),"")</f>
        <v/>
      </c>
      <c r="L55" s="34" t="str">
        <f>IFERROR(IF('Pré Implantação'!B55="CSE Microsoft",AVERAGE('Pré Implantação'!D55,'Pré Implantação'!L55),""),"")</f>
        <v/>
      </c>
      <c r="M55" s="34" t="str">
        <f>IFERROR(IF('Pré Implantação'!B55="CSE Telecom",AVERAGE('Pré Implantação'!D55,'Pré Implantação'!L55),""),"")</f>
        <v/>
      </c>
      <c r="N55" s="34" t="str">
        <f>IFERROR(IF('Pré Implantação'!B55="Site Suporte de Campo",AVERAGE('Pré Implantação'!D55,'Pré Implantação'!L55),""),"")</f>
        <v/>
      </c>
      <c r="O55" s="49" t="str">
        <f>IFERROR(IF('Pré Implantação'!B55="Infraestrutura",AVERAGE('Pré Implantação'!D55,'Pré Implantação'!L55),""),"")</f>
        <v/>
      </c>
    </row>
    <row r="56" spans="1:15" x14ac:dyDescent="0.3">
      <c r="A56" s="33">
        <f>'Pré Implantação'!A56</f>
        <v>0</v>
      </c>
      <c r="B56" s="36">
        <f>'Pré Implantação'!C56</f>
        <v>0</v>
      </c>
      <c r="C56" s="34" t="str">
        <f>IFERROR(IF('Pré Implantação'!B56="Produção TI",AVERAGE('Pré Implantação'!D56,'Pré Implantação'!L56,'Pré Implantação'!E56,'Pré Implantação'!H56),AVERAGE('Pré Implantação'!E56,'Pré Implantação'!H56)),"")</f>
        <v/>
      </c>
      <c r="D56" s="34" t="str">
        <f>IFERROR(IF('Pré Implantação'!B56="CSC Service Desk",AVERAGE('Pré Implantação'!D56,'Pré Implantação'!L56,'Pré Implantação'!F56),AVERAGE('Pré Implantação'!F56)),"")</f>
        <v/>
      </c>
      <c r="E56" s="34" t="str">
        <f>IFERROR(IF('Pré Implantação'!B56="CSC NOC",AVERAGE('Pré Implantação'!D56,'Pré Implantação'!L56,'Pré Implantação'!G56),AVERAGE('Pré Implantação'!G56)),"")</f>
        <v/>
      </c>
      <c r="F56" s="34" t="str">
        <f>IFERROR(IF('Pré Implantação'!B56="CSE Gravadores",AVERAGE('Pré Implantação'!D56,'Pré Implantação'!L56,'Pré Implantação'!I56),AVERAGE('Pré Implantação'!I56)),"")</f>
        <v/>
      </c>
      <c r="G56" s="34" t="str">
        <f>IFERROR(IF('Pré Implantação'!B56="CSC",AVERAGE('Pré Implantação'!D56,'Pré Implantação'!L56,'Pré Implantação'!J56),AVERAGE('Pré Implantação'!J56)),"")</f>
        <v/>
      </c>
      <c r="H56" s="34" t="str">
        <f>IFERROR(IF('Pré Implantação'!B56="Operações \ Negócio",AVERAGE('Pré Implantação'!D56,'Pré Implantação'!L56,'Pré Implantação'!K56),AVERAGE('Pré Implantação'!K56)),"")</f>
        <v/>
      </c>
      <c r="I56" s="34" t="str">
        <f>IFERROR(IF('Pré Implantação'!B56="Projetos",AVERAGE('Pré Implantação'!D56,'Pré Implantação'!L56,'Pré Implantação'!M56),AVERAGE('Pré Implantação'!M56)),"")</f>
        <v/>
      </c>
      <c r="J56" s="34" t="str">
        <f>IFERROR(IF('Pré Implantação'!B56="Engenharia",AVERAGE('Pré Implantação'!D56,'Pré Implantação'!L56,'Pré Implantação'!N56),AVERAGE('Pré Implantação'!N56)),"")</f>
        <v/>
      </c>
      <c r="K56" s="34" t="str">
        <f>IFERROR(IF('Pré Implantação'!B56="URA",AVERAGE('Pré Implantação'!D56,'Pré Implantação'!L56),""),"")</f>
        <v/>
      </c>
      <c r="L56" s="34" t="str">
        <f>IFERROR(IF('Pré Implantação'!B56="CSE Microsoft",AVERAGE('Pré Implantação'!D56,'Pré Implantação'!L56),""),"")</f>
        <v/>
      </c>
      <c r="M56" s="34" t="str">
        <f>IFERROR(IF('Pré Implantação'!B56="CSE Telecom",AVERAGE('Pré Implantação'!D56,'Pré Implantação'!L56),""),"")</f>
        <v/>
      </c>
      <c r="N56" s="34" t="str">
        <f>IFERROR(IF('Pré Implantação'!B56="Site Suporte de Campo",AVERAGE('Pré Implantação'!D56,'Pré Implantação'!L56),""),"")</f>
        <v/>
      </c>
      <c r="O56" s="49" t="str">
        <f>IFERROR(IF('Pré Implantação'!B56="Infraestrutura",AVERAGE('Pré Implantação'!D56,'Pré Implantação'!L56),""),"")</f>
        <v/>
      </c>
    </row>
    <row r="57" spans="1:15" x14ac:dyDescent="0.3">
      <c r="A57" s="33">
        <f>'Pré Implantação'!A57</f>
        <v>0</v>
      </c>
      <c r="B57" s="36">
        <f>'Pré Implantação'!C57</f>
        <v>0</v>
      </c>
      <c r="C57" s="34" t="str">
        <f>IFERROR(IF('Pré Implantação'!B57="Produção TI",AVERAGE('Pré Implantação'!D57,'Pré Implantação'!L57,'Pré Implantação'!E57,'Pré Implantação'!H57),AVERAGE('Pré Implantação'!E57,'Pré Implantação'!H57)),"")</f>
        <v/>
      </c>
      <c r="D57" s="34" t="str">
        <f>IFERROR(IF('Pré Implantação'!B57="CSC Service Desk",AVERAGE('Pré Implantação'!D57,'Pré Implantação'!L57,'Pré Implantação'!F57),AVERAGE('Pré Implantação'!F57)),"")</f>
        <v/>
      </c>
      <c r="E57" s="34" t="str">
        <f>IFERROR(IF('Pré Implantação'!B57="CSC NOC",AVERAGE('Pré Implantação'!D57,'Pré Implantação'!L57,'Pré Implantação'!G57),AVERAGE('Pré Implantação'!G57)),"")</f>
        <v/>
      </c>
      <c r="F57" s="34" t="str">
        <f>IFERROR(IF('Pré Implantação'!B57="CSE Gravadores",AVERAGE('Pré Implantação'!D57,'Pré Implantação'!L57,'Pré Implantação'!I57),AVERAGE('Pré Implantação'!I57)),"")</f>
        <v/>
      </c>
      <c r="G57" s="34" t="str">
        <f>IFERROR(IF('Pré Implantação'!B57="CSC",AVERAGE('Pré Implantação'!D57,'Pré Implantação'!L57,'Pré Implantação'!J57),AVERAGE('Pré Implantação'!J57)),"")</f>
        <v/>
      </c>
      <c r="H57" s="34" t="str">
        <f>IFERROR(IF('Pré Implantação'!B57="Operações \ Negócio",AVERAGE('Pré Implantação'!D57,'Pré Implantação'!L57,'Pré Implantação'!K57),AVERAGE('Pré Implantação'!K57)),"")</f>
        <v/>
      </c>
      <c r="I57" s="34" t="str">
        <f>IFERROR(IF('Pré Implantação'!B57="Projetos",AVERAGE('Pré Implantação'!D57,'Pré Implantação'!L57,'Pré Implantação'!M57),AVERAGE('Pré Implantação'!M57)),"")</f>
        <v/>
      </c>
      <c r="J57" s="34" t="str">
        <f>IFERROR(IF('Pré Implantação'!B57="Engenharia",AVERAGE('Pré Implantação'!D57,'Pré Implantação'!L57,'Pré Implantação'!N57),AVERAGE('Pré Implantação'!N57)),"")</f>
        <v/>
      </c>
      <c r="K57" s="34" t="str">
        <f>IFERROR(IF('Pré Implantação'!B57="URA",AVERAGE('Pré Implantação'!D57,'Pré Implantação'!L57),""),"")</f>
        <v/>
      </c>
      <c r="L57" s="34" t="str">
        <f>IFERROR(IF('Pré Implantação'!B57="CSE Microsoft",AVERAGE('Pré Implantação'!D57,'Pré Implantação'!L57),""),"")</f>
        <v/>
      </c>
      <c r="M57" s="34" t="str">
        <f>IFERROR(IF('Pré Implantação'!B57="CSE Telecom",AVERAGE('Pré Implantação'!D57,'Pré Implantação'!L57),""),"")</f>
        <v/>
      </c>
      <c r="N57" s="34" t="str">
        <f>IFERROR(IF('Pré Implantação'!B57="Site Suporte de Campo",AVERAGE('Pré Implantação'!D57,'Pré Implantação'!L57),""),"")</f>
        <v/>
      </c>
      <c r="O57" s="49" t="str">
        <f>IFERROR(IF('Pré Implantação'!B57="Infraestrutura",AVERAGE('Pré Implantação'!D57,'Pré Implantação'!L57),""),"")</f>
        <v/>
      </c>
    </row>
    <row r="58" spans="1:15" x14ac:dyDescent="0.3">
      <c r="A58" s="33">
        <f>'Pré Implantação'!A58</f>
        <v>0</v>
      </c>
      <c r="B58" s="36">
        <f>'Pré Implantação'!C58</f>
        <v>0</v>
      </c>
      <c r="C58" s="34" t="str">
        <f>IFERROR(IF('Pré Implantação'!B58="Produção TI",AVERAGE('Pré Implantação'!D58,'Pré Implantação'!L58,'Pré Implantação'!E58,'Pré Implantação'!H58),AVERAGE('Pré Implantação'!E58,'Pré Implantação'!H58)),"")</f>
        <v/>
      </c>
      <c r="D58" s="34" t="str">
        <f>IFERROR(IF('Pré Implantação'!B58="CSC Service Desk",AVERAGE('Pré Implantação'!D58,'Pré Implantação'!L58,'Pré Implantação'!F58),AVERAGE('Pré Implantação'!F58)),"")</f>
        <v/>
      </c>
      <c r="E58" s="34" t="str">
        <f>IFERROR(IF('Pré Implantação'!B58="CSC NOC",AVERAGE('Pré Implantação'!D58,'Pré Implantação'!L58,'Pré Implantação'!G58),AVERAGE('Pré Implantação'!G58)),"")</f>
        <v/>
      </c>
      <c r="F58" s="34" t="str">
        <f>IFERROR(IF('Pré Implantação'!B58="CSE Gravadores",AVERAGE('Pré Implantação'!D58,'Pré Implantação'!L58,'Pré Implantação'!I58),AVERAGE('Pré Implantação'!I58)),"")</f>
        <v/>
      </c>
      <c r="G58" s="34" t="str">
        <f>IFERROR(IF('Pré Implantação'!B58="CSC",AVERAGE('Pré Implantação'!D58,'Pré Implantação'!L58,'Pré Implantação'!J58),AVERAGE('Pré Implantação'!J58)),"")</f>
        <v/>
      </c>
      <c r="H58" s="34" t="str">
        <f>IFERROR(IF('Pré Implantação'!B58="Operações \ Negócio",AVERAGE('Pré Implantação'!D58,'Pré Implantação'!L58,'Pré Implantação'!K58),AVERAGE('Pré Implantação'!K58)),"")</f>
        <v/>
      </c>
      <c r="I58" s="34" t="str">
        <f>IFERROR(IF('Pré Implantação'!B58="Projetos",AVERAGE('Pré Implantação'!D58,'Pré Implantação'!L58,'Pré Implantação'!M58),AVERAGE('Pré Implantação'!M58)),"")</f>
        <v/>
      </c>
      <c r="J58" s="34" t="str">
        <f>IFERROR(IF('Pré Implantação'!B58="Engenharia",AVERAGE('Pré Implantação'!D58,'Pré Implantação'!L58,'Pré Implantação'!N58),AVERAGE('Pré Implantação'!N58)),"")</f>
        <v/>
      </c>
      <c r="K58" s="34" t="str">
        <f>IFERROR(IF('Pré Implantação'!B58="URA",AVERAGE('Pré Implantação'!D58,'Pré Implantação'!L58),""),"")</f>
        <v/>
      </c>
      <c r="L58" s="34" t="str">
        <f>IFERROR(IF('Pré Implantação'!B58="CSE Microsoft",AVERAGE('Pré Implantação'!D58,'Pré Implantação'!L58),""),"")</f>
        <v/>
      </c>
      <c r="M58" s="34" t="str">
        <f>IFERROR(IF('Pré Implantação'!B58="CSE Telecom",AVERAGE('Pré Implantação'!D58,'Pré Implantação'!L58),""),"")</f>
        <v/>
      </c>
      <c r="N58" s="34" t="str">
        <f>IFERROR(IF('Pré Implantação'!B58="Site Suporte de Campo",AVERAGE('Pré Implantação'!D58,'Pré Implantação'!L58),""),"")</f>
        <v/>
      </c>
      <c r="O58" s="49" t="str">
        <f>IFERROR(IF('Pré Implantação'!B58="Infraestrutura",AVERAGE('Pré Implantação'!D58,'Pré Implantação'!L58),""),"")</f>
        <v/>
      </c>
    </row>
    <row r="59" spans="1:15" x14ac:dyDescent="0.3">
      <c r="A59" s="33">
        <f>'Pré Implantação'!A59</f>
        <v>0</v>
      </c>
      <c r="B59" s="36">
        <f>'Pré Implantação'!C59</f>
        <v>0</v>
      </c>
      <c r="C59" s="34" t="str">
        <f>IFERROR(IF('Pré Implantação'!B59="Produção TI",AVERAGE('Pré Implantação'!D59,'Pré Implantação'!L59,'Pré Implantação'!E59,'Pré Implantação'!H59),AVERAGE('Pré Implantação'!E59,'Pré Implantação'!H59)),"")</f>
        <v/>
      </c>
      <c r="D59" s="34" t="str">
        <f>IFERROR(IF('Pré Implantação'!B59="CSC Service Desk",AVERAGE('Pré Implantação'!D59,'Pré Implantação'!L59,'Pré Implantação'!F59),AVERAGE('Pré Implantação'!F59)),"")</f>
        <v/>
      </c>
      <c r="E59" s="34" t="str">
        <f>IFERROR(IF('Pré Implantação'!B59="CSC NOC",AVERAGE('Pré Implantação'!D59,'Pré Implantação'!L59,'Pré Implantação'!G59),AVERAGE('Pré Implantação'!G59)),"")</f>
        <v/>
      </c>
      <c r="F59" s="34" t="str">
        <f>IFERROR(IF('Pré Implantação'!B59="CSE Gravadores",AVERAGE('Pré Implantação'!D59,'Pré Implantação'!L59,'Pré Implantação'!I59),AVERAGE('Pré Implantação'!I59)),"")</f>
        <v/>
      </c>
      <c r="G59" s="34" t="str">
        <f>IFERROR(IF('Pré Implantação'!B59="CSC",AVERAGE('Pré Implantação'!D59,'Pré Implantação'!L59,'Pré Implantação'!J59),AVERAGE('Pré Implantação'!J59)),"")</f>
        <v/>
      </c>
      <c r="H59" s="34" t="str">
        <f>IFERROR(IF('Pré Implantação'!B59="Operações \ Negócio",AVERAGE('Pré Implantação'!D59,'Pré Implantação'!L59,'Pré Implantação'!K59),AVERAGE('Pré Implantação'!K59)),"")</f>
        <v/>
      </c>
      <c r="I59" s="34" t="str">
        <f>IFERROR(IF('Pré Implantação'!B59="Projetos",AVERAGE('Pré Implantação'!D59,'Pré Implantação'!L59,'Pré Implantação'!M59),AVERAGE('Pré Implantação'!M59)),"")</f>
        <v/>
      </c>
      <c r="J59" s="34" t="str">
        <f>IFERROR(IF('Pré Implantação'!B59="Engenharia",AVERAGE('Pré Implantação'!D59,'Pré Implantação'!L59,'Pré Implantação'!N59),AVERAGE('Pré Implantação'!N59)),"")</f>
        <v/>
      </c>
      <c r="K59" s="34" t="str">
        <f>IFERROR(IF('Pré Implantação'!B59="URA",AVERAGE('Pré Implantação'!D59,'Pré Implantação'!L59),""),"")</f>
        <v/>
      </c>
      <c r="L59" s="34" t="str">
        <f>IFERROR(IF('Pré Implantação'!B59="CSE Microsoft",AVERAGE('Pré Implantação'!D59,'Pré Implantação'!L59),""),"")</f>
        <v/>
      </c>
      <c r="M59" s="34" t="str">
        <f>IFERROR(IF('Pré Implantação'!B59="CSE Telecom",AVERAGE('Pré Implantação'!D59,'Pré Implantação'!L59),""),"")</f>
        <v/>
      </c>
      <c r="N59" s="34" t="str">
        <f>IFERROR(IF('Pré Implantação'!B59="Site Suporte de Campo",AVERAGE('Pré Implantação'!D59,'Pré Implantação'!L59),""),"")</f>
        <v/>
      </c>
      <c r="O59" s="49" t="str">
        <f>IFERROR(IF('Pré Implantação'!B59="Infraestrutura",AVERAGE('Pré Implantação'!D59,'Pré Implantação'!L59),""),"")</f>
        <v/>
      </c>
    </row>
    <row r="60" spans="1:15" x14ac:dyDescent="0.3">
      <c r="A60" s="33">
        <f>'Pré Implantação'!A60</f>
        <v>0</v>
      </c>
      <c r="B60" s="36">
        <f>'Pré Implantação'!C60</f>
        <v>0</v>
      </c>
      <c r="C60" s="34" t="str">
        <f>IFERROR(IF('Pré Implantação'!B60="Produção TI",AVERAGE('Pré Implantação'!D60,'Pré Implantação'!L60,'Pré Implantação'!E60,'Pré Implantação'!H60),AVERAGE('Pré Implantação'!E60,'Pré Implantação'!H60)),"")</f>
        <v/>
      </c>
      <c r="D60" s="34" t="str">
        <f>IFERROR(IF('Pré Implantação'!B60="CSC Service Desk",AVERAGE('Pré Implantação'!D60,'Pré Implantação'!L60,'Pré Implantação'!F60),AVERAGE('Pré Implantação'!F60)),"")</f>
        <v/>
      </c>
      <c r="E60" s="34" t="str">
        <f>IFERROR(IF('Pré Implantação'!B60="CSC NOC",AVERAGE('Pré Implantação'!D60,'Pré Implantação'!L60,'Pré Implantação'!G60),AVERAGE('Pré Implantação'!G60)),"")</f>
        <v/>
      </c>
      <c r="F60" s="34" t="str">
        <f>IFERROR(IF('Pré Implantação'!B60="CSE Gravadores",AVERAGE('Pré Implantação'!D60,'Pré Implantação'!L60,'Pré Implantação'!I60),AVERAGE('Pré Implantação'!I60)),"")</f>
        <v/>
      </c>
      <c r="G60" s="34" t="str">
        <f>IFERROR(IF('Pré Implantação'!B60="CSC",AVERAGE('Pré Implantação'!D60,'Pré Implantação'!L60,'Pré Implantação'!J60),AVERAGE('Pré Implantação'!J60)),"")</f>
        <v/>
      </c>
      <c r="H60" s="34" t="str">
        <f>IFERROR(IF('Pré Implantação'!B60="Operações \ Negócio",AVERAGE('Pré Implantação'!D60,'Pré Implantação'!L60,'Pré Implantação'!K60),AVERAGE('Pré Implantação'!K60)),"")</f>
        <v/>
      </c>
      <c r="I60" s="34" t="str">
        <f>IFERROR(IF('Pré Implantação'!B60="Projetos",AVERAGE('Pré Implantação'!D60,'Pré Implantação'!L60,'Pré Implantação'!M60),AVERAGE('Pré Implantação'!M60)),"")</f>
        <v/>
      </c>
      <c r="J60" s="34" t="str">
        <f>IFERROR(IF('Pré Implantação'!B60="Engenharia",AVERAGE('Pré Implantação'!D60,'Pré Implantação'!L60,'Pré Implantação'!N60),AVERAGE('Pré Implantação'!N60)),"")</f>
        <v/>
      </c>
      <c r="K60" s="34" t="str">
        <f>IFERROR(IF('Pré Implantação'!B60="URA",AVERAGE('Pré Implantação'!D60,'Pré Implantação'!L60),""),"")</f>
        <v/>
      </c>
      <c r="L60" s="34" t="str">
        <f>IFERROR(IF('Pré Implantação'!B60="CSE Microsoft",AVERAGE('Pré Implantação'!D60,'Pré Implantação'!L60),""),"")</f>
        <v/>
      </c>
      <c r="M60" s="34" t="str">
        <f>IFERROR(IF('Pré Implantação'!B60="CSE Telecom",AVERAGE('Pré Implantação'!D60,'Pré Implantação'!L60),""),"")</f>
        <v/>
      </c>
      <c r="N60" s="34" t="str">
        <f>IFERROR(IF('Pré Implantação'!B60="Site Suporte de Campo",AVERAGE('Pré Implantação'!D60,'Pré Implantação'!L60),""),"")</f>
        <v/>
      </c>
      <c r="O60" s="49" t="str">
        <f>IFERROR(IF('Pré Implantação'!B60="Infraestrutura",AVERAGE('Pré Implantação'!D60,'Pré Implantação'!L60),""),"")</f>
        <v/>
      </c>
    </row>
    <row r="61" spans="1:15" x14ac:dyDescent="0.3">
      <c r="A61" s="33">
        <f>'Pré Implantação'!A61</f>
        <v>0</v>
      </c>
      <c r="B61" s="36">
        <f>'Pré Implantação'!C61</f>
        <v>0</v>
      </c>
      <c r="C61" s="34" t="str">
        <f>IFERROR(IF('Pré Implantação'!B61="Produção TI",AVERAGE('Pré Implantação'!D61,'Pré Implantação'!L61,'Pré Implantação'!E61,'Pré Implantação'!H61),AVERAGE('Pré Implantação'!E61,'Pré Implantação'!H61)),"")</f>
        <v/>
      </c>
      <c r="D61" s="34" t="str">
        <f>IFERROR(IF('Pré Implantação'!B61="CSC Service Desk",AVERAGE('Pré Implantação'!D61,'Pré Implantação'!L61,'Pré Implantação'!F61),AVERAGE('Pré Implantação'!F61)),"")</f>
        <v/>
      </c>
      <c r="E61" s="34" t="str">
        <f>IFERROR(IF('Pré Implantação'!B61="CSC NOC",AVERAGE('Pré Implantação'!D61,'Pré Implantação'!L61,'Pré Implantação'!G61),AVERAGE('Pré Implantação'!G61)),"")</f>
        <v/>
      </c>
      <c r="F61" s="34" t="str">
        <f>IFERROR(IF('Pré Implantação'!B61="CSE Gravadores",AVERAGE('Pré Implantação'!D61,'Pré Implantação'!L61,'Pré Implantação'!I61),AVERAGE('Pré Implantação'!I61)),"")</f>
        <v/>
      </c>
      <c r="G61" s="34" t="str">
        <f>IFERROR(IF('Pré Implantação'!B61="CSC",AVERAGE('Pré Implantação'!D61,'Pré Implantação'!L61,'Pré Implantação'!J61),AVERAGE('Pré Implantação'!J61)),"")</f>
        <v/>
      </c>
      <c r="H61" s="34" t="str">
        <f>IFERROR(IF('Pré Implantação'!B61="Operações \ Negócio",AVERAGE('Pré Implantação'!D61,'Pré Implantação'!L61,'Pré Implantação'!K61),AVERAGE('Pré Implantação'!K61)),"")</f>
        <v/>
      </c>
      <c r="I61" s="34" t="str">
        <f>IFERROR(IF('Pré Implantação'!B61="Projetos",AVERAGE('Pré Implantação'!D61,'Pré Implantação'!L61,'Pré Implantação'!M61),AVERAGE('Pré Implantação'!M61)),"")</f>
        <v/>
      </c>
      <c r="J61" s="34" t="str">
        <f>IFERROR(IF('Pré Implantação'!B61="Engenharia",AVERAGE('Pré Implantação'!D61,'Pré Implantação'!L61,'Pré Implantação'!N61),AVERAGE('Pré Implantação'!N61)),"")</f>
        <v/>
      </c>
      <c r="K61" s="34" t="str">
        <f>IFERROR(IF('Pré Implantação'!B61="URA",AVERAGE('Pré Implantação'!D61,'Pré Implantação'!L61),""),"")</f>
        <v/>
      </c>
      <c r="L61" s="34" t="str">
        <f>IFERROR(IF('Pré Implantação'!B61="CSE Microsoft",AVERAGE('Pré Implantação'!D61,'Pré Implantação'!L61),""),"")</f>
        <v/>
      </c>
      <c r="M61" s="34" t="str">
        <f>IFERROR(IF('Pré Implantação'!B61="CSE Telecom",AVERAGE('Pré Implantação'!D61,'Pré Implantação'!L61),""),"")</f>
        <v/>
      </c>
      <c r="N61" s="34" t="str">
        <f>IFERROR(IF('Pré Implantação'!B61="Site Suporte de Campo",AVERAGE('Pré Implantação'!D61,'Pré Implantação'!L61),""),"")</f>
        <v/>
      </c>
      <c r="O61" s="49" t="str">
        <f>IFERROR(IF('Pré Implantação'!B61="Infraestrutura",AVERAGE('Pré Implantação'!D61,'Pré Implantação'!L61),""),"")</f>
        <v/>
      </c>
    </row>
    <row r="62" spans="1:15" x14ac:dyDescent="0.3">
      <c r="A62" s="33">
        <f>'Pré Implantação'!A62</f>
        <v>0</v>
      </c>
      <c r="B62" s="36">
        <f>'Pré Implantação'!C62</f>
        <v>0</v>
      </c>
      <c r="C62" s="34" t="str">
        <f>IFERROR(IF('Pré Implantação'!B62="Produção TI",AVERAGE('Pré Implantação'!D62,'Pré Implantação'!L62,'Pré Implantação'!E62,'Pré Implantação'!H62),AVERAGE('Pré Implantação'!E62,'Pré Implantação'!H62)),"")</f>
        <v/>
      </c>
      <c r="D62" s="34" t="str">
        <f>IFERROR(IF('Pré Implantação'!B62="CSC Service Desk",AVERAGE('Pré Implantação'!D62,'Pré Implantação'!L62,'Pré Implantação'!F62),AVERAGE('Pré Implantação'!F62)),"")</f>
        <v/>
      </c>
      <c r="E62" s="34" t="str">
        <f>IFERROR(IF('Pré Implantação'!B62="CSC NOC",AVERAGE('Pré Implantação'!D62,'Pré Implantação'!L62,'Pré Implantação'!G62),AVERAGE('Pré Implantação'!G62)),"")</f>
        <v/>
      </c>
      <c r="F62" s="34" t="str">
        <f>IFERROR(IF('Pré Implantação'!B62="CSE Gravadores",AVERAGE('Pré Implantação'!D62,'Pré Implantação'!L62,'Pré Implantação'!I62),AVERAGE('Pré Implantação'!I62)),"")</f>
        <v/>
      </c>
      <c r="G62" s="34" t="str">
        <f>IFERROR(IF('Pré Implantação'!B62="CSC",AVERAGE('Pré Implantação'!D62,'Pré Implantação'!L62,'Pré Implantação'!J62),AVERAGE('Pré Implantação'!J62)),"")</f>
        <v/>
      </c>
      <c r="H62" s="34" t="str">
        <f>IFERROR(IF('Pré Implantação'!B62="Operações \ Negócio",AVERAGE('Pré Implantação'!D62,'Pré Implantação'!L62,'Pré Implantação'!K62),AVERAGE('Pré Implantação'!K62)),"")</f>
        <v/>
      </c>
      <c r="I62" s="34" t="str">
        <f>IFERROR(IF('Pré Implantação'!B62="Projetos",AVERAGE('Pré Implantação'!D62,'Pré Implantação'!L62,'Pré Implantação'!M62),AVERAGE('Pré Implantação'!M62)),"")</f>
        <v/>
      </c>
      <c r="J62" s="34" t="str">
        <f>IFERROR(IF('Pré Implantação'!B62="Engenharia",AVERAGE('Pré Implantação'!D62,'Pré Implantação'!L62,'Pré Implantação'!N62),AVERAGE('Pré Implantação'!N62)),"")</f>
        <v/>
      </c>
      <c r="K62" s="34" t="str">
        <f>IFERROR(IF('Pré Implantação'!B62="URA",AVERAGE('Pré Implantação'!D62,'Pré Implantação'!L62),""),"")</f>
        <v/>
      </c>
      <c r="L62" s="34" t="str">
        <f>IFERROR(IF('Pré Implantação'!B62="CSE Microsoft",AVERAGE('Pré Implantação'!D62,'Pré Implantação'!L62),""),"")</f>
        <v/>
      </c>
      <c r="M62" s="34" t="str">
        <f>IFERROR(IF('Pré Implantação'!B62="CSE Telecom",AVERAGE('Pré Implantação'!D62,'Pré Implantação'!L62),""),"")</f>
        <v/>
      </c>
      <c r="N62" s="34" t="str">
        <f>IFERROR(IF('Pré Implantação'!B62="Site Suporte de Campo",AVERAGE('Pré Implantação'!D62,'Pré Implantação'!L62),""),"")</f>
        <v/>
      </c>
      <c r="O62" s="49" t="str">
        <f>IFERROR(IF('Pré Implantação'!B62="Infraestrutura",AVERAGE('Pré Implantação'!D62,'Pré Implantação'!L62),""),"")</f>
        <v/>
      </c>
    </row>
    <row r="63" spans="1:15" x14ac:dyDescent="0.3">
      <c r="A63" s="33">
        <f>'Pré Implantação'!A63</f>
        <v>0</v>
      </c>
      <c r="B63" s="36">
        <f>'Pré Implantação'!C63</f>
        <v>0</v>
      </c>
      <c r="C63" s="34" t="str">
        <f>IFERROR(IF('Pré Implantação'!B63="Produção TI",AVERAGE('Pré Implantação'!D63,'Pré Implantação'!L63,'Pré Implantação'!E63,'Pré Implantação'!H63),AVERAGE('Pré Implantação'!E63,'Pré Implantação'!H63)),"")</f>
        <v/>
      </c>
      <c r="D63" s="34" t="str">
        <f>IFERROR(IF('Pré Implantação'!B63="CSC Service Desk",AVERAGE('Pré Implantação'!D63,'Pré Implantação'!L63,'Pré Implantação'!F63),AVERAGE('Pré Implantação'!F63)),"")</f>
        <v/>
      </c>
      <c r="E63" s="34" t="str">
        <f>IFERROR(IF('Pré Implantação'!B63="CSC NOC",AVERAGE('Pré Implantação'!D63,'Pré Implantação'!L63,'Pré Implantação'!G63),AVERAGE('Pré Implantação'!G63)),"")</f>
        <v/>
      </c>
      <c r="F63" s="34" t="str">
        <f>IFERROR(IF('Pré Implantação'!B63="CSE Gravadores",AVERAGE('Pré Implantação'!D63,'Pré Implantação'!L63,'Pré Implantação'!I63),AVERAGE('Pré Implantação'!I63)),"")</f>
        <v/>
      </c>
      <c r="G63" s="34" t="str">
        <f>IFERROR(IF('Pré Implantação'!B63="CSC",AVERAGE('Pré Implantação'!D63,'Pré Implantação'!L63,'Pré Implantação'!J63),AVERAGE('Pré Implantação'!J63)),"")</f>
        <v/>
      </c>
      <c r="H63" s="34" t="str">
        <f>IFERROR(IF('Pré Implantação'!B63="Operações \ Negócio",AVERAGE('Pré Implantação'!D63,'Pré Implantação'!L63,'Pré Implantação'!K63),AVERAGE('Pré Implantação'!K63)),"")</f>
        <v/>
      </c>
      <c r="I63" s="34" t="str">
        <f>IFERROR(IF('Pré Implantação'!B63="Projetos",AVERAGE('Pré Implantação'!D63,'Pré Implantação'!L63,'Pré Implantação'!M63),AVERAGE('Pré Implantação'!M63)),"")</f>
        <v/>
      </c>
      <c r="J63" s="34" t="str">
        <f>IFERROR(IF('Pré Implantação'!B63="Engenharia",AVERAGE('Pré Implantação'!D63,'Pré Implantação'!L63,'Pré Implantação'!N63),AVERAGE('Pré Implantação'!N63)),"")</f>
        <v/>
      </c>
      <c r="K63" s="34" t="str">
        <f>IFERROR(IF('Pré Implantação'!B63="URA",AVERAGE('Pré Implantação'!D63,'Pré Implantação'!L63),""),"")</f>
        <v/>
      </c>
      <c r="L63" s="34" t="str">
        <f>IFERROR(IF('Pré Implantação'!B63="CSE Microsoft",AVERAGE('Pré Implantação'!D63,'Pré Implantação'!L63),""),"")</f>
        <v/>
      </c>
      <c r="M63" s="34" t="str">
        <f>IFERROR(IF('Pré Implantação'!B63="CSE Telecom",AVERAGE('Pré Implantação'!D63,'Pré Implantação'!L63),""),"")</f>
        <v/>
      </c>
      <c r="N63" s="34" t="str">
        <f>IFERROR(IF('Pré Implantação'!B63="Site Suporte de Campo",AVERAGE('Pré Implantação'!D63,'Pré Implantação'!L63),""),"")</f>
        <v/>
      </c>
      <c r="O63" s="49" t="str">
        <f>IFERROR(IF('Pré Implantação'!B63="Infraestrutura",AVERAGE('Pré Implantação'!D63,'Pré Implantação'!L63),""),"")</f>
        <v/>
      </c>
    </row>
    <row r="64" spans="1:15" x14ac:dyDescent="0.3">
      <c r="A64" s="33">
        <f>'Pré Implantação'!A64</f>
        <v>0</v>
      </c>
      <c r="B64" s="36">
        <f>'Pré Implantação'!C64</f>
        <v>0</v>
      </c>
      <c r="C64" s="34" t="str">
        <f>IFERROR(IF('Pré Implantação'!B64="Produção TI",AVERAGE('Pré Implantação'!D64,'Pré Implantação'!L64,'Pré Implantação'!E64,'Pré Implantação'!H64),AVERAGE('Pré Implantação'!E64,'Pré Implantação'!H64)),"")</f>
        <v/>
      </c>
      <c r="D64" s="34" t="str">
        <f>IFERROR(IF('Pré Implantação'!B64="CSC Service Desk",AVERAGE('Pré Implantação'!D64,'Pré Implantação'!L64,'Pré Implantação'!F64),AVERAGE('Pré Implantação'!F64)),"")</f>
        <v/>
      </c>
      <c r="E64" s="34" t="str">
        <f>IFERROR(IF('Pré Implantação'!B64="CSC NOC",AVERAGE('Pré Implantação'!D64,'Pré Implantação'!L64,'Pré Implantação'!G64),AVERAGE('Pré Implantação'!G64)),"")</f>
        <v/>
      </c>
      <c r="F64" s="34" t="str">
        <f>IFERROR(IF('Pré Implantação'!B64="CSE Gravadores",AVERAGE('Pré Implantação'!D64,'Pré Implantação'!L64,'Pré Implantação'!I64),AVERAGE('Pré Implantação'!I64)),"")</f>
        <v/>
      </c>
      <c r="G64" s="34" t="str">
        <f>IFERROR(IF('Pré Implantação'!B64="CSC",AVERAGE('Pré Implantação'!D64,'Pré Implantação'!L64,'Pré Implantação'!J64),AVERAGE('Pré Implantação'!J64)),"")</f>
        <v/>
      </c>
      <c r="H64" s="34" t="str">
        <f>IFERROR(IF('Pré Implantação'!B64="Operações \ Negócio",AVERAGE('Pré Implantação'!D64,'Pré Implantação'!L64,'Pré Implantação'!K64),AVERAGE('Pré Implantação'!K64)),"")</f>
        <v/>
      </c>
      <c r="I64" s="34" t="str">
        <f>IFERROR(IF('Pré Implantação'!B64="Projetos",AVERAGE('Pré Implantação'!D64,'Pré Implantação'!L64,'Pré Implantação'!M64),AVERAGE('Pré Implantação'!M64)),"")</f>
        <v/>
      </c>
      <c r="J64" s="34" t="str">
        <f>IFERROR(IF('Pré Implantação'!B64="Engenharia",AVERAGE('Pré Implantação'!D64,'Pré Implantação'!L64,'Pré Implantação'!N64),AVERAGE('Pré Implantação'!N64)),"")</f>
        <v/>
      </c>
      <c r="K64" s="34" t="str">
        <f>IFERROR(IF('Pré Implantação'!B64="URA",AVERAGE('Pré Implantação'!D64,'Pré Implantação'!L64),""),"")</f>
        <v/>
      </c>
      <c r="L64" s="34" t="str">
        <f>IFERROR(IF('Pré Implantação'!B64="CSE Microsoft",AVERAGE('Pré Implantação'!D64,'Pré Implantação'!L64),""),"")</f>
        <v/>
      </c>
      <c r="M64" s="34" t="str">
        <f>IFERROR(IF('Pré Implantação'!B64="CSE Telecom",AVERAGE('Pré Implantação'!D64,'Pré Implantação'!L64),""),"")</f>
        <v/>
      </c>
      <c r="N64" s="34" t="str">
        <f>IFERROR(IF('Pré Implantação'!B64="Site Suporte de Campo",AVERAGE('Pré Implantação'!D64,'Pré Implantação'!L64),""),"")</f>
        <v/>
      </c>
      <c r="O64" s="49" t="str">
        <f>IFERROR(IF('Pré Implantação'!B64="Infraestrutura",AVERAGE('Pré Implantação'!D64,'Pré Implantação'!L64),""),"")</f>
        <v/>
      </c>
    </row>
    <row r="65" spans="1:15" x14ac:dyDescent="0.3">
      <c r="A65" s="33">
        <f>'Pré Implantação'!A65</f>
        <v>0</v>
      </c>
      <c r="B65" s="36">
        <f>'Pré Implantação'!C65</f>
        <v>0</v>
      </c>
      <c r="C65" s="34" t="str">
        <f>IFERROR(IF('Pré Implantação'!B65="Produção TI",AVERAGE('Pré Implantação'!D65,'Pré Implantação'!L65,'Pré Implantação'!E65,'Pré Implantação'!H65),AVERAGE('Pré Implantação'!E65,'Pré Implantação'!H65)),"")</f>
        <v/>
      </c>
      <c r="D65" s="34" t="str">
        <f>IFERROR(IF('Pré Implantação'!B65="CSC Service Desk",AVERAGE('Pré Implantação'!D65,'Pré Implantação'!L65,'Pré Implantação'!F65),AVERAGE('Pré Implantação'!F65)),"")</f>
        <v/>
      </c>
      <c r="E65" s="34" t="str">
        <f>IFERROR(IF('Pré Implantação'!B65="CSC NOC",AVERAGE('Pré Implantação'!D65,'Pré Implantação'!L65,'Pré Implantação'!G65),AVERAGE('Pré Implantação'!G65)),"")</f>
        <v/>
      </c>
      <c r="F65" s="34" t="str">
        <f>IFERROR(IF('Pré Implantação'!B65="CSE Gravadores",AVERAGE('Pré Implantação'!D65,'Pré Implantação'!L65,'Pré Implantação'!I65),AVERAGE('Pré Implantação'!I65)),"")</f>
        <v/>
      </c>
      <c r="G65" s="34" t="str">
        <f>IFERROR(IF('Pré Implantação'!B65="CSC",AVERAGE('Pré Implantação'!D65,'Pré Implantação'!L65,'Pré Implantação'!J65),AVERAGE('Pré Implantação'!J65)),"")</f>
        <v/>
      </c>
      <c r="H65" s="34" t="str">
        <f>IFERROR(IF('Pré Implantação'!B65="Operações \ Negócio",AVERAGE('Pré Implantação'!D65,'Pré Implantação'!L65,'Pré Implantação'!K65),AVERAGE('Pré Implantação'!K65)),"")</f>
        <v/>
      </c>
      <c r="I65" s="34" t="str">
        <f>IFERROR(IF('Pré Implantação'!B65="Projetos",AVERAGE('Pré Implantação'!D65,'Pré Implantação'!L65,'Pré Implantação'!M65),AVERAGE('Pré Implantação'!M65)),"")</f>
        <v/>
      </c>
      <c r="J65" s="34" t="str">
        <f>IFERROR(IF('Pré Implantação'!B65="Engenharia",AVERAGE('Pré Implantação'!D65,'Pré Implantação'!L65,'Pré Implantação'!N65),AVERAGE('Pré Implantação'!N65)),"")</f>
        <v/>
      </c>
      <c r="K65" s="34" t="str">
        <f>IFERROR(IF('Pré Implantação'!B65="URA",AVERAGE('Pré Implantação'!D65,'Pré Implantação'!L65),""),"")</f>
        <v/>
      </c>
      <c r="L65" s="34" t="str">
        <f>IFERROR(IF('Pré Implantação'!B65="CSE Microsoft",AVERAGE('Pré Implantação'!D65,'Pré Implantação'!L65),""),"")</f>
        <v/>
      </c>
      <c r="M65" s="34" t="str">
        <f>IFERROR(IF('Pré Implantação'!B65="CSE Telecom",AVERAGE('Pré Implantação'!D65,'Pré Implantação'!L65),""),"")</f>
        <v/>
      </c>
      <c r="N65" s="34" t="str">
        <f>IFERROR(IF('Pré Implantação'!B65="Site Suporte de Campo",AVERAGE('Pré Implantação'!D65,'Pré Implantação'!L65),""),"")</f>
        <v/>
      </c>
      <c r="O65" s="49" t="str">
        <f>IFERROR(IF('Pré Implantação'!B65="Infraestrutura",AVERAGE('Pré Implantação'!D65,'Pré Implantação'!L65),""),"")</f>
        <v/>
      </c>
    </row>
    <row r="66" spans="1:15" x14ac:dyDescent="0.3">
      <c r="A66" s="33">
        <f>'Pré Implantação'!A66</f>
        <v>0</v>
      </c>
      <c r="B66" s="36">
        <f>'Pré Implantação'!C66</f>
        <v>0</v>
      </c>
      <c r="C66" s="34" t="str">
        <f>IFERROR(IF('Pré Implantação'!B66="Produção TI",AVERAGE('Pré Implantação'!D66,'Pré Implantação'!L66,'Pré Implantação'!E66,'Pré Implantação'!H66),AVERAGE('Pré Implantação'!E66,'Pré Implantação'!H66)),"")</f>
        <v/>
      </c>
      <c r="D66" s="34" t="str">
        <f>IFERROR(IF('Pré Implantação'!B66="CSC Service Desk",AVERAGE('Pré Implantação'!D66,'Pré Implantação'!L66,'Pré Implantação'!F66),AVERAGE('Pré Implantação'!F66)),"")</f>
        <v/>
      </c>
      <c r="E66" s="34" t="str">
        <f>IFERROR(IF('Pré Implantação'!B66="CSC NOC",AVERAGE('Pré Implantação'!D66,'Pré Implantação'!L66,'Pré Implantação'!G66),AVERAGE('Pré Implantação'!G66)),"")</f>
        <v/>
      </c>
      <c r="F66" s="34" t="str">
        <f>IFERROR(IF('Pré Implantação'!B66="CSE Gravadores",AVERAGE('Pré Implantação'!D66,'Pré Implantação'!L66,'Pré Implantação'!I66),AVERAGE('Pré Implantação'!I66)),"")</f>
        <v/>
      </c>
      <c r="G66" s="34" t="str">
        <f>IFERROR(IF('Pré Implantação'!B66="CSC",AVERAGE('Pré Implantação'!D66,'Pré Implantação'!L66,'Pré Implantação'!J66),AVERAGE('Pré Implantação'!J66)),"")</f>
        <v/>
      </c>
      <c r="H66" s="34" t="str">
        <f>IFERROR(IF('Pré Implantação'!B66="Operações \ Negócio",AVERAGE('Pré Implantação'!D66,'Pré Implantação'!L66,'Pré Implantação'!K66),AVERAGE('Pré Implantação'!K66)),"")</f>
        <v/>
      </c>
      <c r="I66" s="34" t="str">
        <f>IFERROR(IF('Pré Implantação'!B66="Projetos",AVERAGE('Pré Implantação'!D66,'Pré Implantação'!L66,'Pré Implantação'!M66),AVERAGE('Pré Implantação'!M66)),"")</f>
        <v/>
      </c>
      <c r="J66" s="34" t="str">
        <f>IFERROR(IF('Pré Implantação'!B66="Engenharia",AVERAGE('Pré Implantação'!D66,'Pré Implantação'!L66,'Pré Implantação'!N66),AVERAGE('Pré Implantação'!N66)),"")</f>
        <v/>
      </c>
      <c r="K66" s="34" t="str">
        <f>IFERROR(IF('Pré Implantação'!B66="URA",AVERAGE('Pré Implantação'!D66,'Pré Implantação'!L66),""),"")</f>
        <v/>
      </c>
      <c r="L66" s="34" t="str">
        <f>IFERROR(IF('Pré Implantação'!B66="CSE Microsoft",AVERAGE('Pré Implantação'!D66,'Pré Implantação'!L66),""),"")</f>
        <v/>
      </c>
      <c r="M66" s="34" t="str">
        <f>IFERROR(IF('Pré Implantação'!B66="CSE Telecom",AVERAGE('Pré Implantação'!D66,'Pré Implantação'!L66),""),"")</f>
        <v/>
      </c>
      <c r="N66" s="34" t="str">
        <f>IFERROR(IF('Pré Implantação'!B66="Site Suporte de Campo",AVERAGE('Pré Implantação'!D66,'Pré Implantação'!L66),""),"")</f>
        <v/>
      </c>
      <c r="O66" s="49" t="str">
        <f>IFERROR(IF('Pré Implantação'!B66="Infraestrutura",AVERAGE('Pré Implantação'!D66,'Pré Implantação'!L66),""),"")</f>
        <v/>
      </c>
    </row>
    <row r="67" spans="1:15" x14ac:dyDescent="0.3">
      <c r="A67" s="33">
        <f>'Pré Implantação'!A67</f>
        <v>0</v>
      </c>
      <c r="B67" s="36">
        <f>'Pré Implantação'!C67</f>
        <v>0</v>
      </c>
      <c r="C67" s="34" t="str">
        <f>IFERROR(IF('Pré Implantação'!B67="Produção TI",AVERAGE('Pré Implantação'!D67,'Pré Implantação'!L67,'Pré Implantação'!E67,'Pré Implantação'!H67),AVERAGE('Pré Implantação'!E67,'Pré Implantação'!H67)),"")</f>
        <v/>
      </c>
      <c r="D67" s="34" t="str">
        <f>IFERROR(IF('Pré Implantação'!B67="CSC Service Desk",AVERAGE('Pré Implantação'!D67,'Pré Implantação'!L67,'Pré Implantação'!F67),AVERAGE('Pré Implantação'!F67)),"")</f>
        <v/>
      </c>
      <c r="E67" s="34" t="str">
        <f>IFERROR(IF('Pré Implantação'!B67="CSC NOC",AVERAGE('Pré Implantação'!D67,'Pré Implantação'!L67,'Pré Implantação'!G67),AVERAGE('Pré Implantação'!G67)),"")</f>
        <v/>
      </c>
      <c r="F67" s="34" t="str">
        <f>IFERROR(IF('Pré Implantação'!B67="CSE Gravadores",AVERAGE('Pré Implantação'!D67,'Pré Implantação'!L67,'Pré Implantação'!I67),AVERAGE('Pré Implantação'!I67)),"")</f>
        <v/>
      </c>
      <c r="G67" s="34" t="str">
        <f>IFERROR(IF('Pré Implantação'!B67="CSC",AVERAGE('Pré Implantação'!D67,'Pré Implantação'!L67,'Pré Implantação'!J67),AVERAGE('Pré Implantação'!J67)),"")</f>
        <v/>
      </c>
      <c r="H67" s="34" t="str">
        <f>IFERROR(IF('Pré Implantação'!B67="Operações \ Negócio",AVERAGE('Pré Implantação'!D67,'Pré Implantação'!L67,'Pré Implantação'!K67),AVERAGE('Pré Implantação'!K67)),"")</f>
        <v/>
      </c>
      <c r="I67" s="34" t="str">
        <f>IFERROR(IF('Pré Implantação'!B67="Projetos",AVERAGE('Pré Implantação'!D67,'Pré Implantação'!L67,'Pré Implantação'!M67),AVERAGE('Pré Implantação'!M67)),"")</f>
        <v/>
      </c>
      <c r="J67" s="34" t="str">
        <f>IFERROR(IF('Pré Implantação'!B67="Engenharia",AVERAGE('Pré Implantação'!D67,'Pré Implantação'!L67,'Pré Implantação'!N67),AVERAGE('Pré Implantação'!N67)),"")</f>
        <v/>
      </c>
      <c r="K67" s="34" t="str">
        <f>IFERROR(IF('Pré Implantação'!B67="URA",AVERAGE('Pré Implantação'!D67,'Pré Implantação'!L67),""),"")</f>
        <v/>
      </c>
      <c r="L67" s="34" t="str">
        <f>IFERROR(IF('Pré Implantação'!B67="CSE Microsoft",AVERAGE('Pré Implantação'!D67,'Pré Implantação'!L67),""),"")</f>
        <v/>
      </c>
      <c r="M67" s="34" t="str">
        <f>IFERROR(IF('Pré Implantação'!B67="CSE Telecom",AVERAGE('Pré Implantação'!D67,'Pré Implantação'!L67),""),"")</f>
        <v/>
      </c>
      <c r="N67" s="34" t="str">
        <f>IFERROR(IF('Pré Implantação'!B67="Site Suporte de Campo",AVERAGE('Pré Implantação'!D67,'Pré Implantação'!L67),""),"")</f>
        <v/>
      </c>
      <c r="O67" s="49" t="str">
        <f>IFERROR(IF('Pré Implantação'!B67="Infraestrutura",AVERAGE('Pré Implantação'!D67,'Pré Implantação'!L67),""),"")</f>
        <v/>
      </c>
    </row>
    <row r="68" spans="1:15" x14ac:dyDescent="0.3">
      <c r="A68" s="33">
        <f>'Pré Implantação'!A68</f>
        <v>0</v>
      </c>
      <c r="B68" s="36">
        <f>'Pré Implantação'!C68</f>
        <v>0</v>
      </c>
      <c r="C68" s="34" t="str">
        <f>IFERROR(IF('Pré Implantação'!B68="Produção TI",AVERAGE('Pré Implantação'!D68,'Pré Implantação'!L68,'Pré Implantação'!E68,'Pré Implantação'!H68),AVERAGE('Pré Implantação'!E68,'Pré Implantação'!H68)),"")</f>
        <v/>
      </c>
      <c r="D68" s="34" t="str">
        <f>IFERROR(IF('Pré Implantação'!B68="CSC Service Desk",AVERAGE('Pré Implantação'!D68,'Pré Implantação'!L68,'Pré Implantação'!F68),AVERAGE('Pré Implantação'!F68)),"")</f>
        <v/>
      </c>
      <c r="E68" s="34" t="str">
        <f>IFERROR(IF('Pré Implantação'!B68="CSC NOC",AVERAGE('Pré Implantação'!D68,'Pré Implantação'!L68,'Pré Implantação'!G68),AVERAGE('Pré Implantação'!G68)),"")</f>
        <v/>
      </c>
      <c r="F68" s="34" t="str">
        <f>IFERROR(IF('Pré Implantação'!B68="CSE Gravadores",AVERAGE('Pré Implantação'!D68,'Pré Implantação'!L68,'Pré Implantação'!I68),AVERAGE('Pré Implantação'!I68)),"")</f>
        <v/>
      </c>
      <c r="G68" s="34" t="str">
        <f>IFERROR(IF('Pré Implantação'!B68="CSC",AVERAGE('Pré Implantação'!D68,'Pré Implantação'!L68,'Pré Implantação'!J68),AVERAGE('Pré Implantação'!J68)),"")</f>
        <v/>
      </c>
      <c r="H68" s="34" t="str">
        <f>IFERROR(IF('Pré Implantação'!B68="Operações \ Negócio",AVERAGE('Pré Implantação'!D68,'Pré Implantação'!L68,'Pré Implantação'!K68),AVERAGE('Pré Implantação'!K68)),"")</f>
        <v/>
      </c>
      <c r="I68" s="34" t="str">
        <f>IFERROR(IF('Pré Implantação'!B68="Projetos",AVERAGE('Pré Implantação'!D68,'Pré Implantação'!L68,'Pré Implantação'!M68),AVERAGE('Pré Implantação'!M68)),"")</f>
        <v/>
      </c>
      <c r="J68" s="34" t="str">
        <f>IFERROR(IF('Pré Implantação'!B68="Engenharia",AVERAGE('Pré Implantação'!D68,'Pré Implantação'!L68,'Pré Implantação'!N68),AVERAGE('Pré Implantação'!N68)),"")</f>
        <v/>
      </c>
      <c r="K68" s="34" t="str">
        <f>IFERROR(IF('Pré Implantação'!B68="URA",AVERAGE('Pré Implantação'!D68,'Pré Implantação'!L68),""),"")</f>
        <v/>
      </c>
      <c r="L68" s="34" t="str">
        <f>IFERROR(IF('Pré Implantação'!B68="CSE Microsoft",AVERAGE('Pré Implantação'!D68,'Pré Implantação'!L68),""),"")</f>
        <v/>
      </c>
      <c r="M68" s="34" t="str">
        <f>IFERROR(IF('Pré Implantação'!B68="CSE Telecom",AVERAGE('Pré Implantação'!D68,'Pré Implantação'!L68),""),"")</f>
        <v/>
      </c>
      <c r="N68" s="34" t="str">
        <f>IFERROR(IF('Pré Implantação'!B68="Site Suporte de Campo",AVERAGE('Pré Implantação'!D68,'Pré Implantação'!L68),""),"")</f>
        <v/>
      </c>
      <c r="O68" s="49" t="str">
        <f>IFERROR(IF('Pré Implantação'!B68="Infraestrutura",AVERAGE('Pré Implantação'!D68,'Pré Implantação'!L68),""),"")</f>
        <v/>
      </c>
    </row>
    <row r="69" spans="1:15" x14ac:dyDescent="0.3">
      <c r="A69" s="33">
        <f>'Pré Implantação'!A69</f>
        <v>0</v>
      </c>
      <c r="B69" s="36">
        <f>'Pré Implantação'!C69</f>
        <v>0</v>
      </c>
      <c r="C69" s="34" t="str">
        <f>IFERROR(IF('Pré Implantação'!B69="Produção TI",AVERAGE('Pré Implantação'!D69,'Pré Implantação'!L69,'Pré Implantação'!E69,'Pré Implantação'!H69),AVERAGE('Pré Implantação'!E69,'Pré Implantação'!H69)),"")</f>
        <v/>
      </c>
      <c r="D69" s="34" t="str">
        <f>IFERROR(IF('Pré Implantação'!B69="CSC Service Desk",AVERAGE('Pré Implantação'!D69,'Pré Implantação'!L69,'Pré Implantação'!F69),AVERAGE('Pré Implantação'!F69)),"")</f>
        <v/>
      </c>
      <c r="E69" s="34" t="str">
        <f>IFERROR(IF('Pré Implantação'!B69="CSC NOC",AVERAGE('Pré Implantação'!D69,'Pré Implantação'!L69,'Pré Implantação'!G69),AVERAGE('Pré Implantação'!G69)),"")</f>
        <v/>
      </c>
      <c r="F69" s="34" t="str">
        <f>IFERROR(IF('Pré Implantação'!B69="CSE Gravadores",AVERAGE('Pré Implantação'!D69,'Pré Implantação'!L69,'Pré Implantação'!I69),AVERAGE('Pré Implantação'!I69)),"")</f>
        <v/>
      </c>
      <c r="G69" s="34" t="str">
        <f>IFERROR(IF('Pré Implantação'!B69="CSC",AVERAGE('Pré Implantação'!D69,'Pré Implantação'!L69,'Pré Implantação'!J69),AVERAGE('Pré Implantação'!J69)),"")</f>
        <v/>
      </c>
      <c r="H69" s="34" t="str">
        <f>IFERROR(IF('Pré Implantação'!B69="Operações \ Negócio",AVERAGE('Pré Implantação'!D69,'Pré Implantação'!L69,'Pré Implantação'!K69),AVERAGE('Pré Implantação'!K69)),"")</f>
        <v/>
      </c>
      <c r="I69" s="34" t="str">
        <f>IFERROR(IF('Pré Implantação'!B69="Projetos",AVERAGE('Pré Implantação'!D69,'Pré Implantação'!L69,'Pré Implantação'!M69),AVERAGE('Pré Implantação'!M69)),"")</f>
        <v/>
      </c>
      <c r="J69" s="34" t="str">
        <f>IFERROR(IF('Pré Implantação'!B69="Engenharia",AVERAGE('Pré Implantação'!D69,'Pré Implantação'!L69,'Pré Implantação'!N69),AVERAGE('Pré Implantação'!N69)),"")</f>
        <v/>
      </c>
      <c r="K69" s="34" t="str">
        <f>IFERROR(IF('Pré Implantação'!B69="URA",AVERAGE('Pré Implantação'!D69,'Pré Implantação'!L69),""),"")</f>
        <v/>
      </c>
      <c r="L69" s="34" t="str">
        <f>IFERROR(IF('Pré Implantação'!B69="CSE Microsoft",AVERAGE('Pré Implantação'!D69,'Pré Implantação'!L69),""),"")</f>
        <v/>
      </c>
      <c r="M69" s="34" t="str">
        <f>IFERROR(IF('Pré Implantação'!B69="CSE Telecom",AVERAGE('Pré Implantação'!D69,'Pré Implantação'!L69),""),"")</f>
        <v/>
      </c>
      <c r="N69" s="34" t="str">
        <f>IFERROR(IF('Pré Implantação'!B69="Site Suporte de Campo",AVERAGE('Pré Implantação'!D69,'Pré Implantação'!L69),""),"")</f>
        <v/>
      </c>
      <c r="O69" s="49" t="str">
        <f>IFERROR(IF('Pré Implantação'!B69="Infraestrutura",AVERAGE('Pré Implantação'!D69,'Pré Implantação'!L69),""),"")</f>
        <v/>
      </c>
    </row>
    <row r="70" spans="1:15" x14ac:dyDescent="0.3">
      <c r="A70" s="33">
        <f>'Pré Implantação'!A70</f>
        <v>0</v>
      </c>
      <c r="B70" s="36">
        <f>'Pré Implantação'!C70</f>
        <v>0</v>
      </c>
      <c r="C70" s="34" t="str">
        <f>IFERROR(IF('Pré Implantação'!B70="Produção TI",AVERAGE('Pré Implantação'!D70,'Pré Implantação'!L70,'Pré Implantação'!E70,'Pré Implantação'!H70),AVERAGE('Pré Implantação'!E70,'Pré Implantação'!H70)),"")</f>
        <v/>
      </c>
      <c r="D70" s="34" t="str">
        <f>IFERROR(IF('Pré Implantação'!B70="CSC Service Desk",AVERAGE('Pré Implantação'!D70,'Pré Implantação'!L70,'Pré Implantação'!F70),AVERAGE('Pré Implantação'!F70)),"")</f>
        <v/>
      </c>
      <c r="E70" s="34" t="str">
        <f>IFERROR(IF('Pré Implantação'!B70="CSC NOC",AVERAGE('Pré Implantação'!D70,'Pré Implantação'!L70,'Pré Implantação'!G70),AVERAGE('Pré Implantação'!G70)),"")</f>
        <v/>
      </c>
      <c r="F70" s="34" t="str">
        <f>IFERROR(IF('Pré Implantação'!B70="CSE Gravadores",AVERAGE('Pré Implantação'!D70,'Pré Implantação'!L70,'Pré Implantação'!I70),AVERAGE('Pré Implantação'!I70)),"")</f>
        <v/>
      </c>
      <c r="G70" s="34" t="str">
        <f>IFERROR(IF('Pré Implantação'!B70="CSC",AVERAGE('Pré Implantação'!D70,'Pré Implantação'!L70,'Pré Implantação'!J70),AVERAGE('Pré Implantação'!J70)),"")</f>
        <v/>
      </c>
      <c r="H70" s="34" t="str">
        <f>IFERROR(IF('Pré Implantação'!B70="Operações \ Negócio",AVERAGE('Pré Implantação'!D70,'Pré Implantação'!L70,'Pré Implantação'!K70),AVERAGE('Pré Implantação'!K70)),"")</f>
        <v/>
      </c>
      <c r="I70" s="34" t="str">
        <f>IFERROR(IF('Pré Implantação'!B70="Projetos",AVERAGE('Pré Implantação'!D70,'Pré Implantação'!L70,'Pré Implantação'!M70),AVERAGE('Pré Implantação'!M70)),"")</f>
        <v/>
      </c>
      <c r="J70" s="34" t="str">
        <f>IFERROR(IF('Pré Implantação'!B70="Engenharia",AVERAGE('Pré Implantação'!D70,'Pré Implantação'!L70,'Pré Implantação'!N70),AVERAGE('Pré Implantação'!N70)),"")</f>
        <v/>
      </c>
      <c r="K70" s="34" t="str">
        <f>IFERROR(IF('Pré Implantação'!B70="URA",AVERAGE('Pré Implantação'!D70,'Pré Implantação'!L70),""),"")</f>
        <v/>
      </c>
      <c r="L70" s="34" t="str">
        <f>IFERROR(IF('Pré Implantação'!B70="CSE Microsoft",AVERAGE('Pré Implantação'!D70,'Pré Implantação'!L70),""),"")</f>
        <v/>
      </c>
      <c r="M70" s="34" t="str">
        <f>IFERROR(IF('Pré Implantação'!B70="CSE Telecom",AVERAGE('Pré Implantação'!D70,'Pré Implantação'!L70),""),"")</f>
        <v/>
      </c>
      <c r="N70" s="34" t="str">
        <f>IFERROR(IF('Pré Implantação'!B70="Site Suporte de Campo",AVERAGE('Pré Implantação'!D70,'Pré Implantação'!L70),""),"")</f>
        <v/>
      </c>
      <c r="O70" s="49" t="str">
        <f>IFERROR(IF('Pré Implantação'!B70="Infraestrutura",AVERAGE('Pré Implantação'!D70,'Pré Implantação'!L70),""),"")</f>
        <v/>
      </c>
    </row>
    <row r="71" spans="1:15" x14ac:dyDescent="0.3">
      <c r="A71" s="33">
        <f>'Pré Implantação'!A71</f>
        <v>0</v>
      </c>
      <c r="B71" s="36">
        <f>'Pré Implantação'!C71</f>
        <v>0</v>
      </c>
      <c r="C71" s="34" t="str">
        <f>IFERROR(IF('Pré Implantação'!B71="Produção TI",AVERAGE('Pré Implantação'!D71,'Pré Implantação'!L71,'Pré Implantação'!E71,'Pré Implantação'!H71),AVERAGE('Pré Implantação'!E71,'Pré Implantação'!H71)),"")</f>
        <v/>
      </c>
      <c r="D71" s="34" t="str">
        <f>IFERROR(IF('Pré Implantação'!B71="CSC Service Desk",AVERAGE('Pré Implantação'!D71,'Pré Implantação'!L71,'Pré Implantação'!F71),AVERAGE('Pré Implantação'!F71)),"")</f>
        <v/>
      </c>
      <c r="E71" s="34" t="str">
        <f>IFERROR(IF('Pré Implantação'!B71="CSC NOC",AVERAGE('Pré Implantação'!D71,'Pré Implantação'!L71,'Pré Implantação'!G71),AVERAGE('Pré Implantação'!G71)),"")</f>
        <v/>
      </c>
      <c r="F71" s="34" t="str">
        <f>IFERROR(IF('Pré Implantação'!B71="CSE Gravadores",AVERAGE('Pré Implantação'!D71,'Pré Implantação'!L71,'Pré Implantação'!I71),AVERAGE('Pré Implantação'!I71)),"")</f>
        <v/>
      </c>
      <c r="G71" s="34" t="str">
        <f>IFERROR(IF('Pré Implantação'!B71="CSC",AVERAGE('Pré Implantação'!D71,'Pré Implantação'!L71,'Pré Implantação'!J71),AVERAGE('Pré Implantação'!J71)),"")</f>
        <v/>
      </c>
      <c r="H71" s="34" t="str">
        <f>IFERROR(IF('Pré Implantação'!B71="Operações \ Negócio",AVERAGE('Pré Implantação'!D71,'Pré Implantação'!L71,'Pré Implantação'!K71),AVERAGE('Pré Implantação'!K71)),"")</f>
        <v/>
      </c>
      <c r="I71" s="34" t="str">
        <f>IFERROR(IF('Pré Implantação'!B71="Projetos",AVERAGE('Pré Implantação'!D71,'Pré Implantação'!L71,'Pré Implantação'!M71),AVERAGE('Pré Implantação'!M71)),"")</f>
        <v/>
      </c>
      <c r="J71" s="34" t="str">
        <f>IFERROR(IF('Pré Implantação'!B71="Engenharia",AVERAGE('Pré Implantação'!D71,'Pré Implantação'!L71,'Pré Implantação'!N71),AVERAGE('Pré Implantação'!N71)),"")</f>
        <v/>
      </c>
      <c r="K71" s="34" t="str">
        <f>IFERROR(IF('Pré Implantação'!B71="URA",AVERAGE('Pré Implantação'!D71,'Pré Implantação'!L71),""),"")</f>
        <v/>
      </c>
      <c r="L71" s="34" t="str">
        <f>IFERROR(IF('Pré Implantação'!B71="CSE Microsoft",AVERAGE('Pré Implantação'!D71,'Pré Implantação'!L71),""),"")</f>
        <v/>
      </c>
      <c r="M71" s="34" t="str">
        <f>IFERROR(IF('Pré Implantação'!B71="CSE Telecom",AVERAGE('Pré Implantação'!D71,'Pré Implantação'!L71),""),"")</f>
        <v/>
      </c>
      <c r="N71" s="34" t="str">
        <f>IFERROR(IF('Pré Implantação'!B71="Site Suporte de Campo",AVERAGE('Pré Implantação'!D71,'Pré Implantação'!L71),""),"")</f>
        <v/>
      </c>
      <c r="O71" s="49" t="str">
        <f>IFERROR(IF('Pré Implantação'!B71="Infraestrutura",AVERAGE('Pré Implantação'!D71,'Pré Implantação'!L71),""),"")</f>
        <v/>
      </c>
    </row>
    <row r="72" spans="1:15" x14ac:dyDescent="0.3">
      <c r="A72" s="33">
        <f>'Pré Implantação'!A72</f>
        <v>0</v>
      </c>
      <c r="B72" s="36">
        <f>'Pré Implantação'!C72</f>
        <v>0</v>
      </c>
      <c r="C72" s="34" t="str">
        <f>IFERROR(IF('Pré Implantação'!B72="Produção TI",AVERAGE('Pré Implantação'!D72,'Pré Implantação'!L72,'Pré Implantação'!E72,'Pré Implantação'!H72),AVERAGE('Pré Implantação'!E72,'Pré Implantação'!H72)),"")</f>
        <v/>
      </c>
      <c r="D72" s="34" t="str">
        <f>IFERROR(IF('Pré Implantação'!B72="CSC Service Desk",AVERAGE('Pré Implantação'!D72,'Pré Implantação'!L72,'Pré Implantação'!F72),AVERAGE('Pré Implantação'!F72)),"")</f>
        <v/>
      </c>
      <c r="E72" s="34" t="str">
        <f>IFERROR(IF('Pré Implantação'!B72="CSC NOC",AVERAGE('Pré Implantação'!D72,'Pré Implantação'!L72,'Pré Implantação'!G72),AVERAGE('Pré Implantação'!G72)),"")</f>
        <v/>
      </c>
      <c r="F72" s="34" t="str">
        <f>IFERROR(IF('Pré Implantação'!B72="CSE Gravadores",AVERAGE('Pré Implantação'!D72,'Pré Implantação'!L72,'Pré Implantação'!I72),AVERAGE('Pré Implantação'!I72)),"")</f>
        <v/>
      </c>
      <c r="G72" s="34" t="str">
        <f>IFERROR(IF('Pré Implantação'!B72="CSC",AVERAGE('Pré Implantação'!D72,'Pré Implantação'!L72,'Pré Implantação'!J72),AVERAGE('Pré Implantação'!J72)),"")</f>
        <v/>
      </c>
      <c r="H72" s="34" t="str">
        <f>IFERROR(IF('Pré Implantação'!B72="Operações \ Negócio",AVERAGE('Pré Implantação'!D72,'Pré Implantação'!L72,'Pré Implantação'!K72),AVERAGE('Pré Implantação'!K72)),"")</f>
        <v/>
      </c>
      <c r="I72" s="34" t="str">
        <f>IFERROR(IF('Pré Implantação'!B72="Projetos",AVERAGE('Pré Implantação'!D72,'Pré Implantação'!L72,'Pré Implantação'!M72),AVERAGE('Pré Implantação'!M72)),"")</f>
        <v/>
      </c>
      <c r="J72" s="34" t="str">
        <f>IFERROR(IF('Pré Implantação'!B72="Engenharia",AVERAGE('Pré Implantação'!D72,'Pré Implantação'!L72,'Pré Implantação'!N72),AVERAGE('Pré Implantação'!N72)),"")</f>
        <v/>
      </c>
      <c r="K72" s="34" t="str">
        <f>IFERROR(IF('Pré Implantação'!B72="URA",AVERAGE('Pré Implantação'!D72,'Pré Implantação'!L72),""),"")</f>
        <v/>
      </c>
      <c r="L72" s="34" t="str">
        <f>IFERROR(IF('Pré Implantação'!B72="CSE Microsoft",AVERAGE('Pré Implantação'!D72,'Pré Implantação'!L72),""),"")</f>
        <v/>
      </c>
      <c r="M72" s="34" t="str">
        <f>IFERROR(IF('Pré Implantação'!B72="CSE Telecom",AVERAGE('Pré Implantação'!D72,'Pré Implantação'!L72),""),"")</f>
        <v/>
      </c>
      <c r="N72" s="34" t="str">
        <f>IFERROR(IF('Pré Implantação'!B72="Site Suporte de Campo",AVERAGE('Pré Implantação'!D72,'Pré Implantação'!L72),""),"")</f>
        <v/>
      </c>
      <c r="O72" s="49" t="str">
        <f>IFERROR(IF('Pré Implantação'!B72="Infraestrutura",AVERAGE('Pré Implantação'!D72,'Pré Implantação'!L72),""),"")</f>
        <v/>
      </c>
    </row>
    <row r="73" spans="1:15" x14ac:dyDescent="0.3">
      <c r="A73" s="33">
        <f>'Pré Implantação'!A73</f>
        <v>0</v>
      </c>
      <c r="B73" s="36">
        <f>'Pré Implantação'!C73</f>
        <v>0</v>
      </c>
      <c r="C73" s="34" t="str">
        <f>IFERROR(IF('Pré Implantação'!B73="Produção TI",AVERAGE('Pré Implantação'!D73,'Pré Implantação'!L73,'Pré Implantação'!E73,'Pré Implantação'!H73),AVERAGE('Pré Implantação'!E73,'Pré Implantação'!H73)),"")</f>
        <v/>
      </c>
      <c r="D73" s="34" t="str">
        <f>IFERROR(IF('Pré Implantação'!B73="CSC Service Desk",AVERAGE('Pré Implantação'!D73,'Pré Implantação'!L73,'Pré Implantação'!F73),AVERAGE('Pré Implantação'!F73)),"")</f>
        <v/>
      </c>
      <c r="E73" s="34" t="str">
        <f>IFERROR(IF('Pré Implantação'!B73="CSC NOC",AVERAGE('Pré Implantação'!D73,'Pré Implantação'!L73,'Pré Implantação'!G73),AVERAGE('Pré Implantação'!G73)),"")</f>
        <v/>
      </c>
      <c r="F73" s="34" t="str">
        <f>IFERROR(IF('Pré Implantação'!B73="CSE Gravadores",AVERAGE('Pré Implantação'!D73,'Pré Implantação'!L73,'Pré Implantação'!I73),AVERAGE('Pré Implantação'!I73)),"")</f>
        <v/>
      </c>
      <c r="G73" s="34" t="str">
        <f>IFERROR(IF('Pré Implantação'!B73="CSC",AVERAGE('Pré Implantação'!D73,'Pré Implantação'!L73,'Pré Implantação'!J73),AVERAGE('Pré Implantação'!J73)),"")</f>
        <v/>
      </c>
      <c r="H73" s="34" t="str">
        <f>IFERROR(IF('Pré Implantação'!B73="Operações \ Negócio",AVERAGE('Pré Implantação'!D73,'Pré Implantação'!L73,'Pré Implantação'!K73),AVERAGE('Pré Implantação'!K73)),"")</f>
        <v/>
      </c>
      <c r="I73" s="34" t="str">
        <f>IFERROR(IF('Pré Implantação'!B73="Projetos",AVERAGE('Pré Implantação'!D73,'Pré Implantação'!L73,'Pré Implantação'!M73),AVERAGE('Pré Implantação'!M73)),"")</f>
        <v/>
      </c>
      <c r="J73" s="34" t="str">
        <f>IFERROR(IF('Pré Implantação'!B73="Engenharia",AVERAGE('Pré Implantação'!D73,'Pré Implantação'!L73,'Pré Implantação'!N73),AVERAGE('Pré Implantação'!N73)),"")</f>
        <v/>
      </c>
      <c r="K73" s="34" t="str">
        <f>IFERROR(IF('Pré Implantação'!B73="URA",AVERAGE('Pré Implantação'!D73,'Pré Implantação'!L73),""),"")</f>
        <v/>
      </c>
      <c r="L73" s="34" t="str">
        <f>IFERROR(IF('Pré Implantação'!B73="CSE Microsoft",AVERAGE('Pré Implantação'!D73,'Pré Implantação'!L73),""),"")</f>
        <v/>
      </c>
      <c r="M73" s="34" t="str">
        <f>IFERROR(IF('Pré Implantação'!B73="CSE Telecom",AVERAGE('Pré Implantação'!D73,'Pré Implantação'!L73),""),"")</f>
        <v/>
      </c>
      <c r="N73" s="34" t="str">
        <f>IFERROR(IF('Pré Implantação'!B73="Site Suporte de Campo",AVERAGE('Pré Implantação'!D73,'Pré Implantação'!L73),""),"")</f>
        <v/>
      </c>
      <c r="O73" s="49" t="str">
        <f>IFERROR(IF('Pré Implantação'!B73="Infraestrutura",AVERAGE('Pré Implantação'!D73,'Pré Implantação'!L73),""),"")</f>
        <v/>
      </c>
    </row>
    <row r="74" spans="1:15" x14ac:dyDescent="0.3">
      <c r="A74" s="33">
        <f>'Pré Implantação'!A74</f>
        <v>0</v>
      </c>
      <c r="B74" s="36">
        <f>'Pré Implantação'!C74</f>
        <v>0</v>
      </c>
      <c r="C74" s="34" t="str">
        <f>IFERROR(IF('Pré Implantação'!B74="Produção TI",AVERAGE('Pré Implantação'!D74,'Pré Implantação'!L74,'Pré Implantação'!E74,'Pré Implantação'!H74),AVERAGE('Pré Implantação'!E74,'Pré Implantação'!H74)),"")</f>
        <v/>
      </c>
      <c r="D74" s="34" t="str">
        <f>IFERROR(IF('Pré Implantação'!B74="CSC Service Desk",AVERAGE('Pré Implantação'!D74,'Pré Implantação'!L74,'Pré Implantação'!F74),AVERAGE('Pré Implantação'!F74)),"")</f>
        <v/>
      </c>
      <c r="E74" s="34" t="str">
        <f>IFERROR(IF('Pré Implantação'!B74="CSC NOC",AVERAGE('Pré Implantação'!D74,'Pré Implantação'!L74,'Pré Implantação'!G74),AVERAGE('Pré Implantação'!G74)),"")</f>
        <v/>
      </c>
      <c r="F74" s="34" t="str">
        <f>IFERROR(IF('Pré Implantação'!B74="CSE Gravadores",AVERAGE('Pré Implantação'!D74,'Pré Implantação'!L74,'Pré Implantação'!I74),AVERAGE('Pré Implantação'!I74)),"")</f>
        <v/>
      </c>
      <c r="G74" s="34" t="str">
        <f>IFERROR(IF('Pré Implantação'!B74="CSC",AVERAGE('Pré Implantação'!D74,'Pré Implantação'!L74,'Pré Implantação'!J74),AVERAGE('Pré Implantação'!J74)),"")</f>
        <v/>
      </c>
      <c r="H74" s="34" t="str">
        <f>IFERROR(IF('Pré Implantação'!B74="Operações \ Negócio",AVERAGE('Pré Implantação'!D74,'Pré Implantação'!L74,'Pré Implantação'!K74),AVERAGE('Pré Implantação'!K74)),"")</f>
        <v/>
      </c>
      <c r="I74" s="34" t="str">
        <f>IFERROR(IF('Pré Implantação'!B74="Projetos",AVERAGE('Pré Implantação'!D74,'Pré Implantação'!L74,'Pré Implantação'!M74),AVERAGE('Pré Implantação'!M74)),"")</f>
        <v/>
      </c>
      <c r="J74" s="34" t="str">
        <f>IFERROR(IF('Pré Implantação'!B74="Engenharia",AVERAGE('Pré Implantação'!D74,'Pré Implantação'!L74,'Pré Implantação'!N74),AVERAGE('Pré Implantação'!N74)),"")</f>
        <v/>
      </c>
      <c r="K74" s="34" t="str">
        <f>IFERROR(IF('Pré Implantação'!B74="URA",AVERAGE('Pré Implantação'!D74,'Pré Implantação'!L74),""),"")</f>
        <v/>
      </c>
      <c r="L74" s="34" t="str">
        <f>IFERROR(IF('Pré Implantação'!B74="CSE Microsoft",AVERAGE('Pré Implantação'!D74,'Pré Implantação'!L74),""),"")</f>
        <v/>
      </c>
      <c r="M74" s="34" t="str">
        <f>IFERROR(IF('Pré Implantação'!B74="CSE Telecom",AVERAGE('Pré Implantação'!D74,'Pré Implantação'!L74),""),"")</f>
        <v/>
      </c>
      <c r="N74" s="34" t="str">
        <f>IFERROR(IF('Pré Implantação'!B74="Site Suporte de Campo",AVERAGE('Pré Implantação'!D74,'Pré Implantação'!L74),""),"")</f>
        <v/>
      </c>
      <c r="O74" s="49" t="str">
        <f>IFERROR(IF('Pré Implantação'!B74="Infraestrutura",AVERAGE('Pré Implantação'!D74,'Pré Implantação'!L74),""),"")</f>
        <v/>
      </c>
    </row>
    <row r="75" spans="1:15" x14ac:dyDescent="0.3">
      <c r="A75" s="33">
        <f>'Pré Implantação'!A75</f>
        <v>0</v>
      </c>
      <c r="B75" s="36">
        <f>'Pré Implantação'!C75</f>
        <v>0</v>
      </c>
      <c r="C75" s="34" t="str">
        <f>IFERROR(IF('Pré Implantação'!B75="Produção TI",AVERAGE('Pré Implantação'!D75,'Pré Implantação'!L75,'Pré Implantação'!E75,'Pré Implantação'!H75),AVERAGE('Pré Implantação'!E75,'Pré Implantação'!H75)),"")</f>
        <v/>
      </c>
      <c r="D75" s="34" t="str">
        <f>IFERROR(IF('Pré Implantação'!B75="CSC Service Desk",AVERAGE('Pré Implantação'!D75,'Pré Implantação'!L75,'Pré Implantação'!F75),AVERAGE('Pré Implantação'!F75)),"")</f>
        <v/>
      </c>
      <c r="E75" s="34" t="str">
        <f>IFERROR(IF('Pré Implantação'!B75="CSC NOC",AVERAGE('Pré Implantação'!D75,'Pré Implantação'!L75,'Pré Implantação'!G75),AVERAGE('Pré Implantação'!G75)),"")</f>
        <v/>
      </c>
      <c r="F75" s="34" t="str">
        <f>IFERROR(IF('Pré Implantação'!B75="CSE Gravadores",AVERAGE('Pré Implantação'!D75,'Pré Implantação'!L75,'Pré Implantação'!I75),AVERAGE('Pré Implantação'!I75)),"")</f>
        <v/>
      </c>
      <c r="G75" s="34" t="str">
        <f>IFERROR(IF('Pré Implantação'!B75="CSC",AVERAGE('Pré Implantação'!D75,'Pré Implantação'!L75,'Pré Implantação'!J75),AVERAGE('Pré Implantação'!J75)),"")</f>
        <v/>
      </c>
      <c r="H75" s="34" t="str">
        <f>IFERROR(IF('Pré Implantação'!B75="Operações \ Negócio",AVERAGE('Pré Implantação'!D75,'Pré Implantação'!L75,'Pré Implantação'!K75),AVERAGE('Pré Implantação'!K75)),"")</f>
        <v/>
      </c>
      <c r="I75" s="34" t="str">
        <f>IFERROR(IF('Pré Implantação'!B75="Projetos",AVERAGE('Pré Implantação'!D75,'Pré Implantação'!L75,'Pré Implantação'!M75),AVERAGE('Pré Implantação'!M75)),"")</f>
        <v/>
      </c>
      <c r="J75" s="34" t="str">
        <f>IFERROR(IF('Pré Implantação'!B75="Engenharia",AVERAGE('Pré Implantação'!D75,'Pré Implantação'!L75,'Pré Implantação'!N75),AVERAGE('Pré Implantação'!N75)),"")</f>
        <v/>
      </c>
      <c r="K75" s="34" t="str">
        <f>IFERROR(IF('Pré Implantação'!B75="URA",AVERAGE('Pré Implantação'!D75,'Pré Implantação'!L75),""),"")</f>
        <v/>
      </c>
      <c r="L75" s="34" t="str">
        <f>IFERROR(IF('Pré Implantação'!B75="CSE Microsoft",AVERAGE('Pré Implantação'!D75,'Pré Implantação'!L75),""),"")</f>
        <v/>
      </c>
      <c r="M75" s="34" t="str">
        <f>IFERROR(IF('Pré Implantação'!B75="CSE Telecom",AVERAGE('Pré Implantação'!D75,'Pré Implantação'!L75),""),"")</f>
        <v/>
      </c>
      <c r="N75" s="34" t="str">
        <f>IFERROR(IF('Pré Implantação'!B75="Site Suporte de Campo",AVERAGE('Pré Implantação'!D75,'Pré Implantação'!L75),""),"")</f>
        <v/>
      </c>
      <c r="O75" s="49" t="str">
        <f>IFERROR(IF('Pré Implantação'!B75="Infraestrutura",AVERAGE('Pré Implantação'!D75,'Pré Implantação'!L75),""),"")</f>
        <v/>
      </c>
    </row>
    <row r="76" spans="1:15" x14ac:dyDescent="0.3">
      <c r="A76" s="33">
        <f>'Pré Implantação'!A76</f>
        <v>0</v>
      </c>
      <c r="B76" s="36">
        <f>'Pré Implantação'!C76</f>
        <v>0</v>
      </c>
      <c r="C76" s="34" t="str">
        <f>IFERROR(IF('Pré Implantação'!B76="Produção TI",AVERAGE('Pré Implantação'!D76,'Pré Implantação'!L76,'Pré Implantação'!E76,'Pré Implantação'!H76),AVERAGE('Pré Implantação'!E76,'Pré Implantação'!H76)),"")</f>
        <v/>
      </c>
      <c r="D76" s="34" t="str">
        <f>IFERROR(IF('Pré Implantação'!B76="CSC Service Desk",AVERAGE('Pré Implantação'!D76,'Pré Implantação'!L76,'Pré Implantação'!F76),AVERAGE('Pré Implantação'!F76)),"")</f>
        <v/>
      </c>
      <c r="E76" s="34" t="str">
        <f>IFERROR(IF('Pré Implantação'!B76="CSC NOC",AVERAGE('Pré Implantação'!D76,'Pré Implantação'!L76,'Pré Implantação'!G76),AVERAGE('Pré Implantação'!G76)),"")</f>
        <v/>
      </c>
      <c r="F76" s="34" t="str">
        <f>IFERROR(IF('Pré Implantação'!B76="CSE Gravadores",AVERAGE('Pré Implantação'!D76,'Pré Implantação'!L76,'Pré Implantação'!I76),AVERAGE('Pré Implantação'!I76)),"")</f>
        <v/>
      </c>
      <c r="G76" s="34" t="str">
        <f>IFERROR(IF('Pré Implantação'!B76="CSC",AVERAGE('Pré Implantação'!D76,'Pré Implantação'!L76,'Pré Implantação'!J76),AVERAGE('Pré Implantação'!J76)),"")</f>
        <v/>
      </c>
      <c r="H76" s="34" t="str">
        <f>IFERROR(IF('Pré Implantação'!B76="Operações \ Negócio",AVERAGE('Pré Implantação'!D76,'Pré Implantação'!L76,'Pré Implantação'!K76),AVERAGE('Pré Implantação'!K76)),"")</f>
        <v/>
      </c>
      <c r="I76" s="34" t="str">
        <f>IFERROR(IF('Pré Implantação'!B76="Projetos",AVERAGE('Pré Implantação'!D76,'Pré Implantação'!L76,'Pré Implantação'!M76),AVERAGE('Pré Implantação'!M76)),"")</f>
        <v/>
      </c>
      <c r="J76" s="34" t="str">
        <f>IFERROR(IF('Pré Implantação'!B76="Engenharia",AVERAGE('Pré Implantação'!D76,'Pré Implantação'!L76,'Pré Implantação'!N76),AVERAGE('Pré Implantação'!N76)),"")</f>
        <v/>
      </c>
      <c r="K76" s="34" t="str">
        <f>IFERROR(IF('Pré Implantação'!B76="URA",AVERAGE('Pré Implantação'!D76,'Pré Implantação'!L76),""),"")</f>
        <v/>
      </c>
      <c r="L76" s="34" t="str">
        <f>IFERROR(IF('Pré Implantação'!B76="CSE Microsoft",AVERAGE('Pré Implantação'!D76,'Pré Implantação'!L76),""),"")</f>
        <v/>
      </c>
      <c r="M76" s="34" t="str">
        <f>IFERROR(IF('Pré Implantação'!B76="CSE Telecom",AVERAGE('Pré Implantação'!D76,'Pré Implantação'!L76),""),"")</f>
        <v/>
      </c>
      <c r="N76" s="34" t="str">
        <f>IFERROR(IF('Pré Implantação'!B76="Site Suporte de Campo",AVERAGE('Pré Implantação'!D76,'Pré Implantação'!L76),""),"")</f>
        <v/>
      </c>
      <c r="O76" s="49" t="str">
        <f>IFERROR(IF('Pré Implantação'!B76="Infraestrutura",AVERAGE('Pré Implantação'!D76,'Pré Implantação'!L76),""),"")</f>
        <v/>
      </c>
    </row>
    <row r="77" spans="1:15" x14ac:dyDescent="0.3">
      <c r="A77" s="33">
        <f>'Pré Implantação'!A77</f>
        <v>0</v>
      </c>
      <c r="B77" s="36">
        <f>'Pré Implantação'!C77</f>
        <v>0</v>
      </c>
      <c r="C77" s="34" t="str">
        <f>IFERROR(IF('Pré Implantação'!B77="Produção TI",AVERAGE('Pré Implantação'!D77,'Pré Implantação'!L77,'Pré Implantação'!E77,'Pré Implantação'!H77),AVERAGE('Pré Implantação'!E77,'Pré Implantação'!H77)),"")</f>
        <v/>
      </c>
      <c r="D77" s="34" t="str">
        <f>IFERROR(IF('Pré Implantação'!B77="CSC Service Desk",AVERAGE('Pré Implantação'!D77,'Pré Implantação'!L77,'Pré Implantação'!F77),AVERAGE('Pré Implantação'!F77)),"")</f>
        <v/>
      </c>
      <c r="E77" s="34" t="str">
        <f>IFERROR(IF('Pré Implantação'!B77="CSC NOC",AVERAGE('Pré Implantação'!D77,'Pré Implantação'!L77,'Pré Implantação'!G77),AVERAGE('Pré Implantação'!G77)),"")</f>
        <v/>
      </c>
      <c r="F77" s="34" t="str">
        <f>IFERROR(IF('Pré Implantação'!B77="CSE Gravadores",AVERAGE('Pré Implantação'!D77,'Pré Implantação'!L77,'Pré Implantação'!I77),AVERAGE('Pré Implantação'!I77)),"")</f>
        <v/>
      </c>
      <c r="G77" s="34" t="str">
        <f>IFERROR(IF('Pré Implantação'!B77="CSC",AVERAGE('Pré Implantação'!D77,'Pré Implantação'!L77,'Pré Implantação'!J77),AVERAGE('Pré Implantação'!J77)),"")</f>
        <v/>
      </c>
      <c r="H77" s="34" t="str">
        <f>IFERROR(IF('Pré Implantação'!B77="Operações \ Negócio",AVERAGE('Pré Implantação'!D77,'Pré Implantação'!L77,'Pré Implantação'!K77),AVERAGE('Pré Implantação'!K77)),"")</f>
        <v/>
      </c>
      <c r="I77" s="34" t="str">
        <f>IFERROR(IF('Pré Implantação'!B77="Projetos",AVERAGE('Pré Implantação'!D77,'Pré Implantação'!L77,'Pré Implantação'!M77),AVERAGE('Pré Implantação'!M77)),"")</f>
        <v/>
      </c>
      <c r="J77" s="34" t="str">
        <f>IFERROR(IF('Pré Implantação'!B77="Engenharia",AVERAGE('Pré Implantação'!D77,'Pré Implantação'!L77,'Pré Implantação'!N77),AVERAGE('Pré Implantação'!N77)),"")</f>
        <v/>
      </c>
      <c r="K77" s="34" t="str">
        <f>IFERROR(IF('Pré Implantação'!B77="URA",AVERAGE('Pré Implantação'!D77,'Pré Implantação'!L77),""),"")</f>
        <v/>
      </c>
      <c r="L77" s="34" t="str">
        <f>IFERROR(IF('Pré Implantação'!B77="CSE Microsoft",AVERAGE('Pré Implantação'!D77,'Pré Implantação'!L77),""),"")</f>
        <v/>
      </c>
      <c r="M77" s="34" t="str">
        <f>IFERROR(IF('Pré Implantação'!B77="CSE Telecom",AVERAGE('Pré Implantação'!D77,'Pré Implantação'!L77),""),"")</f>
        <v/>
      </c>
      <c r="N77" s="34" t="str">
        <f>IFERROR(IF('Pré Implantação'!B77="Site Suporte de Campo",AVERAGE('Pré Implantação'!D77,'Pré Implantação'!L77),""),"")</f>
        <v/>
      </c>
      <c r="O77" s="49" t="str">
        <f>IFERROR(IF('Pré Implantação'!B77="Infraestrutura",AVERAGE('Pré Implantação'!D77,'Pré Implantação'!L77),""),"")</f>
        <v/>
      </c>
    </row>
    <row r="78" spans="1:15" x14ac:dyDescent="0.3">
      <c r="A78" s="33">
        <f>'Pré Implantação'!A78</f>
        <v>0</v>
      </c>
      <c r="B78" s="36">
        <f>'Pré Implantação'!C78</f>
        <v>0</v>
      </c>
      <c r="C78" s="34" t="str">
        <f>IFERROR(IF('Pré Implantação'!B78="Produção TI",AVERAGE('Pré Implantação'!D78,'Pré Implantação'!L78,'Pré Implantação'!E78,'Pré Implantação'!H78),AVERAGE('Pré Implantação'!E78,'Pré Implantação'!H78)),"")</f>
        <v/>
      </c>
      <c r="D78" s="34" t="str">
        <f>IFERROR(IF('Pré Implantação'!B78="CSC Service Desk",AVERAGE('Pré Implantação'!D78,'Pré Implantação'!L78,'Pré Implantação'!F78),AVERAGE('Pré Implantação'!F78)),"")</f>
        <v/>
      </c>
      <c r="E78" s="34" t="str">
        <f>IFERROR(IF('Pré Implantação'!B78="CSC NOC",AVERAGE('Pré Implantação'!D78,'Pré Implantação'!L78,'Pré Implantação'!G78),AVERAGE('Pré Implantação'!G78)),"")</f>
        <v/>
      </c>
      <c r="F78" s="34" t="str">
        <f>IFERROR(IF('Pré Implantação'!B78="CSE Gravadores",AVERAGE('Pré Implantação'!D78,'Pré Implantação'!L78,'Pré Implantação'!I78),AVERAGE('Pré Implantação'!I78)),"")</f>
        <v/>
      </c>
      <c r="G78" s="34" t="str">
        <f>IFERROR(IF('Pré Implantação'!B78="CSC",AVERAGE('Pré Implantação'!D78,'Pré Implantação'!L78,'Pré Implantação'!J78),AVERAGE('Pré Implantação'!J78)),"")</f>
        <v/>
      </c>
      <c r="H78" s="34" t="str">
        <f>IFERROR(IF('Pré Implantação'!B78="Operações \ Negócio",AVERAGE('Pré Implantação'!D78,'Pré Implantação'!L78,'Pré Implantação'!K78),AVERAGE('Pré Implantação'!K78)),"")</f>
        <v/>
      </c>
      <c r="I78" s="34" t="str">
        <f>IFERROR(IF('Pré Implantação'!B78="Projetos",AVERAGE('Pré Implantação'!D78,'Pré Implantação'!L78,'Pré Implantação'!M78),AVERAGE('Pré Implantação'!M78)),"")</f>
        <v/>
      </c>
      <c r="J78" s="34" t="str">
        <f>IFERROR(IF('Pré Implantação'!B78="Engenharia",AVERAGE('Pré Implantação'!D78,'Pré Implantação'!L78,'Pré Implantação'!N78),AVERAGE('Pré Implantação'!N78)),"")</f>
        <v/>
      </c>
      <c r="K78" s="34" t="str">
        <f>IFERROR(IF('Pré Implantação'!B78="URA",AVERAGE('Pré Implantação'!D78,'Pré Implantação'!L78),""),"")</f>
        <v/>
      </c>
      <c r="L78" s="34" t="str">
        <f>IFERROR(IF('Pré Implantação'!B78="CSE Microsoft",AVERAGE('Pré Implantação'!D78,'Pré Implantação'!L78),""),"")</f>
        <v/>
      </c>
      <c r="M78" s="34" t="str">
        <f>IFERROR(IF('Pré Implantação'!B78="CSE Telecom",AVERAGE('Pré Implantação'!D78,'Pré Implantação'!L78),""),"")</f>
        <v/>
      </c>
      <c r="N78" s="34" t="str">
        <f>IFERROR(IF('Pré Implantação'!B78="Site Suporte de Campo",AVERAGE('Pré Implantação'!D78,'Pré Implantação'!L78),""),"")</f>
        <v/>
      </c>
      <c r="O78" s="49" t="str">
        <f>IFERROR(IF('Pré Implantação'!B78="Infraestrutura",AVERAGE('Pré Implantação'!D78,'Pré Implantação'!L78),""),"")</f>
        <v/>
      </c>
    </row>
    <row r="79" spans="1:15" x14ac:dyDescent="0.3">
      <c r="A79" s="33">
        <f>'Pré Implantação'!A79</f>
        <v>0</v>
      </c>
      <c r="B79" s="36">
        <f>'Pré Implantação'!C79</f>
        <v>0</v>
      </c>
      <c r="C79" s="34" t="str">
        <f>IFERROR(IF('Pré Implantação'!B79="Produção TI",AVERAGE('Pré Implantação'!D79,'Pré Implantação'!L79,'Pré Implantação'!E79,'Pré Implantação'!H79),AVERAGE('Pré Implantação'!E79,'Pré Implantação'!H79)),"")</f>
        <v/>
      </c>
      <c r="D79" s="34" t="str">
        <f>IFERROR(IF('Pré Implantação'!B79="CSC Service Desk",AVERAGE('Pré Implantação'!D79,'Pré Implantação'!L79,'Pré Implantação'!F79),AVERAGE('Pré Implantação'!F79)),"")</f>
        <v/>
      </c>
      <c r="E79" s="34" t="str">
        <f>IFERROR(IF('Pré Implantação'!B79="CSC NOC",AVERAGE('Pré Implantação'!D79,'Pré Implantação'!L79,'Pré Implantação'!G79),AVERAGE('Pré Implantação'!G79)),"")</f>
        <v/>
      </c>
      <c r="F79" s="34" t="str">
        <f>IFERROR(IF('Pré Implantação'!B79="CSE Gravadores",AVERAGE('Pré Implantação'!D79,'Pré Implantação'!L79,'Pré Implantação'!I79),AVERAGE('Pré Implantação'!I79)),"")</f>
        <v/>
      </c>
      <c r="G79" s="34" t="str">
        <f>IFERROR(IF('Pré Implantação'!B79="CSC",AVERAGE('Pré Implantação'!D79,'Pré Implantação'!L79,'Pré Implantação'!J79),AVERAGE('Pré Implantação'!J79)),"")</f>
        <v/>
      </c>
      <c r="H79" s="34" t="str">
        <f>IFERROR(IF('Pré Implantação'!B79="Operações \ Negócio",AVERAGE('Pré Implantação'!D79,'Pré Implantação'!L79,'Pré Implantação'!K79),AVERAGE('Pré Implantação'!K79)),"")</f>
        <v/>
      </c>
      <c r="I79" s="34" t="str">
        <f>IFERROR(IF('Pré Implantação'!B79="Projetos",AVERAGE('Pré Implantação'!D79,'Pré Implantação'!L79,'Pré Implantação'!M79),AVERAGE('Pré Implantação'!M79)),"")</f>
        <v/>
      </c>
      <c r="J79" s="34" t="str">
        <f>IFERROR(IF('Pré Implantação'!B79="Engenharia",AVERAGE('Pré Implantação'!D79,'Pré Implantação'!L79,'Pré Implantação'!N79),AVERAGE('Pré Implantação'!N79)),"")</f>
        <v/>
      </c>
      <c r="K79" s="34" t="str">
        <f>IFERROR(IF('Pré Implantação'!B79="URA",AVERAGE('Pré Implantação'!D79,'Pré Implantação'!L79),""),"")</f>
        <v/>
      </c>
      <c r="L79" s="34" t="str">
        <f>IFERROR(IF('Pré Implantação'!B79="CSE Microsoft",AVERAGE('Pré Implantação'!D79,'Pré Implantação'!L79),""),"")</f>
        <v/>
      </c>
      <c r="M79" s="34" t="str">
        <f>IFERROR(IF('Pré Implantação'!B79="CSE Telecom",AVERAGE('Pré Implantação'!D79,'Pré Implantação'!L79),""),"")</f>
        <v/>
      </c>
      <c r="N79" s="34" t="str">
        <f>IFERROR(IF('Pré Implantação'!B79="Site Suporte de Campo",AVERAGE('Pré Implantação'!D79,'Pré Implantação'!L79),""),"")</f>
        <v/>
      </c>
      <c r="O79" s="49" t="str">
        <f>IFERROR(IF('Pré Implantação'!B79="Infraestrutura",AVERAGE('Pré Implantação'!D79,'Pré Implantação'!L79),""),"")</f>
        <v/>
      </c>
    </row>
    <row r="80" spans="1:15" x14ac:dyDescent="0.3">
      <c r="A80" s="33">
        <f>'Pré Implantação'!A80</f>
        <v>0</v>
      </c>
      <c r="B80" s="36">
        <f>'Pré Implantação'!C80</f>
        <v>0</v>
      </c>
      <c r="C80" s="34" t="str">
        <f>IFERROR(IF('Pré Implantação'!B80="Produção TI",AVERAGE('Pré Implantação'!D80,'Pré Implantação'!L80,'Pré Implantação'!E80,'Pré Implantação'!H80),AVERAGE('Pré Implantação'!E80,'Pré Implantação'!H80)),"")</f>
        <v/>
      </c>
      <c r="D80" s="34" t="str">
        <f>IFERROR(IF('Pré Implantação'!B80="CSC Service Desk",AVERAGE('Pré Implantação'!D80,'Pré Implantação'!L80,'Pré Implantação'!F80),AVERAGE('Pré Implantação'!F80)),"")</f>
        <v/>
      </c>
      <c r="E80" s="34" t="str">
        <f>IFERROR(IF('Pré Implantação'!B80="CSC NOC",AVERAGE('Pré Implantação'!D80,'Pré Implantação'!L80,'Pré Implantação'!G80),AVERAGE('Pré Implantação'!G80)),"")</f>
        <v/>
      </c>
      <c r="F80" s="34" t="str">
        <f>IFERROR(IF('Pré Implantação'!B80="CSE Gravadores",AVERAGE('Pré Implantação'!D80,'Pré Implantação'!L80,'Pré Implantação'!I80),AVERAGE('Pré Implantação'!I80)),"")</f>
        <v/>
      </c>
      <c r="G80" s="34" t="str">
        <f>IFERROR(IF('Pré Implantação'!B80="CSC",AVERAGE('Pré Implantação'!D80,'Pré Implantação'!L80,'Pré Implantação'!J80),AVERAGE('Pré Implantação'!J80)),"")</f>
        <v/>
      </c>
      <c r="H80" s="34" t="str">
        <f>IFERROR(IF('Pré Implantação'!B80="Operações \ Negócio",AVERAGE('Pré Implantação'!D80,'Pré Implantação'!L80,'Pré Implantação'!K80),AVERAGE('Pré Implantação'!K80)),"")</f>
        <v/>
      </c>
      <c r="I80" s="34" t="str">
        <f>IFERROR(IF('Pré Implantação'!B80="Projetos",AVERAGE('Pré Implantação'!D80,'Pré Implantação'!L80,'Pré Implantação'!M80),AVERAGE('Pré Implantação'!M80)),"")</f>
        <v/>
      </c>
      <c r="J80" s="34" t="str">
        <f>IFERROR(IF('Pré Implantação'!B80="Engenharia",AVERAGE('Pré Implantação'!D80,'Pré Implantação'!L80,'Pré Implantação'!N80),AVERAGE('Pré Implantação'!N80)),"")</f>
        <v/>
      </c>
      <c r="K80" s="34" t="str">
        <f>IFERROR(IF('Pré Implantação'!B80="URA",AVERAGE('Pré Implantação'!D80,'Pré Implantação'!L80),""),"")</f>
        <v/>
      </c>
      <c r="L80" s="34" t="str">
        <f>IFERROR(IF('Pré Implantação'!B80="CSE Microsoft",AVERAGE('Pré Implantação'!D80,'Pré Implantação'!L80),""),"")</f>
        <v/>
      </c>
      <c r="M80" s="34" t="str">
        <f>IFERROR(IF('Pré Implantação'!B80="CSE Telecom",AVERAGE('Pré Implantação'!D80,'Pré Implantação'!L80),""),"")</f>
        <v/>
      </c>
      <c r="N80" s="34" t="str">
        <f>IFERROR(IF('Pré Implantação'!B80="Site Suporte de Campo",AVERAGE('Pré Implantação'!D80,'Pré Implantação'!L80),""),"")</f>
        <v/>
      </c>
      <c r="O80" s="49" t="str">
        <f>IFERROR(IF('Pré Implantação'!B80="Infraestrutura",AVERAGE('Pré Implantação'!D80,'Pré Implantação'!L80),""),"")</f>
        <v/>
      </c>
    </row>
    <row r="81" spans="1:15" x14ac:dyDescent="0.3">
      <c r="A81" s="33">
        <f>'Pré Implantação'!A81</f>
        <v>0</v>
      </c>
      <c r="B81" s="36">
        <f>'Pré Implantação'!C81</f>
        <v>0</v>
      </c>
      <c r="C81" s="34" t="str">
        <f>IFERROR(IF('Pré Implantação'!B81="Produção TI",AVERAGE('Pré Implantação'!D81,'Pré Implantação'!L81,'Pré Implantação'!E81,'Pré Implantação'!H81),AVERAGE('Pré Implantação'!E81,'Pré Implantação'!H81)),"")</f>
        <v/>
      </c>
      <c r="D81" s="34" t="str">
        <f>IFERROR(IF('Pré Implantação'!B81="CSC Service Desk",AVERAGE('Pré Implantação'!D81,'Pré Implantação'!L81,'Pré Implantação'!F81),AVERAGE('Pré Implantação'!F81)),"")</f>
        <v/>
      </c>
      <c r="E81" s="34" t="str">
        <f>IFERROR(IF('Pré Implantação'!B81="CSC NOC",AVERAGE('Pré Implantação'!D81,'Pré Implantação'!L81,'Pré Implantação'!G81),AVERAGE('Pré Implantação'!G81)),"")</f>
        <v/>
      </c>
      <c r="F81" s="34" t="str">
        <f>IFERROR(IF('Pré Implantação'!B81="CSE Gravadores",AVERAGE('Pré Implantação'!D81,'Pré Implantação'!L81,'Pré Implantação'!I81),AVERAGE('Pré Implantação'!I81)),"")</f>
        <v/>
      </c>
      <c r="G81" s="34" t="str">
        <f>IFERROR(IF('Pré Implantação'!B81="CSC",AVERAGE('Pré Implantação'!D81,'Pré Implantação'!L81,'Pré Implantação'!J81),AVERAGE('Pré Implantação'!J81)),"")</f>
        <v/>
      </c>
      <c r="H81" s="34" t="str">
        <f>IFERROR(IF('Pré Implantação'!B81="Operações \ Negócio",AVERAGE('Pré Implantação'!D81,'Pré Implantação'!L81,'Pré Implantação'!K81),AVERAGE('Pré Implantação'!K81)),"")</f>
        <v/>
      </c>
      <c r="I81" s="34" t="str">
        <f>IFERROR(IF('Pré Implantação'!B81="Projetos",AVERAGE('Pré Implantação'!D81,'Pré Implantação'!L81,'Pré Implantação'!M81),AVERAGE('Pré Implantação'!M81)),"")</f>
        <v/>
      </c>
      <c r="J81" s="34" t="str">
        <f>IFERROR(IF('Pré Implantação'!B81="Engenharia",AVERAGE('Pré Implantação'!D81,'Pré Implantação'!L81,'Pré Implantação'!N81),AVERAGE('Pré Implantação'!N81)),"")</f>
        <v/>
      </c>
      <c r="K81" s="34" t="str">
        <f>IFERROR(IF('Pré Implantação'!B81="URA",AVERAGE('Pré Implantação'!D81,'Pré Implantação'!L81),""),"")</f>
        <v/>
      </c>
      <c r="L81" s="34" t="str">
        <f>IFERROR(IF('Pré Implantação'!B81="CSE Microsoft",AVERAGE('Pré Implantação'!D81,'Pré Implantação'!L81),""),"")</f>
        <v/>
      </c>
      <c r="M81" s="34" t="str">
        <f>IFERROR(IF('Pré Implantação'!B81="CSE Telecom",AVERAGE('Pré Implantação'!D81,'Pré Implantação'!L81),""),"")</f>
        <v/>
      </c>
      <c r="N81" s="34" t="str">
        <f>IFERROR(IF('Pré Implantação'!B81="Site Suporte de Campo",AVERAGE('Pré Implantação'!D81,'Pré Implantação'!L81),""),"")</f>
        <v/>
      </c>
      <c r="O81" s="49" t="str">
        <f>IFERROR(IF('Pré Implantação'!B81="Infraestrutura",AVERAGE('Pré Implantação'!D81,'Pré Implantação'!L81),""),"")</f>
        <v/>
      </c>
    </row>
    <row r="82" spans="1:15" x14ac:dyDescent="0.3">
      <c r="A82" s="33">
        <f>'Pré Implantação'!A82</f>
        <v>0</v>
      </c>
      <c r="B82" s="36">
        <f>'Pré Implantação'!C82</f>
        <v>0</v>
      </c>
      <c r="C82" s="34" t="str">
        <f>IFERROR(IF('Pré Implantação'!B82="Produção TI",AVERAGE('Pré Implantação'!D82,'Pré Implantação'!L82,'Pré Implantação'!E82,'Pré Implantação'!H82),AVERAGE('Pré Implantação'!E82,'Pré Implantação'!H82)),"")</f>
        <v/>
      </c>
      <c r="D82" s="34" t="str">
        <f>IFERROR(IF('Pré Implantação'!B82="CSC Service Desk",AVERAGE('Pré Implantação'!D82,'Pré Implantação'!L82,'Pré Implantação'!F82),AVERAGE('Pré Implantação'!F82)),"")</f>
        <v/>
      </c>
      <c r="E82" s="34" t="str">
        <f>IFERROR(IF('Pré Implantação'!B82="CSC NOC",AVERAGE('Pré Implantação'!D82,'Pré Implantação'!L82,'Pré Implantação'!G82),AVERAGE('Pré Implantação'!G82)),"")</f>
        <v/>
      </c>
      <c r="F82" s="34" t="str">
        <f>IFERROR(IF('Pré Implantação'!B82="CSE Gravadores",AVERAGE('Pré Implantação'!D82,'Pré Implantação'!L82,'Pré Implantação'!I82),AVERAGE('Pré Implantação'!I82)),"")</f>
        <v/>
      </c>
      <c r="G82" s="34" t="str">
        <f>IFERROR(IF('Pré Implantação'!B82="CSC",AVERAGE('Pré Implantação'!D82,'Pré Implantação'!L82,'Pré Implantação'!J82),AVERAGE('Pré Implantação'!J82)),"")</f>
        <v/>
      </c>
      <c r="H82" s="34" t="str">
        <f>IFERROR(IF('Pré Implantação'!B82="Operações \ Negócio",AVERAGE('Pré Implantação'!D82,'Pré Implantação'!L82,'Pré Implantação'!K82),AVERAGE('Pré Implantação'!K82)),"")</f>
        <v/>
      </c>
      <c r="I82" s="34" t="str">
        <f>IFERROR(IF('Pré Implantação'!B82="Projetos",AVERAGE('Pré Implantação'!D82,'Pré Implantação'!L82,'Pré Implantação'!M82),AVERAGE('Pré Implantação'!M82)),"")</f>
        <v/>
      </c>
      <c r="J82" s="34" t="str">
        <f>IFERROR(IF('Pré Implantação'!B82="Engenharia",AVERAGE('Pré Implantação'!D82,'Pré Implantação'!L82,'Pré Implantação'!N82),AVERAGE('Pré Implantação'!N82)),"")</f>
        <v/>
      </c>
      <c r="K82" s="34" t="str">
        <f>IFERROR(IF('Pré Implantação'!B82="URA",AVERAGE('Pré Implantação'!D82,'Pré Implantação'!L82),""),"")</f>
        <v/>
      </c>
      <c r="L82" s="34" t="str">
        <f>IFERROR(IF('Pré Implantação'!B82="CSE Microsoft",AVERAGE('Pré Implantação'!D82,'Pré Implantação'!L82),""),"")</f>
        <v/>
      </c>
      <c r="M82" s="34" t="str">
        <f>IFERROR(IF('Pré Implantação'!B82="CSE Telecom",AVERAGE('Pré Implantação'!D82,'Pré Implantação'!L82),""),"")</f>
        <v/>
      </c>
      <c r="N82" s="34" t="str">
        <f>IFERROR(IF('Pré Implantação'!B82="Site Suporte de Campo",AVERAGE('Pré Implantação'!D82,'Pré Implantação'!L82),""),"")</f>
        <v/>
      </c>
      <c r="O82" s="49" t="str">
        <f>IFERROR(IF('Pré Implantação'!B82="Infraestrutura",AVERAGE('Pré Implantação'!D82,'Pré Implantação'!L82),""),"")</f>
        <v/>
      </c>
    </row>
    <row r="83" spans="1:15" x14ac:dyDescent="0.3">
      <c r="A83" s="33">
        <f>'Pré Implantação'!A83</f>
        <v>0</v>
      </c>
      <c r="B83" s="36">
        <f>'Pré Implantação'!C83</f>
        <v>0</v>
      </c>
      <c r="C83" s="34" t="str">
        <f>IFERROR(IF('Pré Implantação'!B83="Produção TI",AVERAGE('Pré Implantação'!D83,'Pré Implantação'!L83,'Pré Implantação'!E83,'Pré Implantação'!H83),AVERAGE('Pré Implantação'!E83,'Pré Implantação'!H83)),"")</f>
        <v/>
      </c>
      <c r="D83" s="34" t="str">
        <f>IFERROR(IF('Pré Implantação'!B83="CSC Service Desk",AVERAGE('Pré Implantação'!D83,'Pré Implantação'!L83,'Pré Implantação'!F83),AVERAGE('Pré Implantação'!F83)),"")</f>
        <v/>
      </c>
      <c r="E83" s="34" t="str">
        <f>IFERROR(IF('Pré Implantação'!B83="CSC NOC",AVERAGE('Pré Implantação'!D83,'Pré Implantação'!L83,'Pré Implantação'!G83),AVERAGE('Pré Implantação'!G83)),"")</f>
        <v/>
      </c>
      <c r="F83" s="34" t="str">
        <f>IFERROR(IF('Pré Implantação'!B83="CSE Gravadores",AVERAGE('Pré Implantação'!D83,'Pré Implantação'!L83,'Pré Implantação'!I83),AVERAGE('Pré Implantação'!I83)),"")</f>
        <v/>
      </c>
      <c r="G83" s="34" t="str">
        <f>IFERROR(IF('Pré Implantação'!B83="CSC",AVERAGE('Pré Implantação'!D83,'Pré Implantação'!L83,'Pré Implantação'!J83),AVERAGE('Pré Implantação'!J83)),"")</f>
        <v/>
      </c>
      <c r="H83" s="34" t="str">
        <f>IFERROR(IF('Pré Implantação'!B83="Operações \ Negócio",AVERAGE('Pré Implantação'!D83,'Pré Implantação'!L83,'Pré Implantação'!K83),AVERAGE('Pré Implantação'!K83)),"")</f>
        <v/>
      </c>
      <c r="I83" s="34" t="str">
        <f>IFERROR(IF('Pré Implantação'!B83="Projetos",AVERAGE('Pré Implantação'!D83,'Pré Implantação'!L83,'Pré Implantação'!M83),AVERAGE('Pré Implantação'!M83)),"")</f>
        <v/>
      </c>
      <c r="J83" s="34" t="str">
        <f>IFERROR(IF('Pré Implantação'!B83="Engenharia",AVERAGE('Pré Implantação'!D83,'Pré Implantação'!L83,'Pré Implantação'!N83),AVERAGE('Pré Implantação'!N83)),"")</f>
        <v/>
      </c>
      <c r="K83" s="34" t="str">
        <f>IFERROR(IF('Pré Implantação'!B83="URA",AVERAGE('Pré Implantação'!D83,'Pré Implantação'!L83),""),"")</f>
        <v/>
      </c>
      <c r="L83" s="34" t="str">
        <f>IFERROR(IF('Pré Implantação'!B83="CSE Microsoft",AVERAGE('Pré Implantação'!D83,'Pré Implantação'!L83),""),"")</f>
        <v/>
      </c>
      <c r="M83" s="34" t="str">
        <f>IFERROR(IF('Pré Implantação'!B83="CSE Telecom",AVERAGE('Pré Implantação'!D83,'Pré Implantação'!L83),""),"")</f>
        <v/>
      </c>
      <c r="N83" s="34" t="str">
        <f>IFERROR(IF('Pré Implantação'!B83="Site Suporte de Campo",AVERAGE('Pré Implantação'!D83,'Pré Implantação'!L83),""),"")</f>
        <v/>
      </c>
      <c r="O83" s="49" t="str">
        <f>IFERROR(IF('Pré Implantação'!B83="Infraestrutura",AVERAGE('Pré Implantação'!D83,'Pré Implantação'!L83),""),"")</f>
        <v/>
      </c>
    </row>
    <row r="84" spans="1:15" x14ac:dyDescent="0.3">
      <c r="A84" s="33">
        <f>'Pré Implantação'!A84</f>
        <v>0</v>
      </c>
      <c r="B84" s="36">
        <f>'Pré Implantação'!C84</f>
        <v>0</v>
      </c>
      <c r="C84" s="34" t="str">
        <f>IFERROR(IF('Pré Implantação'!B84="Produção TI",AVERAGE('Pré Implantação'!D84,'Pré Implantação'!L84,'Pré Implantação'!E84,'Pré Implantação'!H84),AVERAGE('Pré Implantação'!E84,'Pré Implantação'!H84)),"")</f>
        <v/>
      </c>
      <c r="D84" s="34" t="str">
        <f>IFERROR(IF('Pré Implantação'!B84="CSC Service Desk",AVERAGE('Pré Implantação'!D84,'Pré Implantação'!L84,'Pré Implantação'!F84),AVERAGE('Pré Implantação'!F84)),"")</f>
        <v/>
      </c>
      <c r="E84" s="34" t="str">
        <f>IFERROR(IF('Pré Implantação'!B84="CSC NOC",AVERAGE('Pré Implantação'!D84,'Pré Implantação'!L84,'Pré Implantação'!G84),AVERAGE('Pré Implantação'!G84)),"")</f>
        <v/>
      </c>
      <c r="F84" s="34" t="str">
        <f>IFERROR(IF('Pré Implantação'!B84="CSE Gravadores",AVERAGE('Pré Implantação'!D84,'Pré Implantação'!L84,'Pré Implantação'!I84),AVERAGE('Pré Implantação'!I84)),"")</f>
        <v/>
      </c>
      <c r="G84" s="34" t="str">
        <f>IFERROR(IF('Pré Implantação'!B84="CSC",AVERAGE('Pré Implantação'!D84,'Pré Implantação'!L84,'Pré Implantação'!J84),AVERAGE('Pré Implantação'!J84)),"")</f>
        <v/>
      </c>
      <c r="H84" s="34" t="str">
        <f>IFERROR(IF('Pré Implantação'!B84="Operações \ Negócio",AVERAGE('Pré Implantação'!D84,'Pré Implantação'!L84,'Pré Implantação'!K84),AVERAGE('Pré Implantação'!K84)),"")</f>
        <v/>
      </c>
      <c r="I84" s="34" t="str">
        <f>IFERROR(IF('Pré Implantação'!B84="Projetos",AVERAGE('Pré Implantação'!D84,'Pré Implantação'!L84,'Pré Implantação'!M84),AVERAGE('Pré Implantação'!M84)),"")</f>
        <v/>
      </c>
      <c r="J84" s="34" t="str">
        <f>IFERROR(IF('Pré Implantação'!B84="Engenharia",AVERAGE('Pré Implantação'!D84,'Pré Implantação'!L84,'Pré Implantação'!N84),AVERAGE('Pré Implantação'!N84)),"")</f>
        <v/>
      </c>
      <c r="K84" s="34" t="str">
        <f>IFERROR(IF('Pré Implantação'!B84="URA",AVERAGE('Pré Implantação'!D84,'Pré Implantação'!L84),""),"")</f>
        <v/>
      </c>
      <c r="L84" s="34" t="str">
        <f>IFERROR(IF('Pré Implantação'!B84="CSE Microsoft",AVERAGE('Pré Implantação'!D84,'Pré Implantação'!L84),""),"")</f>
        <v/>
      </c>
      <c r="M84" s="34" t="str">
        <f>IFERROR(IF('Pré Implantação'!B84="CSE Telecom",AVERAGE('Pré Implantação'!D84,'Pré Implantação'!L84),""),"")</f>
        <v/>
      </c>
      <c r="N84" s="34" t="str">
        <f>IFERROR(IF('Pré Implantação'!B84="Site Suporte de Campo",AVERAGE('Pré Implantação'!D84,'Pré Implantação'!L84),""),"")</f>
        <v/>
      </c>
      <c r="O84" s="49" t="str">
        <f>IFERROR(IF('Pré Implantação'!B84="Infraestrutura",AVERAGE('Pré Implantação'!D84,'Pré Implantação'!L84),""),"")</f>
        <v/>
      </c>
    </row>
    <row r="85" spans="1:15" x14ac:dyDescent="0.3">
      <c r="A85" s="33">
        <f>'Pré Implantação'!A85</f>
        <v>0</v>
      </c>
      <c r="B85" s="36">
        <f>'Pré Implantação'!C85</f>
        <v>0</v>
      </c>
      <c r="C85" s="34" t="str">
        <f>IFERROR(IF('Pré Implantação'!B85="Produção TI",AVERAGE('Pré Implantação'!D85,'Pré Implantação'!L85,'Pré Implantação'!E85,'Pré Implantação'!H85),AVERAGE('Pré Implantação'!E85,'Pré Implantação'!H85)),"")</f>
        <v/>
      </c>
      <c r="D85" s="34" t="str">
        <f>IFERROR(IF('Pré Implantação'!B85="CSC Service Desk",AVERAGE('Pré Implantação'!D85,'Pré Implantação'!L85,'Pré Implantação'!F85),AVERAGE('Pré Implantação'!F85)),"")</f>
        <v/>
      </c>
      <c r="E85" s="34" t="str">
        <f>IFERROR(IF('Pré Implantação'!B85="CSC NOC",AVERAGE('Pré Implantação'!D85,'Pré Implantação'!L85,'Pré Implantação'!G85),AVERAGE('Pré Implantação'!G85)),"")</f>
        <v/>
      </c>
      <c r="F85" s="34" t="str">
        <f>IFERROR(IF('Pré Implantação'!B85="CSE Gravadores",AVERAGE('Pré Implantação'!D85,'Pré Implantação'!L85,'Pré Implantação'!I85),AVERAGE('Pré Implantação'!I85)),"")</f>
        <v/>
      </c>
      <c r="G85" s="34" t="str">
        <f>IFERROR(IF('Pré Implantação'!B85="CSC",AVERAGE('Pré Implantação'!D85,'Pré Implantação'!L85,'Pré Implantação'!J85),AVERAGE('Pré Implantação'!J85)),"")</f>
        <v/>
      </c>
      <c r="H85" s="34" t="str">
        <f>IFERROR(IF('Pré Implantação'!B85="Operações \ Negócio",AVERAGE('Pré Implantação'!D85,'Pré Implantação'!L85,'Pré Implantação'!K85),AVERAGE('Pré Implantação'!K85)),"")</f>
        <v/>
      </c>
      <c r="I85" s="34" t="str">
        <f>IFERROR(IF('Pré Implantação'!B85="Projetos",AVERAGE('Pré Implantação'!D85,'Pré Implantação'!L85,'Pré Implantação'!M85),AVERAGE('Pré Implantação'!M85)),"")</f>
        <v/>
      </c>
      <c r="J85" s="34" t="str">
        <f>IFERROR(IF('Pré Implantação'!B85="Engenharia",AVERAGE('Pré Implantação'!D85,'Pré Implantação'!L85,'Pré Implantação'!N85),AVERAGE('Pré Implantação'!N85)),"")</f>
        <v/>
      </c>
      <c r="K85" s="34" t="str">
        <f>IFERROR(IF('Pré Implantação'!B85="URA",AVERAGE('Pré Implantação'!D85,'Pré Implantação'!L85),""),"")</f>
        <v/>
      </c>
      <c r="L85" s="34" t="str">
        <f>IFERROR(IF('Pré Implantação'!B85="CSE Microsoft",AVERAGE('Pré Implantação'!D85,'Pré Implantação'!L85),""),"")</f>
        <v/>
      </c>
      <c r="M85" s="34" t="str">
        <f>IFERROR(IF('Pré Implantação'!B85="CSE Telecom",AVERAGE('Pré Implantação'!D85,'Pré Implantação'!L85),""),"")</f>
        <v/>
      </c>
      <c r="N85" s="34" t="str">
        <f>IFERROR(IF('Pré Implantação'!B85="Site Suporte de Campo",AVERAGE('Pré Implantação'!D85,'Pré Implantação'!L85),""),"")</f>
        <v/>
      </c>
      <c r="O85" s="49" t="str">
        <f>IFERROR(IF('Pré Implantação'!B85="Infraestrutura",AVERAGE('Pré Implantação'!D85,'Pré Implantação'!L85),""),"")</f>
        <v/>
      </c>
    </row>
    <row r="86" spans="1:15" x14ac:dyDescent="0.3">
      <c r="A86" s="33">
        <f>'Pré Implantação'!A86</f>
        <v>0</v>
      </c>
      <c r="B86" s="36">
        <f>'Pré Implantação'!C86</f>
        <v>0</v>
      </c>
      <c r="C86" s="34" t="str">
        <f>IFERROR(IF('Pré Implantação'!B86="Produção TI",AVERAGE('Pré Implantação'!D86,'Pré Implantação'!L86,'Pré Implantação'!E86,'Pré Implantação'!H86),AVERAGE('Pré Implantação'!E86,'Pré Implantação'!H86)),"")</f>
        <v/>
      </c>
      <c r="D86" s="34" t="str">
        <f>IFERROR(IF('Pré Implantação'!B86="CSC Service Desk",AVERAGE('Pré Implantação'!D86,'Pré Implantação'!L86,'Pré Implantação'!F86),AVERAGE('Pré Implantação'!F86)),"")</f>
        <v/>
      </c>
      <c r="E86" s="34" t="str">
        <f>IFERROR(IF('Pré Implantação'!B86="CSC NOC",AVERAGE('Pré Implantação'!D86,'Pré Implantação'!L86,'Pré Implantação'!G86),AVERAGE('Pré Implantação'!G86)),"")</f>
        <v/>
      </c>
      <c r="F86" s="34" t="str">
        <f>IFERROR(IF('Pré Implantação'!B86="CSE Gravadores",AVERAGE('Pré Implantação'!D86,'Pré Implantação'!L86,'Pré Implantação'!I86),AVERAGE('Pré Implantação'!I86)),"")</f>
        <v/>
      </c>
      <c r="G86" s="34" t="str">
        <f>IFERROR(IF('Pré Implantação'!B86="CSC",AVERAGE('Pré Implantação'!D86,'Pré Implantação'!L86,'Pré Implantação'!J86),AVERAGE('Pré Implantação'!J86)),"")</f>
        <v/>
      </c>
      <c r="H86" s="34" t="str">
        <f>IFERROR(IF('Pré Implantação'!B86="Operações \ Negócio",AVERAGE('Pré Implantação'!D86,'Pré Implantação'!L86,'Pré Implantação'!K86),AVERAGE('Pré Implantação'!K86)),"")</f>
        <v/>
      </c>
      <c r="I86" s="34" t="str">
        <f>IFERROR(IF('Pré Implantação'!B86="Projetos",AVERAGE('Pré Implantação'!D86,'Pré Implantação'!L86,'Pré Implantação'!M86),AVERAGE('Pré Implantação'!M86)),"")</f>
        <v/>
      </c>
      <c r="J86" s="34" t="str">
        <f>IFERROR(IF('Pré Implantação'!B86="Engenharia",AVERAGE('Pré Implantação'!D86,'Pré Implantação'!L86,'Pré Implantação'!N86),AVERAGE('Pré Implantação'!N86)),"")</f>
        <v/>
      </c>
      <c r="K86" s="34" t="str">
        <f>IFERROR(IF('Pré Implantação'!B86="URA",AVERAGE('Pré Implantação'!D86,'Pré Implantação'!L86),""),"")</f>
        <v/>
      </c>
      <c r="L86" s="34" t="str">
        <f>IFERROR(IF('Pré Implantação'!B86="CSE Microsoft",AVERAGE('Pré Implantação'!D86,'Pré Implantação'!L86),""),"")</f>
        <v/>
      </c>
      <c r="M86" s="34" t="str">
        <f>IFERROR(IF('Pré Implantação'!B86="CSE Telecom",AVERAGE('Pré Implantação'!D86,'Pré Implantação'!L86),""),"")</f>
        <v/>
      </c>
      <c r="N86" s="34" t="str">
        <f>IFERROR(IF('Pré Implantação'!B86="Site Suporte de Campo",AVERAGE('Pré Implantação'!D86,'Pré Implantação'!L86),""),"")</f>
        <v/>
      </c>
      <c r="O86" s="49" t="str">
        <f>IFERROR(IF('Pré Implantação'!B86="Infraestrutura",AVERAGE('Pré Implantação'!D86,'Pré Implantação'!L86),""),"")</f>
        <v/>
      </c>
    </row>
    <row r="87" spans="1:15" x14ac:dyDescent="0.3">
      <c r="A87" s="33">
        <f>'Pré Implantação'!A87</f>
        <v>0</v>
      </c>
      <c r="B87" s="36">
        <f>'Pré Implantação'!C87</f>
        <v>0</v>
      </c>
      <c r="C87" s="34" t="str">
        <f>IFERROR(IF('Pré Implantação'!B87="Produção TI",AVERAGE('Pré Implantação'!D87,'Pré Implantação'!L87,'Pré Implantação'!E87,'Pré Implantação'!H87),AVERAGE('Pré Implantação'!E87,'Pré Implantação'!H87)),"")</f>
        <v/>
      </c>
      <c r="D87" s="34" t="str">
        <f>IFERROR(IF('Pré Implantação'!B87="CSC Service Desk",AVERAGE('Pré Implantação'!D87,'Pré Implantação'!L87,'Pré Implantação'!F87),AVERAGE('Pré Implantação'!F87)),"")</f>
        <v/>
      </c>
      <c r="E87" s="34" t="str">
        <f>IFERROR(IF('Pré Implantação'!B87="CSC NOC",AVERAGE('Pré Implantação'!D87,'Pré Implantação'!L87,'Pré Implantação'!G87),AVERAGE('Pré Implantação'!G87)),"")</f>
        <v/>
      </c>
      <c r="F87" s="34" t="str">
        <f>IFERROR(IF('Pré Implantação'!B87="CSE Gravadores",AVERAGE('Pré Implantação'!D87,'Pré Implantação'!L87,'Pré Implantação'!I87),AVERAGE('Pré Implantação'!I87)),"")</f>
        <v/>
      </c>
      <c r="G87" s="34" t="str">
        <f>IFERROR(IF('Pré Implantação'!B87="CSC",AVERAGE('Pré Implantação'!D87,'Pré Implantação'!L87,'Pré Implantação'!J87),AVERAGE('Pré Implantação'!J87)),"")</f>
        <v/>
      </c>
      <c r="H87" s="34" t="str">
        <f>IFERROR(IF('Pré Implantação'!B87="Operações \ Negócio",AVERAGE('Pré Implantação'!D87,'Pré Implantação'!L87,'Pré Implantação'!K87),AVERAGE('Pré Implantação'!K87)),"")</f>
        <v/>
      </c>
      <c r="I87" s="34" t="str">
        <f>IFERROR(IF('Pré Implantação'!B87="Projetos",AVERAGE('Pré Implantação'!D87,'Pré Implantação'!L87,'Pré Implantação'!M87),AVERAGE('Pré Implantação'!M87)),"")</f>
        <v/>
      </c>
      <c r="J87" s="34" t="str">
        <f>IFERROR(IF('Pré Implantação'!B87="Engenharia",AVERAGE('Pré Implantação'!D87,'Pré Implantação'!L87,'Pré Implantação'!N87),AVERAGE('Pré Implantação'!N87)),"")</f>
        <v/>
      </c>
      <c r="K87" s="34" t="str">
        <f>IFERROR(IF('Pré Implantação'!B87="URA",AVERAGE('Pré Implantação'!D87,'Pré Implantação'!L87),""),"")</f>
        <v/>
      </c>
      <c r="L87" s="34" t="str">
        <f>IFERROR(IF('Pré Implantação'!B87="CSE Microsoft",AVERAGE('Pré Implantação'!D87,'Pré Implantação'!L87),""),"")</f>
        <v/>
      </c>
      <c r="M87" s="34" t="str">
        <f>IFERROR(IF('Pré Implantação'!B87="CSE Telecom",AVERAGE('Pré Implantação'!D87,'Pré Implantação'!L87),""),"")</f>
        <v/>
      </c>
      <c r="N87" s="34" t="str">
        <f>IFERROR(IF('Pré Implantação'!B87="Site Suporte de Campo",AVERAGE('Pré Implantação'!D87,'Pré Implantação'!L87),""),"")</f>
        <v/>
      </c>
      <c r="O87" s="49" t="str">
        <f>IFERROR(IF('Pré Implantação'!B87="Infraestrutura",AVERAGE('Pré Implantação'!D87,'Pré Implantação'!L87),""),"")</f>
        <v/>
      </c>
    </row>
    <row r="88" spans="1:15" x14ac:dyDescent="0.3">
      <c r="A88" s="33">
        <f>'Pré Implantação'!A88</f>
        <v>0</v>
      </c>
      <c r="B88" s="36">
        <f>'Pré Implantação'!C88</f>
        <v>0</v>
      </c>
      <c r="C88" s="34" t="str">
        <f>IFERROR(IF('Pré Implantação'!B88="Produção TI",AVERAGE('Pré Implantação'!D88,'Pré Implantação'!L88,'Pré Implantação'!E88,'Pré Implantação'!H88),AVERAGE('Pré Implantação'!E88,'Pré Implantação'!H88)),"")</f>
        <v/>
      </c>
      <c r="D88" s="34" t="str">
        <f>IFERROR(IF('Pré Implantação'!B88="CSC Service Desk",AVERAGE('Pré Implantação'!D88,'Pré Implantação'!L88,'Pré Implantação'!F88),AVERAGE('Pré Implantação'!F88)),"")</f>
        <v/>
      </c>
      <c r="E88" s="34" t="str">
        <f>IFERROR(IF('Pré Implantação'!B88="CSC NOC",AVERAGE('Pré Implantação'!D88,'Pré Implantação'!L88,'Pré Implantação'!G88),AVERAGE('Pré Implantação'!G88)),"")</f>
        <v/>
      </c>
      <c r="F88" s="34" t="str">
        <f>IFERROR(IF('Pré Implantação'!B88="CSE Gravadores",AVERAGE('Pré Implantação'!D88,'Pré Implantação'!L88,'Pré Implantação'!I88),AVERAGE('Pré Implantação'!I88)),"")</f>
        <v/>
      </c>
      <c r="G88" s="34" t="str">
        <f>IFERROR(IF('Pré Implantação'!B88="CSC",AVERAGE('Pré Implantação'!D88,'Pré Implantação'!L88,'Pré Implantação'!J88),AVERAGE('Pré Implantação'!J88)),"")</f>
        <v/>
      </c>
      <c r="H88" s="34" t="str">
        <f>IFERROR(IF('Pré Implantação'!B88="Operações \ Negócio",AVERAGE('Pré Implantação'!D88,'Pré Implantação'!L88,'Pré Implantação'!K88),AVERAGE('Pré Implantação'!K88)),"")</f>
        <v/>
      </c>
      <c r="I88" s="34" t="str">
        <f>IFERROR(IF('Pré Implantação'!B88="Projetos",AVERAGE('Pré Implantação'!D88,'Pré Implantação'!L88,'Pré Implantação'!M88),AVERAGE('Pré Implantação'!M88)),"")</f>
        <v/>
      </c>
      <c r="J88" s="34" t="str">
        <f>IFERROR(IF('Pré Implantação'!B88="Engenharia",AVERAGE('Pré Implantação'!D88,'Pré Implantação'!L88,'Pré Implantação'!N88),AVERAGE('Pré Implantação'!N88)),"")</f>
        <v/>
      </c>
      <c r="K88" s="34" t="str">
        <f>IFERROR(IF('Pré Implantação'!B88="URA",AVERAGE('Pré Implantação'!D88,'Pré Implantação'!L88),""),"")</f>
        <v/>
      </c>
      <c r="L88" s="34" t="str">
        <f>IFERROR(IF('Pré Implantação'!B88="CSE Microsoft",AVERAGE('Pré Implantação'!D88,'Pré Implantação'!L88),""),"")</f>
        <v/>
      </c>
      <c r="M88" s="34" t="str">
        <f>IFERROR(IF('Pré Implantação'!B88="CSE Telecom",AVERAGE('Pré Implantação'!D88,'Pré Implantação'!L88),""),"")</f>
        <v/>
      </c>
      <c r="N88" s="34" t="str">
        <f>IFERROR(IF('Pré Implantação'!B88="Site Suporte de Campo",AVERAGE('Pré Implantação'!D88,'Pré Implantação'!L88),""),"")</f>
        <v/>
      </c>
      <c r="O88" s="49" t="str">
        <f>IFERROR(IF('Pré Implantação'!B88="Infraestrutura",AVERAGE('Pré Implantação'!D88,'Pré Implantação'!L88),""),"")</f>
        <v/>
      </c>
    </row>
    <row r="89" spans="1:15" x14ac:dyDescent="0.3">
      <c r="A89" s="33">
        <f>'Pré Implantação'!A89</f>
        <v>0</v>
      </c>
      <c r="B89" s="36">
        <f>'Pré Implantação'!C89</f>
        <v>0</v>
      </c>
      <c r="C89" s="34" t="str">
        <f>IFERROR(IF('Pré Implantação'!B89="Produção TI",AVERAGE('Pré Implantação'!D89,'Pré Implantação'!L89,'Pré Implantação'!E89,'Pré Implantação'!H89),AVERAGE('Pré Implantação'!E89,'Pré Implantação'!H89)),"")</f>
        <v/>
      </c>
      <c r="D89" s="34" t="str">
        <f>IFERROR(IF('Pré Implantação'!B89="CSC Service Desk",AVERAGE('Pré Implantação'!D89,'Pré Implantação'!L89,'Pré Implantação'!F89),AVERAGE('Pré Implantação'!F89)),"")</f>
        <v/>
      </c>
      <c r="E89" s="34" t="str">
        <f>IFERROR(IF('Pré Implantação'!B89="CSC NOC",AVERAGE('Pré Implantação'!D89,'Pré Implantação'!L89,'Pré Implantação'!G89),AVERAGE('Pré Implantação'!G89)),"")</f>
        <v/>
      </c>
      <c r="F89" s="34" t="str">
        <f>IFERROR(IF('Pré Implantação'!B89="CSE Gravadores",AVERAGE('Pré Implantação'!D89,'Pré Implantação'!L89,'Pré Implantação'!I89),AVERAGE('Pré Implantação'!I89)),"")</f>
        <v/>
      </c>
      <c r="G89" s="34" t="str">
        <f>IFERROR(IF('Pré Implantação'!B89="CSC",AVERAGE('Pré Implantação'!D89,'Pré Implantação'!L89,'Pré Implantação'!J89),AVERAGE('Pré Implantação'!J89)),"")</f>
        <v/>
      </c>
      <c r="H89" s="34" t="str">
        <f>IFERROR(IF('Pré Implantação'!B89="Operações \ Negócio",AVERAGE('Pré Implantação'!D89,'Pré Implantação'!L89,'Pré Implantação'!K89),AVERAGE('Pré Implantação'!K89)),"")</f>
        <v/>
      </c>
      <c r="I89" s="34" t="str">
        <f>IFERROR(IF('Pré Implantação'!B89="Projetos",AVERAGE('Pré Implantação'!D89,'Pré Implantação'!L89,'Pré Implantação'!M89),AVERAGE('Pré Implantação'!M89)),"")</f>
        <v/>
      </c>
      <c r="J89" s="34" t="str">
        <f>IFERROR(IF('Pré Implantação'!B89="Engenharia",AVERAGE('Pré Implantação'!D89,'Pré Implantação'!L89,'Pré Implantação'!N89),AVERAGE('Pré Implantação'!N89)),"")</f>
        <v/>
      </c>
      <c r="K89" s="34" t="str">
        <f>IFERROR(IF('Pré Implantação'!B89="URA",AVERAGE('Pré Implantação'!D89,'Pré Implantação'!L89),""),"")</f>
        <v/>
      </c>
      <c r="L89" s="34" t="str">
        <f>IFERROR(IF('Pré Implantação'!B89="CSE Microsoft",AVERAGE('Pré Implantação'!D89,'Pré Implantação'!L89),""),"")</f>
        <v/>
      </c>
      <c r="M89" s="34" t="str">
        <f>IFERROR(IF('Pré Implantação'!B89="CSE Telecom",AVERAGE('Pré Implantação'!D89,'Pré Implantação'!L89),""),"")</f>
        <v/>
      </c>
      <c r="N89" s="34" t="str">
        <f>IFERROR(IF('Pré Implantação'!B89="Site Suporte de Campo",AVERAGE('Pré Implantação'!D89,'Pré Implantação'!L89),""),"")</f>
        <v/>
      </c>
      <c r="O89" s="49" t="str">
        <f>IFERROR(IF('Pré Implantação'!B89="Infraestrutura",AVERAGE('Pré Implantação'!D89,'Pré Implantação'!L89),""),"")</f>
        <v/>
      </c>
    </row>
    <row r="90" spans="1:15" x14ac:dyDescent="0.3">
      <c r="A90" s="33">
        <f>'Pré Implantação'!A90</f>
        <v>0</v>
      </c>
      <c r="B90" s="36">
        <f>'Pré Implantação'!C90</f>
        <v>0</v>
      </c>
      <c r="C90" s="34" t="str">
        <f>IFERROR(IF('Pré Implantação'!B90="Produção TI",AVERAGE('Pré Implantação'!D90,'Pré Implantação'!L90,'Pré Implantação'!E90,'Pré Implantação'!H90),AVERAGE('Pré Implantação'!E90,'Pré Implantação'!H90)),"")</f>
        <v/>
      </c>
      <c r="D90" s="34" t="str">
        <f>IFERROR(IF('Pré Implantação'!B90="CSC Service Desk",AVERAGE('Pré Implantação'!D90,'Pré Implantação'!L90,'Pré Implantação'!F90),AVERAGE('Pré Implantação'!F90)),"")</f>
        <v/>
      </c>
      <c r="E90" s="34" t="str">
        <f>IFERROR(IF('Pré Implantação'!B90="CSC NOC",AVERAGE('Pré Implantação'!D90,'Pré Implantação'!L90,'Pré Implantação'!G90),AVERAGE('Pré Implantação'!G90)),"")</f>
        <v/>
      </c>
      <c r="F90" s="34" t="str">
        <f>IFERROR(IF('Pré Implantação'!B90="CSE Gravadores",AVERAGE('Pré Implantação'!D90,'Pré Implantação'!L90,'Pré Implantação'!I90),AVERAGE('Pré Implantação'!I90)),"")</f>
        <v/>
      </c>
      <c r="G90" s="34" t="str">
        <f>IFERROR(IF('Pré Implantação'!B90="CSC",AVERAGE('Pré Implantação'!D90,'Pré Implantação'!L90,'Pré Implantação'!J90),AVERAGE('Pré Implantação'!J90)),"")</f>
        <v/>
      </c>
      <c r="H90" s="34" t="str">
        <f>IFERROR(IF('Pré Implantação'!B90="Operações \ Negócio",AVERAGE('Pré Implantação'!D90,'Pré Implantação'!L90,'Pré Implantação'!K90),AVERAGE('Pré Implantação'!K90)),"")</f>
        <v/>
      </c>
      <c r="I90" s="34" t="str">
        <f>IFERROR(IF('Pré Implantação'!B90="Projetos",AVERAGE('Pré Implantação'!D90,'Pré Implantação'!L90,'Pré Implantação'!M90),AVERAGE('Pré Implantação'!M90)),"")</f>
        <v/>
      </c>
      <c r="J90" s="34" t="str">
        <f>IFERROR(IF('Pré Implantação'!B90="Engenharia",AVERAGE('Pré Implantação'!D90,'Pré Implantação'!L90,'Pré Implantação'!N90),AVERAGE('Pré Implantação'!N90)),"")</f>
        <v/>
      </c>
      <c r="K90" s="34" t="str">
        <f>IFERROR(IF('Pré Implantação'!B90="URA",AVERAGE('Pré Implantação'!D90,'Pré Implantação'!L90),""),"")</f>
        <v/>
      </c>
      <c r="L90" s="34" t="str">
        <f>IFERROR(IF('Pré Implantação'!B90="CSE Microsoft",AVERAGE('Pré Implantação'!D90,'Pré Implantação'!L90),""),"")</f>
        <v/>
      </c>
      <c r="M90" s="34" t="str">
        <f>IFERROR(IF('Pré Implantação'!B90="CSE Telecom",AVERAGE('Pré Implantação'!D90,'Pré Implantação'!L90),""),"")</f>
        <v/>
      </c>
      <c r="N90" s="34" t="str">
        <f>IFERROR(IF('Pré Implantação'!B90="Site Suporte de Campo",AVERAGE('Pré Implantação'!D90,'Pré Implantação'!L90),""),"")</f>
        <v/>
      </c>
      <c r="O90" s="49" t="str">
        <f>IFERROR(IF('Pré Implantação'!B90="Infraestrutura",AVERAGE('Pré Implantação'!D90,'Pré Implantação'!L90),""),"")</f>
        <v/>
      </c>
    </row>
    <row r="91" spans="1:15" x14ac:dyDescent="0.3">
      <c r="A91" s="33">
        <f>'Pré Implantação'!A91</f>
        <v>0</v>
      </c>
      <c r="B91" s="36">
        <f>'Pré Implantação'!C91</f>
        <v>0</v>
      </c>
      <c r="C91" s="34" t="str">
        <f>IFERROR(IF('Pré Implantação'!B91="Produção TI",AVERAGE('Pré Implantação'!D91,'Pré Implantação'!L91,'Pré Implantação'!E91,'Pré Implantação'!H91),AVERAGE('Pré Implantação'!E91,'Pré Implantação'!H91)),"")</f>
        <v/>
      </c>
      <c r="D91" s="34" t="str">
        <f>IFERROR(IF('Pré Implantação'!B91="CSC Service Desk",AVERAGE('Pré Implantação'!D91,'Pré Implantação'!L91,'Pré Implantação'!F91),AVERAGE('Pré Implantação'!F91)),"")</f>
        <v/>
      </c>
      <c r="E91" s="34" t="str">
        <f>IFERROR(IF('Pré Implantação'!B91="CSC NOC",AVERAGE('Pré Implantação'!D91,'Pré Implantação'!L91,'Pré Implantação'!G91),AVERAGE('Pré Implantação'!G91)),"")</f>
        <v/>
      </c>
      <c r="F91" s="34" t="str">
        <f>IFERROR(IF('Pré Implantação'!B91="CSE Gravadores",AVERAGE('Pré Implantação'!D91,'Pré Implantação'!L91,'Pré Implantação'!I91),AVERAGE('Pré Implantação'!I91)),"")</f>
        <v/>
      </c>
      <c r="G91" s="34" t="str">
        <f>IFERROR(IF('Pré Implantação'!B91="CSC",AVERAGE('Pré Implantação'!D91,'Pré Implantação'!L91,'Pré Implantação'!J91),AVERAGE('Pré Implantação'!J91)),"")</f>
        <v/>
      </c>
      <c r="H91" s="34" t="str">
        <f>IFERROR(IF('Pré Implantação'!B91="Operações \ Negócio",AVERAGE('Pré Implantação'!D91,'Pré Implantação'!L91,'Pré Implantação'!K91),AVERAGE('Pré Implantação'!K91)),"")</f>
        <v/>
      </c>
      <c r="I91" s="34" t="str">
        <f>IFERROR(IF('Pré Implantação'!B91="Projetos",AVERAGE('Pré Implantação'!D91,'Pré Implantação'!L91,'Pré Implantação'!M91),AVERAGE('Pré Implantação'!M91)),"")</f>
        <v/>
      </c>
      <c r="J91" s="34" t="str">
        <f>IFERROR(IF('Pré Implantação'!B91="Engenharia",AVERAGE('Pré Implantação'!D91,'Pré Implantação'!L91,'Pré Implantação'!N91),AVERAGE('Pré Implantação'!N91)),"")</f>
        <v/>
      </c>
      <c r="K91" s="34" t="str">
        <f>IFERROR(IF('Pré Implantação'!B91="URA",AVERAGE('Pré Implantação'!D91,'Pré Implantação'!L91),""),"")</f>
        <v/>
      </c>
      <c r="L91" s="34" t="str">
        <f>IFERROR(IF('Pré Implantação'!B91="CSE Microsoft",AVERAGE('Pré Implantação'!D91,'Pré Implantação'!L91),""),"")</f>
        <v/>
      </c>
      <c r="M91" s="34" t="str">
        <f>IFERROR(IF('Pré Implantação'!B91="CSE Telecom",AVERAGE('Pré Implantação'!D91,'Pré Implantação'!L91),""),"")</f>
        <v/>
      </c>
      <c r="N91" s="34" t="str">
        <f>IFERROR(IF('Pré Implantação'!B91="Site Suporte de Campo",AVERAGE('Pré Implantação'!D91,'Pré Implantação'!L91),""),"")</f>
        <v/>
      </c>
      <c r="O91" s="49" t="str">
        <f>IFERROR(IF('Pré Implantação'!B91="Infraestrutura",AVERAGE('Pré Implantação'!D91,'Pré Implantação'!L91),""),"")</f>
        <v/>
      </c>
    </row>
    <row r="92" spans="1:15" x14ac:dyDescent="0.3">
      <c r="A92" s="33">
        <f>'Pré Implantação'!A92</f>
        <v>0</v>
      </c>
      <c r="B92" s="36">
        <f>'Pré Implantação'!C92</f>
        <v>0</v>
      </c>
      <c r="C92" s="34" t="str">
        <f>IFERROR(IF('Pré Implantação'!B92="Produção TI",AVERAGE('Pré Implantação'!D92,'Pré Implantação'!L92,'Pré Implantação'!E92,'Pré Implantação'!H92),AVERAGE('Pré Implantação'!E92,'Pré Implantação'!H92)),"")</f>
        <v/>
      </c>
      <c r="D92" s="34" t="str">
        <f>IFERROR(IF('Pré Implantação'!B92="CSC Service Desk",AVERAGE('Pré Implantação'!D92,'Pré Implantação'!L92,'Pré Implantação'!F92),AVERAGE('Pré Implantação'!F92)),"")</f>
        <v/>
      </c>
      <c r="E92" s="34" t="str">
        <f>IFERROR(IF('Pré Implantação'!B92="CSC NOC",AVERAGE('Pré Implantação'!D92,'Pré Implantação'!L92,'Pré Implantação'!G92),AVERAGE('Pré Implantação'!G92)),"")</f>
        <v/>
      </c>
      <c r="F92" s="34" t="str">
        <f>IFERROR(IF('Pré Implantação'!B92="CSE Gravadores",AVERAGE('Pré Implantação'!D92,'Pré Implantação'!L92,'Pré Implantação'!I92),AVERAGE('Pré Implantação'!I92)),"")</f>
        <v/>
      </c>
      <c r="G92" s="34" t="str">
        <f>IFERROR(IF('Pré Implantação'!B92="CSC",AVERAGE('Pré Implantação'!D92,'Pré Implantação'!L92,'Pré Implantação'!J92),AVERAGE('Pré Implantação'!J92)),"")</f>
        <v/>
      </c>
      <c r="H92" s="34" t="str">
        <f>IFERROR(IF('Pré Implantação'!B92="Operações \ Negócio",AVERAGE('Pré Implantação'!D92,'Pré Implantação'!L92,'Pré Implantação'!K92),AVERAGE('Pré Implantação'!K92)),"")</f>
        <v/>
      </c>
      <c r="I92" s="34" t="str">
        <f>IFERROR(IF('Pré Implantação'!B92="Projetos",AVERAGE('Pré Implantação'!D92,'Pré Implantação'!L92,'Pré Implantação'!M92),AVERAGE('Pré Implantação'!M92)),"")</f>
        <v/>
      </c>
      <c r="J92" s="34" t="str">
        <f>IFERROR(IF('Pré Implantação'!B92="Engenharia",AVERAGE('Pré Implantação'!D92,'Pré Implantação'!L92,'Pré Implantação'!N92),AVERAGE('Pré Implantação'!N92)),"")</f>
        <v/>
      </c>
      <c r="K92" s="34" t="str">
        <f>IFERROR(IF('Pré Implantação'!B92="URA",AVERAGE('Pré Implantação'!D92,'Pré Implantação'!L92),""),"")</f>
        <v/>
      </c>
      <c r="L92" s="34" t="str">
        <f>IFERROR(IF('Pré Implantação'!B92="CSE Microsoft",AVERAGE('Pré Implantação'!D92,'Pré Implantação'!L92),""),"")</f>
        <v/>
      </c>
      <c r="M92" s="34" t="str">
        <f>IFERROR(IF('Pré Implantação'!B92="CSE Telecom",AVERAGE('Pré Implantação'!D92,'Pré Implantação'!L92),""),"")</f>
        <v/>
      </c>
      <c r="N92" s="34" t="str">
        <f>IFERROR(IF('Pré Implantação'!B92="Site Suporte de Campo",AVERAGE('Pré Implantação'!D92,'Pré Implantação'!L92),""),"")</f>
        <v/>
      </c>
      <c r="O92" s="49" t="str">
        <f>IFERROR(IF('Pré Implantação'!B92="Infraestrutura",AVERAGE('Pré Implantação'!D92,'Pré Implantação'!L92),""),"")</f>
        <v/>
      </c>
    </row>
    <row r="93" spans="1:15" x14ac:dyDescent="0.3">
      <c r="A93" s="33">
        <f>'Pré Implantação'!A93</f>
        <v>0</v>
      </c>
      <c r="B93" s="36">
        <f>'Pré Implantação'!C93</f>
        <v>0</v>
      </c>
      <c r="C93" s="34" t="str">
        <f>IFERROR(IF('Pré Implantação'!B93="Produção TI",AVERAGE('Pré Implantação'!D93,'Pré Implantação'!L93,'Pré Implantação'!E93,'Pré Implantação'!H93),AVERAGE('Pré Implantação'!E93,'Pré Implantação'!H93)),"")</f>
        <v/>
      </c>
      <c r="D93" s="34" t="str">
        <f>IFERROR(IF('Pré Implantação'!B93="CSC Service Desk",AVERAGE('Pré Implantação'!D93,'Pré Implantação'!L93,'Pré Implantação'!F93),AVERAGE('Pré Implantação'!F93)),"")</f>
        <v/>
      </c>
      <c r="E93" s="34" t="str">
        <f>IFERROR(IF('Pré Implantação'!B93="CSC NOC",AVERAGE('Pré Implantação'!D93,'Pré Implantação'!L93,'Pré Implantação'!G93),AVERAGE('Pré Implantação'!G93)),"")</f>
        <v/>
      </c>
      <c r="F93" s="34" t="str">
        <f>IFERROR(IF('Pré Implantação'!B93="CSE Gravadores",AVERAGE('Pré Implantação'!D93,'Pré Implantação'!L93,'Pré Implantação'!I93),AVERAGE('Pré Implantação'!I93)),"")</f>
        <v/>
      </c>
      <c r="G93" s="34" t="str">
        <f>IFERROR(IF('Pré Implantação'!B93="CSC",AVERAGE('Pré Implantação'!D93,'Pré Implantação'!L93,'Pré Implantação'!J93),AVERAGE('Pré Implantação'!J93)),"")</f>
        <v/>
      </c>
      <c r="H93" s="34" t="str">
        <f>IFERROR(IF('Pré Implantação'!B93="Operações \ Negócio",AVERAGE('Pré Implantação'!D93,'Pré Implantação'!L93,'Pré Implantação'!K93),AVERAGE('Pré Implantação'!K93)),"")</f>
        <v/>
      </c>
      <c r="I93" s="34" t="str">
        <f>IFERROR(IF('Pré Implantação'!B93="Projetos",AVERAGE('Pré Implantação'!D93,'Pré Implantação'!L93,'Pré Implantação'!M93),AVERAGE('Pré Implantação'!M93)),"")</f>
        <v/>
      </c>
      <c r="J93" s="34" t="str">
        <f>IFERROR(IF('Pré Implantação'!B93="Engenharia",AVERAGE('Pré Implantação'!D93,'Pré Implantação'!L93,'Pré Implantação'!N93),AVERAGE('Pré Implantação'!N93)),"")</f>
        <v/>
      </c>
      <c r="K93" s="34" t="str">
        <f>IFERROR(IF('Pré Implantação'!B93="URA",AVERAGE('Pré Implantação'!D93,'Pré Implantação'!L93),""),"")</f>
        <v/>
      </c>
      <c r="L93" s="34" t="str">
        <f>IFERROR(IF('Pré Implantação'!B93="CSE Microsoft",AVERAGE('Pré Implantação'!D93,'Pré Implantação'!L93),""),"")</f>
        <v/>
      </c>
      <c r="M93" s="34" t="str">
        <f>IFERROR(IF('Pré Implantação'!B93="CSE Telecom",AVERAGE('Pré Implantação'!D93,'Pré Implantação'!L93),""),"")</f>
        <v/>
      </c>
      <c r="N93" s="34" t="str">
        <f>IFERROR(IF('Pré Implantação'!B93="Site Suporte de Campo",AVERAGE('Pré Implantação'!D93,'Pré Implantação'!L93),""),"")</f>
        <v/>
      </c>
      <c r="O93" s="49" t="str">
        <f>IFERROR(IF('Pré Implantação'!B93="Infraestrutura",AVERAGE('Pré Implantação'!D93,'Pré Implantação'!L93),""),"")</f>
        <v/>
      </c>
    </row>
    <row r="94" spans="1:15" x14ac:dyDescent="0.3">
      <c r="A94" s="33">
        <f>'Pré Implantação'!A94</f>
        <v>0</v>
      </c>
      <c r="B94" s="36">
        <f>'Pré Implantação'!C94</f>
        <v>0</v>
      </c>
      <c r="C94" s="34" t="str">
        <f>IFERROR(IF('Pré Implantação'!B94="Produção TI",AVERAGE('Pré Implantação'!D94,'Pré Implantação'!L94,'Pré Implantação'!E94,'Pré Implantação'!H94),AVERAGE('Pré Implantação'!E94,'Pré Implantação'!H94)),"")</f>
        <v/>
      </c>
      <c r="D94" s="34" t="str">
        <f>IFERROR(IF('Pré Implantação'!B94="CSC Service Desk",AVERAGE('Pré Implantação'!D94,'Pré Implantação'!L94,'Pré Implantação'!F94),AVERAGE('Pré Implantação'!F94)),"")</f>
        <v/>
      </c>
      <c r="E94" s="34" t="str">
        <f>IFERROR(IF('Pré Implantação'!B94="CSC NOC",AVERAGE('Pré Implantação'!D94,'Pré Implantação'!L94,'Pré Implantação'!G94),AVERAGE('Pré Implantação'!G94)),"")</f>
        <v/>
      </c>
      <c r="F94" s="34" t="str">
        <f>IFERROR(IF('Pré Implantação'!B94="CSE Gravadores",AVERAGE('Pré Implantação'!D94,'Pré Implantação'!L94,'Pré Implantação'!I94),AVERAGE('Pré Implantação'!I94)),"")</f>
        <v/>
      </c>
      <c r="G94" s="34" t="str">
        <f>IFERROR(IF('Pré Implantação'!B94="CSC",AVERAGE('Pré Implantação'!D94,'Pré Implantação'!L94,'Pré Implantação'!J94),AVERAGE('Pré Implantação'!J94)),"")</f>
        <v/>
      </c>
      <c r="H94" s="34" t="str">
        <f>IFERROR(IF('Pré Implantação'!B94="Operações \ Negócio",AVERAGE('Pré Implantação'!D94,'Pré Implantação'!L94,'Pré Implantação'!K94),AVERAGE('Pré Implantação'!K94)),"")</f>
        <v/>
      </c>
      <c r="I94" s="34" t="str">
        <f>IFERROR(IF('Pré Implantação'!B94="Projetos",AVERAGE('Pré Implantação'!D94,'Pré Implantação'!L94,'Pré Implantação'!M94),AVERAGE('Pré Implantação'!M94)),"")</f>
        <v/>
      </c>
      <c r="J94" s="34" t="str">
        <f>IFERROR(IF('Pré Implantação'!B94="Engenharia",AVERAGE('Pré Implantação'!D94,'Pré Implantação'!L94,'Pré Implantação'!N94),AVERAGE('Pré Implantação'!N94)),"")</f>
        <v/>
      </c>
      <c r="K94" s="34" t="str">
        <f>IFERROR(IF('Pré Implantação'!B94="URA",AVERAGE('Pré Implantação'!D94,'Pré Implantação'!L94),""),"")</f>
        <v/>
      </c>
      <c r="L94" s="34" t="str">
        <f>IFERROR(IF('Pré Implantação'!B94="CSE Microsoft",AVERAGE('Pré Implantação'!D94,'Pré Implantação'!L94),""),"")</f>
        <v/>
      </c>
      <c r="M94" s="34" t="str">
        <f>IFERROR(IF('Pré Implantação'!B94="CSE Telecom",AVERAGE('Pré Implantação'!D94,'Pré Implantação'!L94),""),"")</f>
        <v/>
      </c>
      <c r="N94" s="34" t="str">
        <f>IFERROR(IF('Pré Implantação'!B94="Site Suporte de Campo",AVERAGE('Pré Implantação'!D94,'Pré Implantação'!L94),""),"")</f>
        <v/>
      </c>
      <c r="O94" s="49" t="str">
        <f>IFERROR(IF('Pré Implantação'!B94="Infraestrutura",AVERAGE('Pré Implantação'!D94,'Pré Implantação'!L94),""),"")</f>
        <v/>
      </c>
    </row>
    <row r="95" spans="1:15" x14ac:dyDescent="0.3">
      <c r="A95" s="33">
        <f>'Pré Implantação'!A95</f>
        <v>0</v>
      </c>
      <c r="B95" s="36">
        <f>'Pré Implantação'!C95</f>
        <v>0</v>
      </c>
      <c r="C95" s="34" t="str">
        <f>IFERROR(IF('Pré Implantação'!B95="Produção TI",AVERAGE('Pré Implantação'!D95,'Pré Implantação'!L95,'Pré Implantação'!E95,'Pré Implantação'!H95),AVERAGE('Pré Implantação'!E95,'Pré Implantação'!H95)),"")</f>
        <v/>
      </c>
      <c r="D95" s="34" t="str">
        <f>IFERROR(IF('Pré Implantação'!B95="CSC Service Desk",AVERAGE('Pré Implantação'!D95,'Pré Implantação'!L95,'Pré Implantação'!F95),AVERAGE('Pré Implantação'!F95)),"")</f>
        <v/>
      </c>
      <c r="E95" s="34" t="str">
        <f>IFERROR(IF('Pré Implantação'!B95="CSC NOC",AVERAGE('Pré Implantação'!D95,'Pré Implantação'!L95,'Pré Implantação'!G95),AVERAGE('Pré Implantação'!G95)),"")</f>
        <v/>
      </c>
      <c r="F95" s="34" t="str">
        <f>IFERROR(IF('Pré Implantação'!B95="CSE Gravadores",AVERAGE('Pré Implantação'!D95,'Pré Implantação'!L95,'Pré Implantação'!I95),AVERAGE('Pré Implantação'!I95)),"")</f>
        <v/>
      </c>
      <c r="G95" s="34" t="str">
        <f>IFERROR(IF('Pré Implantação'!B95="CSC",AVERAGE('Pré Implantação'!D95,'Pré Implantação'!L95,'Pré Implantação'!J95),AVERAGE('Pré Implantação'!J95)),"")</f>
        <v/>
      </c>
      <c r="H95" s="34" t="str">
        <f>IFERROR(IF('Pré Implantação'!B95="Operações \ Negócio",AVERAGE('Pré Implantação'!D95,'Pré Implantação'!L95,'Pré Implantação'!K95),AVERAGE('Pré Implantação'!K95)),"")</f>
        <v/>
      </c>
      <c r="I95" s="34" t="str">
        <f>IFERROR(IF('Pré Implantação'!B95="Projetos",AVERAGE('Pré Implantação'!D95,'Pré Implantação'!L95,'Pré Implantação'!M95),AVERAGE('Pré Implantação'!M95)),"")</f>
        <v/>
      </c>
      <c r="J95" s="34" t="str">
        <f>IFERROR(IF('Pré Implantação'!B95="Engenharia",AVERAGE('Pré Implantação'!D95,'Pré Implantação'!L95,'Pré Implantação'!N95),AVERAGE('Pré Implantação'!N95)),"")</f>
        <v/>
      </c>
      <c r="K95" s="34" t="str">
        <f>IFERROR(IF('Pré Implantação'!B95="URA",AVERAGE('Pré Implantação'!D95,'Pré Implantação'!L95),""),"")</f>
        <v/>
      </c>
      <c r="L95" s="34" t="str">
        <f>IFERROR(IF('Pré Implantação'!B95="CSE Microsoft",AVERAGE('Pré Implantação'!D95,'Pré Implantação'!L95),""),"")</f>
        <v/>
      </c>
      <c r="M95" s="34" t="str">
        <f>IFERROR(IF('Pré Implantação'!B95="CSE Telecom",AVERAGE('Pré Implantação'!D95,'Pré Implantação'!L95),""),"")</f>
        <v/>
      </c>
      <c r="N95" s="34" t="str">
        <f>IFERROR(IF('Pré Implantação'!B95="Site Suporte de Campo",AVERAGE('Pré Implantação'!D95,'Pré Implantação'!L95),""),"")</f>
        <v/>
      </c>
      <c r="O95" s="49" t="str">
        <f>IFERROR(IF('Pré Implantação'!B95="Infraestrutura",AVERAGE('Pré Implantação'!D95,'Pré Implantação'!L95),""),"")</f>
        <v/>
      </c>
    </row>
    <row r="96" spans="1:15" x14ac:dyDescent="0.3">
      <c r="A96" s="33">
        <f>'Pré Implantação'!A96</f>
        <v>0</v>
      </c>
      <c r="B96" s="36">
        <f>'Pré Implantação'!C96</f>
        <v>0</v>
      </c>
      <c r="C96" s="34" t="str">
        <f>IFERROR(IF('Pré Implantação'!B96="Produção TI",AVERAGE('Pré Implantação'!D96,'Pré Implantação'!L96,'Pré Implantação'!E96,'Pré Implantação'!H96),AVERAGE('Pré Implantação'!E96,'Pré Implantação'!H96)),"")</f>
        <v/>
      </c>
      <c r="D96" s="34" t="str">
        <f>IFERROR(IF('Pré Implantação'!B96="CSC Service Desk",AVERAGE('Pré Implantação'!D96,'Pré Implantação'!L96,'Pré Implantação'!F96),AVERAGE('Pré Implantação'!F96)),"")</f>
        <v/>
      </c>
      <c r="E96" s="34" t="str">
        <f>IFERROR(IF('Pré Implantação'!B96="CSC NOC",AVERAGE('Pré Implantação'!D96,'Pré Implantação'!L96,'Pré Implantação'!G96),AVERAGE('Pré Implantação'!G96)),"")</f>
        <v/>
      </c>
      <c r="F96" s="34" t="str">
        <f>IFERROR(IF('Pré Implantação'!B96="CSE Gravadores",AVERAGE('Pré Implantação'!D96,'Pré Implantação'!L96,'Pré Implantação'!I96),AVERAGE('Pré Implantação'!I96)),"")</f>
        <v/>
      </c>
      <c r="G96" s="34" t="str">
        <f>IFERROR(IF('Pré Implantação'!B96="CSC",AVERAGE('Pré Implantação'!D96,'Pré Implantação'!L96,'Pré Implantação'!J96),AVERAGE('Pré Implantação'!J96)),"")</f>
        <v/>
      </c>
      <c r="H96" s="34" t="str">
        <f>IFERROR(IF('Pré Implantação'!B96="Operações \ Negócio",AVERAGE('Pré Implantação'!D96,'Pré Implantação'!L96,'Pré Implantação'!K96),AVERAGE('Pré Implantação'!K96)),"")</f>
        <v/>
      </c>
      <c r="I96" s="34" t="str">
        <f>IFERROR(IF('Pré Implantação'!B96="Projetos",AVERAGE('Pré Implantação'!D96,'Pré Implantação'!L96,'Pré Implantação'!M96),AVERAGE('Pré Implantação'!M96)),"")</f>
        <v/>
      </c>
      <c r="J96" s="34" t="str">
        <f>IFERROR(IF('Pré Implantação'!B96="Engenharia",AVERAGE('Pré Implantação'!D96,'Pré Implantação'!L96,'Pré Implantação'!N96),AVERAGE('Pré Implantação'!N96)),"")</f>
        <v/>
      </c>
      <c r="K96" s="34" t="str">
        <f>IFERROR(IF('Pré Implantação'!B96="URA",AVERAGE('Pré Implantação'!D96,'Pré Implantação'!L96),""),"")</f>
        <v/>
      </c>
      <c r="L96" s="34" t="str">
        <f>IFERROR(IF('Pré Implantação'!B96="CSE Microsoft",AVERAGE('Pré Implantação'!D96,'Pré Implantação'!L96),""),"")</f>
        <v/>
      </c>
      <c r="M96" s="34" t="str">
        <f>IFERROR(IF('Pré Implantação'!B96="CSE Telecom",AVERAGE('Pré Implantação'!D96,'Pré Implantação'!L96),""),"")</f>
        <v/>
      </c>
      <c r="N96" s="34" t="str">
        <f>IFERROR(IF('Pré Implantação'!B96="Site Suporte de Campo",AVERAGE('Pré Implantação'!D96,'Pré Implantação'!L96),""),"")</f>
        <v/>
      </c>
      <c r="O96" s="49" t="str">
        <f>IFERROR(IF('Pré Implantação'!B96="Infraestrutura",AVERAGE('Pré Implantação'!D96,'Pré Implantação'!L96),""),"")</f>
        <v/>
      </c>
    </row>
    <row r="97" spans="1:15" x14ac:dyDescent="0.3">
      <c r="A97" s="33">
        <f>'Pré Implantação'!A97</f>
        <v>0</v>
      </c>
      <c r="B97" s="36">
        <f>'Pré Implantação'!C97</f>
        <v>0</v>
      </c>
      <c r="C97" s="34" t="str">
        <f>IFERROR(IF('Pré Implantação'!B97="Produção TI",AVERAGE('Pré Implantação'!D97,'Pré Implantação'!L97,'Pré Implantação'!E97,'Pré Implantação'!H97),AVERAGE('Pré Implantação'!E97,'Pré Implantação'!H97)),"")</f>
        <v/>
      </c>
      <c r="D97" s="34" t="str">
        <f>IFERROR(IF('Pré Implantação'!B97="CSC Service Desk",AVERAGE('Pré Implantação'!D97,'Pré Implantação'!L97,'Pré Implantação'!F97),AVERAGE('Pré Implantação'!F97)),"")</f>
        <v/>
      </c>
      <c r="E97" s="34" t="str">
        <f>IFERROR(IF('Pré Implantação'!B97="CSC NOC",AVERAGE('Pré Implantação'!D97,'Pré Implantação'!L97,'Pré Implantação'!G97),AVERAGE('Pré Implantação'!G97)),"")</f>
        <v/>
      </c>
      <c r="F97" s="34" t="str">
        <f>IFERROR(IF('Pré Implantação'!B97="CSE Gravadores",AVERAGE('Pré Implantação'!D97,'Pré Implantação'!L97,'Pré Implantação'!I97),AVERAGE('Pré Implantação'!I97)),"")</f>
        <v/>
      </c>
      <c r="G97" s="34" t="str">
        <f>IFERROR(IF('Pré Implantação'!B97="CSC",AVERAGE('Pré Implantação'!D97,'Pré Implantação'!L97,'Pré Implantação'!J97),AVERAGE('Pré Implantação'!J97)),"")</f>
        <v/>
      </c>
      <c r="H97" s="34" t="str">
        <f>IFERROR(IF('Pré Implantação'!B97="Operações \ Negócio",AVERAGE('Pré Implantação'!D97,'Pré Implantação'!L97,'Pré Implantação'!K97),AVERAGE('Pré Implantação'!K97)),"")</f>
        <v/>
      </c>
      <c r="I97" s="34" t="str">
        <f>IFERROR(IF('Pré Implantação'!B97="Projetos",AVERAGE('Pré Implantação'!D97,'Pré Implantação'!L97,'Pré Implantação'!M97),AVERAGE('Pré Implantação'!M97)),"")</f>
        <v/>
      </c>
      <c r="J97" s="34" t="str">
        <f>IFERROR(IF('Pré Implantação'!B97="Engenharia",AVERAGE('Pré Implantação'!D97,'Pré Implantação'!L97,'Pré Implantação'!N97),AVERAGE('Pré Implantação'!N97)),"")</f>
        <v/>
      </c>
      <c r="K97" s="34" t="str">
        <f>IFERROR(IF('Pré Implantação'!B97="URA",AVERAGE('Pré Implantação'!D97,'Pré Implantação'!L97),""),"")</f>
        <v/>
      </c>
      <c r="L97" s="34" t="str">
        <f>IFERROR(IF('Pré Implantação'!B97="CSE Microsoft",AVERAGE('Pré Implantação'!D97,'Pré Implantação'!L97),""),"")</f>
        <v/>
      </c>
      <c r="M97" s="34" t="str">
        <f>IFERROR(IF('Pré Implantação'!B97="CSE Telecom",AVERAGE('Pré Implantação'!D97,'Pré Implantação'!L97),""),"")</f>
        <v/>
      </c>
      <c r="N97" s="34" t="str">
        <f>IFERROR(IF('Pré Implantação'!B97="Site Suporte de Campo",AVERAGE('Pré Implantação'!D97,'Pré Implantação'!L97),""),"")</f>
        <v/>
      </c>
      <c r="O97" s="49" t="str">
        <f>IFERROR(IF('Pré Implantação'!B97="Infraestrutura",AVERAGE('Pré Implantação'!D97,'Pré Implantação'!L97),""),"")</f>
        <v/>
      </c>
    </row>
    <row r="98" spans="1:15" x14ac:dyDescent="0.3">
      <c r="A98" s="33">
        <f>'Pré Implantação'!A98</f>
        <v>0</v>
      </c>
      <c r="B98" s="36">
        <f>'Pré Implantação'!C98</f>
        <v>0</v>
      </c>
      <c r="C98" s="34" t="str">
        <f>IFERROR(IF('Pré Implantação'!B98="Produção TI",AVERAGE('Pré Implantação'!D98,'Pré Implantação'!L98,'Pré Implantação'!E98,'Pré Implantação'!H98),AVERAGE('Pré Implantação'!E98,'Pré Implantação'!H98)),"")</f>
        <v/>
      </c>
      <c r="D98" s="34" t="str">
        <f>IFERROR(IF('Pré Implantação'!B98="CSC Service Desk",AVERAGE('Pré Implantação'!D98,'Pré Implantação'!L98,'Pré Implantação'!F98),AVERAGE('Pré Implantação'!F98)),"")</f>
        <v/>
      </c>
      <c r="E98" s="34" t="str">
        <f>IFERROR(IF('Pré Implantação'!B98="CSC NOC",AVERAGE('Pré Implantação'!D98,'Pré Implantação'!L98,'Pré Implantação'!G98),AVERAGE('Pré Implantação'!G98)),"")</f>
        <v/>
      </c>
      <c r="F98" s="34" t="str">
        <f>IFERROR(IF('Pré Implantação'!B98="CSE Gravadores",AVERAGE('Pré Implantação'!D98,'Pré Implantação'!L98,'Pré Implantação'!I98),AVERAGE('Pré Implantação'!I98)),"")</f>
        <v/>
      </c>
      <c r="G98" s="34" t="str">
        <f>IFERROR(IF('Pré Implantação'!B98="CSC",AVERAGE('Pré Implantação'!D98,'Pré Implantação'!L98,'Pré Implantação'!J98),AVERAGE('Pré Implantação'!J98)),"")</f>
        <v/>
      </c>
      <c r="H98" s="34" t="str">
        <f>IFERROR(IF('Pré Implantação'!B98="Operações \ Negócio",AVERAGE('Pré Implantação'!D98,'Pré Implantação'!L98,'Pré Implantação'!K98),AVERAGE('Pré Implantação'!K98)),"")</f>
        <v/>
      </c>
      <c r="I98" s="34" t="str">
        <f>IFERROR(IF('Pré Implantação'!B98="Projetos",AVERAGE('Pré Implantação'!D98,'Pré Implantação'!L98,'Pré Implantação'!M98),AVERAGE('Pré Implantação'!M98)),"")</f>
        <v/>
      </c>
      <c r="J98" s="34" t="str">
        <f>IFERROR(IF('Pré Implantação'!B98="Engenharia",AVERAGE('Pré Implantação'!D98,'Pré Implantação'!L98,'Pré Implantação'!N98),AVERAGE('Pré Implantação'!N98)),"")</f>
        <v/>
      </c>
      <c r="K98" s="34" t="str">
        <f>IFERROR(IF('Pré Implantação'!B98="URA",AVERAGE('Pré Implantação'!D98,'Pré Implantação'!L98),""),"")</f>
        <v/>
      </c>
      <c r="L98" s="34" t="str">
        <f>IFERROR(IF('Pré Implantação'!B98="CSE Microsoft",AVERAGE('Pré Implantação'!D98,'Pré Implantação'!L98),""),"")</f>
        <v/>
      </c>
      <c r="M98" s="34" t="str">
        <f>IFERROR(IF('Pré Implantação'!B98="CSE Telecom",AVERAGE('Pré Implantação'!D98,'Pré Implantação'!L98),""),"")</f>
        <v/>
      </c>
      <c r="N98" s="34" t="str">
        <f>IFERROR(IF('Pré Implantação'!B98="Site Suporte de Campo",AVERAGE('Pré Implantação'!D98,'Pré Implantação'!L98),""),"")</f>
        <v/>
      </c>
      <c r="O98" s="49" t="str">
        <f>IFERROR(IF('Pré Implantação'!B98="Infraestrutura",AVERAGE('Pré Implantação'!D98,'Pré Implantação'!L98),""),"")</f>
        <v/>
      </c>
    </row>
    <row r="99" spans="1:15" x14ac:dyDescent="0.3">
      <c r="A99" s="33">
        <f>'Pré Implantação'!A99</f>
        <v>0</v>
      </c>
      <c r="B99" s="36">
        <f>'Pré Implantação'!C99</f>
        <v>0</v>
      </c>
      <c r="C99" s="34" t="str">
        <f>IFERROR(IF('Pré Implantação'!B99="Produção TI",AVERAGE('Pré Implantação'!D99,'Pré Implantação'!L99,'Pré Implantação'!E99,'Pré Implantação'!H99),AVERAGE('Pré Implantação'!E99,'Pré Implantação'!H99)),"")</f>
        <v/>
      </c>
      <c r="D99" s="34" t="str">
        <f>IFERROR(IF('Pré Implantação'!B99="CSC Service Desk",AVERAGE('Pré Implantação'!D99,'Pré Implantação'!L99,'Pré Implantação'!F99),AVERAGE('Pré Implantação'!F99)),"")</f>
        <v/>
      </c>
      <c r="E99" s="34" t="str">
        <f>IFERROR(IF('Pré Implantação'!B99="CSC NOC",AVERAGE('Pré Implantação'!D99,'Pré Implantação'!L99,'Pré Implantação'!G99),AVERAGE('Pré Implantação'!G99)),"")</f>
        <v/>
      </c>
      <c r="F99" s="34" t="str">
        <f>IFERROR(IF('Pré Implantação'!B99="CSE Gravadores",AVERAGE('Pré Implantação'!D99,'Pré Implantação'!L99,'Pré Implantação'!I99),AVERAGE('Pré Implantação'!I99)),"")</f>
        <v/>
      </c>
      <c r="G99" s="34" t="str">
        <f>IFERROR(IF('Pré Implantação'!B99="CSC",AVERAGE('Pré Implantação'!D99,'Pré Implantação'!L99,'Pré Implantação'!J99),AVERAGE('Pré Implantação'!J99)),"")</f>
        <v/>
      </c>
      <c r="H99" s="34" t="str">
        <f>IFERROR(IF('Pré Implantação'!B99="Operações \ Negócio",AVERAGE('Pré Implantação'!D99,'Pré Implantação'!L99,'Pré Implantação'!K99),AVERAGE('Pré Implantação'!K99)),"")</f>
        <v/>
      </c>
      <c r="I99" s="34" t="str">
        <f>IFERROR(IF('Pré Implantação'!B99="Projetos",AVERAGE('Pré Implantação'!D99,'Pré Implantação'!L99,'Pré Implantação'!M99),AVERAGE('Pré Implantação'!M99)),"")</f>
        <v/>
      </c>
      <c r="J99" s="34" t="str">
        <f>IFERROR(IF('Pré Implantação'!B99="Engenharia",AVERAGE('Pré Implantação'!D99,'Pré Implantação'!L99,'Pré Implantação'!N99),AVERAGE('Pré Implantação'!N99)),"")</f>
        <v/>
      </c>
      <c r="K99" s="34" t="str">
        <f>IFERROR(IF('Pré Implantação'!B99="URA",AVERAGE('Pré Implantação'!D99,'Pré Implantação'!L99),""),"")</f>
        <v/>
      </c>
      <c r="L99" s="34" t="str">
        <f>IFERROR(IF('Pré Implantação'!B99="CSE Microsoft",AVERAGE('Pré Implantação'!D99,'Pré Implantação'!L99),""),"")</f>
        <v/>
      </c>
      <c r="M99" s="34" t="str">
        <f>IFERROR(IF('Pré Implantação'!B99="CSE Telecom",AVERAGE('Pré Implantação'!D99,'Pré Implantação'!L99),""),"")</f>
        <v/>
      </c>
      <c r="N99" s="34" t="str">
        <f>IFERROR(IF('Pré Implantação'!B99="Site Suporte de Campo",AVERAGE('Pré Implantação'!D99,'Pré Implantação'!L99),""),"")</f>
        <v/>
      </c>
      <c r="O99" s="49" t="str">
        <f>IFERROR(IF('Pré Implantação'!B99="Infraestrutura",AVERAGE('Pré Implantação'!D99,'Pré Implantação'!L99),""),"")</f>
        <v/>
      </c>
    </row>
    <row r="100" spans="1:15" x14ac:dyDescent="0.3">
      <c r="A100" s="33">
        <f>'Pré Implantação'!A100</f>
        <v>0</v>
      </c>
      <c r="B100" s="36">
        <f>'Pré Implantação'!C100</f>
        <v>0</v>
      </c>
      <c r="C100" s="34" t="str">
        <f>IFERROR(IF('Pré Implantação'!B100="Produção TI",AVERAGE('Pré Implantação'!D100,'Pré Implantação'!L100,'Pré Implantação'!E100,'Pré Implantação'!H100),AVERAGE('Pré Implantação'!E100,'Pré Implantação'!H100)),"")</f>
        <v/>
      </c>
      <c r="D100" s="34" t="str">
        <f>IFERROR(IF('Pré Implantação'!B100="CSC Service Desk",AVERAGE('Pré Implantação'!D100,'Pré Implantação'!L100,'Pré Implantação'!F100),AVERAGE('Pré Implantação'!F100)),"")</f>
        <v/>
      </c>
      <c r="E100" s="34" t="str">
        <f>IFERROR(IF('Pré Implantação'!B100="CSC NOC",AVERAGE('Pré Implantação'!D100,'Pré Implantação'!L100,'Pré Implantação'!G100),AVERAGE('Pré Implantação'!G100)),"")</f>
        <v/>
      </c>
      <c r="F100" s="34" t="str">
        <f>IFERROR(IF('Pré Implantação'!B100="CSE Gravadores",AVERAGE('Pré Implantação'!D100,'Pré Implantação'!L100,'Pré Implantação'!I100),AVERAGE('Pré Implantação'!I100)),"")</f>
        <v/>
      </c>
      <c r="G100" s="34" t="str">
        <f>IFERROR(IF('Pré Implantação'!B100="CSC",AVERAGE('Pré Implantação'!D100,'Pré Implantação'!L100,'Pré Implantação'!J100),AVERAGE('Pré Implantação'!J100)),"")</f>
        <v/>
      </c>
      <c r="H100" s="34" t="str">
        <f>IFERROR(IF('Pré Implantação'!B100="Operações \ Negócio",AVERAGE('Pré Implantação'!D100,'Pré Implantação'!L100,'Pré Implantação'!K100),AVERAGE('Pré Implantação'!K100)),"")</f>
        <v/>
      </c>
      <c r="I100" s="34" t="str">
        <f>IFERROR(IF('Pré Implantação'!B100="Projetos",AVERAGE('Pré Implantação'!D100,'Pré Implantação'!L100,'Pré Implantação'!M100),AVERAGE('Pré Implantação'!M100)),"")</f>
        <v/>
      </c>
      <c r="J100" s="34" t="str">
        <f>IFERROR(IF('Pré Implantação'!B100="Engenharia",AVERAGE('Pré Implantação'!D100,'Pré Implantação'!L100,'Pré Implantação'!N100),AVERAGE('Pré Implantação'!N100)),"")</f>
        <v/>
      </c>
      <c r="K100" s="34" t="str">
        <f>IFERROR(IF('Pré Implantação'!B100="URA",AVERAGE('Pré Implantação'!D100,'Pré Implantação'!L100),""),"")</f>
        <v/>
      </c>
      <c r="L100" s="34" t="str">
        <f>IFERROR(IF('Pré Implantação'!B100="CSE Microsoft",AVERAGE('Pré Implantação'!D100,'Pré Implantação'!L100),""),"")</f>
        <v/>
      </c>
      <c r="M100" s="34" t="str">
        <f>IFERROR(IF('Pré Implantação'!B100="CSE Telecom",AVERAGE('Pré Implantação'!D100,'Pré Implantação'!L100),""),"")</f>
        <v/>
      </c>
      <c r="N100" s="34" t="str">
        <f>IFERROR(IF('Pré Implantação'!B100="Site Suporte de Campo",AVERAGE('Pré Implantação'!D100,'Pré Implantação'!L100),""),"")</f>
        <v/>
      </c>
      <c r="O100" s="49" t="str">
        <f>IFERROR(IF('Pré Implantação'!B100="Infraestrutura",AVERAGE('Pré Implantação'!D100,'Pré Implantação'!L100),""),"")</f>
        <v/>
      </c>
    </row>
    <row r="101" spans="1:15" x14ac:dyDescent="0.3">
      <c r="A101" s="33">
        <f>'Pré Implantação'!A101</f>
        <v>0</v>
      </c>
      <c r="B101" s="36">
        <f>'Pré Implantação'!C101</f>
        <v>0</v>
      </c>
      <c r="C101" s="34" t="str">
        <f>IFERROR(IF('Pré Implantação'!B101="Produção TI",AVERAGE('Pré Implantação'!D101,'Pré Implantação'!L101,'Pré Implantação'!E101,'Pré Implantação'!H101),AVERAGE('Pré Implantação'!E101,'Pré Implantação'!H101)),"")</f>
        <v/>
      </c>
      <c r="D101" s="34" t="str">
        <f>IFERROR(IF('Pré Implantação'!B101="CSC Service Desk",AVERAGE('Pré Implantação'!D101,'Pré Implantação'!L101,'Pré Implantação'!F101),AVERAGE('Pré Implantação'!F101)),"")</f>
        <v/>
      </c>
      <c r="E101" s="34" t="str">
        <f>IFERROR(IF('Pré Implantação'!B101="CSC NOC",AVERAGE('Pré Implantação'!D101,'Pré Implantação'!L101,'Pré Implantação'!G101),AVERAGE('Pré Implantação'!G101)),"")</f>
        <v/>
      </c>
      <c r="F101" s="34" t="str">
        <f>IFERROR(IF('Pré Implantação'!B101="CSE Gravadores",AVERAGE('Pré Implantação'!D101,'Pré Implantação'!L101,'Pré Implantação'!I101),AVERAGE('Pré Implantação'!I101)),"")</f>
        <v/>
      </c>
      <c r="G101" s="34" t="str">
        <f>IFERROR(IF('Pré Implantação'!B101="CSC",AVERAGE('Pré Implantação'!D101,'Pré Implantação'!L101,'Pré Implantação'!J101),AVERAGE('Pré Implantação'!J101)),"")</f>
        <v/>
      </c>
      <c r="H101" s="34" t="str">
        <f>IFERROR(IF('Pré Implantação'!B101="Operações \ Negócio",AVERAGE('Pré Implantação'!D101,'Pré Implantação'!L101,'Pré Implantação'!K101),AVERAGE('Pré Implantação'!K101)),"")</f>
        <v/>
      </c>
      <c r="I101" s="34" t="str">
        <f>IFERROR(IF('Pré Implantação'!B101="Projetos",AVERAGE('Pré Implantação'!D101,'Pré Implantação'!L101,'Pré Implantação'!M101),AVERAGE('Pré Implantação'!M101)),"")</f>
        <v/>
      </c>
      <c r="J101" s="34" t="str">
        <f>IFERROR(IF('Pré Implantação'!B101="Engenharia",AVERAGE('Pré Implantação'!D101,'Pré Implantação'!L101,'Pré Implantação'!N101),AVERAGE('Pré Implantação'!N101)),"")</f>
        <v/>
      </c>
      <c r="K101" s="34" t="str">
        <f>IFERROR(IF('Pré Implantação'!B101="URA",AVERAGE('Pré Implantação'!D101,'Pré Implantação'!L101),""),"")</f>
        <v/>
      </c>
      <c r="L101" s="34" t="str">
        <f>IFERROR(IF('Pré Implantação'!B101="CSE Microsoft",AVERAGE('Pré Implantação'!D101,'Pré Implantação'!L101),""),"")</f>
        <v/>
      </c>
      <c r="M101" s="34" t="str">
        <f>IFERROR(IF('Pré Implantação'!B101="CSE Telecom",AVERAGE('Pré Implantação'!D101,'Pré Implantação'!L101),""),"")</f>
        <v/>
      </c>
      <c r="N101" s="34" t="str">
        <f>IFERROR(IF('Pré Implantação'!B101="Site Suporte de Campo",AVERAGE('Pré Implantação'!D101,'Pré Implantação'!L101),""),"")</f>
        <v/>
      </c>
      <c r="O101" s="49" t="str">
        <f>IFERROR(IF('Pré Implantação'!B101="Infraestrutura",AVERAGE('Pré Implantação'!D101,'Pré Implantação'!L101),""),"")</f>
        <v/>
      </c>
    </row>
    <row r="102" spans="1:15" x14ac:dyDescent="0.3">
      <c r="A102" s="33">
        <f>'Pré Implantação'!A102</f>
        <v>0</v>
      </c>
      <c r="B102" s="36">
        <f>'Pré Implantação'!C102</f>
        <v>0</v>
      </c>
      <c r="C102" s="34" t="str">
        <f>IFERROR(IF('Pré Implantação'!B102="Produção TI",AVERAGE('Pré Implantação'!D102,'Pré Implantação'!L102,'Pré Implantação'!E102,'Pré Implantação'!H102),AVERAGE('Pré Implantação'!E102,'Pré Implantação'!H102)),"")</f>
        <v/>
      </c>
      <c r="D102" s="34" t="str">
        <f>IFERROR(IF('Pré Implantação'!B102="CSC Service Desk",AVERAGE('Pré Implantação'!D102,'Pré Implantação'!L102,'Pré Implantação'!F102),AVERAGE('Pré Implantação'!F102)),"")</f>
        <v/>
      </c>
      <c r="E102" s="34" t="str">
        <f>IFERROR(IF('Pré Implantação'!B102="CSC NOC",AVERAGE('Pré Implantação'!D102,'Pré Implantação'!L102,'Pré Implantação'!G102),AVERAGE('Pré Implantação'!G102)),"")</f>
        <v/>
      </c>
      <c r="F102" s="34" t="str">
        <f>IFERROR(IF('Pré Implantação'!B102="CSE Gravadores",AVERAGE('Pré Implantação'!D102,'Pré Implantação'!L102,'Pré Implantação'!I102),AVERAGE('Pré Implantação'!I102)),"")</f>
        <v/>
      </c>
      <c r="G102" s="34" t="str">
        <f>IFERROR(IF('Pré Implantação'!B102="CSC",AVERAGE('Pré Implantação'!D102,'Pré Implantação'!L102,'Pré Implantação'!J102),AVERAGE('Pré Implantação'!J102)),"")</f>
        <v/>
      </c>
      <c r="H102" s="34" t="str">
        <f>IFERROR(IF('Pré Implantação'!B102="Operações \ Negócio",AVERAGE('Pré Implantação'!D102,'Pré Implantação'!L102,'Pré Implantação'!K102),AVERAGE('Pré Implantação'!K102)),"")</f>
        <v/>
      </c>
      <c r="I102" s="34" t="str">
        <f>IFERROR(IF('Pré Implantação'!B102="Projetos",AVERAGE('Pré Implantação'!D102,'Pré Implantação'!L102,'Pré Implantação'!M102),AVERAGE('Pré Implantação'!M102)),"")</f>
        <v/>
      </c>
      <c r="J102" s="34" t="str">
        <f>IFERROR(IF('Pré Implantação'!B102="Engenharia",AVERAGE('Pré Implantação'!D102,'Pré Implantação'!L102,'Pré Implantação'!N102),AVERAGE('Pré Implantação'!N102)),"")</f>
        <v/>
      </c>
      <c r="K102" s="34" t="str">
        <f>IFERROR(IF('Pré Implantação'!B102="URA",AVERAGE('Pré Implantação'!D102,'Pré Implantação'!L102),""),"")</f>
        <v/>
      </c>
      <c r="L102" s="34" t="str">
        <f>IFERROR(IF('Pré Implantação'!B102="CSE Microsoft",AVERAGE('Pré Implantação'!D102,'Pré Implantação'!L102),""),"")</f>
        <v/>
      </c>
      <c r="M102" s="34" t="str">
        <f>IFERROR(IF('Pré Implantação'!B102="CSE Telecom",AVERAGE('Pré Implantação'!D102,'Pré Implantação'!L102),""),"")</f>
        <v/>
      </c>
      <c r="N102" s="34" t="str">
        <f>IFERROR(IF('Pré Implantação'!B102="Site Suporte de Campo",AVERAGE('Pré Implantação'!D102,'Pré Implantação'!L102),""),"")</f>
        <v/>
      </c>
      <c r="O102" s="49" t="str">
        <f>IFERROR(IF('Pré Implantação'!B102="Infraestrutura",AVERAGE('Pré Implantação'!D102,'Pré Implantação'!L102),""),"")</f>
        <v/>
      </c>
    </row>
    <row r="103" spans="1:15" x14ac:dyDescent="0.3">
      <c r="A103" s="33">
        <f>'Pré Implantação'!A103</f>
        <v>0</v>
      </c>
      <c r="B103" s="36">
        <f>'Pré Implantação'!C103</f>
        <v>0</v>
      </c>
      <c r="C103" s="34" t="str">
        <f>IFERROR(IF('Pré Implantação'!B103="Produção TI",AVERAGE('Pré Implantação'!D103,'Pré Implantação'!L103,'Pré Implantação'!E103,'Pré Implantação'!H103),AVERAGE('Pré Implantação'!E103,'Pré Implantação'!H103)),"")</f>
        <v/>
      </c>
      <c r="D103" s="34" t="str">
        <f>IFERROR(IF('Pré Implantação'!B103="CSC Service Desk",AVERAGE('Pré Implantação'!D103,'Pré Implantação'!L103,'Pré Implantação'!F103),AVERAGE('Pré Implantação'!F103)),"")</f>
        <v/>
      </c>
      <c r="E103" s="34" t="str">
        <f>IFERROR(IF('Pré Implantação'!B103="CSC NOC",AVERAGE('Pré Implantação'!D103,'Pré Implantação'!L103,'Pré Implantação'!G103),AVERAGE('Pré Implantação'!G103)),"")</f>
        <v/>
      </c>
      <c r="F103" s="34" t="str">
        <f>IFERROR(IF('Pré Implantação'!B103="CSE Gravadores",AVERAGE('Pré Implantação'!D103,'Pré Implantação'!L103,'Pré Implantação'!I103),AVERAGE('Pré Implantação'!I103)),"")</f>
        <v/>
      </c>
      <c r="G103" s="34" t="str">
        <f>IFERROR(IF('Pré Implantação'!B103="CSC",AVERAGE('Pré Implantação'!D103,'Pré Implantação'!L103,'Pré Implantação'!J103),AVERAGE('Pré Implantação'!J103)),"")</f>
        <v/>
      </c>
      <c r="H103" s="34" t="str">
        <f>IFERROR(IF('Pré Implantação'!B103="Operações \ Negócio",AVERAGE('Pré Implantação'!D103,'Pré Implantação'!L103,'Pré Implantação'!K103),AVERAGE('Pré Implantação'!K103)),"")</f>
        <v/>
      </c>
      <c r="I103" s="34" t="str">
        <f>IFERROR(IF('Pré Implantação'!B103="Projetos",AVERAGE('Pré Implantação'!D103,'Pré Implantação'!L103,'Pré Implantação'!M103),AVERAGE('Pré Implantação'!M103)),"")</f>
        <v/>
      </c>
      <c r="J103" s="34" t="str">
        <f>IFERROR(IF('Pré Implantação'!B103="Engenharia",AVERAGE('Pré Implantação'!D103,'Pré Implantação'!L103,'Pré Implantação'!N103),AVERAGE('Pré Implantação'!N103)),"")</f>
        <v/>
      </c>
      <c r="K103" s="34" t="str">
        <f>IFERROR(IF('Pré Implantação'!B103="URA",AVERAGE('Pré Implantação'!D103,'Pré Implantação'!L103),""),"")</f>
        <v/>
      </c>
      <c r="L103" s="34" t="str">
        <f>IFERROR(IF('Pré Implantação'!B103="CSE Microsoft",AVERAGE('Pré Implantação'!D103,'Pré Implantação'!L103),""),"")</f>
        <v/>
      </c>
      <c r="M103" s="34" t="str">
        <f>IFERROR(IF('Pré Implantação'!B103="CSE Telecom",AVERAGE('Pré Implantação'!D103,'Pré Implantação'!L103),""),"")</f>
        <v/>
      </c>
      <c r="N103" s="34" t="str">
        <f>IFERROR(IF('Pré Implantação'!B103="Site Suporte de Campo",AVERAGE('Pré Implantação'!D103,'Pré Implantação'!L103),""),"")</f>
        <v/>
      </c>
      <c r="O103" s="49" t="str">
        <f>IFERROR(IF('Pré Implantação'!B103="Infraestrutura",AVERAGE('Pré Implantação'!D103,'Pré Implantação'!L103),""),"")</f>
        <v/>
      </c>
    </row>
    <row r="104" spans="1:15" x14ac:dyDescent="0.3">
      <c r="A104" s="33">
        <f>'Pré Implantação'!A104</f>
        <v>0</v>
      </c>
      <c r="B104" s="36">
        <f>'Pré Implantação'!C104</f>
        <v>0</v>
      </c>
      <c r="C104" s="34" t="str">
        <f>IFERROR(IF('Pré Implantação'!B104="Produção TI",AVERAGE('Pré Implantação'!D104,'Pré Implantação'!L104,'Pré Implantação'!E104,'Pré Implantação'!H104),AVERAGE('Pré Implantação'!E104,'Pré Implantação'!H104)),"")</f>
        <v/>
      </c>
      <c r="D104" s="34" t="str">
        <f>IFERROR(IF('Pré Implantação'!B104="CSC Service Desk",AVERAGE('Pré Implantação'!D104,'Pré Implantação'!L104,'Pré Implantação'!F104),AVERAGE('Pré Implantação'!F104)),"")</f>
        <v/>
      </c>
      <c r="E104" s="34" t="str">
        <f>IFERROR(IF('Pré Implantação'!B104="CSC NOC",AVERAGE('Pré Implantação'!D104,'Pré Implantação'!L104,'Pré Implantação'!G104),AVERAGE('Pré Implantação'!G104)),"")</f>
        <v/>
      </c>
      <c r="F104" s="34" t="str">
        <f>IFERROR(IF('Pré Implantação'!B104="CSE Gravadores",AVERAGE('Pré Implantação'!D104,'Pré Implantação'!L104,'Pré Implantação'!I104),AVERAGE('Pré Implantação'!I104)),"")</f>
        <v/>
      </c>
      <c r="G104" s="34" t="str">
        <f>IFERROR(IF('Pré Implantação'!B104="CSC",AVERAGE('Pré Implantação'!D104,'Pré Implantação'!L104,'Pré Implantação'!J104),AVERAGE('Pré Implantação'!J104)),"")</f>
        <v/>
      </c>
      <c r="H104" s="34" t="str">
        <f>IFERROR(IF('Pré Implantação'!B104="Operações \ Negócio",AVERAGE('Pré Implantação'!D104,'Pré Implantação'!L104,'Pré Implantação'!K104),AVERAGE('Pré Implantação'!K104)),"")</f>
        <v/>
      </c>
      <c r="I104" s="34" t="str">
        <f>IFERROR(IF('Pré Implantação'!B104="Projetos",AVERAGE('Pré Implantação'!D104,'Pré Implantação'!L104,'Pré Implantação'!M104),AVERAGE('Pré Implantação'!M104)),"")</f>
        <v/>
      </c>
      <c r="J104" s="34" t="str">
        <f>IFERROR(IF('Pré Implantação'!B104="Engenharia",AVERAGE('Pré Implantação'!D104,'Pré Implantação'!L104,'Pré Implantação'!N104),AVERAGE('Pré Implantação'!N104)),"")</f>
        <v/>
      </c>
      <c r="K104" s="34" t="str">
        <f>IFERROR(IF('Pré Implantação'!B104="URA",AVERAGE('Pré Implantação'!D104,'Pré Implantação'!L104),""),"")</f>
        <v/>
      </c>
      <c r="L104" s="34" t="str">
        <f>IFERROR(IF('Pré Implantação'!B104="CSE Microsoft",AVERAGE('Pré Implantação'!D104,'Pré Implantação'!L104),""),"")</f>
        <v/>
      </c>
      <c r="M104" s="34" t="str">
        <f>IFERROR(IF('Pré Implantação'!B104="CSE Telecom",AVERAGE('Pré Implantação'!D104,'Pré Implantação'!L104),""),"")</f>
        <v/>
      </c>
      <c r="N104" s="34" t="str">
        <f>IFERROR(IF('Pré Implantação'!B104="Site Suporte de Campo",AVERAGE('Pré Implantação'!D104,'Pré Implantação'!L104),""),"")</f>
        <v/>
      </c>
      <c r="O104" s="49" t="str">
        <f>IFERROR(IF('Pré Implantação'!B104="Infraestrutura",AVERAGE('Pré Implantação'!D104,'Pré Implantação'!L104),""),"")</f>
        <v/>
      </c>
    </row>
    <row r="105" spans="1:15" x14ac:dyDescent="0.3">
      <c r="A105" s="33">
        <f>'Pré Implantação'!A105</f>
        <v>0</v>
      </c>
      <c r="B105" s="36">
        <f>'Pré Implantação'!C105</f>
        <v>0</v>
      </c>
      <c r="C105" s="34" t="str">
        <f>IFERROR(IF('Pré Implantação'!B105="Produção TI",AVERAGE('Pré Implantação'!D105,'Pré Implantação'!L105,'Pré Implantação'!E105,'Pré Implantação'!H105),AVERAGE('Pré Implantação'!E105,'Pré Implantação'!H105)),"")</f>
        <v/>
      </c>
      <c r="D105" s="34" t="str">
        <f>IFERROR(IF('Pré Implantação'!B105="CSC Service Desk",AVERAGE('Pré Implantação'!D105,'Pré Implantação'!L105,'Pré Implantação'!F105),AVERAGE('Pré Implantação'!F105)),"")</f>
        <v/>
      </c>
      <c r="E105" s="34" t="str">
        <f>IFERROR(IF('Pré Implantação'!B105="CSC NOC",AVERAGE('Pré Implantação'!D105,'Pré Implantação'!L105,'Pré Implantação'!G105),AVERAGE('Pré Implantação'!G105)),"")</f>
        <v/>
      </c>
      <c r="F105" s="34" t="str">
        <f>IFERROR(IF('Pré Implantação'!B105="CSE Gravadores",AVERAGE('Pré Implantação'!D105,'Pré Implantação'!L105,'Pré Implantação'!I105),AVERAGE('Pré Implantação'!I105)),"")</f>
        <v/>
      </c>
      <c r="G105" s="34" t="str">
        <f>IFERROR(IF('Pré Implantação'!B105="CSC",AVERAGE('Pré Implantação'!D105,'Pré Implantação'!L105,'Pré Implantação'!J105),AVERAGE('Pré Implantação'!J105)),"")</f>
        <v/>
      </c>
      <c r="H105" s="34" t="str">
        <f>IFERROR(IF('Pré Implantação'!B105="Operações \ Negócio",AVERAGE('Pré Implantação'!D105,'Pré Implantação'!L105,'Pré Implantação'!K105),AVERAGE('Pré Implantação'!K105)),"")</f>
        <v/>
      </c>
      <c r="I105" s="34" t="str">
        <f>IFERROR(IF('Pré Implantação'!B105="Projetos",AVERAGE('Pré Implantação'!D105,'Pré Implantação'!L105,'Pré Implantação'!M105),AVERAGE('Pré Implantação'!M105)),"")</f>
        <v/>
      </c>
      <c r="J105" s="34" t="str">
        <f>IFERROR(IF('Pré Implantação'!B105="Engenharia",AVERAGE('Pré Implantação'!D105,'Pré Implantação'!L105,'Pré Implantação'!N105),AVERAGE('Pré Implantação'!N105)),"")</f>
        <v/>
      </c>
      <c r="K105" s="34" t="str">
        <f>IFERROR(IF('Pré Implantação'!B105="URA",AVERAGE('Pré Implantação'!D105,'Pré Implantação'!L105),""),"")</f>
        <v/>
      </c>
      <c r="L105" s="34" t="str">
        <f>IFERROR(IF('Pré Implantação'!B105="CSE Microsoft",AVERAGE('Pré Implantação'!D105,'Pré Implantação'!L105),""),"")</f>
        <v/>
      </c>
      <c r="M105" s="34" t="str">
        <f>IFERROR(IF('Pré Implantação'!B105="CSE Telecom",AVERAGE('Pré Implantação'!D105,'Pré Implantação'!L105),""),"")</f>
        <v/>
      </c>
      <c r="N105" s="34" t="str">
        <f>IFERROR(IF('Pré Implantação'!B105="Site Suporte de Campo",AVERAGE('Pré Implantação'!D105,'Pré Implantação'!L105),""),"")</f>
        <v/>
      </c>
      <c r="O105" s="49" t="str">
        <f>IFERROR(IF('Pré Implantação'!B105="Infraestrutura",AVERAGE('Pré Implantação'!D105,'Pré Implantação'!L105),""),"")</f>
        <v/>
      </c>
    </row>
    <row r="106" spans="1:15" x14ac:dyDescent="0.3">
      <c r="A106" s="33">
        <f>'Pré Implantação'!A106</f>
        <v>0</v>
      </c>
      <c r="B106" s="36">
        <f>'Pré Implantação'!C106</f>
        <v>0</v>
      </c>
      <c r="C106" s="34" t="str">
        <f>IFERROR(IF('Pré Implantação'!B106="Produção TI",AVERAGE('Pré Implantação'!D106,'Pré Implantação'!L106,'Pré Implantação'!E106,'Pré Implantação'!H106),AVERAGE('Pré Implantação'!E106,'Pré Implantação'!H106)),"")</f>
        <v/>
      </c>
      <c r="D106" s="34" t="str">
        <f>IFERROR(IF('Pré Implantação'!B106="CSC Service Desk",AVERAGE('Pré Implantação'!D106,'Pré Implantação'!L106,'Pré Implantação'!F106),AVERAGE('Pré Implantação'!F106)),"")</f>
        <v/>
      </c>
      <c r="E106" s="34" t="str">
        <f>IFERROR(IF('Pré Implantação'!B106="CSC NOC",AVERAGE('Pré Implantação'!D106,'Pré Implantação'!L106,'Pré Implantação'!G106),AVERAGE('Pré Implantação'!G106)),"")</f>
        <v/>
      </c>
      <c r="F106" s="34" t="str">
        <f>IFERROR(IF('Pré Implantação'!B106="CSE Gravadores",AVERAGE('Pré Implantação'!D106,'Pré Implantação'!L106,'Pré Implantação'!I106),AVERAGE('Pré Implantação'!I106)),"")</f>
        <v/>
      </c>
      <c r="G106" s="34" t="str">
        <f>IFERROR(IF('Pré Implantação'!B106="CSC",AVERAGE('Pré Implantação'!D106,'Pré Implantação'!L106,'Pré Implantação'!J106),AVERAGE('Pré Implantação'!J106)),"")</f>
        <v/>
      </c>
      <c r="H106" s="34" t="str">
        <f>IFERROR(IF('Pré Implantação'!B106="Operações \ Negócio",AVERAGE('Pré Implantação'!D106,'Pré Implantação'!L106,'Pré Implantação'!K106),AVERAGE('Pré Implantação'!K106)),"")</f>
        <v/>
      </c>
      <c r="I106" s="34" t="str">
        <f>IFERROR(IF('Pré Implantação'!B106="Projetos",AVERAGE('Pré Implantação'!D106,'Pré Implantação'!L106,'Pré Implantação'!M106),AVERAGE('Pré Implantação'!M106)),"")</f>
        <v/>
      </c>
      <c r="J106" s="34" t="str">
        <f>IFERROR(IF('Pré Implantação'!B106="Engenharia",AVERAGE('Pré Implantação'!D106,'Pré Implantação'!L106,'Pré Implantação'!N106),AVERAGE('Pré Implantação'!N106)),"")</f>
        <v/>
      </c>
      <c r="K106" s="34" t="str">
        <f>IFERROR(IF('Pré Implantação'!B106="URA",AVERAGE('Pré Implantação'!D106,'Pré Implantação'!L106),""),"")</f>
        <v/>
      </c>
      <c r="L106" s="34" t="str">
        <f>IFERROR(IF('Pré Implantação'!B106="CSE Microsoft",AVERAGE('Pré Implantação'!D106,'Pré Implantação'!L106),""),"")</f>
        <v/>
      </c>
      <c r="M106" s="34" t="str">
        <f>IFERROR(IF('Pré Implantação'!B106="CSE Telecom",AVERAGE('Pré Implantação'!D106,'Pré Implantação'!L106),""),"")</f>
        <v/>
      </c>
      <c r="N106" s="34" t="str">
        <f>IFERROR(IF('Pré Implantação'!B106="Site Suporte de Campo",AVERAGE('Pré Implantação'!D106,'Pré Implantação'!L106),""),"")</f>
        <v/>
      </c>
      <c r="O106" s="49" t="str">
        <f>IFERROR(IF('Pré Implantação'!B106="Infraestrutura",AVERAGE('Pré Implantação'!D106,'Pré Implantação'!L106),""),"")</f>
        <v/>
      </c>
    </row>
    <row r="107" spans="1:15" x14ac:dyDescent="0.3">
      <c r="A107" s="33">
        <f>'Pré Implantação'!A107</f>
        <v>0</v>
      </c>
      <c r="B107" s="36">
        <f>'Pré Implantação'!C107</f>
        <v>0</v>
      </c>
      <c r="C107" s="34" t="str">
        <f>IFERROR(IF('Pré Implantação'!B107="Produção TI",AVERAGE('Pré Implantação'!D107,'Pré Implantação'!L107,'Pré Implantação'!E107,'Pré Implantação'!H107),AVERAGE('Pré Implantação'!E107,'Pré Implantação'!H107)),"")</f>
        <v/>
      </c>
      <c r="D107" s="34" t="str">
        <f>IFERROR(IF('Pré Implantação'!B107="CSC Service Desk",AVERAGE('Pré Implantação'!D107,'Pré Implantação'!L107,'Pré Implantação'!F107),AVERAGE('Pré Implantação'!F107)),"")</f>
        <v/>
      </c>
      <c r="E107" s="34" t="str">
        <f>IFERROR(IF('Pré Implantação'!B107="CSC NOC",AVERAGE('Pré Implantação'!D107,'Pré Implantação'!L107,'Pré Implantação'!G107),AVERAGE('Pré Implantação'!G107)),"")</f>
        <v/>
      </c>
      <c r="F107" s="34" t="str">
        <f>IFERROR(IF('Pré Implantação'!B107="CSE Gravadores",AVERAGE('Pré Implantação'!D107,'Pré Implantação'!L107,'Pré Implantação'!I107),AVERAGE('Pré Implantação'!I107)),"")</f>
        <v/>
      </c>
      <c r="G107" s="34" t="str">
        <f>IFERROR(IF('Pré Implantação'!B107="CSC",AVERAGE('Pré Implantação'!D107,'Pré Implantação'!L107,'Pré Implantação'!J107),AVERAGE('Pré Implantação'!J107)),"")</f>
        <v/>
      </c>
      <c r="H107" s="34" t="str">
        <f>IFERROR(IF('Pré Implantação'!B107="Operações \ Negócio",AVERAGE('Pré Implantação'!D107,'Pré Implantação'!L107,'Pré Implantação'!K107),AVERAGE('Pré Implantação'!K107)),"")</f>
        <v/>
      </c>
      <c r="I107" s="34" t="str">
        <f>IFERROR(IF('Pré Implantação'!B107="Projetos",AVERAGE('Pré Implantação'!D107,'Pré Implantação'!L107,'Pré Implantação'!M107),AVERAGE('Pré Implantação'!M107)),"")</f>
        <v/>
      </c>
      <c r="J107" s="34" t="str">
        <f>IFERROR(IF('Pré Implantação'!B107="Engenharia",AVERAGE('Pré Implantação'!D107,'Pré Implantação'!L107,'Pré Implantação'!N107),AVERAGE('Pré Implantação'!N107)),"")</f>
        <v/>
      </c>
      <c r="K107" s="34" t="str">
        <f>IFERROR(IF('Pré Implantação'!B107="URA",AVERAGE('Pré Implantação'!D107,'Pré Implantação'!L107),""),"")</f>
        <v/>
      </c>
      <c r="L107" s="34" t="str">
        <f>IFERROR(IF('Pré Implantação'!B107="CSE Microsoft",AVERAGE('Pré Implantação'!D107,'Pré Implantação'!L107),""),"")</f>
        <v/>
      </c>
      <c r="M107" s="34" t="str">
        <f>IFERROR(IF('Pré Implantação'!B107="CSE Telecom",AVERAGE('Pré Implantação'!D107,'Pré Implantação'!L107),""),"")</f>
        <v/>
      </c>
      <c r="N107" s="34" t="str">
        <f>IFERROR(IF('Pré Implantação'!B107="Site Suporte de Campo",AVERAGE('Pré Implantação'!D107,'Pré Implantação'!L107),""),"")</f>
        <v/>
      </c>
      <c r="O107" s="49" t="str">
        <f>IFERROR(IF('Pré Implantação'!B107="Infraestrutura",AVERAGE('Pré Implantação'!D107,'Pré Implantação'!L107),""),"")</f>
        <v/>
      </c>
    </row>
    <row r="108" spans="1:15" x14ac:dyDescent="0.3">
      <c r="A108" s="33">
        <f>'Pré Implantação'!A108</f>
        <v>0</v>
      </c>
      <c r="B108" s="36">
        <f>'Pré Implantação'!C108</f>
        <v>0</v>
      </c>
      <c r="C108" s="34" t="str">
        <f>IFERROR(IF('Pré Implantação'!B108="Produção TI",AVERAGE('Pré Implantação'!D108,'Pré Implantação'!L108,'Pré Implantação'!E108,'Pré Implantação'!H108),AVERAGE('Pré Implantação'!E108,'Pré Implantação'!H108)),"")</f>
        <v/>
      </c>
      <c r="D108" s="34" t="str">
        <f>IFERROR(IF('Pré Implantação'!B108="CSC Service Desk",AVERAGE('Pré Implantação'!D108,'Pré Implantação'!L108,'Pré Implantação'!F108),AVERAGE('Pré Implantação'!F108)),"")</f>
        <v/>
      </c>
      <c r="E108" s="34" t="str">
        <f>IFERROR(IF('Pré Implantação'!B108="CSC NOC",AVERAGE('Pré Implantação'!D108,'Pré Implantação'!L108,'Pré Implantação'!G108),AVERAGE('Pré Implantação'!G108)),"")</f>
        <v/>
      </c>
      <c r="F108" s="34" t="str">
        <f>IFERROR(IF('Pré Implantação'!B108="CSE Gravadores",AVERAGE('Pré Implantação'!D108,'Pré Implantação'!L108,'Pré Implantação'!I108),AVERAGE('Pré Implantação'!I108)),"")</f>
        <v/>
      </c>
      <c r="G108" s="34" t="str">
        <f>IFERROR(IF('Pré Implantação'!B108="CSC",AVERAGE('Pré Implantação'!D108,'Pré Implantação'!L108,'Pré Implantação'!J108),AVERAGE('Pré Implantação'!J108)),"")</f>
        <v/>
      </c>
      <c r="H108" s="34" t="str">
        <f>IFERROR(IF('Pré Implantação'!B108="Operações \ Negócio",AVERAGE('Pré Implantação'!D108,'Pré Implantação'!L108,'Pré Implantação'!K108),AVERAGE('Pré Implantação'!K108)),"")</f>
        <v/>
      </c>
      <c r="I108" s="34" t="str">
        <f>IFERROR(IF('Pré Implantação'!B108="Projetos",AVERAGE('Pré Implantação'!D108,'Pré Implantação'!L108,'Pré Implantação'!M108),AVERAGE('Pré Implantação'!M108)),"")</f>
        <v/>
      </c>
      <c r="J108" s="34" t="str">
        <f>IFERROR(IF('Pré Implantação'!B108="Engenharia",AVERAGE('Pré Implantação'!D108,'Pré Implantação'!L108,'Pré Implantação'!N108),AVERAGE('Pré Implantação'!N108)),"")</f>
        <v/>
      </c>
      <c r="K108" s="34" t="str">
        <f>IFERROR(IF('Pré Implantação'!B108="URA",AVERAGE('Pré Implantação'!D108,'Pré Implantação'!L108),""),"")</f>
        <v/>
      </c>
      <c r="L108" s="34" t="str">
        <f>IFERROR(IF('Pré Implantação'!B108="CSE Microsoft",AVERAGE('Pré Implantação'!D108,'Pré Implantação'!L108),""),"")</f>
        <v/>
      </c>
      <c r="M108" s="34" t="str">
        <f>IFERROR(IF('Pré Implantação'!B108="CSE Telecom",AVERAGE('Pré Implantação'!D108,'Pré Implantação'!L108),""),"")</f>
        <v/>
      </c>
      <c r="N108" s="34" t="str">
        <f>IFERROR(IF('Pré Implantação'!B108="Site Suporte de Campo",AVERAGE('Pré Implantação'!D108,'Pré Implantação'!L108),""),"")</f>
        <v/>
      </c>
      <c r="O108" s="49" t="str">
        <f>IFERROR(IF('Pré Implantação'!B108="Infraestrutura",AVERAGE('Pré Implantação'!D108,'Pré Implantação'!L108),""),"")</f>
        <v/>
      </c>
    </row>
    <row r="109" spans="1:15" x14ac:dyDescent="0.3">
      <c r="A109" s="33">
        <f>'Pré Implantação'!A109</f>
        <v>0</v>
      </c>
      <c r="B109" s="36">
        <f>'Pré Implantação'!C109</f>
        <v>0</v>
      </c>
      <c r="C109" s="34" t="str">
        <f>IFERROR(IF('Pré Implantação'!B109="Produção TI",AVERAGE('Pré Implantação'!D109,'Pré Implantação'!L109,'Pré Implantação'!E109,'Pré Implantação'!H109),AVERAGE('Pré Implantação'!E109,'Pré Implantação'!H109)),"")</f>
        <v/>
      </c>
      <c r="D109" s="34" t="str">
        <f>IFERROR(IF('Pré Implantação'!B109="CSC Service Desk",AVERAGE('Pré Implantação'!D109,'Pré Implantação'!L109,'Pré Implantação'!F109),AVERAGE('Pré Implantação'!F109)),"")</f>
        <v/>
      </c>
      <c r="E109" s="34" t="str">
        <f>IFERROR(IF('Pré Implantação'!B109="CSC NOC",AVERAGE('Pré Implantação'!D109,'Pré Implantação'!L109,'Pré Implantação'!G109),AVERAGE('Pré Implantação'!G109)),"")</f>
        <v/>
      </c>
      <c r="F109" s="34" t="str">
        <f>IFERROR(IF('Pré Implantação'!B109="CSE Gravadores",AVERAGE('Pré Implantação'!D109,'Pré Implantação'!L109,'Pré Implantação'!I109),AVERAGE('Pré Implantação'!I109)),"")</f>
        <v/>
      </c>
      <c r="G109" s="34" t="str">
        <f>IFERROR(IF('Pré Implantação'!B109="CSC",AVERAGE('Pré Implantação'!D109,'Pré Implantação'!L109,'Pré Implantação'!J109),AVERAGE('Pré Implantação'!J109)),"")</f>
        <v/>
      </c>
      <c r="H109" s="34" t="str">
        <f>IFERROR(IF('Pré Implantação'!B109="Operações \ Negócio",AVERAGE('Pré Implantação'!D109,'Pré Implantação'!L109,'Pré Implantação'!K109),AVERAGE('Pré Implantação'!K109)),"")</f>
        <v/>
      </c>
      <c r="I109" s="34" t="str">
        <f>IFERROR(IF('Pré Implantação'!B109="Projetos",AVERAGE('Pré Implantação'!D109,'Pré Implantação'!L109,'Pré Implantação'!M109),AVERAGE('Pré Implantação'!M109)),"")</f>
        <v/>
      </c>
      <c r="J109" s="34" t="str">
        <f>IFERROR(IF('Pré Implantação'!B109="Engenharia",AVERAGE('Pré Implantação'!D109,'Pré Implantação'!L109,'Pré Implantação'!N109),AVERAGE('Pré Implantação'!N109)),"")</f>
        <v/>
      </c>
      <c r="K109" s="34" t="str">
        <f>IFERROR(IF('Pré Implantação'!B109="URA",AVERAGE('Pré Implantação'!D109,'Pré Implantação'!L109),""),"")</f>
        <v/>
      </c>
      <c r="L109" s="34" t="str">
        <f>IFERROR(IF('Pré Implantação'!B109="CSE Microsoft",AVERAGE('Pré Implantação'!D109,'Pré Implantação'!L109),""),"")</f>
        <v/>
      </c>
      <c r="M109" s="34" t="str">
        <f>IFERROR(IF('Pré Implantação'!B109="CSE Telecom",AVERAGE('Pré Implantação'!D109,'Pré Implantação'!L109),""),"")</f>
        <v/>
      </c>
      <c r="N109" s="34" t="str">
        <f>IFERROR(IF('Pré Implantação'!B109="Site Suporte de Campo",AVERAGE('Pré Implantação'!D109,'Pré Implantação'!L109),""),"")</f>
        <v/>
      </c>
      <c r="O109" s="49" t="str">
        <f>IFERROR(IF('Pré Implantação'!B109="Infraestrutura",AVERAGE('Pré Implantação'!D109,'Pré Implantação'!L109),""),"")</f>
        <v/>
      </c>
    </row>
    <row r="110" spans="1:15" x14ac:dyDescent="0.3">
      <c r="A110" s="33">
        <f>'Pré Implantação'!A110</f>
        <v>0</v>
      </c>
      <c r="B110" s="36">
        <f>'Pré Implantação'!C110</f>
        <v>0</v>
      </c>
      <c r="C110" s="34" t="str">
        <f>IFERROR(IF('Pré Implantação'!B110="Produção TI",AVERAGE('Pré Implantação'!D110,'Pré Implantação'!L110,'Pré Implantação'!E110,'Pré Implantação'!H110),AVERAGE('Pré Implantação'!E110,'Pré Implantação'!H110)),"")</f>
        <v/>
      </c>
      <c r="D110" s="34" t="str">
        <f>IFERROR(IF('Pré Implantação'!B110="CSC Service Desk",AVERAGE('Pré Implantação'!D110,'Pré Implantação'!L110,'Pré Implantação'!F110),AVERAGE('Pré Implantação'!F110)),"")</f>
        <v/>
      </c>
      <c r="E110" s="34" t="str">
        <f>IFERROR(IF('Pré Implantação'!B110="CSC NOC",AVERAGE('Pré Implantação'!D110,'Pré Implantação'!L110,'Pré Implantação'!G110),AVERAGE('Pré Implantação'!G110)),"")</f>
        <v/>
      </c>
      <c r="F110" s="34" t="str">
        <f>IFERROR(IF('Pré Implantação'!B110="CSE Gravadores",AVERAGE('Pré Implantação'!D110,'Pré Implantação'!L110,'Pré Implantação'!I110),AVERAGE('Pré Implantação'!I110)),"")</f>
        <v/>
      </c>
      <c r="G110" s="34" t="str">
        <f>IFERROR(IF('Pré Implantação'!B110="CSC",AVERAGE('Pré Implantação'!D110,'Pré Implantação'!L110,'Pré Implantação'!J110),AVERAGE('Pré Implantação'!J110)),"")</f>
        <v/>
      </c>
      <c r="H110" s="34" t="str">
        <f>IFERROR(IF('Pré Implantação'!B110="Operações \ Negócio",AVERAGE('Pré Implantação'!D110,'Pré Implantação'!L110,'Pré Implantação'!K110),AVERAGE('Pré Implantação'!K110)),"")</f>
        <v/>
      </c>
      <c r="I110" s="34" t="str">
        <f>IFERROR(IF('Pré Implantação'!B110="Projetos",AVERAGE('Pré Implantação'!D110,'Pré Implantação'!L110,'Pré Implantação'!M110),AVERAGE('Pré Implantação'!M110)),"")</f>
        <v/>
      </c>
      <c r="J110" s="34" t="str">
        <f>IFERROR(IF('Pré Implantação'!B110="Engenharia",AVERAGE('Pré Implantação'!D110,'Pré Implantação'!L110,'Pré Implantação'!N110),AVERAGE('Pré Implantação'!N110)),"")</f>
        <v/>
      </c>
      <c r="K110" s="34" t="str">
        <f>IFERROR(IF('Pré Implantação'!B110="URA",AVERAGE('Pré Implantação'!D110,'Pré Implantação'!L110),""),"")</f>
        <v/>
      </c>
      <c r="L110" s="34" t="str">
        <f>IFERROR(IF('Pré Implantação'!B110="CSE Microsoft",AVERAGE('Pré Implantação'!D110,'Pré Implantação'!L110),""),"")</f>
        <v/>
      </c>
      <c r="M110" s="34" t="str">
        <f>IFERROR(IF('Pré Implantação'!B110="CSE Telecom",AVERAGE('Pré Implantação'!D110,'Pré Implantação'!L110),""),"")</f>
        <v/>
      </c>
      <c r="N110" s="34" t="str">
        <f>IFERROR(IF('Pré Implantação'!B110="Site Suporte de Campo",AVERAGE('Pré Implantação'!D110,'Pré Implantação'!L110),""),"")</f>
        <v/>
      </c>
      <c r="O110" s="49" t="str">
        <f>IFERROR(IF('Pré Implantação'!B110="Infraestrutura",AVERAGE('Pré Implantação'!D110,'Pré Implantação'!L110),""),"")</f>
        <v/>
      </c>
    </row>
    <row r="111" spans="1:15" x14ac:dyDescent="0.3">
      <c r="A111" s="33">
        <f>'Pré Implantação'!A111</f>
        <v>0</v>
      </c>
      <c r="B111" s="36">
        <f>'Pré Implantação'!C111</f>
        <v>0</v>
      </c>
      <c r="C111" s="34" t="str">
        <f>IFERROR(IF('Pré Implantação'!B111="Produção TI",AVERAGE('Pré Implantação'!D111,'Pré Implantação'!L111,'Pré Implantação'!E111,'Pré Implantação'!H111),AVERAGE('Pré Implantação'!E111,'Pré Implantação'!H111)),"")</f>
        <v/>
      </c>
      <c r="D111" s="34" t="str">
        <f>IFERROR(IF('Pré Implantação'!B111="CSC Service Desk",AVERAGE('Pré Implantação'!D111,'Pré Implantação'!L111,'Pré Implantação'!F111),AVERAGE('Pré Implantação'!F111)),"")</f>
        <v/>
      </c>
      <c r="E111" s="34" t="str">
        <f>IFERROR(IF('Pré Implantação'!B111="CSC NOC",AVERAGE('Pré Implantação'!D111,'Pré Implantação'!L111,'Pré Implantação'!G111),AVERAGE('Pré Implantação'!G111)),"")</f>
        <v/>
      </c>
      <c r="F111" s="34" t="str">
        <f>IFERROR(IF('Pré Implantação'!B111="CSE Gravadores",AVERAGE('Pré Implantação'!D111,'Pré Implantação'!L111,'Pré Implantação'!I111),AVERAGE('Pré Implantação'!I111)),"")</f>
        <v/>
      </c>
      <c r="G111" s="34" t="str">
        <f>IFERROR(IF('Pré Implantação'!B111="CSC",AVERAGE('Pré Implantação'!D111,'Pré Implantação'!L111,'Pré Implantação'!J111),AVERAGE('Pré Implantação'!J111)),"")</f>
        <v/>
      </c>
      <c r="H111" s="34" t="str">
        <f>IFERROR(IF('Pré Implantação'!B111="Operações \ Negócio",AVERAGE('Pré Implantação'!D111,'Pré Implantação'!L111,'Pré Implantação'!K111),AVERAGE('Pré Implantação'!K111)),"")</f>
        <v/>
      </c>
      <c r="I111" s="34" t="str">
        <f>IFERROR(IF('Pré Implantação'!B111="Projetos",AVERAGE('Pré Implantação'!D111,'Pré Implantação'!L111,'Pré Implantação'!M111),AVERAGE('Pré Implantação'!M111)),"")</f>
        <v/>
      </c>
      <c r="J111" s="34" t="str">
        <f>IFERROR(IF('Pré Implantação'!B111="Engenharia",AVERAGE('Pré Implantação'!D111,'Pré Implantação'!L111,'Pré Implantação'!N111),AVERAGE('Pré Implantação'!N111)),"")</f>
        <v/>
      </c>
      <c r="K111" s="34" t="str">
        <f>IFERROR(IF('Pré Implantação'!B111="URA",AVERAGE('Pré Implantação'!D111,'Pré Implantação'!L111),""),"")</f>
        <v/>
      </c>
      <c r="L111" s="34" t="str">
        <f>IFERROR(IF('Pré Implantação'!B111="CSE Microsoft",AVERAGE('Pré Implantação'!D111,'Pré Implantação'!L111),""),"")</f>
        <v/>
      </c>
      <c r="M111" s="34" t="str">
        <f>IFERROR(IF('Pré Implantação'!B111="CSE Telecom",AVERAGE('Pré Implantação'!D111,'Pré Implantação'!L111),""),"")</f>
        <v/>
      </c>
      <c r="N111" s="34" t="str">
        <f>IFERROR(IF('Pré Implantação'!B111="Site Suporte de Campo",AVERAGE('Pré Implantação'!D111,'Pré Implantação'!L111),""),"")</f>
        <v/>
      </c>
      <c r="O111" s="49" t="str">
        <f>IFERROR(IF('Pré Implantação'!B111="Infraestrutura",AVERAGE('Pré Implantação'!D111,'Pré Implantação'!L111),""),"")</f>
        <v/>
      </c>
    </row>
    <row r="112" spans="1:15" x14ac:dyDescent="0.3">
      <c r="A112" s="33">
        <f>'Pré Implantação'!A112</f>
        <v>0</v>
      </c>
      <c r="B112" s="36">
        <f>'Pré Implantação'!C112</f>
        <v>0</v>
      </c>
      <c r="C112" s="34" t="str">
        <f>IFERROR(IF('Pré Implantação'!B112="Produção TI",AVERAGE('Pré Implantação'!D112,'Pré Implantação'!L112,'Pré Implantação'!E112,'Pré Implantação'!H112),AVERAGE('Pré Implantação'!E112,'Pré Implantação'!H112)),"")</f>
        <v/>
      </c>
      <c r="D112" s="34" t="str">
        <f>IFERROR(IF('Pré Implantação'!B112="CSC Service Desk",AVERAGE('Pré Implantação'!D112,'Pré Implantação'!L112,'Pré Implantação'!F112),AVERAGE('Pré Implantação'!F112)),"")</f>
        <v/>
      </c>
      <c r="E112" s="34" t="str">
        <f>IFERROR(IF('Pré Implantação'!B112="CSC NOC",AVERAGE('Pré Implantação'!D112,'Pré Implantação'!L112,'Pré Implantação'!G112),AVERAGE('Pré Implantação'!G112)),"")</f>
        <v/>
      </c>
      <c r="F112" s="34" t="str">
        <f>IFERROR(IF('Pré Implantação'!B112="CSE Gravadores",AVERAGE('Pré Implantação'!D112,'Pré Implantação'!L112,'Pré Implantação'!I112),AVERAGE('Pré Implantação'!I112)),"")</f>
        <v/>
      </c>
      <c r="G112" s="34" t="str">
        <f>IFERROR(IF('Pré Implantação'!B112="CSC",AVERAGE('Pré Implantação'!D112,'Pré Implantação'!L112,'Pré Implantação'!J112),AVERAGE('Pré Implantação'!J112)),"")</f>
        <v/>
      </c>
      <c r="H112" s="34" t="str">
        <f>IFERROR(IF('Pré Implantação'!B112="Operações \ Negócio",AVERAGE('Pré Implantação'!D112,'Pré Implantação'!L112,'Pré Implantação'!K112),AVERAGE('Pré Implantação'!K112)),"")</f>
        <v/>
      </c>
      <c r="I112" s="34" t="str">
        <f>IFERROR(IF('Pré Implantação'!B112="Projetos",AVERAGE('Pré Implantação'!D112,'Pré Implantação'!L112,'Pré Implantação'!M112),AVERAGE('Pré Implantação'!M112)),"")</f>
        <v/>
      </c>
      <c r="J112" s="34" t="str">
        <f>IFERROR(IF('Pré Implantação'!B112="Engenharia",AVERAGE('Pré Implantação'!D112,'Pré Implantação'!L112,'Pré Implantação'!N112),AVERAGE('Pré Implantação'!N112)),"")</f>
        <v/>
      </c>
      <c r="K112" s="34" t="str">
        <f>IFERROR(IF('Pré Implantação'!B112="URA",AVERAGE('Pré Implantação'!D112,'Pré Implantação'!L112),""),"")</f>
        <v/>
      </c>
      <c r="L112" s="34" t="str">
        <f>IFERROR(IF('Pré Implantação'!B112="CSE Microsoft",AVERAGE('Pré Implantação'!D112,'Pré Implantação'!L112),""),"")</f>
        <v/>
      </c>
      <c r="M112" s="34" t="str">
        <f>IFERROR(IF('Pré Implantação'!B112="CSE Telecom",AVERAGE('Pré Implantação'!D112,'Pré Implantação'!L112),""),"")</f>
        <v/>
      </c>
      <c r="N112" s="34" t="str">
        <f>IFERROR(IF('Pré Implantação'!B112="Site Suporte de Campo",AVERAGE('Pré Implantação'!D112,'Pré Implantação'!L112),""),"")</f>
        <v/>
      </c>
      <c r="O112" s="49" t="str">
        <f>IFERROR(IF('Pré Implantação'!B112="Infraestrutura",AVERAGE('Pré Implantação'!D112,'Pré Implantação'!L112),""),"")</f>
        <v/>
      </c>
    </row>
    <row r="113" spans="1:15" x14ac:dyDescent="0.3">
      <c r="A113" s="33">
        <f>'Pré Implantação'!A113</f>
        <v>0</v>
      </c>
      <c r="B113" s="36">
        <f>'Pré Implantação'!C113</f>
        <v>0</v>
      </c>
      <c r="C113" s="34" t="str">
        <f>IFERROR(IF('Pré Implantação'!B113="Produção TI",AVERAGE('Pré Implantação'!D113,'Pré Implantação'!L113,'Pré Implantação'!E113,'Pré Implantação'!H113),AVERAGE('Pré Implantação'!E113,'Pré Implantação'!H113)),"")</f>
        <v/>
      </c>
      <c r="D113" s="34" t="str">
        <f>IFERROR(IF('Pré Implantação'!B113="CSC Service Desk",AVERAGE('Pré Implantação'!D113,'Pré Implantação'!L113,'Pré Implantação'!F113),AVERAGE('Pré Implantação'!F113)),"")</f>
        <v/>
      </c>
      <c r="E113" s="34" t="str">
        <f>IFERROR(IF('Pré Implantação'!B113="CSC NOC",AVERAGE('Pré Implantação'!D113,'Pré Implantação'!L113,'Pré Implantação'!G113),AVERAGE('Pré Implantação'!G113)),"")</f>
        <v/>
      </c>
      <c r="F113" s="34" t="str">
        <f>IFERROR(IF('Pré Implantação'!B113="CSE Gravadores",AVERAGE('Pré Implantação'!D113,'Pré Implantação'!L113,'Pré Implantação'!I113),AVERAGE('Pré Implantação'!I113)),"")</f>
        <v/>
      </c>
      <c r="G113" s="34" t="str">
        <f>IFERROR(IF('Pré Implantação'!B113="CSC",AVERAGE('Pré Implantação'!D113,'Pré Implantação'!L113,'Pré Implantação'!J113),AVERAGE('Pré Implantação'!J113)),"")</f>
        <v/>
      </c>
      <c r="H113" s="34" t="str">
        <f>IFERROR(IF('Pré Implantação'!B113="Operações \ Negócio",AVERAGE('Pré Implantação'!D113,'Pré Implantação'!L113,'Pré Implantação'!K113),AVERAGE('Pré Implantação'!K113)),"")</f>
        <v/>
      </c>
      <c r="I113" s="34" t="str">
        <f>IFERROR(IF('Pré Implantação'!B113="Projetos",AVERAGE('Pré Implantação'!D113,'Pré Implantação'!L113,'Pré Implantação'!M113),AVERAGE('Pré Implantação'!M113)),"")</f>
        <v/>
      </c>
      <c r="J113" s="34" t="str">
        <f>IFERROR(IF('Pré Implantação'!B113="Engenharia",AVERAGE('Pré Implantação'!D113,'Pré Implantação'!L113,'Pré Implantação'!N113),AVERAGE('Pré Implantação'!N113)),"")</f>
        <v/>
      </c>
      <c r="K113" s="34" t="str">
        <f>IFERROR(IF('Pré Implantação'!B113="URA",AVERAGE('Pré Implantação'!D113,'Pré Implantação'!L113),""),"")</f>
        <v/>
      </c>
      <c r="L113" s="34" t="str">
        <f>IFERROR(IF('Pré Implantação'!B113="CSE Microsoft",AVERAGE('Pré Implantação'!D113,'Pré Implantação'!L113),""),"")</f>
        <v/>
      </c>
      <c r="M113" s="34" t="str">
        <f>IFERROR(IF('Pré Implantação'!B113="CSE Telecom",AVERAGE('Pré Implantação'!D113,'Pré Implantação'!L113),""),"")</f>
        <v/>
      </c>
      <c r="N113" s="34" t="str">
        <f>IFERROR(IF('Pré Implantação'!B113="Site Suporte de Campo",AVERAGE('Pré Implantação'!D113,'Pré Implantação'!L113),""),"")</f>
        <v/>
      </c>
      <c r="O113" s="49" t="str">
        <f>IFERROR(IF('Pré Implantação'!B113="Infraestrutura",AVERAGE('Pré Implantação'!D113,'Pré Implantação'!L113),""),"")</f>
        <v/>
      </c>
    </row>
    <row r="114" spans="1:15" x14ac:dyDescent="0.3">
      <c r="A114" s="33">
        <f>'Pré Implantação'!A114</f>
        <v>0</v>
      </c>
      <c r="B114" s="36">
        <f>'Pré Implantação'!C114</f>
        <v>0</v>
      </c>
      <c r="C114" s="34" t="str">
        <f>IFERROR(IF('Pré Implantação'!B114="Produção TI",AVERAGE('Pré Implantação'!D114,'Pré Implantação'!L114,'Pré Implantação'!E114,'Pré Implantação'!H114),AVERAGE('Pré Implantação'!E114,'Pré Implantação'!H114)),"")</f>
        <v/>
      </c>
      <c r="D114" s="34" t="str">
        <f>IFERROR(IF('Pré Implantação'!B114="CSC Service Desk",AVERAGE('Pré Implantação'!D114,'Pré Implantação'!L114,'Pré Implantação'!F114),AVERAGE('Pré Implantação'!F114)),"")</f>
        <v/>
      </c>
      <c r="E114" s="34" t="str">
        <f>IFERROR(IF('Pré Implantação'!B114="CSC NOC",AVERAGE('Pré Implantação'!D114,'Pré Implantação'!L114,'Pré Implantação'!G114),AVERAGE('Pré Implantação'!G114)),"")</f>
        <v/>
      </c>
      <c r="F114" s="34" t="str">
        <f>IFERROR(IF('Pré Implantação'!B114="CSE Gravadores",AVERAGE('Pré Implantação'!D114,'Pré Implantação'!L114,'Pré Implantação'!I114),AVERAGE('Pré Implantação'!I114)),"")</f>
        <v/>
      </c>
      <c r="G114" s="34" t="str">
        <f>IFERROR(IF('Pré Implantação'!B114="CSC",AVERAGE('Pré Implantação'!D114,'Pré Implantação'!L114,'Pré Implantação'!J114),AVERAGE('Pré Implantação'!J114)),"")</f>
        <v/>
      </c>
      <c r="H114" s="34" t="str">
        <f>IFERROR(IF('Pré Implantação'!B114="Operações \ Negócio",AVERAGE('Pré Implantação'!D114,'Pré Implantação'!L114,'Pré Implantação'!K114),AVERAGE('Pré Implantação'!K114)),"")</f>
        <v/>
      </c>
      <c r="I114" s="34" t="str">
        <f>IFERROR(IF('Pré Implantação'!B114="Projetos",AVERAGE('Pré Implantação'!D114,'Pré Implantação'!L114,'Pré Implantação'!M114),AVERAGE('Pré Implantação'!M114)),"")</f>
        <v/>
      </c>
      <c r="J114" s="34" t="str">
        <f>IFERROR(IF('Pré Implantação'!B114="Engenharia",AVERAGE('Pré Implantação'!D114,'Pré Implantação'!L114,'Pré Implantação'!N114),AVERAGE('Pré Implantação'!N114)),"")</f>
        <v/>
      </c>
      <c r="K114" s="34" t="str">
        <f>IFERROR(IF('Pré Implantação'!B114="URA",AVERAGE('Pré Implantação'!D114,'Pré Implantação'!L114),""),"")</f>
        <v/>
      </c>
      <c r="L114" s="34" t="str">
        <f>IFERROR(IF('Pré Implantação'!B114="CSE Microsoft",AVERAGE('Pré Implantação'!D114,'Pré Implantação'!L114),""),"")</f>
        <v/>
      </c>
      <c r="M114" s="34" t="str">
        <f>IFERROR(IF('Pré Implantação'!B114="CSE Telecom",AVERAGE('Pré Implantação'!D114,'Pré Implantação'!L114),""),"")</f>
        <v/>
      </c>
      <c r="N114" s="34" t="str">
        <f>IFERROR(IF('Pré Implantação'!B114="Site Suporte de Campo",AVERAGE('Pré Implantação'!D114,'Pré Implantação'!L114),""),"")</f>
        <v/>
      </c>
      <c r="O114" s="49" t="str">
        <f>IFERROR(IF('Pré Implantação'!B114="Infraestrutura",AVERAGE('Pré Implantação'!D114,'Pré Implantação'!L114),""),"")</f>
        <v/>
      </c>
    </row>
    <row r="115" spans="1:15" x14ac:dyDescent="0.3">
      <c r="A115" s="33">
        <f>'Pré Implantação'!A115</f>
        <v>0</v>
      </c>
      <c r="B115" s="36">
        <f>'Pré Implantação'!C115</f>
        <v>0</v>
      </c>
      <c r="C115" s="34" t="str">
        <f>IFERROR(IF('Pré Implantação'!B115="Produção TI",AVERAGE('Pré Implantação'!D115,'Pré Implantação'!L115,'Pré Implantação'!E115,'Pré Implantação'!H115),AVERAGE('Pré Implantação'!E115,'Pré Implantação'!H115)),"")</f>
        <v/>
      </c>
      <c r="D115" s="34" t="str">
        <f>IFERROR(IF('Pré Implantação'!B115="CSC Service Desk",AVERAGE('Pré Implantação'!D115,'Pré Implantação'!L115,'Pré Implantação'!F115),AVERAGE('Pré Implantação'!F115)),"")</f>
        <v/>
      </c>
      <c r="E115" s="34" t="str">
        <f>IFERROR(IF('Pré Implantação'!B115="CSC NOC",AVERAGE('Pré Implantação'!D115,'Pré Implantação'!L115,'Pré Implantação'!G115),AVERAGE('Pré Implantação'!G115)),"")</f>
        <v/>
      </c>
      <c r="F115" s="34" t="str">
        <f>IFERROR(IF('Pré Implantação'!B115="CSE Gravadores",AVERAGE('Pré Implantação'!D115,'Pré Implantação'!L115,'Pré Implantação'!I115),AVERAGE('Pré Implantação'!I115)),"")</f>
        <v/>
      </c>
      <c r="G115" s="34" t="str">
        <f>IFERROR(IF('Pré Implantação'!B115="CSC",AVERAGE('Pré Implantação'!D115,'Pré Implantação'!L115,'Pré Implantação'!J115),AVERAGE('Pré Implantação'!J115)),"")</f>
        <v/>
      </c>
      <c r="H115" s="34" t="str">
        <f>IFERROR(IF('Pré Implantação'!B115="Operações \ Negócio",AVERAGE('Pré Implantação'!D115,'Pré Implantação'!L115,'Pré Implantação'!K115),AVERAGE('Pré Implantação'!K115)),"")</f>
        <v/>
      </c>
      <c r="I115" s="34" t="str">
        <f>IFERROR(IF('Pré Implantação'!B115="Projetos",AVERAGE('Pré Implantação'!D115,'Pré Implantação'!L115,'Pré Implantação'!M115),AVERAGE('Pré Implantação'!M115)),"")</f>
        <v/>
      </c>
      <c r="J115" s="34" t="str">
        <f>IFERROR(IF('Pré Implantação'!B115="Engenharia",AVERAGE('Pré Implantação'!D115,'Pré Implantação'!L115,'Pré Implantação'!N115),AVERAGE('Pré Implantação'!N115)),"")</f>
        <v/>
      </c>
      <c r="K115" s="34" t="str">
        <f>IFERROR(IF('Pré Implantação'!B115="URA",AVERAGE('Pré Implantação'!D115,'Pré Implantação'!L115),""),"")</f>
        <v/>
      </c>
      <c r="L115" s="34" t="str">
        <f>IFERROR(IF('Pré Implantação'!B115="CSE Microsoft",AVERAGE('Pré Implantação'!D115,'Pré Implantação'!L115),""),"")</f>
        <v/>
      </c>
      <c r="M115" s="34" t="str">
        <f>IFERROR(IF('Pré Implantação'!B115="CSE Telecom",AVERAGE('Pré Implantação'!D115,'Pré Implantação'!L115),""),"")</f>
        <v/>
      </c>
      <c r="N115" s="34" t="str">
        <f>IFERROR(IF('Pré Implantação'!B115="Site Suporte de Campo",AVERAGE('Pré Implantação'!D115,'Pré Implantação'!L115),""),"")</f>
        <v/>
      </c>
      <c r="O115" s="49" t="str">
        <f>IFERROR(IF('Pré Implantação'!B115="Infraestrutura",AVERAGE('Pré Implantação'!D115,'Pré Implantação'!L115),""),"")</f>
        <v/>
      </c>
    </row>
    <row r="116" spans="1:15" x14ac:dyDescent="0.3">
      <c r="A116" s="33">
        <f>'Pré Implantação'!A116</f>
        <v>0</v>
      </c>
      <c r="B116" s="36">
        <f>'Pré Implantação'!C116</f>
        <v>0</v>
      </c>
      <c r="C116" s="34" t="str">
        <f>IFERROR(IF('Pré Implantação'!B116="Produção TI",AVERAGE('Pré Implantação'!D116,'Pré Implantação'!L116,'Pré Implantação'!E116,'Pré Implantação'!H116),AVERAGE('Pré Implantação'!E116,'Pré Implantação'!H116)),"")</f>
        <v/>
      </c>
      <c r="D116" s="34" t="str">
        <f>IFERROR(IF('Pré Implantação'!B116="CSC Service Desk",AVERAGE('Pré Implantação'!D116,'Pré Implantação'!L116,'Pré Implantação'!F116),AVERAGE('Pré Implantação'!F116)),"")</f>
        <v/>
      </c>
      <c r="E116" s="34" t="str">
        <f>IFERROR(IF('Pré Implantação'!B116="CSC NOC",AVERAGE('Pré Implantação'!D116,'Pré Implantação'!L116,'Pré Implantação'!G116),AVERAGE('Pré Implantação'!G116)),"")</f>
        <v/>
      </c>
      <c r="F116" s="34" t="str">
        <f>IFERROR(IF('Pré Implantação'!B116="CSE Gravadores",AVERAGE('Pré Implantação'!D116,'Pré Implantação'!L116,'Pré Implantação'!I116),AVERAGE('Pré Implantação'!I116)),"")</f>
        <v/>
      </c>
      <c r="G116" s="34" t="str">
        <f>IFERROR(IF('Pré Implantação'!B116="CSC",AVERAGE('Pré Implantação'!D116,'Pré Implantação'!L116,'Pré Implantação'!J116),AVERAGE('Pré Implantação'!J116)),"")</f>
        <v/>
      </c>
      <c r="H116" s="34" t="str">
        <f>IFERROR(IF('Pré Implantação'!B116="Operações \ Negócio",AVERAGE('Pré Implantação'!D116,'Pré Implantação'!L116,'Pré Implantação'!K116),AVERAGE('Pré Implantação'!K116)),"")</f>
        <v/>
      </c>
      <c r="I116" s="34" t="str">
        <f>IFERROR(IF('Pré Implantação'!B116="Projetos",AVERAGE('Pré Implantação'!D116,'Pré Implantação'!L116,'Pré Implantação'!M116),AVERAGE('Pré Implantação'!M116)),"")</f>
        <v/>
      </c>
      <c r="J116" s="34" t="str">
        <f>IFERROR(IF('Pré Implantação'!B116="Engenharia",AVERAGE('Pré Implantação'!D116,'Pré Implantação'!L116,'Pré Implantação'!N116),AVERAGE('Pré Implantação'!N116)),"")</f>
        <v/>
      </c>
      <c r="K116" s="34" t="str">
        <f>IFERROR(IF('Pré Implantação'!B116="URA",AVERAGE('Pré Implantação'!D116,'Pré Implantação'!L116),""),"")</f>
        <v/>
      </c>
      <c r="L116" s="34" t="str">
        <f>IFERROR(IF('Pré Implantação'!B116="CSE Microsoft",AVERAGE('Pré Implantação'!D116,'Pré Implantação'!L116),""),"")</f>
        <v/>
      </c>
      <c r="M116" s="34" t="str">
        <f>IFERROR(IF('Pré Implantação'!B116="CSE Telecom",AVERAGE('Pré Implantação'!D116,'Pré Implantação'!L116),""),"")</f>
        <v/>
      </c>
      <c r="N116" s="34" t="str">
        <f>IFERROR(IF('Pré Implantação'!B116="Site Suporte de Campo",AVERAGE('Pré Implantação'!D116,'Pré Implantação'!L116),""),"")</f>
        <v/>
      </c>
      <c r="O116" s="49" t="str">
        <f>IFERROR(IF('Pré Implantação'!B116="Infraestrutura",AVERAGE('Pré Implantação'!D116,'Pré Implantação'!L116),""),"")</f>
        <v/>
      </c>
    </row>
    <row r="117" spans="1:15" x14ac:dyDescent="0.3">
      <c r="A117" s="33">
        <f>'Pré Implantação'!A117</f>
        <v>0</v>
      </c>
      <c r="B117" s="36">
        <f>'Pré Implantação'!C117</f>
        <v>0</v>
      </c>
      <c r="C117" s="34" t="str">
        <f>IFERROR(IF('Pré Implantação'!B117="Produção TI",AVERAGE('Pré Implantação'!D117,'Pré Implantação'!L117,'Pré Implantação'!E117,'Pré Implantação'!H117),AVERAGE('Pré Implantação'!E117,'Pré Implantação'!H117)),"")</f>
        <v/>
      </c>
      <c r="D117" s="34" t="str">
        <f>IFERROR(IF('Pré Implantação'!B117="CSC Service Desk",AVERAGE('Pré Implantação'!D117,'Pré Implantação'!L117,'Pré Implantação'!F117),AVERAGE('Pré Implantação'!F117)),"")</f>
        <v/>
      </c>
      <c r="E117" s="34" t="str">
        <f>IFERROR(IF('Pré Implantação'!B117="CSC NOC",AVERAGE('Pré Implantação'!D117,'Pré Implantação'!L117,'Pré Implantação'!G117),AVERAGE('Pré Implantação'!G117)),"")</f>
        <v/>
      </c>
      <c r="F117" s="34" t="str">
        <f>IFERROR(IF('Pré Implantação'!B117="CSE Gravadores",AVERAGE('Pré Implantação'!D117,'Pré Implantação'!L117,'Pré Implantação'!I117),AVERAGE('Pré Implantação'!I117)),"")</f>
        <v/>
      </c>
      <c r="G117" s="34" t="str">
        <f>IFERROR(IF('Pré Implantação'!B117="CSC",AVERAGE('Pré Implantação'!D117,'Pré Implantação'!L117,'Pré Implantação'!J117),AVERAGE('Pré Implantação'!J117)),"")</f>
        <v/>
      </c>
      <c r="H117" s="34" t="str">
        <f>IFERROR(IF('Pré Implantação'!B117="Operações \ Negócio",AVERAGE('Pré Implantação'!D117,'Pré Implantação'!L117,'Pré Implantação'!K117),AVERAGE('Pré Implantação'!K117)),"")</f>
        <v/>
      </c>
      <c r="I117" s="34" t="str">
        <f>IFERROR(IF('Pré Implantação'!B117="Projetos",AVERAGE('Pré Implantação'!D117,'Pré Implantação'!L117,'Pré Implantação'!M117),AVERAGE('Pré Implantação'!M117)),"")</f>
        <v/>
      </c>
      <c r="J117" s="34" t="str">
        <f>IFERROR(IF('Pré Implantação'!B117="Engenharia",AVERAGE('Pré Implantação'!D117,'Pré Implantação'!L117,'Pré Implantação'!N117),AVERAGE('Pré Implantação'!N117)),"")</f>
        <v/>
      </c>
      <c r="K117" s="34" t="str">
        <f>IFERROR(IF('Pré Implantação'!B117="URA",AVERAGE('Pré Implantação'!D117,'Pré Implantação'!L117),""),"")</f>
        <v/>
      </c>
      <c r="L117" s="34" t="str">
        <f>IFERROR(IF('Pré Implantação'!B117="CSE Microsoft",AVERAGE('Pré Implantação'!D117,'Pré Implantação'!L117),""),"")</f>
        <v/>
      </c>
      <c r="M117" s="34" t="str">
        <f>IFERROR(IF('Pré Implantação'!B117="CSE Telecom",AVERAGE('Pré Implantação'!D117,'Pré Implantação'!L117),""),"")</f>
        <v/>
      </c>
      <c r="N117" s="34" t="str">
        <f>IFERROR(IF('Pré Implantação'!B117="Site Suporte de Campo",AVERAGE('Pré Implantação'!D117,'Pré Implantação'!L117),""),"")</f>
        <v/>
      </c>
      <c r="O117" s="49" t="str">
        <f>IFERROR(IF('Pré Implantação'!B117="Infraestrutura",AVERAGE('Pré Implantação'!D117,'Pré Implantação'!L117),""),"")</f>
        <v/>
      </c>
    </row>
    <row r="118" spans="1:15" x14ac:dyDescent="0.3">
      <c r="A118" s="33">
        <f>'Pré Implantação'!A118</f>
        <v>0</v>
      </c>
      <c r="B118" s="36">
        <f>'Pré Implantação'!C118</f>
        <v>0</v>
      </c>
      <c r="C118" s="34" t="str">
        <f>IFERROR(IF('Pré Implantação'!B118="Produção TI",AVERAGE('Pré Implantação'!D118,'Pré Implantação'!L118,'Pré Implantação'!E118,'Pré Implantação'!H118),AVERAGE('Pré Implantação'!E118,'Pré Implantação'!H118)),"")</f>
        <v/>
      </c>
      <c r="D118" s="34" t="str">
        <f>IFERROR(IF('Pré Implantação'!B118="CSC Service Desk",AVERAGE('Pré Implantação'!D118,'Pré Implantação'!L118,'Pré Implantação'!F118),AVERAGE('Pré Implantação'!F118)),"")</f>
        <v/>
      </c>
      <c r="E118" s="34" t="str">
        <f>IFERROR(IF('Pré Implantação'!B118="CSC NOC",AVERAGE('Pré Implantação'!D118,'Pré Implantação'!L118,'Pré Implantação'!G118),AVERAGE('Pré Implantação'!G118)),"")</f>
        <v/>
      </c>
      <c r="F118" s="34" t="str">
        <f>IFERROR(IF('Pré Implantação'!B118="CSE Gravadores",AVERAGE('Pré Implantação'!D118,'Pré Implantação'!L118,'Pré Implantação'!I118),AVERAGE('Pré Implantação'!I118)),"")</f>
        <v/>
      </c>
      <c r="G118" s="34" t="str">
        <f>IFERROR(IF('Pré Implantação'!B118="CSC",AVERAGE('Pré Implantação'!D118,'Pré Implantação'!L118,'Pré Implantação'!J118),AVERAGE('Pré Implantação'!J118)),"")</f>
        <v/>
      </c>
      <c r="H118" s="34" t="str">
        <f>IFERROR(IF('Pré Implantação'!B118="Operações \ Negócio",AVERAGE('Pré Implantação'!D118,'Pré Implantação'!L118,'Pré Implantação'!K118),AVERAGE('Pré Implantação'!K118)),"")</f>
        <v/>
      </c>
      <c r="I118" s="34" t="str">
        <f>IFERROR(IF('Pré Implantação'!B118="Projetos",AVERAGE('Pré Implantação'!D118,'Pré Implantação'!L118,'Pré Implantação'!M118),AVERAGE('Pré Implantação'!M118)),"")</f>
        <v/>
      </c>
      <c r="J118" s="34" t="str">
        <f>IFERROR(IF('Pré Implantação'!B118="Engenharia",AVERAGE('Pré Implantação'!D118,'Pré Implantação'!L118,'Pré Implantação'!N118),AVERAGE('Pré Implantação'!N118)),"")</f>
        <v/>
      </c>
      <c r="K118" s="34" t="str">
        <f>IFERROR(IF('Pré Implantação'!B118="URA",AVERAGE('Pré Implantação'!D118,'Pré Implantação'!L118),""),"")</f>
        <v/>
      </c>
      <c r="L118" s="34" t="str">
        <f>IFERROR(IF('Pré Implantação'!B118="CSE Microsoft",AVERAGE('Pré Implantação'!D118,'Pré Implantação'!L118),""),"")</f>
        <v/>
      </c>
      <c r="M118" s="34" t="str">
        <f>IFERROR(IF('Pré Implantação'!B118="CSE Telecom",AVERAGE('Pré Implantação'!D118,'Pré Implantação'!L118),""),"")</f>
        <v/>
      </c>
      <c r="N118" s="34" t="str">
        <f>IFERROR(IF('Pré Implantação'!B118="Site Suporte de Campo",AVERAGE('Pré Implantação'!D118,'Pré Implantação'!L118),""),"")</f>
        <v/>
      </c>
      <c r="O118" s="49" t="str">
        <f>IFERROR(IF('Pré Implantação'!B118="Infraestrutura",AVERAGE('Pré Implantação'!D118,'Pré Implantação'!L118),""),"")</f>
        <v/>
      </c>
    </row>
    <row r="119" spans="1:15" x14ac:dyDescent="0.3">
      <c r="A119" s="33">
        <f>'Pré Implantação'!A119</f>
        <v>0</v>
      </c>
      <c r="B119" s="36">
        <f>'Pré Implantação'!C119</f>
        <v>0</v>
      </c>
      <c r="C119" s="34" t="str">
        <f>IFERROR(IF('Pré Implantação'!B119="Produção TI",AVERAGE('Pré Implantação'!D119,'Pré Implantação'!L119,'Pré Implantação'!E119,'Pré Implantação'!H119),AVERAGE('Pré Implantação'!E119,'Pré Implantação'!H119)),"")</f>
        <v/>
      </c>
      <c r="D119" s="34" t="str">
        <f>IFERROR(IF('Pré Implantação'!B119="CSC Service Desk",AVERAGE('Pré Implantação'!D119,'Pré Implantação'!L119,'Pré Implantação'!F119),AVERAGE('Pré Implantação'!F119)),"")</f>
        <v/>
      </c>
      <c r="E119" s="34" t="str">
        <f>IFERROR(IF('Pré Implantação'!B119="CSC NOC",AVERAGE('Pré Implantação'!D119,'Pré Implantação'!L119,'Pré Implantação'!G119),AVERAGE('Pré Implantação'!G119)),"")</f>
        <v/>
      </c>
      <c r="F119" s="34" t="str">
        <f>IFERROR(IF('Pré Implantação'!B119="CSE Gravadores",AVERAGE('Pré Implantação'!D119,'Pré Implantação'!L119,'Pré Implantação'!I119),AVERAGE('Pré Implantação'!I119)),"")</f>
        <v/>
      </c>
      <c r="G119" s="34" t="str">
        <f>IFERROR(IF('Pré Implantação'!B119="CSC",AVERAGE('Pré Implantação'!D119,'Pré Implantação'!L119,'Pré Implantação'!J119),AVERAGE('Pré Implantação'!J119)),"")</f>
        <v/>
      </c>
      <c r="H119" s="34" t="str">
        <f>IFERROR(IF('Pré Implantação'!B119="Operações \ Negócio",AVERAGE('Pré Implantação'!D119,'Pré Implantação'!L119,'Pré Implantação'!K119),AVERAGE('Pré Implantação'!K119)),"")</f>
        <v/>
      </c>
      <c r="I119" s="34" t="str">
        <f>IFERROR(IF('Pré Implantação'!B119="Projetos",AVERAGE('Pré Implantação'!D119,'Pré Implantação'!L119,'Pré Implantação'!M119),AVERAGE('Pré Implantação'!M119)),"")</f>
        <v/>
      </c>
      <c r="J119" s="34" t="str">
        <f>IFERROR(IF('Pré Implantação'!B119="Engenharia",AVERAGE('Pré Implantação'!D119,'Pré Implantação'!L119,'Pré Implantação'!N119),AVERAGE('Pré Implantação'!N119)),"")</f>
        <v/>
      </c>
      <c r="K119" s="34" t="str">
        <f>IFERROR(IF('Pré Implantação'!B119="URA",AVERAGE('Pré Implantação'!D119,'Pré Implantação'!L119),""),"")</f>
        <v/>
      </c>
      <c r="L119" s="34" t="str">
        <f>IFERROR(IF('Pré Implantação'!B119="CSE Microsoft",AVERAGE('Pré Implantação'!D119,'Pré Implantação'!L119),""),"")</f>
        <v/>
      </c>
      <c r="M119" s="34" t="str">
        <f>IFERROR(IF('Pré Implantação'!B119="CSE Telecom",AVERAGE('Pré Implantação'!D119,'Pré Implantação'!L119),""),"")</f>
        <v/>
      </c>
      <c r="N119" s="34" t="str">
        <f>IFERROR(IF('Pré Implantação'!B119="Site Suporte de Campo",AVERAGE('Pré Implantação'!D119,'Pré Implantação'!L119),""),"")</f>
        <v/>
      </c>
      <c r="O119" s="49" t="str">
        <f>IFERROR(IF('Pré Implantação'!B119="Infraestrutura",AVERAGE('Pré Implantação'!D119,'Pré Implantação'!L119),""),"")</f>
        <v/>
      </c>
    </row>
    <row r="120" spans="1:15" x14ac:dyDescent="0.3">
      <c r="A120" s="33">
        <f>'Pré Implantação'!A120</f>
        <v>0</v>
      </c>
      <c r="B120" s="36">
        <f>'Pré Implantação'!C120</f>
        <v>0</v>
      </c>
      <c r="C120" s="34" t="str">
        <f>IFERROR(IF('Pré Implantação'!B120="Produção TI",AVERAGE('Pré Implantação'!D120,'Pré Implantação'!L120,'Pré Implantação'!E120,'Pré Implantação'!H120),AVERAGE('Pré Implantação'!E120,'Pré Implantação'!H120)),"")</f>
        <v/>
      </c>
      <c r="D120" s="34" t="str">
        <f>IFERROR(IF('Pré Implantação'!B120="CSC Service Desk",AVERAGE('Pré Implantação'!D120,'Pré Implantação'!L120,'Pré Implantação'!F120),AVERAGE('Pré Implantação'!F120)),"")</f>
        <v/>
      </c>
      <c r="E120" s="34" t="str">
        <f>IFERROR(IF('Pré Implantação'!B120="CSC NOC",AVERAGE('Pré Implantação'!D120,'Pré Implantação'!L120,'Pré Implantação'!G120),AVERAGE('Pré Implantação'!G120)),"")</f>
        <v/>
      </c>
      <c r="F120" s="34" t="str">
        <f>IFERROR(IF('Pré Implantação'!B120="CSE Gravadores",AVERAGE('Pré Implantação'!D120,'Pré Implantação'!L120,'Pré Implantação'!I120),AVERAGE('Pré Implantação'!I120)),"")</f>
        <v/>
      </c>
      <c r="G120" s="34" t="str">
        <f>IFERROR(IF('Pré Implantação'!B120="CSC",AVERAGE('Pré Implantação'!D120,'Pré Implantação'!L120,'Pré Implantação'!J120),AVERAGE('Pré Implantação'!J120)),"")</f>
        <v/>
      </c>
      <c r="H120" s="34" t="str">
        <f>IFERROR(IF('Pré Implantação'!B120="Operações \ Negócio",AVERAGE('Pré Implantação'!D120,'Pré Implantação'!L120,'Pré Implantação'!K120),AVERAGE('Pré Implantação'!K120)),"")</f>
        <v/>
      </c>
      <c r="I120" s="34" t="str">
        <f>IFERROR(IF('Pré Implantação'!B120="Projetos",AVERAGE('Pré Implantação'!D120,'Pré Implantação'!L120,'Pré Implantação'!M120),AVERAGE('Pré Implantação'!M120)),"")</f>
        <v/>
      </c>
      <c r="J120" s="34" t="str">
        <f>IFERROR(IF('Pré Implantação'!B120="Engenharia",AVERAGE('Pré Implantação'!D120,'Pré Implantação'!L120,'Pré Implantação'!N120),AVERAGE('Pré Implantação'!N120)),"")</f>
        <v/>
      </c>
      <c r="K120" s="34" t="str">
        <f>IFERROR(IF('Pré Implantação'!B120="URA",AVERAGE('Pré Implantação'!D120,'Pré Implantação'!L120),""),"")</f>
        <v/>
      </c>
      <c r="L120" s="34" t="str">
        <f>IFERROR(IF('Pré Implantação'!B120="CSE Microsoft",AVERAGE('Pré Implantação'!D120,'Pré Implantação'!L120),""),"")</f>
        <v/>
      </c>
      <c r="M120" s="34" t="str">
        <f>IFERROR(IF('Pré Implantação'!B120="CSE Telecom",AVERAGE('Pré Implantação'!D120,'Pré Implantação'!L120),""),"")</f>
        <v/>
      </c>
      <c r="N120" s="34" t="str">
        <f>IFERROR(IF('Pré Implantação'!B120="Site Suporte de Campo",AVERAGE('Pré Implantação'!D120,'Pré Implantação'!L120),""),"")</f>
        <v/>
      </c>
      <c r="O120" s="49" t="str">
        <f>IFERROR(IF('Pré Implantação'!B120="Infraestrutura",AVERAGE('Pré Implantação'!D120,'Pré Implantação'!L120),""),"")</f>
        <v/>
      </c>
    </row>
    <row r="121" spans="1:15" x14ac:dyDescent="0.3">
      <c r="A121" s="33">
        <f>'Pré Implantação'!A121</f>
        <v>0</v>
      </c>
      <c r="B121" s="36">
        <f>'Pré Implantação'!C121</f>
        <v>0</v>
      </c>
      <c r="C121" s="34" t="str">
        <f>IFERROR(IF('Pré Implantação'!B121="Produção TI",AVERAGE('Pré Implantação'!D121,'Pré Implantação'!L121,'Pré Implantação'!E121,'Pré Implantação'!H121),AVERAGE('Pré Implantação'!E121,'Pré Implantação'!H121)),"")</f>
        <v/>
      </c>
      <c r="D121" s="34" t="str">
        <f>IFERROR(IF('Pré Implantação'!B121="CSC Service Desk",AVERAGE('Pré Implantação'!D121,'Pré Implantação'!L121,'Pré Implantação'!F121),AVERAGE('Pré Implantação'!F121)),"")</f>
        <v/>
      </c>
      <c r="E121" s="34" t="str">
        <f>IFERROR(IF('Pré Implantação'!B121="CSC NOC",AVERAGE('Pré Implantação'!D121,'Pré Implantação'!L121,'Pré Implantação'!G121),AVERAGE('Pré Implantação'!G121)),"")</f>
        <v/>
      </c>
      <c r="F121" s="34" t="str">
        <f>IFERROR(IF('Pré Implantação'!B121="CSE Gravadores",AVERAGE('Pré Implantação'!D121,'Pré Implantação'!L121,'Pré Implantação'!I121),AVERAGE('Pré Implantação'!I121)),"")</f>
        <v/>
      </c>
      <c r="G121" s="34" t="str">
        <f>IFERROR(IF('Pré Implantação'!B121="CSC",AVERAGE('Pré Implantação'!D121,'Pré Implantação'!L121,'Pré Implantação'!J121),AVERAGE('Pré Implantação'!J121)),"")</f>
        <v/>
      </c>
      <c r="H121" s="34" t="str">
        <f>IFERROR(IF('Pré Implantação'!B121="Operações \ Negócio",AVERAGE('Pré Implantação'!D121,'Pré Implantação'!L121,'Pré Implantação'!K121),AVERAGE('Pré Implantação'!K121)),"")</f>
        <v/>
      </c>
      <c r="I121" s="34" t="str">
        <f>IFERROR(IF('Pré Implantação'!B121="Projetos",AVERAGE('Pré Implantação'!D121,'Pré Implantação'!L121,'Pré Implantação'!M121),AVERAGE('Pré Implantação'!M121)),"")</f>
        <v/>
      </c>
      <c r="J121" s="34" t="str">
        <f>IFERROR(IF('Pré Implantação'!B121="Engenharia",AVERAGE('Pré Implantação'!D121,'Pré Implantação'!L121,'Pré Implantação'!N121),AVERAGE('Pré Implantação'!N121)),"")</f>
        <v/>
      </c>
      <c r="K121" s="34" t="str">
        <f>IFERROR(IF('Pré Implantação'!B121="URA",AVERAGE('Pré Implantação'!D121,'Pré Implantação'!L121),""),"")</f>
        <v/>
      </c>
      <c r="L121" s="34" t="str">
        <f>IFERROR(IF('Pré Implantação'!B121="CSE Microsoft",AVERAGE('Pré Implantação'!D121,'Pré Implantação'!L121),""),"")</f>
        <v/>
      </c>
      <c r="M121" s="34" t="str">
        <f>IFERROR(IF('Pré Implantação'!B121="CSE Telecom",AVERAGE('Pré Implantação'!D121,'Pré Implantação'!L121),""),"")</f>
        <v/>
      </c>
      <c r="N121" s="34" t="str">
        <f>IFERROR(IF('Pré Implantação'!B121="Site Suporte de Campo",AVERAGE('Pré Implantação'!D121,'Pré Implantação'!L121),""),"")</f>
        <v/>
      </c>
      <c r="O121" s="49" t="str">
        <f>IFERROR(IF('Pré Implantação'!B121="Infraestrutura",AVERAGE('Pré Implantação'!D121,'Pré Implantação'!L121),""),"")</f>
        <v/>
      </c>
    </row>
    <row r="122" spans="1:15" x14ac:dyDescent="0.3">
      <c r="A122" s="33">
        <f>'Pré Implantação'!A122</f>
        <v>0</v>
      </c>
      <c r="B122" s="36">
        <f>'Pré Implantação'!C122</f>
        <v>0</v>
      </c>
      <c r="C122" s="34" t="str">
        <f>IFERROR(IF('Pré Implantação'!B122="Produção TI",AVERAGE('Pré Implantação'!D122,'Pré Implantação'!L122,'Pré Implantação'!E122,'Pré Implantação'!H122),AVERAGE('Pré Implantação'!E122,'Pré Implantação'!H122)),"")</f>
        <v/>
      </c>
      <c r="D122" s="34" t="str">
        <f>IFERROR(IF('Pré Implantação'!B122="CSC Service Desk",AVERAGE('Pré Implantação'!D122,'Pré Implantação'!L122,'Pré Implantação'!F122),AVERAGE('Pré Implantação'!F122)),"")</f>
        <v/>
      </c>
      <c r="E122" s="34" t="str">
        <f>IFERROR(IF('Pré Implantação'!B122="CSC NOC",AVERAGE('Pré Implantação'!D122,'Pré Implantação'!L122,'Pré Implantação'!G122),AVERAGE('Pré Implantação'!G122)),"")</f>
        <v/>
      </c>
      <c r="F122" s="34" t="str">
        <f>IFERROR(IF('Pré Implantação'!B122="CSE Gravadores",AVERAGE('Pré Implantação'!D122,'Pré Implantação'!L122,'Pré Implantação'!I122),AVERAGE('Pré Implantação'!I122)),"")</f>
        <v/>
      </c>
      <c r="G122" s="34" t="str">
        <f>IFERROR(IF('Pré Implantação'!B122="CSC",AVERAGE('Pré Implantação'!D122,'Pré Implantação'!L122,'Pré Implantação'!J122),AVERAGE('Pré Implantação'!J122)),"")</f>
        <v/>
      </c>
      <c r="H122" s="34" t="str">
        <f>IFERROR(IF('Pré Implantação'!B122="Operações \ Negócio",AVERAGE('Pré Implantação'!D122,'Pré Implantação'!L122,'Pré Implantação'!K122),AVERAGE('Pré Implantação'!K122)),"")</f>
        <v/>
      </c>
      <c r="I122" s="34" t="str">
        <f>IFERROR(IF('Pré Implantação'!B122="Projetos",AVERAGE('Pré Implantação'!D122,'Pré Implantação'!L122,'Pré Implantação'!M122),AVERAGE('Pré Implantação'!M122)),"")</f>
        <v/>
      </c>
      <c r="J122" s="34" t="str">
        <f>IFERROR(IF('Pré Implantação'!B122="Engenharia",AVERAGE('Pré Implantação'!D122,'Pré Implantação'!L122,'Pré Implantação'!N122),AVERAGE('Pré Implantação'!N122)),"")</f>
        <v/>
      </c>
      <c r="K122" s="34" t="str">
        <f>IFERROR(IF('Pré Implantação'!B122="URA",AVERAGE('Pré Implantação'!D122,'Pré Implantação'!L122),""),"")</f>
        <v/>
      </c>
      <c r="L122" s="34" t="str">
        <f>IFERROR(IF('Pré Implantação'!B122="CSE Microsoft",AVERAGE('Pré Implantação'!D122,'Pré Implantação'!L122),""),"")</f>
        <v/>
      </c>
      <c r="M122" s="34" t="str">
        <f>IFERROR(IF('Pré Implantação'!B122="CSE Telecom",AVERAGE('Pré Implantação'!D122,'Pré Implantação'!L122),""),"")</f>
        <v/>
      </c>
      <c r="N122" s="34" t="str">
        <f>IFERROR(IF('Pré Implantação'!B122="Site Suporte de Campo",AVERAGE('Pré Implantação'!D122,'Pré Implantação'!L122),""),"")</f>
        <v/>
      </c>
      <c r="O122" s="49" t="str">
        <f>IFERROR(IF('Pré Implantação'!B122="Infraestrutura",AVERAGE('Pré Implantação'!D122,'Pré Implantação'!L122),""),"")</f>
        <v/>
      </c>
    </row>
    <row r="123" spans="1:15" x14ac:dyDescent="0.3">
      <c r="A123" s="33">
        <f>'Pré Implantação'!A123</f>
        <v>0</v>
      </c>
      <c r="B123" s="36">
        <f>'Pré Implantação'!C123</f>
        <v>0</v>
      </c>
      <c r="C123" s="34" t="str">
        <f>IFERROR(IF('Pré Implantação'!B123="Produção TI",AVERAGE('Pré Implantação'!D123,'Pré Implantação'!L123,'Pré Implantação'!E123,'Pré Implantação'!H123),AVERAGE('Pré Implantação'!E123,'Pré Implantação'!H123)),"")</f>
        <v/>
      </c>
      <c r="D123" s="34" t="str">
        <f>IFERROR(IF('Pré Implantação'!B123="CSC Service Desk",AVERAGE('Pré Implantação'!D123,'Pré Implantação'!L123,'Pré Implantação'!F123),AVERAGE('Pré Implantação'!F123)),"")</f>
        <v/>
      </c>
      <c r="E123" s="34" t="str">
        <f>IFERROR(IF('Pré Implantação'!B123="CSC NOC",AVERAGE('Pré Implantação'!D123,'Pré Implantação'!L123,'Pré Implantação'!G123),AVERAGE('Pré Implantação'!G123)),"")</f>
        <v/>
      </c>
      <c r="F123" s="34" t="str">
        <f>IFERROR(IF('Pré Implantação'!B123="CSE Gravadores",AVERAGE('Pré Implantação'!D123,'Pré Implantação'!L123,'Pré Implantação'!I123),AVERAGE('Pré Implantação'!I123)),"")</f>
        <v/>
      </c>
      <c r="G123" s="34" t="str">
        <f>IFERROR(IF('Pré Implantação'!B123="CSC",AVERAGE('Pré Implantação'!D123,'Pré Implantação'!L123,'Pré Implantação'!J123),AVERAGE('Pré Implantação'!J123)),"")</f>
        <v/>
      </c>
      <c r="H123" s="34" t="str">
        <f>IFERROR(IF('Pré Implantação'!B123="Operações \ Negócio",AVERAGE('Pré Implantação'!D123,'Pré Implantação'!L123,'Pré Implantação'!K123),AVERAGE('Pré Implantação'!K123)),"")</f>
        <v/>
      </c>
      <c r="I123" s="34" t="str">
        <f>IFERROR(IF('Pré Implantação'!B123="Projetos",AVERAGE('Pré Implantação'!D123,'Pré Implantação'!L123,'Pré Implantação'!M123),AVERAGE('Pré Implantação'!M123)),"")</f>
        <v/>
      </c>
      <c r="J123" s="34" t="str">
        <f>IFERROR(IF('Pré Implantação'!B123="Engenharia",AVERAGE('Pré Implantação'!D123,'Pré Implantação'!L123,'Pré Implantação'!N123),AVERAGE('Pré Implantação'!N123)),"")</f>
        <v/>
      </c>
      <c r="K123" s="34" t="str">
        <f>IFERROR(IF('Pré Implantação'!B123="URA",AVERAGE('Pré Implantação'!D123,'Pré Implantação'!L123),""),"")</f>
        <v/>
      </c>
      <c r="L123" s="34" t="str">
        <f>IFERROR(IF('Pré Implantação'!B123="CSE Microsoft",AVERAGE('Pré Implantação'!D123,'Pré Implantação'!L123),""),"")</f>
        <v/>
      </c>
      <c r="M123" s="34" t="str">
        <f>IFERROR(IF('Pré Implantação'!B123="CSE Telecom",AVERAGE('Pré Implantação'!D123,'Pré Implantação'!L123),""),"")</f>
        <v/>
      </c>
      <c r="N123" s="34" t="str">
        <f>IFERROR(IF('Pré Implantação'!B123="Site Suporte de Campo",AVERAGE('Pré Implantação'!D123,'Pré Implantação'!L123),""),"")</f>
        <v/>
      </c>
      <c r="O123" s="49" t="str">
        <f>IFERROR(IF('Pré Implantação'!B123="Infraestrutura",AVERAGE('Pré Implantação'!D123,'Pré Implantação'!L123),""),"")</f>
        <v/>
      </c>
    </row>
    <row r="124" spans="1:15" x14ac:dyDescent="0.3">
      <c r="A124" s="33">
        <f>'Pré Implantação'!A124</f>
        <v>0</v>
      </c>
      <c r="B124" s="36">
        <f>'Pré Implantação'!C124</f>
        <v>0</v>
      </c>
      <c r="C124" s="34" t="str">
        <f>IFERROR(IF('Pré Implantação'!B124="Produção TI",AVERAGE('Pré Implantação'!D124,'Pré Implantação'!L124,'Pré Implantação'!E124,'Pré Implantação'!H124),AVERAGE('Pré Implantação'!E124,'Pré Implantação'!H124)),"")</f>
        <v/>
      </c>
      <c r="D124" s="34" t="str">
        <f>IFERROR(IF('Pré Implantação'!B124="CSC Service Desk",AVERAGE('Pré Implantação'!D124,'Pré Implantação'!L124,'Pré Implantação'!F124),AVERAGE('Pré Implantação'!F124)),"")</f>
        <v/>
      </c>
      <c r="E124" s="34" t="str">
        <f>IFERROR(IF('Pré Implantação'!B124="CSC NOC",AVERAGE('Pré Implantação'!D124,'Pré Implantação'!L124,'Pré Implantação'!G124),AVERAGE('Pré Implantação'!G124)),"")</f>
        <v/>
      </c>
      <c r="F124" s="34" t="str">
        <f>IFERROR(IF('Pré Implantação'!B124="CSE Gravadores",AVERAGE('Pré Implantação'!D124,'Pré Implantação'!L124,'Pré Implantação'!I124),AVERAGE('Pré Implantação'!I124)),"")</f>
        <v/>
      </c>
      <c r="G124" s="34" t="str">
        <f>IFERROR(IF('Pré Implantação'!B124="CSC",AVERAGE('Pré Implantação'!D124,'Pré Implantação'!L124,'Pré Implantação'!J124),AVERAGE('Pré Implantação'!J124)),"")</f>
        <v/>
      </c>
      <c r="H124" s="34" t="str">
        <f>IFERROR(IF('Pré Implantação'!B124="Operações \ Negócio",AVERAGE('Pré Implantação'!D124,'Pré Implantação'!L124,'Pré Implantação'!K124),AVERAGE('Pré Implantação'!K124)),"")</f>
        <v/>
      </c>
      <c r="I124" s="34" t="str">
        <f>IFERROR(IF('Pré Implantação'!B124="Projetos",AVERAGE('Pré Implantação'!D124,'Pré Implantação'!L124,'Pré Implantação'!M124),AVERAGE('Pré Implantação'!M124)),"")</f>
        <v/>
      </c>
      <c r="J124" s="34" t="str">
        <f>IFERROR(IF('Pré Implantação'!B124="Engenharia",AVERAGE('Pré Implantação'!D124,'Pré Implantação'!L124,'Pré Implantação'!N124),AVERAGE('Pré Implantação'!N124)),"")</f>
        <v/>
      </c>
      <c r="K124" s="34" t="str">
        <f>IFERROR(IF('Pré Implantação'!B124="URA",AVERAGE('Pré Implantação'!D124,'Pré Implantação'!L124),""),"")</f>
        <v/>
      </c>
      <c r="L124" s="34" t="str">
        <f>IFERROR(IF('Pré Implantação'!B124="CSE Microsoft",AVERAGE('Pré Implantação'!D124,'Pré Implantação'!L124),""),"")</f>
        <v/>
      </c>
      <c r="M124" s="34" t="str">
        <f>IFERROR(IF('Pré Implantação'!B124="CSE Telecom",AVERAGE('Pré Implantação'!D124,'Pré Implantação'!L124),""),"")</f>
        <v/>
      </c>
      <c r="N124" s="34" t="str">
        <f>IFERROR(IF('Pré Implantação'!B124="Site Suporte de Campo",AVERAGE('Pré Implantação'!D124,'Pré Implantação'!L124),""),"")</f>
        <v/>
      </c>
      <c r="O124" s="49" t="str">
        <f>IFERROR(IF('Pré Implantação'!B124="Infraestrutura",AVERAGE('Pré Implantação'!D124,'Pré Implantação'!L124),""),"")</f>
        <v/>
      </c>
    </row>
    <row r="125" spans="1:15" x14ac:dyDescent="0.3">
      <c r="A125" s="33">
        <f>'Pré Implantação'!A125</f>
        <v>0</v>
      </c>
      <c r="B125" s="36">
        <f>'Pré Implantação'!C125</f>
        <v>0</v>
      </c>
      <c r="C125" s="34" t="str">
        <f>IFERROR(IF('Pré Implantação'!B125="Produção TI",AVERAGE('Pré Implantação'!D125,'Pré Implantação'!L125,'Pré Implantação'!E125,'Pré Implantação'!H125),AVERAGE('Pré Implantação'!E125,'Pré Implantação'!H125)),"")</f>
        <v/>
      </c>
      <c r="D125" s="34" t="str">
        <f>IFERROR(IF('Pré Implantação'!B125="CSC Service Desk",AVERAGE('Pré Implantação'!D125,'Pré Implantação'!L125,'Pré Implantação'!F125),AVERAGE('Pré Implantação'!F125)),"")</f>
        <v/>
      </c>
      <c r="E125" s="34" t="str">
        <f>IFERROR(IF('Pré Implantação'!B125="CSC NOC",AVERAGE('Pré Implantação'!D125,'Pré Implantação'!L125,'Pré Implantação'!G125),AVERAGE('Pré Implantação'!G125)),"")</f>
        <v/>
      </c>
      <c r="F125" s="34" t="str">
        <f>IFERROR(IF('Pré Implantação'!B125="CSE Gravadores",AVERAGE('Pré Implantação'!D125,'Pré Implantação'!L125,'Pré Implantação'!I125),AVERAGE('Pré Implantação'!I125)),"")</f>
        <v/>
      </c>
      <c r="G125" s="34" t="str">
        <f>IFERROR(IF('Pré Implantação'!B125="CSC",AVERAGE('Pré Implantação'!D125,'Pré Implantação'!L125,'Pré Implantação'!J125),AVERAGE('Pré Implantação'!J125)),"")</f>
        <v/>
      </c>
      <c r="H125" s="34" t="str">
        <f>IFERROR(IF('Pré Implantação'!B125="Operações \ Negócio",AVERAGE('Pré Implantação'!D125,'Pré Implantação'!L125,'Pré Implantação'!K125),AVERAGE('Pré Implantação'!K125)),"")</f>
        <v/>
      </c>
      <c r="I125" s="34" t="str">
        <f>IFERROR(IF('Pré Implantação'!B125="Projetos",AVERAGE('Pré Implantação'!D125,'Pré Implantação'!L125,'Pré Implantação'!M125),AVERAGE('Pré Implantação'!M125)),"")</f>
        <v/>
      </c>
      <c r="J125" s="34" t="str">
        <f>IFERROR(IF('Pré Implantação'!B125="Engenharia",AVERAGE('Pré Implantação'!D125,'Pré Implantação'!L125,'Pré Implantação'!N125),AVERAGE('Pré Implantação'!N125)),"")</f>
        <v/>
      </c>
      <c r="K125" s="34" t="str">
        <f>IFERROR(IF('Pré Implantação'!B125="URA",AVERAGE('Pré Implantação'!D125,'Pré Implantação'!L125),""),"")</f>
        <v/>
      </c>
      <c r="L125" s="34" t="str">
        <f>IFERROR(IF('Pré Implantação'!B125="CSE Microsoft",AVERAGE('Pré Implantação'!D125,'Pré Implantação'!L125),""),"")</f>
        <v/>
      </c>
      <c r="M125" s="34" t="str">
        <f>IFERROR(IF('Pré Implantação'!B125="CSE Telecom",AVERAGE('Pré Implantação'!D125,'Pré Implantação'!L125),""),"")</f>
        <v/>
      </c>
      <c r="N125" s="34" t="str">
        <f>IFERROR(IF('Pré Implantação'!B125="Site Suporte de Campo",AVERAGE('Pré Implantação'!D125,'Pré Implantação'!L125),""),"")</f>
        <v/>
      </c>
      <c r="O125" s="49" t="str">
        <f>IFERROR(IF('Pré Implantação'!B125="Infraestrutura",AVERAGE('Pré Implantação'!D125,'Pré Implantação'!L125),""),"")</f>
        <v/>
      </c>
    </row>
    <row r="126" spans="1:15" x14ac:dyDescent="0.3">
      <c r="A126" s="33">
        <f>'Pré Implantação'!A126</f>
        <v>0</v>
      </c>
      <c r="B126" s="36">
        <f>'Pré Implantação'!C126</f>
        <v>0</v>
      </c>
      <c r="C126" s="34" t="str">
        <f>IFERROR(IF('Pré Implantação'!B126="Produção TI",AVERAGE('Pré Implantação'!D126,'Pré Implantação'!L126,'Pré Implantação'!E126,'Pré Implantação'!H126),AVERAGE('Pré Implantação'!E126,'Pré Implantação'!H126)),"")</f>
        <v/>
      </c>
      <c r="D126" s="34" t="str">
        <f>IFERROR(IF('Pré Implantação'!B126="CSC Service Desk",AVERAGE('Pré Implantação'!D126,'Pré Implantação'!L126,'Pré Implantação'!F126),AVERAGE('Pré Implantação'!F126)),"")</f>
        <v/>
      </c>
      <c r="E126" s="34" t="str">
        <f>IFERROR(IF('Pré Implantação'!B126="CSC NOC",AVERAGE('Pré Implantação'!D126,'Pré Implantação'!L126,'Pré Implantação'!G126),AVERAGE('Pré Implantação'!G126)),"")</f>
        <v/>
      </c>
      <c r="F126" s="34" t="str">
        <f>IFERROR(IF('Pré Implantação'!B126="CSE Gravadores",AVERAGE('Pré Implantação'!D126,'Pré Implantação'!L126,'Pré Implantação'!I126),AVERAGE('Pré Implantação'!I126)),"")</f>
        <v/>
      </c>
      <c r="G126" s="34" t="str">
        <f>IFERROR(IF('Pré Implantação'!B126="CSC",AVERAGE('Pré Implantação'!D126,'Pré Implantação'!L126,'Pré Implantação'!J126),AVERAGE('Pré Implantação'!J126)),"")</f>
        <v/>
      </c>
      <c r="H126" s="34" t="str">
        <f>IFERROR(IF('Pré Implantação'!B126="Operações \ Negócio",AVERAGE('Pré Implantação'!D126,'Pré Implantação'!L126,'Pré Implantação'!K126),AVERAGE('Pré Implantação'!K126)),"")</f>
        <v/>
      </c>
      <c r="I126" s="34" t="str">
        <f>IFERROR(IF('Pré Implantação'!B126="Projetos",AVERAGE('Pré Implantação'!D126,'Pré Implantação'!L126,'Pré Implantação'!M126),AVERAGE('Pré Implantação'!M126)),"")</f>
        <v/>
      </c>
      <c r="J126" s="34" t="str">
        <f>IFERROR(IF('Pré Implantação'!B126="Engenharia",AVERAGE('Pré Implantação'!D126,'Pré Implantação'!L126,'Pré Implantação'!N126),AVERAGE('Pré Implantação'!N126)),"")</f>
        <v/>
      </c>
      <c r="K126" s="34" t="str">
        <f>IFERROR(IF('Pré Implantação'!B126="URA",AVERAGE('Pré Implantação'!D126,'Pré Implantação'!L126),""),"")</f>
        <v/>
      </c>
      <c r="L126" s="34" t="str">
        <f>IFERROR(IF('Pré Implantação'!B126="CSE Microsoft",AVERAGE('Pré Implantação'!D126,'Pré Implantação'!L126),""),"")</f>
        <v/>
      </c>
      <c r="M126" s="34" t="str">
        <f>IFERROR(IF('Pré Implantação'!B126="CSE Telecom",AVERAGE('Pré Implantação'!D126,'Pré Implantação'!L126),""),"")</f>
        <v/>
      </c>
      <c r="N126" s="34" t="str">
        <f>IFERROR(IF('Pré Implantação'!B126="Site Suporte de Campo",AVERAGE('Pré Implantação'!D126,'Pré Implantação'!L126),""),"")</f>
        <v/>
      </c>
      <c r="O126" s="49" t="str">
        <f>IFERROR(IF('Pré Implantação'!B126="Infraestrutura",AVERAGE('Pré Implantação'!D126,'Pré Implantação'!L126),""),"")</f>
        <v/>
      </c>
    </row>
    <row r="127" spans="1:15" x14ac:dyDescent="0.3">
      <c r="A127" s="33">
        <f>'Pré Implantação'!A127</f>
        <v>0</v>
      </c>
      <c r="B127" s="36">
        <f>'Pré Implantação'!C127</f>
        <v>0</v>
      </c>
      <c r="C127" s="34" t="str">
        <f>IFERROR(IF('Pré Implantação'!B127="Produção TI",AVERAGE('Pré Implantação'!D127,'Pré Implantação'!L127,'Pré Implantação'!E127,'Pré Implantação'!H127),AVERAGE('Pré Implantação'!E127,'Pré Implantação'!H127)),"")</f>
        <v/>
      </c>
      <c r="D127" s="34" t="str">
        <f>IFERROR(IF('Pré Implantação'!B127="CSC Service Desk",AVERAGE('Pré Implantação'!D127,'Pré Implantação'!L127,'Pré Implantação'!F127),AVERAGE('Pré Implantação'!F127)),"")</f>
        <v/>
      </c>
      <c r="E127" s="34" t="str">
        <f>IFERROR(IF('Pré Implantação'!B127="CSC NOC",AVERAGE('Pré Implantação'!D127,'Pré Implantação'!L127,'Pré Implantação'!G127),AVERAGE('Pré Implantação'!G127)),"")</f>
        <v/>
      </c>
      <c r="F127" s="34" t="str">
        <f>IFERROR(IF('Pré Implantação'!B127="CSE Gravadores",AVERAGE('Pré Implantação'!D127,'Pré Implantação'!L127,'Pré Implantação'!I127),AVERAGE('Pré Implantação'!I127)),"")</f>
        <v/>
      </c>
      <c r="G127" s="34" t="str">
        <f>IFERROR(IF('Pré Implantação'!B127="CSC",AVERAGE('Pré Implantação'!D127,'Pré Implantação'!L127,'Pré Implantação'!J127),AVERAGE('Pré Implantação'!J127)),"")</f>
        <v/>
      </c>
      <c r="H127" s="34" t="str">
        <f>IFERROR(IF('Pré Implantação'!B127="Operações \ Negócio",AVERAGE('Pré Implantação'!D127,'Pré Implantação'!L127,'Pré Implantação'!K127),AVERAGE('Pré Implantação'!K127)),"")</f>
        <v/>
      </c>
      <c r="I127" s="34" t="str">
        <f>IFERROR(IF('Pré Implantação'!B127="Projetos",AVERAGE('Pré Implantação'!D127,'Pré Implantação'!L127,'Pré Implantação'!M127),AVERAGE('Pré Implantação'!M127)),"")</f>
        <v/>
      </c>
      <c r="J127" s="34" t="str">
        <f>IFERROR(IF('Pré Implantação'!B127="Engenharia",AVERAGE('Pré Implantação'!D127,'Pré Implantação'!L127,'Pré Implantação'!N127),AVERAGE('Pré Implantação'!N127)),"")</f>
        <v/>
      </c>
      <c r="K127" s="34" t="str">
        <f>IFERROR(IF('Pré Implantação'!B127="URA",AVERAGE('Pré Implantação'!D127,'Pré Implantação'!L127),""),"")</f>
        <v/>
      </c>
      <c r="L127" s="34" t="str">
        <f>IFERROR(IF('Pré Implantação'!B127="CSE Microsoft",AVERAGE('Pré Implantação'!D127,'Pré Implantação'!L127),""),"")</f>
        <v/>
      </c>
      <c r="M127" s="34" t="str">
        <f>IFERROR(IF('Pré Implantação'!B127="CSE Telecom",AVERAGE('Pré Implantação'!D127,'Pré Implantação'!L127),""),"")</f>
        <v/>
      </c>
      <c r="N127" s="34" t="str">
        <f>IFERROR(IF('Pré Implantação'!B127="Site Suporte de Campo",AVERAGE('Pré Implantação'!D127,'Pré Implantação'!L127),""),"")</f>
        <v/>
      </c>
      <c r="O127" s="49" t="str">
        <f>IFERROR(IF('Pré Implantação'!B127="Infraestrutura",AVERAGE('Pré Implantação'!D127,'Pré Implantação'!L127),""),"")</f>
        <v/>
      </c>
    </row>
    <row r="128" spans="1:15" x14ac:dyDescent="0.3">
      <c r="A128" s="33">
        <f>'Pré Implantação'!A128</f>
        <v>0</v>
      </c>
      <c r="B128" s="36">
        <f>'Pré Implantação'!C128</f>
        <v>0</v>
      </c>
      <c r="C128" s="34" t="str">
        <f>IFERROR(IF('Pré Implantação'!B128="Produção TI",AVERAGE('Pré Implantação'!D128,'Pré Implantação'!L128,'Pré Implantação'!E128,'Pré Implantação'!H128),AVERAGE('Pré Implantação'!E128,'Pré Implantação'!H128)),"")</f>
        <v/>
      </c>
      <c r="D128" s="34" t="str">
        <f>IFERROR(IF('Pré Implantação'!B128="CSC Service Desk",AVERAGE('Pré Implantação'!D128,'Pré Implantação'!L128,'Pré Implantação'!F128),AVERAGE('Pré Implantação'!F128)),"")</f>
        <v/>
      </c>
      <c r="E128" s="34" t="str">
        <f>IFERROR(IF('Pré Implantação'!B128="CSC NOC",AVERAGE('Pré Implantação'!D128,'Pré Implantação'!L128,'Pré Implantação'!G128),AVERAGE('Pré Implantação'!G128)),"")</f>
        <v/>
      </c>
      <c r="F128" s="34" t="str">
        <f>IFERROR(IF('Pré Implantação'!B128="CSE Gravadores",AVERAGE('Pré Implantação'!D128,'Pré Implantação'!L128,'Pré Implantação'!I128),AVERAGE('Pré Implantação'!I128)),"")</f>
        <v/>
      </c>
      <c r="G128" s="34" t="str">
        <f>IFERROR(IF('Pré Implantação'!B128="CSC",AVERAGE('Pré Implantação'!D128,'Pré Implantação'!L128,'Pré Implantação'!J128),AVERAGE('Pré Implantação'!J128)),"")</f>
        <v/>
      </c>
      <c r="H128" s="34" t="str">
        <f>IFERROR(IF('Pré Implantação'!B128="Operações \ Negócio",AVERAGE('Pré Implantação'!D128,'Pré Implantação'!L128,'Pré Implantação'!K128),AVERAGE('Pré Implantação'!K128)),"")</f>
        <v/>
      </c>
      <c r="I128" s="34" t="str">
        <f>IFERROR(IF('Pré Implantação'!B128="Projetos",AVERAGE('Pré Implantação'!D128,'Pré Implantação'!L128,'Pré Implantação'!M128),AVERAGE('Pré Implantação'!M128)),"")</f>
        <v/>
      </c>
      <c r="J128" s="34" t="str">
        <f>IFERROR(IF('Pré Implantação'!B128="Engenharia",AVERAGE('Pré Implantação'!D128,'Pré Implantação'!L128,'Pré Implantação'!N128),AVERAGE('Pré Implantação'!N128)),"")</f>
        <v/>
      </c>
      <c r="K128" s="34" t="str">
        <f>IFERROR(IF('Pré Implantação'!B128="URA",AVERAGE('Pré Implantação'!D128,'Pré Implantação'!L128),""),"")</f>
        <v/>
      </c>
      <c r="L128" s="34" t="str">
        <f>IFERROR(IF('Pré Implantação'!B128="CSE Microsoft",AVERAGE('Pré Implantação'!D128,'Pré Implantação'!L128),""),"")</f>
        <v/>
      </c>
      <c r="M128" s="34" t="str">
        <f>IFERROR(IF('Pré Implantação'!B128="CSE Telecom",AVERAGE('Pré Implantação'!D128,'Pré Implantação'!L128),""),"")</f>
        <v/>
      </c>
      <c r="N128" s="34" t="str">
        <f>IFERROR(IF('Pré Implantação'!B128="Site Suporte de Campo",AVERAGE('Pré Implantação'!D128,'Pré Implantação'!L128),""),"")</f>
        <v/>
      </c>
      <c r="O128" s="49" t="str">
        <f>IFERROR(IF('Pré Implantação'!B128="Infraestrutura",AVERAGE('Pré Implantação'!D128,'Pré Implantação'!L128),""),"")</f>
        <v/>
      </c>
    </row>
    <row r="129" spans="1:15" x14ac:dyDescent="0.3">
      <c r="A129" s="33">
        <f>'Pré Implantação'!A129</f>
        <v>0</v>
      </c>
      <c r="B129" s="36">
        <f>'Pré Implantação'!C129</f>
        <v>0</v>
      </c>
      <c r="C129" s="34" t="str">
        <f>IFERROR(IF('Pré Implantação'!B129="Produção TI",AVERAGE('Pré Implantação'!D129,'Pré Implantação'!L129,'Pré Implantação'!E129,'Pré Implantação'!H129),AVERAGE('Pré Implantação'!E129,'Pré Implantação'!H129)),"")</f>
        <v/>
      </c>
      <c r="D129" s="34" t="str">
        <f>IFERROR(IF('Pré Implantação'!B129="CSC Service Desk",AVERAGE('Pré Implantação'!D129,'Pré Implantação'!L129,'Pré Implantação'!F129),AVERAGE('Pré Implantação'!F129)),"")</f>
        <v/>
      </c>
      <c r="E129" s="34" t="str">
        <f>IFERROR(IF('Pré Implantação'!B129="CSC NOC",AVERAGE('Pré Implantação'!D129,'Pré Implantação'!L129,'Pré Implantação'!G129),AVERAGE('Pré Implantação'!G129)),"")</f>
        <v/>
      </c>
      <c r="F129" s="34" t="str">
        <f>IFERROR(IF('Pré Implantação'!B129="CSE Gravadores",AVERAGE('Pré Implantação'!D129,'Pré Implantação'!L129,'Pré Implantação'!I129),AVERAGE('Pré Implantação'!I129)),"")</f>
        <v/>
      </c>
      <c r="G129" s="34" t="str">
        <f>IFERROR(IF('Pré Implantação'!B129="CSC",AVERAGE('Pré Implantação'!D129,'Pré Implantação'!L129,'Pré Implantação'!J129),AVERAGE('Pré Implantação'!J129)),"")</f>
        <v/>
      </c>
      <c r="H129" s="34" t="str">
        <f>IFERROR(IF('Pré Implantação'!B129="Operações \ Negócio",AVERAGE('Pré Implantação'!D129,'Pré Implantação'!L129,'Pré Implantação'!K129),AVERAGE('Pré Implantação'!K129)),"")</f>
        <v/>
      </c>
      <c r="I129" s="34" t="str">
        <f>IFERROR(IF('Pré Implantação'!B129="Projetos",AVERAGE('Pré Implantação'!D129,'Pré Implantação'!L129,'Pré Implantação'!M129),AVERAGE('Pré Implantação'!M129)),"")</f>
        <v/>
      </c>
      <c r="J129" s="34" t="str">
        <f>IFERROR(IF('Pré Implantação'!B129="Engenharia",AVERAGE('Pré Implantação'!D129,'Pré Implantação'!L129,'Pré Implantação'!N129),AVERAGE('Pré Implantação'!N129)),"")</f>
        <v/>
      </c>
      <c r="K129" s="34" t="str">
        <f>IFERROR(IF('Pré Implantação'!B129="URA",AVERAGE('Pré Implantação'!D129,'Pré Implantação'!L129),""),"")</f>
        <v/>
      </c>
      <c r="L129" s="34" t="str">
        <f>IFERROR(IF('Pré Implantação'!B129="CSE Microsoft",AVERAGE('Pré Implantação'!D129,'Pré Implantação'!L129),""),"")</f>
        <v/>
      </c>
      <c r="M129" s="34" t="str">
        <f>IFERROR(IF('Pré Implantação'!B129="CSE Telecom",AVERAGE('Pré Implantação'!D129,'Pré Implantação'!L129),""),"")</f>
        <v/>
      </c>
      <c r="N129" s="34" t="str">
        <f>IFERROR(IF('Pré Implantação'!B129="Site Suporte de Campo",AVERAGE('Pré Implantação'!D129,'Pré Implantação'!L129),""),"")</f>
        <v/>
      </c>
      <c r="O129" s="49" t="str">
        <f>IFERROR(IF('Pré Implantação'!B129="Infraestrutura",AVERAGE('Pré Implantação'!D129,'Pré Implantação'!L129),""),"")</f>
        <v/>
      </c>
    </row>
    <row r="130" spans="1:15" x14ac:dyDescent="0.3">
      <c r="A130" s="33">
        <f>'Pré Implantação'!A130</f>
        <v>0</v>
      </c>
      <c r="B130" s="36">
        <f>'Pré Implantação'!C130</f>
        <v>0</v>
      </c>
      <c r="C130" s="34" t="str">
        <f>IFERROR(IF('Pré Implantação'!B130="Produção TI",AVERAGE('Pré Implantação'!D130,'Pré Implantação'!L130,'Pré Implantação'!E130,'Pré Implantação'!H130),AVERAGE('Pré Implantação'!E130,'Pré Implantação'!H130)),"")</f>
        <v/>
      </c>
      <c r="D130" s="34" t="str">
        <f>IFERROR(IF('Pré Implantação'!B130="CSC Service Desk",AVERAGE('Pré Implantação'!D130,'Pré Implantação'!L130,'Pré Implantação'!F130),AVERAGE('Pré Implantação'!F130)),"")</f>
        <v/>
      </c>
      <c r="E130" s="34" t="str">
        <f>IFERROR(IF('Pré Implantação'!B130="CSC NOC",AVERAGE('Pré Implantação'!D130,'Pré Implantação'!L130,'Pré Implantação'!G130),AVERAGE('Pré Implantação'!G130)),"")</f>
        <v/>
      </c>
      <c r="F130" s="34" t="str">
        <f>IFERROR(IF('Pré Implantação'!B130="CSE Gravadores",AVERAGE('Pré Implantação'!D130,'Pré Implantação'!L130,'Pré Implantação'!I130),AVERAGE('Pré Implantação'!I130)),"")</f>
        <v/>
      </c>
      <c r="G130" s="34" t="str">
        <f>IFERROR(IF('Pré Implantação'!B130="CSC",AVERAGE('Pré Implantação'!D130,'Pré Implantação'!L130,'Pré Implantação'!J130),AVERAGE('Pré Implantação'!J130)),"")</f>
        <v/>
      </c>
      <c r="H130" s="34" t="str">
        <f>IFERROR(IF('Pré Implantação'!B130="Operações \ Negócio",AVERAGE('Pré Implantação'!D130,'Pré Implantação'!L130,'Pré Implantação'!K130),AVERAGE('Pré Implantação'!K130)),"")</f>
        <v/>
      </c>
      <c r="I130" s="34" t="str">
        <f>IFERROR(IF('Pré Implantação'!B130="Projetos",AVERAGE('Pré Implantação'!D130,'Pré Implantação'!L130,'Pré Implantação'!M130),AVERAGE('Pré Implantação'!M130)),"")</f>
        <v/>
      </c>
      <c r="J130" s="34" t="str">
        <f>IFERROR(IF('Pré Implantação'!B130="Engenharia",AVERAGE('Pré Implantação'!D130,'Pré Implantação'!L130,'Pré Implantação'!N130),AVERAGE('Pré Implantação'!N130)),"")</f>
        <v/>
      </c>
      <c r="K130" s="34" t="str">
        <f>IFERROR(IF('Pré Implantação'!B130="URA",AVERAGE('Pré Implantação'!D130,'Pré Implantação'!L130),""),"")</f>
        <v/>
      </c>
      <c r="L130" s="34" t="str">
        <f>IFERROR(IF('Pré Implantação'!B130="CSE Microsoft",AVERAGE('Pré Implantação'!D130,'Pré Implantação'!L130),""),"")</f>
        <v/>
      </c>
      <c r="M130" s="34" t="str">
        <f>IFERROR(IF('Pré Implantação'!B130="CSE Telecom",AVERAGE('Pré Implantação'!D130,'Pré Implantação'!L130),""),"")</f>
        <v/>
      </c>
      <c r="N130" s="34" t="str">
        <f>IFERROR(IF('Pré Implantação'!B130="Site Suporte de Campo",AVERAGE('Pré Implantação'!D130,'Pré Implantação'!L130),""),"")</f>
        <v/>
      </c>
      <c r="O130" s="49" t="str">
        <f>IFERROR(IF('Pré Implantação'!B130="Infraestrutura",AVERAGE('Pré Implantação'!D130,'Pré Implantação'!L130),""),"")</f>
        <v/>
      </c>
    </row>
    <row r="131" spans="1:15" x14ac:dyDescent="0.3">
      <c r="A131" s="33">
        <f>'Pré Implantação'!A131</f>
        <v>0</v>
      </c>
      <c r="B131" s="36">
        <f>'Pré Implantação'!C131</f>
        <v>0</v>
      </c>
      <c r="C131" s="34" t="str">
        <f>IFERROR(IF('Pré Implantação'!B131="Produção TI",AVERAGE('Pré Implantação'!D131,'Pré Implantação'!L131,'Pré Implantação'!E131,'Pré Implantação'!H131),AVERAGE('Pré Implantação'!E131,'Pré Implantação'!H131)),"")</f>
        <v/>
      </c>
      <c r="D131" s="34" t="str">
        <f>IFERROR(IF('Pré Implantação'!B131="CSC Service Desk",AVERAGE('Pré Implantação'!D131,'Pré Implantação'!L131,'Pré Implantação'!F131),AVERAGE('Pré Implantação'!F131)),"")</f>
        <v/>
      </c>
      <c r="E131" s="34" t="str">
        <f>IFERROR(IF('Pré Implantação'!B131="CSC NOC",AVERAGE('Pré Implantação'!D131,'Pré Implantação'!L131,'Pré Implantação'!G131),AVERAGE('Pré Implantação'!G131)),"")</f>
        <v/>
      </c>
      <c r="F131" s="34" t="str">
        <f>IFERROR(IF('Pré Implantação'!B131="CSE Gravadores",AVERAGE('Pré Implantação'!D131,'Pré Implantação'!L131,'Pré Implantação'!I131),AVERAGE('Pré Implantação'!I131)),"")</f>
        <v/>
      </c>
      <c r="G131" s="34" t="str">
        <f>IFERROR(IF('Pré Implantação'!B131="CSC",AVERAGE('Pré Implantação'!D131,'Pré Implantação'!L131,'Pré Implantação'!J131),AVERAGE('Pré Implantação'!J131)),"")</f>
        <v/>
      </c>
      <c r="H131" s="34" t="str">
        <f>IFERROR(IF('Pré Implantação'!B131="Operações \ Negócio",AVERAGE('Pré Implantação'!D131,'Pré Implantação'!L131,'Pré Implantação'!K131),AVERAGE('Pré Implantação'!K131)),"")</f>
        <v/>
      </c>
      <c r="I131" s="34" t="str">
        <f>IFERROR(IF('Pré Implantação'!B131="Projetos",AVERAGE('Pré Implantação'!D131,'Pré Implantação'!L131,'Pré Implantação'!M131),AVERAGE('Pré Implantação'!M131)),"")</f>
        <v/>
      </c>
      <c r="J131" s="34" t="str">
        <f>IFERROR(IF('Pré Implantação'!B131="Engenharia",AVERAGE('Pré Implantação'!D131,'Pré Implantação'!L131,'Pré Implantação'!N131),AVERAGE('Pré Implantação'!N131)),"")</f>
        <v/>
      </c>
      <c r="K131" s="34" t="str">
        <f>IFERROR(IF('Pré Implantação'!B131="URA",AVERAGE('Pré Implantação'!D131,'Pré Implantação'!L131),""),"")</f>
        <v/>
      </c>
      <c r="L131" s="34" t="str">
        <f>IFERROR(IF('Pré Implantação'!B131="CSE Microsoft",AVERAGE('Pré Implantação'!D131,'Pré Implantação'!L131),""),"")</f>
        <v/>
      </c>
      <c r="M131" s="34" t="str">
        <f>IFERROR(IF('Pré Implantação'!B131="CSE Telecom",AVERAGE('Pré Implantação'!D131,'Pré Implantação'!L131),""),"")</f>
        <v/>
      </c>
      <c r="N131" s="34" t="str">
        <f>IFERROR(IF('Pré Implantação'!B131="Site Suporte de Campo",AVERAGE('Pré Implantação'!D131,'Pré Implantação'!L131),""),"")</f>
        <v/>
      </c>
      <c r="O131" s="49" t="str">
        <f>IFERROR(IF('Pré Implantação'!B131="Infraestrutura",AVERAGE('Pré Implantação'!D131,'Pré Implantação'!L131),""),"")</f>
        <v/>
      </c>
    </row>
    <row r="132" spans="1:15" x14ac:dyDescent="0.3">
      <c r="A132" s="33">
        <f>'Pré Implantação'!A132</f>
        <v>0</v>
      </c>
      <c r="B132" s="36">
        <f>'Pré Implantação'!C132</f>
        <v>0</v>
      </c>
      <c r="C132" s="34" t="str">
        <f>IFERROR(IF('Pré Implantação'!B132="Produção TI",AVERAGE('Pré Implantação'!D132,'Pré Implantação'!L132,'Pré Implantação'!E132,'Pré Implantação'!H132),AVERAGE('Pré Implantação'!E132,'Pré Implantação'!H132)),"")</f>
        <v/>
      </c>
      <c r="D132" s="34" t="str">
        <f>IFERROR(IF('Pré Implantação'!B132="CSC Service Desk",AVERAGE('Pré Implantação'!D132,'Pré Implantação'!L132,'Pré Implantação'!F132),AVERAGE('Pré Implantação'!F132)),"")</f>
        <v/>
      </c>
      <c r="E132" s="34" t="str">
        <f>IFERROR(IF('Pré Implantação'!B132="CSC NOC",AVERAGE('Pré Implantação'!D132,'Pré Implantação'!L132,'Pré Implantação'!G132),AVERAGE('Pré Implantação'!G132)),"")</f>
        <v/>
      </c>
      <c r="F132" s="34" t="str">
        <f>IFERROR(IF('Pré Implantação'!B132="CSE Gravadores",AVERAGE('Pré Implantação'!D132,'Pré Implantação'!L132,'Pré Implantação'!I132),AVERAGE('Pré Implantação'!I132)),"")</f>
        <v/>
      </c>
      <c r="G132" s="34" t="str">
        <f>IFERROR(IF('Pré Implantação'!B132="CSC",AVERAGE('Pré Implantação'!D132,'Pré Implantação'!L132,'Pré Implantação'!J132),AVERAGE('Pré Implantação'!J132)),"")</f>
        <v/>
      </c>
      <c r="H132" s="34" t="str">
        <f>IFERROR(IF('Pré Implantação'!B132="Operações \ Negócio",AVERAGE('Pré Implantação'!D132,'Pré Implantação'!L132,'Pré Implantação'!K132),AVERAGE('Pré Implantação'!K132)),"")</f>
        <v/>
      </c>
      <c r="I132" s="34" t="str">
        <f>IFERROR(IF('Pré Implantação'!B132="Projetos",AVERAGE('Pré Implantação'!D132,'Pré Implantação'!L132,'Pré Implantação'!M132),AVERAGE('Pré Implantação'!M132)),"")</f>
        <v/>
      </c>
      <c r="J132" s="34" t="str">
        <f>IFERROR(IF('Pré Implantação'!B132="Engenharia",AVERAGE('Pré Implantação'!D132,'Pré Implantação'!L132,'Pré Implantação'!N132),AVERAGE('Pré Implantação'!N132)),"")</f>
        <v/>
      </c>
      <c r="K132" s="34" t="str">
        <f>IFERROR(IF('Pré Implantação'!B132="URA",AVERAGE('Pré Implantação'!D132,'Pré Implantação'!L132),""),"")</f>
        <v/>
      </c>
      <c r="L132" s="34" t="str">
        <f>IFERROR(IF('Pré Implantação'!B132="CSE Microsoft",AVERAGE('Pré Implantação'!D132,'Pré Implantação'!L132),""),"")</f>
        <v/>
      </c>
      <c r="M132" s="34" t="str">
        <f>IFERROR(IF('Pré Implantação'!B132="CSE Telecom",AVERAGE('Pré Implantação'!D132,'Pré Implantação'!L132),""),"")</f>
        <v/>
      </c>
      <c r="N132" s="34" t="str">
        <f>IFERROR(IF('Pré Implantação'!B132="Site Suporte de Campo",AVERAGE('Pré Implantação'!D132,'Pré Implantação'!L132),""),"")</f>
        <v/>
      </c>
      <c r="O132" s="49" t="str">
        <f>IFERROR(IF('Pré Implantação'!B132="Infraestrutura",AVERAGE('Pré Implantação'!D132,'Pré Implantação'!L132),""),"")</f>
        <v/>
      </c>
    </row>
    <row r="133" spans="1:15" x14ac:dyDescent="0.3">
      <c r="A133" s="33">
        <f>'Pré Implantação'!A133</f>
        <v>0</v>
      </c>
      <c r="B133" s="36">
        <f>'Pré Implantação'!C133</f>
        <v>0</v>
      </c>
      <c r="C133" s="34" t="str">
        <f>IFERROR(IF('Pré Implantação'!B133="Produção TI",AVERAGE('Pré Implantação'!D133,'Pré Implantação'!L133,'Pré Implantação'!E133,'Pré Implantação'!H133),AVERAGE('Pré Implantação'!E133,'Pré Implantação'!H133)),"")</f>
        <v/>
      </c>
      <c r="D133" s="34" t="str">
        <f>IFERROR(IF('Pré Implantação'!B133="CSC Service Desk",AVERAGE('Pré Implantação'!D133,'Pré Implantação'!L133,'Pré Implantação'!F133),AVERAGE('Pré Implantação'!F133)),"")</f>
        <v/>
      </c>
      <c r="E133" s="34" t="str">
        <f>IFERROR(IF('Pré Implantação'!B133="CSC NOC",AVERAGE('Pré Implantação'!D133,'Pré Implantação'!L133,'Pré Implantação'!G133),AVERAGE('Pré Implantação'!G133)),"")</f>
        <v/>
      </c>
      <c r="F133" s="34" t="str">
        <f>IFERROR(IF('Pré Implantação'!B133="CSE Gravadores",AVERAGE('Pré Implantação'!D133,'Pré Implantação'!L133,'Pré Implantação'!I133),AVERAGE('Pré Implantação'!I133)),"")</f>
        <v/>
      </c>
      <c r="G133" s="34" t="str">
        <f>IFERROR(IF('Pré Implantação'!B133="CSC",AVERAGE('Pré Implantação'!D133,'Pré Implantação'!L133,'Pré Implantação'!J133),AVERAGE('Pré Implantação'!J133)),"")</f>
        <v/>
      </c>
      <c r="H133" s="34" t="str">
        <f>IFERROR(IF('Pré Implantação'!B133="Operações \ Negócio",AVERAGE('Pré Implantação'!D133,'Pré Implantação'!L133,'Pré Implantação'!K133),AVERAGE('Pré Implantação'!K133)),"")</f>
        <v/>
      </c>
      <c r="I133" s="34" t="str">
        <f>IFERROR(IF('Pré Implantação'!B133="Projetos",AVERAGE('Pré Implantação'!D133,'Pré Implantação'!L133,'Pré Implantação'!M133),AVERAGE('Pré Implantação'!M133)),"")</f>
        <v/>
      </c>
      <c r="J133" s="34" t="str">
        <f>IFERROR(IF('Pré Implantação'!B133="Engenharia",AVERAGE('Pré Implantação'!D133,'Pré Implantação'!L133,'Pré Implantação'!N133),AVERAGE('Pré Implantação'!N133)),"")</f>
        <v/>
      </c>
      <c r="K133" s="34" t="str">
        <f>IFERROR(IF('Pré Implantação'!B133="URA",AVERAGE('Pré Implantação'!D133,'Pré Implantação'!L133),""),"")</f>
        <v/>
      </c>
      <c r="L133" s="34" t="str">
        <f>IFERROR(IF('Pré Implantação'!B133="CSE Microsoft",AVERAGE('Pré Implantação'!D133,'Pré Implantação'!L133),""),"")</f>
        <v/>
      </c>
      <c r="M133" s="34" t="str">
        <f>IFERROR(IF('Pré Implantação'!B133="CSE Telecom",AVERAGE('Pré Implantação'!D133,'Pré Implantação'!L133),""),"")</f>
        <v/>
      </c>
      <c r="N133" s="34" t="str">
        <f>IFERROR(IF('Pré Implantação'!B133="Site Suporte de Campo",AVERAGE('Pré Implantação'!D133,'Pré Implantação'!L133),""),"")</f>
        <v/>
      </c>
      <c r="O133" s="49" t="str">
        <f>IFERROR(IF('Pré Implantação'!B133="Infraestrutura",AVERAGE('Pré Implantação'!D133,'Pré Implantação'!L133),""),"")</f>
        <v/>
      </c>
    </row>
    <row r="134" spans="1:15" x14ac:dyDescent="0.3">
      <c r="A134" s="33">
        <f>'Pré Implantação'!A134</f>
        <v>0</v>
      </c>
      <c r="B134" s="36">
        <f>'Pré Implantação'!C134</f>
        <v>0</v>
      </c>
      <c r="C134" s="34" t="str">
        <f>IFERROR(IF('Pré Implantação'!B134="Produção TI",AVERAGE('Pré Implantação'!D134,'Pré Implantação'!L134,'Pré Implantação'!E134,'Pré Implantação'!H134),AVERAGE('Pré Implantação'!E134,'Pré Implantação'!H134)),"")</f>
        <v/>
      </c>
      <c r="D134" s="34" t="str">
        <f>IFERROR(IF('Pré Implantação'!B134="CSC Service Desk",AVERAGE('Pré Implantação'!D134,'Pré Implantação'!L134,'Pré Implantação'!F134),AVERAGE('Pré Implantação'!F134)),"")</f>
        <v/>
      </c>
      <c r="E134" s="34" t="str">
        <f>IFERROR(IF('Pré Implantação'!B134="CSC NOC",AVERAGE('Pré Implantação'!D134,'Pré Implantação'!L134,'Pré Implantação'!G134),AVERAGE('Pré Implantação'!G134)),"")</f>
        <v/>
      </c>
      <c r="F134" s="34" t="str">
        <f>IFERROR(IF('Pré Implantação'!B134="CSE Gravadores",AVERAGE('Pré Implantação'!D134,'Pré Implantação'!L134,'Pré Implantação'!I134),AVERAGE('Pré Implantação'!I134)),"")</f>
        <v/>
      </c>
      <c r="G134" s="34" t="str">
        <f>IFERROR(IF('Pré Implantação'!B134="CSC",AVERAGE('Pré Implantação'!D134,'Pré Implantação'!L134,'Pré Implantação'!J134),AVERAGE('Pré Implantação'!J134)),"")</f>
        <v/>
      </c>
      <c r="H134" s="34" t="str">
        <f>IFERROR(IF('Pré Implantação'!B134="Operações \ Negócio",AVERAGE('Pré Implantação'!D134,'Pré Implantação'!L134,'Pré Implantação'!K134),AVERAGE('Pré Implantação'!K134)),"")</f>
        <v/>
      </c>
      <c r="I134" s="34" t="str">
        <f>IFERROR(IF('Pré Implantação'!B134="Projetos",AVERAGE('Pré Implantação'!D134,'Pré Implantação'!L134,'Pré Implantação'!M134),AVERAGE('Pré Implantação'!M134)),"")</f>
        <v/>
      </c>
      <c r="J134" s="34" t="str">
        <f>IFERROR(IF('Pré Implantação'!B134="Engenharia",AVERAGE('Pré Implantação'!D134,'Pré Implantação'!L134,'Pré Implantação'!N134),AVERAGE('Pré Implantação'!N134)),"")</f>
        <v/>
      </c>
      <c r="K134" s="34" t="str">
        <f>IFERROR(IF('Pré Implantação'!B134="URA",AVERAGE('Pré Implantação'!D134,'Pré Implantação'!L134),""),"")</f>
        <v/>
      </c>
      <c r="L134" s="34" t="str">
        <f>IFERROR(IF('Pré Implantação'!B134="CSE Microsoft",AVERAGE('Pré Implantação'!D134,'Pré Implantação'!L134),""),"")</f>
        <v/>
      </c>
      <c r="M134" s="34" t="str">
        <f>IFERROR(IF('Pré Implantação'!B134="CSE Telecom",AVERAGE('Pré Implantação'!D134,'Pré Implantação'!L134),""),"")</f>
        <v/>
      </c>
      <c r="N134" s="34" t="str">
        <f>IFERROR(IF('Pré Implantação'!B134="Site Suporte de Campo",AVERAGE('Pré Implantação'!D134,'Pré Implantação'!L134),""),"")</f>
        <v/>
      </c>
      <c r="O134" s="49" t="str">
        <f>IFERROR(IF('Pré Implantação'!B134="Infraestrutura",AVERAGE('Pré Implantação'!D134,'Pré Implantação'!L134),""),"")</f>
        <v/>
      </c>
    </row>
    <row r="135" spans="1:15" x14ac:dyDescent="0.3">
      <c r="A135" s="33">
        <f>'Pré Implantação'!A135</f>
        <v>0</v>
      </c>
      <c r="B135" s="36">
        <f>'Pré Implantação'!C135</f>
        <v>0</v>
      </c>
      <c r="C135" s="34" t="str">
        <f>IFERROR(IF('Pré Implantação'!B135="Produção TI",AVERAGE('Pré Implantação'!D135,'Pré Implantação'!L135,'Pré Implantação'!E135,'Pré Implantação'!H135),AVERAGE('Pré Implantação'!E135,'Pré Implantação'!H135)),"")</f>
        <v/>
      </c>
      <c r="D135" s="34" t="str">
        <f>IFERROR(IF('Pré Implantação'!B135="CSC Service Desk",AVERAGE('Pré Implantação'!D135,'Pré Implantação'!L135,'Pré Implantação'!F135),AVERAGE('Pré Implantação'!F135)),"")</f>
        <v/>
      </c>
      <c r="E135" s="34" t="str">
        <f>IFERROR(IF('Pré Implantação'!B135="CSC NOC",AVERAGE('Pré Implantação'!D135,'Pré Implantação'!L135,'Pré Implantação'!G135),AVERAGE('Pré Implantação'!G135)),"")</f>
        <v/>
      </c>
      <c r="F135" s="34" t="str">
        <f>IFERROR(IF('Pré Implantação'!B135="CSE Gravadores",AVERAGE('Pré Implantação'!D135,'Pré Implantação'!L135,'Pré Implantação'!I135),AVERAGE('Pré Implantação'!I135)),"")</f>
        <v/>
      </c>
      <c r="G135" s="34" t="str">
        <f>IFERROR(IF('Pré Implantação'!B135="CSC",AVERAGE('Pré Implantação'!D135,'Pré Implantação'!L135,'Pré Implantação'!J135),AVERAGE('Pré Implantação'!J135)),"")</f>
        <v/>
      </c>
      <c r="H135" s="34" t="str">
        <f>IFERROR(IF('Pré Implantação'!B135="Operações \ Negócio",AVERAGE('Pré Implantação'!D135,'Pré Implantação'!L135,'Pré Implantação'!K135),AVERAGE('Pré Implantação'!K135)),"")</f>
        <v/>
      </c>
      <c r="I135" s="34" t="str">
        <f>IFERROR(IF('Pré Implantação'!B135="Projetos",AVERAGE('Pré Implantação'!D135,'Pré Implantação'!L135,'Pré Implantação'!M135),AVERAGE('Pré Implantação'!M135)),"")</f>
        <v/>
      </c>
      <c r="J135" s="34" t="str">
        <f>IFERROR(IF('Pré Implantação'!B135="Engenharia",AVERAGE('Pré Implantação'!D135,'Pré Implantação'!L135,'Pré Implantação'!N135),AVERAGE('Pré Implantação'!N135)),"")</f>
        <v/>
      </c>
      <c r="K135" s="34" t="str">
        <f>IFERROR(IF('Pré Implantação'!B135="URA",AVERAGE('Pré Implantação'!D135,'Pré Implantação'!L135),""),"")</f>
        <v/>
      </c>
      <c r="L135" s="34" t="str">
        <f>IFERROR(IF('Pré Implantação'!B135="CSE Microsoft",AVERAGE('Pré Implantação'!D135,'Pré Implantação'!L135),""),"")</f>
        <v/>
      </c>
      <c r="M135" s="34" t="str">
        <f>IFERROR(IF('Pré Implantação'!B135="CSE Telecom",AVERAGE('Pré Implantação'!D135,'Pré Implantação'!L135),""),"")</f>
        <v/>
      </c>
      <c r="N135" s="34" t="str">
        <f>IFERROR(IF('Pré Implantação'!B135="Site Suporte de Campo",AVERAGE('Pré Implantação'!D135,'Pré Implantação'!L135),""),"")</f>
        <v/>
      </c>
      <c r="O135" s="49" t="str">
        <f>IFERROR(IF('Pré Implantação'!B135="Infraestrutura",AVERAGE('Pré Implantação'!D135,'Pré Implantação'!L135),""),"")</f>
        <v/>
      </c>
    </row>
    <row r="136" spans="1:15" x14ac:dyDescent="0.3">
      <c r="A136" s="33">
        <f>'Pré Implantação'!A136</f>
        <v>0</v>
      </c>
      <c r="B136" s="36">
        <f>'Pré Implantação'!C136</f>
        <v>0</v>
      </c>
      <c r="C136" s="34" t="str">
        <f>IFERROR(IF('Pré Implantação'!B136="Produção TI",AVERAGE('Pré Implantação'!D136,'Pré Implantação'!L136,'Pré Implantação'!E136,'Pré Implantação'!H136),AVERAGE('Pré Implantação'!E136,'Pré Implantação'!H136)),"")</f>
        <v/>
      </c>
      <c r="D136" s="34" t="str">
        <f>IFERROR(IF('Pré Implantação'!B136="CSC Service Desk",AVERAGE('Pré Implantação'!D136,'Pré Implantação'!L136,'Pré Implantação'!F136),AVERAGE('Pré Implantação'!F136)),"")</f>
        <v/>
      </c>
      <c r="E136" s="34" t="str">
        <f>IFERROR(IF('Pré Implantação'!B136="CSC NOC",AVERAGE('Pré Implantação'!D136,'Pré Implantação'!L136,'Pré Implantação'!G136),AVERAGE('Pré Implantação'!G136)),"")</f>
        <v/>
      </c>
      <c r="F136" s="34" t="str">
        <f>IFERROR(IF('Pré Implantação'!B136="CSE Gravadores",AVERAGE('Pré Implantação'!D136,'Pré Implantação'!L136,'Pré Implantação'!I136),AVERAGE('Pré Implantação'!I136)),"")</f>
        <v/>
      </c>
      <c r="G136" s="34" t="str">
        <f>IFERROR(IF('Pré Implantação'!B136="CSC",AVERAGE('Pré Implantação'!D136,'Pré Implantação'!L136,'Pré Implantação'!J136),AVERAGE('Pré Implantação'!J136)),"")</f>
        <v/>
      </c>
      <c r="H136" s="34" t="str">
        <f>IFERROR(IF('Pré Implantação'!B136="Operações \ Negócio",AVERAGE('Pré Implantação'!D136,'Pré Implantação'!L136,'Pré Implantação'!K136),AVERAGE('Pré Implantação'!K136)),"")</f>
        <v/>
      </c>
      <c r="I136" s="34" t="str">
        <f>IFERROR(IF('Pré Implantação'!B136="Projetos",AVERAGE('Pré Implantação'!D136,'Pré Implantação'!L136,'Pré Implantação'!M136),AVERAGE('Pré Implantação'!M136)),"")</f>
        <v/>
      </c>
      <c r="J136" s="34" t="str">
        <f>IFERROR(IF('Pré Implantação'!B136="Engenharia",AVERAGE('Pré Implantação'!D136,'Pré Implantação'!L136,'Pré Implantação'!N136),AVERAGE('Pré Implantação'!N136)),"")</f>
        <v/>
      </c>
      <c r="K136" s="34" t="str">
        <f>IFERROR(IF('Pré Implantação'!B136="URA",AVERAGE('Pré Implantação'!D136,'Pré Implantação'!L136),""),"")</f>
        <v/>
      </c>
      <c r="L136" s="34" t="str">
        <f>IFERROR(IF('Pré Implantação'!B136="CSE Microsoft",AVERAGE('Pré Implantação'!D136,'Pré Implantação'!L136),""),"")</f>
        <v/>
      </c>
      <c r="M136" s="34" t="str">
        <f>IFERROR(IF('Pré Implantação'!B136="CSE Telecom",AVERAGE('Pré Implantação'!D136,'Pré Implantação'!L136),""),"")</f>
        <v/>
      </c>
      <c r="N136" s="34" t="str">
        <f>IFERROR(IF('Pré Implantação'!B136="Site Suporte de Campo",AVERAGE('Pré Implantação'!D136,'Pré Implantação'!L136),""),"")</f>
        <v/>
      </c>
      <c r="O136" s="49" t="str">
        <f>IFERROR(IF('Pré Implantação'!B136="Infraestrutura",AVERAGE('Pré Implantação'!D136,'Pré Implantação'!L136),""),"")</f>
        <v/>
      </c>
    </row>
    <row r="137" spans="1:15" x14ac:dyDescent="0.3">
      <c r="A137" s="33">
        <f>'Pré Implantação'!A137</f>
        <v>0</v>
      </c>
      <c r="B137" s="36">
        <f>'Pré Implantação'!C137</f>
        <v>0</v>
      </c>
      <c r="C137" s="34" t="str">
        <f>IFERROR(IF('Pré Implantação'!B137="Produção TI",AVERAGE('Pré Implantação'!D137,'Pré Implantação'!L137,'Pré Implantação'!E137,'Pré Implantação'!H137),AVERAGE('Pré Implantação'!E137,'Pré Implantação'!H137)),"")</f>
        <v/>
      </c>
      <c r="D137" s="34" t="str">
        <f>IFERROR(IF('Pré Implantação'!B137="CSC Service Desk",AVERAGE('Pré Implantação'!D137,'Pré Implantação'!L137,'Pré Implantação'!F137),AVERAGE('Pré Implantação'!F137)),"")</f>
        <v/>
      </c>
      <c r="E137" s="34" t="str">
        <f>IFERROR(IF('Pré Implantação'!B137="CSC NOC",AVERAGE('Pré Implantação'!D137,'Pré Implantação'!L137,'Pré Implantação'!G137),AVERAGE('Pré Implantação'!G137)),"")</f>
        <v/>
      </c>
      <c r="F137" s="34" t="str">
        <f>IFERROR(IF('Pré Implantação'!B137="CSE Gravadores",AVERAGE('Pré Implantação'!D137,'Pré Implantação'!L137,'Pré Implantação'!I137),AVERAGE('Pré Implantação'!I137)),"")</f>
        <v/>
      </c>
      <c r="G137" s="34" t="str">
        <f>IFERROR(IF('Pré Implantação'!B137="CSC",AVERAGE('Pré Implantação'!D137,'Pré Implantação'!L137,'Pré Implantação'!J137),AVERAGE('Pré Implantação'!J137)),"")</f>
        <v/>
      </c>
      <c r="H137" s="34" t="str">
        <f>IFERROR(IF('Pré Implantação'!B137="Operações \ Negócio",AVERAGE('Pré Implantação'!D137,'Pré Implantação'!L137,'Pré Implantação'!K137),AVERAGE('Pré Implantação'!K137)),"")</f>
        <v/>
      </c>
      <c r="I137" s="34" t="str">
        <f>IFERROR(IF('Pré Implantação'!B137="Projetos",AVERAGE('Pré Implantação'!D137,'Pré Implantação'!L137,'Pré Implantação'!M137),AVERAGE('Pré Implantação'!M137)),"")</f>
        <v/>
      </c>
      <c r="J137" s="34" t="str">
        <f>IFERROR(IF('Pré Implantação'!B137="Engenharia",AVERAGE('Pré Implantação'!D137,'Pré Implantação'!L137,'Pré Implantação'!N137),AVERAGE('Pré Implantação'!N137)),"")</f>
        <v/>
      </c>
      <c r="K137" s="34" t="str">
        <f>IFERROR(IF('Pré Implantação'!B137="URA",AVERAGE('Pré Implantação'!D137,'Pré Implantação'!L137),""),"")</f>
        <v/>
      </c>
      <c r="L137" s="34" t="str">
        <f>IFERROR(IF('Pré Implantação'!B137="CSE Microsoft",AVERAGE('Pré Implantação'!D137,'Pré Implantação'!L137),""),"")</f>
        <v/>
      </c>
      <c r="M137" s="34" t="str">
        <f>IFERROR(IF('Pré Implantação'!B137="CSE Telecom",AVERAGE('Pré Implantação'!D137,'Pré Implantação'!L137),""),"")</f>
        <v/>
      </c>
      <c r="N137" s="34" t="str">
        <f>IFERROR(IF('Pré Implantação'!B137="Site Suporte de Campo",AVERAGE('Pré Implantação'!D137,'Pré Implantação'!L137),""),"")</f>
        <v/>
      </c>
      <c r="O137" s="49" t="str">
        <f>IFERROR(IF('Pré Implantação'!B137="Infraestrutura",AVERAGE('Pré Implantação'!D137,'Pré Implantação'!L137),""),"")</f>
        <v/>
      </c>
    </row>
    <row r="138" spans="1:15" x14ac:dyDescent="0.3">
      <c r="A138" s="33">
        <f>'Pré Implantação'!A138</f>
        <v>0</v>
      </c>
      <c r="B138" s="36">
        <f>'Pré Implantação'!C138</f>
        <v>0</v>
      </c>
      <c r="C138" s="34" t="str">
        <f>IFERROR(IF('Pré Implantação'!B138="Produção TI",AVERAGE('Pré Implantação'!D138,'Pré Implantação'!L138,'Pré Implantação'!E138,'Pré Implantação'!H138),AVERAGE('Pré Implantação'!E138,'Pré Implantação'!H138)),"")</f>
        <v/>
      </c>
      <c r="D138" s="34" t="str">
        <f>IFERROR(IF('Pré Implantação'!B138="CSC Service Desk",AVERAGE('Pré Implantação'!D138,'Pré Implantação'!L138,'Pré Implantação'!F138),AVERAGE('Pré Implantação'!F138)),"")</f>
        <v/>
      </c>
      <c r="E138" s="34" t="str">
        <f>IFERROR(IF('Pré Implantação'!B138="CSC NOC",AVERAGE('Pré Implantação'!D138,'Pré Implantação'!L138,'Pré Implantação'!G138),AVERAGE('Pré Implantação'!G138)),"")</f>
        <v/>
      </c>
      <c r="F138" s="34" t="str">
        <f>IFERROR(IF('Pré Implantação'!B138="CSE Gravadores",AVERAGE('Pré Implantação'!D138,'Pré Implantação'!L138,'Pré Implantação'!I138),AVERAGE('Pré Implantação'!I138)),"")</f>
        <v/>
      </c>
      <c r="G138" s="34" t="str">
        <f>IFERROR(IF('Pré Implantação'!B138="CSC",AVERAGE('Pré Implantação'!D138,'Pré Implantação'!L138,'Pré Implantação'!J138),AVERAGE('Pré Implantação'!J138)),"")</f>
        <v/>
      </c>
      <c r="H138" s="34" t="str">
        <f>IFERROR(IF('Pré Implantação'!B138="Operações \ Negócio",AVERAGE('Pré Implantação'!D138,'Pré Implantação'!L138,'Pré Implantação'!K138),AVERAGE('Pré Implantação'!K138)),"")</f>
        <v/>
      </c>
      <c r="I138" s="34" t="str">
        <f>IFERROR(IF('Pré Implantação'!B138="Projetos",AVERAGE('Pré Implantação'!D138,'Pré Implantação'!L138,'Pré Implantação'!M138),AVERAGE('Pré Implantação'!M138)),"")</f>
        <v/>
      </c>
      <c r="J138" s="34" t="str">
        <f>IFERROR(IF('Pré Implantação'!B138="Engenharia",AVERAGE('Pré Implantação'!D138,'Pré Implantação'!L138,'Pré Implantação'!N138),AVERAGE('Pré Implantação'!N138)),"")</f>
        <v/>
      </c>
      <c r="K138" s="34" t="str">
        <f>IFERROR(IF('Pré Implantação'!B138="URA",AVERAGE('Pré Implantação'!D138,'Pré Implantação'!L138),""),"")</f>
        <v/>
      </c>
      <c r="L138" s="34" t="str">
        <f>IFERROR(IF('Pré Implantação'!B138="CSE Microsoft",AVERAGE('Pré Implantação'!D138,'Pré Implantação'!L138),""),"")</f>
        <v/>
      </c>
      <c r="M138" s="34" t="str">
        <f>IFERROR(IF('Pré Implantação'!B138="CSE Telecom",AVERAGE('Pré Implantação'!D138,'Pré Implantação'!L138),""),"")</f>
        <v/>
      </c>
      <c r="N138" s="34" t="str">
        <f>IFERROR(IF('Pré Implantação'!B138="Site Suporte de Campo",AVERAGE('Pré Implantação'!D138,'Pré Implantação'!L138),""),"")</f>
        <v/>
      </c>
      <c r="O138" s="49" t="str">
        <f>IFERROR(IF('Pré Implantação'!B138="Infraestrutura",AVERAGE('Pré Implantação'!D138,'Pré Implantação'!L138),""),"")</f>
        <v/>
      </c>
    </row>
    <row r="139" spans="1:15" x14ac:dyDescent="0.3">
      <c r="A139" s="33">
        <f>'Pré Implantação'!A139</f>
        <v>0</v>
      </c>
      <c r="B139" s="36">
        <f>'Pré Implantação'!C139</f>
        <v>0</v>
      </c>
      <c r="C139" s="34" t="str">
        <f>IFERROR(IF('Pré Implantação'!B139="Produção TI",AVERAGE('Pré Implantação'!D139,'Pré Implantação'!L139,'Pré Implantação'!E139,'Pré Implantação'!H139),AVERAGE('Pré Implantação'!E139,'Pré Implantação'!H139)),"")</f>
        <v/>
      </c>
      <c r="D139" s="34" t="str">
        <f>IFERROR(IF('Pré Implantação'!B139="CSC Service Desk",AVERAGE('Pré Implantação'!D139,'Pré Implantação'!L139,'Pré Implantação'!F139),AVERAGE('Pré Implantação'!F139)),"")</f>
        <v/>
      </c>
      <c r="E139" s="34" t="str">
        <f>IFERROR(IF('Pré Implantação'!B139="CSC NOC",AVERAGE('Pré Implantação'!D139,'Pré Implantação'!L139,'Pré Implantação'!G139),AVERAGE('Pré Implantação'!G139)),"")</f>
        <v/>
      </c>
      <c r="F139" s="34" t="str">
        <f>IFERROR(IF('Pré Implantação'!B139="CSE Gravadores",AVERAGE('Pré Implantação'!D139,'Pré Implantação'!L139,'Pré Implantação'!I139),AVERAGE('Pré Implantação'!I139)),"")</f>
        <v/>
      </c>
      <c r="G139" s="34" t="str">
        <f>IFERROR(IF('Pré Implantação'!B139="CSC",AVERAGE('Pré Implantação'!D139,'Pré Implantação'!L139,'Pré Implantação'!J139),AVERAGE('Pré Implantação'!J139)),"")</f>
        <v/>
      </c>
      <c r="H139" s="34" t="str">
        <f>IFERROR(IF('Pré Implantação'!B139="Operações \ Negócio",AVERAGE('Pré Implantação'!D139,'Pré Implantação'!L139,'Pré Implantação'!K139),AVERAGE('Pré Implantação'!K139)),"")</f>
        <v/>
      </c>
      <c r="I139" s="34" t="str">
        <f>IFERROR(IF('Pré Implantação'!B139="Projetos",AVERAGE('Pré Implantação'!D139,'Pré Implantação'!L139,'Pré Implantação'!M139),AVERAGE('Pré Implantação'!M139)),"")</f>
        <v/>
      </c>
      <c r="J139" s="34" t="str">
        <f>IFERROR(IF('Pré Implantação'!B139="Engenharia",AVERAGE('Pré Implantação'!D139,'Pré Implantação'!L139,'Pré Implantação'!N139),AVERAGE('Pré Implantação'!N139)),"")</f>
        <v/>
      </c>
      <c r="K139" s="34" t="str">
        <f>IFERROR(IF('Pré Implantação'!B139="URA",AVERAGE('Pré Implantação'!D139,'Pré Implantação'!L139),""),"")</f>
        <v/>
      </c>
      <c r="L139" s="34" t="str">
        <f>IFERROR(IF('Pré Implantação'!B139="CSE Microsoft",AVERAGE('Pré Implantação'!D139,'Pré Implantação'!L139),""),"")</f>
        <v/>
      </c>
      <c r="M139" s="34" t="str">
        <f>IFERROR(IF('Pré Implantação'!B139="CSE Telecom",AVERAGE('Pré Implantação'!D139,'Pré Implantação'!L139),""),"")</f>
        <v/>
      </c>
      <c r="N139" s="34" t="str">
        <f>IFERROR(IF('Pré Implantação'!B139="Site Suporte de Campo",AVERAGE('Pré Implantação'!D139,'Pré Implantação'!L139),""),"")</f>
        <v/>
      </c>
      <c r="O139" s="49" t="str">
        <f>IFERROR(IF('Pré Implantação'!B139="Infraestrutura",AVERAGE('Pré Implantação'!D139,'Pré Implantação'!L139),""),"")</f>
        <v/>
      </c>
    </row>
    <row r="140" spans="1:15" x14ac:dyDescent="0.3">
      <c r="A140" s="33">
        <f>'Pré Implantação'!A140</f>
        <v>0</v>
      </c>
      <c r="B140" s="36">
        <f>'Pré Implantação'!C140</f>
        <v>0</v>
      </c>
      <c r="C140" s="34" t="str">
        <f>IFERROR(IF('Pré Implantação'!B140="Produção TI",AVERAGE('Pré Implantação'!D140,'Pré Implantação'!L140,'Pré Implantação'!E140,'Pré Implantação'!H140),AVERAGE('Pré Implantação'!E140,'Pré Implantação'!H140)),"")</f>
        <v/>
      </c>
      <c r="D140" s="34" t="str">
        <f>IFERROR(IF('Pré Implantação'!B140="CSC Service Desk",AVERAGE('Pré Implantação'!D140,'Pré Implantação'!L140,'Pré Implantação'!F140),AVERAGE('Pré Implantação'!F140)),"")</f>
        <v/>
      </c>
      <c r="E140" s="34" t="str">
        <f>IFERROR(IF('Pré Implantação'!B140="CSC NOC",AVERAGE('Pré Implantação'!D140,'Pré Implantação'!L140,'Pré Implantação'!G140),AVERAGE('Pré Implantação'!G140)),"")</f>
        <v/>
      </c>
      <c r="F140" s="34" t="str">
        <f>IFERROR(IF('Pré Implantação'!B140="CSE Gravadores",AVERAGE('Pré Implantação'!D140,'Pré Implantação'!L140,'Pré Implantação'!I140),AVERAGE('Pré Implantação'!I140)),"")</f>
        <v/>
      </c>
      <c r="G140" s="34" t="str">
        <f>IFERROR(IF('Pré Implantação'!B140="CSC",AVERAGE('Pré Implantação'!D140,'Pré Implantação'!L140,'Pré Implantação'!J140),AVERAGE('Pré Implantação'!J140)),"")</f>
        <v/>
      </c>
      <c r="H140" s="34" t="str">
        <f>IFERROR(IF('Pré Implantação'!B140="Operações \ Negócio",AVERAGE('Pré Implantação'!D140,'Pré Implantação'!L140,'Pré Implantação'!K140),AVERAGE('Pré Implantação'!K140)),"")</f>
        <v/>
      </c>
      <c r="I140" s="34" t="str">
        <f>IFERROR(IF('Pré Implantação'!B140="Projetos",AVERAGE('Pré Implantação'!D140,'Pré Implantação'!L140,'Pré Implantação'!M140),AVERAGE('Pré Implantação'!M140)),"")</f>
        <v/>
      </c>
      <c r="J140" s="34" t="str">
        <f>IFERROR(IF('Pré Implantação'!B140="Engenharia",AVERAGE('Pré Implantação'!D140,'Pré Implantação'!L140,'Pré Implantação'!N140),AVERAGE('Pré Implantação'!N140)),"")</f>
        <v/>
      </c>
      <c r="K140" s="34" t="str">
        <f>IFERROR(IF('Pré Implantação'!B140="URA",AVERAGE('Pré Implantação'!D140,'Pré Implantação'!L140),""),"")</f>
        <v/>
      </c>
      <c r="L140" s="34" t="str">
        <f>IFERROR(IF('Pré Implantação'!B140="CSE Microsoft",AVERAGE('Pré Implantação'!D140,'Pré Implantação'!L140),""),"")</f>
        <v/>
      </c>
      <c r="M140" s="34" t="str">
        <f>IFERROR(IF('Pré Implantação'!B140="CSE Telecom",AVERAGE('Pré Implantação'!D140,'Pré Implantação'!L140),""),"")</f>
        <v/>
      </c>
      <c r="N140" s="34" t="str">
        <f>IFERROR(IF('Pré Implantação'!B140="Site Suporte de Campo",AVERAGE('Pré Implantação'!D140,'Pré Implantação'!L140),""),"")</f>
        <v/>
      </c>
      <c r="O140" s="49" t="str">
        <f>IFERROR(IF('Pré Implantação'!B140="Infraestrutura",AVERAGE('Pré Implantação'!D140,'Pré Implantação'!L140),""),"")</f>
        <v/>
      </c>
    </row>
    <row r="141" spans="1:15" x14ac:dyDescent="0.3">
      <c r="A141" s="33">
        <f>'Pré Implantação'!A141</f>
        <v>0</v>
      </c>
      <c r="B141" s="36">
        <f>'Pré Implantação'!C141</f>
        <v>0</v>
      </c>
      <c r="C141" s="34" t="str">
        <f>IFERROR(IF('Pré Implantação'!B141="Produção TI",AVERAGE('Pré Implantação'!D141,'Pré Implantação'!L141,'Pré Implantação'!E141,'Pré Implantação'!H141),AVERAGE('Pré Implantação'!E141,'Pré Implantação'!H141)),"")</f>
        <v/>
      </c>
      <c r="D141" s="34" t="str">
        <f>IFERROR(IF('Pré Implantação'!B141="CSC Service Desk",AVERAGE('Pré Implantação'!D141,'Pré Implantação'!L141,'Pré Implantação'!F141),AVERAGE('Pré Implantação'!F141)),"")</f>
        <v/>
      </c>
      <c r="E141" s="34" t="str">
        <f>IFERROR(IF('Pré Implantação'!B141="CSC NOC",AVERAGE('Pré Implantação'!D141,'Pré Implantação'!L141,'Pré Implantação'!G141),AVERAGE('Pré Implantação'!G141)),"")</f>
        <v/>
      </c>
      <c r="F141" s="34" t="str">
        <f>IFERROR(IF('Pré Implantação'!B141="CSE Gravadores",AVERAGE('Pré Implantação'!D141,'Pré Implantação'!L141,'Pré Implantação'!I141),AVERAGE('Pré Implantação'!I141)),"")</f>
        <v/>
      </c>
      <c r="G141" s="34" t="str">
        <f>IFERROR(IF('Pré Implantação'!B141="CSC",AVERAGE('Pré Implantação'!D141,'Pré Implantação'!L141,'Pré Implantação'!J141),AVERAGE('Pré Implantação'!J141)),"")</f>
        <v/>
      </c>
      <c r="H141" s="34" t="str">
        <f>IFERROR(IF('Pré Implantação'!B141="Operações \ Negócio",AVERAGE('Pré Implantação'!D141,'Pré Implantação'!L141,'Pré Implantação'!K141),AVERAGE('Pré Implantação'!K141)),"")</f>
        <v/>
      </c>
      <c r="I141" s="34" t="str">
        <f>IFERROR(IF('Pré Implantação'!B141="Projetos",AVERAGE('Pré Implantação'!D141,'Pré Implantação'!L141,'Pré Implantação'!M141),AVERAGE('Pré Implantação'!M141)),"")</f>
        <v/>
      </c>
      <c r="J141" s="34" t="str">
        <f>IFERROR(IF('Pré Implantação'!B141="Engenharia",AVERAGE('Pré Implantação'!D141,'Pré Implantação'!L141,'Pré Implantação'!N141),AVERAGE('Pré Implantação'!N141)),"")</f>
        <v/>
      </c>
      <c r="K141" s="34" t="str">
        <f>IFERROR(IF('Pré Implantação'!B141="URA",AVERAGE('Pré Implantação'!D141,'Pré Implantação'!L141),""),"")</f>
        <v/>
      </c>
      <c r="L141" s="34" t="str">
        <f>IFERROR(IF('Pré Implantação'!B141="CSE Microsoft",AVERAGE('Pré Implantação'!D141,'Pré Implantação'!L141),""),"")</f>
        <v/>
      </c>
      <c r="M141" s="34" t="str">
        <f>IFERROR(IF('Pré Implantação'!B141="CSE Telecom",AVERAGE('Pré Implantação'!D141,'Pré Implantação'!L141),""),"")</f>
        <v/>
      </c>
      <c r="N141" s="34" t="str">
        <f>IFERROR(IF('Pré Implantação'!B141="Site Suporte de Campo",AVERAGE('Pré Implantação'!D141,'Pré Implantação'!L141),""),"")</f>
        <v/>
      </c>
      <c r="O141" s="49" t="str">
        <f>IFERROR(IF('Pré Implantação'!B141="Infraestrutura",AVERAGE('Pré Implantação'!D141,'Pré Implantação'!L141),""),"")</f>
        <v/>
      </c>
    </row>
    <row r="142" spans="1:15" x14ac:dyDescent="0.3">
      <c r="A142" s="33">
        <f>'Pré Implantação'!A142</f>
        <v>0</v>
      </c>
      <c r="B142" s="36">
        <f>'Pré Implantação'!C142</f>
        <v>0</v>
      </c>
      <c r="C142" s="34" t="str">
        <f>IFERROR(IF('Pré Implantação'!B142="Produção TI",AVERAGE('Pré Implantação'!D142,'Pré Implantação'!L142,'Pré Implantação'!E142,'Pré Implantação'!H142),AVERAGE('Pré Implantação'!E142,'Pré Implantação'!H142)),"")</f>
        <v/>
      </c>
      <c r="D142" s="34" t="str">
        <f>IFERROR(IF('Pré Implantação'!B142="CSC Service Desk",AVERAGE('Pré Implantação'!D142,'Pré Implantação'!L142,'Pré Implantação'!F142),AVERAGE('Pré Implantação'!F142)),"")</f>
        <v/>
      </c>
      <c r="E142" s="34" t="str">
        <f>IFERROR(IF('Pré Implantação'!B142="CSC NOC",AVERAGE('Pré Implantação'!D142,'Pré Implantação'!L142,'Pré Implantação'!G142),AVERAGE('Pré Implantação'!G142)),"")</f>
        <v/>
      </c>
      <c r="F142" s="34" t="str">
        <f>IFERROR(IF('Pré Implantação'!B142="CSE Gravadores",AVERAGE('Pré Implantação'!D142,'Pré Implantação'!L142,'Pré Implantação'!I142),AVERAGE('Pré Implantação'!I142)),"")</f>
        <v/>
      </c>
      <c r="G142" s="34" t="str">
        <f>IFERROR(IF('Pré Implantação'!B142="CSC",AVERAGE('Pré Implantação'!D142,'Pré Implantação'!L142,'Pré Implantação'!J142),AVERAGE('Pré Implantação'!J142)),"")</f>
        <v/>
      </c>
      <c r="H142" s="34" t="str">
        <f>IFERROR(IF('Pré Implantação'!B142="Operações \ Negócio",AVERAGE('Pré Implantação'!D142,'Pré Implantação'!L142,'Pré Implantação'!K142),AVERAGE('Pré Implantação'!K142)),"")</f>
        <v/>
      </c>
      <c r="I142" s="34" t="str">
        <f>IFERROR(IF('Pré Implantação'!B142="Projetos",AVERAGE('Pré Implantação'!D142,'Pré Implantação'!L142,'Pré Implantação'!M142),AVERAGE('Pré Implantação'!M142)),"")</f>
        <v/>
      </c>
      <c r="J142" s="34" t="str">
        <f>IFERROR(IF('Pré Implantação'!B142="Engenharia",AVERAGE('Pré Implantação'!D142,'Pré Implantação'!L142,'Pré Implantação'!N142),AVERAGE('Pré Implantação'!N142)),"")</f>
        <v/>
      </c>
      <c r="K142" s="34" t="str">
        <f>IFERROR(IF('Pré Implantação'!B142="URA",AVERAGE('Pré Implantação'!D142,'Pré Implantação'!L142),""),"")</f>
        <v/>
      </c>
      <c r="L142" s="34" t="str">
        <f>IFERROR(IF('Pré Implantação'!B142="CSE Microsoft",AVERAGE('Pré Implantação'!D142,'Pré Implantação'!L142),""),"")</f>
        <v/>
      </c>
      <c r="M142" s="34" t="str">
        <f>IFERROR(IF('Pré Implantação'!B142="CSE Telecom",AVERAGE('Pré Implantação'!D142,'Pré Implantação'!L142),""),"")</f>
        <v/>
      </c>
      <c r="N142" s="34" t="str">
        <f>IFERROR(IF('Pré Implantação'!B142="Site Suporte de Campo",AVERAGE('Pré Implantação'!D142,'Pré Implantação'!L142),""),"")</f>
        <v/>
      </c>
      <c r="O142" s="49" t="str">
        <f>IFERROR(IF('Pré Implantação'!B142="Infraestrutura",AVERAGE('Pré Implantação'!D142,'Pré Implantação'!L142),""),"")</f>
        <v/>
      </c>
    </row>
    <row r="143" spans="1:15" x14ac:dyDescent="0.3">
      <c r="A143" s="33">
        <f>'Pré Implantação'!A143</f>
        <v>0</v>
      </c>
      <c r="B143" s="36">
        <f>'Pré Implantação'!C143</f>
        <v>0</v>
      </c>
      <c r="C143" s="34" t="str">
        <f>IFERROR(IF('Pré Implantação'!B143="Produção TI",AVERAGE('Pré Implantação'!D143,'Pré Implantação'!L143,'Pré Implantação'!E143,'Pré Implantação'!H143),AVERAGE('Pré Implantação'!E143,'Pré Implantação'!H143)),"")</f>
        <v/>
      </c>
      <c r="D143" s="34" t="str">
        <f>IFERROR(IF('Pré Implantação'!B143="CSC Service Desk",AVERAGE('Pré Implantação'!D143,'Pré Implantação'!L143,'Pré Implantação'!F143),AVERAGE('Pré Implantação'!F143)),"")</f>
        <v/>
      </c>
      <c r="E143" s="34" t="str">
        <f>IFERROR(IF('Pré Implantação'!B143="CSC NOC",AVERAGE('Pré Implantação'!D143,'Pré Implantação'!L143,'Pré Implantação'!G143),AVERAGE('Pré Implantação'!G143)),"")</f>
        <v/>
      </c>
      <c r="F143" s="34" t="str">
        <f>IFERROR(IF('Pré Implantação'!B143="CSE Gravadores",AVERAGE('Pré Implantação'!D143,'Pré Implantação'!L143,'Pré Implantação'!I143),AVERAGE('Pré Implantação'!I143)),"")</f>
        <v/>
      </c>
      <c r="G143" s="34" t="str">
        <f>IFERROR(IF('Pré Implantação'!B143="CSC",AVERAGE('Pré Implantação'!D143,'Pré Implantação'!L143,'Pré Implantação'!J143),AVERAGE('Pré Implantação'!J143)),"")</f>
        <v/>
      </c>
      <c r="H143" s="34" t="str">
        <f>IFERROR(IF('Pré Implantação'!B143="Operações \ Negócio",AVERAGE('Pré Implantação'!D143,'Pré Implantação'!L143,'Pré Implantação'!K143),AVERAGE('Pré Implantação'!K143)),"")</f>
        <v/>
      </c>
      <c r="I143" s="34" t="str">
        <f>IFERROR(IF('Pré Implantação'!B143="Projetos",AVERAGE('Pré Implantação'!D143,'Pré Implantação'!L143,'Pré Implantação'!M143),AVERAGE('Pré Implantação'!M143)),"")</f>
        <v/>
      </c>
      <c r="J143" s="34" t="str">
        <f>IFERROR(IF('Pré Implantação'!B143="Engenharia",AVERAGE('Pré Implantação'!D143,'Pré Implantação'!L143,'Pré Implantação'!N143),AVERAGE('Pré Implantação'!N143)),"")</f>
        <v/>
      </c>
      <c r="K143" s="34" t="str">
        <f>IFERROR(IF('Pré Implantação'!B143="URA",AVERAGE('Pré Implantação'!D143,'Pré Implantação'!L143),""),"")</f>
        <v/>
      </c>
      <c r="L143" s="34" t="str">
        <f>IFERROR(IF('Pré Implantação'!B143="CSE Microsoft",AVERAGE('Pré Implantação'!D143,'Pré Implantação'!L143),""),"")</f>
        <v/>
      </c>
      <c r="M143" s="34" t="str">
        <f>IFERROR(IF('Pré Implantação'!B143="CSE Telecom",AVERAGE('Pré Implantação'!D143,'Pré Implantação'!L143),""),"")</f>
        <v/>
      </c>
      <c r="N143" s="34" t="str">
        <f>IFERROR(IF('Pré Implantação'!B143="Site Suporte de Campo",AVERAGE('Pré Implantação'!D143,'Pré Implantação'!L143),""),"")</f>
        <v/>
      </c>
      <c r="O143" s="49" t="str">
        <f>IFERROR(IF('Pré Implantação'!B143="Infraestrutura",AVERAGE('Pré Implantação'!D143,'Pré Implantação'!L143),""),"")</f>
        <v/>
      </c>
    </row>
    <row r="144" spans="1:15" x14ac:dyDescent="0.3">
      <c r="A144" s="33">
        <f>'Pré Implantação'!A144</f>
        <v>0</v>
      </c>
      <c r="B144" s="36">
        <f>'Pré Implantação'!C144</f>
        <v>0</v>
      </c>
      <c r="C144" s="34" t="str">
        <f>IFERROR(IF('Pré Implantação'!B144="Produção TI",AVERAGE('Pré Implantação'!D144,'Pré Implantação'!L144,'Pré Implantação'!E144,'Pré Implantação'!H144),AVERAGE('Pré Implantação'!E144,'Pré Implantação'!H144)),"")</f>
        <v/>
      </c>
      <c r="D144" s="34" t="str">
        <f>IFERROR(IF('Pré Implantação'!B144="CSC Service Desk",AVERAGE('Pré Implantação'!D144,'Pré Implantação'!L144,'Pré Implantação'!F144),AVERAGE('Pré Implantação'!F144)),"")</f>
        <v/>
      </c>
      <c r="E144" s="34" t="str">
        <f>IFERROR(IF('Pré Implantação'!B144="CSC NOC",AVERAGE('Pré Implantação'!D144,'Pré Implantação'!L144,'Pré Implantação'!G144),AVERAGE('Pré Implantação'!G144)),"")</f>
        <v/>
      </c>
      <c r="F144" s="34" t="str">
        <f>IFERROR(IF('Pré Implantação'!B144="CSE Gravadores",AVERAGE('Pré Implantação'!D144,'Pré Implantação'!L144,'Pré Implantação'!I144),AVERAGE('Pré Implantação'!I144)),"")</f>
        <v/>
      </c>
      <c r="G144" s="34" t="str">
        <f>IFERROR(IF('Pré Implantação'!B144="CSC",AVERAGE('Pré Implantação'!D144,'Pré Implantação'!L144,'Pré Implantação'!J144),AVERAGE('Pré Implantação'!J144)),"")</f>
        <v/>
      </c>
      <c r="H144" s="34" t="str">
        <f>IFERROR(IF('Pré Implantação'!B144="Operações \ Negócio",AVERAGE('Pré Implantação'!D144,'Pré Implantação'!L144,'Pré Implantação'!K144),AVERAGE('Pré Implantação'!K144)),"")</f>
        <v/>
      </c>
      <c r="I144" s="34" t="str">
        <f>IFERROR(IF('Pré Implantação'!B144="Projetos",AVERAGE('Pré Implantação'!D144,'Pré Implantação'!L144,'Pré Implantação'!M144),AVERAGE('Pré Implantação'!M144)),"")</f>
        <v/>
      </c>
      <c r="J144" s="34" t="str">
        <f>IFERROR(IF('Pré Implantação'!B144="Engenharia",AVERAGE('Pré Implantação'!D144,'Pré Implantação'!L144,'Pré Implantação'!N144),AVERAGE('Pré Implantação'!N144)),"")</f>
        <v/>
      </c>
      <c r="K144" s="34" t="str">
        <f>IFERROR(IF('Pré Implantação'!B144="URA",AVERAGE('Pré Implantação'!D144,'Pré Implantação'!L144),""),"")</f>
        <v/>
      </c>
      <c r="L144" s="34" t="str">
        <f>IFERROR(IF('Pré Implantação'!B144="CSE Microsoft",AVERAGE('Pré Implantação'!D144,'Pré Implantação'!L144),""),"")</f>
        <v/>
      </c>
      <c r="M144" s="34" t="str">
        <f>IFERROR(IF('Pré Implantação'!B144="CSE Telecom",AVERAGE('Pré Implantação'!D144,'Pré Implantação'!L144),""),"")</f>
        <v/>
      </c>
      <c r="N144" s="34" t="str">
        <f>IFERROR(IF('Pré Implantação'!B144="Site Suporte de Campo",AVERAGE('Pré Implantação'!D144,'Pré Implantação'!L144),""),"")</f>
        <v/>
      </c>
      <c r="O144" s="49" t="str">
        <f>IFERROR(IF('Pré Implantação'!B144="Infraestrutura",AVERAGE('Pré Implantação'!D144,'Pré Implantação'!L144),""),"")</f>
        <v/>
      </c>
    </row>
    <row r="145" spans="1:15" x14ac:dyDescent="0.3">
      <c r="A145" s="33">
        <f>'Pré Implantação'!A145</f>
        <v>0</v>
      </c>
      <c r="B145" s="36">
        <f>'Pré Implantação'!C145</f>
        <v>0</v>
      </c>
      <c r="C145" s="34" t="str">
        <f>IFERROR(IF('Pré Implantação'!B145="Produção TI",AVERAGE('Pré Implantação'!D145,'Pré Implantação'!L145,'Pré Implantação'!E145,'Pré Implantação'!H145),AVERAGE('Pré Implantação'!E145,'Pré Implantação'!H145)),"")</f>
        <v/>
      </c>
      <c r="D145" s="34" t="str">
        <f>IFERROR(IF('Pré Implantação'!B145="CSC Service Desk",AVERAGE('Pré Implantação'!D145,'Pré Implantação'!L145,'Pré Implantação'!F145),AVERAGE('Pré Implantação'!F145)),"")</f>
        <v/>
      </c>
      <c r="E145" s="34" t="str">
        <f>IFERROR(IF('Pré Implantação'!B145="CSC NOC",AVERAGE('Pré Implantação'!D145,'Pré Implantação'!L145,'Pré Implantação'!G145),AVERAGE('Pré Implantação'!G145)),"")</f>
        <v/>
      </c>
      <c r="F145" s="34" t="str">
        <f>IFERROR(IF('Pré Implantação'!B145="CSE Gravadores",AVERAGE('Pré Implantação'!D145,'Pré Implantação'!L145,'Pré Implantação'!I145),AVERAGE('Pré Implantação'!I145)),"")</f>
        <v/>
      </c>
      <c r="G145" s="34" t="str">
        <f>IFERROR(IF('Pré Implantação'!B145="CSC",AVERAGE('Pré Implantação'!D145,'Pré Implantação'!L145,'Pré Implantação'!J145),AVERAGE('Pré Implantação'!J145)),"")</f>
        <v/>
      </c>
      <c r="H145" s="34" t="str">
        <f>IFERROR(IF('Pré Implantação'!B145="Operações \ Negócio",AVERAGE('Pré Implantação'!D145,'Pré Implantação'!L145,'Pré Implantação'!K145),AVERAGE('Pré Implantação'!K145)),"")</f>
        <v/>
      </c>
      <c r="I145" s="34" t="str">
        <f>IFERROR(IF('Pré Implantação'!B145="Projetos",AVERAGE('Pré Implantação'!D145,'Pré Implantação'!L145,'Pré Implantação'!M145),AVERAGE('Pré Implantação'!M145)),"")</f>
        <v/>
      </c>
      <c r="J145" s="34" t="str">
        <f>IFERROR(IF('Pré Implantação'!B145="Engenharia",AVERAGE('Pré Implantação'!D145,'Pré Implantação'!L145,'Pré Implantação'!N145),AVERAGE('Pré Implantação'!N145)),"")</f>
        <v/>
      </c>
      <c r="K145" s="34" t="str">
        <f>IFERROR(IF('Pré Implantação'!B145="URA",AVERAGE('Pré Implantação'!D145,'Pré Implantação'!L145),""),"")</f>
        <v/>
      </c>
      <c r="L145" s="34" t="str">
        <f>IFERROR(IF('Pré Implantação'!B145="CSE Microsoft",AVERAGE('Pré Implantação'!D145,'Pré Implantação'!L145),""),"")</f>
        <v/>
      </c>
      <c r="M145" s="34" t="str">
        <f>IFERROR(IF('Pré Implantação'!B145="CSE Telecom",AVERAGE('Pré Implantação'!D145,'Pré Implantação'!L145),""),"")</f>
        <v/>
      </c>
      <c r="N145" s="34" t="str">
        <f>IFERROR(IF('Pré Implantação'!B145="Site Suporte de Campo",AVERAGE('Pré Implantação'!D145,'Pré Implantação'!L145),""),"")</f>
        <v/>
      </c>
      <c r="O145" s="49" t="str">
        <f>IFERROR(IF('Pré Implantação'!B145="Infraestrutura",AVERAGE('Pré Implantação'!D145,'Pré Implantação'!L145),""),"")</f>
        <v/>
      </c>
    </row>
    <row r="146" spans="1:15" x14ac:dyDescent="0.3">
      <c r="A146" s="33">
        <f>'Pré Implantação'!A146</f>
        <v>0</v>
      </c>
      <c r="B146" s="36">
        <f>'Pré Implantação'!C146</f>
        <v>0</v>
      </c>
      <c r="C146" s="34" t="str">
        <f>IFERROR(IF('Pré Implantação'!B146="Produção TI",AVERAGE('Pré Implantação'!D146,'Pré Implantação'!L146,'Pré Implantação'!E146,'Pré Implantação'!H146),AVERAGE('Pré Implantação'!E146,'Pré Implantação'!H146)),"")</f>
        <v/>
      </c>
      <c r="D146" s="34" t="str">
        <f>IFERROR(IF('Pré Implantação'!B146="CSC Service Desk",AVERAGE('Pré Implantação'!D146,'Pré Implantação'!L146,'Pré Implantação'!F146),AVERAGE('Pré Implantação'!F146)),"")</f>
        <v/>
      </c>
      <c r="E146" s="34" t="str">
        <f>IFERROR(IF('Pré Implantação'!B146="CSC NOC",AVERAGE('Pré Implantação'!D146,'Pré Implantação'!L146,'Pré Implantação'!G146),AVERAGE('Pré Implantação'!G146)),"")</f>
        <v/>
      </c>
      <c r="F146" s="34" t="str">
        <f>IFERROR(IF('Pré Implantação'!B146="CSE Gravadores",AVERAGE('Pré Implantação'!D146,'Pré Implantação'!L146,'Pré Implantação'!I146),AVERAGE('Pré Implantação'!I146)),"")</f>
        <v/>
      </c>
      <c r="G146" s="34" t="str">
        <f>IFERROR(IF('Pré Implantação'!B146="CSC",AVERAGE('Pré Implantação'!D146,'Pré Implantação'!L146,'Pré Implantação'!J146),AVERAGE('Pré Implantação'!J146)),"")</f>
        <v/>
      </c>
      <c r="H146" s="34" t="str">
        <f>IFERROR(IF('Pré Implantação'!B146="Operações \ Negócio",AVERAGE('Pré Implantação'!D146,'Pré Implantação'!L146,'Pré Implantação'!K146),AVERAGE('Pré Implantação'!K146)),"")</f>
        <v/>
      </c>
      <c r="I146" s="34" t="str">
        <f>IFERROR(IF('Pré Implantação'!B146="Projetos",AVERAGE('Pré Implantação'!D146,'Pré Implantação'!L146,'Pré Implantação'!M146),AVERAGE('Pré Implantação'!M146)),"")</f>
        <v/>
      </c>
      <c r="J146" s="34" t="str">
        <f>IFERROR(IF('Pré Implantação'!B146="Engenharia",AVERAGE('Pré Implantação'!D146,'Pré Implantação'!L146,'Pré Implantação'!N146),AVERAGE('Pré Implantação'!N146)),"")</f>
        <v/>
      </c>
      <c r="K146" s="34" t="str">
        <f>IFERROR(IF('Pré Implantação'!B146="URA",AVERAGE('Pré Implantação'!D146,'Pré Implantação'!L146),""),"")</f>
        <v/>
      </c>
      <c r="L146" s="34" t="str">
        <f>IFERROR(IF('Pré Implantação'!B146="CSE Microsoft",AVERAGE('Pré Implantação'!D146,'Pré Implantação'!L146),""),"")</f>
        <v/>
      </c>
      <c r="M146" s="34" t="str">
        <f>IFERROR(IF('Pré Implantação'!B146="CSE Telecom",AVERAGE('Pré Implantação'!D146,'Pré Implantação'!L146),""),"")</f>
        <v/>
      </c>
      <c r="N146" s="34" t="str">
        <f>IFERROR(IF('Pré Implantação'!B146="Site Suporte de Campo",AVERAGE('Pré Implantação'!D146,'Pré Implantação'!L146),""),"")</f>
        <v/>
      </c>
      <c r="O146" s="49" t="str">
        <f>IFERROR(IF('Pré Implantação'!B146="Infraestrutura",AVERAGE('Pré Implantação'!D146,'Pré Implantação'!L146),""),"")</f>
        <v/>
      </c>
    </row>
    <row r="147" spans="1:15" x14ac:dyDescent="0.3">
      <c r="A147" s="33">
        <f>'Pré Implantação'!A147</f>
        <v>0</v>
      </c>
      <c r="B147" s="36">
        <f>'Pré Implantação'!C147</f>
        <v>0</v>
      </c>
      <c r="C147" s="34" t="str">
        <f>IFERROR(IF('Pré Implantação'!B147="Produção TI",AVERAGE('Pré Implantação'!D147,'Pré Implantação'!L147,'Pré Implantação'!E147,'Pré Implantação'!H147),AVERAGE('Pré Implantação'!E147,'Pré Implantação'!H147)),"")</f>
        <v/>
      </c>
      <c r="D147" s="34" t="str">
        <f>IFERROR(IF('Pré Implantação'!B147="CSC Service Desk",AVERAGE('Pré Implantação'!D147,'Pré Implantação'!L147,'Pré Implantação'!F147),AVERAGE('Pré Implantação'!F147)),"")</f>
        <v/>
      </c>
      <c r="E147" s="34" t="str">
        <f>IFERROR(IF('Pré Implantação'!B147="CSC NOC",AVERAGE('Pré Implantação'!D147,'Pré Implantação'!L147,'Pré Implantação'!G147),AVERAGE('Pré Implantação'!G147)),"")</f>
        <v/>
      </c>
      <c r="F147" s="34" t="str">
        <f>IFERROR(IF('Pré Implantação'!B147="CSE Gravadores",AVERAGE('Pré Implantação'!D147,'Pré Implantação'!L147,'Pré Implantação'!I147),AVERAGE('Pré Implantação'!I147)),"")</f>
        <v/>
      </c>
      <c r="G147" s="34" t="str">
        <f>IFERROR(IF('Pré Implantação'!B147="CSC",AVERAGE('Pré Implantação'!D147,'Pré Implantação'!L147,'Pré Implantação'!J147),AVERAGE('Pré Implantação'!J147)),"")</f>
        <v/>
      </c>
      <c r="H147" s="34" t="str">
        <f>IFERROR(IF('Pré Implantação'!B147="Operações \ Negócio",AVERAGE('Pré Implantação'!D147,'Pré Implantação'!L147,'Pré Implantação'!K147),AVERAGE('Pré Implantação'!K147)),"")</f>
        <v/>
      </c>
      <c r="I147" s="34" t="str">
        <f>IFERROR(IF('Pré Implantação'!B147="Projetos",AVERAGE('Pré Implantação'!D147,'Pré Implantação'!L147,'Pré Implantação'!M147),AVERAGE('Pré Implantação'!M147)),"")</f>
        <v/>
      </c>
      <c r="J147" s="34" t="str">
        <f>IFERROR(IF('Pré Implantação'!B147="Engenharia",AVERAGE('Pré Implantação'!D147,'Pré Implantação'!L147,'Pré Implantação'!N147),AVERAGE('Pré Implantação'!N147)),"")</f>
        <v/>
      </c>
      <c r="K147" s="34" t="str">
        <f>IFERROR(IF('Pré Implantação'!B147="URA",AVERAGE('Pré Implantação'!D147,'Pré Implantação'!L147),""),"")</f>
        <v/>
      </c>
      <c r="L147" s="34" t="str">
        <f>IFERROR(IF('Pré Implantação'!B147="CSE Microsoft",AVERAGE('Pré Implantação'!D147,'Pré Implantação'!L147),""),"")</f>
        <v/>
      </c>
      <c r="M147" s="34" t="str">
        <f>IFERROR(IF('Pré Implantação'!B147="CSE Telecom",AVERAGE('Pré Implantação'!D147,'Pré Implantação'!L147),""),"")</f>
        <v/>
      </c>
      <c r="N147" s="34" t="str">
        <f>IFERROR(IF('Pré Implantação'!B147="Site Suporte de Campo",AVERAGE('Pré Implantação'!D147,'Pré Implantação'!L147),""),"")</f>
        <v/>
      </c>
      <c r="O147" s="49" t="str">
        <f>IFERROR(IF('Pré Implantação'!B147="Infraestrutura",AVERAGE('Pré Implantação'!D147,'Pré Implantação'!L147),""),"")</f>
        <v/>
      </c>
    </row>
    <row r="148" spans="1:15" x14ac:dyDescent="0.3">
      <c r="A148" s="33">
        <f>'Pré Implantação'!A148</f>
        <v>0</v>
      </c>
      <c r="B148" s="36">
        <f>'Pré Implantação'!C148</f>
        <v>0</v>
      </c>
      <c r="C148" s="34" t="str">
        <f>IFERROR(IF('Pré Implantação'!B148="Produção TI",AVERAGE('Pré Implantação'!D148,'Pré Implantação'!L148,'Pré Implantação'!E148,'Pré Implantação'!H148),AVERAGE('Pré Implantação'!E148,'Pré Implantação'!H148)),"")</f>
        <v/>
      </c>
      <c r="D148" s="34" t="str">
        <f>IFERROR(IF('Pré Implantação'!B148="CSC Service Desk",AVERAGE('Pré Implantação'!D148,'Pré Implantação'!L148,'Pré Implantação'!F148),AVERAGE('Pré Implantação'!F148)),"")</f>
        <v/>
      </c>
      <c r="E148" s="34" t="str">
        <f>IFERROR(IF('Pré Implantação'!B148="CSC NOC",AVERAGE('Pré Implantação'!D148,'Pré Implantação'!L148,'Pré Implantação'!G148),AVERAGE('Pré Implantação'!G148)),"")</f>
        <v/>
      </c>
      <c r="F148" s="34" t="str">
        <f>IFERROR(IF('Pré Implantação'!B148="CSE Gravadores",AVERAGE('Pré Implantação'!D148,'Pré Implantação'!L148,'Pré Implantação'!I148),AVERAGE('Pré Implantação'!I148)),"")</f>
        <v/>
      </c>
      <c r="G148" s="34" t="str">
        <f>IFERROR(IF('Pré Implantação'!B148="CSC",AVERAGE('Pré Implantação'!D148,'Pré Implantação'!L148,'Pré Implantação'!J148),AVERAGE('Pré Implantação'!J148)),"")</f>
        <v/>
      </c>
      <c r="H148" s="34" t="str">
        <f>IFERROR(IF('Pré Implantação'!B148="Operações \ Negócio",AVERAGE('Pré Implantação'!D148,'Pré Implantação'!L148,'Pré Implantação'!K148),AVERAGE('Pré Implantação'!K148)),"")</f>
        <v/>
      </c>
      <c r="I148" s="34" t="str">
        <f>IFERROR(IF('Pré Implantação'!B148="Projetos",AVERAGE('Pré Implantação'!D148,'Pré Implantação'!L148,'Pré Implantação'!M148),AVERAGE('Pré Implantação'!M148)),"")</f>
        <v/>
      </c>
      <c r="J148" s="34" t="str">
        <f>IFERROR(IF('Pré Implantação'!B148="Engenharia",AVERAGE('Pré Implantação'!D148,'Pré Implantação'!L148,'Pré Implantação'!N148),AVERAGE('Pré Implantação'!N148)),"")</f>
        <v/>
      </c>
      <c r="K148" s="34" t="str">
        <f>IFERROR(IF('Pré Implantação'!B148="URA",AVERAGE('Pré Implantação'!D148,'Pré Implantação'!L148),""),"")</f>
        <v/>
      </c>
      <c r="L148" s="34" t="str">
        <f>IFERROR(IF('Pré Implantação'!B148="CSE Microsoft",AVERAGE('Pré Implantação'!D148,'Pré Implantação'!L148),""),"")</f>
        <v/>
      </c>
      <c r="M148" s="34" t="str">
        <f>IFERROR(IF('Pré Implantação'!B148="CSE Telecom",AVERAGE('Pré Implantação'!D148,'Pré Implantação'!L148),""),"")</f>
        <v/>
      </c>
      <c r="N148" s="34" t="str">
        <f>IFERROR(IF('Pré Implantação'!B148="Site Suporte de Campo",AVERAGE('Pré Implantação'!D148,'Pré Implantação'!L148),""),"")</f>
        <v/>
      </c>
      <c r="O148" s="49" t="str">
        <f>IFERROR(IF('Pré Implantação'!B148="Infraestrutura",AVERAGE('Pré Implantação'!D148,'Pré Implantação'!L148),""),"")</f>
        <v/>
      </c>
    </row>
    <row r="149" spans="1:15" x14ac:dyDescent="0.3">
      <c r="A149" s="33">
        <f>'Pré Implantação'!A149</f>
        <v>0</v>
      </c>
      <c r="B149" s="36">
        <f>'Pré Implantação'!C149</f>
        <v>0</v>
      </c>
      <c r="C149" s="34" t="str">
        <f>IFERROR(IF('Pré Implantação'!B149="Produção TI",AVERAGE('Pré Implantação'!D149,'Pré Implantação'!L149,'Pré Implantação'!E149,'Pré Implantação'!H149),AVERAGE('Pré Implantação'!E149,'Pré Implantação'!H149)),"")</f>
        <v/>
      </c>
      <c r="D149" s="34" t="str">
        <f>IFERROR(IF('Pré Implantação'!B149="CSC Service Desk",AVERAGE('Pré Implantação'!D149,'Pré Implantação'!L149,'Pré Implantação'!F149),AVERAGE('Pré Implantação'!F149)),"")</f>
        <v/>
      </c>
      <c r="E149" s="34" t="str">
        <f>IFERROR(IF('Pré Implantação'!B149="CSC NOC",AVERAGE('Pré Implantação'!D149,'Pré Implantação'!L149,'Pré Implantação'!G149),AVERAGE('Pré Implantação'!G149)),"")</f>
        <v/>
      </c>
      <c r="F149" s="34" t="str">
        <f>IFERROR(IF('Pré Implantação'!B149="CSE Gravadores",AVERAGE('Pré Implantação'!D149,'Pré Implantação'!L149,'Pré Implantação'!I149),AVERAGE('Pré Implantação'!I149)),"")</f>
        <v/>
      </c>
      <c r="G149" s="34" t="str">
        <f>IFERROR(IF('Pré Implantação'!B149="CSC",AVERAGE('Pré Implantação'!D149,'Pré Implantação'!L149,'Pré Implantação'!J149),AVERAGE('Pré Implantação'!J149)),"")</f>
        <v/>
      </c>
      <c r="H149" s="34" t="str">
        <f>IFERROR(IF('Pré Implantação'!B149="Operações \ Negócio",AVERAGE('Pré Implantação'!D149,'Pré Implantação'!L149,'Pré Implantação'!K149),AVERAGE('Pré Implantação'!K149)),"")</f>
        <v/>
      </c>
      <c r="I149" s="34" t="str">
        <f>IFERROR(IF('Pré Implantação'!B149="Projetos",AVERAGE('Pré Implantação'!D149,'Pré Implantação'!L149,'Pré Implantação'!M149),AVERAGE('Pré Implantação'!M149)),"")</f>
        <v/>
      </c>
      <c r="J149" s="34" t="str">
        <f>IFERROR(IF('Pré Implantação'!B149="Engenharia",AVERAGE('Pré Implantação'!D149,'Pré Implantação'!L149,'Pré Implantação'!N149),AVERAGE('Pré Implantação'!N149)),"")</f>
        <v/>
      </c>
      <c r="K149" s="34" t="str">
        <f>IFERROR(IF('Pré Implantação'!B149="URA",AVERAGE('Pré Implantação'!D149,'Pré Implantação'!L149),""),"")</f>
        <v/>
      </c>
      <c r="L149" s="34" t="str">
        <f>IFERROR(IF('Pré Implantação'!B149="CSE Microsoft",AVERAGE('Pré Implantação'!D149,'Pré Implantação'!L149),""),"")</f>
        <v/>
      </c>
      <c r="M149" s="34" t="str">
        <f>IFERROR(IF('Pré Implantação'!B149="CSE Telecom",AVERAGE('Pré Implantação'!D149,'Pré Implantação'!L149),""),"")</f>
        <v/>
      </c>
      <c r="N149" s="34" t="str">
        <f>IFERROR(IF('Pré Implantação'!B149="Site Suporte de Campo",AVERAGE('Pré Implantação'!D149,'Pré Implantação'!L149),""),"")</f>
        <v/>
      </c>
      <c r="O149" s="49" t="str">
        <f>IFERROR(IF('Pré Implantação'!B149="Infraestrutura",AVERAGE('Pré Implantação'!D149,'Pré Implantação'!L149),""),"")</f>
        <v/>
      </c>
    </row>
    <row r="150" spans="1:15" x14ac:dyDescent="0.3">
      <c r="A150" s="33">
        <f>'Pré Implantação'!A150</f>
        <v>0</v>
      </c>
      <c r="B150" s="36">
        <f>'Pré Implantação'!C150</f>
        <v>0</v>
      </c>
      <c r="C150" s="34" t="str">
        <f>IFERROR(IF('Pré Implantação'!B150="Produção TI",AVERAGE('Pré Implantação'!D150,'Pré Implantação'!L150,'Pré Implantação'!E150,'Pré Implantação'!H150),AVERAGE('Pré Implantação'!E150,'Pré Implantação'!H150)),"")</f>
        <v/>
      </c>
      <c r="D150" s="34" t="str">
        <f>IFERROR(IF('Pré Implantação'!B150="CSC Service Desk",AVERAGE('Pré Implantação'!D150,'Pré Implantação'!L150,'Pré Implantação'!F150),AVERAGE('Pré Implantação'!F150)),"")</f>
        <v/>
      </c>
      <c r="E150" s="34" t="str">
        <f>IFERROR(IF('Pré Implantação'!B150="CSC NOC",AVERAGE('Pré Implantação'!D150,'Pré Implantação'!L150,'Pré Implantação'!G150),AVERAGE('Pré Implantação'!G150)),"")</f>
        <v/>
      </c>
      <c r="F150" s="34" t="str">
        <f>IFERROR(IF('Pré Implantação'!B150="CSE Gravadores",AVERAGE('Pré Implantação'!D150,'Pré Implantação'!L150,'Pré Implantação'!I150),AVERAGE('Pré Implantação'!I150)),"")</f>
        <v/>
      </c>
      <c r="G150" s="34" t="str">
        <f>IFERROR(IF('Pré Implantação'!B150="CSC",AVERAGE('Pré Implantação'!D150,'Pré Implantação'!L150,'Pré Implantação'!J150),AVERAGE('Pré Implantação'!J150)),"")</f>
        <v/>
      </c>
      <c r="H150" s="34" t="str">
        <f>IFERROR(IF('Pré Implantação'!B150="Operações \ Negócio",AVERAGE('Pré Implantação'!D150,'Pré Implantação'!L150,'Pré Implantação'!K150),AVERAGE('Pré Implantação'!K150)),"")</f>
        <v/>
      </c>
      <c r="I150" s="34" t="str">
        <f>IFERROR(IF('Pré Implantação'!B150="Projetos",AVERAGE('Pré Implantação'!D150,'Pré Implantação'!L150,'Pré Implantação'!M150),AVERAGE('Pré Implantação'!M150)),"")</f>
        <v/>
      </c>
      <c r="J150" s="34" t="str">
        <f>IFERROR(IF('Pré Implantação'!B150="Engenharia",AVERAGE('Pré Implantação'!D150,'Pré Implantação'!L150,'Pré Implantação'!N150),AVERAGE('Pré Implantação'!N150)),"")</f>
        <v/>
      </c>
      <c r="K150" s="34" t="str">
        <f>IFERROR(IF('Pré Implantação'!B150="URA",AVERAGE('Pré Implantação'!D150,'Pré Implantação'!L150),""),"")</f>
        <v/>
      </c>
      <c r="L150" s="34" t="str">
        <f>IFERROR(IF('Pré Implantação'!B150="CSE Microsoft",AVERAGE('Pré Implantação'!D150,'Pré Implantação'!L150),""),"")</f>
        <v/>
      </c>
      <c r="M150" s="34" t="str">
        <f>IFERROR(IF('Pré Implantação'!B150="CSE Telecom",AVERAGE('Pré Implantação'!D150,'Pré Implantação'!L150),""),"")</f>
        <v/>
      </c>
      <c r="N150" s="34" t="str">
        <f>IFERROR(IF('Pré Implantação'!B150="Site Suporte de Campo",AVERAGE('Pré Implantação'!D150,'Pré Implantação'!L150),""),"")</f>
        <v/>
      </c>
      <c r="O150" s="49" t="str">
        <f>IFERROR(IF('Pré Implantação'!B150="Infraestrutura",AVERAGE('Pré Implantação'!D150,'Pré Implantação'!L150),""),"")</f>
        <v/>
      </c>
    </row>
    <row r="151" spans="1:15" x14ac:dyDescent="0.3">
      <c r="A151" s="33">
        <f>'Pré Implantação'!A151</f>
        <v>0</v>
      </c>
      <c r="B151" s="36">
        <f>'Pré Implantação'!C151</f>
        <v>0</v>
      </c>
      <c r="C151" s="34" t="str">
        <f>IFERROR(IF('Pré Implantação'!B151="Produção TI",AVERAGE('Pré Implantação'!D151,'Pré Implantação'!L151,'Pré Implantação'!E151,'Pré Implantação'!H151),AVERAGE('Pré Implantação'!E151,'Pré Implantação'!H151)),"")</f>
        <v/>
      </c>
      <c r="D151" s="34" t="str">
        <f>IFERROR(IF('Pré Implantação'!B151="CSC Service Desk",AVERAGE('Pré Implantação'!D151,'Pré Implantação'!L151,'Pré Implantação'!F151),AVERAGE('Pré Implantação'!F151)),"")</f>
        <v/>
      </c>
      <c r="E151" s="34" t="str">
        <f>IFERROR(IF('Pré Implantação'!B151="CSC NOC",AVERAGE('Pré Implantação'!D151,'Pré Implantação'!L151,'Pré Implantação'!G151),AVERAGE('Pré Implantação'!G151)),"")</f>
        <v/>
      </c>
      <c r="F151" s="34" t="str">
        <f>IFERROR(IF('Pré Implantação'!B151="CSE Gravadores",AVERAGE('Pré Implantação'!D151,'Pré Implantação'!L151,'Pré Implantação'!I151),AVERAGE('Pré Implantação'!I151)),"")</f>
        <v/>
      </c>
      <c r="G151" s="34" t="str">
        <f>IFERROR(IF('Pré Implantação'!B151="CSC",AVERAGE('Pré Implantação'!D151,'Pré Implantação'!L151,'Pré Implantação'!J151),AVERAGE('Pré Implantação'!J151)),"")</f>
        <v/>
      </c>
      <c r="H151" s="34" t="str">
        <f>IFERROR(IF('Pré Implantação'!B151="Operações \ Negócio",AVERAGE('Pré Implantação'!D151,'Pré Implantação'!L151,'Pré Implantação'!K151),AVERAGE('Pré Implantação'!K151)),"")</f>
        <v/>
      </c>
      <c r="I151" s="34" t="str">
        <f>IFERROR(IF('Pré Implantação'!B151="Projetos",AVERAGE('Pré Implantação'!D151,'Pré Implantação'!L151,'Pré Implantação'!M151),AVERAGE('Pré Implantação'!M151)),"")</f>
        <v/>
      </c>
      <c r="J151" s="34" t="str">
        <f>IFERROR(IF('Pré Implantação'!B151="Engenharia",AVERAGE('Pré Implantação'!D151,'Pré Implantação'!L151,'Pré Implantação'!N151),AVERAGE('Pré Implantação'!N151)),"")</f>
        <v/>
      </c>
      <c r="K151" s="34" t="str">
        <f>IFERROR(IF('Pré Implantação'!B151="URA",AVERAGE('Pré Implantação'!D151,'Pré Implantação'!L151),""),"")</f>
        <v/>
      </c>
      <c r="L151" s="34" t="str">
        <f>IFERROR(IF('Pré Implantação'!B151="CSE Microsoft",AVERAGE('Pré Implantação'!D151,'Pré Implantação'!L151),""),"")</f>
        <v/>
      </c>
      <c r="M151" s="34" t="str">
        <f>IFERROR(IF('Pré Implantação'!B151="CSE Telecom",AVERAGE('Pré Implantação'!D151,'Pré Implantação'!L151),""),"")</f>
        <v/>
      </c>
      <c r="N151" s="34" t="str">
        <f>IFERROR(IF('Pré Implantação'!B151="Site Suporte de Campo",AVERAGE('Pré Implantação'!D151,'Pré Implantação'!L151),""),"")</f>
        <v/>
      </c>
      <c r="O151" s="49" t="str">
        <f>IFERROR(IF('Pré Implantação'!B151="Infraestrutura",AVERAGE('Pré Implantação'!D151,'Pré Implantação'!L151),""),"")</f>
        <v/>
      </c>
    </row>
    <row r="152" spans="1:15" x14ac:dyDescent="0.3">
      <c r="A152" s="33">
        <f>'Pré Implantação'!A152</f>
        <v>0</v>
      </c>
      <c r="B152" s="36">
        <f>'Pré Implantação'!C152</f>
        <v>0</v>
      </c>
      <c r="C152" s="34" t="str">
        <f>IFERROR(IF('Pré Implantação'!B152="Produção TI",AVERAGE('Pré Implantação'!D152,'Pré Implantação'!L152,'Pré Implantação'!E152,'Pré Implantação'!H152),AVERAGE('Pré Implantação'!E152,'Pré Implantação'!H152)),"")</f>
        <v/>
      </c>
      <c r="D152" s="34" t="str">
        <f>IFERROR(IF('Pré Implantação'!B152="CSC Service Desk",AVERAGE('Pré Implantação'!D152,'Pré Implantação'!L152,'Pré Implantação'!F152),AVERAGE('Pré Implantação'!F152)),"")</f>
        <v/>
      </c>
      <c r="E152" s="34" t="str">
        <f>IFERROR(IF('Pré Implantação'!B152="CSC NOC",AVERAGE('Pré Implantação'!D152,'Pré Implantação'!L152,'Pré Implantação'!G152),AVERAGE('Pré Implantação'!G152)),"")</f>
        <v/>
      </c>
      <c r="F152" s="34" t="str">
        <f>IFERROR(IF('Pré Implantação'!B152="CSE Gravadores",AVERAGE('Pré Implantação'!D152,'Pré Implantação'!L152,'Pré Implantação'!I152),AVERAGE('Pré Implantação'!I152)),"")</f>
        <v/>
      </c>
      <c r="G152" s="34" t="str">
        <f>IFERROR(IF('Pré Implantação'!B152="CSC",AVERAGE('Pré Implantação'!D152,'Pré Implantação'!L152,'Pré Implantação'!J152),AVERAGE('Pré Implantação'!J152)),"")</f>
        <v/>
      </c>
      <c r="H152" s="34" t="str">
        <f>IFERROR(IF('Pré Implantação'!B152="Operações \ Negócio",AVERAGE('Pré Implantação'!D152,'Pré Implantação'!L152,'Pré Implantação'!K152),AVERAGE('Pré Implantação'!K152)),"")</f>
        <v/>
      </c>
      <c r="I152" s="34" t="str">
        <f>IFERROR(IF('Pré Implantação'!B152="Projetos",AVERAGE('Pré Implantação'!D152,'Pré Implantação'!L152,'Pré Implantação'!M152),AVERAGE('Pré Implantação'!M152)),"")</f>
        <v/>
      </c>
      <c r="J152" s="34" t="str">
        <f>IFERROR(IF('Pré Implantação'!B152="Engenharia",AVERAGE('Pré Implantação'!D152,'Pré Implantação'!L152,'Pré Implantação'!N152),AVERAGE('Pré Implantação'!N152)),"")</f>
        <v/>
      </c>
      <c r="K152" s="34" t="str">
        <f>IFERROR(IF('Pré Implantação'!B152="URA",AVERAGE('Pré Implantação'!D152,'Pré Implantação'!L152),""),"")</f>
        <v/>
      </c>
      <c r="L152" s="34" t="str">
        <f>IFERROR(IF('Pré Implantação'!B152="CSE Microsoft",AVERAGE('Pré Implantação'!D152,'Pré Implantação'!L152),""),"")</f>
        <v/>
      </c>
      <c r="M152" s="34" t="str">
        <f>IFERROR(IF('Pré Implantação'!B152="CSE Telecom",AVERAGE('Pré Implantação'!D152,'Pré Implantação'!L152),""),"")</f>
        <v/>
      </c>
      <c r="N152" s="34" t="str">
        <f>IFERROR(IF('Pré Implantação'!B152="Site Suporte de Campo",AVERAGE('Pré Implantação'!D152,'Pré Implantação'!L152),""),"")</f>
        <v/>
      </c>
      <c r="O152" s="49" t="str">
        <f>IFERROR(IF('Pré Implantação'!B152="Infraestrutura",AVERAGE('Pré Implantação'!D152,'Pré Implantação'!L152),""),"")</f>
        <v/>
      </c>
    </row>
    <row r="153" spans="1:15" x14ac:dyDescent="0.3">
      <c r="A153" s="33">
        <f>'Pré Implantação'!A153</f>
        <v>0</v>
      </c>
      <c r="B153" s="36">
        <f>'Pré Implantação'!C153</f>
        <v>0</v>
      </c>
      <c r="C153" s="34" t="str">
        <f>IFERROR(IF('Pré Implantação'!B153="Produção TI",AVERAGE('Pré Implantação'!D153,'Pré Implantação'!L153,'Pré Implantação'!E153,'Pré Implantação'!H153),AVERAGE('Pré Implantação'!E153,'Pré Implantação'!H153)),"")</f>
        <v/>
      </c>
      <c r="D153" s="34" t="str">
        <f>IFERROR(IF('Pré Implantação'!B153="CSC Service Desk",AVERAGE('Pré Implantação'!D153,'Pré Implantação'!L153,'Pré Implantação'!F153),AVERAGE('Pré Implantação'!F153)),"")</f>
        <v/>
      </c>
      <c r="E153" s="34" t="str">
        <f>IFERROR(IF('Pré Implantação'!B153="CSC NOC",AVERAGE('Pré Implantação'!D153,'Pré Implantação'!L153,'Pré Implantação'!G153),AVERAGE('Pré Implantação'!G153)),"")</f>
        <v/>
      </c>
      <c r="F153" s="34" t="str">
        <f>IFERROR(IF('Pré Implantação'!B153="CSE Gravadores",AVERAGE('Pré Implantação'!D153,'Pré Implantação'!L153,'Pré Implantação'!I153),AVERAGE('Pré Implantação'!I153)),"")</f>
        <v/>
      </c>
      <c r="G153" s="34" t="str">
        <f>IFERROR(IF('Pré Implantação'!B153="CSC",AVERAGE('Pré Implantação'!D153,'Pré Implantação'!L153,'Pré Implantação'!J153),AVERAGE('Pré Implantação'!J153)),"")</f>
        <v/>
      </c>
      <c r="H153" s="34" t="str">
        <f>IFERROR(IF('Pré Implantação'!B153="Operações \ Negócio",AVERAGE('Pré Implantação'!D153,'Pré Implantação'!L153,'Pré Implantação'!K153),AVERAGE('Pré Implantação'!K153)),"")</f>
        <v/>
      </c>
      <c r="I153" s="34" t="str">
        <f>IFERROR(IF('Pré Implantação'!B153="Projetos",AVERAGE('Pré Implantação'!D153,'Pré Implantação'!L153,'Pré Implantação'!M153),AVERAGE('Pré Implantação'!M153)),"")</f>
        <v/>
      </c>
      <c r="J153" s="34" t="str">
        <f>IFERROR(IF('Pré Implantação'!B153="Engenharia",AVERAGE('Pré Implantação'!D153,'Pré Implantação'!L153,'Pré Implantação'!N153),AVERAGE('Pré Implantação'!N153)),"")</f>
        <v/>
      </c>
      <c r="K153" s="34" t="str">
        <f>IFERROR(IF('Pré Implantação'!B153="URA",AVERAGE('Pré Implantação'!D153,'Pré Implantação'!L153),""),"")</f>
        <v/>
      </c>
      <c r="L153" s="34" t="str">
        <f>IFERROR(IF('Pré Implantação'!B153="CSE Microsoft",AVERAGE('Pré Implantação'!D153,'Pré Implantação'!L153),""),"")</f>
        <v/>
      </c>
      <c r="M153" s="34" t="str">
        <f>IFERROR(IF('Pré Implantação'!B153="CSE Telecom",AVERAGE('Pré Implantação'!D153,'Pré Implantação'!L153),""),"")</f>
        <v/>
      </c>
      <c r="N153" s="34" t="str">
        <f>IFERROR(IF('Pré Implantação'!B153="Site Suporte de Campo",AVERAGE('Pré Implantação'!D153,'Pré Implantação'!L153),""),"")</f>
        <v/>
      </c>
      <c r="O153" s="49" t="str">
        <f>IFERROR(IF('Pré Implantação'!B153="Infraestrutura",AVERAGE('Pré Implantação'!D153,'Pré Implantação'!L153),""),"")</f>
        <v/>
      </c>
    </row>
    <row r="154" spans="1:15" x14ac:dyDescent="0.3">
      <c r="A154" s="33">
        <f>'Pré Implantação'!A154</f>
        <v>0</v>
      </c>
      <c r="B154" s="36">
        <f>'Pré Implantação'!C154</f>
        <v>0</v>
      </c>
      <c r="C154" s="34" t="str">
        <f>IFERROR(IF('Pré Implantação'!B154="Produção TI",AVERAGE('Pré Implantação'!D154,'Pré Implantação'!L154,'Pré Implantação'!E154,'Pré Implantação'!H154),AVERAGE('Pré Implantação'!E154,'Pré Implantação'!H154)),"")</f>
        <v/>
      </c>
      <c r="D154" s="34" t="str">
        <f>IFERROR(IF('Pré Implantação'!B154="CSC Service Desk",AVERAGE('Pré Implantação'!D154,'Pré Implantação'!L154,'Pré Implantação'!F154),AVERAGE('Pré Implantação'!F154)),"")</f>
        <v/>
      </c>
      <c r="E154" s="34" t="str">
        <f>IFERROR(IF('Pré Implantação'!B154="CSC NOC",AVERAGE('Pré Implantação'!D154,'Pré Implantação'!L154,'Pré Implantação'!G154),AVERAGE('Pré Implantação'!G154)),"")</f>
        <v/>
      </c>
      <c r="F154" s="34" t="str">
        <f>IFERROR(IF('Pré Implantação'!B154="CSE Gravadores",AVERAGE('Pré Implantação'!D154,'Pré Implantação'!L154,'Pré Implantação'!I154),AVERAGE('Pré Implantação'!I154)),"")</f>
        <v/>
      </c>
      <c r="G154" s="34" t="str">
        <f>IFERROR(IF('Pré Implantação'!B154="CSC",AVERAGE('Pré Implantação'!D154,'Pré Implantação'!L154,'Pré Implantação'!J154),AVERAGE('Pré Implantação'!J154)),"")</f>
        <v/>
      </c>
      <c r="H154" s="34" t="str">
        <f>IFERROR(IF('Pré Implantação'!B154="Operações \ Negócio",AVERAGE('Pré Implantação'!D154,'Pré Implantação'!L154,'Pré Implantação'!K154),AVERAGE('Pré Implantação'!K154)),"")</f>
        <v/>
      </c>
      <c r="I154" s="34" t="str">
        <f>IFERROR(IF('Pré Implantação'!B154="Projetos",AVERAGE('Pré Implantação'!D154,'Pré Implantação'!L154,'Pré Implantação'!M154),AVERAGE('Pré Implantação'!M154)),"")</f>
        <v/>
      </c>
      <c r="J154" s="34" t="str">
        <f>IFERROR(IF('Pré Implantação'!B154="Engenharia",AVERAGE('Pré Implantação'!D154,'Pré Implantação'!L154,'Pré Implantação'!N154),AVERAGE('Pré Implantação'!N154)),"")</f>
        <v/>
      </c>
      <c r="K154" s="34" t="str">
        <f>IFERROR(IF('Pré Implantação'!B154="URA",AVERAGE('Pré Implantação'!D154,'Pré Implantação'!L154),""),"")</f>
        <v/>
      </c>
      <c r="L154" s="34" t="str">
        <f>IFERROR(IF('Pré Implantação'!B154="CSE Microsoft",AVERAGE('Pré Implantação'!D154,'Pré Implantação'!L154),""),"")</f>
        <v/>
      </c>
      <c r="M154" s="34" t="str">
        <f>IFERROR(IF('Pré Implantação'!B154="CSE Telecom",AVERAGE('Pré Implantação'!D154,'Pré Implantação'!L154),""),"")</f>
        <v/>
      </c>
      <c r="N154" s="34" t="str">
        <f>IFERROR(IF('Pré Implantação'!B154="Site Suporte de Campo",AVERAGE('Pré Implantação'!D154,'Pré Implantação'!L154),""),"")</f>
        <v/>
      </c>
      <c r="O154" s="49" t="str">
        <f>IFERROR(IF('Pré Implantação'!B154="Infraestrutura",AVERAGE('Pré Implantação'!D154,'Pré Implantação'!L154),""),"")</f>
        <v/>
      </c>
    </row>
    <row r="155" spans="1:15" x14ac:dyDescent="0.3">
      <c r="A155" s="33">
        <f>'Pré Implantação'!A155</f>
        <v>0</v>
      </c>
      <c r="B155" s="36">
        <f>'Pré Implantação'!C155</f>
        <v>0</v>
      </c>
      <c r="C155" s="34" t="str">
        <f>IFERROR(IF('Pré Implantação'!B155="Produção TI",AVERAGE('Pré Implantação'!D155,'Pré Implantação'!L155,'Pré Implantação'!E155,'Pré Implantação'!H155),AVERAGE('Pré Implantação'!E155,'Pré Implantação'!H155)),"")</f>
        <v/>
      </c>
      <c r="D155" s="34" t="str">
        <f>IFERROR(IF('Pré Implantação'!B155="CSC Service Desk",AVERAGE('Pré Implantação'!D155,'Pré Implantação'!L155,'Pré Implantação'!F155),AVERAGE('Pré Implantação'!F155)),"")</f>
        <v/>
      </c>
      <c r="E155" s="34" t="str">
        <f>IFERROR(IF('Pré Implantação'!B155="CSC NOC",AVERAGE('Pré Implantação'!D155,'Pré Implantação'!L155,'Pré Implantação'!G155),AVERAGE('Pré Implantação'!G155)),"")</f>
        <v/>
      </c>
      <c r="F155" s="34" t="str">
        <f>IFERROR(IF('Pré Implantação'!B155="CSE Gravadores",AVERAGE('Pré Implantação'!D155,'Pré Implantação'!L155,'Pré Implantação'!I155),AVERAGE('Pré Implantação'!I155)),"")</f>
        <v/>
      </c>
      <c r="G155" s="34" t="str">
        <f>IFERROR(IF('Pré Implantação'!B155="CSC",AVERAGE('Pré Implantação'!D155,'Pré Implantação'!L155,'Pré Implantação'!J155),AVERAGE('Pré Implantação'!J155)),"")</f>
        <v/>
      </c>
      <c r="H155" s="34" t="str">
        <f>IFERROR(IF('Pré Implantação'!B155="Operações \ Negócio",AVERAGE('Pré Implantação'!D155,'Pré Implantação'!L155,'Pré Implantação'!K155),AVERAGE('Pré Implantação'!K155)),"")</f>
        <v/>
      </c>
      <c r="I155" s="34" t="str">
        <f>IFERROR(IF('Pré Implantação'!B155="Projetos",AVERAGE('Pré Implantação'!D155,'Pré Implantação'!L155,'Pré Implantação'!M155),AVERAGE('Pré Implantação'!M155)),"")</f>
        <v/>
      </c>
      <c r="J155" s="34" t="str">
        <f>IFERROR(IF('Pré Implantação'!B155="Engenharia",AVERAGE('Pré Implantação'!D155,'Pré Implantação'!L155,'Pré Implantação'!N155),AVERAGE('Pré Implantação'!N155)),"")</f>
        <v/>
      </c>
      <c r="K155" s="34" t="str">
        <f>IFERROR(IF('Pré Implantação'!B155="URA",AVERAGE('Pré Implantação'!D155,'Pré Implantação'!L155),""),"")</f>
        <v/>
      </c>
      <c r="L155" s="34" t="str">
        <f>IFERROR(IF('Pré Implantação'!B155="CSE Microsoft",AVERAGE('Pré Implantação'!D155,'Pré Implantação'!L155),""),"")</f>
        <v/>
      </c>
      <c r="M155" s="34" t="str">
        <f>IFERROR(IF('Pré Implantação'!B155="CSE Telecom",AVERAGE('Pré Implantação'!D155,'Pré Implantação'!L155),""),"")</f>
        <v/>
      </c>
      <c r="N155" s="34" t="str">
        <f>IFERROR(IF('Pré Implantação'!B155="Site Suporte de Campo",AVERAGE('Pré Implantação'!D155,'Pré Implantação'!L155),""),"")</f>
        <v/>
      </c>
      <c r="O155" s="49" t="str">
        <f>IFERROR(IF('Pré Implantação'!B155="Infraestrutura",AVERAGE('Pré Implantação'!D155,'Pré Implantação'!L155),""),"")</f>
        <v/>
      </c>
    </row>
    <row r="156" spans="1:15" x14ac:dyDescent="0.3">
      <c r="A156" s="33">
        <f>'Pré Implantação'!A156</f>
        <v>0</v>
      </c>
      <c r="B156" s="36">
        <f>'Pré Implantação'!C156</f>
        <v>0</v>
      </c>
      <c r="C156" s="34" t="str">
        <f>IFERROR(IF('Pré Implantação'!B156="Produção TI",AVERAGE('Pré Implantação'!D156,'Pré Implantação'!L156,'Pré Implantação'!E156,'Pré Implantação'!H156),AVERAGE('Pré Implantação'!E156,'Pré Implantação'!H156)),"")</f>
        <v/>
      </c>
      <c r="D156" s="34" t="str">
        <f>IFERROR(IF('Pré Implantação'!B156="CSC Service Desk",AVERAGE('Pré Implantação'!D156,'Pré Implantação'!L156,'Pré Implantação'!F156),AVERAGE('Pré Implantação'!F156)),"")</f>
        <v/>
      </c>
      <c r="E156" s="34" t="str">
        <f>IFERROR(IF('Pré Implantação'!B156="CSC NOC",AVERAGE('Pré Implantação'!D156,'Pré Implantação'!L156,'Pré Implantação'!G156),AVERAGE('Pré Implantação'!G156)),"")</f>
        <v/>
      </c>
      <c r="F156" s="34" t="str">
        <f>IFERROR(IF('Pré Implantação'!B156="CSE Gravadores",AVERAGE('Pré Implantação'!D156,'Pré Implantação'!L156,'Pré Implantação'!I156),AVERAGE('Pré Implantação'!I156)),"")</f>
        <v/>
      </c>
      <c r="G156" s="34" t="str">
        <f>IFERROR(IF('Pré Implantação'!B156="CSC",AVERAGE('Pré Implantação'!D156,'Pré Implantação'!L156,'Pré Implantação'!J156),AVERAGE('Pré Implantação'!J156)),"")</f>
        <v/>
      </c>
      <c r="H156" s="34" t="str">
        <f>IFERROR(IF('Pré Implantação'!B156="Operações \ Negócio",AVERAGE('Pré Implantação'!D156,'Pré Implantação'!L156,'Pré Implantação'!K156),AVERAGE('Pré Implantação'!K156)),"")</f>
        <v/>
      </c>
      <c r="I156" s="34" t="str">
        <f>IFERROR(IF('Pré Implantação'!B156="Projetos",AVERAGE('Pré Implantação'!D156,'Pré Implantação'!L156,'Pré Implantação'!M156),AVERAGE('Pré Implantação'!M156)),"")</f>
        <v/>
      </c>
      <c r="J156" s="34" t="str">
        <f>IFERROR(IF('Pré Implantação'!B156="Engenharia",AVERAGE('Pré Implantação'!D156,'Pré Implantação'!L156,'Pré Implantação'!N156),AVERAGE('Pré Implantação'!N156)),"")</f>
        <v/>
      </c>
      <c r="K156" s="34" t="str">
        <f>IFERROR(IF('Pré Implantação'!B156="URA",AVERAGE('Pré Implantação'!D156,'Pré Implantação'!L156),""),"")</f>
        <v/>
      </c>
      <c r="L156" s="34" t="str">
        <f>IFERROR(IF('Pré Implantação'!B156="CSE Microsoft",AVERAGE('Pré Implantação'!D156,'Pré Implantação'!L156),""),"")</f>
        <v/>
      </c>
      <c r="M156" s="34" t="str">
        <f>IFERROR(IF('Pré Implantação'!B156="CSE Telecom",AVERAGE('Pré Implantação'!D156,'Pré Implantação'!L156),""),"")</f>
        <v/>
      </c>
      <c r="N156" s="34" t="str">
        <f>IFERROR(IF('Pré Implantação'!B156="Site Suporte de Campo",AVERAGE('Pré Implantação'!D156,'Pré Implantação'!L156),""),"")</f>
        <v/>
      </c>
      <c r="O156" s="49" t="str">
        <f>IFERROR(IF('Pré Implantação'!B156="Infraestrutura",AVERAGE('Pré Implantação'!D156,'Pré Implantação'!L156),""),"")</f>
        <v/>
      </c>
    </row>
    <row r="157" spans="1:15" x14ac:dyDescent="0.3">
      <c r="A157" s="33">
        <f>'Pré Implantação'!A157</f>
        <v>0</v>
      </c>
      <c r="B157" s="36">
        <f>'Pré Implantação'!C157</f>
        <v>0</v>
      </c>
      <c r="C157" s="34" t="str">
        <f>IFERROR(IF('Pré Implantação'!B157="Produção TI",AVERAGE('Pré Implantação'!D157,'Pré Implantação'!L157,'Pré Implantação'!E157,'Pré Implantação'!H157),AVERAGE('Pré Implantação'!E157,'Pré Implantação'!H157)),"")</f>
        <v/>
      </c>
      <c r="D157" s="34" t="str">
        <f>IFERROR(IF('Pré Implantação'!B157="CSC Service Desk",AVERAGE('Pré Implantação'!D157,'Pré Implantação'!L157,'Pré Implantação'!F157),AVERAGE('Pré Implantação'!F157)),"")</f>
        <v/>
      </c>
      <c r="E157" s="34" t="str">
        <f>IFERROR(IF('Pré Implantação'!B157="CSC NOC",AVERAGE('Pré Implantação'!D157,'Pré Implantação'!L157,'Pré Implantação'!G157),AVERAGE('Pré Implantação'!G157)),"")</f>
        <v/>
      </c>
      <c r="F157" s="34" t="str">
        <f>IFERROR(IF('Pré Implantação'!B157="CSE Gravadores",AVERAGE('Pré Implantação'!D157,'Pré Implantação'!L157,'Pré Implantação'!I157),AVERAGE('Pré Implantação'!I157)),"")</f>
        <v/>
      </c>
      <c r="G157" s="34" t="str">
        <f>IFERROR(IF('Pré Implantação'!B157="CSC",AVERAGE('Pré Implantação'!D157,'Pré Implantação'!L157,'Pré Implantação'!J157),AVERAGE('Pré Implantação'!J157)),"")</f>
        <v/>
      </c>
      <c r="H157" s="34" t="str">
        <f>IFERROR(IF('Pré Implantação'!B157="Operações \ Negócio",AVERAGE('Pré Implantação'!D157,'Pré Implantação'!L157,'Pré Implantação'!K157),AVERAGE('Pré Implantação'!K157)),"")</f>
        <v/>
      </c>
      <c r="I157" s="34" t="str">
        <f>IFERROR(IF('Pré Implantação'!B157="Projetos",AVERAGE('Pré Implantação'!D157,'Pré Implantação'!L157,'Pré Implantação'!M157),AVERAGE('Pré Implantação'!M157)),"")</f>
        <v/>
      </c>
      <c r="J157" s="34" t="str">
        <f>IFERROR(IF('Pré Implantação'!B157="Engenharia",AVERAGE('Pré Implantação'!D157,'Pré Implantação'!L157,'Pré Implantação'!N157),AVERAGE('Pré Implantação'!N157)),"")</f>
        <v/>
      </c>
      <c r="K157" s="34" t="str">
        <f>IFERROR(IF('Pré Implantação'!B157="URA",AVERAGE('Pré Implantação'!D157,'Pré Implantação'!L157),""),"")</f>
        <v/>
      </c>
      <c r="L157" s="34" t="str">
        <f>IFERROR(IF('Pré Implantação'!B157="CSE Microsoft",AVERAGE('Pré Implantação'!D157,'Pré Implantação'!L157),""),"")</f>
        <v/>
      </c>
      <c r="M157" s="34" t="str">
        <f>IFERROR(IF('Pré Implantação'!B157="CSE Telecom",AVERAGE('Pré Implantação'!D157,'Pré Implantação'!L157),""),"")</f>
        <v/>
      </c>
      <c r="N157" s="34" t="str">
        <f>IFERROR(IF('Pré Implantação'!B157="Site Suporte de Campo",AVERAGE('Pré Implantação'!D157,'Pré Implantação'!L157),""),"")</f>
        <v/>
      </c>
      <c r="O157" s="49" t="str">
        <f>IFERROR(IF('Pré Implantação'!B157="Infraestrutura",AVERAGE('Pré Implantação'!D157,'Pré Implantação'!L157),""),"")</f>
        <v/>
      </c>
    </row>
    <row r="158" spans="1:15" x14ac:dyDescent="0.3">
      <c r="A158" s="33">
        <f>'Pré Implantação'!A158</f>
        <v>0</v>
      </c>
      <c r="B158" s="36">
        <f>'Pré Implantação'!C158</f>
        <v>0</v>
      </c>
      <c r="C158" s="34" t="str">
        <f>IFERROR(IF('Pré Implantação'!B158="Produção TI",AVERAGE('Pré Implantação'!D158,'Pré Implantação'!L158,'Pré Implantação'!E158,'Pré Implantação'!H158),AVERAGE('Pré Implantação'!E158,'Pré Implantação'!H158)),"")</f>
        <v/>
      </c>
      <c r="D158" s="34" t="str">
        <f>IFERROR(IF('Pré Implantação'!B158="CSC Service Desk",AVERAGE('Pré Implantação'!D158,'Pré Implantação'!L158,'Pré Implantação'!F158),AVERAGE('Pré Implantação'!F158)),"")</f>
        <v/>
      </c>
      <c r="E158" s="34" t="str">
        <f>IFERROR(IF('Pré Implantação'!B158="CSC NOC",AVERAGE('Pré Implantação'!D158,'Pré Implantação'!L158,'Pré Implantação'!G158),AVERAGE('Pré Implantação'!G158)),"")</f>
        <v/>
      </c>
      <c r="F158" s="34" t="str">
        <f>IFERROR(IF('Pré Implantação'!B158="CSE Gravadores",AVERAGE('Pré Implantação'!D158,'Pré Implantação'!L158,'Pré Implantação'!I158),AVERAGE('Pré Implantação'!I158)),"")</f>
        <v/>
      </c>
      <c r="G158" s="34" t="str">
        <f>IFERROR(IF('Pré Implantação'!B158="CSC",AVERAGE('Pré Implantação'!D158,'Pré Implantação'!L158,'Pré Implantação'!J158),AVERAGE('Pré Implantação'!J158)),"")</f>
        <v/>
      </c>
      <c r="H158" s="34" t="str">
        <f>IFERROR(IF('Pré Implantação'!B158="Operações \ Negócio",AVERAGE('Pré Implantação'!D158,'Pré Implantação'!L158,'Pré Implantação'!K158),AVERAGE('Pré Implantação'!K158)),"")</f>
        <v/>
      </c>
      <c r="I158" s="34" t="str">
        <f>IFERROR(IF('Pré Implantação'!B158="Projetos",AVERAGE('Pré Implantação'!D158,'Pré Implantação'!L158,'Pré Implantação'!M158),AVERAGE('Pré Implantação'!M158)),"")</f>
        <v/>
      </c>
      <c r="J158" s="34" t="str">
        <f>IFERROR(IF('Pré Implantação'!B158="Engenharia",AVERAGE('Pré Implantação'!D158,'Pré Implantação'!L158,'Pré Implantação'!N158),AVERAGE('Pré Implantação'!N158)),"")</f>
        <v/>
      </c>
      <c r="K158" s="34" t="str">
        <f>IFERROR(IF('Pré Implantação'!B158="URA",AVERAGE('Pré Implantação'!D158,'Pré Implantação'!L158),""),"")</f>
        <v/>
      </c>
      <c r="L158" s="34" t="str">
        <f>IFERROR(IF('Pré Implantação'!B158="CSE Microsoft",AVERAGE('Pré Implantação'!D158,'Pré Implantação'!L158),""),"")</f>
        <v/>
      </c>
      <c r="M158" s="34" t="str">
        <f>IFERROR(IF('Pré Implantação'!B158="CSE Telecom",AVERAGE('Pré Implantação'!D158,'Pré Implantação'!L158),""),"")</f>
        <v/>
      </c>
      <c r="N158" s="34" t="str">
        <f>IFERROR(IF('Pré Implantação'!B158="Site Suporte de Campo",AVERAGE('Pré Implantação'!D158,'Pré Implantação'!L158),""),"")</f>
        <v/>
      </c>
      <c r="O158" s="49" t="str">
        <f>IFERROR(IF('Pré Implantação'!B158="Infraestrutura",AVERAGE('Pré Implantação'!D158,'Pré Implantação'!L158),""),"")</f>
        <v/>
      </c>
    </row>
    <row r="159" spans="1:15" x14ac:dyDescent="0.3">
      <c r="A159" s="33">
        <f>'Pré Implantação'!A159</f>
        <v>0</v>
      </c>
      <c r="B159" s="36">
        <f>'Pré Implantação'!C159</f>
        <v>0</v>
      </c>
      <c r="C159" s="34" t="str">
        <f>IFERROR(IF('Pré Implantação'!B159="Produção TI",AVERAGE('Pré Implantação'!D159,'Pré Implantação'!L159,'Pré Implantação'!E159,'Pré Implantação'!H159),AVERAGE('Pré Implantação'!E159,'Pré Implantação'!H159)),"")</f>
        <v/>
      </c>
      <c r="D159" s="34" t="str">
        <f>IFERROR(IF('Pré Implantação'!B159="CSC Service Desk",AVERAGE('Pré Implantação'!D159,'Pré Implantação'!L159,'Pré Implantação'!F159),AVERAGE('Pré Implantação'!F159)),"")</f>
        <v/>
      </c>
      <c r="E159" s="34" t="str">
        <f>IFERROR(IF('Pré Implantação'!B159="CSC NOC",AVERAGE('Pré Implantação'!D159,'Pré Implantação'!L159,'Pré Implantação'!G159),AVERAGE('Pré Implantação'!G159)),"")</f>
        <v/>
      </c>
      <c r="F159" s="34" t="str">
        <f>IFERROR(IF('Pré Implantação'!B159="CSE Gravadores",AVERAGE('Pré Implantação'!D159,'Pré Implantação'!L159,'Pré Implantação'!I159),AVERAGE('Pré Implantação'!I159)),"")</f>
        <v/>
      </c>
      <c r="G159" s="34" t="str">
        <f>IFERROR(IF('Pré Implantação'!B159="CSC",AVERAGE('Pré Implantação'!D159,'Pré Implantação'!L159,'Pré Implantação'!J159),AVERAGE('Pré Implantação'!J159)),"")</f>
        <v/>
      </c>
      <c r="H159" s="34" t="str">
        <f>IFERROR(IF('Pré Implantação'!B159="Operações \ Negócio",AVERAGE('Pré Implantação'!D159,'Pré Implantação'!L159,'Pré Implantação'!K159),AVERAGE('Pré Implantação'!K159)),"")</f>
        <v/>
      </c>
      <c r="I159" s="34" t="str">
        <f>IFERROR(IF('Pré Implantação'!B159="Projetos",AVERAGE('Pré Implantação'!D159,'Pré Implantação'!L159,'Pré Implantação'!M159),AVERAGE('Pré Implantação'!M159)),"")</f>
        <v/>
      </c>
      <c r="J159" s="34" t="str">
        <f>IFERROR(IF('Pré Implantação'!B159="Engenharia",AVERAGE('Pré Implantação'!D159,'Pré Implantação'!L159,'Pré Implantação'!N159),AVERAGE('Pré Implantação'!N159)),"")</f>
        <v/>
      </c>
      <c r="K159" s="34" t="str">
        <f>IFERROR(IF('Pré Implantação'!B159="URA",AVERAGE('Pré Implantação'!D159,'Pré Implantação'!L159),""),"")</f>
        <v/>
      </c>
      <c r="L159" s="34" t="str">
        <f>IFERROR(IF('Pré Implantação'!B159="CSE Microsoft",AVERAGE('Pré Implantação'!D159,'Pré Implantação'!L159),""),"")</f>
        <v/>
      </c>
      <c r="M159" s="34" t="str">
        <f>IFERROR(IF('Pré Implantação'!B159="CSE Telecom",AVERAGE('Pré Implantação'!D159,'Pré Implantação'!L159),""),"")</f>
        <v/>
      </c>
      <c r="N159" s="34" t="str">
        <f>IFERROR(IF('Pré Implantação'!B159="Site Suporte de Campo",AVERAGE('Pré Implantação'!D159,'Pré Implantação'!L159),""),"")</f>
        <v/>
      </c>
      <c r="O159" s="49" t="str">
        <f>IFERROR(IF('Pré Implantação'!B159="Infraestrutura",AVERAGE('Pré Implantação'!D159,'Pré Implantação'!L159),""),"")</f>
        <v/>
      </c>
    </row>
    <row r="160" spans="1:15" x14ac:dyDescent="0.3">
      <c r="A160" s="33">
        <f>'Pré Implantação'!A160</f>
        <v>0</v>
      </c>
      <c r="B160" s="36">
        <f>'Pré Implantação'!C160</f>
        <v>0</v>
      </c>
      <c r="C160" s="34" t="str">
        <f>IFERROR(IF('Pré Implantação'!B160="Produção TI",AVERAGE('Pré Implantação'!D160,'Pré Implantação'!L160,'Pré Implantação'!E160,'Pré Implantação'!H160),AVERAGE('Pré Implantação'!E160,'Pré Implantação'!H160)),"")</f>
        <v/>
      </c>
      <c r="D160" s="34" t="str">
        <f>IFERROR(IF('Pré Implantação'!B160="CSC Service Desk",AVERAGE('Pré Implantação'!D160,'Pré Implantação'!L160,'Pré Implantação'!F160),AVERAGE('Pré Implantação'!F160)),"")</f>
        <v/>
      </c>
      <c r="E160" s="34" t="str">
        <f>IFERROR(IF('Pré Implantação'!B160="CSC NOC",AVERAGE('Pré Implantação'!D160,'Pré Implantação'!L160,'Pré Implantação'!G160),AVERAGE('Pré Implantação'!G160)),"")</f>
        <v/>
      </c>
      <c r="F160" s="34" t="str">
        <f>IFERROR(IF('Pré Implantação'!B160="CSE Gravadores",AVERAGE('Pré Implantação'!D160,'Pré Implantação'!L160,'Pré Implantação'!I160),AVERAGE('Pré Implantação'!I160)),"")</f>
        <v/>
      </c>
      <c r="G160" s="34" t="str">
        <f>IFERROR(IF('Pré Implantação'!B160="CSC",AVERAGE('Pré Implantação'!D160,'Pré Implantação'!L160,'Pré Implantação'!J160),AVERAGE('Pré Implantação'!J160)),"")</f>
        <v/>
      </c>
      <c r="H160" s="34" t="str">
        <f>IFERROR(IF('Pré Implantação'!B160="Operações \ Negócio",AVERAGE('Pré Implantação'!D160,'Pré Implantação'!L160,'Pré Implantação'!K160),AVERAGE('Pré Implantação'!K160)),"")</f>
        <v/>
      </c>
      <c r="I160" s="34" t="str">
        <f>IFERROR(IF('Pré Implantação'!B160="Projetos",AVERAGE('Pré Implantação'!D160,'Pré Implantação'!L160,'Pré Implantação'!M160),AVERAGE('Pré Implantação'!M160)),"")</f>
        <v/>
      </c>
      <c r="J160" s="34" t="str">
        <f>IFERROR(IF('Pré Implantação'!B160="Engenharia",AVERAGE('Pré Implantação'!D160,'Pré Implantação'!L160,'Pré Implantação'!N160),AVERAGE('Pré Implantação'!N160)),"")</f>
        <v/>
      </c>
      <c r="K160" s="34" t="str">
        <f>IFERROR(IF('Pré Implantação'!B160="URA",AVERAGE('Pré Implantação'!D160,'Pré Implantação'!L160),""),"")</f>
        <v/>
      </c>
      <c r="L160" s="34" t="str">
        <f>IFERROR(IF('Pré Implantação'!B160="CSE Microsoft",AVERAGE('Pré Implantação'!D160,'Pré Implantação'!L160),""),"")</f>
        <v/>
      </c>
      <c r="M160" s="34" t="str">
        <f>IFERROR(IF('Pré Implantação'!B160="CSE Telecom",AVERAGE('Pré Implantação'!D160,'Pré Implantação'!L160),""),"")</f>
        <v/>
      </c>
      <c r="N160" s="34" t="str">
        <f>IFERROR(IF('Pré Implantação'!B160="Site Suporte de Campo",AVERAGE('Pré Implantação'!D160,'Pré Implantação'!L160),""),"")</f>
        <v/>
      </c>
      <c r="O160" s="49" t="str">
        <f>IFERROR(IF('Pré Implantação'!B160="Infraestrutura",AVERAGE('Pré Implantação'!D160,'Pré Implantação'!L160),""),"")</f>
        <v/>
      </c>
    </row>
    <row r="161" spans="1:15" x14ac:dyDescent="0.3">
      <c r="A161" s="33">
        <f>'Pré Implantação'!A161</f>
        <v>0</v>
      </c>
      <c r="B161" s="36">
        <f>'Pré Implantação'!C161</f>
        <v>0</v>
      </c>
      <c r="C161" s="34" t="str">
        <f>IFERROR(IF('Pré Implantação'!B161="Produção TI",AVERAGE('Pré Implantação'!D161,'Pré Implantação'!L161,'Pré Implantação'!E161,'Pré Implantação'!H161),AVERAGE('Pré Implantação'!E161,'Pré Implantação'!H161)),"")</f>
        <v/>
      </c>
      <c r="D161" s="34" t="str">
        <f>IFERROR(IF('Pré Implantação'!B161="CSC Service Desk",AVERAGE('Pré Implantação'!D161,'Pré Implantação'!L161,'Pré Implantação'!F161),AVERAGE('Pré Implantação'!F161)),"")</f>
        <v/>
      </c>
      <c r="E161" s="34" t="str">
        <f>IFERROR(IF('Pré Implantação'!B161="CSC NOC",AVERAGE('Pré Implantação'!D161,'Pré Implantação'!L161,'Pré Implantação'!G161),AVERAGE('Pré Implantação'!G161)),"")</f>
        <v/>
      </c>
      <c r="F161" s="34" t="str">
        <f>IFERROR(IF('Pré Implantação'!B161="CSE Gravadores",AVERAGE('Pré Implantação'!D161,'Pré Implantação'!L161,'Pré Implantação'!I161),AVERAGE('Pré Implantação'!I161)),"")</f>
        <v/>
      </c>
      <c r="G161" s="34" t="str">
        <f>IFERROR(IF('Pré Implantação'!B161="CSC",AVERAGE('Pré Implantação'!D161,'Pré Implantação'!L161,'Pré Implantação'!J161),AVERAGE('Pré Implantação'!J161)),"")</f>
        <v/>
      </c>
      <c r="H161" s="34" t="str">
        <f>IFERROR(IF('Pré Implantação'!B161="Operações \ Negócio",AVERAGE('Pré Implantação'!D161,'Pré Implantação'!L161,'Pré Implantação'!K161),AVERAGE('Pré Implantação'!K161)),"")</f>
        <v/>
      </c>
      <c r="I161" s="34" t="str">
        <f>IFERROR(IF('Pré Implantação'!B161="Projetos",AVERAGE('Pré Implantação'!D161,'Pré Implantação'!L161,'Pré Implantação'!M161),AVERAGE('Pré Implantação'!M161)),"")</f>
        <v/>
      </c>
      <c r="J161" s="34" t="str">
        <f>IFERROR(IF('Pré Implantação'!B161="Engenharia",AVERAGE('Pré Implantação'!D161,'Pré Implantação'!L161,'Pré Implantação'!N161),AVERAGE('Pré Implantação'!N161)),"")</f>
        <v/>
      </c>
      <c r="K161" s="34" t="str">
        <f>IFERROR(IF('Pré Implantação'!B161="URA",AVERAGE('Pré Implantação'!D161,'Pré Implantação'!L161),""),"")</f>
        <v/>
      </c>
      <c r="L161" s="34" t="str">
        <f>IFERROR(IF('Pré Implantação'!B161="CSE Microsoft",AVERAGE('Pré Implantação'!D161,'Pré Implantação'!L161),""),"")</f>
        <v/>
      </c>
      <c r="M161" s="34" t="str">
        <f>IFERROR(IF('Pré Implantação'!B161="CSE Telecom",AVERAGE('Pré Implantação'!D161,'Pré Implantação'!L161),""),"")</f>
        <v/>
      </c>
      <c r="N161" s="34" t="str">
        <f>IFERROR(IF('Pré Implantação'!B161="Site Suporte de Campo",AVERAGE('Pré Implantação'!D161,'Pré Implantação'!L161),""),"")</f>
        <v/>
      </c>
      <c r="O161" s="49" t="str">
        <f>IFERROR(IF('Pré Implantação'!B161="Infraestrutura",AVERAGE('Pré Implantação'!D161,'Pré Implantação'!L161),""),"")</f>
        <v/>
      </c>
    </row>
    <row r="162" spans="1:15" x14ac:dyDescent="0.3">
      <c r="A162" s="33">
        <f>'Pré Implantação'!A162</f>
        <v>0</v>
      </c>
      <c r="B162" s="36">
        <f>'Pré Implantação'!C162</f>
        <v>0</v>
      </c>
      <c r="C162" s="34" t="str">
        <f>IFERROR(IF('Pré Implantação'!B162="Produção TI",AVERAGE('Pré Implantação'!D162,'Pré Implantação'!L162,'Pré Implantação'!E162,'Pré Implantação'!H162),AVERAGE('Pré Implantação'!E162,'Pré Implantação'!H162)),"")</f>
        <v/>
      </c>
      <c r="D162" s="34" t="str">
        <f>IFERROR(IF('Pré Implantação'!B162="CSC Service Desk",AVERAGE('Pré Implantação'!D162,'Pré Implantação'!L162,'Pré Implantação'!F162),AVERAGE('Pré Implantação'!F162)),"")</f>
        <v/>
      </c>
      <c r="E162" s="34" t="str">
        <f>IFERROR(IF('Pré Implantação'!B162="CSC NOC",AVERAGE('Pré Implantação'!D162,'Pré Implantação'!L162,'Pré Implantação'!G162),AVERAGE('Pré Implantação'!G162)),"")</f>
        <v/>
      </c>
      <c r="F162" s="34" t="str">
        <f>IFERROR(IF('Pré Implantação'!B162="CSE Gravadores",AVERAGE('Pré Implantação'!D162,'Pré Implantação'!L162,'Pré Implantação'!I162),AVERAGE('Pré Implantação'!I162)),"")</f>
        <v/>
      </c>
      <c r="G162" s="34" t="str">
        <f>IFERROR(IF('Pré Implantação'!B162="CSC",AVERAGE('Pré Implantação'!D162,'Pré Implantação'!L162,'Pré Implantação'!J162),AVERAGE('Pré Implantação'!J162)),"")</f>
        <v/>
      </c>
      <c r="H162" s="34" t="str">
        <f>IFERROR(IF('Pré Implantação'!B162="Operações \ Negócio",AVERAGE('Pré Implantação'!D162,'Pré Implantação'!L162,'Pré Implantação'!K162),AVERAGE('Pré Implantação'!K162)),"")</f>
        <v/>
      </c>
      <c r="I162" s="34" t="str">
        <f>IFERROR(IF('Pré Implantação'!B162="Projetos",AVERAGE('Pré Implantação'!D162,'Pré Implantação'!L162,'Pré Implantação'!M162),AVERAGE('Pré Implantação'!M162)),"")</f>
        <v/>
      </c>
      <c r="J162" s="34" t="str">
        <f>IFERROR(IF('Pré Implantação'!B162="Engenharia",AVERAGE('Pré Implantação'!D162,'Pré Implantação'!L162,'Pré Implantação'!N162),AVERAGE('Pré Implantação'!N162)),"")</f>
        <v/>
      </c>
      <c r="K162" s="34" t="str">
        <f>IFERROR(IF('Pré Implantação'!B162="URA",AVERAGE('Pré Implantação'!D162,'Pré Implantação'!L162),""),"")</f>
        <v/>
      </c>
      <c r="L162" s="34" t="str">
        <f>IFERROR(IF('Pré Implantação'!B162="CSE Microsoft",AVERAGE('Pré Implantação'!D162,'Pré Implantação'!L162),""),"")</f>
        <v/>
      </c>
      <c r="M162" s="34" t="str">
        <f>IFERROR(IF('Pré Implantação'!B162="CSE Telecom",AVERAGE('Pré Implantação'!D162,'Pré Implantação'!L162),""),"")</f>
        <v/>
      </c>
      <c r="N162" s="34" t="str">
        <f>IFERROR(IF('Pré Implantação'!B162="Site Suporte de Campo",AVERAGE('Pré Implantação'!D162,'Pré Implantação'!L162),""),"")</f>
        <v/>
      </c>
      <c r="O162" s="49" t="str">
        <f>IFERROR(IF('Pré Implantação'!B162="Infraestrutura",AVERAGE('Pré Implantação'!D162,'Pré Implantação'!L162),""),"")</f>
        <v/>
      </c>
    </row>
    <row r="163" spans="1:15" x14ac:dyDescent="0.3">
      <c r="A163" s="33">
        <f>'Pré Implantação'!A163</f>
        <v>0</v>
      </c>
      <c r="B163" s="36">
        <f>'Pré Implantação'!C163</f>
        <v>0</v>
      </c>
      <c r="C163" s="34" t="str">
        <f>IFERROR(IF('Pré Implantação'!B163="Produção TI",AVERAGE('Pré Implantação'!D163,'Pré Implantação'!L163,'Pré Implantação'!E163,'Pré Implantação'!H163),AVERAGE('Pré Implantação'!E163,'Pré Implantação'!H163)),"")</f>
        <v/>
      </c>
      <c r="D163" s="34" t="str">
        <f>IFERROR(IF('Pré Implantação'!B163="CSC Service Desk",AVERAGE('Pré Implantação'!D163,'Pré Implantação'!L163,'Pré Implantação'!F163),AVERAGE('Pré Implantação'!F163)),"")</f>
        <v/>
      </c>
      <c r="E163" s="34" t="str">
        <f>IFERROR(IF('Pré Implantação'!B163="CSC NOC",AVERAGE('Pré Implantação'!D163,'Pré Implantação'!L163,'Pré Implantação'!G163),AVERAGE('Pré Implantação'!G163)),"")</f>
        <v/>
      </c>
      <c r="F163" s="34" t="str">
        <f>IFERROR(IF('Pré Implantação'!B163="CSE Gravadores",AVERAGE('Pré Implantação'!D163,'Pré Implantação'!L163,'Pré Implantação'!I163),AVERAGE('Pré Implantação'!I163)),"")</f>
        <v/>
      </c>
      <c r="G163" s="34" t="str">
        <f>IFERROR(IF('Pré Implantação'!B163="CSC",AVERAGE('Pré Implantação'!D163,'Pré Implantação'!L163,'Pré Implantação'!J163),AVERAGE('Pré Implantação'!J163)),"")</f>
        <v/>
      </c>
      <c r="H163" s="34" t="str">
        <f>IFERROR(IF('Pré Implantação'!B163="Operações \ Negócio",AVERAGE('Pré Implantação'!D163,'Pré Implantação'!L163,'Pré Implantação'!K163),AVERAGE('Pré Implantação'!K163)),"")</f>
        <v/>
      </c>
      <c r="I163" s="34" t="str">
        <f>IFERROR(IF('Pré Implantação'!B163="Projetos",AVERAGE('Pré Implantação'!D163,'Pré Implantação'!L163,'Pré Implantação'!M163),AVERAGE('Pré Implantação'!M163)),"")</f>
        <v/>
      </c>
      <c r="J163" s="34" t="str">
        <f>IFERROR(IF('Pré Implantação'!B163="Engenharia",AVERAGE('Pré Implantação'!D163,'Pré Implantação'!L163,'Pré Implantação'!N163),AVERAGE('Pré Implantação'!N163)),"")</f>
        <v/>
      </c>
      <c r="K163" s="34" t="str">
        <f>IFERROR(IF('Pré Implantação'!B163="URA",AVERAGE('Pré Implantação'!D163,'Pré Implantação'!L163),""),"")</f>
        <v/>
      </c>
      <c r="L163" s="34" t="str">
        <f>IFERROR(IF('Pré Implantação'!B163="CSE Microsoft",AVERAGE('Pré Implantação'!D163,'Pré Implantação'!L163),""),"")</f>
        <v/>
      </c>
      <c r="M163" s="34" t="str">
        <f>IFERROR(IF('Pré Implantação'!B163="CSE Telecom",AVERAGE('Pré Implantação'!D163,'Pré Implantação'!L163),""),"")</f>
        <v/>
      </c>
      <c r="N163" s="34" t="str">
        <f>IFERROR(IF('Pré Implantação'!B163="Site Suporte de Campo",AVERAGE('Pré Implantação'!D163,'Pré Implantação'!L163),""),"")</f>
        <v/>
      </c>
      <c r="O163" s="49" t="str">
        <f>IFERROR(IF('Pré Implantação'!B163="Infraestrutura",AVERAGE('Pré Implantação'!D163,'Pré Implantação'!L163),""),"")</f>
        <v/>
      </c>
    </row>
    <row r="164" spans="1:15" x14ac:dyDescent="0.3">
      <c r="A164" s="33">
        <f>'Pré Implantação'!A164</f>
        <v>0</v>
      </c>
      <c r="B164" s="36">
        <f>'Pré Implantação'!C164</f>
        <v>0</v>
      </c>
      <c r="C164" s="34" t="str">
        <f>IFERROR(IF('Pré Implantação'!B164="Produção TI",AVERAGE('Pré Implantação'!D164,'Pré Implantação'!L164,'Pré Implantação'!E164,'Pré Implantação'!H164),AVERAGE('Pré Implantação'!E164,'Pré Implantação'!H164)),"")</f>
        <v/>
      </c>
      <c r="D164" s="34" t="str">
        <f>IFERROR(IF('Pré Implantação'!B164="CSC Service Desk",AVERAGE('Pré Implantação'!D164,'Pré Implantação'!L164,'Pré Implantação'!F164),AVERAGE('Pré Implantação'!F164)),"")</f>
        <v/>
      </c>
      <c r="E164" s="34" t="str">
        <f>IFERROR(IF('Pré Implantação'!B164="CSC NOC",AVERAGE('Pré Implantação'!D164,'Pré Implantação'!L164,'Pré Implantação'!G164),AVERAGE('Pré Implantação'!G164)),"")</f>
        <v/>
      </c>
      <c r="F164" s="34" t="str">
        <f>IFERROR(IF('Pré Implantação'!B164="CSE Gravadores",AVERAGE('Pré Implantação'!D164,'Pré Implantação'!L164,'Pré Implantação'!I164),AVERAGE('Pré Implantação'!I164)),"")</f>
        <v/>
      </c>
      <c r="G164" s="34" t="str">
        <f>IFERROR(IF('Pré Implantação'!B164="CSC",AVERAGE('Pré Implantação'!D164,'Pré Implantação'!L164,'Pré Implantação'!J164),AVERAGE('Pré Implantação'!J164)),"")</f>
        <v/>
      </c>
      <c r="H164" s="34" t="str">
        <f>IFERROR(IF('Pré Implantação'!B164="Operações \ Negócio",AVERAGE('Pré Implantação'!D164,'Pré Implantação'!L164,'Pré Implantação'!K164),AVERAGE('Pré Implantação'!K164)),"")</f>
        <v/>
      </c>
      <c r="I164" s="34" t="str">
        <f>IFERROR(IF('Pré Implantação'!B164="Projetos",AVERAGE('Pré Implantação'!D164,'Pré Implantação'!L164,'Pré Implantação'!M164),AVERAGE('Pré Implantação'!M164)),"")</f>
        <v/>
      </c>
      <c r="J164" s="34" t="str">
        <f>IFERROR(IF('Pré Implantação'!B164="Engenharia",AVERAGE('Pré Implantação'!D164,'Pré Implantação'!L164,'Pré Implantação'!N164),AVERAGE('Pré Implantação'!N164)),"")</f>
        <v/>
      </c>
      <c r="K164" s="34" t="str">
        <f>IFERROR(IF('Pré Implantação'!B164="URA",AVERAGE('Pré Implantação'!D164,'Pré Implantação'!L164),""),"")</f>
        <v/>
      </c>
      <c r="L164" s="34" t="str">
        <f>IFERROR(IF('Pré Implantação'!B164="CSE Microsoft",AVERAGE('Pré Implantação'!D164,'Pré Implantação'!L164),""),"")</f>
        <v/>
      </c>
      <c r="M164" s="34" t="str">
        <f>IFERROR(IF('Pré Implantação'!B164="CSE Telecom",AVERAGE('Pré Implantação'!D164,'Pré Implantação'!L164),""),"")</f>
        <v/>
      </c>
      <c r="N164" s="34" t="str">
        <f>IFERROR(IF('Pré Implantação'!B164="Site Suporte de Campo",AVERAGE('Pré Implantação'!D164,'Pré Implantação'!L164),""),"")</f>
        <v/>
      </c>
      <c r="O164" s="49" t="str">
        <f>IFERROR(IF('Pré Implantação'!B164="Infraestrutura",AVERAGE('Pré Implantação'!D164,'Pré Implantação'!L164),""),"")</f>
        <v/>
      </c>
    </row>
    <row r="165" spans="1:15" x14ac:dyDescent="0.3">
      <c r="A165" s="33">
        <f>'Pré Implantação'!A165</f>
        <v>0</v>
      </c>
      <c r="B165" s="36">
        <f>'Pré Implantação'!C165</f>
        <v>0</v>
      </c>
      <c r="C165" s="34" t="str">
        <f>IFERROR(IF('Pré Implantação'!B165="Produção TI",AVERAGE('Pré Implantação'!D165,'Pré Implantação'!L165,'Pré Implantação'!E165,'Pré Implantação'!H165),AVERAGE('Pré Implantação'!E165,'Pré Implantação'!H165)),"")</f>
        <v/>
      </c>
      <c r="D165" s="34" t="str">
        <f>IFERROR(IF('Pré Implantação'!B165="CSC Service Desk",AVERAGE('Pré Implantação'!D165,'Pré Implantação'!L165,'Pré Implantação'!F165),AVERAGE('Pré Implantação'!F165)),"")</f>
        <v/>
      </c>
      <c r="E165" s="34" t="str">
        <f>IFERROR(IF('Pré Implantação'!B165="CSC NOC",AVERAGE('Pré Implantação'!D165,'Pré Implantação'!L165,'Pré Implantação'!G165),AVERAGE('Pré Implantação'!G165)),"")</f>
        <v/>
      </c>
      <c r="F165" s="34" t="str">
        <f>IFERROR(IF('Pré Implantação'!B165="CSE Gravadores",AVERAGE('Pré Implantação'!D165,'Pré Implantação'!L165,'Pré Implantação'!I165),AVERAGE('Pré Implantação'!I165)),"")</f>
        <v/>
      </c>
      <c r="G165" s="34" t="str">
        <f>IFERROR(IF('Pré Implantação'!B165="CSC",AVERAGE('Pré Implantação'!D165,'Pré Implantação'!L165,'Pré Implantação'!J165),AVERAGE('Pré Implantação'!J165)),"")</f>
        <v/>
      </c>
      <c r="H165" s="34" t="str">
        <f>IFERROR(IF('Pré Implantação'!B165="Operações \ Negócio",AVERAGE('Pré Implantação'!D165,'Pré Implantação'!L165,'Pré Implantação'!K165),AVERAGE('Pré Implantação'!K165)),"")</f>
        <v/>
      </c>
      <c r="I165" s="34" t="str">
        <f>IFERROR(IF('Pré Implantação'!B165="Projetos",AVERAGE('Pré Implantação'!D165,'Pré Implantação'!L165,'Pré Implantação'!M165),AVERAGE('Pré Implantação'!M165)),"")</f>
        <v/>
      </c>
      <c r="J165" s="34" t="str">
        <f>IFERROR(IF('Pré Implantação'!B165="Engenharia",AVERAGE('Pré Implantação'!D165,'Pré Implantação'!L165,'Pré Implantação'!N165),AVERAGE('Pré Implantação'!N165)),"")</f>
        <v/>
      </c>
      <c r="K165" s="34" t="str">
        <f>IFERROR(IF('Pré Implantação'!B165="URA",AVERAGE('Pré Implantação'!D165,'Pré Implantação'!L165),""),"")</f>
        <v/>
      </c>
      <c r="L165" s="34" t="str">
        <f>IFERROR(IF('Pré Implantação'!B165="CSE Microsoft",AVERAGE('Pré Implantação'!D165,'Pré Implantação'!L165),""),"")</f>
        <v/>
      </c>
      <c r="M165" s="34" t="str">
        <f>IFERROR(IF('Pré Implantação'!B165="CSE Telecom",AVERAGE('Pré Implantação'!D165,'Pré Implantação'!L165),""),"")</f>
        <v/>
      </c>
      <c r="N165" s="34" t="str">
        <f>IFERROR(IF('Pré Implantação'!B165="Site Suporte de Campo",AVERAGE('Pré Implantação'!D165,'Pré Implantação'!L165),""),"")</f>
        <v/>
      </c>
      <c r="O165" s="49" t="str">
        <f>IFERROR(IF('Pré Implantação'!B165="Infraestrutura",AVERAGE('Pré Implantação'!D165,'Pré Implantação'!L165),""),"")</f>
        <v/>
      </c>
    </row>
    <row r="166" spans="1:15" x14ac:dyDescent="0.3">
      <c r="A166" s="33">
        <f>'Pré Implantação'!A166</f>
        <v>0</v>
      </c>
      <c r="B166" s="36">
        <f>'Pré Implantação'!C166</f>
        <v>0</v>
      </c>
      <c r="C166" s="34" t="str">
        <f>IFERROR(IF('Pré Implantação'!B166="Produção TI",AVERAGE('Pré Implantação'!D166,'Pré Implantação'!L166,'Pré Implantação'!E166,'Pré Implantação'!H166),AVERAGE('Pré Implantação'!E166,'Pré Implantação'!H166)),"")</f>
        <v/>
      </c>
      <c r="D166" s="34" t="str">
        <f>IFERROR(IF('Pré Implantação'!B166="CSC Service Desk",AVERAGE('Pré Implantação'!D166,'Pré Implantação'!L166,'Pré Implantação'!F166),AVERAGE('Pré Implantação'!F166)),"")</f>
        <v/>
      </c>
      <c r="E166" s="34" t="str">
        <f>IFERROR(IF('Pré Implantação'!B166="CSC NOC",AVERAGE('Pré Implantação'!D166,'Pré Implantação'!L166,'Pré Implantação'!G166),AVERAGE('Pré Implantação'!G166)),"")</f>
        <v/>
      </c>
      <c r="F166" s="34" t="str">
        <f>IFERROR(IF('Pré Implantação'!B166="CSE Gravadores",AVERAGE('Pré Implantação'!D166,'Pré Implantação'!L166,'Pré Implantação'!I166),AVERAGE('Pré Implantação'!I166)),"")</f>
        <v/>
      </c>
      <c r="G166" s="34" t="str">
        <f>IFERROR(IF('Pré Implantação'!B166="CSC",AVERAGE('Pré Implantação'!D166,'Pré Implantação'!L166,'Pré Implantação'!J166),AVERAGE('Pré Implantação'!J166)),"")</f>
        <v/>
      </c>
      <c r="H166" s="34" t="str">
        <f>IFERROR(IF('Pré Implantação'!B166="Operações \ Negócio",AVERAGE('Pré Implantação'!D166,'Pré Implantação'!L166,'Pré Implantação'!K166),AVERAGE('Pré Implantação'!K166)),"")</f>
        <v/>
      </c>
      <c r="I166" s="34" t="str">
        <f>IFERROR(IF('Pré Implantação'!B166="Projetos",AVERAGE('Pré Implantação'!D166,'Pré Implantação'!L166,'Pré Implantação'!M166),AVERAGE('Pré Implantação'!M166)),"")</f>
        <v/>
      </c>
      <c r="J166" s="34" t="str">
        <f>IFERROR(IF('Pré Implantação'!B166="Engenharia",AVERAGE('Pré Implantação'!D166,'Pré Implantação'!L166,'Pré Implantação'!N166),AVERAGE('Pré Implantação'!N166)),"")</f>
        <v/>
      </c>
      <c r="K166" s="34" t="str">
        <f>IFERROR(IF('Pré Implantação'!B166="URA",AVERAGE('Pré Implantação'!D166,'Pré Implantação'!L166),""),"")</f>
        <v/>
      </c>
      <c r="L166" s="34" t="str">
        <f>IFERROR(IF('Pré Implantação'!B166="CSE Microsoft",AVERAGE('Pré Implantação'!D166,'Pré Implantação'!L166),""),"")</f>
        <v/>
      </c>
      <c r="M166" s="34" t="str">
        <f>IFERROR(IF('Pré Implantação'!B166="CSE Telecom",AVERAGE('Pré Implantação'!D166,'Pré Implantação'!L166),""),"")</f>
        <v/>
      </c>
      <c r="N166" s="34" t="str">
        <f>IFERROR(IF('Pré Implantação'!B166="Site Suporte de Campo",AVERAGE('Pré Implantação'!D166,'Pré Implantação'!L166),""),"")</f>
        <v/>
      </c>
      <c r="O166" s="49" t="str">
        <f>IFERROR(IF('Pré Implantação'!B166="Infraestrutura",AVERAGE('Pré Implantação'!D166,'Pré Implantação'!L166),""),"")</f>
        <v/>
      </c>
    </row>
    <row r="167" spans="1:15" x14ac:dyDescent="0.3">
      <c r="A167" s="33">
        <f>'Pré Implantação'!A167</f>
        <v>0</v>
      </c>
      <c r="B167" s="36">
        <f>'Pré Implantação'!C167</f>
        <v>0</v>
      </c>
      <c r="C167" s="34" t="str">
        <f>IFERROR(IF('Pré Implantação'!B167="Produção TI",AVERAGE('Pré Implantação'!D167,'Pré Implantação'!L167,'Pré Implantação'!E167,'Pré Implantação'!H167),AVERAGE('Pré Implantação'!E167,'Pré Implantação'!H167)),"")</f>
        <v/>
      </c>
      <c r="D167" s="34" t="str">
        <f>IFERROR(IF('Pré Implantação'!B167="CSC Service Desk",AVERAGE('Pré Implantação'!D167,'Pré Implantação'!L167,'Pré Implantação'!F167),AVERAGE('Pré Implantação'!F167)),"")</f>
        <v/>
      </c>
      <c r="E167" s="34" t="str">
        <f>IFERROR(IF('Pré Implantação'!B167="CSC NOC",AVERAGE('Pré Implantação'!D167,'Pré Implantação'!L167,'Pré Implantação'!G167),AVERAGE('Pré Implantação'!G167)),"")</f>
        <v/>
      </c>
      <c r="F167" s="34" t="str">
        <f>IFERROR(IF('Pré Implantação'!B167="CSE Gravadores",AVERAGE('Pré Implantação'!D167,'Pré Implantação'!L167,'Pré Implantação'!I167),AVERAGE('Pré Implantação'!I167)),"")</f>
        <v/>
      </c>
      <c r="G167" s="34" t="str">
        <f>IFERROR(IF('Pré Implantação'!B167="CSC",AVERAGE('Pré Implantação'!D167,'Pré Implantação'!L167,'Pré Implantação'!J167),AVERAGE('Pré Implantação'!J167)),"")</f>
        <v/>
      </c>
      <c r="H167" s="34" t="str">
        <f>IFERROR(IF('Pré Implantação'!B167="Operações \ Negócio",AVERAGE('Pré Implantação'!D167,'Pré Implantação'!L167,'Pré Implantação'!K167),AVERAGE('Pré Implantação'!K167)),"")</f>
        <v/>
      </c>
      <c r="I167" s="34" t="str">
        <f>IFERROR(IF('Pré Implantação'!B167="Projetos",AVERAGE('Pré Implantação'!D167,'Pré Implantação'!L167,'Pré Implantação'!M167),AVERAGE('Pré Implantação'!M167)),"")</f>
        <v/>
      </c>
      <c r="J167" s="34" t="str">
        <f>IFERROR(IF('Pré Implantação'!B167="Engenharia",AVERAGE('Pré Implantação'!D167,'Pré Implantação'!L167,'Pré Implantação'!N167),AVERAGE('Pré Implantação'!N167)),"")</f>
        <v/>
      </c>
      <c r="K167" s="34" t="str">
        <f>IFERROR(IF('Pré Implantação'!B167="URA",AVERAGE('Pré Implantação'!D167,'Pré Implantação'!L167),""),"")</f>
        <v/>
      </c>
      <c r="L167" s="34" t="str">
        <f>IFERROR(IF('Pré Implantação'!B167="CSE Microsoft",AVERAGE('Pré Implantação'!D167,'Pré Implantação'!L167),""),"")</f>
        <v/>
      </c>
      <c r="M167" s="34" t="str">
        <f>IFERROR(IF('Pré Implantação'!B167="CSE Telecom",AVERAGE('Pré Implantação'!D167,'Pré Implantação'!L167),""),"")</f>
        <v/>
      </c>
      <c r="N167" s="34" t="str">
        <f>IFERROR(IF('Pré Implantação'!B167="Site Suporte de Campo",AVERAGE('Pré Implantação'!D167,'Pré Implantação'!L167),""),"")</f>
        <v/>
      </c>
      <c r="O167" s="49" t="str">
        <f>IFERROR(IF('Pré Implantação'!B167="Infraestrutura",AVERAGE('Pré Implantação'!D167,'Pré Implantação'!L167),""),"")</f>
        <v/>
      </c>
    </row>
    <row r="168" spans="1:15" x14ac:dyDescent="0.3">
      <c r="A168" s="33">
        <f>'Pré Implantação'!A168</f>
        <v>0</v>
      </c>
      <c r="B168" s="36">
        <f>'Pré Implantação'!C168</f>
        <v>0</v>
      </c>
      <c r="C168" s="34" t="str">
        <f>IFERROR(IF('Pré Implantação'!B168="Produção TI",AVERAGE('Pré Implantação'!D168,'Pré Implantação'!L168,'Pré Implantação'!E168,'Pré Implantação'!H168),AVERAGE('Pré Implantação'!E168,'Pré Implantação'!H168)),"")</f>
        <v/>
      </c>
      <c r="D168" s="34" t="str">
        <f>IFERROR(IF('Pré Implantação'!B168="CSC Service Desk",AVERAGE('Pré Implantação'!D168,'Pré Implantação'!L168,'Pré Implantação'!F168),AVERAGE('Pré Implantação'!F168)),"")</f>
        <v/>
      </c>
      <c r="E168" s="34" t="str">
        <f>IFERROR(IF('Pré Implantação'!B168="CSC NOC",AVERAGE('Pré Implantação'!D168,'Pré Implantação'!L168,'Pré Implantação'!G168),AVERAGE('Pré Implantação'!G168)),"")</f>
        <v/>
      </c>
      <c r="F168" s="34" t="str">
        <f>IFERROR(IF('Pré Implantação'!B168="CSE Gravadores",AVERAGE('Pré Implantação'!D168,'Pré Implantação'!L168,'Pré Implantação'!I168),AVERAGE('Pré Implantação'!I168)),"")</f>
        <v/>
      </c>
      <c r="G168" s="34" t="str">
        <f>IFERROR(IF('Pré Implantação'!B168="CSC",AVERAGE('Pré Implantação'!D168,'Pré Implantação'!L168,'Pré Implantação'!J168),AVERAGE('Pré Implantação'!J168)),"")</f>
        <v/>
      </c>
      <c r="H168" s="34" t="str">
        <f>IFERROR(IF('Pré Implantação'!B168="Operações \ Negócio",AVERAGE('Pré Implantação'!D168,'Pré Implantação'!L168,'Pré Implantação'!K168),AVERAGE('Pré Implantação'!K168)),"")</f>
        <v/>
      </c>
      <c r="I168" s="34" t="str">
        <f>IFERROR(IF('Pré Implantação'!B168="Projetos",AVERAGE('Pré Implantação'!D168,'Pré Implantação'!L168,'Pré Implantação'!M168),AVERAGE('Pré Implantação'!M168)),"")</f>
        <v/>
      </c>
      <c r="J168" s="34" t="str">
        <f>IFERROR(IF('Pré Implantação'!B168="Engenharia",AVERAGE('Pré Implantação'!D168,'Pré Implantação'!L168,'Pré Implantação'!N168),AVERAGE('Pré Implantação'!N168)),"")</f>
        <v/>
      </c>
      <c r="K168" s="34" t="str">
        <f>IFERROR(IF('Pré Implantação'!B168="URA",AVERAGE('Pré Implantação'!D168,'Pré Implantação'!L168),""),"")</f>
        <v/>
      </c>
      <c r="L168" s="34" t="str">
        <f>IFERROR(IF('Pré Implantação'!B168="CSE Microsoft",AVERAGE('Pré Implantação'!D168,'Pré Implantação'!L168),""),"")</f>
        <v/>
      </c>
      <c r="M168" s="34" t="str">
        <f>IFERROR(IF('Pré Implantação'!B168="CSE Telecom",AVERAGE('Pré Implantação'!D168,'Pré Implantação'!L168),""),"")</f>
        <v/>
      </c>
      <c r="N168" s="34" t="str">
        <f>IFERROR(IF('Pré Implantação'!B168="Site Suporte de Campo",AVERAGE('Pré Implantação'!D168,'Pré Implantação'!L168),""),"")</f>
        <v/>
      </c>
      <c r="O168" s="49" t="str">
        <f>IFERROR(IF('Pré Implantação'!B168="Infraestrutura",AVERAGE('Pré Implantação'!D168,'Pré Implantação'!L168),""),"")</f>
        <v/>
      </c>
    </row>
    <row r="169" spans="1:15" x14ac:dyDescent="0.3">
      <c r="A169" s="33">
        <f>'Pré Implantação'!A169</f>
        <v>0</v>
      </c>
      <c r="B169" s="36">
        <f>'Pré Implantação'!C169</f>
        <v>0</v>
      </c>
      <c r="C169" s="34" t="str">
        <f>IFERROR(IF('Pré Implantação'!B169="Produção TI",AVERAGE('Pré Implantação'!D169,'Pré Implantação'!L169,'Pré Implantação'!E169,'Pré Implantação'!H169),AVERAGE('Pré Implantação'!E169,'Pré Implantação'!H169)),"")</f>
        <v/>
      </c>
      <c r="D169" s="34" t="str">
        <f>IFERROR(IF('Pré Implantação'!B169="CSC Service Desk",AVERAGE('Pré Implantação'!D169,'Pré Implantação'!L169,'Pré Implantação'!F169),AVERAGE('Pré Implantação'!F169)),"")</f>
        <v/>
      </c>
      <c r="E169" s="34" t="str">
        <f>IFERROR(IF('Pré Implantação'!B169="CSC NOC",AVERAGE('Pré Implantação'!D169,'Pré Implantação'!L169,'Pré Implantação'!G169),AVERAGE('Pré Implantação'!G169)),"")</f>
        <v/>
      </c>
      <c r="F169" s="34" t="str">
        <f>IFERROR(IF('Pré Implantação'!B169="CSE Gravadores",AVERAGE('Pré Implantação'!D169,'Pré Implantação'!L169,'Pré Implantação'!I169),AVERAGE('Pré Implantação'!I169)),"")</f>
        <v/>
      </c>
      <c r="G169" s="34" t="str">
        <f>IFERROR(IF('Pré Implantação'!B169="CSC",AVERAGE('Pré Implantação'!D169,'Pré Implantação'!L169,'Pré Implantação'!J169),AVERAGE('Pré Implantação'!J169)),"")</f>
        <v/>
      </c>
      <c r="H169" s="34" t="str">
        <f>IFERROR(IF('Pré Implantação'!B169="Operações \ Negócio",AVERAGE('Pré Implantação'!D169,'Pré Implantação'!L169,'Pré Implantação'!K169),AVERAGE('Pré Implantação'!K169)),"")</f>
        <v/>
      </c>
      <c r="I169" s="34" t="str">
        <f>IFERROR(IF('Pré Implantação'!B169="Projetos",AVERAGE('Pré Implantação'!D169,'Pré Implantação'!L169,'Pré Implantação'!M169),AVERAGE('Pré Implantação'!M169)),"")</f>
        <v/>
      </c>
      <c r="J169" s="34" t="str">
        <f>IFERROR(IF('Pré Implantação'!B169="Engenharia",AVERAGE('Pré Implantação'!D169,'Pré Implantação'!L169,'Pré Implantação'!N169),AVERAGE('Pré Implantação'!N169)),"")</f>
        <v/>
      </c>
      <c r="K169" s="34" t="str">
        <f>IFERROR(IF('Pré Implantação'!B169="URA",AVERAGE('Pré Implantação'!D169,'Pré Implantação'!L169),""),"")</f>
        <v/>
      </c>
      <c r="L169" s="34" t="str">
        <f>IFERROR(IF('Pré Implantação'!B169="CSE Microsoft",AVERAGE('Pré Implantação'!D169,'Pré Implantação'!L169),""),"")</f>
        <v/>
      </c>
      <c r="M169" s="34" t="str">
        <f>IFERROR(IF('Pré Implantação'!B169="CSE Telecom",AVERAGE('Pré Implantação'!D169,'Pré Implantação'!L169),""),"")</f>
        <v/>
      </c>
      <c r="N169" s="34" t="str">
        <f>IFERROR(IF('Pré Implantação'!B169="Site Suporte de Campo",AVERAGE('Pré Implantação'!D169,'Pré Implantação'!L169),""),"")</f>
        <v/>
      </c>
      <c r="O169" s="49" t="str">
        <f>IFERROR(IF('Pré Implantação'!B169="Infraestrutura",AVERAGE('Pré Implantação'!D169,'Pré Implantação'!L169),""),"")</f>
        <v/>
      </c>
    </row>
    <row r="170" spans="1:15" x14ac:dyDescent="0.3">
      <c r="A170" s="33">
        <f>'Pré Implantação'!A170</f>
        <v>0</v>
      </c>
      <c r="B170" s="36">
        <f>'Pré Implantação'!C170</f>
        <v>0</v>
      </c>
      <c r="C170" s="34" t="str">
        <f>IFERROR(IF('Pré Implantação'!B170="Produção TI",AVERAGE('Pré Implantação'!D170,'Pré Implantação'!L170,'Pré Implantação'!E170,'Pré Implantação'!H170),AVERAGE('Pré Implantação'!E170,'Pré Implantação'!H170)),"")</f>
        <v/>
      </c>
      <c r="D170" s="34" t="str">
        <f>IFERROR(IF('Pré Implantação'!B170="CSC Service Desk",AVERAGE('Pré Implantação'!D170,'Pré Implantação'!L170,'Pré Implantação'!F170),AVERAGE('Pré Implantação'!F170)),"")</f>
        <v/>
      </c>
      <c r="E170" s="34" t="str">
        <f>IFERROR(IF('Pré Implantação'!B170="CSC NOC",AVERAGE('Pré Implantação'!D170,'Pré Implantação'!L170,'Pré Implantação'!G170),AVERAGE('Pré Implantação'!G170)),"")</f>
        <v/>
      </c>
      <c r="F170" s="34" t="str">
        <f>IFERROR(IF('Pré Implantação'!B170="CSE Gravadores",AVERAGE('Pré Implantação'!D170,'Pré Implantação'!L170,'Pré Implantação'!I170),AVERAGE('Pré Implantação'!I170)),"")</f>
        <v/>
      </c>
      <c r="G170" s="34" t="str">
        <f>IFERROR(IF('Pré Implantação'!B170="CSC",AVERAGE('Pré Implantação'!D170,'Pré Implantação'!L170,'Pré Implantação'!J170),AVERAGE('Pré Implantação'!J170)),"")</f>
        <v/>
      </c>
      <c r="H170" s="34" t="str">
        <f>IFERROR(IF('Pré Implantação'!B170="Operações \ Negócio",AVERAGE('Pré Implantação'!D170,'Pré Implantação'!L170,'Pré Implantação'!K170),AVERAGE('Pré Implantação'!K170)),"")</f>
        <v/>
      </c>
      <c r="I170" s="34" t="str">
        <f>IFERROR(IF('Pré Implantação'!B170="Projetos",AVERAGE('Pré Implantação'!D170,'Pré Implantação'!L170,'Pré Implantação'!M170),AVERAGE('Pré Implantação'!M170)),"")</f>
        <v/>
      </c>
      <c r="J170" s="34" t="str">
        <f>IFERROR(IF('Pré Implantação'!B170="Engenharia",AVERAGE('Pré Implantação'!D170,'Pré Implantação'!L170,'Pré Implantação'!N170),AVERAGE('Pré Implantação'!N170)),"")</f>
        <v/>
      </c>
      <c r="K170" s="34" t="str">
        <f>IFERROR(IF('Pré Implantação'!B170="URA",AVERAGE('Pré Implantação'!D170,'Pré Implantação'!L170),""),"")</f>
        <v/>
      </c>
      <c r="L170" s="34" t="str">
        <f>IFERROR(IF('Pré Implantação'!B170="CSE Microsoft",AVERAGE('Pré Implantação'!D170,'Pré Implantação'!L170),""),"")</f>
        <v/>
      </c>
      <c r="M170" s="34" t="str">
        <f>IFERROR(IF('Pré Implantação'!B170="CSE Telecom",AVERAGE('Pré Implantação'!D170,'Pré Implantação'!L170),""),"")</f>
        <v/>
      </c>
      <c r="N170" s="34" t="str">
        <f>IFERROR(IF('Pré Implantação'!B170="Site Suporte de Campo",AVERAGE('Pré Implantação'!D170,'Pré Implantação'!L170),""),"")</f>
        <v/>
      </c>
      <c r="O170" s="49" t="str">
        <f>IFERROR(IF('Pré Implantação'!B170="Infraestrutura",AVERAGE('Pré Implantação'!D170,'Pré Implantação'!L170),""),"")</f>
        <v/>
      </c>
    </row>
    <row r="171" spans="1:15" x14ac:dyDescent="0.3">
      <c r="A171" s="33">
        <f>'Pré Implantação'!A171</f>
        <v>0</v>
      </c>
      <c r="B171" s="36">
        <f>'Pré Implantação'!C171</f>
        <v>0</v>
      </c>
      <c r="C171" s="34" t="str">
        <f>IFERROR(IF('Pré Implantação'!B171="Produção TI",AVERAGE('Pré Implantação'!D171,'Pré Implantação'!L171,'Pré Implantação'!E171,'Pré Implantação'!H171),AVERAGE('Pré Implantação'!E171,'Pré Implantação'!H171)),"")</f>
        <v/>
      </c>
      <c r="D171" s="34" t="str">
        <f>IFERROR(IF('Pré Implantação'!B171="CSC Service Desk",AVERAGE('Pré Implantação'!D171,'Pré Implantação'!L171,'Pré Implantação'!F171),AVERAGE('Pré Implantação'!F171)),"")</f>
        <v/>
      </c>
      <c r="E171" s="34" t="str">
        <f>IFERROR(IF('Pré Implantação'!B171="CSC NOC",AVERAGE('Pré Implantação'!D171,'Pré Implantação'!L171,'Pré Implantação'!G171),AVERAGE('Pré Implantação'!G171)),"")</f>
        <v/>
      </c>
      <c r="F171" s="34" t="str">
        <f>IFERROR(IF('Pré Implantação'!B171="CSE Gravadores",AVERAGE('Pré Implantação'!D171,'Pré Implantação'!L171,'Pré Implantação'!I171),AVERAGE('Pré Implantação'!I171)),"")</f>
        <v/>
      </c>
      <c r="G171" s="34" t="str">
        <f>IFERROR(IF('Pré Implantação'!B171="CSC",AVERAGE('Pré Implantação'!D171,'Pré Implantação'!L171,'Pré Implantação'!J171),AVERAGE('Pré Implantação'!J171)),"")</f>
        <v/>
      </c>
      <c r="H171" s="34" t="str">
        <f>IFERROR(IF('Pré Implantação'!B171="Operações \ Negócio",AVERAGE('Pré Implantação'!D171,'Pré Implantação'!L171,'Pré Implantação'!K171),AVERAGE('Pré Implantação'!K171)),"")</f>
        <v/>
      </c>
      <c r="I171" s="34" t="str">
        <f>IFERROR(IF('Pré Implantação'!B171="Projetos",AVERAGE('Pré Implantação'!D171,'Pré Implantação'!L171,'Pré Implantação'!M171),AVERAGE('Pré Implantação'!M171)),"")</f>
        <v/>
      </c>
      <c r="J171" s="34" t="str">
        <f>IFERROR(IF('Pré Implantação'!B171="Engenharia",AVERAGE('Pré Implantação'!D171,'Pré Implantação'!L171,'Pré Implantação'!N171),AVERAGE('Pré Implantação'!N171)),"")</f>
        <v/>
      </c>
      <c r="K171" s="34" t="str">
        <f>IFERROR(IF('Pré Implantação'!B171="URA",AVERAGE('Pré Implantação'!D171,'Pré Implantação'!L171),""),"")</f>
        <v/>
      </c>
      <c r="L171" s="34" t="str">
        <f>IFERROR(IF('Pré Implantação'!B171="CSE Microsoft",AVERAGE('Pré Implantação'!D171,'Pré Implantação'!L171),""),"")</f>
        <v/>
      </c>
      <c r="M171" s="34" t="str">
        <f>IFERROR(IF('Pré Implantação'!B171="CSE Telecom",AVERAGE('Pré Implantação'!D171,'Pré Implantação'!L171),""),"")</f>
        <v/>
      </c>
      <c r="N171" s="34" t="str">
        <f>IFERROR(IF('Pré Implantação'!B171="Site Suporte de Campo",AVERAGE('Pré Implantação'!D171,'Pré Implantação'!L171),""),"")</f>
        <v/>
      </c>
      <c r="O171" s="49" t="str">
        <f>IFERROR(IF('Pré Implantação'!B171="Infraestrutura",AVERAGE('Pré Implantação'!D171,'Pré Implantação'!L171),""),"")</f>
        <v/>
      </c>
    </row>
    <row r="172" spans="1:15" x14ac:dyDescent="0.3">
      <c r="A172" s="33">
        <f>'Pré Implantação'!A172</f>
        <v>0</v>
      </c>
      <c r="B172" s="36">
        <f>'Pré Implantação'!C172</f>
        <v>0</v>
      </c>
      <c r="C172" s="34" t="str">
        <f>IFERROR(IF('Pré Implantação'!B172="Produção TI",AVERAGE('Pré Implantação'!D172,'Pré Implantação'!L172,'Pré Implantação'!E172,'Pré Implantação'!H172),AVERAGE('Pré Implantação'!E172,'Pré Implantação'!H172)),"")</f>
        <v/>
      </c>
      <c r="D172" s="34" t="str">
        <f>IFERROR(IF('Pré Implantação'!B172="CSC Service Desk",AVERAGE('Pré Implantação'!D172,'Pré Implantação'!L172,'Pré Implantação'!F172),AVERAGE('Pré Implantação'!F172)),"")</f>
        <v/>
      </c>
      <c r="E172" s="34" t="str">
        <f>IFERROR(IF('Pré Implantação'!B172="CSC NOC",AVERAGE('Pré Implantação'!D172,'Pré Implantação'!L172,'Pré Implantação'!G172),AVERAGE('Pré Implantação'!G172)),"")</f>
        <v/>
      </c>
      <c r="F172" s="34" t="str">
        <f>IFERROR(IF('Pré Implantação'!B172="CSE Gravadores",AVERAGE('Pré Implantação'!D172,'Pré Implantação'!L172,'Pré Implantação'!I172),AVERAGE('Pré Implantação'!I172)),"")</f>
        <v/>
      </c>
      <c r="G172" s="34" t="str">
        <f>IFERROR(IF('Pré Implantação'!B172="CSC",AVERAGE('Pré Implantação'!D172,'Pré Implantação'!L172,'Pré Implantação'!J172),AVERAGE('Pré Implantação'!J172)),"")</f>
        <v/>
      </c>
      <c r="H172" s="34" t="str">
        <f>IFERROR(IF('Pré Implantação'!B172="Operações \ Negócio",AVERAGE('Pré Implantação'!D172,'Pré Implantação'!L172,'Pré Implantação'!K172),AVERAGE('Pré Implantação'!K172)),"")</f>
        <v/>
      </c>
      <c r="I172" s="34" t="str">
        <f>IFERROR(IF('Pré Implantação'!B172="Projetos",AVERAGE('Pré Implantação'!D172,'Pré Implantação'!L172,'Pré Implantação'!M172),AVERAGE('Pré Implantação'!M172)),"")</f>
        <v/>
      </c>
      <c r="J172" s="34" t="str">
        <f>IFERROR(IF('Pré Implantação'!B172="Engenharia",AVERAGE('Pré Implantação'!D172,'Pré Implantação'!L172,'Pré Implantação'!N172),AVERAGE('Pré Implantação'!N172)),"")</f>
        <v/>
      </c>
      <c r="K172" s="34" t="str">
        <f>IFERROR(IF('Pré Implantação'!B172="URA",AVERAGE('Pré Implantação'!D172,'Pré Implantação'!L172),""),"")</f>
        <v/>
      </c>
      <c r="L172" s="34" t="str">
        <f>IFERROR(IF('Pré Implantação'!B172="CSE Microsoft",AVERAGE('Pré Implantação'!D172,'Pré Implantação'!L172),""),"")</f>
        <v/>
      </c>
      <c r="M172" s="34" t="str">
        <f>IFERROR(IF('Pré Implantação'!B172="CSE Telecom",AVERAGE('Pré Implantação'!D172,'Pré Implantação'!L172),""),"")</f>
        <v/>
      </c>
      <c r="N172" s="34" t="str">
        <f>IFERROR(IF('Pré Implantação'!B172="Site Suporte de Campo",AVERAGE('Pré Implantação'!D172,'Pré Implantação'!L172),""),"")</f>
        <v/>
      </c>
      <c r="O172" s="49" t="str">
        <f>IFERROR(IF('Pré Implantação'!B172="Infraestrutura",AVERAGE('Pré Implantação'!D172,'Pré Implantação'!L172),""),"")</f>
        <v/>
      </c>
    </row>
    <row r="173" spans="1:15" x14ac:dyDescent="0.3">
      <c r="A173" s="33">
        <f>'Pré Implantação'!A173</f>
        <v>0</v>
      </c>
      <c r="B173" s="36">
        <f>'Pré Implantação'!C173</f>
        <v>0</v>
      </c>
      <c r="C173" s="34" t="str">
        <f>IFERROR(IF('Pré Implantação'!B173="Produção TI",AVERAGE('Pré Implantação'!D173,'Pré Implantação'!L173,'Pré Implantação'!E173,'Pré Implantação'!H173),AVERAGE('Pré Implantação'!E173,'Pré Implantação'!H173)),"")</f>
        <v/>
      </c>
      <c r="D173" s="34" t="str">
        <f>IFERROR(IF('Pré Implantação'!B173="CSC Service Desk",AVERAGE('Pré Implantação'!D173,'Pré Implantação'!L173,'Pré Implantação'!F173),AVERAGE('Pré Implantação'!F173)),"")</f>
        <v/>
      </c>
      <c r="E173" s="34" t="str">
        <f>IFERROR(IF('Pré Implantação'!B173="CSC NOC",AVERAGE('Pré Implantação'!D173,'Pré Implantação'!L173,'Pré Implantação'!G173),AVERAGE('Pré Implantação'!G173)),"")</f>
        <v/>
      </c>
      <c r="F173" s="34" t="str">
        <f>IFERROR(IF('Pré Implantação'!B173="CSE Gravadores",AVERAGE('Pré Implantação'!D173,'Pré Implantação'!L173,'Pré Implantação'!I173),AVERAGE('Pré Implantação'!I173)),"")</f>
        <v/>
      </c>
      <c r="G173" s="34" t="str">
        <f>IFERROR(IF('Pré Implantação'!B173="CSC",AVERAGE('Pré Implantação'!D173,'Pré Implantação'!L173,'Pré Implantação'!J173),AVERAGE('Pré Implantação'!J173)),"")</f>
        <v/>
      </c>
      <c r="H173" s="34" t="str">
        <f>IFERROR(IF('Pré Implantação'!B173="Operações \ Negócio",AVERAGE('Pré Implantação'!D173,'Pré Implantação'!L173,'Pré Implantação'!K173),AVERAGE('Pré Implantação'!K173)),"")</f>
        <v/>
      </c>
      <c r="I173" s="34" t="str">
        <f>IFERROR(IF('Pré Implantação'!B173="Projetos",AVERAGE('Pré Implantação'!D173,'Pré Implantação'!L173,'Pré Implantação'!M173),AVERAGE('Pré Implantação'!M173)),"")</f>
        <v/>
      </c>
      <c r="J173" s="34" t="str">
        <f>IFERROR(IF('Pré Implantação'!B173="Engenharia",AVERAGE('Pré Implantação'!D173,'Pré Implantação'!L173,'Pré Implantação'!N173),AVERAGE('Pré Implantação'!N173)),"")</f>
        <v/>
      </c>
      <c r="K173" s="34" t="str">
        <f>IFERROR(IF('Pré Implantação'!B173="URA",AVERAGE('Pré Implantação'!D173,'Pré Implantação'!L173),""),"")</f>
        <v/>
      </c>
      <c r="L173" s="34" t="str">
        <f>IFERROR(IF('Pré Implantação'!B173="CSE Microsoft",AVERAGE('Pré Implantação'!D173,'Pré Implantação'!L173),""),"")</f>
        <v/>
      </c>
      <c r="M173" s="34" t="str">
        <f>IFERROR(IF('Pré Implantação'!B173="CSE Telecom",AVERAGE('Pré Implantação'!D173,'Pré Implantação'!L173),""),"")</f>
        <v/>
      </c>
      <c r="N173" s="34" t="str">
        <f>IFERROR(IF('Pré Implantação'!B173="Site Suporte de Campo",AVERAGE('Pré Implantação'!D173,'Pré Implantação'!L173),""),"")</f>
        <v/>
      </c>
      <c r="O173" s="49" t="str">
        <f>IFERROR(IF('Pré Implantação'!B173="Infraestrutura",AVERAGE('Pré Implantação'!D173,'Pré Implantação'!L173),""),"")</f>
        <v/>
      </c>
    </row>
    <row r="174" spans="1:15" x14ac:dyDescent="0.3">
      <c r="A174" s="33">
        <f>'Pré Implantação'!A174</f>
        <v>0</v>
      </c>
      <c r="B174" s="36">
        <f>'Pré Implantação'!C174</f>
        <v>0</v>
      </c>
      <c r="C174" s="34" t="str">
        <f>IFERROR(IF('Pré Implantação'!B174="Produção TI",AVERAGE('Pré Implantação'!D174,'Pré Implantação'!L174,'Pré Implantação'!E174,'Pré Implantação'!H174),AVERAGE('Pré Implantação'!E174,'Pré Implantação'!H174)),"")</f>
        <v/>
      </c>
      <c r="D174" s="34" t="str">
        <f>IFERROR(IF('Pré Implantação'!B174="CSC Service Desk",AVERAGE('Pré Implantação'!D174,'Pré Implantação'!L174,'Pré Implantação'!F174),AVERAGE('Pré Implantação'!F174)),"")</f>
        <v/>
      </c>
      <c r="E174" s="34" t="str">
        <f>IFERROR(IF('Pré Implantação'!B174="CSC NOC",AVERAGE('Pré Implantação'!D174,'Pré Implantação'!L174,'Pré Implantação'!G174),AVERAGE('Pré Implantação'!G174)),"")</f>
        <v/>
      </c>
      <c r="F174" s="34" t="str">
        <f>IFERROR(IF('Pré Implantação'!B174="CSE Gravadores",AVERAGE('Pré Implantação'!D174,'Pré Implantação'!L174,'Pré Implantação'!I174),AVERAGE('Pré Implantação'!I174)),"")</f>
        <v/>
      </c>
      <c r="G174" s="34" t="str">
        <f>IFERROR(IF('Pré Implantação'!B174="CSC",AVERAGE('Pré Implantação'!D174,'Pré Implantação'!L174,'Pré Implantação'!J174),AVERAGE('Pré Implantação'!J174)),"")</f>
        <v/>
      </c>
      <c r="H174" s="34" t="str">
        <f>IFERROR(IF('Pré Implantação'!B174="Operações \ Negócio",AVERAGE('Pré Implantação'!D174,'Pré Implantação'!L174,'Pré Implantação'!K174),AVERAGE('Pré Implantação'!K174)),"")</f>
        <v/>
      </c>
      <c r="I174" s="34" t="str">
        <f>IFERROR(IF('Pré Implantação'!B174="Projetos",AVERAGE('Pré Implantação'!D174,'Pré Implantação'!L174,'Pré Implantação'!M174),AVERAGE('Pré Implantação'!M174)),"")</f>
        <v/>
      </c>
      <c r="J174" s="34" t="str">
        <f>IFERROR(IF('Pré Implantação'!B174="Engenharia",AVERAGE('Pré Implantação'!D174,'Pré Implantação'!L174,'Pré Implantação'!N174),AVERAGE('Pré Implantação'!N174)),"")</f>
        <v/>
      </c>
      <c r="K174" s="34" t="str">
        <f>IFERROR(IF('Pré Implantação'!B174="URA",AVERAGE('Pré Implantação'!D174,'Pré Implantação'!L174),""),"")</f>
        <v/>
      </c>
      <c r="L174" s="34" t="str">
        <f>IFERROR(IF('Pré Implantação'!B174="CSE Microsoft",AVERAGE('Pré Implantação'!D174,'Pré Implantação'!L174),""),"")</f>
        <v/>
      </c>
      <c r="M174" s="34" t="str">
        <f>IFERROR(IF('Pré Implantação'!B174="CSE Telecom",AVERAGE('Pré Implantação'!D174,'Pré Implantação'!L174),""),"")</f>
        <v/>
      </c>
      <c r="N174" s="34" t="str">
        <f>IFERROR(IF('Pré Implantação'!B174="Site Suporte de Campo",AVERAGE('Pré Implantação'!D174,'Pré Implantação'!L174),""),"")</f>
        <v/>
      </c>
      <c r="O174" s="49" t="str">
        <f>IFERROR(IF('Pré Implantação'!B174="Infraestrutura",AVERAGE('Pré Implantação'!D174,'Pré Implantação'!L174),""),"")</f>
        <v/>
      </c>
    </row>
    <row r="175" spans="1:15" x14ac:dyDescent="0.3">
      <c r="A175" s="33">
        <f>'Pré Implantação'!A175</f>
        <v>0</v>
      </c>
      <c r="B175" s="36">
        <f>'Pré Implantação'!C175</f>
        <v>0</v>
      </c>
      <c r="C175" s="34" t="str">
        <f>IFERROR(IF('Pré Implantação'!B175="Produção TI",AVERAGE('Pré Implantação'!D175,'Pré Implantação'!L175,'Pré Implantação'!E175,'Pré Implantação'!H175),AVERAGE('Pré Implantação'!E175,'Pré Implantação'!H175)),"")</f>
        <v/>
      </c>
      <c r="D175" s="34" t="str">
        <f>IFERROR(IF('Pré Implantação'!B175="CSC Service Desk",AVERAGE('Pré Implantação'!D175,'Pré Implantação'!L175,'Pré Implantação'!F175),AVERAGE('Pré Implantação'!F175)),"")</f>
        <v/>
      </c>
      <c r="E175" s="34" t="str">
        <f>IFERROR(IF('Pré Implantação'!B175="CSC NOC",AVERAGE('Pré Implantação'!D175,'Pré Implantação'!L175,'Pré Implantação'!G175),AVERAGE('Pré Implantação'!G175)),"")</f>
        <v/>
      </c>
      <c r="F175" s="34" t="str">
        <f>IFERROR(IF('Pré Implantação'!B175="CSE Gravadores",AVERAGE('Pré Implantação'!D175,'Pré Implantação'!L175,'Pré Implantação'!I175),AVERAGE('Pré Implantação'!I175)),"")</f>
        <v/>
      </c>
      <c r="G175" s="34" t="str">
        <f>IFERROR(IF('Pré Implantação'!B175="CSC",AVERAGE('Pré Implantação'!D175,'Pré Implantação'!L175,'Pré Implantação'!J175),AVERAGE('Pré Implantação'!J175)),"")</f>
        <v/>
      </c>
      <c r="H175" s="34" t="str">
        <f>IFERROR(IF('Pré Implantação'!B175="Operações \ Negócio",AVERAGE('Pré Implantação'!D175,'Pré Implantação'!L175,'Pré Implantação'!K175),AVERAGE('Pré Implantação'!K175)),"")</f>
        <v/>
      </c>
      <c r="I175" s="34" t="str">
        <f>IFERROR(IF('Pré Implantação'!B175="Projetos",AVERAGE('Pré Implantação'!D175,'Pré Implantação'!L175,'Pré Implantação'!M175),AVERAGE('Pré Implantação'!M175)),"")</f>
        <v/>
      </c>
      <c r="J175" s="34" t="str">
        <f>IFERROR(IF('Pré Implantação'!B175="Engenharia",AVERAGE('Pré Implantação'!D175,'Pré Implantação'!L175,'Pré Implantação'!N175),AVERAGE('Pré Implantação'!N175)),"")</f>
        <v/>
      </c>
      <c r="K175" s="34" t="str">
        <f>IFERROR(IF('Pré Implantação'!B175="URA",AVERAGE('Pré Implantação'!D175,'Pré Implantação'!L175),""),"")</f>
        <v/>
      </c>
      <c r="L175" s="34" t="str">
        <f>IFERROR(IF('Pré Implantação'!B175="CSE Microsoft",AVERAGE('Pré Implantação'!D175,'Pré Implantação'!L175),""),"")</f>
        <v/>
      </c>
      <c r="M175" s="34" t="str">
        <f>IFERROR(IF('Pré Implantação'!B175="CSE Telecom",AVERAGE('Pré Implantação'!D175,'Pré Implantação'!L175),""),"")</f>
        <v/>
      </c>
      <c r="N175" s="34" t="str">
        <f>IFERROR(IF('Pré Implantação'!B175="Site Suporte de Campo",AVERAGE('Pré Implantação'!D175,'Pré Implantação'!L175),""),"")</f>
        <v/>
      </c>
      <c r="O175" s="49" t="str">
        <f>IFERROR(IF('Pré Implantação'!B175="Infraestrutura",AVERAGE('Pré Implantação'!D175,'Pré Implantação'!L175),""),"")</f>
        <v/>
      </c>
    </row>
    <row r="176" spans="1:15" x14ac:dyDescent="0.3">
      <c r="A176" s="33">
        <f>'Pré Implantação'!A176</f>
        <v>0</v>
      </c>
      <c r="B176" s="36">
        <f>'Pré Implantação'!C176</f>
        <v>0</v>
      </c>
      <c r="C176" s="34" t="str">
        <f>IFERROR(IF('Pré Implantação'!B176="Produção TI",AVERAGE('Pré Implantação'!D176,'Pré Implantação'!L176,'Pré Implantação'!E176,'Pré Implantação'!H176),AVERAGE('Pré Implantação'!E176,'Pré Implantação'!H176)),"")</f>
        <v/>
      </c>
      <c r="D176" s="34" t="str">
        <f>IFERROR(IF('Pré Implantação'!B176="CSC Service Desk",AVERAGE('Pré Implantação'!D176,'Pré Implantação'!L176,'Pré Implantação'!F176),AVERAGE('Pré Implantação'!F176)),"")</f>
        <v/>
      </c>
      <c r="E176" s="34" t="str">
        <f>IFERROR(IF('Pré Implantação'!B176="CSC NOC",AVERAGE('Pré Implantação'!D176,'Pré Implantação'!L176,'Pré Implantação'!G176),AVERAGE('Pré Implantação'!G176)),"")</f>
        <v/>
      </c>
      <c r="F176" s="34" t="str">
        <f>IFERROR(IF('Pré Implantação'!B176="CSE Gravadores",AVERAGE('Pré Implantação'!D176,'Pré Implantação'!L176,'Pré Implantação'!I176),AVERAGE('Pré Implantação'!I176)),"")</f>
        <v/>
      </c>
      <c r="G176" s="34" t="str">
        <f>IFERROR(IF('Pré Implantação'!B176="CSC",AVERAGE('Pré Implantação'!D176,'Pré Implantação'!L176,'Pré Implantação'!J176),AVERAGE('Pré Implantação'!J176)),"")</f>
        <v/>
      </c>
      <c r="H176" s="34" t="str">
        <f>IFERROR(IF('Pré Implantação'!B176="Operações \ Negócio",AVERAGE('Pré Implantação'!D176,'Pré Implantação'!L176,'Pré Implantação'!K176),AVERAGE('Pré Implantação'!K176)),"")</f>
        <v/>
      </c>
      <c r="I176" s="34" t="str">
        <f>IFERROR(IF('Pré Implantação'!B176="Projetos",AVERAGE('Pré Implantação'!D176,'Pré Implantação'!L176,'Pré Implantação'!M176),AVERAGE('Pré Implantação'!M176)),"")</f>
        <v/>
      </c>
      <c r="J176" s="34" t="str">
        <f>IFERROR(IF('Pré Implantação'!B176="Engenharia",AVERAGE('Pré Implantação'!D176,'Pré Implantação'!L176,'Pré Implantação'!N176),AVERAGE('Pré Implantação'!N176)),"")</f>
        <v/>
      </c>
      <c r="K176" s="34" t="str">
        <f>IFERROR(IF('Pré Implantação'!B176="URA",AVERAGE('Pré Implantação'!D176,'Pré Implantação'!L176),""),"")</f>
        <v/>
      </c>
      <c r="L176" s="34" t="str">
        <f>IFERROR(IF('Pré Implantação'!B176="CSE Microsoft",AVERAGE('Pré Implantação'!D176,'Pré Implantação'!L176),""),"")</f>
        <v/>
      </c>
      <c r="M176" s="34" t="str">
        <f>IFERROR(IF('Pré Implantação'!B176="CSE Telecom",AVERAGE('Pré Implantação'!D176,'Pré Implantação'!L176),""),"")</f>
        <v/>
      </c>
      <c r="N176" s="34" t="str">
        <f>IFERROR(IF('Pré Implantação'!B176="Site Suporte de Campo",AVERAGE('Pré Implantação'!D176,'Pré Implantação'!L176),""),"")</f>
        <v/>
      </c>
      <c r="O176" s="49" t="str">
        <f>IFERROR(IF('Pré Implantação'!B176="Infraestrutura",AVERAGE('Pré Implantação'!D176,'Pré Implantação'!L176),""),"")</f>
        <v/>
      </c>
    </row>
    <row r="177" spans="1:15" x14ac:dyDescent="0.3">
      <c r="A177" s="33">
        <f>'Pré Implantação'!A177</f>
        <v>0</v>
      </c>
      <c r="B177" s="36">
        <f>'Pré Implantação'!C177</f>
        <v>0</v>
      </c>
      <c r="C177" s="34" t="str">
        <f>IFERROR(IF('Pré Implantação'!B177="Produção TI",AVERAGE('Pré Implantação'!D177,'Pré Implantação'!L177,'Pré Implantação'!E177,'Pré Implantação'!H177),AVERAGE('Pré Implantação'!E177,'Pré Implantação'!H177)),"")</f>
        <v/>
      </c>
      <c r="D177" s="34" t="str">
        <f>IFERROR(IF('Pré Implantação'!B177="CSC Service Desk",AVERAGE('Pré Implantação'!D177,'Pré Implantação'!L177,'Pré Implantação'!F177),AVERAGE('Pré Implantação'!F177)),"")</f>
        <v/>
      </c>
      <c r="E177" s="34" t="str">
        <f>IFERROR(IF('Pré Implantação'!B177="CSC NOC",AVERAGE('Pré Implantação'!D177,'Pré Implantação'!L177,'Pré Implantação'!G177),AVERAGE('Pré Implantação'!G177)),"")</f>
        <v/>
      </c>
      <c r="F177" s="34" t="str">
        <f>IFERROR(IF('Pré Implantação'!B177="CSE Gravadores",AVERAGE('Pré Implantação'!D177,'Pré Implantação'!L177,'Pré Implantação'!I177),AVERAGE('Pré Implantação'!I177)),"")</f>
        <v/>
      </c>
      <c r="G177" s="34" t="str">
        <f>IFERROR(IF('Pré Implantação'!B177="CSC",AVERAGE('Pré Implantação'!D177,'Pré Implantação'!L177,'Pré Implantação'!J177),AVERAGE('Pré Implantação'!J177)),"")</f>
        <v/>
      </c>
      <c r="H177" s="34" t="str">
        <f>IFERROR(IF('Pré Implantação'!B177="Operações \ Negócio",AVERAGE('Pré Implantação'!D177,'Pré Implantação'!L177,'Pré Implantação'!K177),AVERAGE('Pré Implantação'!K177)),"")</f>
        <v/>
      </c>
      <c r="I177" s="34" t="str">
        <f>IFERROR(IF('Pré Implantação'!B177="Projetos",AVERAGE('Pré Implantação'!D177,'Pré Implantação'!L177,'Pré Implantação'!M177),AVERAGE('Pré Implantação'!M177)),"")</f>
        <v/>
      </c>
      <c r="J177" s="34" t="str">
        <f>IFERROR(IF('Pré Implantação'!B177="Engenharia",AVERAGE('Pré Implantação'!D177,'Pré Implantação'!L177,'Pré Implantação'!N177),AVERAGE('Pré Implantação'!N177)),"")</f>
        <v/>
      </c>
      <c r="K177" s="34" t="str">
        <f>IFERROR(IF('Pré Implantação'!B177="URA",AVERAGE('Pré Implantação'!D177,'Pré Implantação'!L177),""),"")</f>
        <v/>
      </c>
      <c r="L177" s="34" t="str">
        <f>IFERROR(IF('Pré Implantação'!B177="CSE Microsoft",AVERAGE('Pré Implantação'!D177,'Pré Implantação'!L177),""),"")</f>
        <v/>
      </c>
      <c r="M177" s="34" t="str">
        <f>IFERROR(IF('Pré Implantação'!B177="CSE Telecom",AVERAGE('Pré Implantação'!D177,'Pré Implantação'!L177),""),"")</f>
        <v/>
      </c>
      <c r="N177" s="34" t="str">
        <f>IFERROR(IF('Pré Implantação'!B177="Site Suporte de Campo",AVERAGE('Pré Implantação'!D177,'Pré Implantação'!L177),""),"")</f>
        <v/>
      </c>
      <c r="O177" s="49" t="str">
        <f>IFERROR(IF('Pré Implantação'!B177="Infraestrutura",AVERAGE('Pré Implantação'!D177,'Pré Implantação'!L177),""),"")</f>
        <v/>
      </c>
    </row>
    <row r="178" spans="1:15" x14ac:dyDescent="0.3">
      <c r="A178" s="33">
        <f>'Pré Implantação'!A178</f>
        <v>0</v>
      </c>
      <c r="B178" s="36">
        <f>'Pré Implantação'!C178</f>
        <v>0</v>
      </c>
      <c r="C178" s="34" t="str">
        <f>IFERROR(IF('Pré Implantação'!B178="Produção TI",AVERAGE('Pré Implantação'!D178,'Pré Implantação'!L178,'Pré Implantação'!E178,'Pré Implantação'!H178),AVERAGE('Pré Implantação'!E178,'Pré Implantação'!H178)),"")</f>
        <v/>
      </c>
      <c r="D178" s="34" t="str">
        <f>IFERROR(IF('Pré Implantação'!B178="CSC Service Desk",AVERAGE('Pré Implantação'!D178,'Pré Implantação'!L178,'Pré Implantação'!F178),AVERAGE('Pré Implantação'!F178)),"")</f>
        <v/>
      </c>
      <c r="E178" s="34" t="str">
        <f>IFERROR(IF('Pré Implantação'!B178="CSC NOC",AVERAGE('Pré Implantação'!D178,'Pré Implantação'!L178,'Pré Implantação'!G178),AVERAGE('Pré Implantação'!G178)),"")</f>
        <v/>
      </c>
      <c r="F178" s="34" t="str">
        <f>IFERROR(IF('Pré Implantação'!B178="CSE Gravadores",AVERAGE('Pré Implantação'!D178,'Pré Implantação'!L178,'Pré Implantação'!I178),AVERAGE('Pré Implantação'!I178)),"")</f>
        <v/>
      </c>
      <c r="G178" s="34" t="str">
        <f>IFERROR(IF('Pré Implantação'!B178="CSC",AVERAGE('Pré Implantação'!D178,'Pré Implantação'!L178,'Pré Implantação'!J178),AVERAGE('Pré Implantação'!J178)),"")</f>
        <v/>
      </c>
      <c r="H178" s="34" t="str">
        <f>IFERROR(IF('Pré Implantação'!B178="Operações \ Negócio",AVERAGE('Pré Implantação'!D178,'Pré Implantação'!L178,'Pré Implantação'!K178),AVERAGE('Pré Implantação'!K178)),"")</f>
        <v/>
      </c>
      <c r="I178" s="34" t="str">
        <f>IFERROR(IF('Pré Implantação'!B178="Projetos",AVERAGE('Pré Implantação'!D178,'Pré Implantação'!L178,'Pré Implantação'!M178),AVERAGE('Pré Implantação'!M178)),"")</f>
        <v/>
      </c>
      <c r="J178" s="34" t="str">
        <f>IFERROR(IF('Pré Implantação'!B178="Engenharia",AVERAGE('Pré Implantação'!D178,'Pré Implantação'!L178,'Pré Implantação'!N178),AVERAGE('Pré Implantação'!N178)),"")</f>
        <v/>
      </c>
      <c r="K178" s="34" t="str">
        <f>IFERROR(IF('Pré Implantação'!B178="URA",AVERAGE('Pré Implantação'!D178,'Pré Implantação'!L178),""),"")</f>
        <v/>
      </c>
      <c r="L178" s="34" t="str">
        <f>IFERROR(IF('Pré Implantação'!B178="CSE Microsoft",AVERAGE('Pré Implantação'!D178,'Pré Implantação'!L178),""),"")</f>
        <v/>
      </c>
      <c r="M178" s="34" t="str">
        <f>IFERROR(IF('Pré Implantação'!B178="CSE Telecom",AVERAGE('Pré Implantação'!D178,'Pré Implantação'!L178),""),"")</f>
        <v/>
      </c>
      <c r="N178" s="34" t="str">
        <f>IFERROR(IF('Pré Implantação'!B178="Site Suporte de Campo",AVERAGE('Pré Implantação'!D178,'Pré Implantação'!L178),""),"")</f>
        <v/>
      </c>
      <c r="O178" s="49" t="str">
        <f>IFERROR(IF('Pré Implantação'!B178="Infraestrutura",AVERAGE('Pré Implantação'!D178,'Pré Implantação'!L178),""),"")</f>
        <v/>
      </c>
    </row>
    <row r="179" spans="1:15" x14ac:dyDescent="0.3">
      <c r="A179" s="33">
        <f>'Pré Implantação'!A179</f>
        <v>0</v>
      </c>
      <c r="B179" s="36">
        <f>'Pré Implantação'!C179</f>
        <v>0</v>
      </c>
      <c r="C179" s="34" t="str">
        <f>IFERROR(IF('Pré Implantação'!B179="Produção TI",AVERAGE('Pré Implantação'!D179,'Pré Implantação'!L179,'Pré Implantação'!E179,'Pré Implantação'!H179),AVERAGE('Pré Implantação'!E179,'Pré Implantação'!H179)),"")</f>
        <v/>
      </c>
      <c r="D179" s="34" t="str">
        <f>IFERROR(IF('Pré Implantação'!B179="CSC Service Desk",AVERAGE('Pré Implantação'!D179,'Pré Implantação'!L179,'Pré Implantação'!F179),AVERAGE('Pré Implantação'!F179)),"")</f>
        <v/>
      </c>
      <c r="E179" s="34" t="str">
        <f>IFERROR(IF('Pré Implantação'!B179="CSC NOC",AVERAGE('Pré Implantação'!D179,'Pré Implantação'!L179,'Pré Implantação'!G179),AVERAGE('Pré Implantação'!G179)),"")</f>
        <v/>
      </c>
      <c r="F179" s="34" t="str">
        <f>IFERROR(IF('Pré Implantação'!B179="CSE Gravadores",AVERAGE('Pré Implantação'!D179,'Pré Implantação'!L179,'Pré Implantação'!I179),AVERAGE('Pré Implantação'!I179)),"")</f>
        <v/>
      </c>
      <c r="G179" s="34" t="str">
        <f>IFERROR(IF('Pré Implantação'!B179="CSC",AVERAGE('Pré Implantação'!D179,'Pré Implantação'!L179,'Pré Implantação'!J179),AVERAGE('Pré Implantação'!J179)),"")</f>
        <v/>
      </c>
      <c r="H179" s="34" t="str">
        <f>IFERROR(IF('Pré Implantação'!B179="Operações \ Negócio",AVERAGE('Pré Implantação'!D179,'Pré Implantação'!L179,'Pré Implantação'!K179),AVERAGE('Pré Implantação'!K179)),"")</f>
        <v/>
      </c>
      <c r="I179" s="34" t="str">
        <f>IFERROR(IF('Pré Implantação'!B179="Projetos",AVERAGE('Pré Implantação'!D179,'Pré Implantação'!L179,'Pré Implantação'!M179),AVERAGE('Pré Implantação'!M179)),"")</f>
        <v/>
      </c>
      <c r="J179" s="34" t="str">
        <f>IFERROR(IF('Pré Implantação'!B179="Engenharia",AVERAGE('Pré Implantação'!D179,'Pré Implantação'!L179,'Pré Implantação'!N179),AVERAGE('Pré Implantação'!N179)),"")</f>
        <v/>
      </c>
      <c r="K179" s="34" t="str">
        <f>IFERROR(IF('Pré Implantação'!B179="URA",AVERAGE('Pré Implantação'!D179,'Pré Implantação'!L179),""),"")</f>
        <v/>
      </c>
      <c r="L179" s="34" t="str">
        <f>IFERROR(IF('Pré Implantação'!B179="CSE Microsoft",AVERAGE('Pré Implantação'!D179,'Pré Implantação'!L179),""),"")</f>
        <v/>
      </c>
      <c r="M179" s="34" t="str">
        <f>IFERROR(IF('Pré Implantação'!B179="CSE Telecom",AVERAGE('Pré Implantação'!D179,'Pré Implantação'!L179),""),"")</f>
        <v/>
      </c>
      <c r="N179" s="34" t="str">
        <f>IFERROR(IF('Pré Implantação'!B179="Site Suporte de Campo",AVERAGE('Pré Implantação'!D179,'Pré Implantação'!L179),""),"")</f>
        <v/>
      </c>
      <c r="O179" s="49" t="str">
        <f>IFERROR(IF('Pré Implantação'!B179="Infraestrutura",AVERAGE('Pré Implantação'!D179,'Pré Implantação'!L179),""),"")</f>
        <v/>
      </c>
    </row>
    <row r="180" spans="1:15" x14ac:dyDescent="0.3">
      <c r="A180" s="33">
        <f>'Pré Implantação'!A180</f>
        <v>0</v>
      </c>
      <c r="B180" s="36">
        <f>'Pré Implantação'!C180</f>
        <v>0</v>
      </c>
      <c r="C180" s="34" t="str">
        <f>IFERROR(IF('Pré Implantação'!B180="Produção TI",AVERAGE('Pré Implantação'!D180,'Pré Implantação'!L180,'Pré Implantação'!E180,'Pré Implantação'!H180),AVERAGE('Pré Implantação'!E180,'Pré Implantação'!H180)),"")</f>
        <v/>
      </c>
      <c r="D180" s="34" t="str">
        <f>IFERROR(IF('Pré Implantação'!B180="CSC Service Desk",AVERAGE('Pré Implantação'!D180,'Pré Implantação'!L180,'Pré Implantação'!F180),AVERAGE('Pré Implantação'!F180)),"")</f>
        <v/>
      </c>
      <c r="E180" s="34" t="str">
        <f>IFERROR(IF('Pré Implantação'!B180="CSC NOC",AVERAGE('Pré Implantação'!D180,'Pré Implantação'!L180,'Pré Implantação'!G180),AVERAGE('Pré Implantação'!G180)),"")</f>
        <v/>
      </c>
      <c r="F180" s="34" t="str">
        <f>IFERROR(IF('Pré Implantação'!B180="CSE Gravadores",AVERAGE('Pré Implantação'!D180,'Pré Implantação'!L180,'Pré Implantação'!I180),AVERAGE('Pré Implantação'!I180)),"")</f>
        <v/>
      </c>
      <c r="G180" s="34" t="str">
        <f>IFERROR(IF('Pré Implantação'!B180="CSC",AVERAGE('Pré Implantação'!D180,'Pré Implantação'!L180,'Pré Implantação'!J180),AVERAGE('Pré Implantação'!J180)),"")</f>
        <v/>
      </c>
      <c r="H180" s="34" t="str">
        <f>IFERROR(IF('Pré Implantação'!B180="Operações \ Negócio",AVERAGE('Pré Implantação'!D180,'Pré Implantação'!L180,'Pré Implantação'!K180),AVERAGE('Pré Implantação'!K180)),"")</f>
        <v/>
      </c>
      <c r="I180" s="34" t="str">
        <f>IFERROR(IF('Pré Implantação'!B180="Projetos",AVERAGE('Pré Implantação'!D180,'Pré Implantação'!L180,'Pré Implantação'!M180),AVERAGE('Pré Implantação'!M180)),"")</f>
        <v/>
      </c>
      <c r="J180" s="34" t="str">
        <f>IFERROR(IF('Pré Implantação'!B180="Engenharia",AVERAGE('Pré Implantação'!D180,'Pré Implantação'!L180,'Pré Implantação'!N180),AVERAGE('Pré Implantação'!N180)),"")</f>
        <v/>
      </c>
      <c r="K180" s="34" t="str">
        <f>IFERROR(IF('Pré Implantação'!B180="URA",AVERAGE('Pré Implantação'!D180,'Pré Implantação'!L180),""),"")</f>
        <v/>
      </c>
      <c r="L180" s="34" t="str">
        <f>IFERROR(IF('Pré Implantação'!B180="CSE Microsoft",AVERAGE('Pré Implantação'!D180,'Pré Implantação'!L180),""),"")</f>
        <v/>
      </c>
      <c r="M180" s="34" t="str">
        <f>IFERROR(IF('Pré Implantação'!B180="CSE Telecom",AVERAGE('Pré Implantação'!D180,'Pré Implantação'!L180),""),"")</f>
        <v/>
      </c>
      <c r="N180" s="34" t="str">
        <f>IFERROR(IF('Pré Implantação'!B180="Site Suporte de Campo",AVERAGE('Pré Implantação'!D180,'Pré Implantação'!L180),""),"")</f>
        <v/>
      </c>
      <c r="O180" s="49" t="str">
        <f>IFERROR(IF('Pré Implantação'!B180="Infraestrutura",AVERAGE('Pré Implantação'!D180,'Pré Implantação'!L180),""),"")</f>
        <v/>
      </c>
    </row>
    <row r="181" spans="1:15" x14ac:dyDescent="0.3">
      <c r="A181" s="33">
        <f>'Pré Implantação'!A181</f>
        <v>0</v>
      </c>
      <c r="B181" s="36">
        <f>'Pré Implantação'!C181</f>
        <v>0</v>
      </c>
      <c r="C181" s="34" t="str">
        <f>IFERROR(IF('Pré Implantação'!B181="Produção TI",AVERAGE('Pré Implantação'!D181,'Pré Implantação'!L181,'Pré Implantação'!E181,'Pré Implantação'!H181),AVERAGE('Pré Implantação'!E181,'Pré Implantação'!H181)),"")</f>
        <v/>
      </c>
      <c r="D181" s="34" t="str">
        <f>IFERROR(IF('Pré Implantação'!B181="CSC Service Desk",AVERAGE('Pré Implantação'!D181,'Pré Implantação'!L181,'Pré Implantação'!F181),AVERAGE('Pré Implantação'!F181)),"")</f>
        <v/>
      </c>
      <c r="E181" s="34" t="str">
        <f>IFERROR(IF('Pré Implantação'!B181="CSC NOC",AVERAGE('Pré Implantação'!D181,'Pré Implantação'!L181,'Pré Implantação'!G181),AVERAGE('Pré Implantação'!G181)),"")</f>
        <v/>
      </c>
      <c r="F181" s="34" t="str">
        <f>IFERROR(IF('Pré Implantação'!B181="CSE Gravadores",AVERAGE('Pré Implantação'!D181,'Pré Implantação'!L181,'Pré Implantação'!I181),AVERAGE('Pré Implantação'!I181)),"")</f>
        <v/>
      </c>
      <c r="G181" s="34" t="str">
        <f>IFERROR(IF('Pré Implantação'!B181="CSC",AVERAGE('Pré Implantação'!D181,'Pré Implantação'!L181,'Pré Implantação'!J181),AVERAGE('Pré Implantação'!J181)),"")</f>
        <v/>
      </c>
      <c r="H181" s="34" t="str">
        <f>IFERROR(IF('Pré Implantação'!B181="Operações \ Negócio",AVERAGE('Pré Implantação'!D181,'Pré Implantação'!L181,'Pré Implantação'!K181),AVERAGE('Pré Implantação'!K181)),"")</f>
        <v/>
      </c>
      <c r="I181" s="34" t="str">
        <f>IFERROR(IF('Pré Implantação'!B181="Projetos",AVERAGE('Pré Implantação'!D181,'Pré Implantação'!L181,'Pré Implantação'!M181),AVERAGE('Pré Implantação'!M181)),"")</f>
        <v/>
      </c>
      <c r="J181" s="34" t="str">
        <f>IFERROR(IF('Pré Implantação'!B181="Engenharia",AVERAGE('Pré Implantação'!D181,'Pré Implantação'!L181,'Pré Implantação'!N181),AVERAGE('Pré Implantação'!N181)),"")</f>
        <v/>
      </c>
      <c r="K181" s="34" t="str">
        <f>IFERROR(IF('Pré Implantação'!B181="URA",AVERAGE('Pré Implantação'!D181,'Pré Implantação'!L181),""),"")</f>
        <v/>
      </c>
      <c r="L181" s="34" t="str">
        <f>IFERROR(IF('Pré Implantação'!B181="CSE Microsoft",AVERAGE('Pré Implantação'!D181,'Pré Implantação'!L181),""),"")</f>
        <v/>
      </c>
      <c r="M181" s="34" t="str">
        <f>IFERROR(IF('Pré Implantação'!B181="CSE Telecom",AVERAGE('Pré Implantação'!D181,'Pré Implantação'!L181),""),"")</f>
        <v/>
      </c>
      <c r="N181" s="34" t="str">
        <f>IFERROR(IF('Pré Implantação'!B181="Site Suporte de Campo",AVERAGE('Pré Implantação'!D181,'Pré Implantação'!L181),""),"")</f>
        <v/>
      </c>
      <c r="O181" s="49" t="str">
        <f>IFERROR(IF('Pré Implantação'!B181="Infraestrutura",AVERAGE('Pré Implantação'!D181,'Pré Implantação'!L181),""),"")</f>
        <v/>
      </c>
    </row>
    <row r="182" spans="1:15" x14ac:dyDescent="0.3">
      <c r="A182" s="33">
        <f>'Pré Implantação'!A182</f>
        <v>0</v>
      </c>
      <c r="B182" s="36">
        <f>'Pré Implantação'!C182</f>
        <v>0</v>
      </c>
      <c r="C182" s="34" t="str">
        <f>IFERROR(IF('Pré Implantação'!B182="Produção TI",AVERAGE('Pré Implantação'!D182,'Pré Implantação'!L182,'Pré Implantação'!E182,'Pré Implantação'!H182),AVERAGE('Pré Implantação'!E182,'Pré Implantação'!H182)),"")</f>
        <v/>
      </c>
      <c r="D182" s="34" t="str">
        <f>IFERROR(IF('Pré Implantação'!B182="CSC Service Desk",AVERAGE('Pré Implantação'!D182,'Pré Implantação'!L182,'Pré Implantação'!F182),AVERAGE('Pré Implantação'!F182)),"")</f>
        <v/>
      </c>
      <c r="E182" s="34" t="str">
        <f>IFERROR(IF('Pré Implantação'!B182="CSC NOC",AVERAGE('Pré Implantação'!D182,'Pré Implantação'!L182,'Pré Implantação'!G182),AVERAGE('Pré Implantação'!G182)),"")</f>
        <v/>
      </c>
      <c r="F182" s="34" t="str">
        <f>IFERROR(IF('Pré Implantação'!B182="CSE Gravadores",AVERAGE('Pré Implantação'!D182,'Pré Implantação'!L182,'Pré Implantação'!I182),AVERAGE('Pré Implantação'!I182)),"")</f>
        <v/>
      </c>
      <c r="G182" s="34" t="str">
        <f>IFERROR(IF('Pré Implantação'!B182="CSC",AVERAGE('Pré Implantação'!D182,'Pré Implantação'!L182,'Pré Implantação'!J182),AVERAGE('Pré Implantação'!J182)),"")</f>
        <v/>
      </c>
      <c r="H182" s="34" t="str">
        <f>IFERROR(IF('Pré Implantação'!B182="Operações \ Negócio",AVERAGE('Pré Implantação'!D182,'Pré Implantação'!L182,'Pré Implantação'!K182),AVERAGE('Pré Implantação'!K182)),"")</f>
        <v/>
      </c>
      <c r="I182" s="34" t="str">
        <f>IFERROR(IF('Pré Implantação'!B182="Projetos",AVERAGE('Pré Implantação'!D182,'Pré Implantação'!L182,'Pré Implantação'!M182),AVERAGE('Pré Implantação'!M182)),"")</f>
        <v/>
      </c>
      <c r="J182" s="34" t="str">
        <f>IFERROR(IF('Pré Implantação'!B182="Engenharia",AVERAGE('Pré Implantação'!D182,'Pré Implantação'!L182,'Pré Implantação'!N182),AVERAGE('Pré Implantação'!N182)),"")</f>
        <v/>
      </c>
      <c r="K182" s="34" t="str">
        <f>IFERROR(IF('Pré Implantação'!B182="URA",AVERAGE('Pré Implantação'!D182,'Pré Implantação'!L182),""),"")</f>
        <v/>
      </c>
      <c r="L182" s="34" t="str">
        <f>IFERROR(IF('Pré Implantação'!B182="CSE Microsoft",AVERAGE('Pré Implantação'!D182,'Pré Implantação'!L182),""),"")</f>
        <v/>
      </c>
      <c r="M182" s="34" t="str">
        <f>IFERROR(IF('Pré Implantação'!B182="CSE Telecom",AVERAGE('Pré Implantação'!D182,'Pré Implantação'!L182),""),"")</f>
        <v/>
      </c>
      <c r="N182" s="34" t="str">
        <f>IFERROR(IF('Pré Implantação'!B182="Site Suporte de Campo",AVERAGE('Pré Implantação'!D182,'Pré Implantação'!L182),""),"")</f>
        <v/>
      </c>
      <c r="O182" s="49" t="str">
        <f>IFERROR(IF('Pré Implantação'!B182="Infraestrutura",AVERAGE('Pré Implantação'!D182,'Pré Implantação'!L182),""),"")</f>
        <v/>
      </c>
    </row>
    <row r="183" spans="1:15" x14ac:dyDescent="0.3">
      <c r="A183" s="33">
        <f>'Pré Implantação'!A183</f>
        <v>0</v>
      </c>
      <c r="B183" s="36">
        <f>'Pré Implantação'!C183</f>
        <v>0</v>
      </c>
      <c r="C183" s="34" t="str">
        <f>IFERROR(IF('Pré Implantação'!B183="Produção TI",AVERAGE('Pré Implantação'!D183,'Pré Implantação'!L183,'Pré Implantação'!E183,'Pré Implantação'!H183),AVERAGE('Pré Implantação'!E183,'Pré Implantação'!H183)),"")</f>
        <v/>
      </c>
      <c r="D183" s="34" t="str">
        <f>IFERROR(IF('Pré Implantação'!B183="CSC Service Desk",AVERAGE('Pré Implantação'!D183,'Pré Implantação'!L183,'Pré Implantação'!F183),AVERAGE('Pré Implantação'!F183)),"")</f>
        <v/>
      </c>
      <c r="E183" s="34" t="str">
        <f>IFERROR(IF('Pré Implantação'!B183="CSC NOC",AVERAGE('Pré Implantação'!D183,'Pré Implantação'!L183,'Pré Implantação'!G183),AVERAGE('Pré Implantação'!G183)),"")</f>
        <v/>
      </c>
      <c r="F183" s="34" t="str">
        <f>IFERROR(IF('Pré Implantação'!B183="CSE Gravadores",AVERAGE('Pré Implantação'!D183,'Pré Implantação'!L183,'Pré Implantação'!I183),AVERAGE('Pré Implantação'!I183)),"")</f>
        <v/>
      </c>
      <c r="G183" s="34" t="str">
        <f>IFERROR(IF('Pré Implantação'!B183="CSC",AVERAGE('Pré Implantação'!D183,'Pré Implantação'!L183,'Pré Implantação'!J183),AVERAGE('Pré Implantação'!J183)),"")</f>
        <v/>
      </c>
      <c r="H183" s="34" t="str">
        <f>IFERROR(IF('Pré Implantação'!B183="Operações \ Negócio",AVERAGE('Pré Implantação'!D183,'Pré Implantação'!L183,'Pré Implantação'!K183),AVERAGE('Pré Implantação'!K183)),"")</f>
        <v/>
      </c>
      <c r="I183" s="34" t="str">
        <f>IFERROR(IF('Pré Implantação'!B183="Projetos",AVERAGE('Pré Implantação'!D183,'Pré Implantação'!L183,'Pré Implantação'!M183),AVERAGE('Pré Implantação'!M183)),"")</f>
        <v/>
      </c>
      <c r="J183" s="34" t="str">
        <f>IFERROR(IF('Pré Implantação'!B183="Engenharia",AVERAGE('Pré Implantação'!D183,'Pré Implantação'!L183,'Pré Implantação'!N183),AVERAGE('Pré Implantação'!N183)),"")</f>
        <v/>
      </c>
      <c r="K183" s="34" t="str">
        <f>IFERROR(IF('Pré Implantação'!B183="URA",AVERAGE('Pré Implantação'!D183,'Pré Implantação'!L183),""),"")</f>
        <v/>
      </c>
      <c r="L183" s="34" t="str">
        <f>IFERROR(IF('Pré Implantação'!B183="CSE Microsoft",AVERAGE('Pré Implantação'!D183,'Pré Implantação'!L183),""),"")</f>
        <v/>
      </c>
      <c r="M183" s="34" t="str">
        <f>IFERROR(IF('Pré Implantação'!B183="CSE Telecom",AVERAGE('Pré Implantação'!D183,'Pré Implantação'!L183),""),"")</f>
        <v/>
      </c>
      <c r="N183" s="34" t="str">
        <f>IFERROR(IF('Pré Implantação'!B183="Site Suporte de Campo",AVERAGE('Pré Implantação'!D183,'Pré Implantação'!L183),""),"")</f>
        <v/>
      </c>
      <c r="O183" s="49" t="str">
        <f>IFERROR(IF('Pré Implantação'!B183="Infraestrutura",AVERAGE('Pré Implantação'!D183,'Pré Implantação'!L183),""),"")</f>
        <v/>
      </c>
    </row>
    <row r="184" spans="1:15" x14ac:dyDescent="0.3">
      <c r="A184" s="33">
        <f>'Pré Implantação'!A184</f>
        <v>0</v>
      </c>
      <c r="B184" s="36">
        <f>'Pré Implantação'!C184</f>
        <v>0</v>
      </c>
      <c r="C184" s="34" t="str">
        <f>IFERROR(IF('Pré Implantação'!B184="Produção TI",AVERAGE('Pré Implantação'!D184,'Pré Implantação'!L184,'Pré Implantação'!E184,'Pré Implantação'!H184),AVERAGE('Pré Implantação'!E184,'Pré Implantação'!H184)),"")</f>
        <v/>
      </c>
      <c r="D184" s="34" t="str">
        <f>IFERROR(IF('Pré Implantação'!B184="CSC Service Desk",AVERAGE('Pré Implantação'!D184,'Pré Implantação'!L184,'Pré Implantação'!F184),AVERAGE('Pré Implantação'!F184)),"")</f>
        <v/>
      </c>
      <c r="E184" s="34" t="str">
        <f>IFERROR(IF('Pré Implantação'!B184="CSC NOC",AVERAGE('Pré Implantação'!D184,'Pré Implantação'!L184,'Pré Implantação'!G184),AVERAGE('Pré Implantação'!G184)),"")</f>
        <v/>
      </c>
      <c r="F184" s="34" t="str">
        <f>IFERROR(IF('Pré Implantação'!B184="CSE Gravadores",AVERAGE('Pré Implantação'!D184,'Pré Implantação'!L184,'Pré Implantação'!I184),AVERAGE('Pré Implantação'!I184)),"")</f>
        <v/>
      </c>
      <c r="G184" s="34" t="str">
        <f>IFERROR(IF('Pré Implantação'!B184="CSC",AVERAGE('Pré Implantação'!D184,'Pré Implantação'!L184,'Pré Implantação'!J184),AVERAGE('Pré Implantação'!J184)),"")</f>
        <v/>
      </c>
      <c r="H184" s="34" t="str">
        <f>IFERROR(IF('Pré Implantação'!B184="Operações \ Negócio",AVERAGE('Pré Implantação'!D184,'Pré Implantação'!L184,'Pré Implantação'!K184),AVERAGE('Pré Implantação'!K184)),"")</f>
        <v/>
      </c>
      <c r="I184" s="34" t="str">
        <f>IFERROR(IF('Pré Implantação'!B184="Projetos",AVERAGE('Pré Implantação'!D184,'Pré Implantação'!L184,'Pré Implantação'!M184),AVERAGE('Pré Implantação'!M184)),"")</f>
        <v/>
      </c>
      <c r="J184" s="34" t="str">
        <f>IFERROR(IF('Pré Implantação'!B184="Engenharia",AVERAGE('Pré Implantação'!D184,'Pré Implantação'!L184,'Pré Implantação'!N184),AVERAGE('Pré Implantação'!N184)),"")</f>
        <v/>
      </c>
      <c r="K184" s="34" t="str">
        <f>IFERROR(IF('Pré Implantação'!B184="URA",AVERAGE('Pré Implantação'!D184,'Pré Implantação'!L184),""),"")</f>
        <v/>
      </c>
      <c r="L184" s="34" t="str">
        <f>IFERROR(IF('Pré Implantação'!B184="CSE Microsoft",AVERAGE('Pré Implantação'!D184,'Pré Implantação'!L184),""),"")</f>
        <v/>
      </c>
      <c r="M184" s="34" t="str">
        <f>IFERROR(IF('Pré Implantação'!B184="CSE Telecom",AVERAGE('Pré Implantação'!D184,'Pré Implantação'!L184),""),"")</f>
        <v/>
      </c>
      <c r="N184" s="34" t="str">
        <f>IFERROR(IF('Pré Implantação'!B184="Site Suporte de Campo",AVERAGE('Pré Implantação'!D184,'Pré Implantação'!L184),""),"")</f>
        <v/>
      </c>
      <c r="O184" s="49" t="str">
        <f>IFERROR(IF('Pré Implantação'!B184="Infraestrutura",AVERAGE('Pré Implantação'!D184,'Pré Implantação'!L184),""),"")</f>
        <v/>
      </c>
    </row>
    <row r="185" spans="1:15" x14ac:dyDescent="0.3">
      <c r="A185" s="33">
        <f>'Pré Implantação'!A185</f>
        <v>0</v>
      </c>
      <c r="B185" s="36">
        <f>'Pré Implantação'!C185</f>
        <v>0</v>
      </c>
      <c r="C185" s="34" t="str">
        <f>IFERROR(IF('Pré Implantação'!B185="Produção TI",AVERAGE('Pré Implantação'!D185,'Pré Implantação'!L185,'Pré Implantação'!E185,'Pré Implantação'!H185),AVERAGE('Pré Implantação'!E185,'Pré Implantação'!H185)),"")</f>
        <v/>
      </c>
      <c r="D185" s="34" t="str">
        <f>IFERROR(IF('Pré Implantação'!B185="CSC Service Desk",AVERAGE('Pré Implantação'!D185,'Pré Implantação'!L185,'Pré Implantação'!F185),AVERAGE('Pré Implantação'!F185)),"")</f>
        <v/>
      </c>
      <c r="E185" s="34" t="str">
        <f>IFERROR(IF('Pré Implantação'!B185="CSC NOC",AVERAGE('Pré Implantação'!D185,'Pré Implantação'!L185,'Pré Implantação'!G185),AVERAGE('Pré Implantação'!G185)),"")</f>
        <v/>
      </c>
      <c r="F185" s="34" t="str">
        <f>IFERROR(IF('Pré Implantação'!B185="CSE Gravadores",AVERAGE('Pré Implantação'!D185,'Pré Implantação'!L185,'Pré Implantação'!I185),AVERAGE('Pré Implantação'!I185)),"")</f>
        <v/>
      </c>
      <c r="G185" s="34" t="str">
        <f>IFERROR(IF('Pré Implantação'!B185="CSC",AVERAGE('Pré Implantação'!D185,'Pré Implantação'!L185,'Pré Implantação'!J185),AVERAGE('Pré Implantação'!J185)),"")</f>
        <v/>
      </c>
      <c r="H185" s="34" t="str">
        <f>IFERROR(IF('Pré Implantação'!B185="Operações \ Negócio",AVERAGE('Pré Implantação'!D185,'Pré Implantação'!L185,'Pré Implantação'!K185),AVERAGE('Pré Implantação'!K185)),"")</f>
        <v/>
      </c>
      <c r="I185" s="34" t="str">
        <f>IFERROR(IF('Pré Implantação'!B185="Projetos",AVERAGE('Pré Implantação'!D185,'Pré Implantação'!L185,'Pré Implantação'!M185),AVERAGE('Pré Implantação'!M185)),"")</f>
        <v/>
      </c>
      <c r="J185" s="34" t="str">
        <f>IFERROR(IF('Pré Implantação'!B185="Engenharia",AVERAGE('Pré Implantação'!D185,'Pré Implantação'!L185,'Pré Implantação'!N185),AVERAGE('Pré Implantação'!N185)),"")</f>
        <v/>
      </c>
      <c r="K185" s="34" t="str">
        <f>IFERROR(IF('Pré Implantação'!B185="URA",AVERAGE('Pré Implantação'!D185,'Pré Implantação'!L185),""),"")</f>
        <v/>
      </c>
      <c r="L185" s="34" t="str">
        <f>IFERROR(IF('Pré Implantação'!B185="CSE Microsoft",AVERAGE('Pré Implantação'!D185,'Pré Implantação'!L185),""),"")</f>
        <v/>
      </c>
      <c r="M185" s="34" t="str">
        <f>IFERROR(IF('Pré Implantação'!B185="CSE Telecom",AVERAGE('Pré Implantação'!D185,'Pré Implantação'!L185),""),"")</f>
        <v/>
      </c>
      <c r="N185" s="34" t="str">
        <f>IFERROR(IF('Pré Implantação'!B185="Site Suporte de Campo",AVERAGE('Pré Implantação'!D185,'Pré Implantação'!L185),""),"")</f>
        <v/>
      </c>
      <c r="O185" s="49" t="str">
        <f>IFERROR(IF('Pré Implantação'!B185="Infraestrutura",AVERAGE('Pré Implantação'!D185,'Pré Implantação'!L185),""),"")</f>
        <v/>
      </c>
    </row>
    <row r="186" spans="1:15" x14ac:dyDescent="0.3">
      <c r="A186" s="33">
        <f>'Pré Implantação'!A186</f>
        <v>0</v>
      </c>
      <c r="B186" s="36">
        <f>'Pré Implantação'!C186</f>
        <v>0</v>
      </c>
      <c r="C186" s="34" t="str">
        <f>IFERROR(IF('Pré Implantação'!B186="Produção TI",AVERAGE('Pré Implantação'!D186,'Pré Implantação'!L186,'Pré Implantação'!E186,'Pré Implantação'!H186),AVERAGE('Pré Implantação'!E186,'Pré Implantação'!H186)),"")</f>
        <v/>
      </c>
      <c r="D186" s="34" t="str">
        <f>IFERROR(IF('Pré Implantação'!B186="CSC Service Desk",AVERAGE('Pré Implantação'!D186,'Pré Implantação'!L186,'Pré Implantação'!F186),AVERAGE('Pré Implantação'!F186)),"")</f>
        <v/>
      </c>
      <c r="E186" s="34" t="str">
        <f>IFERROR(IF('Pré Implantação'!B186="CSC NOC",AVERAGE('Pré Implantação'!D186,'Pré Implantação'!L186,'Pré Implantação'!G186),AVERAGE('Pré Implantação'!G186)),"")</f>
        <v/>
      </c>
      <c r="F186" s="34" t="str">
        <f>IFERROR(IF('Pré Implantação'!B186="CSE Gravadores",AVERAGE('Pré Implantação'!D186,'Pré Implantação'!L186,'Pré Implantação'!I186),AVERAGE('Pré Implantação'!I186)),"")</f>
        <v/>
      </c>
      <c r="G186" s="34" t="str">
        <f>IFERROR(IF('Pré Implantação'!B186="CSC",AVERAGE('Pré Implantação'!D186,'Pré Implantação'!L186,'Pré Implantação'!J186),AVERAGE('Pré Implantação'!J186)),"")</f>
        <v/>
      </c>
      <c r="H186" s="34" t="str">
        <f>IFERROR(IF('Pré Implantação'!B186="Operações \ Negócio",AVERAGE('Pré Implantação'!D186,'Pré Implantação'!L186,'Pré Implantação'!K186),AVERAGE('Pré Implantação'!K186)),"")</f>
        <v/>
      </c>
      <c r="I186" s="34" t="str">
        <f>IFERROR(IF('Pré Implantação'!B186="Projetos",AVERAGE('Pré Implantação'!D186,'Pré Implantação'!L186,'Pré Implantação'!M186),AVERAGE('Pré Implantação'!M186)),"")</f>
        <v/>
      </c>
      <c r="J186" s="34" t="str">
        <f>IFERROR(IF('Pré Implantação'!B186="Engenharia",AVERAGE('Pré Implantação'!D186,'Pré Implantação'!L186,'Pré Implantação'!N186),AVERAGE('Pré Implantação'!N186)),"")</f>
        <v/>
      </c>
      <c r="K186" s="34" t="str">
        <f>IFERROR(IF('Pré Implantação'!B186="URA",AVERAGE('Pré Implantação'!D186,'Pré Implantação'!L186),""),"")</f>
        <v/>
      </c>
      <c r="L186" s="34" t="str">
        <f>IFERROR(IF('Pré Implantação'!B186="CSE Microsoft",AVERAGE('Pré Implantação'!D186,'Pré Implantação'!L186),""),"")</f>
        <v/>
      </c>
      <c r="M186" s="34" t="str">
        <f>IFERROR(IF('Pré Implantação'!B186="CSE Telecom",AVERAGE('Pré Implantação'!D186,'Pré Implantação'!L186),""),"")</f>
        <v/>
      </c>
      <c r="N186" s="34" t="str">
        <f>IFERROR(IF('Pré Implantação'!B186="Site Suporte de Campo",AVERAGE('Pré Implantação'!D186,'Pré Implantação'!L186),""),"")</f>
        <v/>
      </c>
      <c r="O186" s="49" t="str">
        <f>IFERROR(IF('Pré Implantação'!B186="Infraestrutura",AVERAGE('Pré Implantação'!D186,'Pré Implantação'!L186),""),"")</f>
        <v/>
      </c>
    </row>
    <row r="187" spans="1:15" x14ac:dyDescent="0.3">
      <c r="A187" s="33">
        <f>'Pré Implantação'!A187</f>
        <v>0</v>
      </c>
      <c r="B187" s="36">
        <f>'Pré Implantação'!C187</f>
        <v>0</v>
      </c>
      <c r="C187" s="34" t="str">
        <f>IFERROR(IF('Pré Implantação'!B187="Produção TI",AVERAGE('Pré Implantação'!D187,'Pré Implantação'!L187,'Pré Implantação'!E187,'Pré Implantação'!H187),AVERAGE('Pré Implantação'!E187,'Pré Implantação'!H187)),"")</f>
        <v/>
      </c>
      <c r="D187" s="34" t="str">
        <f>IFERROR(IF('Pré Implantação'!B187="CSC Service Desk",AVERAGE('Pré Implantação'!D187,'Pré Implantação'!L187,'Pré Implantação'!F187),AVERAGE('Pré Implantação'!F187)),"")</f>
        <v/>
      </c>
      <c r="E187" s="34" t="str">
        <f>IFERROR(IF('Pré Implantação'!B187="CSC NOC",AVERAGE('Pré Implantação'!D187,'Pré Implantação'!L187,'Pré Implantação'!G187),AVERAGE('Pré Implantação'!G187)),"")</f>
        <v/>
      </c>
      <c r="F187" s="34" t="str">
        <f>IFERROR(IF('Pré Implantação'!B187="CSE Gravadores",AVERAGE('Pré Implantação'!D187,'Pré Implantação'!L187,'Pré Implantação'!I187),AVERAGE('Pré Implantação'!I187)),"")</f>
        <v/>
      </c>
      <c r="G187" s="34" t="str">
        <f>IFERROR(IF('Pré Implantação'!B187="CSC",AVERAGE('Pré Implantação'!D187,'Pré Implantação'!L187,'Pré Implantação'!J187),AVERAGE('Pré Implantação'!J187)),"")</f>
        <v/>
      </c>
      <c r="H187" s="34" t="str">
        <f>IFERROR(IF('Pré Implantação'!B187="Operações \ Negócio",AVERAGE('Pré Implantação'!D187,'Pré Implantação'!L187,'Pré Implantação'!K187),AVERAGE('Pré Implantação'!K187)),"")</f>
        <v/>
      </c>
      <c r="I187" s="34" t="str">
        <f>IFERROR(IF('Pré Implantação'!B187="Projetos",AVERAGE('Pré Implantação'!D187,'Pré Implantação'!L187,'Pré Implantação'!M187),AVERAGE('Pré Implantação'!M187)),"")</f>
        <v/>
      </c>
      <c r="J187" s="34" t="str">
        <f>IFERROR(IF('Pré Implantação'!B187="Engenharia",AVERAGE('Pré Implantação'!D187,'Pré Implantação'!L187,'Pré Implantação'!N187),AVERAGE('Pré Implantação'!N187)),"")</f>
        <v/>
      </c>
      <c r="K187" s="34" t="str">
        <f>IFERROR(IF('Pré Implantação'!B187="URA",AVERAGE('Pré Implantação'!D187,'Pré Implantação'!L187),""),"")</f>
        <v/>
      </c>
      <c r="L187" s="34" t="str">
        <f>IFERROR(IF('Pré Implantação'!B187="CSE Microsoft",AVERAGE('Pré Implantação'!D187,'Pré Implantação'!L187),""),"")</f>
        <v/>
      </c>
      <c r="M187" s="34" t="str">
        <f>IFERROR(IF('Pré Implantação'!B187="CSE Telecom",AVERAGE('Pré Implantação'!D187,'Pré Implantação'!L187),""),"")</f>
        <v/>
      </c>
      <c r="N187" s="34" t="str">
        <f>IFERROR(IF('Pré Implantação'!B187="Site Suporte de Campo",AVERAGE('Pré Implantação'!D187,'Pré Implantação'!L187),""),"")</f>
        <v/>
      </c>
      <c r="O187" s="49" t="str">
        <f>IFERROR(IF('Pré Implantação'!B187="Infraestrutura",AVERAGE('Pré Implantação'!D187,'Pré Implantação'!L187),""),"")</f>
        <v/>
      </c>
    </row>
    <row r="188" spans="1:15" x14ac:dyDescent="0.3">
      <c r="A188" s="33">
        <f>'Pré Implantação'!A188</f>
        <v>0</v>
      </c>
      <c r="B188" s="36">
        <f>'Pré Implantação'!C188</f>
        <v>0</v>
      </c>
      <c r="C188" s="34" t="str">
        <f>IFERROR(IF('Pré Implantação'!B188="Produção TI",AVERAGE('Pré Implantação'!D188,'Pré Implantação'!L188,'Pré Implantação'!E188,'Pré Implantação'!H188),AVERAGE('Pré Implantação'!E188,'Pré Implantação'!H188)),"")</f>
        <v/>
      </c>
      <c r="D188" s="34" t="str">
        <f>IFERROR(IF('Pré Implantação'!B188="CSC Service Desk",AVERAGE('Pré Implantação'!D188,'Pré Implantação'!L188,'Pré Implantação'!F188),AVERAGE('Pré Implantação'!F188)),"")</f>
        <v/>
      </c>
      <c r="E188" s="34" t="str">
        <f>IFERROR(IF('Pré Implantação'!B188="CSC NOC",AVERAGE('Pré Implantação'!D188,'Pré Implantação'!L188,'Pré Implantação'!G188),AVERAGE('Pré Implantação'!G188)),"")</f>
        <v/>
      </c>
      <c r="F188" s="34" t="str">
        <f>IFERROR(IF('Pré Implantação'!B188="CSE Gravadores",AVERAGE('Pré Implantação'!D188,'Pré Implantação'!L188,'Pré Implantação'!I188),AVERAGE('Pré Implantação'!I188)),"")</f>
        <v/>
      </c>
      <c r="G188" s="34" t="str">
        <f>IFERROR(IF('Pré Implantação'!B188="CSC",AVERAGE('Pré Implantação'!D188,'Pré Implantação'!L188,'Pré Implantação'!J188),AVERAGE('Pré Implantação'!J188)),"")</f>
        <v/>
      </c>
      <c r="H188" s="34" t="str">
        <f>IFERROR(IF('Pré Implantação'!B188="Operações \ Negócio",AVERAGE('Pré Implantação'!D188,'Pré Implantação'!L188,'Pré Implantação'!K188),AVERAGE('Pré Implantação'!K188)),"")</f>
        <v/>
      </c>
      <c r="I188" s="34" t="str">
        <f>IFERROR(IF('Pré Implantação'!B188="Projetos",AVERAGE('Pré Implantação'!D188,'Pré Implantação'!L188,'Pré Implantação'!M188),AVERAGE('Pré Implantação'!M188)),"")</f>
        <v/>
      </c>
      <c r="J188" s="34" t="str">
        <f>IFERROR(IF('Pré Implantação'!B188="Engenharia",AVERAGE('Pré Implantação'!D188,'Pré Implantação'!L188,'Pré Implantação'!N188),AVERAGE('Pré Implantação'!N188)),"")</f>
        <v/>
      </c>
      <c r="K188" s="34" t="str">
        <f>IFERROR(IF('Pré Implantação'!B188="URA",AVERAGE('Pré Implantação'!D188,'Pré Implantação'!L188),""),"")</f>
        <v/>
      </c>
      <c r="L188" s="34" t="str">
        <f>IFERROR(IF('Pré Implantação'!B188="CSE Microsoft",AVERAGE('Pré Implantação'!D188,'Pré Implantação'!L188),""),"")</f>
        <v/>
      </c>
      <c r="M188" s="34" t="str">
        <f>IFERROR(IF('Pré Implantação'!B188="CSE Telecom",AVERAGE('Pré Implantação'!D188,'Pré Implantação'!L188),""),"")</f>
        <v/>
      </c>
      <c r="N188" s="34" t="str">
        <f>IFERROR(IF('Pré Implantação'!B188="Site Suporte de Campo",AVERAGE('Pré Implantação'!D188,'Pré Implantação'!L188),""),"")</f>
        <v/>
      </c>
      <c r="O188" s="49" t="str">
        <f>IFERROR(IF('Pré Implantação'!B188="Infraestrutura",AVERAGE('Pré Implantação'!D188,'Pré Implantação'!L188),""),"")</f>
        <v/>
      </c>
    </row>
    <row r="189" spans="1:15" x14ac:dyDescent="0.3">
      <c r="A189" s="33">
        <f>'Pré Implantação'!A189</f>
        <v>0</v>
      </c>
      <c r="B189" s="36">
        <f>'Pré Implantação'!C189</f>
        <v>0</v>
      </c>
      <c r="C189" s="34" t="str">
        <f>IFERROR(IF('Pré Implantação'!B189="Produção TI",AVERAGE('Pré Implantação'!D189,'Pré Implantação'!L189,'Pré Implantação'!E189,'Pré Implantação'!H189),AVERAGE('Pré Implantação'!E189,'Pré Implantação'!H189)),"")</f>
        <v/>
      </c>
      <c r="D189" s="34" t="str">
        <f>IFERROR(IF('Pré Implantação'!B189="CSC Service Desk",AVERAGE('Pré Implantação'!D189,'Pré Implantação'!L189,'Pré Implantação'!F189),AVERAGE('Pré Implantação'!F189)),"")</f>
        <v/>
      </c>
      <c r="E189" s="34" t="str">
        <f>IFERROR(IF('Pré Implantação'!B189="CSC NOC",AVERAGE('Pré Implantação'!D189,'Pré Implantação'!L189,'Pré Implantação'!G189),AVERAGE('Pré Implantação'!G189)),"")</f>
        <v/>
      </c>
      <c r="F189" s="34" t="str">
        <f>IFERROR(IF('Pré Implantação'!B189="CSE Gravadores",AVERAGE('Pré Implantação'!D189,'Pré Implantação'!L189,'Pré Implantação'!I189),AVERAGE('Pré Implantação'!I189)),"")</f>
        <v/>
      </c>
      <c r="G189" s="34" t="str">
        <f>IFERROR(IF('Pré Implantação'!B189="CSC",AVERAGE('Pré Implantação'!D189,'Pré Implantação'!L189,'Pré Implantação'!J189),AVERAGE('Pré Implantação'!J189)),"")</f>
        <v/>
      </c>
      <c r="H189" s="34" t="str">
        <f>IFERROR(IF('Pré Implantação'!B189="Operações \ Negócio",AVERAGE('Pré Implantação'!D189,'Pré Implantação'!L189,'Pré Implantação'!K189),AVERAGE('Pré Implantação'!K189)),"")</f>
        <v/>
      </c>
      <c r="I189" s="34" t="str">
        <f>IFERROR(IF('Pré Implantação'!B189="Projetos",AVERAGE('Pré Implantação'!D189,'Pré Implantação'!L189,'Pré Implantação'!M189),AVERAGE('Pré Implantação'!M189)),"")</f>
        <v/>
      </c>
      <c r="J189" s="34" t="str">
        <f>IFERROR(IF('Pré Implantação'!B189="Engenharia",AVERAGE('Pré Implantação'!D189,'Pré Implantação'!L189,'Pré Implantação'!N189),AVERAGE('Pré Implantação'!N189)),"")</f>
        <v/>
      </c>
      <c r="K189" s="34" t="str">
        <f>IFERROR(IF('Pré Implantação'!B189="URA",AVERAGE('Pré Implantação'!D189,'Pré Implantação'!L189),""),"")</f>
        <v/>
      </c>
      <c r="L189" s="34" t="str">
        <f>IFERROR(IF('Pré Implantação'!B189="CSE Microsoft",AVERAGE('Pré Implantação'!D189,'Pré Implantação'!L189),""),"")</f>
        <v/>
      </c>
      <c r="M189" s="34" t="str">
        <f>IFERROR(IF('Pré Implantação'!B189="CSE Telecom",AVERAGE('Pré Implantação'!D189,'Pré Implantação'!L189),""),"")</f>
        <v/>
      </c>
      <c r="N189" s="34" t="str">
        <f>IFERROR(IF('Pré Implantação'!B189="Site Suporte de Campo",AVERAGE('Pré Implantação'!D189,'Pré Implantação'!L189),""),"")</f>
        <v/>
      </c>
      <c r="O189" s="49" t="str">
        <f>IFERROR(IF('Pré Implantação'!B189="Infraestrutura",AVERAGE('Pré Implantação'!D189,'Pré Implantação'!L189),""),"")</f>
        <v/>
      </c>
    </row>
    <row r="190" spans="1:15" x14ac:dyDescent="0.3">
      <c r="A190" s="33">
        <f>'Pré Implantação'!A190</f>
        <v>0</v>
      </c>
      <c r="B190" s="36">
        <f>'Pré Implantação'!C190</f>
        <v>0</v>
      </c>
      <c r="C190" s="34" t="str">
        <f>IFERROR(IF('Pré Implantação'!B190="Produção TI",AVERAGE('Pré Implantação'!D190,'Pré Implantação'!L190,'Pré Implantação'!E190,'Pré Implantação'!H190),AVERAGE('Pré Implantação'!E190,'Pré Implantação'!H190)),"")</f>
        <v/>
      </c>
      <c r="D190" s="34" t="str">
        <f>IFERROR(IF('Pré Implantação'!B190="CSC Service Desk",AVERAGE('Pré Implantação'!D190,'Pré Implantação'!L190,'Pré Implantação'!F190),AVERAGE('Pré Implantação'!F190)),"")</f>
        <v/>
      </c>
      <c r="E190" s="34" t="str">
        <f>IFERROR(IF('Pré Implantação'!B190="CSC NOC",AVERAGE('Pré Implantação'!D190,'Pré Implantação'!L190,'Pré Implantação'!G190),AVERAGE('Pré Implantação'!G190)),"")</f>
        <v/>
      </c>
      <c r="F190" s="34" t="str">
        <f>IFERROR(IF('Pré Implantação'!B190="CSE Gravadores",AVERAGE('Pré Implantação'!D190,'Pré Implantação'!L190,'Pré Implantação'!I190),AVERAGE('Pré Implantação'!I190)),"")</f>
        <v/>
      </c>
      <c r="G190" s="34" t="str">
        <f>IFERROR(IF('Pré Implantação'!B190="CSC",AVERAGE('Pré Implantação'!D190,'Pré Implantação'!L190,'Pré Implantação'!J190),AVERAGE('Pré Implantação'!J190)),"")</f>
        <v/>
      </c>
      <c r="H190" s="34" t="str">
        <f>IFERROR(IF('Pré Implantação'!B190="Operações \ Negócio",AVERAGE('Pré Implantação'!D190,'Pré Implantação'!L190,'Pré Implantação'!K190),AVERAGE('Pré Implantação'!K190)),"")</f>
        <v/>
      </c>
      <c r="I190" s="34" t="str">
        <f>IFERROR(IF('Pré Implantação'!B190="Projetos",AVERAGE('Pré Implantação'!D190,'Pré Implantação'!L190,'Pré Implantação'!M190),AVERAGE('Pré Implantação'!M190)),"")</f>
        <v/>
      </c>
      <c r="J190" s="34" t="str">
        <f>IFERROR(IF('Pré Implantação'!B190="Engenharia",AVERAGE('Pré Implantação'!D190,'Pré Implantação'!L190,'Pré Implantação'!N190),AVERAGE('Pré Implantação'!N190)),"")</f>
        <v/>
      </c>
      <c r="K190" s="34" t="str">
        <f>IFERROR(IF('Pré Implantação'!B190="URA",AVERAGE('Pré Implantação'!D190,'Pré Implantação'!L190),""),"")</f>
        <v/>
      </c>
      <c r="L190" s="34" t="str">
        <f>IFERROR(IF('Pré Implantação'!B190="CSE Microsoft",AVERAGE('Pré Implantação'!D190,'Pré Implantação'!L190),""),"")</f>
        <v/>
      </c>
      <c r="M190" s="34" t="str">
        <f>IFERROR(IF('Pré Implantação'!B190="CSE Telecom",AVERAGE('Pré Implantação'!D190,'Pré Implantação'!L190),""),"")</f>
        <v/>
      </c>
      <c r="N190" s="34" t="str">
        <f>IFERROR(IF('Pré Implantação'!B190="Site Suporte de Campo",AVERAGE('Pré Implantação'!D190,'Pré Implantação'!L190),""),"")</f>
        <v/>
      </c>
      <c r="O190" s="49" t="str">
        <f>IFERROR(IF('Pré Implantação'!B190="Infraestrutura",AVERAGE('Pré Implantação'!D190,'Pré Implantação'!L190),""),"")</f>
        <v/>
      </c>
    </row>
    <row r="191" spans="1:15" x14ac:dyDescent="0.3">
      <c r="A191" s="33">
        <f>'Pré Implantação'!A191</f>
        <v>0</v>
      </c>
      <c r="B191" s="36">
        <f>'Pré Implantação'!C191</f>
        <v>0</v>
      </c>
      <c r="C191" s="34" t="str">
        <f>IFERROR(IF('Pré Implantação'!B191="Produção TI",AVERAGE('Pré Implantação'!D191,'Pré Implantação'!L191,'Pré Implantação'!E191,'Pré Implantação'!H191),AVERAGE('Pré Implantação'!E191,'Pré Implantação'!H191)),"")</f>
        <v/>
      </c>
      <c r="D191" s="34" t="str">
        <f>IFERROR(IF('Pré Implantação'!B191="CSC Service Desk",AVERAGE('Pré Implantação'!D191,'Pré Implantação'!L191,'Pré Implantação'!F191),AVERAGE('Pré Implantação'!F191)),"")</f>
        <v/>
      </c>
      <c r="E191" s="34" t="str">
        <f>IFERROR(IF('Pré Implantação'!B191="CSC NOC",AVERAGE('Pré Implantação'!D191,'Pré Implantação'!L191,'Pré Implantação'!G191),AVERAGE('Pré Implantação'!G191)),"")</f>
        <v/>
      </c>
      <c r="F191" s="34" t="str">
        <f>IFERROR(IF('Pré Implantação'!B191="CSE Gravadores",AVERAGE('Pré Implantação'!D191,'Pré Implantação'!L191,'Pré Implantação'!I191),AVERAGE('Pré Implantação'!I191)),"")</f>
        <v/>
      </c>
      <c r="G191" s="34" t="str">
        <f>IFERROR(IF('Pré Implantação'!B191="CSC",AVERAGE('Pré Implantação'!D191,'Pré Implantação'!L191,'Pré Implantação'!J191),AVERAGE('Pré Implantação'!J191)),"")</f>
        <v/>
      </c>
      <c r="H191" s="34" t="str">
        <f>IFERROR(IF('Pré Implantação'!B191="Operações \ Negócio",AVERAGE('Pré Implantação'!D191,'Pré Implantação'!L191,'Pré Implantação'!K191),AVERAGE('Pré Implantação'!K191)),"")</f>
        <v/>
      </c>
      <c r="I191" s="34" t="str">
        <f>IFERROR(IF('Pré Implantação'!B191="Projetos",AVERAGE('Pré Implantação'!D191,'Pré Implantação'!L191,'Pré Implantação'!M191),AVERAGE('Pré Implantação'!M191)),"")</f>
        <v/>
      </c>
      <c r="J191" s="34" t="str">
        <f>IFERROR(IF('Pré Implantação'!B191="Engenharia",AVERAGE('Pré Implantação'!D191,'Pré Implantação'!L191,'Pré Implantação'!N191),AVERAGE('Pré Implantação'!N191)),"")</f>
        <v/>
      </c>
      <c r="K191" s="34" t="str">
        <f>IFERROR(IF('Pré Implantação'!B191="URA",AVERAGE('Pré Implantação'!D191,'Pré Implantação'!L191),""),"")</f>
        <v/>
      </c>
      <c r="L191" s="34" t="str">
        <f>IFERROR(IF('Pré Implantação'!B191="CSE Microsoft",AVERAGE('Pré Implantação'!D191,'Pré Implantação'!L191),""),"")</f>
        <v/>
      </c>
      <c r="M191" s="34" t="str">
        <f>IFERROR(IF('Pré Implantação'!B191="CSE Telecom",AVERAGE('Pré Implantação'!D191,'Pré Implantação'!L191),""),"")</f>
        <v/>
      </c>
      <c r="N191" s="34" t="str">
        <f>IFERROR(IF('Pré Implantação'!B191="Site Suporte de Campo",AVERAGE('Pré Implantação'!D191,'Pré Implantação'!L191),""),"")</f>
        <v/>
      </c>
      <c r="O191" s="49" t="str">
        <f>IFERROR(IF('Pré Implantação'!B191="Infraestrutura",AVERAGE('Pré Implantação'!D191,'Pré Implantação'!L191),""),"")</f>
        <v/>
      </c>
    </row>
    <row r="192" spans="1:15" x14ac:dyDescent="0.3">
      <c r="A192" s="33">
        <f>'Pré Implantação'!A192</f>
        <v>0</v>
      </c>
      <c r="B192" s="36">
        <f>'Pré Implantação'!C192</f>
        <v>0</v>
      </c>
      <c r="C192" s="34" t="str">
        <f>IFERROR(IF('Pré Implantação'!B192="Produção TI",AVERAGE('Pré Implantação'!D192,'Pré Implantação'!L192,'Pré Implantação'!E192,'Pré Implantação'!H192),AVERAGE('Pré Implantação'!E192,'Pré Implantação'!H192)),"")</f>
        <v/>
      </c>
      <c r="D192" s="34" t="str">
        <f>IFERROR(IF('Pré Implantação'!B192="CSC Service Desk",AVERAGE('Pré Implantação'!D192,'Pré Implantação'!L192,'Pré Implantação'!F192),AVERAGE('Pré Implantação'!F192)),"")</f>
        <v/>
      </c>
      <c r="E192" s="34" t="str">
        <f>IFERROR(IF('Pré Implantação'!B192="CSC NOC",AVERAGE('Pré Implantação'!D192,'Pré Implantação'!L192,'Pré Implantação'!G192),AVERAGE('Pré Implantação'!G192)),"")</f>
        <v/>
      </c>
      <c r="F192" s="34" t="str">
        <f>IFERROR(IF('Pré Implantação'!B192="CSE Gravadores",AVERAGE('Pré Implantação'!D192,'Pré Implantação'!L192,'Pré Implantação'!I192),AVERAGE('Pré Implantação'!I192)),"")</f>
        <v/>
      </c>
      <c r="G192" s="34" t="str">
        <f>IFERROR(IF('Pré Implantação'!B192="CSC",AVERAGE('Pré Implantação'!D192,'Pré Implantação'!L192,'Pré Implantação'!J192),AVERAGE('Pré Implantação'!J192)),"")</f>
        <v/>
      </c>
      <c r="H192" s="34" t="str">
        <f>IFERROR(IF('Pré Implantação'!B192="Operações \ Negócio",AVERAGE('Pré Implantação'!D192,'Pré Implantação'!L192,'Pré Implantação'!K192),AVERAGE('Pré Implantação'!K192)),"")</f>
        <v/>
      </c>
      <c r="I192" s="34" t="str">
        <f>IFERROR(IF('Pré Implantação'!B192="Projetos",AVERAGE('Pré Implantação'!D192,'Pré Implantação'!L192,'Pré Implantação'!M192),AVERAGE('Pré Implantação'!M192)),"")</f>
        <v/>
      </c>
      <c r="J192" s="34" t="str">
        <f>IFERROR(IF('Pré Implantação'!B192="Engenharia",AVERAGE('Pré Implantação'!D192,'Pré Implantação'!L192,'Pré Implantação'!N192),AVERAGE('Pré Implantação'!N192)),"")</f>
        <v/>
      </c>
      <c r="K192" s="34" t="str">
        <f>IFERROR(IF('Pré Implantação'!B192="URA",AVERAGE('Pré Implantação'!D192,'Pré Implantação'!L192),""),"")</f>
        <v/>
      </c>
      <c r="L192" s="34" t="str">
        <f>IFERROR(IF('Pré Implantação'!B192="CSE Microsoft",AVERAGE('Pré Implantação'!D192,'Pré Implantação'!L192),""),"")</f>
        <v/>
      </c>
      <c r="M192" s="34" t="str">
        <f>IFERROR(IF('Pré Implantação'!B192="CSE Telecom",AVERAGE('Pré Implantação'!D192,'Pré Implantação'!L192),""),"")</f>
        <v/>
      </c>
      <c r="N192" s="34" t="str">
        <f>IFERROR(IF('Pré Implantação'!B192="Site Suporte de Campo",AVERAGE('Pré Implantação'!D192,'Pré Implantação'!L192),""),"")</f>
        <v/>
      </c>
      <c r="O192" s="49" t="str">
        <f>IFERROR(IF('Pré Implantação'!B192="Infraestrutura",AVERAGE('Pré Implantação'!D192,'Pré Implantação'!L192),""),"")</f>
        <v/>
      </c>
    </row>
    <row r="193" spans="1:15" x14ac:dyDescent="0.3">
      <c r="A193" s="33">
        <f>'Pré Implantação'!A193</f>
        <v>0</v>
      </c>
      <c r="B193" s="36">
        <f>'Pré Implantação'!C193</f>
        <v>0</v>
      </c>
      <c r="C193" s="34" t="str">
        <f>IFERROR(IF('Pré Implantação'!B193="Produção TI",AVERAGE('Pré Implantação'!D193,'Pré Implantação'!L193,'Pré Implantação'!E193,'Pré Implantação'!H193),AVERAGE('Pré Implantação'!E193,'Pré Implantação'!H193)),"")</f>
        <v/>
      </c>
      <c r="D193" s="34" t="str">
        <f>IFERROR(IF('Pré Implantação'!B193="CSC Service Desk",AVERAGE('Pré Implantação'!D193,'Pré Implantação'!L193,'Pré Implantação'!F193),AVERAGE('Pré Implantação'!F193)),"")</f>
        <v/>
      </c>
      <c r="E193" s="34" t="str">
        <f>IFERROR(IF('Pré Implantação'!B193="CSC NOC",AVERAGE('Pré Implantação'!D193,'Pré Implantação'!L193,'Pré Implantação'!G193),AVERAGE('Pré Implantação'!G193)),"")</f>
        <v/>
      </c>
      <c r="F193" s="34" t="str">
        <f>IFERROR(IF('Pré Implantação'!B193="CSE Gravadores",AVERAGE('Pré Implantação'!D193,'Pré Implantação'!L193,'Pré Implantação'!I193),AVERAGE('Pré Implantação'!I193)),"")</f>
        <v/>
      </c>
      <c r="G193" s="34" t="str">
        <f>IFERROR(IF('Pré Implantação'!B193="CSC",AVERAGE('Pré Implantação'!D193,'Pré Implantação'!L193,'Pré Implantação'!J193),AVERAGE('Pré Implantação'!J193)),"")</f>
        <v/>
      </c>
      <c r="H193" s="34" t="str">
        <f>IFERROR(IF('Pré Implantação'!B193="Operações \ Negócio",AVERAGE('Pré Implantação'!D193,'Pré Implantação'!L193,'Pré Implantação'!K193),AVERAGE('Pré Implantação'!K193)),"")</f>
        <v/>
      </c>
      <c r="I193" s="34" t="str">
        <f>IFERROR(IF('Pré Implantação'!B193="Projetos",AVERAGE('Pré Implantação'!D193,'Pré Implantação'!L193,'Pré Implantação'!M193),AVERAGE('Pré Implantação'!M193)),"")</f>
        <v/>
      </c>
      <c r="J193" s="34" t="str">
        <f>IFERROR(IF('Pré Implantação'!B193="Engenharia",AVERAGE('Pré Implantação'!D193,'Pré Implantação'!L193,'Pré Implantação'!N193),AVERAGE('Pré Implantação'!N193)),"")</f>
        <v/>
      </c>
      <c r="K193" s="34" t="str">
        <f>IFERROR(IF('Pré Implantação'!B193="URA",AVERAGE('Pré Implantação'!D193,'Pré Implantação'!L193),""),"")</f>
        <v/>
      </c>
      <c r="L193" s="34" t="str">
        <f>IFERROR(IF('Pré Implantação'!B193="CSE Microsoft",AVERAGE('Pré Implantação'!D193,'Pré Implantação'!L193),""),"")</f>
        <v/>
      </c>
      <c r="M193" s="34" t="str">
        <f>IFERROR(IF('Pré Implantação'!B193="CSE Telecom",AVERAGE('Pré Implantação'!D193,'Pré Implantação'!L193),""),"")</f>
        <v/>
      </c>
      <c r="N193" s="34" t="str">
        <f>IFERROR(IF('Pré Implantação'!B193="Site Suporte de Campo",AVERAGE('Pré Implantação'!D193,'Pré Implantação'!L193),""),"")</f>
        <v/>
      </c>
      <c r="O193" s="49" t="str">
        <f>IFERROR(IF('Pré Implantação'!B193="Infraestrutura",AVERAGE('Pré Implantação'!D193,'Pré Implantação'!L193),""),"")</f>
        <v/>
      </c>
    </row>
    <row r="194" spans="1:15" x14ac:dyDescent="0.3">
      <c r="A194" s="33">
        <f>'Pré Implantação'!A194</f>
        <v>0</v>
      </c>
      <c r="B194" s="36">
        <f>'Pré Implantação'!C194</f>
        <v>0</v>
      </c>
      <c r="C194" s="34" t="str">
        <f>IFERROR(IF('Pré Implantação'!B194="Produção TI",AVERAGE('Pré Implantação'!D194,'Pré Implantação'!L194,'Pré Implantação'!E194,'Pré Implantação'!H194),AVERAGE('Pré Implantação'!E194,'Pré Implantação'!H194)),"")</f>
        <v/>
      </c>
      <c r="D194" s="34" t="str">
        <f>IFERROR(IF('Pré Implantação'!B194="CSC Service Desk",AVERAGE('Pré Implantação'!D194,'Pré Implantação'!L194,'Pré Implantação'!F194),AVERAGE('Pré Implantação'!F194)),"")</f>
        <v/>
      </c>
      <c r="E194" s="34" t="str">
        <f>IFERROR(IF('Pré Implantação'!B194="CSC NOC",AVERAGE('Pré Implantação'!D194,'Pré Implantação'!L194,'Pré Implantação'!G194),AVERAGE('Pré Implantação'!G194)),"")</f>
        <v/>
      </c>
      <c r="F194" s="34" t="str">
        <f>IFERROR(IF('Pré Implantação'!B194="CSE Gravadores",AVERAGE('Pré Implantação'!D194,'Pré Implantação'!L194,'Pré Implantação'!I194),AVERAGE('Pré Implantação'!I194)),"")</f>
        <v/>
      </c>
      <c r="G194" s="34" t="str">
        <f>IFERROR(IF('Pré Implantação'!B194="CSC",AVERAGE('Pré Implantação'!D194,'Pré Implantação'!L194,'Pré Implantação'!J194),AVERAGE('Pré Implantação'!J194)),"")</f>
        <v/>
      </c>
      <c r="H194" s="34" t="str">
        <f>IFERROR(IF('Pré Implantação'!B194="Operações \ Negócio",AVERAGE('Pré Implantação'!D194,'Pré Implantação'!L194,'Pré Implantação'!K194),AVERAGE('Pré Implantação'!K194)),"")</f>
        <v/>
      </c>
      <c r="I194" s="34" t="str">
        <f>IFERROR(IF('Pré Implantação'!B194="Projetos",AVERAGE('Pré Implantação'!D194,'Pré Implantação'!L194,'Pré Implantação'!M194),AVERAGE('Pré Implantação'!M194)),"")</f>
        <v/>
      </c>
      <c r="J194" s="34" t="str">
        <f>IFERROR(IF('Pré Implantação'!B194="Engenharia",AVERAGE('Pré Implantação'!D194,'Pré Implantação'!L194,'Pré Implantação'!N194),AVERAGE('Pré Implantação'!N194)),"")</f>
        <v/>
      </c>
      <c r="K194" s="34" t="str">
        <f>IFERROR(IF('Pré Implantação'!B194="URA",AVERAGE('Pré Implantação'!D194,'Pré Implantação'!L194),""),"")</f>
        <v/>
      </c>
      <c r="L194" s="34" t="str">
        <f>IFERROR(IF('Pré Implantação'!B194="CSE Microsoft",AVERAGE('Pré Implantação'!D194,'Pré Implantação'!L194),""),"")</f>
        <v/>
      </c>
      <c r="M194" s="34" t="str">
        <f>IFERROR(IF('Pré Implantação'!B194="CSE Telecom",AVERAGE('Pré Implantação'!D194,'Pré Implantação'!L194),""),"")</f>
        <v/>
      </c>
      <c r="N194" s="34" t="str">
        <f>IFERROR(IF('Pré Implantação'!B194="Site Suporte de Campo",AVERAGE('Pré Implantação'!D194,'Pré Implantação'!L194),""),"")</f>
        <v/>
      </c>
      <c r="O194" s="49" t="str">
        <f>IFERROR(IF('Pré Implantação'!B194="Infraestrutura",AVERAGE('Pré Implantação'!D194,'Pré Implantação'!L194),""),"")</f>
        <v/>
      </c>
    </row>
    <row r="195" spans="1:15" x14ac:dyDescent="0.3">
      <c r="A195" s="33">
        <f>'Pré Implantação'!A195</f>
        <v>0</v>
      </c>
      <c r="B195" s="36">
        <f>'Pré Implantação'!C195</f>
        <v>0</v>
      </c>
      <c r="C195" s="34" t="str">
        <f>IFERROR(IF('Pré Implantação'!B195="Produção TI",AVERAGE('Pré Implantação'!D195,'Pré Implantação'!L195,'Pré Implantação'!E195,'Pré Implantação'!H195),AVERAGE('Pré Implantação'!E195,'Pré Implantação'!H195)),"")</f>
        <v/>
      </c>
      <c r="D195" s="34" t="str">
        <f>IFERROR(IF('Pré Implantação'!B195="CSC Service Desk",AVERAGE('Pré Implantação'!D195,'Pré Implantação'!L195,'Pré Implantação'!F195),AVERAGE('Pré Implantação'!F195)),"")</f>
        <v/>
      </c>
      <c r="E195" s="34" t="str">
        <f>IFERROR(IF('Pré Implantação'!B195="CSC NOC",AVERAGE('Pré Implantação'!D195,'Pré Implantação'!L195,'Pré Implantação'!G195),AVERAGE('Pré Implantação'!G195)),"")</f>
        <v/>
      </c>
      <c r="F195" s="34" t="str">
        <f>IFERROR(IF('Pré Implantação'!B195="CSE Gravadores",AVERAGE('Pré Implantação'!D195,'Pré Implantação'!L195,'Pré Implantação'!I195),AVERAGE('Pré Implantação'!I195)),"")</f>
        <v/>
      </c>
      <c r="G195" s="34" t="str">
        <f>IFERROR(IF('Pré Implantação'!B195="CSC",AVERAGE('Pré Implantação'!D195,'Pré Implantação'!L195,'Pré Implantação'!J195),AVERAGE('Pré Implantação'!J195)),"")</f>
        <v/>
      </c>
      <c r="H195" s="34" t="str">
        <f>IFERROR(IF('Pré Implantação'!B195="Operações \ Negócio",AVERAGE('Pré Implantação'!D195,'Pré Implantação'!L195,'Pré Implantação'!K195),AVERAGE('Pré Implantação'!K195)),"")</f>
        <v/>
      </c>
      <c r="I195" s="34" t="str">
        <f>IFERROR(IF('Pré Implantação'!B195="Projetos",AVERAGE('Pré Implantação'!D195,'Pré Implantação'!L195,'Pré Implantação'!M195),AVERAGE('Pré Implantação'!M195)),"")</f>
        <v/>
      </c>
      <c r="J195" s="34" t="str">
        <f>IFERROR(IF('Pré Implantação'!B195="Engenharia",AVERAGE('Pré Implantação'!D195,'Pré Implantação'!L195,'Pré Implantação'!N195),AVERAGE('Pré Implantação'!N195)),"")</f>
        <v/>
      </c>
      <c r="K195" s="34" t="str">
        <f>IFERROR(IF('Pré Implantação'!B195="URA",AVERAGE('Pré Implantação'!D195,'Pré Implantação'!L195),""),"")</f>
        <v/>
      </c>
      <c r="L195" s="34" t="str">
        <f>IFERROR(IF('Pré Implantação'!B195="CSE Microsoft",AVERAGE('Pré Implantação'!D195,'Pré Implantação'!L195),""),"")</f>
        <v/>
      </c>
      <c r="M195" s="34" t="str">
        <f>IFERROR(IF('Pré Implantação'!B195="CSE Telecom",AVERAGE('Pré Implantação'!D195,'Pré Implantação'!L195),""),"")</f>
        <v/>
      </c>
      <c r="N195" s="34" t="str">
        <f>IFERROR(IF('Pré Implantação'!B195="Site Suporte de Campo",AVERAGE('Pré Implantação'!D195,'Pré Implantação'!L195),""),"")</f>
        <v/>
      </c>
      <c r="O195" s="49" t="str">
        <f>IFERROR(IF('Pré Implantação'!B195="Infraestrutura",AVERAGE('Pré Implantação'!D195,'Pré Implantação'!L195),""),"")</f>
        <v/>
      </c>
    </row>
    <row r="196" spans="1:15" x14ac:dyDescent="0.3">
      <c r="A196" s="33">
        <f>'Pré Implantação'!A196</f>
        <v>0</v>
      </c>
      <c r="B196" s="36">
        <f>'Pré Implantação'!C196</f>
        <v>0</v>
      </c>
      <c r="C196" s="34" t="str">
        <f>IFERROR(IF('Pré Implantação'!B196="Produção TI",AVERAGE('Pré Implantação'!D196,'Pré Implantação'!L196,'Pré Implantação'!E196,'Pré Implantação'!H196),AVERAGE('Pré Implantação'!E196,'Pré Implantação'!H196)),"")</f>
        <v/>
      </c>
      <c r="D196" s="34" t="str">
        <f>IFERROR(IF('Pré Implantação'!B196="CSC Service Desk",AVERAGE('Pré Implantação'!D196,'Pré Implantação'!L196,'Pré Implantação'!F196),AVERAGE('Pré Implantação'!F196)),"")</f>
        <v/>
      </c>
      <c r="E196" s="34" t="str">
        <f>IFERROR(IF('Pré Implantação'!B196="CSC NOC",AVERAGE('Pré Implantação'!D196,'Pré Implantação'!L196,'Pré Implantação'!G196),AVERAGE('Pré Implantação'!G196)),"")</f>
        <v/>
      </c>
      <c r="F196" s="34" t="str">
        <f>IFERROR(IF('Pré Implantação'!B196="CSE Gravadores",AVERAGE('Pré Implantação'!D196,'Pré Implantação'!L196,'Pré Implantação'!I196),AVERAGE('Pré Implantação'!I196)),"")</f>
        <v/>
      </c>
      <c r="G196" s="34" t="str">
        <f>IFERROR(IF('Pré Implantação'!B196="CSC",AVERAGE('Pré Implantação'!D196,'Pré Implantação'!L196,'Pré Implantação'!J196),AVERAGE('Pré Implantação'!J196)),"")</f>
        <v/>
      </c>
      <c r="H196" s="34" t="str">
        <f>IFERROR(IF('Pré Implantação'!B196="Operações \ Negócio",AVERAGE('Pré Implantação'!D196,'Pré Implantação'!L196,'Pré Implantação'!K196),AVERAGE('Pré Implantação'!K196)),"")</f>
        <v/>
      </c>
      <c r="I196" s="34" t="str">
        <f>IFERROR(IF('Pré Implantação'!B196="Projetos",AVERAGE('Pré Implantação'!D196,'Pré Implantação'!L196,'Pré Implantação'!M196),AVERAGE('Pré Implantação'!M196)),"")</f>
        <v/>
      </c>
      <c r="J196" s="34" t="str">
        <f>IFERROR(IF('Pré Implantação'!B196="Engenharia",AVERAGE('Pré Implantação'!D196,'Pré Implantação'!L196,'Pré Implantação'!N196),AVERAGE('Pré Implantação'!N196)),"")</f>
        <v/>
      </c>
      <c r="K196" s="34" t="str">
        <f>IFERROR(IF('Pré Implantação'!B196="URA",AVERAGE('Pré Implantação'!D196,'Pré Implantação'!L196),""),"")</f>
        <v/>
      </c>
      <c r="L196" s="34" t="str">
        <f>IFERROR(IF('Pré Implantação'!B196="CSE Microsoft",AVERAGE('Pré Implantação'!D196,'Pré Implantação'!L196),""),"")</f>
        <v/>
      </c>
      <c r="M196" s="34" t="str">
        <f>IFERROR(IF('Pré Implantação'!B196="CSE Telecom",AVERAGE('Pré Implantação'!D196,'Pré Implantação'!L196),""),"")</f>
        <v/>
      </c>
      <c r="N196" s="34" t="str">
        <f>IFERROR(IF('Pré Implantação'!B196="Site Suporte de Campo",AVERAGE('Pré Implantação'!D196,'Pré Implantação'!L196),""),"")</f>
        <v/>
      </c>
      <c r="O196" s="49" t="str">
        <f>IFERROR(IF('Pré Implantação'!B196="Infraestrutura",AVERAGE('Pré Implantação'!D196,'Pré Implantação'!L196),""),"")</f>
        <v/>
      </c>
    </row>
    <row r="197" spans="1:15" x14ac:dyDescent="0.3">
      <c r="A197" s="33">
        <f>'Pré Implantação'!A197</f>
        <v>0</v>
      </c>
      <c r="B197" s="36">
        <f>'Pré Implantação'!C197</f>
        <v>0</v>
      </c>
      <c r="C197" s="34" t="str">
        <f>IFERROR(IF('Pré Implantação'!B197="Produção TI",AVERAGE('Pré Implantação'!D197,'Pré Implantação'!L197,'Pré Implantação'!E197,'Pré Implantação'!H197),AVERAGE('Pré Implantação'!E197,'Pré Implantação'!H197)),"")</f>
        <v/>
      </c>
      <c r="D197" s="34" t="str">
        <f>IFERROR(IF('Pré Implantação'!B197="CSC Service Desk",AVERAGE('Pré Implantação'!D197,'Pré Implantação'!L197,'Pré Implantação'!F197),AVERAGE('Pré Implantação'!F197)),"")</f>
        <v/>
      </c>
      <c r="E197" s="34" t="str">
        <f>IFERROR(IF('Pré Implantação'!B197="CSC NOC",AVERAGE('Pré Implantação'!D197,'Pré Implantação'!L197,'Pré Implantação'!G197),AVERAGE('Pré Implantação'!G197)),"")</f>
        <v/>
      </c>
      <c r="F197" s="34" t="str">
        <f>IFERROR(IF('Pré Implantação'!B197="CSE Gravadores",AVERAGE('Pré Implantação'!D197,'Pré Implantação'!L197,'Pré Implantação'!I197),AVERAGE('Pré Implantação'!I197)),"")</f>
        <v/>
      </c>
      <c r="G197" s="34" t="str">
        <f>IFERROR(IF('Pré Implantação'!B197="CSC",AVERAGE('Pré Implantação'!D197,'Pré Implantação'!L197,'Pré Implantação'!J197),AVERAGE('Pré Implantação'!J197)),"")</f>
        <v/>
      </c>
      <c r="H197" s="34" t="str">
        <f>IFERROR(IF('Pré Implantação'!B197="Operações \ Negócio",AVERAGE('Pré Implantação'!D197,'Pré Implantação'!L197,'Pré Implantação'!K197),AVERAGE('Pré Implantação'!K197)),"")</f>
        <v/>
      </c>
      <c r="I197" s="34" t="str">
        <f>IFERROR(IF('Pré Implantação'!B197="Projetos",AVERAGE('Pré Implantação'!D197,'Pré Implantação'!L197,'Pré Implantação'!M197),AVERAGE('Pré Implantação'!M197)),"")</f>
        <v/>
      </c>
      <c r="J197" s="34" t="str">
        <f>IFERROR(IF('Pré Implantação'!B197="Engenharia",AVERAGE('Pré Implantação'!D197,'Pré Implantação'!L197,'Pré Implantação'!N197),AVERAGE('Pré Implantação'!N197)),"")</f>
        <v/>
      </c>
      <c r="K197" s="34" t="str">
        <f>IFERROR(IF('Pré Implantação'!B197="URA",AVERAGE('Pré Implantação'!D197,'Pré Implantação'!L197),""),"")</f>
        <v/>
      </c>
      <c r="L197" s="34" t="str">
        <f>IFERROR(IF('Pré Implantação'!B197="CSE Microsoft",AVERAGE('Pré Implantação'!D197,'Pré Implantação'!L197),""),"")</f>
        <v/>
      </c>
      <c r="M197" s="34" t="str">
        <f>IFERROR(IF('Pré Implantação'!B197="CSE Telecom",AVERAGE('Pré Implantação'!D197,'Pré Implantação'!L197),""),"")</f>
        <v/>
      </c>
      <c r="N197" s="34" t="str">
        <f>IFERROR(IF('Pré Implantação'!B197="Site Suporte de Campo",AVERAGE('Pré Implantação'!D197,'Pré Implantação'!L197),""),"")</f>
        <v/>
      </c>
      <c r="O197" s="49" t="str">
        <f>IFERROR(IF('Pré Implantação'!B197="Infraestrutura",AVERAGE('Pré Implantação'!D197,'Pré Implantação'!L197),""),"")</f>
        <v/>
      </c>
    </row>
    <row r="198" spans="1:15" x14ac:dyDescent="0.3">
      <c r="A198" s="33">
        <f>'Pré Implantação'!A198</f>
        <v>0</v>
      </c>
      <c r="B198" s="36">
        <f>'Pré Implantação'!C198</f>
        <v>0</v>
      </c>
      <c r="C198" s="34" t="str">
        <f>IFERROR(IF('Pré Implantação'!B198="Produção TI",AVERAGE('Pré Implantação'!D198,'Pré Implantação'!L198,'Pré Implantação'!E198,'Pré Implantação'!H198),AVERAGE('Pré Implantação'!E198,'Pré Implantação'!H198)),"")</f>
        <v/>
      </c>
      <c r="D198" s="34" t="str">
        <f>IFERROR(IF('Pré Implantação'!B198="CSC Service Desk",AVERAGE('Pré Implantação'!D198,'Pré Implantação'!L198,'Pré Implantação'!F198),AVERAGE('Pré Implantação'!F198)),"")</f>
        <v/>
      </c>
      <c r="E198" s="34" t="str">
        <f>IFERROR(IF('Pré Implantação'!B198="CSC NOC",AVERAGE('Pré Implantação'!D198,'Pré Implantação'!L198,'Pré Implantação'!G198),AVERAGE('Pré Implantação'!G198)),"")</f>
        <v/>
      </c>
      <c r="F198" s="34" t="str">
        <f>IFERROR(IF('Pré Implantação'!B198="CSE Gravadores",AVERAGE('Pré Implantação'!D198,'Pré Implantação'!L198,'Pré Implantação'!I198),AVERAGE('Pré Implantação'!I198)),"")</f>
        <v/>
      </c>
      <c r="G198" s="34" t="str">
        <f>IFERROR(IF('Pré Implantação'!B198="CSC",AVERAGE('Pré Implantação'!D198,'Pré Implantação'!L198,'Pré Implantação'!J198),AVERAGE('Pré Implantação'!J198)),"")</f>
        <v/>
      </c>
      <c r="H198" s="34" t="str">
        <f>IFERROR(IF('Pré Implantação'!B198="Operações \ Negócio",AVERAGE('Pré Implantação'!D198,'Pré Implantação'!L198,'Pré Implantação'!K198),AVERAGE('Pré Implantação'!K198)),"")</f>
        <v/>
      </c>
      <c r="I198" s="34" t="str">
        <f>IFERROR(IF('Pré Implantação'!B198="Projetos",AVERAGE('Pré Implantação'!D198,'Pré Implantação'!L198,'Pré Implantação'!M198),AVERAGE('Pré Implantação'!M198)),"")</f>
        <v/>
      </c>
      <c r="J198" s="34" t="str">
        <f>IFERROR(IF('Pré Implantação'!B198="Engenharia",AVERAGE('Pré Implantação'!D198,'Pré Implantação'!L198,'Pré Implantação'!N198),AVERAGE('Pré Implantação'!N198)),"")</f>
        <v/>
      </c>
      <c r="K198" s="34" t="str">
        <f>IFERROR(IF('Pré Implantação'!B198="URA",AVERAGE('Pré Implantação'!D198,'Pré Implantação'!L198),""),"")</f>
        <v/>
      </c>
      <c r="L198" s="34" t="str">
        <f>IFERROR(IF('Pré Implantação'!B198="CSE Microsoft",AVERAGE('Pré Implantação'!D198,'Pré Implantação'!L198),""),"")</f>
        <v/>
      </c>
      <c r="M198" s="34" t="str">
        <f>IFERROR(IF('Pré Implantação'!B198="CSE Telecom",AVERAGE('Pré Implantação'!D198,'Pré Implantação'!L198),""),"")</f>
        <v/>
      </c>
      <c r="N198" s="34" t="str">
        <f>IFERROR(IF('Pré Implantação'!B198="Site Suporte de Campo",AVERAGE('Pré Implantação'!D198,'Pré Implantação'!L198),""),"")</f>
        <v/>
      </c>
      <c r="O198" s="49" t="str">
        <f>IFERROR(IF('Pré Implantação'!B198="Infraestrutura",AVERAGE('Pré Implantação'!D198,'Pré Implantação'!L198),""),"")</f>
        <v/>
      </c>
    </row>
    <row r="199" spans="1:15" x14ac:dyDescent="0.3">
      <c r="A199" s="33">
        <f>'Pré Implantação'!A199</f>
        <v>0</v>
      </c>
      <c r="B199" s="36">
        <f>'Pré Implantação'!C199</f>
        <v>0</v>
      </c>
      <c r="C199" s="34" t="str">
        <f>IFERROR(IF('Pré Implantação'!B199="Produção TI",AVERAGE('Pré Implantação'!D199,'Pré Implantação'!L199,'Pré Implantação'!E199,'Pré Implantação'!H199),AVERAGE('Pré Implantação'!E199,'Pré Implantação'!H199)),"")</f>
        <v/>
      </c>
      <c r="D199" s="34" t="str">
        <f>IFERROR(IF('Pré Implantação'!B199="CSC Service Desk",AVERAGE('Pré Implantação'!D199,'Pré Implantação'!L199,'Pré Implantação'!F199),AVERAGE('Pré Implantação'!F199)),"")</f>
        <v/>
      </c>
      <c r="E199" s="34" t="str">
        <f>IFERROR(IF('Pré Implantação'!B199="CSC NOC",AVERAGE('Pré Implantação'!D199,'Pré Implantação'!L199,'Pré Implantação'!G199),AVERAGE('Pré Implantação'!G199)),"")</f>
        <v/>
      </c>
      <c r="F199" s="34" t="str">
        <f>IFERROR(IF('Pré Implantação'!B199="CSE Gravadores",AVERAGE('Pré Implantação'!D199,'Pré Implantação'!L199,'Pré Implantação'!I199),AVERAGE('Pré Implantação'!I199)),"")</f>
        <v/>
      </c>
      <c r="G199" s="34" t="str">
        <f>IFERROR(IF('Pré Implantação'!B199="CSC",AVERAGE('Pré Implantação'!D199,'Pré Implantação'!L199,'Pré Implantação'!J199),AVERAGE('Pré Implantação'!J199)),"")</f>
        <v/>
      </c>
      <c r="H199" s="34" t="str">
        <f>IFERROR(IF('Pré Implantação'!B199="Operações \ Negócio",AVERAGE('Pré Implantação'!D199,'Pré Implantação'!L199,'Pré Implantação'!K199),AVERAGE('Pré Implantação'!K199)),"")</f>
        <v/>
      </c>
      <c r="I199" s="34" t="str">
        <f>IFERROR(IF('Pré Implantação'!B199="Projetos",AVERAGE('Pré Implantação'!D199,'Pré Implantação'!L199,'Pré Implantação'!M199),AVERAGE('Pré Implantação'!M199)),"")</f>
        <v/>
      </c>
      <c r="J199" s="34" t="str">
        <f>IFERROR(IF('Pré Implantação'!B199="Engenharia",AVERAGE('Pré Implantação'!D199,'Pré Implantação'!L199,'Pré Implantação'!N199),AVERAGE('Pré Implantação'!N199)),"")</f>
        <v/>
      </c>
      <c r="K199" s="34" t="str">
        <f>IFERROR(IF('Pré Implantação'!B199="URA",AVERAGE('Pré Implantação'!D199,'Pré Implantação'!L199),""),"")</f>
        <v/>
      </c>
      <c r="L199" s="34" t="str">
        <f>IFERROR(IF('Pré Implantação'!B199="CSE Microsoft",AVERAGE('Pré Implantação'!D199,'Pré Implantação'!L199),""),"")</f>
        <v/>
      </c>
      <c r="M199" s="34" t="str">
        <f>IFERROR(IF('Pré Implantação'!B199="CSE Telecom",AVERAGE('Pré Implantação'!D199,'Pré Implantação'!L199),""),"")</f>
        <v/>
      </c>
      <c r="N199" s="34" t="str">
        <f>IFERROR(IF('Pré Implantação'!B199="Site Suporte de Campo",AVERAGE('Pré Implantação'!D199,'Pré Implantação'!L199),""),"")</f>
        <v/>
      </c>
      <c r="O199" s="49" t="str">
        <f>IFERROR(IF('Pré Implantação'!B199="Infraestrutura",AVERAGE('Pré Implantação'!D199,'Pré Implantação'!L199),""),"")</f>
        <v/>
      </c>
    </row>
    <row r="200" spans="1:15" x14ac:dyDescent="0.3">
      <c r="A200" s="33">
        <f>'Pré Implantação'!A200</f>
        <v>0</v>
      </c>
      <c r="B200" s="36">
        <f>'Pré Implantação'!C200</f>
        <v>0</v>
      </c>
      <c r="C200" s="34" t="str">
        <f>IFERROR(IF('Pré Implantação'!B200="Produção TI",AVERAGE('Pré Implantação'!D200,'Pré Implantação'!L200,'Pré Implantação'!E200,'Pré Implantação'!H200),AVERAGE('Pré Implantação'!E200,'Pré Implantação'!H200)),"")</f>
        <v/>
      </c>
      <c r="D200" s="34" t="str">
        <f>IFERROR(IF('Pré Implantação'!B200="CSC Service Desk",AVERAGE('Pré Implantação'!D200,'Pré Implantação'!L200,'Pré Implantação'!F200),AVERAGE('Pré Implantação'!F200)),"")</f>
        <v/>
      </c>
      <c r="E200" s="34" t="str">
        <f>IFERROR(IF('Pré Implantação'!B200="CSC NOC",AVERAGE('Pré Implantação'!D200,'Pré Implantação'!L200,'Pré Implantação'!G200),AVERAGE('Pré Implantação'!G200)),"")</f>
        <v/>
      </c>
      <c r="F200" s="34" t="str">
        <f>IFERROR(IF('Pré Implantação'!B200="CSE Gravadores",AVERAGE('Pré Implantação'!D200,'Pré Implantação'!L200,'Pré Implantação'!I200),AVERAGE('Pré Implantação'!I200)),"")</f>
        <v/>
      </c>
      <c r="G200" s="34" t="str">
        <f>IFERROR(IF('Pré Implantação'!B200="CSC",AVERAGE('Pré Implantação'!D200,'Pré Implantação'!L200,'Pré Implantação'!J200),AVERAGE('Pré Implantação'!J200)),"")</f>
        <v/>
      </c>
      <c r="H200" s="34" t="str">
        <f>IFERROR(IF('Pré Implantação'!B200="Operações \ Negócio",AVERAGE('Pré Implantação'!D200,'Pré Implantação'!L200,'Pré Implantação'!K200),AVERAGE('Pré Implantação'!K200)),"")</f>
        <v/>
      </c>
      <c r="I200" s="34" t="str">
        <f>IFERROR(IF('Pré Implantação'!B200="Projetos",AVERAGE('Pré Implantação'!D200,'Pré Implantação'!L200,'Pré Implantação'!M200),AVERAGE('Pré Implantação'!M200)),"")</f>
        <v/>
      </c>
      <c r="J200" s="34" t="str">
        <f>IFERROR(IF('Pré Implantação'!B200="Engenharia",AVERAGE('Pré Implantação'!D200,'Pré Implantação'!L200,'Pré Implantação'!N200),AVERAGE('Pré Implantação'!N200)),"")</f>
        <v/>
      </c>
      <c r="K200" s="34" t="str">
        <f>IFERROR(IF('Pré Implantação'!B200="URA",AVERAGE('Pré Implantação'!D200,'Pré Implantação'!L200),""),"")</f>
        <v/>
      </c>
      <c r="L200" s="34" t="str">
        <f>IFERROR(IF('Pré Implantação'!B200="CSE Microsoft",AVERAGE('Pré Implantação'!D200,'Pré Implantação'!L200),""),"")</f>
        <v/>
      </c>
      <c r="M200" s="34" t="str">
        <f>IFERROR(IF('Pré Implantação'!B200="CSE Telecom",AVERAGE('Pré Implantação'!D200,'Pré Implantação'!L200),""),"")</f>
        <v/>
      </c>
      <c r="N200" s="34" t="str">
        <f>IFERROR(IF('Pré Implantação'!B200="Site Suporte de Campo",AVERAGE('Pré Implantação'!D200,'Pré Implantação'!L200),""),"")</f>
        <v/>
      </c>
      <c r="O200" s="49" t="str">
        <f>IFERROR(IF('Pré Implantação'!B200="Infraestrutura",AVERAGE('Pré Implantação'!D200,'Pré Implantação'!L200),""),"")</f>
        <v/>
      </c>
    </row>
    <row r="201" spans="1:15" x14ac:dyDescent="0.3">
      <c r="A201" s="33">
        <f>'Pré Implantação'!A201</f>
        <v>0</v>
      </c>
      <c r="B201" s="36">
        <f>'Pré Implantação'!C201</f>
        <v>0</v>
      </c>
      <c r="C201" s="34" t="str">
        <f>IFERROR(IF('Pré Implantação'!B201="Produção TI",AVERAGE('Pré Implantação'!D201,'Pré Implantação'!L201,'Pré Implantação'!E201,'Pré Implantação'!H201),AVERAGE('Pré Implantação'!E201,'Pré Implantação'!H201)),"")</f>
        <v/>
      </c>
      <c r="D201" s="34" t="str">
        <f>IFERROR(IF('Pré Implantação'!B201="CSC Service Desk",AVERAGE('Pré Implantação'!D201,'Pré Implantação'!L201,'Pré Implantação'!F201),AVERAGE('Pré Implantação'!F201)),"")</f>
        <v/>
      </c>
      <c r="E201" s="34" t="str">
        <f>IFERROR(IF('Pré Implantação'!B201="CSC NOC",AVERAGE('Pré Implantação'!D201,'Pré Implantação'!L201,'Pré Implantação'!G201),AVERAGE('Pré Implantação'!G201)),"")</f>
        <v/>
      </c>
      <c r="F201" s="34" t="str">
        <f>IFERROR(IF('Pré Implantação'!B201="CSE Gravadores",AVERAGE('Pré Implantação'!D201,'Pré Implantação'!L201,'Pré Implantação'!I201),AVERAGE('Pré Implantação'!I201)),"")</f>
        <v/>
      </c>
      <c r="G201" s="34" t="str">
        <f>IFERROR(IF('Pré Implantação'!B201="CSC",AVERAGE('Pré Implantação'!D201,'Pré Implantação'!L201,'Pré Implantação'!J201),AVERAGE('Pré Implantação'!J201)),"")</f>
        <v/>
      </c>
      <c r="H201" s="34" t="str">
        <f>IFERROR(IF('Pré Implantação'!B201="Operações \ Negócio",AVERAGE('Pré Implantação'!D201,'Pré Implantação'!L201,'Pré Implantação'!K201),AVERAGE('Pré Implantação'!K201)),"")</f>
        <v/>
      </c>
      <c r="I201" s="34" t="str">
        <f>IFERROR(IF('Pré Implantação'!B201="Projetos",AVERAGE('Pré Implantação'!D201,'Pré Implantação'!L201,'Pré Implantação'!M201),AVERAGE('Pré Implantação'!M201)),"")</f>
        <v/>
      </c>
      <c r="J201" s="34" t="str">
        <f>IFERROR(IF('Pré Implantação'!B201="Engenharia",AVERAGE('Pré Implantação'!D201,'Pré Implantação'!L201,'Pré Implantação'!N201),AVERAGE('Pré Implantação'!N201)),"")</f>
        <v/>
      </c>
      <c r="K201" s="34" t="str">
        <f>IFERROR(IF('Pré Implantação'!B201="URA",AVERAGE('Pré Implantação'!D201,'Pré Implantação'!L201),""),"")</f>
        <v/>
      </c>
      <c r="L201" s="34" t="str">
        <f>IFERROR(IF('Pré Implantação'!B201="CSE Microsoft",AVERAGE('Pré Implantação'!D201,'Pré Implantação'!L201),""),"")</f>
        <v/>
      </c>
      <c r="M201" s="34" t="str">
        <f>IFERROR(IF('Pré Implantação'!B201="CSE Telecom",AVERAGE('Pré Implantação'!D201,'Pré Implantação'!L201),""),"")</f>
        <v/>
      </c>
      <c r="N201" s="34" t="str">
        <f>IFERROR(IF('Pré Implantação'!B201="Site Suporte de Campo",AVERAGE('Pré Implantação'!D201,'Pré Implantação'!L201),""),"")</f>
        <v/>
      </c>
      <c r="O201" s="49" t="str">
        <f>IFERROR(IF('Pré Implantação'!B201="Infraestrutura",AVERAGE('Pré Implantação'!D201,'Pré Implantação'!L201),""),"")</f>
        <v/>
      </c>
    </row>
    <row r="202" spans="1:15" x14ac:dyDescent="0.3">
      <c r="A202" s="33">
        <f>'Pré Implantação'!A202</f>
        <v>0</v>
      </c>
      <c r="B202" s="36">
        <f>'Pré Implantação'!C202</f>
        <v>0</v>
      </c>
      <c r="C202" s="34" t="str">
        <f>IFERROR(IF('Pré Implantação'!B202="Produção TI",AVERAGE('Pré Implantação'!D202,'Pré Implantação'!L202,'Pré Implantação'!E202,'Pré Implantação'!H202),AVERAGE('Pré Implantação'!E202,'Pré Implantação'!H202)),"")</f>
        <v/>
      </c>
      <c r="D202" s="34" t="str">
        <f>IFERROR(IF('Pré Implantação'!B202="CSC Service Desk",AVERAGE('Pré Implantação'!D202,'Pré Implantação'!L202,'Pré Implantação'!F202),AVERAGE('Pré Implantação'!F202)),"")</f>
        <v/>
      </c>
      <c r="E202" s="34" t="str">
        <f>IFERROR(IF('Pré Implantação'!B202="CSC NOC",AVERAGE('Pré Implantação'!D202,'Pré Implantação'!L202,'Pré Implantação'!G202),AVERAGE('Pré Implantação'!G202)),"")</f>
        <v/>
      </c>
      <c r="F202" s="34" t="str">
        <f>IFERROR(IF('Pré Implantação'!B202="CSE Gravadores",AVERAGE('Pré Implantação'!D202,'Pré Implantação'!L202,'Pré Implantação'!I202),AVERAGE('Pré Implantação'!I202)),"")</f>
        <v/>
      </c>
      <c r="G202" s="34" t="str">
        <f>IFERROR(IF('Pré Implantação'!B202="CSC",AVERAGE('Pré Implantação'!D202,'Pré Implantação'!L202,'Pré Implantação'!J202),AVERAGE('Pré Implantação'!J202)),"")</f>
        <v/>
      </c>
      <c r="H202" s="34" t="str">
        <f>IFERROR(IF('Pré Implantação'!B202="Operações \ Negócio",AVERAGE('Pré Implantação'!D202,'Pré Implantação'!L202,'Pré Implantação'!K202),AVERAGE('Pré Implantação'!K202)),"")</f>
        <v/>
      </c>
      <c r="I202" s="34" t="str">
        <f>IFERROR(IF('Pré Implantação'!B202="Projetos",AVERAGE('Pré Implantação'!D202,'Pré Implantação'!L202,'Pré Implantação'!M202),AVERAGE('Pré Implantação'!M202)),"")</f>
        <v/>
      </c>
      <c r="J202" s="34" t="str">
        <f>IFERROR(IF('Pré Implantação'!B202="Engenharia",AVERAGE('Pré Implantação'!D202,'Pré Implantação'!L202,'Pré Implantação'!N202),AVERAGE('Pré Implantação'!N202)),"")</f>
        <v/>
      </c>
      <c r="K202" s="34" t="str">
        <f>IFERROR(IF('Pré Implantação'!B202="URA",AVERAGE('Pré Implantação'!D202,'Pré Implantação'!L202),""),"")</f>
        <v/>
      </c>
      <c r="L202" s="34" t="str">
        <f>IFERROR(IF('Pré Implantação'!B202="CSE Microsoft",AVERAGE('Pré Implantação'!D202,'Pré Implantação'!L202),""),"")</f>
        <v/>
      </c>
      <c r="M202" s="34" t="str">
        <f>IFERROR(IF('Pré Implantação'!B202="CSE Telecom",AVERAGE('Pré Implantação'!D202,'Pré Implantação'!L202),""),"")</f>
        <v/>
      </c>
      <c r="N202" s="34" t="str">
        <f>IFERROR(IF('Pré Implantação'!B202="Site Suporte de Campo",AVERAGE('Pré Implantação'!D202,'Pré Implantação'!L202),""),"")</f>
        <v/>
      </c>
      <c r="O202" s="49" t="str">
        <f>IFERROR(IF('Pré Implantação'!B202="Infraestrutura",AVERAGE('Pré Implantação'!D202,'Pré Implantação'!L202),""),"")</f>
        <v/>
      </c>
    </row>
    <row r="203" spans="1:15" x14ac:dyDescent="0.3">
      <c r="A203" s="33">
        <f>'Pré Implantação'!A203</f>
        <v>0</v>
      </c>
      <c r="B203" s="36">
        <f>'Pré Implantação'!C203</f>
        <v>0</v>
      </c>
      <c r="C203" s="34" t="str">
        <f>IFERROR(IF('Pré Implantação'!B203="Produção TI",AVERAGE('Pré Implantação'!D203,'Pré Implantação'!L203,'Pré Implantação'!E203,'Pré Implantação'!H203),AVERAGE('Pré Implantação'!E203,'Pré Implantação'!H203)),"")</f>
        <v/>
      </c>
      <c r="D203" s="34" t="str">
        <f>IFERROR(IF('Pré Implantação'!B203="CSC Service Desk",AVERAGE('Pré Implantação'!D203,'Pré Implantação'!L203,'Pré Implantação'!F203),AVERAGE('Pré Implantação'!F203)),"")</f>
        <v/>
      </c>
      <c r="E203" s="34" t="str">
        <f>IFERROR(IF('Pré Implantação'!B203="CSC NOC",AVERAGE('Pré Implantação'!D203,'Pré Implantação'!L203,'Pré Implantação'!G203),AVERAGE('Pré Implantação'!G203)),"")</f>
        <v/>
      </c>
      <c r="F203" s="34" t="str">
        <f>IFERROR(IF('Pré Implantação'!B203="CSE Gravadores",AVERAGE('Pré Implantação'!D203,'Pré Implantação'!L203,'Pré Implantação'!I203),AVERAGE('Pré Implantação'!I203)),"")</f>
        <v/>
      </c>
      <c r="G203" s="34" t="str">
        <f>IFERROR(IF('Pré Implantação'!B203="CSC",AVERAGE('Pré Implantação'!D203,'Pré Implantação'!L203,'Pré Implantação'!J203),AVERAGE('Pré Implantação'!J203)),"")</f>
        <v/>
      </c>
      <c r="H203" s="34" t="str">
        <f>IFERROR(IF('Pré Implantação'!B203="Operações \ Negócio",AVERAGE('Pré Implantação'!D203,'Pré Implantação'!L203,'Pré Implantação'!K203),AVERAGE('Pré Implantação'!K203)),"")</f>
        <v/>
      </c>
      <c r="I203" s="34" t="str">
        <f>IFERROR(IF('Pré Implantação'!B203="Projetos",AVERAGE('Pré Implantação'!D203,'Pré Implantação'!L203,'Pré Implantação'!M203),AVERAGE('Pré Implantação'!M203)),"")</f>
        <v/>
      </c>
      <c r="J203" s="34" t="str">
        <f>IFERROR(IF('Pré Implantação'!B203="Engenharia",AVERAGE('Pré Implantação'!D203,'Pré Implantação'!L203,'Pré Implantação'!N203),AVERAGE('Pré Implantação'!N203)),"")</f>
        <v/>
      </c>
      <c r="K203" s="34" t="str">
        <f>IFERROR(IF('Pré Implantação'!B203="URA",AVERAGE('Pré Implantação'!D203,'Pré Implantação'!L203),""),"")</f>
        <v/>
      </c>
      <c r="L203" s="34" t="str">
        <f>IFERROR(IF('Pré Implantação'!B203="CSE Microsoft",AVERAGE('Pré Implantação'!D203,'Pré Implantação'!L203),""),"")</f>
        <v/>
      </c>
      <c r="M203" s="34" t="str">
        <f>IFERROR(IF('Pré Implantação'!B203="CSE Telecom",AVERAGE('Pré Implantação'!D203,'Pré Implantação'!L203),""),"")</f>
        <v/>
      </c>
      <c r="N203" s="34" t="str">
        <f>IFERROR(IF('Pré Implantação'!B203="Site Suporte de Campo",AVERAGE('Pré Implantação'!D203,'Pré Implantação'!L203),""),"")</f>
        <v/>
      </c>
      <c r="O203" s="49" t="str">
        <f>IFERROR(IF('Pré Implantação'!B203="Infraestrutura",AVERAGE('Pré Implantação'!D203,'Pré Implantação'!L203),""),"")</f>
        <v/>
      </c>
    </row>
    <row r="204" spans="1:15" x14ac:dyDescent="0.3">
      <c r="A204" s="33">
        <f>'Pré Implantação'!A204</f>
        <v>0</v>
      </c>
      <c r="B204" s="36">
        <f>'Pré Implantação'!C204</f>
        <v>0</v>
      </c>
      <c r="C204" s="34" t="str">
        <f>IFERROR(IF('Pré Implantação'!B204="Produção TI",AVERAGE('Pré Implantação'!D204,'Pré Implantação'!L204,'Pré Implantação'!E204,'Pré Implantação'!H204),AVERAGE('Pré Implantação'!E204,'Pré Implantação'!H204)),"")</f>
        <v/>
      </c>
      <c r="D204" s="34" t="str">
        <f>IFERROR(IF('Pré Implantação'!B204="CSC Service Desk",AVERAGE('Pré Implantação'!D204,'Pré Implantação'!L204,'Pré Implantação'!F204),AVERAGE('Pré Implantação'!F204)),"")</f>
        <v/>
      </c>
      <c r="E204" s="34" t="str">
        <f>IFERROR(IF('Pré Implantação'!B204="CSC NOC",AVERAGE('Pré Implantação'!D204,'Pré Implantação'!L204,'Pré Implantação'!G204),AVERAGE('Pré Implantação'!G204)),"")</f>
        <v/>
      </c>
      <c r="F204" s="34" t="str">
        <f>IFERROR(IF('Pré Implantação'!B204="CSE Gravadores",AVERAGE('Pré Implantação'!D204,'Pré Implantação'!L204,'Pré Implantação'!I204),AVERAGE('Pré Implantação'!I204)),"")</f>
        <v/>
      </c>
      <c r="G204" s="34" t="str">
        <f>IFERROR(IF('Pré Implantação'!B204="CSC",AVERAGE('Pré Implantação'!D204,'Pré Implantação'!L204,'Pré Implantação'!J204),AVERAGE('Pré Implantação'!J204)),"")</f>
        <v/>
      </c>
      <c r="H204" s="34" t="str">
        <f>IFERROR(IF('Pré Implantação'!B204="Operações \ Negócio",AVERAGE('Pré Implantação'!D204,'Pré Implantação'!L204,'Pré Implantação'!K204),AVERAGE('Pré Implantação'!K204)),"")</f>
        <v/>
      </c>
      <c r="I204" s="34" t="str">
        <f>IFERROR(IF('Pré Implantação'!B204="Projetos",AVERAGE('Pré Implantação'!D204,'Pré Implantação'!L204,'Pré Implantação'!M204),AVERAGE('Pré Implantação'!M204)),"")</f>
        <v/>
      </c>
      <c r="J204" s="34" t="str">
        <f>IFERROR(IF('Pré Implantação'!B204="Engenharia",AVERAGE('Pré Implantação'!D204,'Pré Implantação'!L204,'Pré Implantação'!N204),AVERAGE('Pré Implantação'!N204)),"")</f>
        <v/>
      </c>
      <c r="K204" s="34" t="str">
        <f>IFERROR(IF('Pré Implantação'!B204="URA",AVERAGE('Pré Implantação'!D204,'Pré Implantação'!L204),""),"")</f>
        <v/>
      </c>
      <c r="L204" s="34" t="str">
        <f>IFERROR(IF('Pré Implantação'!B204="CSE Microsoft",AVERAGE('Pré Implantação'!D204,'Pré Implantação'!L204),""),"")</f>
        <v/>
      </c>
      <c r="M204" s="34" t="str">
        <f>IFERROR(IF('Pré Implantação'!B204="CSE Telecom",AVERAGE('Pré Implantação'!D204,'Pré Implantação'!L204),""),"")</f>
        <v/>
      </c>
      <c r="N204" s="34" t="str">
        <f>IFERROR(IF('Pré Implantação'!B204="Site Suporte de Campo",AVERAGE('Pré Implantação'!D204,'Pré Implantação'!L204),""),"")</f>
        <v/>
      </c>
      <c r="O204" s="49" t="str">
        <f>IFERROR(IF('Pré Implantação'!B204="Infraestrutura",AVERAGE('Pré Implantação'!D204,'Pré Implantação'!L204),""),"")</f>
        <v/>
      </c>
    </row>
    <row r="205" spans="1:15" x14ac:dyDescent="0.3">
      <c r="A205" s="33">
        <f>'Pré Implantação'!A205</f>
        <v>0</v>
      </c>
      <c r="B205" s="36">
        <f>'Pré Implantação'!C205</f>
        <v>0</v>
      </c>
      <c r="C205" s="34" t="str">
        <f>IFERROR(IF('Pré Implantação'!B205="Produção TI",AVERAGE('Pré Implantação'!D205,'Pré Implantação'!L205,'Pré Implantação'!E205,'Pré Implantação'!H205),AVERAGE('Pré Implantação'!E205,'Pré Implantação'!H205)),"")</f>
        <v/>
      </c>
      <c r="D205" s="34" t="str">
        <f>IFERROR(IF('Pré Implantação'!B205="CSC Service Desk",AVERAGE('Pré Implantação'!D205,'Pré Implantação'!L205,'Pré Implantação'!F205),AVERAGE('Pré Implantação'!F205)),"")</f>
        <v/>
      </c>
      <c r="E205" s="34" t="str">
        <f>IFERROR(IF('Pré Implantação'!B205="CSC NOC",AVERAGE('Pré Implantação'!D205,'Pré Implantação'!L205,'Pré Implantação'!G205),AVERAGE('Pré Implantação'!G205)),"")</f>
        <v/>
      </c>
      <c r="F205" s="34" t="str">
        <f>IFERROR(IF('Pré Implantação'!B205="CSE Gravadores",AVERAGE('Pré Implantação'!D205,'Pré Implantação'!L205,'Pré Implantação'!I205),AVERAGE('Pré Implantação'!I205)),"")</f>
        <v/>
      </c>
      <c r="G205" s="34" t="str">
        <f>IFERROR(IF('Pré Implantação'!B205="CSC",AVERAGE('Pré Implantação'!D205,'Pré Implantação'!L205,'Pré Implantação'!J205),AVERAGE('Pré Implantação'!J205)),"")</f>
        <v/>
      </c>
      <c r="H205" s="34" t="str">
        <f>IFERROR(IF('Pré Implantação'!B205="Operações \ Negócio",AVERAGE('Pré Implantação'!D205,'Pré Implantação'!L205,'Pré Implantação'!K205),AVERAGE('Pré Implantação'!K205)),"")</f>
        <v/>
      </c>
      <c r="I205" s="34" t="str">
        <f>IFERROR(IF('Pré Implantação'!B205="Projetos",AVERAGE('Pré Implantação'!D205,'Pré Implantação'!L205,'Pré Implantação'!M205),AVERAGE('Pré Implantação'!M205)),"")</f>
        <v/>
      </c>
      <c r="J205" s="34" t="str">
        <f>IFERROR(IF('Pré Implantação'!B205="Engenharia",AVERAGE('Pré Implantação'!D205,'Pré Implantação'!L205,'Pré Implantação'!N205),AVERAGE('Pré Implantação'!N205)),"")</f>
        <v/>
      </c>
      <c r="K205" s="34" t="str">
        <f>IFERROR(IF('Pré Implantação'!B205="URA",AVERAGE('Pré Implantação'!D205,'Pré Implantação'!L205),""),"")</f>
        <v/>
      </c>
      <c r="L205" s="34" t="str">
        <f>IFERROR(IF('Pré Implantação'!B205="CSE Microsoft",AVERAGE('Pré Implantação'!D205,'Pré Implantação'!L205),""),"")</f>
        <v/>
      </c>
      <c r="M205" s="34" t="str">
        <f>IFERROR(IF('Pré Implantação'!B205="CSE Telecom",AVERAGE('Pré Implantação'!D205,'Pré Implantação'!L205),""),"")</f>
        <v/>
      </c>
      <c r="N205" s="34" t="str">
        <f>IFERROR(IF('Pré Implantação'!B205="Site Suporte de Campo",AVERAGE('Pré Implantação'!D205,'Pré Implantação'!L205),""),"")</f>
        <v/>
      </c>
      <c r="O205" s="49" t="str">
        <f>IFERROR(IF('Pré Implantação'!B205="Infraestrutura",AVERAGE('Pré Implantação'!D205,'Pré Implantação'!L205),""),"")</f>
        <v/>
      </c>
    </row>
    <row r="206" spans="1:15" x14ac:dyDescent="0.3">
      <c r="A206" s="33">
        <f>'Pré Implantação'!A206</f>
        <v>0</v>
      </c>
      <c r="B206" s="36">
        <f>'Pré Implantação'!C206</f>
        <v>0</v>
      </c>
      <c r="C206" s="34" t="str">
        <f>IFERROR(IF('Pré Implantação'!B206="Produção TI",AVERAGE('Pré Implantação'!D206,'Pré Implantação'!L206,'Pré Implantação'!E206,'Pré Implantação'!H206),AVERAGE('Pré Implantação'!E206,'Pré Implantação'!H206)),"")</f>
        <v/>
      </c>
      <c r="D206" s="34" t="str">
        <f>IFERROR(IF('Pré Implantação'!B206="CSC Service Desk",AVERAGE('Pré Implantação'!D206,'Pré Implantação'!L206,'Pré Implantação'!F206),AVERAGE('Pré Implantação'!F206)),"")</f>
        <v/>
      </c>
      <c r="E206" s="34" t="str">
        <f>IFERROR(IF('Pré Implantação'!B206="CSC NOC",AVERAGE('Pré Implantação'!D206,'Pré Implantação'!L206,'Pré Implantação'!G206),AVERAGE('Pré Implantação'!G206)),"")</f>
        <v/>
      </c>
      <c r="F206" s="34" t="str">
        <f>IFERROR(IF('Pré Implantação'!B206="CSE Gravadores",AVERAGE('Pré Implantação'!D206,'Pré Implantação'!L206,'Pré Implantação'!I206),AVERAGE('Pré Implantação'!I206)),"")</f>
        <v/>
      </c>
      <c r="G206" s="34" t="str">
        <f>IFERROR(IF('Pré Implantação'!B206="CSC",AVERAGE('Pré Implantação'!D206,'Pré Implantação'!L206,'Pré Implantação'!J206),AVERAGE('Pré Implantação'!J206)),"")</f>
        <v/>
      </c>
      <c r="H206" s="34" t="str">
        <f>IFERROR(IF('Pré Implantação'!B206="Operações \ Negócio",AVERAGE('Pré Implantação'!D206,'Pré Implantação'!L206,'Pré Implantação'!K206),AVERAGE('Pré Implantação'!K206)),"")</f>
        <v/>
      </c>
      <c r="I206" s="34" t="str">
        <f>IFERROR(IF('Pré Implantação'!B206="Projetos",AVERAGE('Pré Implantação'!D206,'Pré Implantação'!L206,'Pré Implantação'!M206),AVERAGE('Pré Implantação'!M206)),"")</f>
        <v/>
      </c>
      <c r="J206" s="34" t="str">
        <f>IFERROR(IF('Pré Implantação'!B206="Engenharia",AVERAGE('Pré Implantação'!D206,'Pré Implantação'!L206,'Pré Implantação'!N206),AVERAGE('Pré Implantação'!N206)),"")</f>
        <v/>
      </c>
      <c r="K206" s="34" t="str">
        <f>IFERROR(IF('Pré Implantação'!B206="URA",AVERAGE('Pré Implantação'!D206,'Pré Implantação'!L206),""),"")</f>
        <v/>
      </c>
      <c r="L206" s="34" t="str">
        <f>IFERROR(IF('Pré Implantação'!B206="CSE Microsoft",AVERAGE('Pré Implantação'!D206,'Pré Implantação'!L206),""),"")</f>
        <v/>
      </c>
      <c r="M206" s="34" t="str">
        <f>IFERROR(IF('Pré Implantação'!B206="CSE Telecom",AVERAGE('Pré Implantação'!D206,'Pré Implantação'!L206),""),"")</f>
        <v/>
      </c>
      <c r="N206" s="34" t="str">
        <f>IFERROR(IF('Pré Implantação'!B206="Site Suporte de Campo",AVERAGE('Pré Implantação'!D206,'Pré Implantação'!L206),""),"")</f>
        <v/>
      </c>
      <c r="O206" s="49" t="str">
        <f>IFERROR(IF('Pré Implantação'!B206="Infraestrutura",AVERAGE('Pré Implantação'!D206,'Pré Implantação'!L206),""),"")</f>
        <v/>
      </c>
    </row>
    <row r="207" spans="1:15" x14ac:dyDescent="0.3">
      <c r="A207" s="33">
        <f>'Pré Implantação'!A207</f>
        <v>0</v>
      </c>
      <c r="B207" s="36">
        <f>'Pré Implantação'!C207</f>
        <v>0</v>
      </c>
      <c r="C207" s="34" t="str">
        <f>IFERROR(IF('Pré Implantação'!B207="Produção TI",AVERAGE('Pré Implantação'!D207,'Pré Implantação'!L207,'Pré Implantação'!E207,'Pré Implantação'!H207),AVERAGE('Pré Implantação'!E207,'Pré Implantação'!H207)),"")</f>
        <v/>
      </c>
      <c r="D207" s="34" t="str">
        <f>IFERROR(IF('Pré Implantação'!B207="CSC Service Desk",AVERAGE('Pré Implantação'!D207,'Pré Implantação'!L207,'Pré Implantação'!F207),AVERAGE('Pré Implantação'!F207)),"")</f>
        <v/>
      </c>
      <c r="E207" s="34" t="str">
        <f>IFERROR(IF('Pré Implantação'!B207="CSC NOC",AVERAGE('Pré Implantação'!D207,'Pré Implantação'!L207,'Pré Implantação'!G207),AVERAGE('Pré Implantação'!G207)),"")</f>
        <v/>
      </c>
      <c r="F207" s="34" t="str">
        <f>IFERROR(IF('Pré Implantação'!B207="CSE Gravadores",AVERAGE('Pré Implantação'!D207,'Pré Implantação'!L207,'Pré Implantação'!I207),AVERAGE('Pré Implantação'!I207)),"")</f>
        <v/>
      </c>
      <c r="G207" s="34" t="str">
        <f>IFERROR(IF('Pré Implantação'!B207="CSC",AVERAGE('Pré Implantação'!D207,'Pré Implantação'!L207,'Pré Implantação'!J207),AVERAGE('Pré Implantação'!J207)),"")</f>
        <v/>
      </c>
      <c r="H207" s="34" t="str">
        <f>IFERROR(IF('Pré Implantação'!B207="Operações \ Negócio",AVERAGE('Pré Implantação'!D207,'Pré Implantação'!L207,'Pré Implantação'!K207),AVERAGE('Pré Implantação'!K207)),"")</f>
        <v/>
      </c>
      <c r="I207" s="34" t="str">
        <f>IFERROR(IF('Pré Implantação'!B207="Projetos",AVERAGE('Pré Implantação'!D207,'Pré Implantação'!L207,'Pré Implantação'!M207),AVERAGE('Pré Implantação'!M207)),"")</f>
        <v/>
      </c>
      <c r="J207" s="34" t="str">
        <f>IFERROR(IF('Pré Implantação'!B207="Engenharia",AVERAGE('Pré Implantação'!D207,'Pré Implantação'!L207,'Pré Implantação'!N207),AVERAGE('Pré Implantação'!N207)),"")</f>
        <v/>
      </c>
      <c r="K207" s="34" t="str">
        <f>IFERROR(IF('Pré Implantação'!B207="URA",AVERAGE('Pré Implantação'!D207,'Pré Implantação'!L207),""),"")</f>
        <v/>
      </c>
      <c r="L207" s="34" t="str">
        <f>IFERROR(IF('Pré Implantação'!B207="CSE Microsoft",AVERAGE('Pré Implantação'!D207,'Pré Implantação'!L207),""),"")</f>
        <v/>
      </c>
      <c r="M207" s="34" t="str">
        <f>IFERROR(IF('Pré Implantação'!B207="CSE Telecom",AVERAGE('Pré Implantação'!D207,'Pré Implantação'!L207),""),"")</f>
        <v/>
      </c>
      <c r="N207" s="34" t="str">
        <f>IFERROR(IF('Pré Implantação'!B207="Site Suporte de Campo",AVERAGE('Pré Implantação'!D207,'Pré Implantação'!L207),""),"")</f>
        <v/>
      </c>
      <c r="O207" s="49" t="str">
        <f>IFERROR(IF('Pré Implantação'!B207="Infraestrutura",AVERAGE('Pré Implantação'!D207,'Pré Implantação'!L207),""),"")</f>
        <v/>
      </c>
    </row>
    <row r="208" spans="1:15" x14ac:dyDescent="0.3">
      <c r="A208" s="33">
        <f>'Pré Implantação'!A208</f>
        <v>0</v>
      </c>
      <c r="B208" s="36">
        <f>'Pré Implantação'!C208</f>
        <v>0</v>
      </c>
      <c r="C208" s="34" t="str">
        <f>IFERROR(IF('Pré Implantação'!B208="Produção TI",AVERAGE('Pré Implantação'!D208,'Pré Implantação'!L208,'Pré Implantação'!E208,'Pré Implantação'!H208),AVERAGE('Pré Implantação'!E208,'Pré Implantação'!H208)),"")</f>
        <v/>
      </c>
      <c r="D208" s="34" t="str">
        <f>IFERROR(IF('Pré Implantação'!B208="CSC Service Desk",AVERAGE('Pré Implantação'!D208,'Pré Implantação'!L208,'Pré Implantação'!F208),AVERAGE('Pré Implantação'!F208)),"")</f>
        <v/>
      </c>
      <c r="E208" s="34" t="str">
        <f>IFERROR(IF('Pré Implantação'!B208="CSC NOC",AVERAGE('Pré Implantação'!D208,'Pré Implantação'!L208,'Pré Implantação'!G208),AVERAGE('Pré Implantação'!G208)),"")</f>
        <v/>
      </c>
      <c r="F208" s="34" t="str">
        <f>IFERROR(IF('Pré Implantação'!B208="CSE Gravadores",AVERAGE('Pré Implantação'!D208,'Pré Implantação'!L208,'Pré Implantação'!I208),AVERAGE('Pré Implantação'!I208)),"")</f>
        <v/>
      </c>
      <c r="G208" s="34" t="str">
        <f>IFERROR(IF('Pré Implantação'!B208="CSC",AVERAGE('Pré Implantação'!D208,'Pré Implantação'!L208,'Pré Implantação'!J208),AVERAGE('Pré Implantação'!J208)),"")</f>
        <v/>
      </c>
      <c r="H208" s="34" t="str">
        <f>IFERROR(IF('Pré Implantação'!B208="Operações \ Negócio",AVERAGE('Pré Implantação'!D208,'Pré Implantação'!L208,'Pré Implantação'!K208),AVERAGE('Pré Implantação'!K208)),"")</f>
        <v/>
      </c>
      <c r="I208" s="34" t="str">
        <f>IFERROR(IF('Pré Implantação'!B208="Projetos",AVERAGE('Pré Implantação'!D208,'Pré Implantação'!L208,'Pré Implantação'!M208),AVERAGE('Pré Implantação'!M208)),"")</f>
        <v/>
      </c>
      <c r="J208" s="34" t="str">
        <f>IFERROR(IF('Pré Implantação'!B208="Engenharia",AVERAGE('Pré Implantação'!D208,'Pré Implantação'!L208,'Pré Implantação'!N208),AVERAGE('Pré Implantação'!N208)),"")</f>
        <v/>
      </c>
      <c r="K208" s="34" t="str">
        <f>IFERROR(IF('Pré Implantação'!B208="URA",AVERAGE('Pré Implantação'!D208,'Pré Implantação'!L208),""),"")</f>
        <v/>
      </c>
      <c r="L208" s="34" t="str">
        <f>IFERROR(IF('Pré Implantação'!B208="CSE Microsoft",AVERAGE('Pré Implantação'!D208,'Pré Implantação'!L208),""),"")</f>
        <v/>
      </c>
      <c r="M208" s="34" t="str">
        <f>IFERROR(IF('Pré Implantação'!B208="CSE Telecom",AVERAGE('Pré Implantação'!D208,'Pré Implantação'!L208),""),"")</f>
        <v/>
      </c>
      <c r="N208" s="34" t="str">
        <f>IFERROR(IF('Pré Implantação'!B208="Site Suporte de Campo",AVERAGE('Pré Implantação'!D208,'Pré Implantação'!L208),""),"")</f>
        <v/>
      </c>
      <c r="O208" s="49" t="str">
        <f>IFERROR(IF('Pré Implantação'!B208="Infraestrutura",AVERAGE('Pré Implantação'!D208,'Pré Implantação'!L208),""),"")</f>
        <v/>
      </c>
    </row>
    <row r="209" spans="1:15" x14ac:dyDescent="0.3">
      <c r="A209" s="33">
        <f>'Pré Implantação'!A209</f>
        <v>0</v>
      </c>
      <c r="B209" s="36">
        <f>'Pré Implantação'!C209</f>
        <v>0</v>
      </c>
      <c r="C209" s="34" t="str">
        <f>IFERROR(IF('Pré Implantação'!B209="Produção TI",AVERAGE('Pré Implantação'!D209,'Pré Implantação'!L209,'Pré Implantação'!E209,'Pré Implantação'!H209),AVERAGE('Pré Implantação'!E209,'Pré Implantação'!H209)),"")</f>
        <v/>
      </c>
      <c r="D209" s="34" t="str">
        <f>IFERROR(IF('Pré Implantação'!B209="CSC Service Desk",AVERAGE('Pré Implantação'!D209,'Pré Implantação'!L209,'Pré Implantação'!F209),AVERAGE('Pré Implantação'!F209)),"")</f>
        <v/>
      </c>
      <c r="E209" s="34" t="str">
        <f>IFERROR(IF('Pré Implantação'!B209="CSC NOC",AVERAGE('Pré Implantação'!D209,'Pré Implantação'!L209,'Pré Implantação'!G209),AVERAGE('Pré Implantação'!G209)),"")</f>
        <v/>
      </c>
      <c r="F209" s="34" t="str">
        <f>IFERROR(IF('Pré Implantação'!B209="CSE Gravadores",AVERAGE('Pré Implantação'!D209,'Pré Implantação'!L209,'Pré Implantação'!I209),AVERAGE('Pré Implantação'!I209)),"")</f>
        <v/>
      </c>
      <c r="G209" s="34" t="str">
        <f>IFERROR(IF('Pré Implantação'!B209="CSC",AVERAGE('Pré Implantação'!D209,'Pré Implantação'!L209,'Pré Implantação'!J209),AVERAGE('Pré Implantação'!J209)),"")</f>
        <v/>
      </c>
      <c r="H209" s="34" t="str">
        <f>IFERROR(IF('Pré Implantação'!B209="Operações \ Negócio",AVERAGE('Pré Implantação'!D209,'Pré Implantação'!L209,'Pré Implantação'!K209),AVERAGE('Pré Implantação'!K209)),"")</f>
        <v/>
      </c>
      <c r="I209" s="34" t="str">
        <f>IFERROR(IF('Pré Implantação'!B209="Projetos",AVERAGE('Pré Implantação'!D209,'Pré Implantação'!L209,'Pré Implantação'!M209),AVERAGE('Pré Implantação'!M209)),"")</f>
        <v/>
      </c>
      <c r="J209" s="34" t="str">
        <f>IFERROR(IF('Pré Implantação'!B209="Engenharia",AVERAGE('Pré Implantação'!D209,'Pré Implantação'!L209,'Pré Implantação'!N209),AVERAGE('Pré Implantação'!N209)),"")</f>
        <v/>
      </c>
      <c r="K209" s="34" t="str">
        <f>IFERROR(IF('Pré Implantação'!B209="URA",AVERAGE('Pré Implantação'!D209,'Pré Implantação'!L209),""),"")</f>
        <v/>
      </c>
      <c r="L209" s="34" t="str">
        <f>IFERROR(IF('Pré Implantação'!B209="CSE Microsoft",AVERAGE('Pré Implantação'!D209,'Pré Implantação'!L209),""),"")</f>
        <v/>
      </c>
      <c r="M209" s="34" t="str">
        <f>IFERROR(IF('Pré Implantação'!B209="CSE Telecom",AVERAGE('Pré Implantação'!D209,'Pré Implantação'!L209),""),"")</f>
        <v/>
      </c>
      <c r="N209" s="34" t="str">
        <f>IFERROR(IF('Pré Implantação'!B209="Site Suporte de Campo",AVERAGE('Pré Implantação'!D209,'Pré Implantação'!L209),""),"")</f>
        <v/>
      </c>
      <c r="O209" s="49" t="str">
        <f>IFERROR(IF('Pré Implantação'!B209="Infraestrutura",AVERAGE('Pré Implantação'!D209,'Pré Implantação'!L209),""),"")</f>
        <v/>
      </c>
    </row>
    <row r="210" spans="1:15" x14ac:dyDescent="0.3">
      <c r="A210" s="33">
        <f>'Pré Implantação'!A210</f>
        <v>0</v>
      </c>
      <c r="B210" s="36">
        <f>'Pré Implantação'!C210</f>
        <v>0</v>
      </c>
      <c r="C210" s="34" t="str">
        <f>IFERROR(IF('Pré Implantação'!B210="Produção TI",AVERAGE('Pré Implantação'!D210,'Pré Implantação'!L210,'Pré Implantação'!E210,'Pré Implantação'!H210),AVERAGE('Pré Implantação'!E210,'Pré Implantação'!H210)),"")</f>
        <v/>
      </c>
      <c r="D210" s="34" t="str">
        <f>IFERROR(IF('Pré Implantação'!B210="CSC Service Desk",AVERAGE('Pré Implantação'!D210,'Pré Implantação'!L210,'Pré Implantação'!F210),AVERAGE('Pré Implantação'!F210)),"")</f>
        <v/>
      </c>
      <c r="E210" s="34" t="str">
        <f>IFERROR(IF('Pré Implantação'!B210="CSC NOC",AVERAGE('Pré Implantação'!D210,'Pré Implantação'!L210,'Pré Implantação'!G210),AVERAGE('Pré Implantação'!G210)),"")</f>
        <v/>
      </c>
      <c r="F210" s="34" t="str">
        <f>IFERROR(IF('Pré Implantação'!B210="CSE Gravadores",AVERAGE('Pré Implantação'!D210,'Pré Implantação'!L210,'Pré Implantação'!I210),AVERAGE('Pré Implantação'!I210)),"")</f>
        <v/>
      </c>
      <c r="G210" s="34" t="str">
        <f>IFERROR(IF('Pré Implantação'!B210="CSC",AVERAGE('Pré Implantação'!D210,'Pré Implantação'!L210,'Pré Implantação'!J210),AVERAGE('Pré Implantação'!J210)),"")</f>
        <v/>
      </c>
      <c r="H210" s="34" t="str">
        <f>IFERROR(IF('Pré Implantação'!B210="Operações \ Negócio",AVERAGE('Pré Implantação'!D210,'Pré Implantação'!L210,'Pré Implantação'!K210),AVERAGE('Pré Implantação'!K210)),"")</f>
        <v/>
      </c>
      <c r="I210" s="34" t="str">
        <f>IFERROR(IF('Pré Implantação'!B210="Projetos",AVERAGE('Pré Implantação'!D210,'Pré Implantação'!L210,'Pré Implantação'!M210),AVERAGE('Pré Implantação'!M210)),"")</f>
        <v/>
      </c>
      <c r="J210" s="34" t="str">
        <f>IFERROR(IF('Pré Implantação'!B210="Engenharia",AVERAGE('Pré Implantação'!D210,'Pré Implantação'!L210,'Pré Implantação'!N210),AVERAGE('Pré Implantação'!N210)),"")</f>
        <v/>
      </c>
      <c r="K210" s="34" t="str">
        <f>IFERROR(IF('Pré Implantação'!B210="URA",AVERAGE('Pré Implantação'!D210,'Pré Implantação'!L210),""),"")</f>
        <v/>
      </c>
      <c r="L210" s="34" t="str">
        <f>IFERROR(IF('Pré Implantação'!B210="CSE Microsoft",AVERAGE('Pré Implantação'!D210,'Pré Implantação'!L210),""),"")</f>
        <v/>
      </c>
      <c r="M210" s="34" t="str">
        <f>IFERROR(IF('Pré Implantação'!B210="CSE Telecom",AVERAGE('Pré Implantação'!D210,'Pré Implantação'!L210),""),"")</f>
        <v/>
      </c>
      <c r="N210" s="34" t="str">
        <f>IFERROR(IF('Pré Implantação'!B210="Site Suporte de Campo",AVERAGE('Pré Implantação'!D210,'Pré Implantação'!L210),""),"")</f>
        <v/>
      </c>
      <c r="O210" s="49" t="str">
        <f>IFERROR(IF('Pré Implantação'!B210="Infraestrutura",AVERAGE('Pré Implantação'!D210,'Pré Implantação'!L210),""),"")</f>
        <v/>
      </c>
    </row>
    <row r="211" spans="1:15" x14ac:dyDescent="0.3">
      <c r="A211" s="33">
        <f>'Pré Implantação'!A211</f>
        <v>0</v>
      </c>
      <c r="B211" s="36">
        <f>'Pré Implantação'!C211</f>
        <v>0</v>
      </c>
      <c r="C211" s="34" t="str">
        <f>IFERROR(IF('Pré Implantação'!B211="Produção TI",AVERAGE('Pré Implantação'!D211,'Pré Implantação'!L211,'Pré Implantação'!E211,'Pré Implantação'!H211),AVERAGE('Pré Implantação'!E211,'Pré Implantação'!H211)),"")</f>
        <v/>
      </c>
      <c r="D211" s="34" t="str">
        <f>IFERROR(IF('Pré Implantação'!B211="CSC Service Desk",AVERAGE('Pré Implantação'!D211,'Pré Implantação'!L211,'Pré Implantação'!F211),AVERAGE('Pré Implantação'!F211)),"")</f>
        <v/>
      </c>
      <c r="E211" s="34" t="str">
        <f>IFERROR(IF('Pré Implantação'!B211="CSC NOC",AVERAGE('Pré Implantação'!D211,'Pré Implantação'!L211,'Pré Implantação'!G211),AVERAGE('Pré Implantação'!G211)),"")</f>
        <v/>
      </c>
      <c r="F211" s="34" t="str">
        <f>IFERROR(IF('Pré Implantação'!B211="CSE Gravadores",AVERAGE('Pré Implantação'!D211,'Pré Implantação'!L211,'Pré Implantação'!I211),AVERAGE('Pré Implantação'!I211)),"")</f>
        <v/>
      </c>
      <c r="G211" s="34" t="str">
        <f>IFERROR(IF('Pré Implantação'!B211="CSC",AVERAGE('Pré Implantação'!D211,'Pré Implantação'!L211,'Pré Implantação'!J211),AVERAGE('Pré Implantação'!J211)),"")</f>
        <v/>
      </c>
      <c r="H211" s="34" t="str">
        <f>IFERROR(IF('Pré Implantação'!B211="Operações \ Negócio",AVERAGE('Pré Implantação'!D211,'Pré Implantação'!L211,'Pré Implantação'!K211),AVERAGE('Pré Implantação'!K211)),"")</f>
        <v/>
      </c>
      <c r="I211" s="34" t="str">
        <f>IFERROR(IF('Pré Implantação'!B211="Projetos",AVERAGE('Pré Implantação'!D211,'Pré Implantação'!L211,'Pré Implantação'!M211),AVERAGE('Pré Implantação'!M211)),"")</f>
        <v/>
      </c>
      <c r="J211" s="34" t="str">
        <f>IFERROR(IF('Pré Implantação'!B211="Engenharia",AVERAGE('Pré Implantação'!D211,'Pré Implantação'!L211,'Pré Implantação'!N211),AVERAGE('Pré Implantação'!N211)),"")</f>
        <v/>
      </c>
      <c r="K211" s="34" t="str">
        <f>IFERROR(IF('Pré Implantação'!B211="URA",AVERAGE('Pré Implantação'!D211,'Pré Implantação'!L211),""),"")</f>
        <v/>
      </c>
      <c r="L211" s="34" t="str">
        <f>IFERROR(IF('Pré Implantação'!B211="CSE Microsoft",AVERAGE('Pré Implantação'!D211,'Pré Implantação'!L211),""),"")</f>
        <v/>
      </c>
      <c r="M211" s="34" t="str">
        <f>IFERROR(IF('Pré Implantação'!B211="CSE Telecom",AVERAGE('Pré Implantação'!D211,'Pré Implantação'!L211),""),"")</f>
        <v/>
      </c>
      <c r="N211" s="34" t="str">
        <f>IFERROR(IF('Pré Implantação'!B211="Site Suporte de Campo",AVERAGE('Pré Implantação'!D211,'Pré Implantação'!L211),""),"")</f>
        <v/>
      </c>
      <c r="O211" s="49" t="str">
        <f>IFERROR(IF('Pré Implantação'!B211="Infraestrutura",AVERAGE('Pré Implantação'!D211,'Pré Implantação'!L211),""),"")</f>
        <v/>
      </c>
    </row>
    <row r="212" spans="1:15" x14ac:dyDescent="0.3">
      <c r="A212" s="33">
        <f>'Pré Implantação'!A212</f>
        <v>0</v>
      </c>
      <c r="B212" s="36">
        <f>'Pré Implantação'!C212</f>
        <v>0</v>
      </c>
      <c r="C212" s="34" t="str">
        <f>IFERROR(IF('Pré Implantação'!B212="Produção TI",AVERAGE('Pré Implantação'!D212,'Pré Implantação'!L212,'Pré Implantação'!E212,'Pré Implantação'!H212),AVERAGE('Pré Implantação'!E212,'Pré Implantação'!H212)),"")</f>
        <v/>
      </c>
      <c r="D212" s="34" t="str">
        <f>IFERROR(IF('Pré Implantação'!B212="CSC Service Desk",AVERAGE('Pré Implantação'!D212,'Pré Implantação'!L212,'Pré Implantação'!F212),AVERAGE('Pré Implantação'!F212)),"")</f>
        <v/>
      </c>
      <c r="E212" s="34" t="str">
        <f>IFERROR(IF('Pré Implantação'!B212="CSC NOC",AVERAGE('Pré Implantação'!D212,'Pré Implantação'!L212,'Pré Implantação'!G212),AVERAGE('Pré Implantação'!G212)),"")</f>
        <v/>
      </c>
      <c r="F212" s="34" t="str">
        <f>IFERROR(IF('Pré Implantação'!B212="CSE Gravadores",AVERAGE('Pré Implantação'!D212,'Pré Implantação'!L212,'Pré Implantação'!I212),AVERAGE('Pré Implantação'!I212)),"")</f>
        <v/>
      </c>
      <c r="G212" s="34" t="str">
        <f>IFERROR(IF('Pré Implantação'!B212="CSC",AVERAGE('Pré Implantação'!D212,'Pré Implantação'!L212,'Pré Implantação'!J212),AVERAGE('Pré Implantação'!J212)),"")</f>
        <v/>
      </c>
      <c r="H212" s="34" t="str">
        <f>IFERROR(IF('Pré Implantação'!B212="Operações \ Negócio",AVERAGE('Pré Implantação'!D212,'Pré Implantação'!L212,'Pré Implantação'!K212),AVERAGE('Pré Implantação'!K212)),"")</f>
        <v/>
      </c>
      <c r="I212" s="34" t="str">
        <f>IFERROR(IF('Pré Implantação'!B212="Projetos",AVERAGE('Pré Implantação'!D212,'Pré Implantação'!L212,'Pré Implantação'!M212),AVERAGE('Pré Implantação'!M212)),"")</f>
        <v/>
      </c>
      <c r="J212" s="34" t="str">
        <f>IFERROR(IF('Pré Implantação'!B212="Engenharia",AVERAGE('Pré Implantação'!D212,'Pré Implantação'!L212,'Pré Implantação'!N212),AVERAGE('Pré Implantação'!N212)),"")</f>
        <v/>
      </c>
      <c r="K212" s="34" t="str">
        <f>IFERROR(IF('Pré Implantação'!B212="URA",AVERAGE('Pré Implantação'!D212,'Pré Implantação'!L212),""),"")</f>
        <v/>
      </c>
      <c r="L212" s="34" t="str">
        <f>IFERROR(IF('Pré Implantação'!B212="CSE Microsoft",AVERAGE('Pré Implantação'!D212,'Pré Implantação'!L212),""),"")</f>
        <v/>
      </c>
      <c r="M212" s="34" t="str">
        <f>IFERROR(IF('Pré Implantação'!B212="CSE Telecom",AVERAGE('Pré Implantação'!D212,'Pré Implantação'!L212),""),"")</f>
        <v/>
      </c>
      <c r="N212" s="34" t="str">
        <f>IFERROR(IF('Pré Implantação'!B212="Site Suporte de Campo",AVERAGE('Pré Implantação'!D212,'Pré Implantação'!L212),""),"")</f>
        <v/>
      </c>
      <c r="O212" s="49" t="str">
        <f>IFERROR(IF('Pré Implantação'!B212="Infraestrutura",AVERAGE('Pré Implantação'!D212,'Pré Implantação'!L212),""),"")</f>
        <v/>
      </c>
    </row>
    <row r="213" spans="1:15" x14ac:dyDescent="0.3">
      <c r="A213" s="33">
        <f>'Pré Implantação'!A213</f>
        <v>0</v>
      </c>
      <c r="B213" s="36">
        <f>'Pré Implantação'!C213</f>
        <v>0</v>
      </c>
      <c r="C213" s="34" t="str">
        <f>IFERROR(IF('Pré Implantação'!B213="Produção TI",AVERAGE('Pré Implantação'!D213,'Pré Implantação'!L213,'Pré Implantação'!E213,'Pré Implantação'!H213),AVERAGE('Pré Implantação'!E213,'Pré Implantação'!H213)),"")</f>
        <v/>
      </c>
      <c r="D213" s="34" t="str">
        <f>IFERROR(IF('Pré Implantação'!B213="CSC Service Desk",AVERAGE('Pré Implantação'!D213,'Pré Implantação'!L213,'Pré Implantação'!F213),AVERAGE('Pré Implantação'!F213)),"")</f>
        <v/>
      </c>
      <c r="E213" s="34" t="str">
        <f>IFERROR(IF('Pré Implantação'!B213="CSC NOC",AVERAGE('Pré Implantação'!D213,'Pré Implantação'!L213,'Pré Implantação'!G213),AVERAGE('Pré Implantação'!G213)),"")</f>
        <v/>
      </c>
      <c r="F213" s="34" t="str">
        <f>IFERROR(IF('Pré Implantação'!B213="CSE Gravadores",AVERAGE('Pré Implantação'!D213,'Pré Implantação'!L213,'Pré Implantação'!I213),AVERAGE('Pré Implantação'!I213)),"")</f>
        <v/>
      </c>
      <c r="G213" s="34" t="str">
        <f>IFERROR(IF('Pré Implantação'!B213="CSC",AVERAGE('Pré Implantação'!D213,'Pré Implantação'!L213,'Pré Implantação'!J213),AVERAGE('Pré Implantação'!J213)),"")</f>
        <v/>
      </c>
      <c r="H213" s="34" t="str">
        <f>IFERROR(IF('Pré Implantação'!B213="Operações \ Negócio",AVERAGE('Pré Implantação'!D213,'Pré Implantação'!L213,'Pré Implantação'!K213),AVERAGE('Pré Implantação'!K213)),"")</f>
        <v/>
      </c>
      <c r="I213" s="34" t="str">
        <f>IFERROR(IF('Pré Implantação'!B213="Projetos",AVERAGE('Pré Implantação'!D213,'Pré Implantação'!L213,'Pré Implantação'!M213),AVERAGE('Pré Implantação'!M213)),"")</f>
        <v/>
      </c>
      <c r="J213" s="34" t="str">
        <f>IFERROR(IF('Pré Implantação'!B213="Engenharia",AVERAGE('Pré Implantação'!D213,'Pré Implantação'!L213,'Pré Implantação'!N213),AVERAGE('Pré Implantação'!N213)),"")</f>
        <v/>
      </c>
      <c r="K213" s="34" t="str">
        <f>IFERROR(IF('Pré Implantação'!B213="URA",AVERAGE('Pré Implantação'!D213,'Pré Implantação'!L213),""),"")</f>
        <v/>
      </c>
      <c r="L213" s="34" t="str">
        <f>IFERROR(IF('Pré Implantação'!B213="CSE Microsoft",AVERAGE('Pré Implantação'!D213,'Pré Implantação'!L213),""),"")</f>
        <v/>
      </c>
      <c r="M213" s="34" t="str">
        <f>IFERROR(IF('Pré Implantação'!B213="CSE Telecom",AVERAGE('Pré Implantação'!D213,'Pré Implantação'!L213),""),"")</f>
        <v/>
      </c>
      <c r="N213" s="34" t="str">
        <f>IFERROR(IF('Pré Implantação'!B213="Site Suporte de Campo",AVERAGE('Pré Implantação'!D213,'Pré Implantação'!L213),""),"")</f>
        <v/>
      </c>
      <c r="O213" s="49" t="str">
        <f>IFERROR(IF('Pré Implantação'!B213="Infraestrutura",AVERAGE('Pré Implantação'!D213,'Pré Implantação'!L213),""),"")</f>
        <v/>
      </c>
    </row>
    <row r="214" spans="1:15" x14ac:dyDescent="0.3">
      <c r="A214" s="33">
        <f>'Pré Implantação'!A214</f>
        <v>0</v>
      </c>
      <c r="B214" s="36">
        <f>'Pré Implantação'!C214</f>
        <v>0</v>
      </c>
      <c r="C214" s="34" t="str">
        <f>IFERROR(IF('Pré Implantação'!B214="Produção TI",AVERAGE('Pré Implantação'!D214,'Pré Implantação'!L214,'Pré Implantação'!E214,'Pré Implantação'!H214),AVERAGE('Pré Implantação'!E214,'Pré Implantação'!H214)),"")</f>
        <v/>
      </c>
      <c r="D214" s="34" t="str">
        <f>IFERROR(IF('Pré Implantação'!B214="CSC Service Desk",AVERAGE('Pré Implantação'!D214,'Pré Implantação'!L214,'Pré Implantação'!F214),AVERAGE('Pré Implantação'!F214)),"")</f>
        <v/>
      </c>
      <c r="E214" s="34" t="str">
        <f>IFERROR(IF('Pré Implantação'!B214="CSC NOC",AVERAGE('Pré Implantação'!D214,'Pré Implantação'!L214,'Pré Implantação'!G214),AVERAGE('Pré Implantação'!G214)),"")</f>
        <v/>
      </c>
      <c r="F214" s="34" t="str">
        <f>IFERROR(IF('Pré Implantação'!B214="CSE Gravadores",AVERAGE('Pré Implantação'!D214,'Pré Implantação'!L214,'Pré Implantação'!I214),AVERAGE('Pré Implantação'!I214)),"")</f>
        <v/>
      </c>
      <c r="G214" s="34" t="str">
        <f>IFERROR(IF('Pré Implantação'!B214="CSC",AVERAGE('Pré Implantação'!D214,'Pré Implantação'!L214,'Pré Implantação'!J214),AVERAGE('Pré Implantação'!J214)),"")</f>
        <v/>
      </c>
      <c r="H214" s="34" t="str">
        <f>IFERROR(IF('Pré Implantação'!B214="Operações \ Negócio",AVERAGE('Pré Implantação'!D214,'Pré Implantação'!L214,'Pré Implantação'!K214),AVERAGE('Pré Implantação'!K214)),"")</f>
        <v/>
      </c>
      <c r="I214" s="34" t="str">
        <f>IFERROR(IF('Pré Implantação'!B214="Projetos",AVERAGE('Pré Implantação'!D214,'Pré Implantação'!L214,'Pré Implantação'!M214),AVERAGE('Pré Implantação'!M214)),"")</f>
        <v/>
      </c>
      <c r="J214" s="34" t="str">
        <f>IFERROR(IF('Pré Implantação'!B214="Engenharia",AVERAGE('Pré Implantação'!D214,'Pré Implantação'!L214,'Pré Implantação'!N214),AVERAGE('Pré Implantação'!N214)),"")</f>
        <v/>
      </c>
      <c r="K214" s="34" t="str">
        <f>IFERROR(IF('Pré Implantação'!B214="URA",AVERAGE('Pré Implantação'!D214,'Pré Implantação'!L214),""),"")</f>
        <v/>
      </c>
      <c r="L214" s="34" t="str">
        <f>IFERROR(IF('Pré Implantação'!B214="CSE Microsoft",AVERAGE('Pré Implantação'!D214,'Pré Implantação'!L214),""),"")</f>
        <v/>
      </c>
      <c r="M214" s="34" t="str">
        <f>IFERROR(IF('Pré Implantação'!B214="CSE Telecom",AVERAGE('Pré Implantação'!D214,'Pré Implantação'!L214),""),"")</f>
        <v/>
      </c>
      <c r="N214" s="34" t="str">
        <f>IFERROR(IF('Pré Implantação'!B214="Site Suporte de Campo",AVERAGE('Pré Implantação'!D214,'Pré Implantação'!L214),""),"")</f>
        <v/>
      </c>
      <c r="O214" s="49" t="str">
        <f>IFERROR(IF('Pré Implantação'!B214="Infraestrutura",AVERAGE('Pré Implantação'!D214,'Pré Implantação'!L214),""),"")</f>
        <v/>
      </c>
    </row>
    <row r="215" spans="1:15" x14ac:dyDescent="0.3">
      <c r="A215" s="33">
        <f>'Pré Implantação'!A215</f>
        <v>0</v>
      </c>
      <c r="B215" s="36">
        <f>'Pré Implantação'!C215</f>
        <v>0</v>
      </c>
      <c r="C215" s="34" t="str">
        <f>IFERROR(IF('Pré Implantação'!B215="Produção TI",AVERAGE('Pré Implantação'!D215,'Pré Implantação'!L215,'Pré Implantação'!E215,'Pré Implantação'!H215),AVERAGE('Pré Implantação'!E215,'Pré Implantação'!H215)),"")</f>
        <v/>
      </c>
      <c r="D215" s="34" t="str">
        <f>IFERROR(IF('Pré Implantação'!B215="CSC Service Desk",AVERAGE('Pré Implantação'!D215,'Pré Implantação'!L215,'Pré Implantação'!F215),AVERAGE('Pré Implantação'!F215)),"")</f>
        <v/>
      </c>
      <c r="E215" s="34" t="str">
        <f>IFERROR(IF('Pré Implantação'!B215="CSC NOC",AVERAGE('Pré Implantação'!D215,'Pré Implantação'!L215,'Pré Implantação'!G215),AVERAGE('Pré Implantação'!G215)),"")</f>
        <v/>
      </c>
      <c r="F215" s="34" t="str">
        <f>IFERROR(IF('Pré Implantação'!B215="CSE Gravadores",AVERAGE('Pré Implantação'!D215,'Pré Implantação'!L215,'Pré Implantação'!I215),AVERAGE('Pré Implantação'!I215)),"")</f>
        <v/>
      </c>
      <c r="G215" s="34" t="str">
        <f>IFERROR(IF('Pré Implantação'!B215="CSC",AVERAGE('Pré Implantação'!D215,'Pré Implantação'!L215,'Pré Implantação'!J215),AVERAGE('Pré Implantação'!J215)),"")</f>
        <v/>
      </c>
      <c r="H215" s="34" t="str">
        <f>IFERROR(IF('Pré Implantação'!B215="Operações \ Negócio",AVERAGE('Pré Implantação'!D215,'Pré Implantação'!L215,'Pré Implantação'!K215),AVERAGE('Pré Implantação'!K215)),"")</f>
        <v/>
      </c>
      <c r="I215" s="34" t="str">
        <f>IFERROR(IF('Pré Implantação'!B215="Projetos",AVERAGE('Pré Implantação'!D215,'Pré Implantação'!L215,'Pré Implantação'!M215),AVERAGE('Pré Implantação'!M215)),"")</f>
        <v/>
      </c>
      <c r="J215" s="34" t="str">
        <f>IFERROR(IF('Pré Implantação'!B215="Engenharia",AVERAGE('Pré Implantação'!D215,'Pré Implantação'!L215,'Pré Implantação'!N215),AVERAGE('Pré Implantação'!N215)),"")</f>
        <v/>
      </c>
      <c r="K215" s="34" t="str">
        <f>IFERROR(IF('Pré Implantação'!B215="URA",AVERAGE('Pré Implantação'!D215,'Pré Implantação'!L215),""),"")</f>
        <v/>
      </c>
      <c r="L215" s="34" t="str">
        <f>IFERROR(IF('Pré Implantação'!B215="CSE Microsoft",AVERAGE('Pré Implantação'!D215,'Pré Implantação'!L215),""),"")</f>
        <v/>
      </c>
      <c r="M215" s="34" t="str">
        <f>IFERROR(IF('Pré Implantação'!B215="CSE Telecom",AVERAGE('Pré Implantação'!D215,'Pré Implantação'!L215),""),"")</f>
        <v/>
      </c>
      <c r="N215" s="34" t="str">
        <f>IFERROR(IF('Pré Implantação'!B215="Site Suporte de Campo",AVERAGE('Pré Implantação'!D215,'Pré Implantação'!L215),""),"")</f>
        <v/>
      </c>
      <c r="O215" s="49" t="str">
        <f>IFERROR(IF('Pré Implantação'!B215="Infraestrutura",AVERAGE('Pré Implantação'!D215,'Pré Implantação'!L215),""),"")</f>
        <v/>
      </c>
    </row>
    <row r="216" spans="1:15" x14ac:dyDescent="0.3">
      <c r="A216" s="33">
        <f>'Pré Implantação'!A216</f>
        <v>0</v>
      </c>
      <c r="B216" s="36">
        <f>'Pré Implantação'!C216</f>
        <v>0</v>
      </c>
      <c r="C216" s="34" t="str">
        <f>IFERROR(IF('Pré Implantação'!B216="Produção TI",AVERAGE('Pré Implantação'!D216,'Pré Implantação'!L216,'Pré Implantação'!E216,'Pré Implantação'!H216),AVERAGE('Pré Implantação'!E216,'Pré Implantação'!H216)),"")</f>
        <v/>
      </c>
      <c r="D216" s="34" t="str">
        <f>IFERROR(IF('Pré Implantação'!B216="CSC Service Desk",AVERAGE('Pré Implantação'!D216,'Pré Implantação'!L216,'Pré Implantação'!F216),AVERAGE('Pré Implantação'!F216)),"")</f>
        <v/>
      </c>
      <c r="E216" s="34" t="str">
        <f>IFERROR(IF('Pré Implantação'!B216="CSC NOC",AVERAGE('Pré Implantação'!D216,'Pré Implantação'!L216,'Pré Implantação'!G216),AVERAGE('Pré Implantação'!G216)),"")</f>
        <v/>
      </c>
      <c r="F216" s="34" t="str">
        <f>IFERROR(IF('Pré Implantação'!B216="CSE Gravadores",AVERAGE('Pré Implantação'!D216,'Pré Implantação'!L216,'Pré Implantação'!I216),AVERAGE('Pré Implantação'!I216)),"")</f>
        <v/>
      </c>
      <c r="G216" s="34" t="str">
        <f>IFERROR(IF('Pré Implantação'!B216="CSC",AVERAGE('Pré Implantação'!D216,'Pré Implantação'!L216,'Pré Implantação'!J216),AVERAGE('Pré Implantação'!J216)),"")</f>
        <v/>
      </c>
      <c r="H216" s="34" t="str">
        <f>IFERROR(IF('Pré Implantação'!B216="Operações \ Negócio",AVERAGE('Pré Implantação'!D216,'Pré Implantação'!L216,'Pré Implantação'!K216),AVERAGE('Pré Implantação'!K216)),"")</f>
        <v/>
      </c>
      <c r="I216" s="34" t="str">
        <f>IFERROR(IF('Pré Implantação'!B216="Projetos",AVERAGE('Pré Implantação'!D216,'Pré Implantação'!L216,'Pré Implantação'!M216),AVERAGE('Pré Implantação'!M216)),"")</f>
        <v/>
      </c>
      <c r="J216" s="34" t="str">
        <f>IFERROR(IF('Pré Implantação'!B216="Engenharia",AVERAGE('Pré Implantação'!D216,'Pré Implantação'!L216,'Pré Implantação'!N216),AVERAGE('Pré Implantação'!N216)),"")</f>
        <v/>
      </c>
      <c r="K216" s="34" t="str">
        <f>IFERROR(IF('Pré Implantação'!B216="URA",AVERAGE('Pré Implantação'!D216,'Pré Implantação'!L216),""),"")</f>
        <v/>
      </c>
      <c r="L216" s="34" t="str">
        <f>IFERROR(IF('Pré Implantação'!B216="CSE Microsoft",AVERAGE('Pré Implantação'!D216,'Pré Implantação'!L216),""),"")</f>
        <v/>
      </c>
      <c r="M216" s="34" t="str">
        <f>IFERROR(IF('Pré Implantação'!B216="CSE Telecom",AVERAGE('Pré Implantação'!D216,'Pré Implantação'!L216),""),"")</f>
        <v/>
      </c>
      <c r="N216" s="34" t="str">
        <f>IFERROR(IF('Pré Implantação'!B216="Site Suporte de Campo",AVERAGE('Pré Implantação'!D216,'Pré Implantação'!L216),""),"")</f>
        <v/>
      </c>
      <c r="O216" s="49" t="str">
        <f>IFERROR(IF('Pré Implantação'!B216="Infraestrutura",AVERAGE('Pré Implantação'!D216,'Pré Implantação'!L216),""),"")</f>
        <v/>
      </c>
    </row>
    <row r="217" spans="1:15" x14ac:dyDescent="0.3">
      <c r="A217" s="33">
        <f>'Pré Implantação'!A217</f>
        <v>0</v>
      </c>
      <c r="B217" s="36">
        <f>'Pré Implantação'!C217</f>
        <v>0</v>
      </c>
      <c r="C217" s="34" t="str">
        <f>IFERROR(IF('Pré Implantação'!B217="Produção TI",AVERAGE('Pré Implantação'!D217,'Pré Implantação'!L217,'Pré Implantação'!E217,'Pré Implantação'!H217),AVERAGE('Pré Implantação'!E217,'Pré Implantação'!H217)),"")</f>
        <v/>
      </c>
      <c r="D217" s="34" t="str">
        <f>IFERROR(IF('Pré Implantação'!B217="CSC Service Desk",AVERAGE('Pré Implantação'!D217,'Pré Implantação'!L217,'Pré Implantação'!F217),AVERAGE('Pré Implantação'!F217)),"")</f>
        <v/>
      </c>
      <c r="E217" s="34" t="str">
        <f>IFERROR(IF('Pré Implantação'!B217="CSC NOC",AVERAGE('Pré Implantação'!D217,'Pré Implantação'!L217,'Pré Implantação'!G217),AVERAGE('Pré Implantação'!G217)),"")</f>
        <v/>
      </c>
      <c r="F217" s="34" t="str">
        <f>IFERROR(IF('Pré Implantação'!B217="CSE Gravadores",AVERAGE('Pré Implantação'!D217,'Pré Implantação'!L217,'Pré Implantação'!I217),AVERAGE('Pré Implantação'!I217)),"")</f>
        <v/>
      </c>
      <c r="G217" s="34" t="str">
        <f>IFERROR(IF('Pré Implantação'!B217="CSC",AVERAGE('Pré Implantação'!D217,'Pré Implantação'!L217,'Pré Implantação'!J217),AVERAGE('Pré Implantação'!J217)),"")</f>
        <v/>
      </c>
      <c r="H217" s="34" t="str">
        <f>IFERROR(IF('Pré Implantação'!B217="Operações \ Negócio",AVERAGE('Pré Implantação'!D217,'Pré Implantação'!L217,'Pré Implantação'!K217),AVERAGE('Pré Implantação'!K217)),"")</f>
        <v/>
      </c>
      <c r="I217" s="34" t="str">
        <f>IFERROR(IF('Pré Implantação'!B217="Projetos",AVERAGE('Pré Implantação'!D217,'Pré Implantação'!L217,'Pré Implantação'!M217),AVERAGE('Pré Implantação'!M217)),"")</f>
        <v/>
      </c>
      <c r="J217" s="34" t="str">
        <f>IFERROR(IF('Pré Implantação'!B217="Engenharia",AVERAGE('Pré Implantação'!D217,'Pré Implantação'!L217,'Pré Implantação'!N217),AVERAGE('Pré Implantação'!N217)),"")</f>
        <v/>
      </c>
      <c r="K217" s="34" t="str">
        <f>IFERROR(IF('Pré Implantação'!B217="URA",AVERAGE('Pré Implantação'!D217,'Pré Implantação'!L217),""),"")</f>
        <v/>
      </c>
      <c r="L217" s="34" t="str">
        <f>IFERROR(IF('Pré Implantação'!B217="CSE Microsoft",AVERAGE('Pré Implantação'!D217,'Pré Implantação'!L217),""),"")</f>
        <v/>
      </c>
      <c r="M217" s="34" t="str">
        <f>IFERROR(IF('Pré Implantação'!B217="CSE Telecom",AVERAGE('Pré Implantação'!D217,'Pré Implantação'!L217),""),"")</f>
        <v/>
      </c>
      <c r="N217" s="34" t="str">
        <f>IFERROR(IF('Pré Implantação'!B217="Site Suporte de Campo",AVERAGE('Pré Implantação'!D217,'Pré Implantação'!L217),""),"")</f>
        <v/>
      </c>
      <c r="O217" s="49" t="str">
        <f>IFERROR(IF('Pré Implantação'!B217="Infraestrutura",AVERAGE('Pré Implantação'!D217,'Pré Implantação'!L217),""),"")</f>
        <v/>
      </c>
    </row>
    <row r="218" spans="1:15" x14ac:dyDescent="0.3">
      <c r="A218" s="33">
        <f>'Pré Implantação'!A218</f>
        <v>0</v>
      </c>
      <c r="B218" s="36">
        <f>'Pré Implantação'!C218</f>
        <v>0</v>
      </c>
      <c r="C218" s="34" t="str">
        <f>IFERROR(IF('Pré Implantação'!B218="Produção TI",AVERAGE('Pré Implantação'!D218,'Pré Implantação'!L218,'Pré Implantação'!E218,'Pré Implantação'!H218),AVERAGE('Pré Implantação'!E218,'Pré Implantação'!H218)),"")</f>
        <v/>
      </c>
      <c r="D218" s="34" t="str">
        <f>IFERROR(IF('Pré Implantação'!B218="CSC Service Desk",AVERAGE('Pré Implantação'!D218,'Pré Implantação'!L218,'Pré Implantação'!F218),AVERAGE('Pré Implantação'!F218)),"")</f>
        <v/>
      </c>
      <c r="E218" s="34" t="str">
        <f>IFERROR(IF('Pré Implantação'!B218="CSC NOC",AVERAGE('Pré Implantação'!D218,'Pré Implantação'!L218,'Pré Implantação'!G218),AVERAGE('Pré Implantação'!G218)),"")</f>
        <v/>
      </c>
      <c r="F218" s="34" t="str">
        <f>IFERROR(IF('Pré Implantação'!B218="CSE Gravadores",AVERAGE('Pré Implantação'!D218,'Pré Implantação'!L218,'Pré Implantação'!I218),AVERAGE('Pré Implantação'!I218)),"")</f>
        <v/>
      </c>
      <c r="G218" s="34" t="str">
        <f>IFERROR(IF('Pré Implantação'!B218="CSC",AVERAGE('Pré Implantação'!D218,'Pré Implantação'!L218,'Pré Implantação'!J218),AVERAGE('Pré Implantação'!J218)),"")</f>
        <v/>
      </c>
      <c r="H218" s="34" t="str">
        <f>IFERROR(IF('Pré Implantação'!B218="Operações \ Negócio",AVERAGE('Pré Implantação'!D218,'Pré Implantação'!L218,'Pré Implantação'!K218),AVERAGE('Pré Implantação'!K218)),"")</f>
        <v/>
      </c>
      <c r="I218" s="34" t="str">
        <f>IFERROR(IF('Pré Implantação'!B218="Projetos",AVERAGE('Pré Implantação'!D218,'Pré Implantação'!L218,'Pré Implantação'!M218),AVERAGE('Pré Implantação'!M218)),"")</f>
        <v/>
      </c>
      <c r="J218" s="34" t="str">
        <f>IFERROR(IF('Pré Implantação'!B218="Engenharia",AVERAGE('Pré Implantação'!D218,'Pré Implantação'!L218,'Pré Implantação'!N218),AVERAGE('Pré Implantação'!N218)),"")</f>
        <v/>
      </c>
      <c r="K218" s="34" t="str">
        <f>IFERROR(IF('Pré Implantação'!B218="URA",AVERAGE('Pré Implantação'!D218,'Pré Implantação'!L218),""),"")</f>
        <v/>
      </c>
      <c r="L218" s="34" t="str">
        <f>IFERROR(IF('Pré Implantação'!B218="CSE Microsoft",AVERAGE('Pré Implantação'!D218,'Pré Implantação'!L218),""),"")</f>
        <v/>
      </c>
      <c r="M218" s="34" t="str">
        <f>IFERROR(IF('Pré Implantação'!B218="CSE Telecom",AVERAGE('Pré Implantação'!D218,'Pré Implantação'!L218),""),"")</f>
        <v/>
      </c>
      <c r="N218" s="34" t="str">
        <f>IFERROR(IF('Pré Implantação'!B218="Site Suporte de Campo",AVERAGE('Pré Implantação'!D218,'Pré Implantação'!L218),""),"")</f>
        <v/>
      </c>
      <c r="O218" s="49" t="str">
        <f>IFERROR(IF('Pré Implantação'!B218="Infraestrutura",AVERAGE('Pré Implantação'!D218,'Pré Implantação'!L218),""),"")</f>
        <v/>
      </c>
    </row>
    <row r="219" spans="1:15" x14ac:dyDescent="0.3">
      <c r="A219" s="33">
        <f>'Pré Implantação'!A219</f>
        <v>0</v>
      </c>
      <c r="B219" s="36">
        <f>'Pré Implantação'!C219</f>
        <v>0</v>
      </c>
      <c r="C219" s="34" t="str">
        <f>IFERROR(IF('Pré Implantação'!B219="Produção TI",AVERAGE('Pré Implantação'!D219,'Pré Implantação'!L219,'Pré Implantação'!E219,'Pré Implantação'!H219),AVERAGE('Pré Implantação'!E219,'Pré Implantação'!H219)),"")</f>
        <v/>
      </c>
      <c r="D219" s="34" t="str">
        <f>IFERROR(IF('Pré Implantação'!B219="CSC Service Desk",AVERAGE('Pré Implantação'!D219,'Pré Implantação'!L219,'Pré Implantação'!F219),AVERAGE('Pré Implantação'!F219)),"")</f>
        <v/>
      </c>
      <c r="E219" s="34" t="str">
        <f>IFERROR(IF('Pré Implantação'!B219="CSC NOC",AVERAGE('Pré Implantação'!D219,'Pré Implantação'!L219,'Pré Implantação'!G219),AVERAGE('Pré Implantação'!G219)),"")</f>
        <v/>
      </c>
      <c r="F219" s="34" t="str">
        <f>IFERROR(IF('Pré Implantação'!B219="CSE Gravadores",AVERAGE('Pré Implantação'!D219,'Pré Implantação'!L219,'Pré Implantação'!I219),AVERAGE('Pré Implantação'!I219)),"")</f>
        <v/>
      </c>
      <c r="G219" s="34" t="str">
        <f>IFERROR(IF('Pré Implantação'!B219="CSC",AVERAGE('Pré Implantação'!D219,'Pré Implantação'!L219,'Pré Implantação'!J219),AVERAGE('Pré Implantação'!J219)),"")</f>
        <v/>
      </c>
      <c r="H219" s="34" t="str">
        <f>IFERROR(IF('Pré Implantação'!B219="Operações \ Negócio",AVERAGE('Pré Implantação'!D219,'Pré Implantação'!L219,'Pré Implantação'!K219),AVERAGE('Pré Implantação'!K219)),"")</f>
        <v/>
      </c>
      <c r="I219" s="34" t="str">
        <f>IFERROR(IF('Pré Implantação'!B219="Projetos",AVERAGE('Pré Implantação'!D219,'Pré Implantação'!L219,'Pré Implantação'!M219),AVERAGE('Pré Implantação'!M219)),"")</f>
        <v/>
      </c>
      <c r="J219" s="34" t="str">
        <f>IFERROR(IF('Pré Implantação'!B219="Engenharia",AVERAGE('Pré Implantação'!D219,'Pré Implantação'!L219,'Pré Implantação'!N219),AVERAGE('Pré Implantação'!N219)),"")</f>
        <v/>
      </c>
      <c r="K219" s="34" t="str">
        <f>IFERROR(IF('Pré Implantação'!B219="URA",AVERAGE('Pré Implantação'!D219,'Pré Implantação'!L219),""),"")</f>
        <v/>
      </c>
      <c r="L219" s="34" t="str">
        <f>IFERROR(IF('Pré Implantação'!B219="CSE Microsoft",AVERAGE('Pré Implantação'!D219,'Pré Implantação'!L219),""),"")</f>
        <v/>
      </c>
      <c r="M219" s="34" t="str">
        <f>IFERROR(IF('Pré Implantação'!B219="CSE Telecom",AVERAGE('Pré Implantação'!D219,'Pré Implantação'!L219),""),"")</f>
        <v/>
      </c>
      <c r="N219" s="34" t="str">
        <f>IFERROR(IF('Pré Implantação'!B219="Site Suporte de Campo",AVERAGE('Pré Implantação'!D219,'Pré Implantação'!L219),""),"")</f>
        <v/>
      </c>
      <c r="O219" s="49" t="str">
        <f>IFERROR(IF('Pré Implantação'!B219="Infraestrutura",AVERAGE('Pré Implantação'!D219,'Pré Implantação'!L219),""),"")</f>
        <v/>
      </c>
    </row>
    <row r="220" spans="1:15" x14ac:dyDescent="0.3">
      <c r="A220" s="33">
        <f>'Pré Implantação'!A220</f>
        <v>0</v>
      </c>
      <c r="B220" s="36">
        <f>'Pré Implantação'!C220</f>
        <v>0</v>
      </c>
      <c r="C220" s="34" t="str">
        <f>IFERROR(IF('Pré Implantação'!B220="Produção TI",AVERAGE('Pré Implantação'!D220,'Pré Implantação'!L220,'Pré Implantação'!E220,'Pré Implantação'!H220),AVERAGE('Pré Implantação'!E220,'Pré Implantação'!H220)),"")</f>
        <v/>
      </c>
      <c r="D220" s="34" t="str">
        <f>IFERROR(IF('Pré Implantação'!B220="CSC Service Desk",AVERAGE('Pré Implantação'!D220,'Pré Implantação'!L220,'Pré Implantação'!F220),AVERAGE('Pré Implantação'!F220)),"")</f>
        <v/>
      </c>
      <c r="E220" s="34" t="str">
        <f>IFERROR(IF('Pré Implantação'!B220="CSC NOC",AVERAGE('Pré Implantação'!D220,'Pré Implantação'!L220,'Pré Implantação'!G220),AVERAGE('Pré Implantação'!G220)),"")</f>
        <v/>
      </c>
      <c r="F220" s="34" t="str">
        <f>IFERROR(IF('Pré Implantação'!B220="CSE Gravadores",AVERAGE('Pré Implantação'!D220,'Pré Implantação'!L220,'Pré Implantação'!I220),AVERAGE('Pré Implantação'!I220)),"")</f>
        <v/>
      </c>
      <c r="G220" s="34" t="str">
        <f>IFERROR(IF('Pré Implantação'!B220="CSC",AVERAGE('Pré Implantação'!D220,'Pré Implantação'!L220,'Pré Implantação'!J220),AVERAGE('Pré Implantação'!J220)),"")</f>
        <v/>
      </c>
      <c r="H220" s="34" t="str">
        <f>IFERROR(IF('Pré Implantação'!B220="Operações \ Negócio",AVERAGE('Pré Implantação'!D220,'Pré Implantação'!L220,'Pré Implantação'!K220),AVERAGE('Pré Implantação'!K220)),"")</f>
        <v/>
      </c>
      <c r="I220" s="34" t="str">
        <f>IFERROR(IF('Pré Implantação'!B220="Projetos",AVERAGE('Pré Implantação'!D220,'Pré Implantação'!L220,'Pré Implantação'!M220),AVERAGE('Pré Implantação'!M220)),"")</f>
        <v/>
      </c>
      <c r="J220" s="34" t="str">
        <f>IFERROR(IF('Pré Implantação'!B220="Engenharia",AVERAGE('Pré Implantação'!D220,'Pré Implantação'!L220,'Pré Implantação'!N220),AVERAGE('Pré Implantação'!N220)),"")</f>
        <v/>
      </c>
      <c r="K220" s="34" t="str">
        <f>IFERROR(IF('Pré Implantação'!B220="URA",AVERAGE('Pré Implantação'!D220,'Pré Implantação'!L220),""),"")</f>
        <v/>
      </c>
      <c r="L220" s="34" t="str">
        <f>IFERROR(IF('Pré Implantação'!B220="CSE Microsoft",AVERAGE('Pré Implantação'!D220,'Pré Implantação'!L220),""),"")</f>
        <v/>
      </c>
      <c r="M220" s="34" t="str">
        <f>IFERROR(IF('Pré Implantação'!B220="CSE Telecom",AVERAGE('Pré Implantação'!D220,'Pré Implantação'!L220),""),"")</f>
        <v/>
      </c>
      <c r="N220" s="34" t="str">
        <f>IFERROR(IF('Pré Implantação'!B220="Site Suporte de Campo",AVERAGE('Pré Implantação'!D220,'Pré Implantação'!L220),""),"")</f>
        <v/>
      </c>
      <c r="O220" s="49" t="str">
        <f>IFERROR(IF('Pré Implantação'!B220="Infraestrutura",AVERAGE('Pré Implantação'!D220,'Pré Implantação'!L220),""),"")</f>
        <v/>
      </c>
    </row>
    <row r="221" spans="1:15" x14ac:dyDescent="0.3">
      <c r="A221" s="33">
        <f>'Pré Implantação'!A221</f>
        <v>0</v>
      </c>
      <c r="B221" s="36">
        <f>'Pré Implantação'!C221</f>
        <v>0</v>
      </c>
      <c r="C221" s="34" t="str">
        <f>IFERROR(IF('Pré Implantação'!B221="Produção TI",AVERAGE('Pré Implantação'!D221,'Pré Implantação'!L221,'Pré Implantação'!E221,'Pré Implantação'!H221),AVERAGE('Pré Implantação'!E221,'Pré Implantação'!H221)),"")</f>
        <v/>
      </c>
      <c r="D221" s="34" t="str">
        <f>IFERROR(IF('Pré Implantação'!B221="CSC Service Desk",AVERAGE('Pré Implantação'!D221,'Pré Implantação'!L221,'Pré Implantação'!F221),AVERAGE('Pré Implantação'!F221)),"")</f>
        <v/>
      </c>
      <c r="E221" s="34" t="str">
        <f>IFERROR(IF('Pré Implantação'!B221="CSC NOC",AVERAGE('Pré Implantação'!D221,'Pré Implantação'!L221,'Pré Implantação'!G221),AVERAGE('Pré Implantação'!G221)),"")</f>
        <v/>
      </c>
      <c r="F221" s="34" t="str">
        <f>IFERROR(IF('Pré Implantação'!B221="CSE Gravadores",AVERAGE('Pré Implantação'!D221,'Pré Implantação'!L221,'Pré Implantação'!I221),AVERAGE('Pré Implantação'!I221)),"")</f>
        <v/>
      </c>
      <c r="G221" s="34" t="str">
        <f>IFERROR(IF('Pré Implantação'!B221="CSC",AVERAGE('Pré Implantação'!D221,'Pré Implantação'!L221,'Pré Implantação'!J221),AVERAGE('Pré Implantação'!J221)),"")</f>
        <v/>
      </c>
      <c r="H221" s="34" t="str">
        <f>IFERROR(IF('Pré Implantação'!B221="Operações \ Negócio",AVERAGE('Pré Implantação'!D221,'Pré Implantação'!L221,'Pré Implantação'!K221),AVERAGE('Pré Implantação'!K221)),"")</f>
        <v/>
      </c>
      <c r="I221" s="34" t="str">
        <f>IFERROR(IF('Pré Implantação'!B221="Projetos",AVERAGE('Pré Implantação'!D221,'Pré Implantação'!L221,'Pré Implantação'!M221),AVERAGE('Pré Implantação'!M221)),"")</f>
        <v/>
      </c>
      <c r="J221" s="34" t="str">
        <f>IFERROR(IF('Pré Implantação'!B221="Engenharia",AVERAGE('Pré Implantação'!D221,'Pré Implantação'!L221,'Pré Implantação'!N221),AVERAGE('Pré Implantação'!N221)),"")</f>
        <v/>
      </c>
      <c r="K221" s="34" t="str">
        <f>IFERROR(IF('Pré Implantação'!B221="URA",AVERAGE('Pré Implantação'!D221,'Pré Implantação'!L221),""),"")</f>
        <v/>
      </c>
      <c r="L221" s="34" t="str">
        <f>IFERROR(IF('Pré Implantação'!B221="CSE Microsoft",AVERAGE('Pré Implantação'!D221,'Pré Implantação'!L221),""),"")</f>
        <v/>
      </c>
      <c r="M221" s="34" t="str">
        <f>IFERROR(IF('Pré Implantação'!B221="CSE Telecom",AVERAGE('Pré Implantação'!D221,'Pré Implantação'!L221),""),"")</f>
        <v/>
      </c>
      <c r="N221" s="34" t="str">
        <f>IFERROR(IF('Pré Implantação'!B221="Site Suporte de Campo",AVERAGE('Pré Implantação'!D221,'Pré Implantação'!L221),""),"")</f>
        <v/>
      </c>
      <c r="O221" s="49" t="str">
        <f>IFERROR(IF('Pré Implantação'!B221="Infraestrutura",AVERAGE('Pré Implantação'!D221,'Pré Implantação'!L221),""),"")</f>
        <v/>
      </c>
    </row>
    <row r="222" spans="1:15" x14ac:dyDescent="0.3">
      <c r="A222" s="33">
        <f>'Pré Implantação'!A222</f>
        <v>0</v>
      </c>
      <c r="B222" s="36">
        <f>'Pré Implantação'!C222</f>
        <v>0</v>
      </c>
      <c r="C222" s="34" t="str">
        <f>IFERROR(IF('Pré Implantação'!B222="Produção TI",AVERAGE('Pré Implantação'!D222,'Pré Implantação'!L222,'Pré Implantação'!E222,'Pré Implantação'!H222),AVERAGE('Pré Implantação'!E222,'Pré Implantação'!H222)),"")</f>
        <v/>
      </c>
      <c r="D222" s="34" t="str">
        <f>IFERROR(IF('Pré Implantação'!B222="CSC Service Desk",AVERAGE('Pré Implantação'!D222,'Pré Implantação'!L222,'Pré Implantação'!F222),AVERAGE('Pré Implantação'!F222)),"")</f>
        <v/>
      </c>
      <c r="E222" s="34" t="str">
        <f>IFERROR(IF('Pré Implantação'!B222="CSC NOC",AVERAGE('Pré Implantação'!D222,'Pré Implantação'!L222,'Pré Implantação'!G222),AVERAGE('Pré Implantação'!G222)),"")</f>
        <v/>
      </c>
      <c r="F222" s="34" t="str">
        <f>IFERROR(IF('Pré Implantação'!B222="CSE Gravadores",AVERAGE('Pré Implantação'!D222,'Pré Implantação'!L222,'Pré Implantação'!I222),AVERAGE('Pré Implantação'!I222)),"")</f>
        <v/>
      </c>
      <c r="G222" s="34" t="str">
        <f>IFERROR(IF('Pré Implantação'!B222="CSC",AVERAGE('Pré Implantação'!D222,'Pré Implantação'!L222,'Pré Implantação'!J222),AVERAGE('Pré Implantação'!J222)),"")</f>
        <v/>
      </c>
      <c r="H222" s="34" t="str">
        <f>IFERROR(IF('Pré Implantação'!B222="Operações \ Negócio",AVERAGE('Pré Implantação'!D222,'Pré Implantação'!L222,'Pré Implantação'!K222),AVERAGE('Pré Implantação'!K222)),"")</f>
        <v/>
      </c>
      <c r="I222" s="34" t="str">
        <f>IFERROR(IF('Pré Implantação'!B222="Projetos",AVERAGE('Pré Implantação'!D222,'Pré Implantação'!L222,'Pré Implantação'!M222),AVERAGE('Pré Implantação'!M222)),"")</f>
        <v/>
      </c>
      <c r="J222" s="34" t="str">
        <f>IFERROR(IF('Pré Implantação'!B222="Engenharia",AVERAGE('Pré Implantação'!D222,'Pré Implantação'!L222,'Pré Implantação'!N222),AVERAGE('Pré Implantação'!N222)),"")</f>
        <v/>
      </c>
      <c r="K222" s="34" t="str">
        <f>IFERROR(IF('Pré Implantação'!B222="URA",AVERAGE('Pré Implantação'!D222,'Pré Implantação'!L222),""),"")</f>
        <v/>
      </c>
      <c r="L222" s="34" t="str">
        <f>IFERROR(IF('Pré Implantação'!B222="CSE Microsoft",AVERAGE('Pré Implantação'!D222,'Pré Implantação'!L222),""),"")</f>
        <v/>
      </c>
      <c r="M222" s="34" t="str">
        <f>IFERROR(IF('Pré Implantação'!B222="CSE Telecom",AVERAGE('Pré Implantação'!D222,'Pré Implantação'!L222),""),"")</f>
        <v/>
      </c>
      <c r="N222" s="34" t="str">
        <f>IFERROR(IF('Pré Implantação'!B222="Site Suporte de Campo",AVERAGE('Pré Implantação'!D222,'Pré Implantação'!L222),""),"")</f>
        <v/>
      </c>
      <c r="O222" s="49" t="str">
        <f>IFERROR(IF('Pré Implantação'!B222="Infraestrutura",AVERAGE('Pré Implantação'!D222,'Pré Implantação'!L222),""),"")</f>
        <v/>
      </c>
    </row>
    <row r="223" spans="1:15" x14ac:dyDescent="0.3">
      <c r="A223" s="33">
        <f>'Pré Implantação'!A223</f>
        <v>0</v>
      </c>
      <c r="B223" s="36">
        <f>'Pré Implantação'!C223</f>
        <v>0</v>
      </c>
      <c r="C223" s="34" t="str">
        <f>IFERROR(IF('Pré Implantação'!B223="Produção TI",AVERAGE('Pré Implantação'!D223,'Pré Implantação'!L223,'Pré Implantação'!E223,'Pré Implantação'!H223),AVERAGE('Pré Implantação'!E223,'Pré Implantação'!H223)),"")</f>
        <v/>
      </c>
      <c r="D223" s="34" t="str">
        <f>IFERROR(IF('Pré Implantação'!B223="CSC Service Desk",AVERAGE('Pré Implantação'!D223,'Pré Implantação'!L223,'Pré Implantação'!F223),AVERAGE('Pré Implantação'!F223)),"")</f>
        <v/>
      </c>
      <c r="E223" s="34" t="str">
        <f>IFERROR(IF('Pré Implantação'!B223="CSC NOC",AVERAGE('Pré Implantação'!D223,'Pré Implantação'!L223,'Pré Implantação'!G223),AVERAGE('Pré Implantação'!G223)),"")</f>
        <v/>
      </c>
      <c r="F223" s="34" t="str">
        <f>IFERROR(IF('Pré Implantação'!B223="CSE Gravadores",AVERAGE('Pré Implantação'!D223,'Pré Implantação'!L223,'Pré Implantação'!I223),AVERAGE('Pré Implantação'!I223)),"")</f>
        <v/>
      </c>
      <c r="G223" s="34" t="str">
        <f>IFERROR(IF('Pré Implantação'!B223="CSC",AVERAGE('Pré Implantação'!D223,'Pré Implantação'!L223,'Pré Implantação'!J223),AVERAGE('Pré Implantação'!J223)),"")</f>
        <v/>
      </c>
      <c r="H223" s="34" t="str">
        <f>IFERROR(IF('Pré Implantação'!B223="Operações \ Negócio",AVERAGE('Pré Implantação'!D223,'Pré Implantação'!L223,'Pré Implantação'!K223),AVERAGE('Pré Implantação'!K223)),"")</f>
        <v/>
      </c>
      <c r="I223" s="34" t="str">
        <f>IFERROR(IF('Pré Implantação'!B223="Projetos",AVERAGE('Pré Implantação'!D223,'Pré Implantação'!L223,'Pré Implantação'!M223),AVERAGE('Pré Implantação'!M223)),"")</f>
        <v/>
      </c>
      <c r="J223" s="34" t="str">
        <f>IFERROR(IF('Pré Implantação'!B223="Engenharia",AVERAGE('Pré Implantação'!D223,'Pré Implantação'!L223,'Pré Implantação'!N223),AVERAGE('Pré Implantação'!N223)),"")</f>
        <v/>
      </c>
      <c r="K223" s="34" t="str">
        <f>IFERROR(IF('Pré Implantação'!B223="URA",AVERAGE('Pré Implantação'!D223,'Pré Implantação'!L223),""),"")</f>
        <v/>
      </c>
      <c r="L223" s="34" t="str">
        <f>IFERROR(IF('Pré Implantação'!B223="CSE Microsoft",AVERAGE('Pré Implantação'!D223,'Pré Implantação'!L223),""),"")</f>
        <v/>
      </c>
      <c r="M223" s="34" t="str">
        <f>IFERROR(IF('Pré Implantação'!B223="CSE Telecom",AVERAGE('Pré Implantação'!D223,'Pré Implantação'!L223),""),"")</f>
        <v/>
      </c>
      <c r="N223" s="34" t="str">
        <f>IFERROR(IF('Pré Implantação'!B223="Site Suporte de Campo",AVERAGE('Pré Implantação'!D223,'Pré Implantação'!L223),""),"")</f>
        <v/>
      </c>
      <c r="O223" s="49" t="str">
        <f>IFERROR(IF('Pré Implantação'!B223="Infraestrutura",AVERAGE('Pré Implantação'!D223,'Pré Implantação'!L223),""),"")</f>
        <v/>
      </c>
    </row>
    <row r="224" spans="1:15" x14ac:dyDescent="0.3">
      <c r="A224" s="33">
        <f>'Pré Implantação'!A224</f>
        <v>0</v>
      </c>
      <c r="B224" s="36">
        <f>'Pré Implantação'!C224</f>
        <v>0</v>
      </c>
      <c r="C224" s="34" t="str">
        <f>IFERROR(IF('Pré Implantação'!B224="Produção TI",AVERAGE('Pré Implantação'!D224,'Pré Implantação'!L224,'Pré Implantação'!E224,'Pré Implantação'!H224),AVERAGE('Pré Implantação'!E224,'Pré Implantação'!H224)),"")</f>
        <v/>
      </c>
      <c r="D224" s="34" t="str">
        <f>IFERROR(IF('Pré Implantação'!B224="CSC Service Desk",AVERAGE('Pré Implantação'!D224,'Pré Implantação'!L224,'Pré Implantação'!F224),AVERAGE('Pré Implantação'!F224)),"")</f>
        <v/>
      </c>
      <c r="E224" s="34" t="str">
        <f>IFERROR(IF('Pré Implantação'!B224="CSC NOC",AVERAGE('Pré Implantação'!D224,'Pré Implantação'!L224,'Pré Implantação'!G224),AVERAGE('Pré Implantação'!G224)),"")</f>
        <v/>
      </c>
      <c r="F224" s="34" t="str">
        <f>IFERROR(IF('Pré Implantação'!B224="CSE Gravadores",AVERAGE('Pré Implantação'!D224,'Pré Implantação'!L224,'Pré Implantação'!I224),AVERAGE('Pré Implantação'!I224)),"")</f>
        <v/>
      </c>
      <c r="G224" s="34" t="str">
        <f>IFERROR(IF('Pré Implantação'!B224="CSC",AVERAGE('Pré Implantação'!D224,'Pré Implantação'!L224,'Pré Implantação'!J224),AVERAGE('Pré Implantação'!J224)),"")</f>
        <v/>
      </c>
      <c r="H224" s="34" t="str">
        <f>IFERROR(IF('Pré Implantação'!B224="Operações \ Negócio",AVERAGE('Pré Implantação'!D224,'Pré Implantação'!L224,'Pré Implantação'!K224),AVERAGE('Pré Implantação'!K224)),"")</f>
        <v/>
      </c>
      <c r="I224" s="34" t="str">
        <f>IFERROR(IF('Pré Implantação'!B224="Projetos",AVERAGE('Pré Implantação'!D224,'Pré Implantação'!L224,'Pré Implantação'!M224),AVERAGE('Pré Implantação'!M224)),"")</f>
        <v/>
      </c>
      <c r="J224" s="34" t="str">
        <f>IFERROR(IF('Pré Implantação'!B224="Engenharia",AVERAGE('Pré Implantação'!D224,'Pré Implantação'!L224,'Pré Implantação'!N224),AVERAGE('Pré Implantação'!N224)),"")</f>
        <v/>
      </c>
      <c r="K224" s="34" t="str">
        <f>IFERROR(IF('Pré Implantação'!B224="URA",AVERAGE('Pré Implantação'!D224,'Pré Implantação'!L224),""),"")</f>
        <v/>
      </c>
      <c r="L224" s="34" t="str">
        <f>IFERROR(IF('Pré Implantação'!B224="CSE Microsoft",AVERAGE('Pré Implantação'!D224,'Pré Implantação'!L224),""),"")</f>
        <v/>
      </c>
      <c r="M224" s="34" t="str">
        <f>IFERROR(IF('Pré Implantação'!B224="CSE Telecom",AVERAGE('Pré Implantação'!D224,'Pré Implantação'!L224),""),"")</f>
        <v/>
      </c>
      <c r="N224" s="34" t="str">
        <f>IFERROR(IF('Pré Implantação'!B224="Site Suporte de Campo",AVERAGE('Pré Implantação'!D224,'Pré Implantação'!L224),""),"")</f>
        <v/>
      </c>
      <c r="O224" s="49" t="str">
        <f>IFERROR(IF('Pré Implantação'!B224="Infraestrutura",AVERAGE('Pré Implantação'!D224,'Pré Implantação'!L224),""),"")</f>
        <v/>
      </c>
    </row>
    <row r="225" spans="1:15" x14ac:dyDescent="0.3">
      <c r="A225" s="33">
        <f>'Pré Implantação'!A225</f>
        <v>0</v>
      </c>
      <c r="B225" s="36">
        <f>'Pré Implantação'!C225</f>
        <v>0</v>
      </c>
      <c r="C225" s="34" t="str">
        <f>IFERROR(IF('Pré Implantação'!B225="Produção TI",AVERAGE('Pré Implantação'!D225,'Pré Implantação'!L225,'Pré Implantação'!E225,'Pré Implantação'!H225),AVERAGE('Pré Implantação'!E225,'Pré Implantação'!H225)),"")</f>
        <v/>
      </c>
      <c r="D225" s="34" t="str">
        <f>IFERROR(IF('Pré Implantação'!B225="CSC Service Desk",AVERAGE('Pré Implantação'!D225,'Pré Implantação'!L225,'Pré Implantação'!F225),AVERAGE('Pré Implantação'!F225)),"")</f>
        <v/>
      </c>
      <c r="E225" s="34" t="str">
        <f>IFERROR(IF('Pré Implantação'!B225="CSC NOC",AVERAGE('Pré Implantação'!D225,'Pré Implantação'!L225,'Pré Implantação'!G225),AVERAGE('Pré Implantação'!G225)),"")</f>
        <v/>
      </c>
      <c r="F225" s="34" t="str">
        <f>IFERROR(IF('Pré Implantação'!B225="CSE Gravadores",AVERAGE('Pré Implantação'!D225,'Pré Implantação'!L225,'Pré Implantação'!I225),AVERAGE('Pré Implantação'!I225)),"")</f>
        <v/>
      </c>
      <c r="G225" s="34" t="str">
        <f>IFERROR(IF('Pré Implantação'!B225="CSC",AVERAGE('Pré Implantação'!D225,'Pré Implantação'!L225,'Pré Implantação'!J225),AVERAGE('Pré Implantação'!J225)),"")</f>
        <v/>
      </c>
      <c r="H225" s="34" t="str">
        <f>IFERROR(IF('Pré Implantação'!B225="Operações \ Negócio",AVERAGE('Pré Implantação'!D225,'Pré Implantação'!L225,'Pré Implantação'!K225),AVERAGE('Pré Implantação'!K225)),"")</f>
        <v/>
      </c>
      <c r="I225" s="34" t="str">
        <f>IFERROR(IF('Pré Implantação'!B225="Projetos",AVERAGE('Pré Implantação'!D225,'Pré Implantação'!L225,'Pré Implantação'!M225),AVERAGE('Pré Implantação'!M225)),"")</f>
        <v/>
      </c>
      <c r="J225" s="34" t="str">
        <f>IFERROR(IF('Pré Implantação'!B225="Engenharia",AVERAGE('Pré Implantação'!D225,'Pré Implantação'!L225,'Pré Implantação'!N225),AVERAGE('Pré Implantação'!N225)),"")</f>
        <v/>
      </c>
      <c r="K225" s="34" t="str">
        <f>IFERROR(IF('Pré Implantação'!B225="URA",AVERAGE('Pré Implantação'!D225,'Pré Implantação'!L225),""),"")</f>
        <v/>
      </c>
      <c r="L225" s="34" t="str">
        <f>IFERROR(IF('Pré Implantação'!B225="CSE Microsoft",AVERAGE('Pré Implantação'!D225,'Pré Implantação'!L225),""),"")</f>
        <v/>
      </c>
      <c r="M225" s="34" t="str">
        <f>IFERROR(IF('Pré Implantação'!B225="CSE Telecom",AVERAGE('Pré Implantação'!D225,'Pré Implantação'!L225),""),"")</f>
        <v/>
      </c>
      <c r="N225" s="34" t="str">
        <f>IFERROR(IF('Pré Implantação'!B225="Site Suporte de Campo",AVERAGE('Pré Implantação'!D225,'Pré Implantação'!L225),""),"")</f>
        <v/>
      </c>
      <c r="O225" s="49" t="str">
        <f>IFERROR(IF('Pré Implantação'!B225="Infraestrutura",AVERAGE('Pré Implantação'!D225,'Pré Implantação'!L225),""),"")</f>
        <v/>
      </c>
    </row>
    <row r="226" spans="1:15" x14ac:dyDescent="0.3">
      <c r="A226" s="33">
        <f>'Pré Implantação'!A226</f>
        <v>0</v>
      </c>
      <c r="B226" s="36">
        <f>'Pré Implantação'!C226</f>
        <v>0</v>
      </c>
      <c r="C226" s="34" t="str">
        <f>IFERROR(IF('Pré Implantação'!B226="Produção TI",AVERAGE('Pré Implantação'!D226,'Pré Implantação'!L226,'Pré Implantação'!E226,'Pré Implantação'!H226),AVERAGE('Pré Implantação'!E226,'Pré Implantação'!H226)),"")</f>
        <v/>
      </c>
      <c r="D226" s="34" t="str">
        <f>IFERROR(IF('Pré Implantação'!B226="CSC Service Desk",AVERAGE('Pré Implantação'!D226,'Pré Implantação'!L226,'Pré Implantação'!F226),AVERAGE('Pré Implantação'!F226)),"")</f>
        <v/>
      </c>
      <c r="E226" s="34" t="str">
        <f>IFERROR(IF('Pré Implantação'!B226="CSC NOC",AVERAGE('Pré Implantação'!D226,'Pré Implantação'!L226,'Pré Implantação'!G226),AVERAGE('Pré Implantação'!G226)),"")</f>
        <v/>
      </c>
      <c r="F226" s="34" t="str">
        <f>IFERROR(IF('Pré Implantação'!B226="CSE Gravadores",AVERAGE('Pré Implantação'!D226,'Pré Implantação'!L226,'Pré Implantação'!I226),AVERAGE('Pré Implantação'!I226)),"")</f>
        <v/>
      </c>
      <c r="G226" s="34" t="str">
        <f>IFERROR(IF('Pré Implantação'!B226="CSC",AVERAGE('Pré Implantação'!D226,'Pré Implantação'!L226,'Pré Implantação'!J226),AVERAGE('Pré Implantação'!J226)),"")</f>
        <v/>
      </c>
      <c r="H226" s="34" t="str">
        <f>IFERROR(IF('Pré Implantação'!B226="Operações \ Negócio",AVERAGE('Pré Implantação'!D226,'Pré Implantação'!L226,'Pré Implantação'!K226),AVERAGE('Pré Implantação'!K226)),"")</f>
        <v/>
      </c>
      <c r="I226" s="34" t="str">
        <f>IFERROR(IF('Pré Implantação'!B226="Projetos",AVERAGE('Pré Implantação'!D226,'Pré Implantação'!L226,'Pré Implantação'!M226),AVERAGE('Pré Implantação'!M226)),"")</f>
        <v/>
      </c>
      <c r="J226" s="34" t="str">
        <f>IFERROR(IF('Pré Implantação'!B226="Engenharia",AVERAGE('Pré Implantação'!D226,'Pré Implantação'!L226,'Pré Implantação'!N226),AVERAGE('Pré Implantação'!N226)),"")</f>
        <v/>
      </c>
      <c r="K226" s="34" t="str">
        <f>IFERROR(IF('Pré Implantação'!B226="URA",AVERAGE('Pré Implantação'!D226,'Pré Implantação'!L226),""),"")</f>
        <v/>
      </c>
      <c r="L226" s="34" t="str">
        <f>IFERROR(IF('Pré Implantação'!B226="CSE Microsoft",AVERAGE('Pré Implantação'!D226,'Pré Implantação'!L226),""),"")</f>
        <v/>
      </c>
      <c r="M226" s="34" t="str">
        <f>IFERROR(IF('Pré Implantação'!B226="CSE Telecom",AVERAGE('Pré Implantação'!D226,'Pré Implantação'!L226),""),"")</f>
        <v/>
      </c>
      <c r="N226" s="34" t="str">
        <f>IFERROR(IF('Pré Implantação'!B226="Site Suporte de Campo",AVERAGE('Pré Implantação'!D226,'Pré Implantação'!L226),""),"")</f>
        <v/>
      </c>
      <c r="O226" s="49" t="str">
        <f>IFERROR(IF('Pré Implantação'!B226="Infraestrutura",AVERAGE('Pré Implantação'!D226,'Pré Implantação'!L226),""),"")</f>
        <v/>
      </c>
    </row>
    <row r="227" spans="1:15" x14ac:dyDescent="0.3">
      <c r="A227" s="33">
        <f>'Pré Implantação'!A227</f>
        <v>0</v>
      </c>
      <c r="B227" s="36">
        <f>'Pré Implantação'!C227</f>
        <v>0</v>
      </c>
      <c r="C227" s="34" t="str">
        <f>IFERROR(IF('Pré Implantação'!B227="Produção TI",AVERAGE('Pré Implantação'!D227,'Pré Implantação'!L227,'Pré Implantação'!E227,'Pré Implantação'!H227),AVERAGE('Pré Implantação'!E227,'Pré Implantação'!H227)),"")</f>
        <v/>
      </c>
      <c r="D227" s="34" t="str">
        <f>IFERROR(IF('Pré Implantação'!B227="CSC Service Desk",AVERAGE('Pré Implantação'!D227,'Pré Implantação'!L227,'Pré Implantação'!F227),AVERAGE('Pré Implantação'!F227)),"")</f>
        <v/>
      </c>
      <c r="E227" s="34" t="str">
        <f>IFERROR(IF('Pré Implantação'!B227="CSC NOC",AVERAGE('Pré Implantação'!D227,'Pré Implantação'!L227,'Pré Implantação'!G227),AVERAGE('Pré Implantação'!G227)),"")</f>
        <v/>
      </c>
      <c r="F227" s="34" t="str">
        <f>IFERROR(IF('Pré Implantação'!B227="CSE Gravadores",AVERAGE('Pré Implantação'!D227,'Pré Implantação'!L227,'Pré Implantação'!I227),AVERAGE('Pré Implantação'!I227)),"")</f>
        <v/>
      </c>
      <c r="G227" s="34" t="str">
        <f>IFERROR(IF('Pré Implantação'!B227="CSC",AVERAGE('Pré Implantação'!D227,'Pré Implantação'!L227,'Pré Implantação'!J227),AVERAGE('Pré Implantação'!J227)),"")</f>
        <v/>
      </c>
      <c r="H227" s="34" t="str">
        <f>IFERROR(IF('Pré Implantação'!B227="Operações \ Negócio",AVERAGE('Pré Implantação'!D227,'Pré Implantação'!L227,'Pré Implantação'!K227),AVERAGE('Pré Implantação'!K227)),"")</f>
        <v/>
      </c>
      <c r="I227" s="34" t="str">
        <f>IFERROR(IF('Pré Implantação'!B227="Projetos",AVERAGE('Pré Implantação'!D227,'Pré Implantação'!L227,'Pré Implantação'!M227),AVERAGE('Pré Implantação'!M227)),"")</f>
        <v/>
      </c>
      <c r="J227" s="34" t="str">
        <f>IFERROR(IF('Pré Implantação'!B227="Engenharia",AVERAGE('Pré Implantação'!D227,'Pré Implantação'!L227,'Pré Implantação'!N227),AVERAGE('Pré Implantação'!N227)),"")</f>
        <v/>
      </c>
      <c r="K227" s="34" t="str">
        <f>IFERROR(IF('Pré Implantação'!B227="URA",AVERAGE('Pré Implantação'!D227,'Pré Implantação'!L227),""),"")</f>
        <v/>
      </c>
      <c r="L227" s="34" t="str">
        <f>IFERROR(IF('Pré Implantação'!B227="CSE Microsoft",AVERAGE('Pré Implantação'!D227,'Pré Implantação'!L227),""),"")</f>
        <v/>
      </c>
      <c r="M227" s="34" t="str">
        <f>IFERROR(IF('Pré Implantação'!B227="CSE Telecom",AVERAGE('Pré Implantação'!D227,'Pré Implantação'!L227),""),"")</f>
        <v/>
      </c>
      <c r="N227" s="34" t="str">
        <f>IFERROR(IF('Pré Implantação'!B227="Site Suporte de Campo",AVERAGE('Pré Implantação'!D227,'Pré Implantação'!L227),""),"")</f>
        <v/>
      </c>
      <c r="O227" s="49" t="str">
        <f>IFERROR(IF('Pré Implantação'!B227="Infraestrutura",AVERAGE('Pré Implantação'!D227,'Pré Implantação'!L227),""),"")</f>
        <v/>
      </c>
    </row>
    <row r="228" spans="1:15" x14ac:dyDescent="0.3">
      <c r="A228" s="33">
        <f>'Pré Implantação'!A228</f>
        <v>0</v>
      </c>
      <c r="B228" s="36">
        <f>'Pré Implantação'!C228</f>
        <v>0</v>
      </c>
      <c r="C228" s="34" t="str">
        <f>IFERROR(IF('Pré Implantação'!B228="Produção TI",AVERAGE('Pré Implantação'!D228,'Pré Implantação'!L228,'Pré Implantação'!E228,'Pré Implantação'!H228),AVERAGE('Pré Implantação'!E228,'Pré Implantação'!H228)),"")</f>
        <v/>
      </c>
      <c r="D228" s="34" t="str">
        <f>IFERROR(IF('Pré Implantação'!B228="CSC Service Desk",AVERAGE('Pré Implantação'!D228,'Pré Implantação'!L228,'Pré Implantação'!F228),AVERAGE('Pré Implantação'!F228)),"")</f>
        <v/>
      </c>
      <c r="E228" s="34" t="str">
        <f>IFERROR(IF('Pré Implantação'!B228="CSC NOC",AVERAGE('Pré Implantação'!D228,'Pré Implantação'!L228,'Pré Implantação'!G228),AVERAGE('Pré Implantação'!G228)),"")</f>
        <v/>
      </c>
      <c r="F228" s="34" t="str">
        <f>IFERROR(IF('Pré Implantação'!B228="CSE Gravadores",AVERAGE('Pré Implantação'!D228,'Pré Implantação'!L228,'Pré Implantação'!I228),AVERAGE('Pré Implantação'!I228)),"")</f>
        <v/>
      </c>
      <c r="G228" s="34" t="str">
        <f>IFERROR(IF('Pré Implantação'!B228="CSC",AVERAGE('Pré Implantação'!D228,'Pré Implantação'!L228,'Pré Implantação'!J228),AVERAGE('Pré Implantação'!J228)),"")</f>
        <v/>
      </c>
      <c r="H228" s="34" t="str">
        <f>IFERROR(IF('Pré Implantação'!B228="Operações \ Negócio",AVERAGE('Pré Implantação'!D228,'Pré Implantação'!L228,'Pré Implantação'!K228),AVERAGE('Pré Implantação'!K228)),"")</f>
        <v/>
      </c>
      <c r="I228" s="34" t="str">
        <f>IFERROR(IF('Pré Implantação'!B228="Projetos",AVERAGE('Pré Implantação'!D228,'Pré Implantação'!L228,'Pré Implantação'!M228),AVERAGE('Pré Implantação'!M228)),"")</f>
        <v/>
      </c>
      <c r="J228" s="34" t="str">
        <f>IFERROR(IF('Pré Implantação'!B228="Engenharia",AVERAGE('Pré Implantação'!D228,'Pré Implantação'!L228,'Pré Implantação'!N228),AVERAGE('Pré Implantação'!N228)),"")</f>
        <v/>
      </c>
      <c r="K228" s="34" t="str">
        <f>IFERROR(IF('Pré Implantação'!B228="URA",AVERAGE('Pré Implantação'!D228,'Pré Implantação'!L228),""),"")</f>
        <v/>
      </c>
      <c r="L228" s="34" t="str">
        <f>IFERROR(IF('Pré Implantação'!B228="CSE Microsoft",AVERAGE('Pré Implantação'!D228,'Pré Implantação'!L228),""),"")</f>
        <v/>
      </c>
      <c r="M228" s="34" t="str">
        <f>IFERROR(IF('Pré Implantação'!B228="CSE Telecom",AVERAGE('Pré Implantação'!D228,'Pré Implantação'!L228),""),"")</f>
        <v/>
      </c>
      <c r="N228" s="34" t="str">
        <f>IFERROR(IF('Pré Implantação'!B228="Site Suporte de Campo",AVERAGE('Pré Implantação'!D228,'Pré Implantação'!L228),""),"")</f>
        <v/>
      </c>
      <c r="O228" s="49" t="str">
        <f>IFERROR(IF('Pré Implantação'!B228="Infraestrutura",AVERAGE('Pré Implantação'!D228,'Pré Implantação'!L228),""),"")</f>
        <v/>
      </c>
    </row>
    <row r="229" spans="1:15" x14ac:dyDescent="0.3">
      <c r="A229" s="33">
        <f>'Pré Implantação'!A229</f>
        <v>0</v>
      </c>
      <c r="B229" s="36">
        <f>'Pré Implantação'!C229</f>
        <v>0</v>
      </c>
      <c r="C229" s="34" t="str">
        <f>IFERROR(IF('Pré Implantação'!B229="Produção TI",AVERAGE('Pré Implantação'!D229,'Pré Implantação'!L229,'Pré Implantação'!E229,'Pré Implantação'!H229),AVERAGE('Pré Implantação'!E229,'Pré Implantação'!H229)),"")</f>
        <v/>
      </c>
      <c r="D229" s="34" t="str">
        <f>IFERROR(IF('Pré Implantação'!B229="CSC Service Desk",AVERAGE('Pré Implantação'!D229,'Pré Implantação'!L229,'Pré Implantação'!F229),AVERAGE('Pré Implantação'!F229)),"")</f>
        <v/>
      </c>
      <c r="E229" s="34" t="str">
        <f>IFERROR(IF('Pré Implantação'!B229="CSC NOC",AVERAGE('Pré Implantação'!D229,'Pré Implantação'!L229,'Pré Implantação'!G229),AVERAGE('Pré Implantação'!G229)),"")</f>
        <v/>
      </c>
      <c r="F229" s="34" t="str">
        <f>IFERROR(IF('Pré Implantação'!B229="CSE Gravadores",AVERAGE('Pré Implantação'!D229,'Pré Implantação'!L229,'Pré Implantação'!I229),AVERAGE('Pré Implantação'!I229)),"")</f>
        <v/>
      </c>
      <c r="G229" s="34" t="str">
        <f>IFERROR(IF('Pré Implantação'!B229="CSC",AVERAGE('Pré Implantação'!D229,'Pré Implantação'!L229,'Pré Implantação'!J229),AVERAGE('Pré Implantação'!J229)),"")</f>
        <v/>
      </c>
      <c r="H229" s="34" t="str">
        <f>IFERROR(IF('Pré Implantação'!B229="Operações \ Negócio",AVERAGE('Pré Implantação'!D229,'Pré Implantação'!L229,'Pré Implantação'!K229),AVERAGE('Pré Implantação'!K229)),"")</f>
        <v/>
      </c>
      <c r="I229" s="34" t="str">
        <f>IFERROR(IF('Pré Implantação'!B229="Projetos",AVERAGE('Pré Implantação'!D229,'Pré Implantação'!L229,'Pré Implantação'!M229),AVERAGE('Pré Implantação'!M229)),"")</f>
        <v/>
      </c>
      <c r="J229" s="34" t="str">
        <f>IFERROR(IF('Pré Implantação'!B229="Engenharia",AVERAGE('Pré Implantação'!D229,'Pré Implantação'!L229,'Pré Implantação'!N229),AVERAGE('Pré Implantação'!N229)),"")</f>
        <v/>
      </c>
      <c r="K229" s="34" t="str">
        <f>IFERROR(IF('Pré Implantação'!B229="URA",AVERAGE('Pré Implantação'!D229,'Pré Implantação'!L229),""),"")</f>
        <v/>
      </c>
      <c r="L229" s="34" t="str">
        <f>IFERROR(IF('Pré Implantação'!B229="CSE Microsoft",AVERAGE('Pré Implantação'!D229,'Pré Implantação'!L229),""),"")</f>
        <v/>
      </c>
      <c r="M229" s="34" t="str">
        <f>IFERROR(IF('Pré Implantação'!B229="CSE Telecom",AVERAGE('Pré Implantação'!D229,'Pré Implantação'!L229),""),"")</f>
        <v/>
      </c>
      <c r="N229" s="34" t="str">
        <f>IFERROR(IF('Pré Implantação'!B229="Site Suporte de Campo",AVERAGE('Pré Implantação'!D229,'Pré Implantação'!L229),""),"")</f>
        <v/>
      </c>
      <c r="O229" s="49" t="str">
        <f>IFERROR(IF('Pré Implantação'!B229="Infraestrutura",AVERAGE('Pré Implantação'!D229,'Pré Implantação'!L229),""),"")</f>
        <v/>
      </c>
    </row>
    <row r="230" spans="1:15" x14ac:dyDescent="0.3">
      <c r="A230" s="33">
        <f>'Pré Implantação'!A230</f>
        <v>0</v>
      </c>
      <c r="B230" s="36">
        <f>'Pré Implantação'!C230</f>
        <v>0</v>
      </c>
      <c r="C230" s="34" t="str">
        <f>IFERROR(IF('Pré Implantação'!B230="Produção TI",AVERAGE('Pré Implantação'!D230,'Pré Implantação'!L230,'Pré Implantação'!E230,'Pré Implantação'!H230),AVERAGE('Pré Implantação'!E230,'Pré Implantação'!H230)),"")</f>
        <v/>
      </c>
      <c r="D230" s="34" t="str">
        <f>IFERROR(IF('Pré Implantação'!B230="CSC Service Desk",AVERAGE('Pré Implantação'!D230,'Pré Implantação'!L230,'Pré Implantação'!F230),AVERAGE('Pré Implantação'!F230)),"")</f>
        <v/>
      </c>
      <c r="E230" s="34" t="str">
        <f>IFERROR(IF('Pré Implantação'!B230="CSC NOC",AVERAGE('Pré Implantação'!D230,'Pré Implantação'!L230,'Pré Implantação'!G230),AVERAGE('Pré Implantação'!G230)),"")</f>
        <v/>
      </c>
      <c r="F230" s="34" t="str">
        <f>IFERROR(IF('Pré Implantação'!B230="CSE Gravadores",AVERAGE('Pré Implantação'!D230,'Pré Implantação'!L230,'Pré Implantação'!I230),AVERAGE('Pré Implantação'!I230)),"")</f>
        <v/>
      </c>
      <c r="G230" s="34" t="str">
        <f>IFERROR(IF('Pré Implantação'!B230="CSC",AVERAGE('Pré Implantação'!D230,'Pré Implantação'!L230,'Pré Implantação'!J230),AVERAGE('Pré Implantação'!J230)),"")</f>
        <v/>
      </c>
      <c r="H230" s="34" t="str">
        <f>IFERROR(IF('Pré Implantação'!B230="Operações \ Negócio",AVERAGE('Pré Implantação'!D230,'Pré Implantação'!L230,'Pré Implantação'!K230),AVERAGE('Pré Implantação'!K230)),"")</f>
        <v/>
      </c>
      <c r="I230" s="34" t="str">
        <f>IFERROR(IF('Pré Implantação'!B230="Projetos",AVERAGE('Pré Implantação'!D230,'Pré Implantação'!L230,'Pré Implantação'!M230),AVERAGE('Pré Implantação'!M230)),"")</f>
        <v/>
      </c>
      <c r="J230" s="34" t="str">
        <f>IFERROR(IF('Pré Implantação'!B230="Engenharia",AVERAGE('Pré Implantação'!D230,'Pré Implantação'!L230,'Pré Implantação'!N230),AVERAGE('Pré Implantação'!N230)),"")</f>
        <v/>
      </c>
      <c r="K230" s="34" t="str">
        <f>IFERROR(IF('Pré Implantação'!B230="URA",AVERAGE('Pré Implantação'!D230,'Pré Implantação'!L230),""),"")</f>
        <v/>
      </c>
      <c r="L230" s="34" t="str">
        <f>IFERROR(IF('Pré Implantação'!B230="CSE Microsoft",AVERAGE('Pré Implantação'!D230,'Pré Implantação'!L230),""),"")</f>
        <v/>
      </c>
      <c r="M230" s="34" t="str">
        <f>IFERROR(IF('Pré Implantação'!B230="CSE Telecom",AVERAGE('Pré Implantação'!D230,'Pré Implantação'!L230),""),"")</f>
        <v/>
      </c>
      <c r="N230" s="34" t="str">
        <f>IFERROR(IF('Pré Implantação'!B230="Site Suporte de Campo",AVERAGE('Pré Implantação'!D230,'Pré Implantação'!L230),""),"")</f>
        <v/>
      </c>
      <c r="O230" s="49" t="str">
        <f>IFERROR(IF('Pré Implantação'!B230="Infraestrutura",AVERAGE('Pré Implantação'!D230,'Pré Implantação'!L230),""),"")</f>
        <v/>
      </c>
    </row>
    <row r="231" spans="1:15" x14ac:dyDescent="0.3">
      <c r="A231" s="33">
        <f>'Pré Implantação'!A231</f>
        <v>0</v>
      </c>
      <c r="B231" s="36">
        <f>'Pré Implantação'!C231</f>
        <v>0</v>
      </c>
      <c r="C231" s="34" t="str">
        <f>IFERROR(IF('Pré Implantação'!B231="Produção TI",AVERAGE('Pré Implantação'!D231,'Pré Implantação'!L231,'Pré Implantação'!E231,'Pré Implantação'!H231),AVERAGE('Pré Implantação'!E231,'Pré Implantação'!H231)),"")</f>
        <v/>
      </c>
      <c r="D231" s="34" t="str">
        <f>IFERROR(IF('Pré Implantação'!B231="CSC Service Desk",AVERAGE('Pré Implantação'!D231,'Pré Implantação'!L231,'Pré Implantação'!F231),AVERAGE('Pré Implantação'!F231)),"")</f>
        <v/>
      </c>
      <c r="E231" s="34" t="str">
        <f>IFERROR(IF('Pré Implantação'!B231="CSC NOC",AVERAGE('Pré Implantação'!D231,'Pré Implantação'!L231,'Pré Implantação'!G231),AVERAGE('Pré Implantação'!G231)),"")</f>
        <v/>
      </c>
      <c r="F231" s="34" t="str">
        <f>IFERROR(IF('Pré Implantação'!B231="CSE Gravadores",AVERAGE('Pré Implantação'!D231,'Pré Implantação'!L231,'Pré Implantação'!I231),AVERAGE('Pré Implantação'!I231)),"")</f>
        <v/>
      </c>
      <c r="G231" s="34" t="str">
        <f>IFERROR(IF('Pré Implantação'!B231="CSC",AVERAGE('Pré Implantação'!D231,'Pré Implantação'!L231,'Pré Implantação'!J231),AVERAGE('Pré Implantação'!J231)),"")</f>
        <v/>
      </c>
      <c r="H231" s="34" t="str">
        <f>IFERROR(IF('Pré Implantação'!B231="Operações \ Negócio",AVERAGE('Pré Implantação'!D231,'Pré Implantação'!L231,'Pré Implantação'!K231),AVERAGE('Pré Implantação'!K231)),"")</f>
        <v/>
      </c>
      <c r="I231" s="34" t="str">
        <f>IFERROR(IF('Pré Implantação'!B231="Projetos",AVERAGE('Pré Implantação'!D231,'Pré Implantação'!L231,'Pré Implantação'!M231),AVERAGE('Pré Implantação'!M231)),"")</f>
        <v/>
      </c>
      <c r="J231" s="34" t="str">
        <f>IFERROR(IF('Pré Implantação'!B231="Engenharia",AVERAGE('Pré Implantação'!D231,'Pré Implantação'!L231,'Pré Implantação'!N231),AVERAGE('Pré Implantação'!N231)),"")</f>
        <v/>
      </c>
      <c r="K231" s="34" t="str">
        <f>IFERROR(IF('Pré Implantação'!B231="URA",AVERAGE('Pré Implantação'!D231,'Pré Implantação'!L231),""),"")</f>
        <v/>
      </c>
      <c r="L231" s="34" t="str">
        <f>IFERROR(IF('Pré Implantação'!B231="CSE Microsoft",AVERAGE('Pré Implantação'!D231,'Pré Implantação'!L231),""),"")</f>
        <v/>
      </c>
      <c r="M231" s="34" t="str">
        <f>IFERROR(IF('Pré Implantação'!B231="CSE Telecom",AVERAGE('Pré Implantação'!D231,'Pré Implantação'!L231),""),"")</f>
        <v/>
      </c>
      <c r="N231" s="34" t="str">
        <f>IFERROR(IF('Pré Implantação'!B231="Site Suporte de Campo",AVERAGE('Pré Implantação'!D231,'Pré Implantação'!L231),""),"")</f>
        <v/>
      </c>
      <c r="O231" s="49" t="str">
        <f>IFERROR(IF('Pré Implantação'!B231="Infraestrutura",AVERAGE('Pré Implantação'!D231,'Pré Implantação'!L231),""),"")</f>
        <v/>
      </c>
    </row>
    <row r="232" spans="1:15" x14ac:dyDescent="0.3">
      <c r="A232" s="33">
        <f>'Pré Implantação'!A232</f>
        <v>0</v>
      </c>
      <c r="B232" s="36">
        <f>'Pré Implantação'!C232</f>
        <v>0</v>
      </c>
      <c r="C232" s="34" t="str">
        <f>IFERROR(IF('Pré Implantação'!B232="Produção TI",AVERAGE('Pré Implantação'!D232,'Pré Implantação'!L232,'Pré Implantação'!E232,'Pré Implantação'!H232),AVERAGE('Pré Implantação'!E232,'Pré Implantação'!H232)),"")</f>
        <v/>
      </c>
      <c r="D232" s="34" t="str">
        <f>IFERROR(IF('Pré Implantação'!B232="CSC Service Desk",AVERAGE('Pré Implantação'!D232,'Pré Implantação'!L232,'Pré Implantação'!F232),AVERAGE('Pré Implantação'!F232)),"")</f>
        <v/>
      </c>
      <c r="E232" s="34" t="str">
        <f>IFERROR(IF('Pré Implantação'!B232="CSC NOC",AVERAGE('Pré Implantação'!D232,'Pré Implantação'!L232,'Pré Implantação'!G232),AVERAGE('Pré Implantação'!G232)),"")</f>
        <v/>
      </c>
      <c r="F232" s="34" t="str">
        <f>IFERROR(IF('Pré Implantação'!B232="CSE Gravadores",AVERAGE('Pré Implantação'!D232,'Pré Implantação'!L232,'Pré Implantação'!I232),AVERAGE('Pré Implantação'!I232)),"")</f>
        <v/>
      </c>
      <c r="G232" s="34" t="str">
        <f>IFERROR(IF('Pré Implantação'!B232="CSC",AVERAGE('Pré Implantação'!D232,'Pré Implantação'!L232,'Pré Implantação'!J232),AVERAGE('Pré Implantação'!J232)),"")</f>
        <v/>
      </c>
      <c r="H232" s="34" t="str">
        <f>IFERROR(IF('Pré Implantação'!B232="Operações \ Negócio",AVERAGE('Pré Implantação'!D232,'Pré Implantação'!L232,'Pré Implantação'!K232),AVERAGE('Pré Implantação'!K232)),"")</f>
        <v/>
      </c>
      <c r="I232" s="34" t="str">
        <f>IFERROR(IF('Pré Implantação'!B232="Projetos",AVERAGE('Pré Implantação'!D232,'Pré Implantação'!L232,'Pré Implantação'!M232),AVERAGE('Pré Implantação'!M232)),"")</f>
        <v/>
      </c>
      <c r="J232" s="34" t="str">
        <f>IFERROR(IF('Pré Implantação'!B232="Engenharia",AVERAGE('Pré Implantação'!D232,'Pré Implantação'!L232,'Pré Implantação'!N232),AVERAGE('Pré Implantação'!N232)),"")</f>
        <v/>
      </c>
      <c r="K232" s="34" t="str">
        <f>IFERROR(IF('Pré Implantação'!B232="URA",AVERAGE('Pré Implantação'!D232,'Pré Implantação'!L232),""),"")</f>
        <v/>
      </c>
      <c r="L232" s="34" t="str">
        <f>IFERROR(IF('Pré Implantação'!B232="CSE Microsoft",AVERAGE('Pré Implantação'!D232,'Pré Implantação'!L232),""),"")</f>
        <v/>
      </c>
      <c r="M232" s="34" t="str">
        <f>IFERROR(IF('Pré Implantação'!B232="CSE Telecom",AVERAGE('Pré Implantação'!D232,'Pré Implantação'!L232),""),"")</f>
        <v/>
      </c>
      <c r="N232" s="34" t="str">
        <f>IFERROR(IF('Pré Implantação'!B232="Site Suporte de Campo",AVERAGE('Pré Implantação'!D232,'Pré Implantação'!L232),""),"")</f>
        <v/>
      </c>
      <c r="O232" s="49" t="str">
        <f>IFERROR(IF('Pré Implantação'!B232="Infraestrutura",AVERAGE('Pré Implantação'!D232,'Pré Implantação'!L232),""),"")</f>
        <v/>
      </c>
    </row>
    <row r="233" spans="1:15" x14ac:dyDescent="0.3">
      <c r="A233" s="33">
        <f>'Pré Implantação'!A233</f>
        <v>0</v>
      </c>
      <c r="B233" s="36">
        <f>'Pré Implantação'!C233</f>
        <v>0</v>
      </c>
      <c r="C233" s="34" t="str">
        <f>IFERROR(IF('Pré Implantação'!B233="Produção TI",AVERAGE('Pré Implantação'!D233,'Pré Implantação'!L233,'Pré Implantação'!E233,'Pré Implantação'!H233),AVERAGE('Pré Implantação'!E233,'Pré Implantação'!H233)),"")</f>
        <v/>
      </c>
      <c r="D233" s="34" t="str">
        <f>IFERROR(IF('Pré Implantação'!B233="CSC Service Desk",AVERAGE('Pré Implantação'!D233,'Pré Implantação'!L233,'Pré Implantação'!F233),AVERAGE('Pré Implantação'!F233)),"")</f>
        <v/>
      </c>
      <c r="E233" s="34" t="str">
        <f>IFERROR(IF('Pré Implantação'!B233="CSC NOC",AVERAGE('Pré Implantação'!D233,'Pré Implantação'!L233,'Pré Implantação'!G233),AVERAGE('Pré Implantação'!G233)),"")</f>
        <v/>
      </c>
      <c r="F233" s="34" t="str">
        <f>IFERROR(IF('Pré Implantação'!B233="CSE Gravadores",AVERAGE('Pré Implantação'!D233,'Pré Implantação'!L233,'Pré Implantação'!I233),AVERAGE('Pré Implantação'!I233)),"")</f>
        <v/>
      </c>
      <c r="G233" s="34" t="str">
        <f>IFERROR(IF('Pré Implantação'!B233="CSC",AVERAGE('Pré Implantação'!D233,'Pré Implantação'!L233,'Pré Implantação'!J233),AVERAGE('Pré Implantação'!J233)),"")</f>
        <v/>
      </c>
      <c r="H233" s="34" t="str">
        <f>IFERROR(IF('Pré Implantação'!B233="Operações \ Negócio",AVERAGE('Pré Implantação'!D233,'Pré Implantação'!L233,'Pré Implantação'!K233),AVERAGE('Pré Implantação'!K233)),"")</f>
        <v/>
      </c>
      <c r="I233" s="34" t="str">
        <f>IFERROR(IF('Pré Implantação'!B233="Projetos",AVERAGE('Pré Implantação'!D233,'Pré Implantação'!L233,'Pré Implantação'!M233),AVERAGE('Pré Implantação'!M233)),"")</f>
        <v/>
      </c>
      <c r="J233" s="34" t="str">
        <f>IFERROR(IF('Pré Implantação'!B233="Engenharia",AVERAGE('Pré Implantação'!D233,'Pré Implantação'!L233,'Pré Implantação'!N233),AVERAGE('Pré Implantação'!N233)),"")</f>
        <v/>
      </c>
      <c r="K233" s="34" t="str">
        <f>IFERROR(IF('Pré Implantação'!B233="URA",AVERAGE('Pré Implantação'!D233,'Pré Implantação'!L233),""),"")</f>
        <v/>
      </c>
      <c r="L233" s="34" t="str">
        <f>IFERROR(IF('Pré Implantação'!B233="CSE Microsoft",AVERAGE('Pré Implantação'!D233,'Pré Implantação'!L233),""),"")</f>
        <v/>
      </c>
      <c r="M233" s="34" t="str">
        <f>IFERROR(IF('Pré Implantação'!B233="CSE Telecom",AVERAGE('Pré Implantação'!D233,'Pré Implantação'!L233),""),"")</f>
        <v/>
      </c>
      <c r="N233" s="34" t="str">
        <f>IFERROR(IF('Pré Implantação'!B233="Site Suporte de Campo",AVERAGE('Pré Implantação'!D233,'Pré Implantação'!L233),""),"")</f>
        <v/>
      </c>
      <c r="O233" s="49" t="str">
        <f>IFERROR(IF('Pré Implantação'!B233="Infraestrutura",AVERAGE('Pré Implantação'!D233,'Pré Implantação'!L233),""),"")</f>
        <v/>
      </c>
    </row>
    <row r="234" spans="1:15" x14ac:dyDescent="0.3">
      <c r="A234" s="33">
        <f>'Pré Implantação'!A234</f>
        <v>0</v>
      </c>
      <c r="B234" s="36">
        <f>'Pré Implantação'!C234</f>
        <v>0</v>
      </c>
      <c r="C234" s="34" t="str">
        <f>IFERROR(IF('Pré Implantação'!B234="Produção TI",AVERAGE('Pré Implantação'!D234,'Pré Implantação'!L234,'Pré Implantação'!E234,'Pré Implantação'!H234),AVERAGE('Pré Implantação'!E234,'Pré Implantação'!H234)),"")</f>
        <v/>
      </c>
      <c r="D234" s="34" t="str">
        <f>IFERROR(IF('Pré Implantação'!B234="CSC Service Desk",AVERAGE('Pré Implantação'!D234,'Pré Implantação'!L234,'Pré Implantação'!F234),AVERAGE('Pré Implantação'!F234)),"")</f>
        <v/>
      </c>
      <c r="E234" s="34" t="str">
        <f>IFERROR(IF('Pré Implantação'!B234="CSC NOC",AVERAGE('Pré Implantação'!D234,'Pré Implantação'!L234,'Pré Implantação'!G234),AVERAGE('Pré Implantação'!G234)),"")</f>
        <v/>
      </c>
      <c r="F234" s="34" t="str">
        <f>IFERROR(IF('Pré Implantação'!B234="CSE Gravadores",AVERAGE('Pré Implantação'!D234,'Pré Implantação'!L234,'Pré Implantação'!I234),AVERAGE('Pré Implantação'!I234)),"")</f>
        <v/>
      </c>
      <c r="G234" s="34" t="str">
        <f>IFERROR(IF('Pré Implantação'!B234="CSC",AVERAGE('Pré Implantação'!D234,'Pré Implantação'!L234,'Pré Implantação'!J234),AVERAGE('Pré Implantação'!J234)),"")</f>
        <v/>
      </c>
      <c r="H234" s="34" t="str">
        <f>IFERROR(IF('Pré Implantação'!B234="Operações \ Negócio",AVERAGE('Pré Implantação'!D234,'Pré Implantação'!L234,'Pré Implantação'!K234),AVERAGE('Pré Implantação'!K234)),"")</f>
        <v/>
      </c>
      <c r="I234" s="34" t="str">
        <f>IFERROR(IF('Pré Implantação'!B234="Projetos",AVERAGE('Pré Implantação'!D234,'Pré Implantação'!L234,'Pré Implantação'!M234),AVERAGE('Pré Implantação'!M234)),"")</f>
        <v/>
      </c>
      <c r="J234" s="34" t="str">
        <f>IFERROR(IF('Pré Implantação'!B234="Engenharia",AVERAGE('Pré Implantação'!D234,'Pré Implantação'!L234,'Pré Implantação'!N234),AVERAGE('Pré Implantação'!N234)),"")</f>
        <v/>
      </c>
      <c r="K234" s="34" t="str">
        <f>IFERROR(IF('Pré Implantação'!B234="URA",AVERAGE('Pré Implantação'!D234,'Pré Implantação'!L234),""),"")</f>
        <v/>
      </c>
      <c r="L234" s="34" t="str">
        <f>IFERROR(IF('Pré Implantação'!B234="CSE Microsoft",AVERAGE('Pré Implantação'!D234,'Pré Implantação'!L234),""),"")</f>
        <v/>
      </c>
      <c r="M234" s="34" t="str">
        <f>IFERROR(IF('Pré Implantação'!B234="CSE Telecom",AVERAGE('Pré Implantação'!D234,'Pré Implantação'!L234),""),"")</f>
        <v/>
      </c>
      <c r="N234" s="34" t="str">
        <f>IFERROR(IF('Pré Implantação'!B234="Site Suporte de Campo",AVERAGE('Pré Implantação'!D234,'Pré Implantação'!L234),""),"")</f>
        <v/>
      </c>
      <c r="O234" s="49" t="str">
        <f>IFERROR(IF('Pré Implantação'!B234="Infraestrutura",AVERAGE('Pré Implantação'!D234,'Pré Implantação'!L234),""),"")</f>
        <v/>
      </c>
    </row>
    <row r="235" spans="1:15" x14ac:dyDescent="0.3">
      <c r="A235" s="33">
        <f>'Pré Implantação'!A235</f>
        <v>0</v>
      </c>
      <c r="B235" s="36">
        <f>'Pré Implantação'!C235</f>
        <v>0</v>
      </c>
      <c r="C235" s="34" t="str">
        <f>IFERROR(IF('Pré Implantação'!B235="Produção TI",AVERAGE('Pré Implantação'!D235,'Pré Implantação'!L235,'Pré Implantação'!E235,'Pré Implantação'!H235),AVERAGE('Pré Implantação'!E235,'Pré Implantação'!H235)),"")</f>
        <v/>
      </c>
      <c r="D235" s="34" t="str">
        <f>IFERROR(IF('Pré Implantação'!B235="CSC Service Desk",AVERAGE('Pré Implantação'!D235,'Pré Implantação'!L235,'Pré Implantação'!F235),AVERAGE('Pré Implantação'!F235)),"")</f>
        <v/>
      </c>
      <c r="E235" s="34" t="str">
        <f>IFERROR(IF('Pré Implantação'!B235="CSC NOC",AVERAGE('Pré Implantação'!D235,'Pré Implantação'!L235,'Pré Implantação'!G235),AVERAGE('Pré Implantação'!G235)),"")</f>
        <v/>
      </c>
      <c r="F235" s="34" t="str">
        <f>IFERROR(IF('Pré Implantação'!B235="CSE Gravadores",AVERAGE('Pré Implantação'!D235,'Pré Implantação'!L235,'Pré Implantação'!I235),AVERAGE('Pré Implantação'!I235)),"")</f>
        <v/>
      </c>
      <c r="G235" s="34" t="str">
        <f>IFERROR(IF('Pré Implantação'!B235="CSC",AVERAGE('Pré Implantação'!D235,'Pré Implantação'!L235,'Pré Implantação'!J235),AVERAGE('Pré Implantação'!J235)),"")</f>
        <v/>
      </c>
      <c r="H235" s="34" t="str">
        <f>IFERROR(IF('Pré Implantação'!B235="Operações \ Negócio",AVERAGE('Pré Implantação'!D235,'Pré Implantação'!L235,'Pré Implantação'!K235),AVERAGE('Pré Implantação'!K235)),"")</f>
        <v/>
      </c>
      <c r="I235" s="34" t="str">
        <f>IFERROR(IF('Pré Implantação'!B235="Projetos",AVERAGE('Pré Implantação'!D235,'Pré Implantação'!L235,'Pré Implantação'!M235),AVERAGE('Pré Implantação'!M235)),"")</f>
        <v/>
      </c>
      <c r="J235" s="34" t="str">
        <f>IFERROR(IF('Pré Implantação'!B235="Engenharia",AVERAGE('Pré Implantação'!D235,'Pré Implantação'!L235,'Pré Implantação'!N235),AVERAGE('Pré Implantação'!N235)),"")</f>
        <v/>
      </c>
      <c r="K235" s="34" t="str">
        <f>IFERROR(IF('Pré Implantação'!B235="URA",AVERAGE('Pré Implantação'!D235,'Pré Implantação'!L235),""),"")</f>
        <v/>
      </c>
      <c r="L235" s="34" t="str">
        <f>IFERROR(IF('Pré Implantação'!B235="CSE Microsoft",AVERAGE('Pré Implantação'!D235,'Pré Implantação'!L235),""),"")</f>
        <v/>
      </c>
      <c r="M235" s="34" t="str">
        <f>IFERROR(IF('Pré Implantação'!B235="CSE Telecom",AVERAGE('Pré Implantação'!D235,'Pré Implantação'!L235),""),"")</f>
        <v/>
      </c>
      <c r="N235" s="34" t="str">
        <f>IFERROR(IF('Pré Implantação'!B235="Site Suporte de Campo",AVERAGE('Pré Implantação'!D235,'Pré Implantação'!L235),""),"")</f>
        <v/>
      </c>
      <c r="O235" s="49" t="str">
        <f>IFERROR(IF('Pré Implantação'!B235="Infraestrutura",AVERAGE('Pré Implantação'!D235,'Pré Implantação'!L235),""),"")</f>
        <v/>
      </c>
    </row>
    <row r="236" spans="1:15" x14ac:dyDescent="0.3">
      <c r="A236" s="33">
        <f>'Pré Implantação'!A236</f>
        <v>0</v>
      </c>
      <c r="B236" s="36">
        <f>'Pré Implantação'!C236</f>
        <v>0</v>
      </c>
      <c r="C236" s="34" t="str">
        <f>IFERROR(IF('Pré Implantação'!B236="Produção TI",AVERAGE('Pré Implantação'!D236,'Pré Implantação'!L236,'Pré Implantação'!E236,'Pré Implantação'!H236),AVERAGE('Pré Implantação'!E236,'Pré Implantação'!H236)),"")</f>
        <v/>
      </c>
      <c r="D236" s="34" t="str">
        <f>IFERROR(IF('Pré Implantação'!B236="CSC Service Desk",AVERAGE('Pré Implantação'!D236,'Pré Implantação'!L236,'Pré Implantação'!F236),AVERAGE('Pré Implantação'!F236)),"")</f>
        <v/>
      </c>
      <c r="E236" s="34" t="str">
        <f>IFERROR(IF('Pré Implantação'!B236="CSC NOC",AVERAGE('Pré Implantação'!D236,'Pré Implantação'!L236,'Pré Implantação'!G236),AVERAGE('Pré Implantação'!G236)),"")</f>
        <v/>
      </c>
      <c r="F236" s="34" t="str">
        <f>IFERROR(IF('Pré Implantação'!B236="CSE Gravadores",AVERAGE('Pré Implantação'!D236,'Pré Implantação'!L236,'Pré Implantação'!I236),AVERAGE('Pré Implantação'!I236)),"")</f>
        <v/>
      </c>
      <c r="G236" s="34" t="str">
        <f>IFERROR(IF('Pré Implantação'!B236="CSC",AVERAGE('Pré Implantação'!D236,'Pré Implantação'!L236,'Pré Implantação'!J236),AVERAGE('Pré Implantação'!J236)),"")</f>
        <v/>
      </c>
      <c r="H236" s="34" t="str">
        <f>IFERROR(IF('Pré Implantação'!B236="Operações \ Negócio",AVERAGE('Pré Implantação'!D236,'Pré Implantação'!L236,'Pré Implantação'!K236),AVERAGE('Pré Implantação'!K236)),"")</f>
        <v/>
      </c>
      <c r="I236" s="34" t="str">
        <f>IFERROR(IF('Pré Implantação'!B236="Projetos",AVERAGE('Pré Implantação'!D236,'Pré Implantação'!L236,'Pré Implantação'!M236),AVERAGE('Pré Implantação'!M236)),"")</f>
        <v/>
      </c>
      <c r="J236" s="34" t="str">
        <f>IFERROR(IF('Pré Implantação'!B236="Engenharia",AVERAGE('Pré Implantação'!D236,'Pré Implantação'!L236,'Pré Implantação'!N236),AVERAGE('Pré Implantação'!N236)),"")</f>
        <v/>
      </c>
      <c r="K236" s="34" t="str">
        <f>IFERROR(IF('Pré Implantação'!B236="URA",AVERAGE('Pré Implantação'!D236,'Pré Implantação'!L236),""),"")</f>
        <v/>
      </c>
      <c r="L236" s="34" t="str">
        <f>IFERROR(IF('Pré Implantação'!B236="CSE Microsoft",AVERAGE('Pré Implantação'!D236,'Pré Implantação'!L236),""),"")</f>
        <v/>
      </c>
      <c r="M236" s="34" t="str">
        <f>IFERROR(IF('Pré Implantação'!B236="CSE Telecom",AVERAGE('Pré Implantação'!D236,'Pré Implantação'!L236),""),"")</f>
        <v/>
      </c>
      <c r="N236" s="34" t="str">
        <f>IFERROR(IF('Pré Implantação'!B236="Site Suporte de Campo",AVERAGE('Pré Implantação'!D236,'Pré Implantação'!L236),""),"")</f>
        <v/>
      </c>
      <c r="O236" s="49" t="str">
        <f>IFERROR(IF('Pré Implantação'!B236="Infraestrutura",AVERAGE('Pré Implantação'!D236,'Pré Implantação'!L236),""),"")</f>
        <v/>
      </c>
    </row>
    <row r="237" spans="1:15" x14ac:dyDescent="0.3">
      <c r="A237" s="33">
        <f>'Pré Implantação'!A237</f>
        <v>0</v>
      </c>
      <c r="B237" s="36">
        <f>'Pré Implantação'!C237</f>
        <v>0</v>
      </c>
      <c r="C237" s="34" t="str">
        <f>IFERROR(IF('Pré Implantação'!B237="Produção TI",AVERAGE('Pré Implantação'!D237,'Pré Implantação'!L237,'Pré Implantação'!E237,'Pré Implantação'!H237),AVERAGE('Pré Implantação'!E237,'Pré Implantação'!H237)),"")</f>
        <v/>
      </c>
      <c r="D237" s="34" t="str">
        <f>IFERROR(IF('Pré Implantação'!B237="CSC Service Desk",AVERAGE('Pré Implantação'!D237,'Pré Implantação'!L237,'Pré Implantação'!F237),AVERAGE('Pré Implantação'!F237)),"")</f>
        <v/>
      </c>
      <c r="E237" s="34" t="str">
        <f>IFERROR(IF('Pré Implantação'!B237="CSC NOC",AVERAGE('Pré Implantação'!D237,'Pré Implantação'!L237,'Pré Implantação'!G237),AVERAGE('Pré Implantação'!G237)),"")</f>
        <v/>
      </c>
      <c r="F237" s="34" t="str">
        <f>IFERROR(IF('Pré Implantação'!B237="CSE Gravadores",AVERAGE('Pré Implantação'!D237,'Pré Implantação'!L237,'Pré Implantação'!I237),AVERAGE('Pré Implantação'!I237)),"")</f>
        <v/>
      </c>
      <c r="G237" s="34" t="str">
        <f>IFERROR(IF('Pré Implantação'!B237="CSC",AVERAGE('Pré Implantação'!D237,'Pré Implantação'!L237,'Pré Implantação'!J237),AVERAGE('Pré Implantação'!J237)),"")</f>
        <v/>
      </c>
      <c r="H237" s="34" t="str">
        <f>IFERROR(IF('Pré Implantação'!B237="Operações \ Negócio",AVERAGE('Pré Implantação'!D237,'Pré Implantação'!L237,'Pré Implantação'!K237),AVERAGE('Pré Implantação'!K237)),"")</f>
        <v/>
      </c>
      <c r="I237" s="34" t="str">
        <f>IFERROR(IF('Pré Implantação'!B237="Projetos",AVERAGE('Pré Implantação'!D237,'Pré Implantação'!L237,'Pré Implantação'!M237),AVERAGE('Pré Implantação'!M237)),"")</f>
        <v/>
      </c>
      <c r="J237" s="34" t="str">
        <f>IFERROR(IF('Pré Implantação'!B237="Engenharia",AVERAGE('Pré Implantação'!D237,'Pré Implantação'!L237,'Pré Implantação'!N237),AVERAGE('Pré Implantação'!N237)),"")</f>
        <v/>
      </c>
      <c r="K237" s="34" t="str">
        <f>IFERROR(IF('Pré Implantação'!B237="URA",AVERAGE('Pré Implantação'!D237,'Pré Implantação'!L237),""),"")</f>
        <v/>
      </c>
      <c r="L237" s="34" t="str">
        <f>IFERROR(IF('Pré Implantação'!B237="CSE Microsoft",AVERAGE('Pré Implantação'!D237,'Pré Implantação'!L237),""),"")</f>
        <v/>
      </c>
      <c r="M237" s="34" t="str">
        <f>IFERROR(IF('Pré Implantação'!B237="CSE Telecom",AVERAGE('Pré Implantação'!D237,'Pré Implantação'!L237),""),"")</f>
        <v/>
      </c>
      <c r="N237" s="34" t="str">
        <f>IFERROR(IF('Pré Implantação'!B237="Site Suporte de Campo",AVERAGE('Pré Implantação'!D237,'Pré Implantação'!L237),""),"")</f>
        <v/>
      </c>
      <c r="O237" s="49" t="str">
        <f>IFERROR(IF('Pré Implantação'!B237="Infraestrutura",AVERAGE('Pré Implantação'!D237,'Pré Implantação'!L237),""),"")</f>
        <v/>
      </c>
    </row>
    <row r="238" spans="1:15" x14ac:dyDescent="0.3">
      <c r="A238" s="33">
        <f>'Pré Implantação'!A238</f>
        <v>0</v>
      </c>
      <c r="B238" s="36">
        <f>'Pré Implantação'!C238</f>
        <v>0</v>
      </c>
      <c r="C238" s="34" t="str">
        <f>IFERROR(IF('Pré Implantação'!B238="Produção TI",AVERAGE('Pré Implantação'!D238,'Pré Implantação'!L238,'Pré Implantação'!E238,'Pré Implantação'!H238),AVERAGE('Pré Implantação'!E238,'Pré Implantação'!H238)),"")</f>
        <v/>
      </c>
      <c r="D238" s="34" t="str">
        <f>IFERROR(IF('Pré Implantação'!B238="CSC Service Desk",AVERAGE('Pré Implantação'!D238,'Pré Implantação'!L238,'Pré Implantação'!F238),AVERAGE('Pré Implantação'!F238)),"")</f>
        <v/>
      </c>
      <c r="E238" s="34" t="str">
        <f>IFERROR(IF('Pré Implantação'!B238="CSC NOC",AVERAGE('Pré Implantação'!D238,'Pré Implantação'!L238,'Pré Implantação'!G238),AVERAGE('Pré Implantação'!G238)),"")</f>
        <v/>
      </c>
      <c r="F238" s="34" t="str">
        <f>IFERROR(IF('Pré Implantação'!B238="CSE Gravadores",AVERAGE('Pré Implantação'!D238,'Pré Implantação'!L238,'Pré Implantação'!I238),AVERAGE('Pré Implantação'!I238)),"")</f>
        <v/>
      </c>
      <c r="G238" s="34" t="str">
        <f>IFERROR(IF('Pré Implantação'!B238="CSC",AVERAGE('Pré Implantação'!D238,'Pré Implantação'!L238,'Pré Implantação'!J238),AVERAGE('Pré Implantação'!J238)),"")</f>
        <v/>
      </c>
      <c r="H238" s="34" t="str">
        <f>IFERROR(IF('Pré Implantação'!B238="Operações \ Negócio",AVERAGE('Pré Implantação'!D238,'Pré Implantação'!L238,'Pré Implantação'!K238),AVERAGE('Pré Implantação'!K238)),"")</f>
        <v/>
      </c>
      <c r="I238" s="34" t="str">
        <f>IFERROR(IF('Pré Implantação'!B238="Projetos",AVERAGE('Pré Implantação'!D238,'Pré Implantação'!L238,'Pré Implantação'!M238),AVERAGE('Pré Implantação'!M238)),"")</f>
        <v/>
      </c>
      <c r="J238" s="34" t="str">
        <f>IFERROR(IF('Pré Implantação'!B238="Engenharia",AVERAGE('Pré Implantação'!D238,'Pré Implantação'!L238,'Pré Implantação'!N238),AVERAGE('Pré Implantação'!N238)),"")</f>
        <v/>
      </c>
      <c r="K238" s="34" t="str">
        <f>IFERROR(IF('Pré Implantação'!B238="URA",AVERAGE('Pré Implantação'!D238,'Pré Implantação'!L238),""),"")</f>
        <v/>
      </c>
      <c r="L238" s="34" t="str">
        <f>IFERROR(IF('Pré Implantação'!B238="CSE Microsoft",AVERAGE('Pré Implantação'!D238,'Pré Implantação'!L238),""),"")</f>
        <v/>
      </c>
      <c r="M238" s="34" t="str">
        <f>IFERROR(IF('Pré Implantação'!B238="CSE Telecom",AVERAGE('Pré Implantação'!D238,'Pré Implantação'!L238),""),"")</f>
        <v/>
      </c>
      <c r="N238" s="34" t="str">
        <f>IFERROR(IF('Pré Implantação'!B238="Site Suporte de Campo",AVERAGE('Pré Implantação'!D238,'Pré Implantação'!L238),""),"")</f>
        <v/>
      </c>
      <c r="O238" s="49" t="str">
        <f>IFERROR(IF('Pré Implantação'!B238="Infraestrutura",AVERAGE('Pré Implantação'!D238,'Pré Implantação'!L238),""),"")</f>
        <v/>
      </c>
    </row>
    <row r="239" spans="1:15" x14ac:dyDescent="0.3">
      <c r="A239" s="33">
        <f>'Pré Implantação'!A239</f>
        <v>0</v>
      </c>
      <c r="B239" s="36">
        <f>'Pré Implantação'!C239</f>
        <v>0</v>
      </c>
      <c r="C239" s="34" t="str">
        <f>IFERROR(IF('Pré Implantação'!B239="Produção TI",AVERAGE('Pré Implantação'!D239,'Pré Implantação'!L239,'Pré Implantação'!E239,'Pré Implantação'!H239),AVERAGE('Pré Implantação'!E239,'Pré Implantação'!H239)),"")</f>
        <v/>
      </c>
      <c r="D239" s="34" t="str">
        <f>IFERROR(IF('Pré Implantação'!B239="CSC Service Desk",AVERAGE('Pré Implantação'!D239,'Pré Implantação'!L239,'Pré Implantação'!F239),AVERAGE('Pré Implantação'!F239)),"")</f>
        <v/>
      </c>
      <c r="E239" s="34" t="str">
        <f>IFERROR(IF('Pré Implantação'!B239="CSC NOC",AVERAGE('Pré Implantação'!D239,'Pré Implantação'!L239,'Pré Implantação'!G239),AVERAGE('Pré Implantação'!G239)),"")</f>
        <v/>
      </c>
      <c r="F239" s="34" t="str">
        <f>IFERROR(IF('Pré Implantação'!B239="CSE Gravadores",AVERAGE('Pré Implantação'!D239,'Pré Implantação'!L239,'Pré Implantação'!I239),AVERAGE('Pré Implantação'!I239)),"")</f>
        <v/>
      </c>
      <c r="G239" s="34" t="str">
        <f>IFERROR(IF('Pré Implantação'!B239="CSC",AVERAGE('Pré Implantação'!D239,'Pré Implantação'!L239,'Pré Implantação'!J239),AVERAGE('Pré Implantação'!J239)),"")</f>
        <v/>
      </c>
      <c r="H239" s="34" t="str">
        <f>IFERROR(IF('Pré Implantação'!B239="Operações \ Negócio",AVERAGE('Pré Implantação'!D239,'Pré Implantação'!L239,'Pré Implantação'!K239),AVERAGE('Pré Implantação'!K239)),"")</f>
        <v/>
      </c>
      <c r="I239" s="34" t="str">
        <f>IFERROR(IF('Pré Implantação'!B239="Projetos",AVERAGE('Pré Implantação'!D239,'Pré Implantação'!L239,'Pré Implantação'!M239),AVERAGE('Pré Implantação'!M239)),"")</f>
        <v/>
      </c>
      <c r="J239" s="34" t="str">
        <f>IFERROR(IF('Pré Implantação'!B239="Engenharia",AVERAGE('Pré Implantação'!D239,'Pré Implantação'!L239,'Pré Implantação'!N239),AVERAGE('Pré Implantação'!N239)),"")</f>
        <v/>
      </c>
      <c r="K239" s="34" t="str">
        <f>IFERROR(IF('Pré Implantação'!B239="URA",AVERAGE('Pré Implantação'!D239,'Pré Implantação'!L239),""),"")</f>
        <v/>
      </c>
      <c r="L239" s="34" t="str">
        <f>IFERROR(IF('Pré Implantação'!B239="CSE Microsoft",AVERAGE('Pré Implantação'!D239,'Pré Implantação'!L239),""),"")</f>
        <v/>
      </c>
      <c r="M239" s="34" t="str">
        <f>IFERROR(IF('Pré Implantação'!B239="CSE Telecom",AVERAGE('Pré Implantação'!D239,'Pré Implantação'!L239),""),"")</f>
        <v/>
      </c>
      <c r="N239" s="34" t="str">
        <f>IFERROR(IF('Pré Implantação'!B239="Site Suporte de Campo",AVERAGE('Pré Implantação'!D239,'Pré Implantação'!L239),""),"")</f>
        <v/>
      </c>
      <c r="O239" s="49" t="str">
        <f>IFERROR(IF('Pré Implantação'!B239="Infraestrutura",AVERAGE('Pré Implantação'!D239,'Pré Implantação'!L239),""),"")</f>
        <v/>
      </c>
    </row>
    <row r="240" spans="1:15" x14ac:dyDescent="0.3">
      <c r="A240" s="33">
        <f>'Pré Implantação'!A240</f>
        <v>0</v>
      </c>
      <c r="B240" s="36">
        <f>'Pré Implantação'!C240</f>
        <v>0</v>
      </c>
      <c r="C240" s="34" t="str">
        <f>IFERROR(IF('Pré Implantação'!B240="Produção TI",AVERAGE('Pré Implantação'!D240,'Pré Implantação'!L240,'Pré Implantação'!E240,'Pré Implantação'!H240),AVERAGE('Pré Implantação'!E240,'Pré Implantação'!H240)),"")</f>
        <v/>
      </c>
      <c r="D240" s="34" t="str">
        <f>IFERROR(IF('Pré Implantação'!B240="CSC Service Desk",AVERAGE('Pré Implantação'!D240,'Pré Implantação'!L240,'Pré Implantação'!F240),AVERAGE('Pré Implantação'!F240)),"")</f>
        <v/>
      </c>
      <c r="E240" s="34" t="str">
        <f>IFERROR(IF('Pré Implantação'!B240="CSC NOC",AVERAGE('Pré Implantação'!D240,'Pré Implantação'!L240,'Pré Implantação'!G240),AVERAGE('Pré Implantação'!G240)),"")</f>
        <v/>
      </c>
      <c r="F240" s="34" t="str">
        <f>IFERROR(IF('Pré Implantação'!B240="CSE Gravadores",AVERAGE('Pré Implantação'!D240,'Pré Implantação'!L240,'Pré Implantação'!I240),AVERAGE('Pré Implantação'!I240)),"")</f>
        <v/>
      </c>
      <c r="G240" s="34" t="str">
        <f>IFERROR(IF('Pré Implantação'!B240="CSC",AVERAGE('Pré Implantação'!D240,'Pré Implantação'!L240,'Pré Implantação'!J240),AVERAGE('Pré Implantação'!J240)),"")</f>
        <v/>
      </c>
      <c r="H240" s="34" t="str">
        <f>IFERROR(IF('Pré Implantação'!B240="Operações \ Negócio",AVERAGE('Pré Implantação'!D240,'Pré Implantação'!L240,'Pré Implantação'!K240),AVERAGE('Pré Implantação'!K240)),"")</f>
        <v/>
      </c>
      <c r="I240" s="34" t="str">
        <f>IFERROR(IF('Pré Implantação'!B240="Projetos",AVERAGE('Pré Implantação'!D240,'Pré Implantação'!L240,'Pré Implantação'!M240),AVERAGE('Pré Implantação'!M240)),"")</f>
        <v/>
      </c>
      <c r="J240" s="34" t="str">
        <f>IFERROR(IF('Pré Implantação'!B240="Engenharia",AVERAGE('Pré Implantação'!D240,'Pré Implantação'!L240,'Pré Implantação'!N240),AVERAGE('Pré Implantação'!N240)),"")</f>
        <v/>
      </c>
      <c r="K240" s="34" t="str">
        <f>IFERROR(IF('Pré Implantação'!B240="URA",AVERAGE('Pré Implantação'!D240,'Pré Implantação'!L240),""),"")</f>
        <v/>
      </c>
      <c r="L240" s="34" t="str">
        <f>IFERROR(IF('Pré Implantação'!B240="CSE Microsoft",AVERAGE('Pré Implantação'!D240,'Pré Implantação'!L240),""),"")</f>
        <v/>
      </c>
      <c r="M240" s="34" t="str">
        <f>IFERROR(IF('Pré Implantação'!B240="CSE Telecom",AVERAGE('Pré Implantação'!D240,'Pré Implantação'!L240),""),"")</f>
        <v/>
      </c>
      <c r="N240" s="34" t="str">
        <f>IFERROR(IF('Pré Implantação'!B240="Site Suporte de Campo",AVERAGE('Pré Implantação'!D240,'Pré Implantação'!L240),""),"")</f>
        <v/>
      </c>
      <c r="O240" s="49" t="str">
        <f>IFERROR(IF('Pré Implantação'!B240="Infraestrutura",AVERAGE('Pré Implantação'!D240,'Pré Implantação'!L240),""),"")</f>
        <v/>
      </c>
    </row>
    <row r="241" spans="1:15" x14ac:dyDescent="0.3">
      <c r="A241" s="33">
        <f>'Pré Implantação'!A241</f>
        <v>0</v>
      </c>
      <c r="B241" s="36">
        <f>'Pré Implantação'!C241</f>
        <v>0</v>
      </c>
      <c r="C241" s="34" t="str">
        <f>IFERROR(IF('Pré Implantação'!B241="Produção TI",AVERAGE('Pré Implantação'!D241,'Pré Implantação'!L241,'Pré Implantação'!E241,'Pré Implantação'!H241),AVERAGE('Pré Implantação'!E241,'Pré Implantação'!H241)),"")</f>
        <v/>
      </c>
      <c r="D241" s="34" t="str">
        <f>IFERROR(IF('Pré Implantação'!B241="CSC Service Desk",AVERAGE('Pré Implantação'!D241,'Pré Implantação'!L241,'Pré Implantação'!F241),AVERAGE('Pré Implantação'!F241)),"")</f>
        <v/>
      </c>
      <c r="E241" s="34" t="str">
        <f>IFERROR(IF('Pré Implantação'!B241="CSC NOC",AVERAGE('Pré Implantação'!D241,'Pré Implantação'!L241,'Pré Implantação'!G241),AVERAGE('Pré Implantação'!G241)),"")</f>
        <v/>
      </c>
      <c r="F241" s="34" t="str">
        <f>IFERROR(IF('Pré Implantação'!B241="CSE Gravadores",AVERAGE('Pré Implantação'!D241,'Pré Implantação'!L241,'Pré Implantação'!I241),AVERAGE('Pré Implantação'!I241)),"")</f>
        <v/>
      </c>
      <c r="G241" s="34" t="str">
        <f>IFERROR(IF('Pré Implantação'!B241="CSC",AVERAGE('Pré Implantação'!D241,'Pré Implantação'!L241,'Pré Implantação'!J241),AVERAGE('Pré Implantação'!J241)),"")</f>
        <v/>
      </c>
      <c r="H241" s="34" t="str">
        <f>IFERROR(IF('Pré Implantação'!B241="Operações \ Negócio",AVERAGE('Pré Implantação'!D241,'Pré Implantação'!L241,'Pré Implantação'!K241),AVERAGE('Pré Implantação'!K241)),"")</f>
        <v/>
      </c>
      <c r="I241" s="34" t="str">
        <f>IFERROR(IF('Pré Implantação'!B241="Projetos",AVERAGE('Pré Implantação'!D241,'Pré Implantação'!L241,'Pré Implantação'!M241),AVERAGE('Pré Implantação'!M241)),"")</f>
        <v/>
      </c>
      <c r="J241" s="34" t="str">
        <f>IFERROR(IF('Pré Implantação'!B241="Engenharia",AVERAGE('Pré Implantação'!D241,'Pré Implantação'!L241,'Pré Implantação'!N241),AVERAGE('Pré Implantação'!N241)),"")</f>
        <v/>
      </c>
      <c r="K241" s="34" t="str">
        <f>IFERROR(IF('Pré Implantação'!B241="URA",AVERAGE('Pré Implantação'!D241,'Pré Implantação'!L241),""),"")</f>
        <v/>
      </c>
      <c r="L241" s="34" t="str">
        <f>IFERROR(IF('Pré Implantação'!B241="CSE Microsoft",AVERAGE('Pré Implantação'!D241,'Pré Implantação'!L241),""),"")</f>
        <v/>
      </c>
      <c r="M241" s="34" t="str">
        <f>IFERROR(IF('Pré Implantação'!B241="CSE Telecom",AVERAGE('Pré Implantação'!D241,'Pré Implantação'!L241),""),"")</f>
        <v/>
      </c>
      <c r="N241" s="34" t="str">
        <f>IFERROR(IF('Pré Implantação'!B241="Site Suporte de Campo",AVERAGE('Pré Implantação'!D241,'Pré Implantação'!L241),""),"")</f>
        <v/>
      </c>
      <c r="O241" s="49" t="str">
        <f>IFERROR(IF('Pré Implantação'!B241="Infraestrutura",AVERAGE('Pré Implantação'!D241,'Pré Implantação'!L241),""),"")</f>
        <v/>
      </c>
    </row>
    <row r="242" spans="1:15" x14ac:dyDescent="0.3">
      <c r="A242" s="33">
        <f>'Pré Implantação'!A242</f>
        <v>0</v>
      </c>
      <c r="B242" s="36">
        <f>'Pré Implantação'!C242</f>
        <v>0</v>
      </c>
      <c r="C242" s="34" t="str">
        <f>IFERROR(IF('Pré Implantação'!B242="Produção TI",AVERAGE('Pré Implantação'!D242,'Pré Implantação'!L242,'Pré Implantação'!E242,'Pré Implantação'!H242),AVERAGE('Pré Implantação'!E242,'Pré Implantação'!H242)),"")</f>
        <v/>
      </c>
      <c r="D242" s="34" t="str">
        <f>IFERROR(IF('Pré Implantação'!B242="CSC Service Desk",AVERAGE('Pré Implantação'!D242,'Pré Implantação'!L242,'Pré Implantação'!F242),AVERAGE('Pré Implantação'!F242)),"")</f>
        <v/>
      </c>
      <c r="E242" s="34" t="str">
        <f>IFERROR(IF('Pré Implantação'!B242="CSC NOC",AVERAGE('Pré Implantação'!D242,'Pré Implantação'!L242,'Pré Implantação'!G242),AVERAGE('Pré Implantação'!G242)),"")</f>
        <v/>
      </c>
      <c r="F242" s="34" t="str">
        <f>IFERROR(IF('Pré Implantação'!B242="CSE Gravadores",AVERAGE('Pré Implantação'!D242,'Pré Implantação'!L242,'Pré Implantação'!I242),AVERAGE('Pré Implantação'!I242)),"")</f>
        <v/>
      </c>
      <c r="G242" s="34" t="str">
        <f>IFERROR(IF('Pré Implantação'!B242="CSC",AVERAGE('Pré Implantação'!D242,'Pré Implantação'!L242,'Pré Implantação'!J242),AVERAGE('Pré Implantação'!J242)),"")</f>
        <v/>
      </c>
      <c r="H242" s="34" t="str">
        <f>IFERROR(IF('Pré Implantação'!B242="Operações \ Negócio",AVERAGE('Pré Implantação'!D242,'Pré Implantação'!L242,'Pré Implantação'!K242),AVERAGE('Pré Implantação'!K242)),"")</f>
        <v/>
      </c>
      <c r="I242" s="34" t="str">
        <f>IFERROR(IF('Pré Implantação'!B242="Projetos",AVERAGE('Pré Implantação'!D242,'Pré Implantação'!L242,'Pré Implantação'!M242),AVERAGE('Pré Implantação'!M242)),"")</f>
        <v/>
      </c>
      <c r="J242" s="34" t="str">
        <f>IFERROR(IF('Pré Implantação'!B242="Engenharia",AVERAGE('Pré Implantação'!D242,'Pré Implantação'!L242,'Pré Implantação'!N242),AVERAGE('Pré Implantação'!N242)),"")</f>
        <v/>
      </c>
      <c r="K242" s="34" t="str">
        <f>IFERROR(IF('Pré Implantação'!B242="URA",AVERAGE('Pré Implantação'!D242,'Pré Implantação'!L242),""),"")</f>
        <v/>
      </c>
      <c r="L242" s="34" t="str">
        <f>IFERROR(IF('Pré Implantação'!B242="CSE Microsoft",AVERAGE('Pré Implantação'!D242,'Pré Implantação'!L242),""),"")</f>
        <v/>
      </c>
      <c r="M242" s="34" t="str">
        <f>IFERROR(IF('Pré Implantação'!B242="CSE Telecom",AVERAGE('Pré Implantação'!D242,'Pré Implantação'!L242),""),"")</f>
        <v/>
      </c>
      <c r="N242" s="34" t="str">
        <f>IFERROR(IF('Pré Implantação'!B242="Site Suporte de Campo",AVERAGE('Pré Implantação'!D242,'Pré Implantação'!L242),""),"")</f>
        <v/>
      </c>
      <c r="O242" s="49" t="str">
        <f>IFERROR(IF('Pré Implantação'!B242="Infraestrutura",AVERAGE('Pré Implantação'!D242,'Pré Implantação'!L242),""),"")</f>
        <v/>
      </c>
    </row>
    <row r="243" spans="1:15" x14ac:dyDescent="0.3">
      <c r="A243" s="33">
        <f>'Pré Implantação'!A243</f>
        <v>0</v>
      </c>
      <c r="B243" s="36">
        <f>'Pré Implantação'!C243</f>
        <v>0</v>
      </c>
      <c r="C243" s="34" t="str">
        <f>IFERROR(IF('Pré Implantação'!B243="Produção TI",AVERAGE('Pré Implantação'!D243,'Pré Implantação'!L243,'Pré Implantação'!E243,'Pré Implantação'!H243),AVERAGE('Pré Implantação'!E243,'Pré Implantação'!H243)),"")</f>
        <v/>
      </c>
      <c r="D243" s="34" t="str">
        <f>IFERROR(IF('Pré Implantação'!B243="CSC Service Desk",AVERAGE('Pré Implantação'!D243,'Pré Implantação'!L243,'Pré Implantação'!F243),AVERAGE('Pré Implantação'!F243)),"")</f>
        <v/>
      </c>
      <c r="E243" s="34" t="str">
        <f>IFERROR(IF('Pré Implantação'!B243="CSC NOC",AVERAGE('Pré Implantação'!D243,'Pré Implantação'!L243,'Pré Implantação'!G243),AVERAGE('Pré Implantação'!G243)),"")</f>
        <v/>
      </c>
      <c r="F243" s="34" t="str">
        <f>IFERROR(IF('Pré Implantação'!B243="CSE Gravadores",AVERAGE('Pré Implantação'!D243,'Pré Implantação'!L243,'Pré Implantação'!I243),AVERAGE('Pré Implantação'!I243)),"")</f>
        <v/>
      </c>
      <c r="G243" s="34" t="str">
        <f>IFERROR(IF('Pré Implantação'!B243="CSC",AVERAGE('Pré Implantação'!D243,'Pré Implantação'!L243,'Pré Implantação'!J243),AVERAGE('Pré Implantação'!J243)),"")</f>
        <v/>
      </c>
      <c r="H243" s="34" t="str">
        <f>IFERROR(IF('Pré Implantação'!B243="Operações \ Negócio",AVERAGE('Pré Implantação'!D243,'Pré Implantação'!L243,'Pré Implantação'!K243),AVERAGE('Pré Implantação'!K243)),"")</f>
        <v/>
      </c>
      <c r="I243" s="34" t="str">
        <f>IFERROR(IF('Pré Implantação'!B243="Projetos",AVERAGE('Pré Implantação'!D243,'Pré Implantação'!L243,'Pré Implantação'!M243),AVERAGE('Pré Implantação'!M243)),"")</f>
        <v/>
      </c>
      <c r="J243" s="34" t="str">
        <f>IFERROR(IF('Pré Implantação'!B243="Engenharia",AVERAGE('Pré Implantação'!D243,'Pré Implantação'!L243,'Pré Implantação'!N243),AVERAGE('Pré Implantação'!N243)),"")</f>
        <v/>
      </c>
      <c r="K243" s="34" t="str">
        <f>IFERROR(IF('Pré Implantação'!B243="URA",AVERAGE('Pré Implantação'!D243,'Pré Implantação'!L243),""),"")</f>
        <v/>
      </c>
      <c r="L243" s="34" t="str">
        <f>IFERROR(IF('Pré Implantação'!B243="CSE Microsoft",AVERAGE('Pré Implantação'!D243,'Pré Implantação'!L243),""),"")</f>
        <v/>
      </c>
      <c r="M243" s="34" t="str">
        <f>IFERROR(IF('Pré Implantação'!B243="CSE Telecom",AVERAGE('Pré Implantação'!D243,'Pré Implantação'!L243),""),"")</f>
        <v/>
      </c>
      <c r="N243" s="34" t="str">
        <f>IFERROR(IF('Pré Implantação'!B243="Site Suporte de Campo",AVERAGE('Pré Implantação'!D243,'Pré Implantação'!L243),""),"")</f>
        <v/>
      </c>
      <c r="O243" s="49" t="str">
        <f>IFERROR(IF('Pré Implantação'!B243="Infraestrutura",AVERAGE('Pré Implantação'!D243,'Pré Implantação'!L243),""),"")</f>
        <v/>
      </c>
    </row>
    <row r="244" spans="1:15" x14ac:dyDescent="0.3">
      <c r="A244" s="33">
        <f>'Pré Implantação'!A244</f>
        <v>0</v>
      </c>
      <c r="B244" s="36">
        <f>'Pré Implantação'!C244</f>
        <v>0</v>
      </c>
      <c r="C244" s="34" t="str">
        <f>IFERROR(IF('Pré Implantação'!B244="Produção TI",AVERAGE('Pré Implantação'!D244,'Pré Implantação'!L244,'Pré Implantação'!E244,'Pré Implantação'!H244),AVERAGE('Pré Implantação'!E244,'Pré Implantação'!H244)),"")</f>
        <v/>
      </c>
      <c r="D244" s="34" t="str">
        <f>IFERROR(IF('Pré Implantação'!B244="CSC Service Desk",AVERAGE('Pré Implantação'!D244,'Pré Implantação'!L244,'Pré Implantação'!F244),AVERAGE('Pré Implantação'!F244)),"")</f>
        <v/>
      </c>
      <c r="E244" s="34" t="str">
        <f>IFERROR(IF('Pré Implantação'!B244="CSC NOC",AVERAGE('Pré Implantação'!D244,'Pré Implantação'!L244,'Pré Implantação'!G244),AVERAGE('Pré Implantação'!G244)),"")</f>
        <v/>
      </c>
      <c r="F244" s="34" t="str">
        <f>IFERROR(IF('Pré Implantação'!B244="CSE Gravadores",AVERAGE('Pré Implantação'!D244,'Pré Implantação'!L244,'Pré Implantação'!I244),AVERAGE('Pré Implantação'!I244)),"")</f>
        <v/>
      </c>
      <c r="G244" s="34" t="str">
        <f>IFERROR(IF('Pré Implantação'!B244="CSC",AVERAGE('Pré Implantação'!D244,'Pré Implantação'!L244,'Pré Implantação'!J244),AVERAGE('Pré Implantação'!J244)),"")</f>
        <v/>
      </c>
      <c r="H244" s="34" t="str">
        <f>IFERROR(IF('Pré Implantação'!B244="Operações \ Negócio",AVERAGE('Pré Implantação'!D244,'Pré Implantação'!L244,'Pré Implantação'!K244),AVERAGE('Pré Implantação'!K244)),"")</f>
        <v/>
      </c>
      <c r="I244" s="34" t="str">
        <f>IFERROR(IF('Pré Implantação'!B244="Projetos",AVERAGE('Pré Implantação'!D244,'Pré Implantação'!L244,'Pré Implantação'!M244),AVERAGE('Pré Implantação'!M244)),"")</f>
        <v/>
      </c>
      <c r="J244" s="34" t="str">
        <f>IFERROR(IF('Pré Implantação'!B244="Engenharia",AVERAGE('Pré Implantação'!D244,'Pré Implantação'!L244,'Pré Implantação'!N244),AVERAGE('Pré Implantação'!N244)),"")</f>
        <v/>
      </c>
      <c r="K244" s="34" t="str">
        <f>IFERROR(IF('Pré Implantação'!B244="URA",AVERAGE('Pré Implantação'!D244,'Pré Implantação'!L244),""),"")</f>
        <v/>
      </c>
      <c r="L244" s="34" t="str">
        <f>IFERROR(IF('Pré Implantação'!B244="CSE Microsoft",AVERAGE('Pré Implantação'!D244,'Pré Implantação'!L244),""),"")</f>
        <v/>
      </c>
      <c r="M244" s="34" t="str">
        <f>IFERROR(IF('Pré Implantação'!B244="CSE Telecom",AVERAGE('Pré Implantação'!D244,'Pré Implantação'!L244),""),"")</f>
        <v/>
      </c>
      <c r="N244" s="34" t="str">
        <f>IFERROR(IF('Pré Implantação'!B244="Site Suporte de Campo",AVERAGE('Pré Implantação'!D244,'Pré Implantação'!L244),""),"")</f>
        <v/>
      </c>
      <c r="O244" s="49" t="str">
        <f>IFERROR(IF('Pré Implantação'!B244="Infraestrutura",AVERAGE('Pré Implantação'!D244,'Pré Implantação'!L244),""),"")</f>
        <v/>
      </c>
    </row>
    <row r="245" spans="1:15" x14ac:dyDescent="0.3">
      <c r="A245" s="33">
        <f>'Pré Implantação'!A245</f>
        <v>0</v>
      </c>
      <c r="B245" s="36">
        <f>'Pré Implantação'!C245</f>
        <v>0</v>
      </c>
      <c r="C245" s="34" t="str">
        <f>IFERROR(IF('Pré Implantação'!B245="Produção TI",AVERAGE('Pré Implantação'!D245,'Pré Implantação'!L245,'Pré Implantação'!E245,'Pré Implantação'!H245),AVERAGE('Pré Implantação'!E245,'Pré Implantação'!H245)),"")</f>
        <v/>
      </c>
      <c r="D245" s="34" t="str">
        <f>IFERROR(IF('Pré Implantação'!B245="CSC Service Desk",AVERAGE('Pré Implantação'!D245,'Pré Implantação'!L245,'Pré Implantação'!F245),AVERAGE('Pré Implantação'!F245)),"")</f>
        <v/>
      </c>
      <c r="E245" s="34" t="str">
        <f>IFERROR(IF('Pré Implantação'!B245="CSC NOC",AVERAGE('Pré Implantação'!D245,'Pré Implantação'!L245,'Pré Implantação'!G245),AVERAGE('Pré Implantação'!G245)),"")</f>
        <v/>
      </c>
      <c r="F245" s="34" t="str">
        <f>IFERROR(IF('Pré Implantação'!B245="CSE Gravadores",AVERAGE('Pré Implantação'!D245,'Pré Implantação'!L245,'Pré Implantação'!I245),AVERAGE('Pré Implantação'!I245)),"")</f>
        <v/>
      </c>
      <c r="G245" s="34" t="str">
        <f>IFERROR(IF('Pré Implantação'!B245="CSC",AVERAGE('Pré Implantação'!D245,'Pré Implantação'!L245,'Pré Implantação'!J245),AVERAGE('Pré Implantação'!J245)),"")</f>
        <v/>
      </c>
      <c r="H245" s="34" t="str">
        <f>IFERROR(IF('Pré Implantação'!B245="Operações \ Negócio",AVERAGE('Pré Implantação'!D245,'Pré Implantação'!L245,'Pré Implantação'!K245),AVERAGE('Pré Implantação'!K245)),"")</f>
        <v/>
      </c>
      <c r="I245" s="34" t="str">
        <f>IFERROR(IF('Pré Implantação'!B245="Projetos",AVERAGE('Pré Implantação'!D245,'Pré Implantação'!L245,'Pré Implantação'!M245),AVERAGE('Pré Implantação'!M245)),"")</f>
        <v/>
      </c>
      <c r="J245" s="34" t="str">
        <f>IFERROR(IF('Pré Implantação'!B245="Engenharia",AVERAGE('Pré Implantação'!D245,'Pré Implantação'!L245,'Pré Implantação'!N245),AVERAGE('Pré Implantação'!N245)),"")</f>
        <v/>
      </c>
      <c r="K245" s="34" t="str">
        <f>IFERROR(IF('Pré Implantação'!B245="URA",AVERAGE('Pré Implantação'!D245,'Pré Implantação'!L245),""),"")</f>
        <v/>
      </c>
      <c r="L245" s="34" t="str">
        <f>IFERROR(IF('Pré Implantação'!B245="CSE Microsoft",AVERAGE('Pré Implantação'!D245,'Pré Implantação'!L245),""),"")</f>
        <v/>
      </c>
      <c r="M245" s="34" t="str">
        <f>IFERROR(IF('Pré Implantação'!B245="CSE Telecom",AVERAGE('Pré Implantação'!D245,'Pré Implantação'!L245),""),"")</f>
        <v/>
      </c>
      <c r="N245" s="34" t="str">
        <f>IFERROR(IF('Pré Implantação'!B245="Site Suporte de Campo",AVERAGE('Pré Implantação'!D245,'Pré Implantação'!L245),""),"")</f>
        <v/>
      </c>
      <c r="O245" s="49" t="str">
        <f>IFERROR(IF('Pré Implantação'!B245="Infraestrutura",AVERAGE('Pré Implantação'!D245,'Pré Implantação'!L245),""),"")</f>
        <v/>
      </c>
    </row>
    <row r="246" spans="1:15" x14ac:dyDescent="0.3">
      <c r="A246" s="33">
        <f>'Pré Implantação'!A246</f>
        <v>0</v>
      </c>
      <c r="B246" s="36">
        <f>'Pré Implantação'!C246</f>
        <v>0</v>
      </c>
      <c r="C246" s="34" t="str">
        <f>IFERROR(IF('Pré Implantação'!B246="Produção TI",AVERAGE('Pré Implantação'!D246,'Pré Implantação'!L246,'Pré Implantação'!E246,'Pré Implantação'!H246),AVERAGE('Pré Implantação'!E246,'Pré Implantação'!H246)),"")</f>
        <v/>
      </c>
      <c r="D246" s="34" t="str">
        <f>IFERROR(IF('Pré Implantação'!B246="CSC Service Desk",AVERAGE('Pré Implantação'!D246,'Pré Implantação'!L246,'Pré Implantação'!F246),AVERAGE('Pré Implantação'!F246)),"")</f>
        <v/>
      </c>
      <c r="E246" s="34" t="str">
        <f>IFERROR(IF('Pré Implantação'!B246="CSC NOC",AVERAGE('Pré Implantação'!D246,'Pré Implantação'!L246,'Pré Implantação'!G246),AVERAGE('Pré Implantação'!G246)),"")</f>
        <v/>
      </c>
      <c r="F246" s="34" t="str">
        <f>IFERROR(IF('Pré Implantação'!B246="CSE Gravadores",AVERAGE('Pré Implantação'!D246,'Pré Implantação'!L246,'Pré Implantação'!I246),AVERAGE('Pré Implantação'!I246)),"")</f>
        <v/>
      </c>
      <c r="G246" s="34" t="str">
        <f>IFERROR(IF('Pré Implantação'!B246="CSC",AVERAGE('Pré Implantação'!D246,'Pré Implantação'!L246,'Pré Implantação'!J246),AVERAGE('Pré Implantação'!J246)),"")</f>
        <v/>
      </c>
      <c r="H246" s="34" t="str">
        <f>IFERROR(IF('Pré Implantação'!B246="Operações \ Negócio",AVERAGE('Pré Implantação'!D246,'Pré Implantação'!L246,'Pré Implantação'!K246),AVERAGE('Pré Implantação'!K246)),"")</f>
        <v/>
      </c>
      <c r="I246" s="34" t="str">
        <f>IFERROR(IF('Pré Implantação'!B246="Projetos",AVERAGE('Pré Implantação'!D246,'Pré Implantação'!L246,'Pré Implantação'!M246),AVERAGE('Pré Implantação'!M246)),"")</f>
        <v/>
      </c>
      <c r="J246" s="34" t="str">
        <f>IFERROR(IF('Pré Implantação'!B246="Engenharia",AVERAGE('Pré Implantação'!D246,'Pré Implantação'!L246,'Pré Implantação'!N246),AVERAGE('Pré Implantação'!N246)),"")</f>
        <v/>
      </c>
      <c r="K246" s="34" t="str">
        <f>IFERROR(IF('Pré Implantação'!B246="URA",AVERAGE('Pré Implantação'!D246,'Pré Implantação'!L246),""),"")</f>
        <v/>
      </c>
      <c r="L246" s="34" t="str">
        <f>IFERROR(IF('Pré Implantação'!B246="CSE Microsoft",AVERAGE('Pré Implantação'!D246,'Pré Implantação'!L246),""),"")</f>
        <v/>
      </c>
      <c r="M246" s="34" t="str">
        <f>IFERROR(IF('Pré Implantação'!B246="CSE Telecom",AVERAGE('Pré Implantação'!D246,'Pré Implantação'!L246),""),"")</f>
        <v/>
      </c>
      <c r="N246" s="34" t="str">
        <f>IFERROR(IF('Pré Implantação'!B246="Site Suporte de Campo",AVERAGE('Pré Implantação'!D246,'Pré Implantação'!L246),""),"")</f>
        <v/>
      </c>
      <c r="O246" s="49" t="str">
        <f>IFERROR(IF('Pré Implantação'!B246="Infraestrutura",AVERAGE('Pré Implantação'!D246,'Pré Implantação'!L246),""),"")</f>
        <v/>
      </c>
    </row>
    <row r="247" spans="1:15" x14ac:dyDescent="0.3">
      <c r="A247" s="33">
        <f>'Pré Implantação'!A247</f>
        <v>0</v>
      </c>
      <c r="B247" s="36">
        <f>'Pré Implantação'!C247</f>
        <v>0</v>
      </c>
      <c r="C247" s="34" t="str">
        <f>IFERROR(IF('Pré Implantação'!B247="Produção TI",AVERAGE('Pré Implantação'!D247,'Pré Implantação'!L247,'Pré Implantação'!E247,'Pré Implantação'!H247),AVERAGE('Pré Implantação'!E247,'Pré Implantação'!H247)),"")</f>
        <v/>
      </c>
      <c r="D247" s="34" t="str">
        <f>IFERROR(IF('Pré Implantação'!B247="CSC Service Desk",AVERAGE('Pré Implantação'!D247,'Pré Implantação'!L247,'Pré Implantação'!F247),AVERAGE('Pré Implantação'!F247)),"")</f>
        <v/>
      </c>
      <c r="E247" s="34" t="str">
        <f>IFERROR(IF('Pré Implantação'!B247="CSC NOC",AVERAGE('Pré Implantação'!D247,'Pré Implantação'!L247,'Pré Implantação'!G247),AVERAGE('Pré Implantação'!G247)),"")</f>
        <v/>
      </c>
      <c r="F247" s="34" t="str">
        <f>IFERROR(IF('Pré Implantação'!B247="CSE Gravadores",AVERAGE('Pré Implantação'!D247,'Pré Implantação'!L247,'Pré Implantação'!I247),AVERAGE('Pré Implantação'!I247)),"")</f>
        <v/>
      </c>
      <c r="G247" s="34" t="str">
        <f>IFERROR(IF('Pré Implantação'!B247="CSC",AVERAGE('Pré Implantação'!D247,'Pré Implantação'!L247,'Pré Implantação'!J247),AVERAGE('Pré Implantação'!J247)),"")</f>
        <v/>
      </c>
      <c r="H247" s="34" t="str">
        <f>IFERROR(IF('Pré Implantação'!B247="Operações \ Negócio",AVERAGE('Pré Implantação'!D247,'Pré Implantação'!L247,'Pré Implantação'!K247),AVERAGE('Pré Implantação'!K247)),"")</f>
        <v/>
      </c>
      <c r="I247" s="34" t="str">
        <f>IFERROR(IF('Pré Implantação'!B247="Projetos",AVERAGE('Pré Implantação'!D247,'Pré Implantação'!L247,'Pré Implantação'!M247),AVERAGE('Pré Implantação'!M247)),"")</f>
        <v/>
      </c>
      <c r="J247" s="34" t="str">
        <f>IFERROR(IF('Pré Implantação'!B247="Engenharia",AVERAGE('Pré Implantação'!D247,'Pré Implantação'!L247,'Pré Implantação'!N247),AVERAGE('Pré Implantação'!N247)),"")</f>
        <v/>
      </c>
      <c r="K247" s="34" t="str">
        <f>IFERROR(IF('Pré Implantação'!B247="URA",AVERAGE('Pré Implantação'!D247,'Pré Implantação'!L247),""),"")</f>
        <v/>
      </c>
      <c r="L247" s="34" t="str">
        <f>IFERROR(IF('Pré Implantação'!B247="CSE Microsoft",AVERAGE('Pré Implantação'!D247,'Pré Implantação'!L247),""),"")</f>
        <v/>
      </c>
      <c r="M247" s="34" t="str">
        <f>IFERROR(IF('Pré Implantação'!B247="CSE Telecom",AVERAGE('Pré Implantação'!D247,'Pré Implantação'!L247),""),"")</f>
        <v/>
      </c>
      <c r="N247" s="34" t="str">
        <f>IFERROR(IF('Pré Implantação'!B247="Site Suporte de Campo",AVERAGE('Pré Implantação'!D247,'Pré Implantação'!L247),""),"")</f>
        <v/>
      </c>
      <c r="O247" s="49" t="str">
        <f>IFERROR(IF('Pré Implantação'!B247="Infraestrutura",AVERAGE('Pré Implantação'!D247,'Pré Implantação'!L247),""),"")</f>
        <v/>
      </c>
    </row>
    <row r="248" spans="1:15" x14ac:dyDescent="0.3">
      <c r="A248" s="33">
        <f>'Pré Implantação'!A248</f>
        <v>0</v>
      </c>
      <c r="B248" s="36">
        <f>'Pré Implantação'!C248</f>
        <v>0</v>
      </c>
      <c r="C248" s="34" t="str">
        <f>IFERROR(IF('Pré Implantação'!B248="Produção TI",AVERAGE('Pré Implantação'!D248,'Pré Implantação'!L248,'Pré Implantação'!E248,'Pré Implantação'!H248),AVERAGE('Pré Implantação'!E248,'Pré Implantação'!H248)),"")</f>
        <v/>
      </c>
      <c r="D248" s="34" t="str">
        <f>IFERROR(IF('Pré Implantação'!B248="CSC Service Desk",AVERAGE('Pré Implantação'!D248,'Pré Implantação'!L248,'Pré Implantação'!F248),AVERAGE('Pré Implantação'!F248)),"")</f>
        <v/>
      </c>
      <c r="E248" s="34" t="str">
        <f>IFERROR(IF('Pré Implantação'!B248="CSC NOC",AVERAGE('Pré Implantação'!D248,'Pré Implantação'!L248,'Pré Implantação'!G248),AVERAGE('Pré Implantação'!G248)),"")</f>
        <v/>
      </c>
      <c r="F248" s="34" t="str">
        <f>IFERROR(IF('Pré Implantação'!B248="CSE Gravadores",AVERAGE('Pré Implantação'!D248,'Pré Implantação'!L248,'Pré Implantação'!I248),AVERAGE('Pré Implantação'!I248)),"")</f>
        <v/>
      </c>
      <c r="G248" s="34" t="str">
        <f>IFERROR(IF('Pré Implantação'!B248="CSC",AVERAGE('Pré Implantação'!D248,'Pré Implantação'!L248,'Pré Implantação'!J248),AVERAGE('Pré Implantação'!J248)),"")</f>
        <v/>
      </c>
      <c r="H248" s="34" t="str">
        <f>IFERROR(IF('Pré Implantação'!B248="Operações \ Negócio",AVERAGE('Pré Implantação'!D248,'Pré Implantação'!L248,'Pré Implantação'!K248),AVERAGE('Pré Implantação'!K248)),"")</f>
        <v/>
      </c>
      <c r="I248" s="34" t="str">
        <f>IFERROR(IF('Pré Implantação'!B248="Projetos",AVERAGE('Pré Implantação'!D248,'Pré Implantação'!L248,'Pré Implantação'!M248),AVERAGE('Pré Implantação'!M248)),"")</f>
        <v/>
      </c>
      <c r="J248" s="34" t="str">
        <f>IFERROR(IF('Pré Implantação'!B248="Engenharia",AVERAGE('Pré Implantação'!D248,'Pré Implantação'!L248,'Pré Implantação'!N248),AVERAGE('Pré Implantação'!N248)),"")</f>
        <v/>
      </c>
      <c r="K248" s="34" t="str">
        <f>IFERROR(IF('Pré Implantação'!B248="URA",AVERAGE('Pré Implantação'!D248,'Pré Implantação'!L248),""),"")</f>
        <v/>
      </c>
      <c r="L248" s="34" t="str">
        <f>IFERROR(IF('Pré Implantação'!B248="CSE Microsoft",AVERAGE('Pré Implantação'!D248,'Pré Implantação'!L248),""),"")</f>
        <v/>
      </c>
      <c r="M248" s="34" t="str">
        <f>IFERROR(IF('Pré Implantação'!B248="CSE Telecom",AVERAGE('Pré Implantação'!D248,'Pré Implantação'!L248),""),"")</f>
        <v/>
      </c>
      <c r="N248" s="34" t="str">
        <f>IFERROR(IF('Pré Implantação'!B248="Site Suporte de Campo",AVERAGE('Pré Implantação'!D248,'Pré Implantação'!L248),""),"")</f>
        <v/>
      </c>
      <c r="O248" s="49" t="str">
        <f>IFERROR(IF('Pré Implantação'!B248="Infraestrutura",AVERAGE('Pré Implantação'!D248,'Pré Implantação'!L248),""),"")</f>
        <v/>
      </c>
    </row>
    <row r="249" spans="1:15" x14ac:dyDescent="0.3">
      <c r="A249" s="33">
        <f>'Pré Implantação'!A249</f>
        <v>0</v>
      </c>
      <c r="B249" s="36">
        <f>'Pré Implantação'!C249</f>
        <v>0</v>
      </c>
      <c r="C249" s="34" t="str">
        <f>IFERROR(IF('Pré Implantação'!B249="Produção TI",AVERAGE('Pré Implantação'!D249,'Pré Implantação'!L249,'Pré Implantação'!E249,'Pré Implantação'!H249),AVERAGE('Pré Implantação'!E249,'Pré Implantação'!H249)),"")</f>
        <v/>
      </c>
      <c r="D249" s="34" t="str">
        <f>IFERROR(IF('Pré Implantação'!B249="CSC Service Desk",AVERAGE('Pré Implantação'!D249,'Pré Implantação'!L249,'Pré Implantação'!F249),AVERAGE('Pré Implantação'!F249)),"")</f>
        <v/>
      </c>
      <c r="E249" s="34" t="str">
        <f>IFERROR(IF('Pré Implantação'!B249="CSC NOC",AVERAGE('Pré Implantação'!D249,'Pré Implantação'!L249,'Pré Implantação'!G249),AVERAGE('Pré Implantação'!G249)),"")</f>
        <v/>
      </c>
      <c r="F249" s="34" t="str">
        <f>IFERROR(IF('Pré Implantação'!B249="CSE Gravadores",AVERAGE('Pré Implantação'!D249,'Pré Implantação'!L249,'Pré Implantação'!I249),AVERAGE('Pré Implantação'!I249)),"")</f>
        <v/>
      </c>
      <c r="G249" s="34" t="str">
        <f>IFERROR(IF('Pré Implantação'!B249="CSC",AVERAGE('Pré Implantação'!D249,'Pré Implantação'!L249,'Pré Implantação'!J249),AVERAGE('Pré Implantação'!J249)),"")</f>
        <v/>
      </c>
      <c r="H249" s="34" t="str">
        <f>IFERROR(IF('Pré Implantação'!B249="Operações \ Negócio",AVERAGE('Pré Implantação'!D249,'Pré Implantação'!L249,'Pré Implantação'!K249),AVERAGE('Pré Implantação'!K249)),"")</f>
        <v/>
      </c>
      <c r="I249" s="34" t="str">
        <f>IFERROR(IF('Pré Implantação'!B249="Projetos",AVERAGE('Pré Implantação'!D249,'Pré Implantação'!L249,'Pré Implantação'!M249),AVERAGE('Pré Implantação'!M249)),"")</f>
        <v/>
      </c>
      <c r="J249" s="34" t="str">
        <f>IFERROR(IF('Pré Implantação'!B249="Engenharia",AVERAGE('Pré Implantação'!D249,'Pré Implantação'!L249,'Pré Implantação'!N249),AVERAGE('Pré Implantação'!N249)),"")</f>
        <v/>
      </c>
      <c r="K249" s="34" t="str">
        <f>IFERROR(IF('Pré Implantação'!B249="URA",AVERAGE('Pré Implantação'!D249,'Pré Implantação'!L249),""),"")</f>
        <v/>
      </c>
      <c r="L249" s="34" t="str">
        <f>IFERROR(IF('Pré Implantação'!B249="CSE Microsoft",AVERAGE('Pré Implantação'!D249,'Pré Implantação'!L249),""),"")</f>
        <v/>
      </c>
      <c r="M249" s="34" t="str">
        <f>IFERROR(IF('Pré Implantação'!B249="CSE Telecom",AVERAGE('Pré Implantação'!D249,'Pré Implantação'!L249),""),"")</f>
        <v/>
      </c>
      <c r="N249" s="34" t="str">
        <f>IFERROR(IF('Pré Implantação'!B249="Site Suporte de Campo",AVERAGE('Pré Implantação'!D249,'Pré Implantação'!L249),""),"")</f>
        <v/>
      </c>
      <c r="O249" s="49" t="str">
        <f>IFERROR(IF('Pré Implantação'!B249="Infraestrutura",AVERAGE('Pré Implantação'!D249,'Pré Implantação'!L249),""),"")</f>
        <v/>
      </c>
    </row>
    <row r="250" spans="1:15" x14ac:dyDescent="0.3">
      <c r="A250" s="33">
        <f>'Pré Implantação'!A250</f>
        <v>0</v>
      </c>
      <c r="B250" s="36">
        <f>'Pré Implantação'!C250</f>
        <v>0</v>
      </c>
      <c r="C250" s="34" t="str">
        <f>IFERROR(IF('Pré Implantação'!B250="Produção TI",AVERAGE('Pré Implantação'!D250,'Pré Implantação'!L250,'Pré Implantação'!E250,'Pré Implantação'!H250),AVERAGE('Pré Implantação'!E250,'Pré Implantação'!H250)),"")</f>
        <v/>
      </c>
      <c r="D250" s="34" t="str">
        <f>IFERROR(IF('Pré Implantação'!B250="CSC Service Desk",AVERAGE('Pré Implantação'!D250,'Pré Implantação'!L250,'Pré Implantação'!F250),AVERAGE('Pré Implantação'!F250)),"")</f>
        <v/>
      </c>
      <c r="E250" s="34" t="str">
        <f>IFERROR(IF('Pré Implantação'!B250="CSC NOC",AVERAGE('Pré Implantação'!D250,'Pré Implantação'!L250,'Pré Implantação'!G250),AVERAGE('Pré Implantação'!G250)),"")</f>
        <v/>
      </c>
      <c r="F250" s="34" t="str">
        <f>IFERROR(IF('Pré Implantação'!B250="CSE Gravadores",AVERAGE('Pré Implantação'!D250,'Pré Implantação'!L250,'Pré Implantação'!I250),AVERAGE('Pré Implantação'!I250)),"")</f>
        <v/>
      </c>
      <c r="G250" s="34" t="str">
        <f>IFERROR(IF('Pré Implantação'!B250="CSC",AVERAGE('Pré Implantação'!D250,'Pré Implantação'!L250,'Pré Implantação'!J250),AVERAGE('Pré Implantação'!J250)),"")</f>
        <v/>
      </c>
      <c r="H250" s="34" t="str">
        <f>IFERROR(IF('Pré Implantação'!B250="Operações \ Negócio",AVERAGE('Pré Implantação'!D250,'Pré Implantação'!L250,'Pré Implantação'!K250),AVERAGE('Pré Implantação'!K250)),"")</f>
        <v/>
      </c>
      <c r="I250" s="34" t="str">
        <f>IFERROR(IF('Pré Implantação'!B250="Projetos",AVERAGE('Pré Implantação'!D250,'Pré Implantação'!L250,'Pré Implantação'!M250),AVERAGE('Pré Implantação'!M250)),"")</f>
        <v/>
      </c>
      <c r="J250" s="34" t="str">
        <f>IFERROR(IF('Pré Implantação'!B250="Engenharia",AVERAGE('Pré Implantação'!D250,'Pré Implantação'!L250,'Pré Implantação'!N250),AVERAGE('Pré Implantação'!N250)),"")</f>
        <v/>
      </c>
      <c r="K250" s="34" t="str">
        <f>IFERROR(IF('Pré Implantação'!B250="URA",AVERAGE('Pré Implantação'!D250,'Pré Implantação'!L250),""),"")</f>
        <v/>
      </c>
      <c r="L250" s="34" t="str">
        <f>IFERROR(IF('Pré Implantação'!B250="CSE Microsoft",AVERAGE('Pré Implantação'!D250,'Pré Implantação'!L250),""),"")</f>
        <v/>
      </c>
      <c r="M250" s="34" t="str">
        <f>IFERROR(IF('Pré Implantação'!B250="CSE Telecom",AVERAGE('Pré Implantação'!D250,'Pré Implantação'!L250),""),"")</f>
        <v/>
      </c>
      <c r="N250" s="34" t="str">
        <f>IFERROR(IF('Pré Implantação'!B250="Site Suporte de Campo",AVERAGE('Pré Implantação'!D250,'Pré Implantação'!L250),""),"")</f>
        <v/>
      </c>
      <c r="O250" s="49" t="str">
        <f>IFERROR(IF('Pré Implantação'!B250="Infraestrutura",AVERAGE('Pré Implantação'!D250,'Pré Implantação'!L250),""),"")</f>
        <v/>
      </c>
    </row>
    <row r="251" spans="1:15" x14ac:dyDescent="0.3">
      <c r="A251" s="33">
        <f>'Pré Implantação'!A251</f>
        <v>0</v>
      </c>
      <c r="B251" s="36">
        <f>'Pré Implantação'!C251</f>
        <v>0</v>
      </c>
      <c r="C251" s="34" t="str">
        <f>IFERROR(IF('Pré Implantação'!B251="Produção TI",AVERAGE('Pré Implantação'!D251,'Pré Implantação'!L251,'Pré Implantação'!E251,'Pré Implantação'!H251),AVERAGE('Pré Implantação'!E251,'Pré Implantação'!H251)),"")</f>
        <v/>
      </c>
      <c r="D251" s="34" t="str">
        <f>IFERROR(IF('Pré Implantação'!B251="CSC Service Desk",AVERAGE('Pré Implantação'!D251,'Pré Implantação'!L251,'Pré Implantação'!F251),AVERAGE('Pré Implantação'!F251)),"")</f>
        <v/>
      </c>
      <c r="E251" s="34" t="str">
        <f>IFERROR(IF('Pré Implantação'!B251="CSC NOC",AVERAGE('Pré Implantação'!D251,'Pré Implantação'!L251,'Pré Implantação'!G251),AVERAGE('Pré Implantação'!G251)),"")</f>
        <v/>
      </c>
      <c r="F251" s="34" t="str">
        <f>IFERROR(IF('Pré Implantação'!B251="CSE Gravadores",AVERAGE('Pré Implantação'!D251,'Pré Implantação'!L251,'Pré Implantação'!I251),AVERAGE('Pré Implantação'!I251)),"")</f>
        <v/>
      </c>
      <c r="G251" s="34" t="str">
        <f>IFERROR(IF('Pré Implantação'!B251="CSC",AVERAGE('Pré Implantação'!D251,'Pré Implantação'!L251,'Pré Implantação'!J251),AVERAGE('Pré Implantação'!J251)),"")</f>
        <v/>
      </c>
      <c r="H251" s="34" t="str">
        <f>IFERROR(IF('Pré Implantação'!B251="Operações \ Negócio",AVERAGE('Pré Implantação'!D251,'Pré Implantação'!L251,'Pré Implantação'!K251),AVERAGE('Pré Implantação'!K251)),"")</f>
        <v/>
      </c>
      <c r="I251" s="34" t="str">
        <f>IFERROR(IF('Pré Implantação'!B251="Projetos",AVERAGE('Pré Implantação'!D251,'Pré Implantação'!L251,'Pré Implantação'!M251),AVERAGE('Pré Implantação'!M251)),"")</f>
        <v/>
      </c>
      <c r="J251" s="34" t="str">
        <f>IFERROR(IF('Pré Implantação'!B251="Engenharia",AVERAGE('Pré Implantação'!D251,'Pré Implantação'!L251,'Pré Implantação'!N251),AVERAGE('Pré Implantação'!N251)),"")</f>
        <v/>
      </c>
      <c r="K251" s="34" t="str">
        <f>IFERROR(IF('Pré Implantação'!B251="URA",AVERAGE('Pré Implantação'!D251,'Pré Implantação'!L251),""),"")</f>
        <v/>
      </c>
      <c r="L251" s="34" t="str">
        <f>IFERROR(IF('Pré Implantação'!B251="CSE Microsoft",AVERAGE('Pré Implantação'!D251,'Pré Implantação'!L251),""),"")</f>
        <v/>
      </c>
      <c r="M251" s="34" t="str">
        <f>IFERROR(IF('Pré Implantação'!B251="CSE Telecom",AVERAGE('Pré Implantação'!D251,'Pré Implantação'!L251),""),"")</f>
        <v/>
      </c>
      <c r="N251" s="34" t="str">
        <f>IFERROR(IF('Pré Implantação'!B251="Site Suporte de Campo",AVERAGE('Pré Implantação'!D251,'Pré Implantação'!L251),""),"")</f>
        <v/>
      </c>
      <c r="O251" s="49" t="str">
        <f>IFERROR(IF('Pré Implantação'!B251="Infraestrutura",AVERAGE('Pré Implantação'!D251,'Pré Implantação'!L251),""),"")</f>
        <v/>
      </c>
    </row>
    <row r="252" spans="1:15" x14ac:dyDescent="0.3">
      <c r="A252" s="33">
        <f>'Pré Implantação'!A252</f>
        <v>0</v>
      </c>
      <c r="B252" s="36">
        <f>'Pré Implantação'!C252</f>
        <v>0</v>
      </c>
      <c r="C252" s="34" t="str">
        <f>IFERROR(IF('Pré Implantação'!B252="Produção TI",AVERAGE('Pré Implantação'!D252,'Pré Implantação'!L252,'Pré Implantação'!E252,'Pré Implantação'!H252),AVERAGE('Pré Implantação'!E252,'Pré Implantação'!H252)),"")</f>
        <v/>
      </c>
      <c r="D252" s="34" t="str">
        <f>IFERROR(IF('Pré Implantação'!B252="CSC Service Desk",AVERAGE('Pré Implantação'!D252,'Pré Implantação'!L252,'Pré Implantação'!F252),AVERAGE('Pré Implantação'!F252)),"")</f>
        <v/>
      </c>
      <c r="E252" s="34" t="str">
        <f>IFERROR(IF('Pré Implantação'!B252="CSC NOC",AVERAGE('Pré Implantação'!D252,'Pré Implantação'!L252,'Pré Implantação'!G252),AVERAGE('Pré Implantação'!G252)),"")</f>
        <v/>
      </c>
      <c r="F252" s="34" t="str">
        <f>IFERROR(IF('Pré Implantação'!B252="CSE Gravadores",AVERAGE('Pré Implantação'!D252,'Pré Implantação'!L252,'Pré Implantação'!I252),AVERAGE('Pré Implantação'!I252)),"")</f>
        <v/>
      </c>
      <c r="G252" s="34" t="str">
        <f>IFERROR(IF('Pré Implantação'!B252="CSC",AVERAGE('Pré Implantação'!D252,'Pré Implantação'!L252,'Pré Implantação'!J252),AVERAGE('Pré Implantação'!J252)),"")</f>
        <v/>
      </c>
      <c r="H252" s="34" t="str">
        <f>IFERROR(IF('Pré Implantação'!B252="Operações \ Negócio",AVERAGE('Pré Implantação'!D252,'Pré Implantação'!L252,'Pré Implantação'!K252),AVERAGE('Pré Implantação'!K252)),"")</f>
        <v/>
      </c>
      <c r="I252" s="34" t="str">
        <f>IFERROR(IF('Pré Implantação'!B252="Projetos",AVERAGE('Pré Implantação'!D252,'Pré Implantação'!L252,'Pré Implantação'!M252),AVERAGE('Pré Implantação'!M252)),"")</f>
        <v/>
      </c>
      <c r="J252" s="34" t="str">
        <f>IFERROR(IF('Pré Implantação'!B252="Engenharia",AVERAGE('Pré Implantação'!D252,'Pré Implantação'!L252,'Pré Implantação'!N252),AVERAGE('Pré Implantação'!N252)),"")</f>
        <v/>
      </c>
      <c r="K252" s="34" t="str">
        <f>IFERROR(IF('Pré Implantação'!B252="URA",AVERAGE('Pré Implantação'!D252,'Pré Implantação'!L252),""),"")</f>
        <v/>
      </c>
      <c r="L252" s="34" t="str">
        <f>IFERROR(IF('Pré Implantação'!B252="CSE Microsoft",AVERAGE('Pré Implantação'!D252,'Pré Implantação'!L252),""),"")</f>
        <v/>
      </c>
      <c r="M252" s="34" t="str">
        <f>IFERROR(IF('Pré Implantação'!B252="CSE Telecom",AVERAGE('Pré Implantação'!D252,'Pré Implantação'!L252),""),"")</f>
        <v/>
      </c>
      <c r="N252" s="34" t="str">
        <f>IFERROR(IF('Pré Implantação'!B252="Site Suporte de Campo",AVERAGE('Pré Implantação'!D252,'Pré Implantação'!L252),""),"")</f>
        <v/>
      </c>
      <c r="O252" s="49" t="str">
        <f>IFERROR(IF('Pré Implantação'!B252="Infraestrutura",AVERAGE('Pré Implantação'!D252,'Pré Implantação'!L252),""),"")</f>
        <v/>
      </c>
    </row>
    <row r="253" spans="1:15" x14ac:dyDescent="0.3">
      <c r="A253" s="33">
        <f>'Pré Implantação'!A253</f>
        <v>0</v>
      </c>
      <c r="B253" s="36">
        <f>'Pré Implantação'!C253</f>
        <v>0</v>
      </c>
      <c r="C253" s="34" t="str">
        <f>IFERROR(IF('Pré Implantação'!B253="Produção TI",AVERAGE('Pré Implantação'!D253,'Pré Implantação'!L253,'Pré Implantação'!E253,'Pré Implantação'!H253),AVERAGE('Pré Implantação'!E253,'Pré Implantação'!H253)),"")</f>
        <v/>
      </c>
      <c r="D253" s="34" t="str">
        <f>IFERROR(IF('Pré Implantação'!B253="CSC Service Desk",AVERAGE('Pré Implantação'!D253,'Pré Implantação'!L253,'Pré Implantação'!F253),AVERAGE('Pré Implantação'!F253)),"")</f>
        <v/>
      </c>
      <c r="E253" s="34" t="str">
        <f>IFERROR(IF('Pré Implantação'!B253="CSC NOC",AVERAGE('Pré Implantação'!D253,'Pré Implantação'!L253,'Pré Implantação'!G253),AVERAGE('Pré Implantação'!G253)),"")</f>
        <v/>
      </c>
      <c r="F253" s="34" t="str">
        <f>IFERROR(IF('Pré Implantação'!B253="CSE Gravadores",AVERAGE('Pré Implantação'!D253,'Pré Implantação'!L253,'Pré Implantação'!I253),AVERAGE('Pré Implantação'!I253)),"")</f>
        <v/>
      </c>
      <c r="G253" s="34" t="str">
        <f>IFERROR(IF('Pré Implantação'!B253="CSC",AVERAGE('Pré Implantação'!D253,'Pré Implantação'!L253,'Pré Implantação'!J253),AVERAGE('Pré Implantação'!J253)),"")</f>
        <v/>
      </c>
      <c r="H253" s="34" t="str">
        <f>IFERROR(IF('Pré Implantação'!B253="Operações \ Negócio",AVERAGE('Pré Implantação'!D253,'Pré Implantação'!L253,'Pré Implantação'!K253),AVERAGE('Pré Implantação'!K253)),"")</f>
        <v/>
      </c>
      <c r="I253" s="34" t="str">
        <f>IFERROR(IF('Pré Implantação'!B253="Projetos",AVERAGE('Pré Implantação'!D253,'Pré Implantação'!L253,'Pré Implantação'!M253),AVERAGE('Pré Implantação'!M253)),"")</f>
        <v/>
      </c>
      <c r="J253" s="34" t="str">
        <f>IFERROR(IF('Pré Implantação'!B253="Engenharia",AVERAGE('Pré Implantação'!D253,'Pré Implantação'!L253,'Pré Implantação'!N253),AVERAGE('Pré Implantação'!N253)),"")</f>
        <v/>
      </c>
      <c r="K253" s="34" t="str">
        <f>IFERROR(IF('Pré Implantação'!B253="URA",AVERAGE('Pré Implantação'!D253,'Pré Implantação'!L253),""),"")</f>
        <v/>
      </c>
      <c r="L253" s="34" t="str">
        <f>IFERROR(IF('Pré Implantação'!B253="CSE Microsoft",AVERAGE('Pré Implantação'!D253,'Pré Implantação'!L253),""),"")</f>
        <v/>
      </c>
      <c r="M253" s="34" t="str">
        <f>IFERROR(IF('Pré Implantação'!B253="CSE Telecom",AVERAGE('Pré Implantação'!D253,'Pré Implantação'!L253),""),"")</f>
        <v/>
      </c>
      <c r="N253" s="34" t="str">
        <f>IFERROR(IF('Pré Implantação'!B253="Site Suporte de Campo",AVERAGE('Pré Implantação'!D253,'Pré Implantação'!L253),""),"")</f>
        <v/>
      </c>
      <c r="O253" s="49" t="str">
        <f>IFERROR(IF('Pré Implantação'!B253="Infraestrutura",AVERAGE('Pré Implantação'!D253,'Pré Implantação'!L253),""),"")</f>
        <v/>
      </c>
    </row>
    <row r="254" spans="1:15" x14ac:dyDescent="0.3">
      <c r="A254" s="33">
        <f>'Pré Implantação'!A254</f>
        <v>0</v>
      </c>
      <c r="B254" s="36">
        <f>'Pré Implantação'!C254</f>
        <v>0</v>
      </c>
      <c r="C254" s="34" t="str">
        <f>IFERROR(IF('Pré Implantação'!B254="Produção TI",AVERAGE('Pré Implantação'!D254,'Pré Implantação'!L254,'Pré Implantação'!E254,'Pré Implantação'!H254),AVERAGE('Pré Implantação'!E254,'Pré Implantação'!H254)),"")</f>
        <v/>
      </c>
      <c r="D254" s="34" t="str">
        <f>IFERROR(IF('Pré Implantação'!B254="CSC Service Desk",AVERAGE('Pré Implantação'!D254,'Pré Implantação'!L254,'Pré Implantação'!F254),AVERAGE('Pré Implantação'!F254)),"")</f>
        <v/>
      </c>
      <c r="E254" s="34" t="str">
        <f>IFERROR(IF('Pré Implantação'!B254="CSC NOC",AVERAGE('Pré Implantação'!D254,'Pré Implantação'!L254,'Pré Implantação'!G254),AVERAGE('Pré Implantação'!G254)),"")</f>
        <v/>
      </c>
      <c r="F254" s="34" t="str">
        <f>IFERROR(IF('Pré Implantação'!B254="CSE Gravadores",AVERAGE('Pré Implantação'!D254,'Pré Implantação'!L254,'Pré Implantação'!I254),AVERAGE('Pré Implantação'!I254)),"")</f>
        <v/>
      </c>
      <c r="G254" s="34" t="str">
        <f>IFERROR(IF('Pré Implantação'!B254="CSC",AVERAGE('Pré Implantação'!D254,'Pré Implantação'!L254,'Pré Implantação'!J254),AVERAGE('Pré Implantação'!J254)),"")</f>
        <v/>
      </c>
      <c r="H254" s="34" t="str">
        <f>IFERROR(IF('Pré Implantação'!B254="Operações \ Negócio",AVERAGE('Pré Implantação'!D254,'Pré Implantação'!L254,'Pré Implantação'!K254),AVERAGE('Pré Implantação'!K254)),"")</f>
        <v/>
      </c>
      <c r="I254" s="34" t="str">
        <f>IFERROR(IF('Pré Implantação'!B254="Projetos",AVERAGE('Pré Implantação'!D254,'Pré Implantação'!L254,'Pré Implantação'!M254),AVERAGE('Pré Implantação'!M254)),"")</f>
        <v/>
      </c>
      <c r="J254" s="34" t="str">
        <f>IFERROR(IF('Pré Implantação'!B254="Engenharia",AVERAGE('Pré Implantação'!D254,'Pré Implantação'!L254,'Pré Implantação'!N254),AVERAGE('Pré Implantação'!N254)),"")</f>
        <v/>
      </c>
      <c r="K254" s="34" t="str">
        <f>IFERROR(IF('Pré Implantação'!B254="URA",AVERAGE('Pré Implantação'!D254,'Pré Implantação'!L254),""),"")</f>
        <v/>
      </c>
      <c r="L254" s="34" t="str">
        <f>IFERROR(IF('Pré Implantação'!B254="CSE Microsoft",AVERAGE('Pré Implantação'!D254,'Pré Implantação'!L254),""),"")</f>
        <v/>
      </c>
      <c r="M254" s="34" t="str">
        <f>IFERROR(IF('Pré Implantação'!B254="CSE Telecom",AVERAGE('Pré Implantação'!D254,'Pré Implantação'!L254),""),"")</f>
        <v/>
      </c>
      <c r="N254" s="34" t="str">
        <f>IFERROR(IF('Pré Implantação'!B254="Site Suporte de Campo",AVERAGE('Pré Implantação'!D254,'Pré Implantação'!L254),""),"")</f>
        <v/>
      </c>
      <c r="O254" s="49" t="str">
        <f>IFERROR(IF('Pré Implantação'!B254="Infraestrutura",AVERAGE('Pré Implantação'!D254,'Pré Implantação'!L254),""),"")</f>
        <v/>
      </c>
    </row>
    <row r="255" spans="1:15" x14ac:dyDescent="0.3">
      <c r="A255" s="33">
        <f>'Pré Implantação'!A255</f>
        <v>0</v>
      </c>
      <c r="B255" s="36">
        <f>'Pré Implantação'!C255</f>
        <v>0</v>
      </c>
      <c r="C255" s="34" t="str">
        <f>IFERROR(IF('Pré Implantação'!B255="Produção TI",AVERAGE('Pré Implantação'!D255,'Pré Implantação'!L255,'Pré Implantação'!E255,'Pré Implantação'!H255),AVERAGE('Pré Implantação'!E255,'Pré Implantação'!H255)),"")</f>
        <v/>
      </c>
      <c r="D255" s="34" t="str">
        <f>IFERROR(IF('Pré Implantação'!B255="CSC Service Desk",AVERAGE('Pré Implantação'!D255,'Pré Implantação'!L255,'Pré Implantação'!F255),AVERAGE('Pré Implantação'!F255)),"")</f>
        <v/>
      </c>
      <c r="E255" s="34" t="str">
        <f>IFERROR(IF('Pré Implantação'!B255="CSC NOC",AVERAGE('Pré Implantação'!D255,'Pré Implantação'!L255,'Pré Implantação'!G255),AVERAGE('Pré Implantação'!G255)),"")</f>
        <v/>
      </c>
      <c r="F255" s="34" t="str">
        <f>IFERROR(IF('Pré Implantação'!B255="CSE Gravadores",AVERAGE('Pré Implantação'!D255,'Pré Implantação'!L255,'Pré Implantação'!I255),AVERAGE('Pré Implantação'!I255)),"")</f>
        <v/>
      </c>
      <c r="G255" s="34" t="str">
        <f>IFERROR(IF('Pré Implantação'!B255="CSC",AVERAGE('Pré Implantação'!D255,'Pré Implantação'!L255,'Pré Implantação'!J255),AVERAGE('Pré Implantação'!J255)),"")</f>
        <v/>
      </c>
      <c r="H255" s="34" t="str">
        <f>IFERROR(IF('Pré Implantação'!B255="Operações \ Negócio",AVERAGE('Pré Implantação'!D255,'Pré Implantação'!L255,'Pré Implantação'!K255),AVERAGE('Pré Implantação'!K255)),"")</f>
        <v/>
      </c>
      <c r="I255" s="34" t="str">
        <f>IFERROR(IF('Pré Implantação'!B255="Projetos",AVERAGE('Pré Implantação'!D255,'Pré Implantação'!L255,'Pré Implantação'!M255),AVERAGE('Pré Implantação'!M255)),"")</f>
        <v/>
      </c>
      <c r="J255" s="34" t="str">
        <f>IFERROR(IF('Pré Implantação'!B255="Engenharia",AVERAGE('Pré Implantação'!D255,'Pré Implantação'!L255,'Pré Implantação'!N255),AVERAGE('Pré Implantação'!N255)),"")</f>
        <v/>
      </c>
      <c r="K255" s="34" t="str">
        <f>IFERROR(IF('Pré Implantação'!B255="URA",AVERAGE('Pré Implantação'!D255,'Pré Implantação'!L255),""),"")</f>
        <v/>
      </c>
      <c r="L255" s="34" t="str">
        <f>IFERROR(IF('Pré Implantação'!B255="CSE Microsoft",AVERAGE('Pré Implantação'!D255,'Pré Implantação'!L255),""),"")</f>
        <v/>
      </c>
      <c r="M255" s="34" t="str">
        <f>IFERROR(IF('Pré Implantação'!B255="CSE Telecom",AVERAGE('Pré Implantação'!D255,'Pré Implantação'!L255),""),"")</f>
        <v/>
      </c>
      <c r="N255" s="34" t="str">
        <f>IFERROR(IF('Pré Implantação'!B255="Site Suporte de Campo",AVERAGE('Pré Implantação'!D255,'Pré Implantação'!L255),""),"")</f>
        <v/>
      </c>
      <c r="O255" s="49" t="str">
        <f>IFERROR(IF('Pré Implantação'!B255="Infraestrutura",AVERAGE('Pré Implantação'!D255,'Pré Implantação'!L255),""),"")</f>
        <v/>
      </c>
    </row>
    <row r="256" spans="1:15" x14ac:dyDescent="0.3">
      <c r="A256" s="33">
        <f>'Pré Implantação'!A256</f>
        <v>0</v>
      </c>
      <c r="B256" s="36">
        <f>'Pré Implantação'!C256</f>
        <v>0</v>
      </c>
      <c r="C256" s="34" t="str">
        <f>IFERROR(IF('Pré Implantação'!B256="Produção TI",AVERAGE('Pré Implantação'!D256,'Pré Implantação'!L256,'Pré Implantação'!E256,'Pré Implantação'!H256),AVERAGE('Pré Implantação'!E256,'Pré Implantação'!H256)),"")</f>
        <v/>
      </c>
      <c r="D256" s="34" t="str">
        <f>IFERROR(IF('Pré Implantação'!B256="CSC Service Desk",AVERAGE('Pré Implantação'!D256,'Pré Implantação'!L256,'Pré Implantação'!F256),AVERAGE('Pré Implantação'!F256)),"")</f>
        <v/>
      </c>
      <c r="E256" s="34" t="str">
        <f>IFERROR(IF('Pré Implantação'!B256="CSC NOC",AVERAGE('Pré Implantação'!D256,'Pré Implantação'!L256,'Pré Implantação'!G256),AVERAGE('Pré Implantação'!G256)),"")</f>
        <v/>
      </c>
      <c r="F256" s="34" t="str">
        <f>IFERROR(IF('Pré Implantação'!B256="CSE Gravadores",AVERAGE('Pré Implantação'!D256,'Pré Implantação'!L256,'Pré Implantação'!I256),AVERAGE('Pré Implantação'!I256)),"")</f>
        <v/>
      </c>
      <c r="G256" s="34" t="str">
        <f>IFERROR(IF('Pré Implantação'!B256="CSC",AVERAGE('Pré Implantação'!D256,'Pré Implantação'!L256,'Pré Implantação'!J256),AVERAGE('Pré Implantação'!J256)),"")</f>
        <v/>
      </c>
      <c r="H256" s="34" t="str">
        <f>IFERROR(IF('Pré Implantação'!B256="Operações \ Negócio",AVERAGE('Pré Implantação'!D256,'Pré Implantação'!L256,'Pré Implantação'!K256),AVERAGE('Pré Implantação'!K256)),"")</f>
        <v/>
      </c>
      <c r="I256" s="34" t="str">
        <f>IFERROR(IF('Pré Implantação'!B256="Projetos",AVERAGE('Pré Implantação'!D256,'Pré Implantação'!L256,'Pré Implantação'!M256),AVERAGE('Pré Implantação'!M256)),"")</f>
        <v/>
      </c>
      <c r="J256" s="34" t="str">
        <f>IFERROR(IF('Pré Implantação'!B256="Engenharia",AVERAGE('Pré Implantação'!D256,'Pré Implantação'!L256,'Pré Implantação'!N256),AVERAGE('Pré Implantação'!N256)),"")</f>
        <v/>
      </c>
      <c r="K256" s="34" t="str">
        <f>IFERROR(IF('Pré Implantação'!B256="URA",AVERAGE('Pré Implantação'!D256,'Pré Implantação'!L256),""),"")</f>
        <v/>
      </c>
      <c r="L256" s="34" t="str">
        <f>IFERROR(IF('Pré Implantação'!B256="CSE Microsoft",AVERAGE('Pré Implantação'!D256,'Pré Implantação'!L256),""),"")</f>
        <v/>
      </c>
      <c r="M256" s="34" t="str">
        <f>IFERROR(IF('Pré Implantação'!B256="CSE Telecom",AVERAGE('Pré Implantação'!D256,'Pré Implantação'!L256),""),"")</f>
        <v/>
      </c>
      <c r="N256" s="34" t="str">
        <f>IFERROR(IF('Pré Implantação'!B256="Site Suporte de Campo",AVERAGE('Pré Implantação'!D256,'Pré Implantação'!L256),""),"")</f>
        <v/>
      </c>
      <c r="O256" s="49" t="str">
        <f>IFERROR(IF('Pré Implantação'!B256="Infraestrutura",AVERAGE('Pré Implantação'!D256,'Pré Implantação'!L256),""),"")</f>
        <v/>
      </c>
    </row>
    <row r="257" spans="1:15" x14ac:dyDescent="0.3">
      <c r="A257" s="33">
        <f>'Pré Implantação'!A257</f>
        <v>0</v>
      </c>
      <c r="B257" s="36">
        <f>'Pré Implantação'!C257</f>
        <v>0</v>
      </c>
      <c r="C257" s="34" t="str">
        <f>IFERROR(IF('Pré Implantação'!B257="Produção TI",AVERAGE('Pré Implantação'!D257,'Pré Implantação'!L257,'Pré Implantação'!E257,'Pré Implantação'!H257),AVERAGE('Pré Implantação'!E257,'Pré Implantação'!H257)),"")</f>
        <v/>
      </c>
      <c r="D257" s="34" t="str">
        <f>IFERROR(IF('Pré Implantação'!B257="CSC Service Desk",AVERAGE('Pré Implantação'!D257,'Pré Implantação'!L257,'Pré Implantação'!F257),AVERAGE('Pré Implantação'!F257)),"")</f>
        <v/>
      </c>
      <c r="E257" s="34" t="str">
        <f>IFERROR(IF('Pré Implantação'!B257="CSC NOC",AVERAGE('Pré Implantação'!D257,'Pré Implantação'!L257,'Pré Implantação'!G257),AVERAGE('Pré Implantação'!G257)),"")</f>
        <v/>
      </c>
      <c r="F257" s="34" t="str">
        <f>IFERROR(IF('Pré Implantação'!B257="CSE Gravadores",AVERAGE('Pré Implantação'!D257,'Pré Implantação'!L257,'Pré Implantação'!I257),AVERAGE('Pré Implantação'!I257)),"")</f>
        <v/>
      </c>
      <c r="G257" s="34" t="str">
        <f>IFERROR(IF('Pré Implantação'!B257="CSC",AVERAGE('Pré Implantação'!D257,'Pré Implantação'!L257,'Pré Implantação'!J257),AVERAGE('Pré Implantação'!J257)),"")</f>
        <v/>
      </c>
      <c r="H257" s="34" t="str">
        <f>IFERROR(IF('Pré Implantação'!B257="Operações \ Negócio",AVERAGE('Pré Implantação'!D257,'Pré Implantação'!L257,'Pré Implantação'!K257),AVERAGE('Pré Implantação'!K257)),"")</f>
        <v/>
      </c>
      <c r="I257" s="34" t="str">
        <f>IFERROR(IF('Pré Implantação'!B257="Projetos",AVERAGE('Pré Implantação'!D257,'Pré Implantação'!L257,'Pré Implantação'!M257),AVERAGE('Pré Implantação'!M257)),"")</f>
        <v/>
      </c>
      <c r="J257" s="34" t="str">
        <f>IFERROR(IF('Pré Implantação'!B257="Engenharia",AVERAGE('Pré Implantação'!D257,'Pré Implantação'!L257,'Pré Implantação'!N257),AVERAGE('Pré Implantação'!N257)),"")</f>
        <v/>
      </c>
      <c r="K257" s="34" t="str">
        <f>IFERROR(IF('Pré Implantação'!B257="URA",AVERAGE('Pré Implantação'!D257,'Pré Implantação'!L257),""),"")</f>
        <v/>
      </c>
      <c r="L257" s="34" t="str">
        <f>IFERROR(IF('Pré Implantação'!B257="CSE Microsoft",AVERAGE('Pré Implantação'!D257,'Pré Implantação'!L257),""),"")</f>
        <v/>
      </c>
      <c r="M257" s="34" t="str">
        <f>IFERROR(IF('Pré Implantação'!B257="CSE Telecom",AVERAGE('Pré Implantação'!D257,'Pré Implantação'!L257),""),"")</f>
        <v/>
      </c>
      <c r="N257" s="34" t="str">
        <f>IFERROR(IF('Pré Implantação'!B257="Site Suporte de Campo",AVERAGE('Pré Implantação'!D257,'Pré Implantação'!L257),""),"")</f>
        <v/>
      </c>
      <c r="O257" s="49" t="str">
        <f>IFERROR(IF('Pré Implantação'!B257="Infraestrutura",AVERAGE('Pré Implantação'!D257,'Pré Implantação'!L257),""),"")</f>
        <v/>
      </c>
    </row>
    <row r="258" spans="1:15" x14ac:dyDescent="0.3">
      <c r="A258" s="33">
        <f>'Pré Implantação'!A258</f>
        <v>0</v>
      </c>
      <c r="B258" s="36">
        <f>'Pré Implantação'!C258</f>
        <v>0</v>
      </c>
      <c r="C258" s="34" t="str">
        <f>IFERROR(IF('Pré Implantação'!B258="Produção TI",AVERAGE('Pré Implantação'!D258,'Pré Implantação'!L258,'Pré Implantação'!E258,'Pré Implantação'!H258),AVERAGE('Pré Implantação'!E258,'Pré Implantação'!H258)),"")</f>
        <v/>
      </c>
      <c r="D258" s="34" t="str">
        <f>IFERROR(IF('Pré Implantação'!B258="CSC Service Desk",AVERAGE('Pré Implantação'!D258,'Pré Implantação'!L258,'Pré Implantação'!F258),AVERAGE('Pré Implantação'!F258)),"")</f>
        <v/>
      </c>
      <c r="E258" s="34" t="str">
        <f>IFERROR(IF('Pré Implantação'!B258="CSC NOC",AVERAGE('Pré Implantação'!D258,'Pré Implantação'!L258,'Pré Implantação'!G258),AVERAGE('Pré Implantação'!G258)),"")</f>
        <v/>
      </c>
      <c r="F258" s="34" t="str">
        <f>IFERROR(IF('Pré Implantação'!B258="CSE Gravadores",AVERAGE('Pré Implantação'!D258,'Pré Implantação'!L258,'Pré Implantação'!I258),AVERAGE('Pré Implantação'!I258)),"")</f>
        <v/>
      </c>
      <c r="G258" s="34" t="str">
        <f>IFERROR(IF('Pré Implantação'!B258="CSC",AVERAGE('Pré Implantação'!D258,'Pré Implantação'!L258,'Pré Implantação'!J258),AVERAGE('Pré Implantação'!J258)),"")</f>
        <v/>
      </c>
      <c r="H258" s="34" t="str">
        <f>IFERROR(IF('Pré Implantação'!B258="Operações \ Negócio",AVERAGE('Pré Implantação'!D258,'Pré Implantação'!L258,'Pré Implantação'!K258),AVERAGE('Pré Implantação'!K258)),"")</f>
        <v/>
      </c>
      <c r="I258" s="34" t="str">
        <f>IFERROR(IF('Pré Implantação'!B258="Projetos",AVERAGE('Pré Implantação'!D258,'Pré Implantação'!L258,'Pré Implantação'!M258),AVERAGE('Pré Implantação'!M258)),"")</f>
        <v/>
      </c>
      <c r="J258" s="34" t="str">
        <f>IFERROR(IF('Pré Implantação'!B258="Engenharia",AVERAGE('Pré Implantação'!D258,'Pré Implantação'!L258,'Pré Implantação'!N258),AVERAGE('Pré Implantação'!N258)),"")</f>
        <v/>
      </c>
      <c r="K258" s="34" t="str">
        <f>IFERROR(IF('Pré Implantação'!B258="URA",AVERAGE('Pré Implantação'!D258,'Pré Implantação'!L258),""),"")</f>
        <v/>
      </c>
      <c r="L258" s="34" t="str">
        <f>IFERROR(IF('Pré Implantação'!B258="CSE Microsoft",AVERAGE('Pré Implantação'!D258,'Pré Implantação'!L258),""),"")</f>
        <v/>
      </c>
      <c r="M258" s="34" t="str">
        <f>IFERROR(IF('Pré Implantação'!B258="CSE Telecom",AVERAGE('Pré Implantação'!D258,'Pré Implantação'!L258),""),"")</f>
        <v/>
      </c>
      <c r="N258" s="34" t="str">
        <f>IFERROR(IF('Pré Implantação'!B258="Site Suporte de Campo",AVERAGE('Pré Implantação'!D258,'Pré Implantação'!L258),""),"")</f>
        <v/>
      </c>
      <c r="O258" s="49" t="str">
        <f>IFERROR(IF('Pré Implantação'!B258="Infraestrutura",AVERAGE('Pré Implantação'!D258,'Pré Implantação'!L258),""),"")</f>
        <v/>
      </c>
    </row>
    <row r="259" spans="1:15" x14ac:dyDescent="0.3">
      <c r="A259" s="33">
        <f>'Pré Implantação'!A259</f>
        <v>0</v>
      </c>
      <c r="B259" s="36">
        <f>'Pré Implantação'!C259</f>
        <v>0</v>
      </c>
      <c r="C259" s="34" t="str">
        <f>IFERROR(IF('Pré Implantação'!B259="Produção TI",AVERAGE('Pré Implantação'!D259,'Pré Implantação'!L259,'Pré Implantação'!E259,'Pré Implantação'!H259),AVERAGE('Pré Implantação'!E259,'Pré Implantação'!H259)),"")</f>
        <v/>
      </c>
      <c r="D259" s="34" t="str">
        <f>IFERROR(IF('Pré Implantação'!B259="CSC Service Desk",AVERAGE('Pré Implantação'!D259,'Pré Implantação'!L259,'Pré Implantação'!F259),AVERAGE('Pré Implantação'!F259)),"")</f>
        <v/>
      </c>
      <c r="E259" s="34" t="str">
        <f>IFERROR(IF('Pré Implantação'!B259="CSC NOC",AVERAGE('Pré Implantação'!D259,'Pré Implantação'!L259,'Pré Implantação'!G259),AVERAGE('Pré Implantação'!G259)),"")</f>
        <v/>
      </c>
      <c r="F259" s="34" t="str">
        <f>IFERROR(IF('Pré Implantação'!B259="CSE Gravadores",AVERAGE('Pré Implantação'!D259,'Pré Implantação'!L259,'Pré Implantação'!I259),AVERAGE('Pré Implantação'!I259)),"")</f>
        <v/>
      </c>
      <c r="G259" s="34" t="str">
        <f>IFERROR(IF('Pré Implantação'!B259="CSC",AVERAGE('Pré Implantação'!D259,'Pré Implantação'!L259,'Pré Implantação'!J259),AVERAGE('Pré Implantação'!J259)),"")</f>
        <v/>
      </c>
      <c r="H259" s="34" t="str">
        <f>IFERROR(IF('Pré Implantação'!B259="Operações \ Negócio",AVERAGE('Pré Implantação'!D259,'Pré Implantação'!L259,'Pré Implantação'!K259),AVERAGE('Pré Implantação'!K259)),"")</f>
        <v/>
      </c>
      <c r="I259" s="34" t="str">
        <f>IFERROR(IF('Pré Implantação'!B259="Projetos",AVERAGE('Pré Implantação'!D259,'Pré Implantação'!L259,'Pré Implantação'!M259),AVERAGE('Pré Implantação'!M259)),"")</f>
        <v/>
      </c>
      <c r="J259" s="34" t="str">
        <f>IFERROR(IF('Pré Implantação'!B259="Engenharia",AVERAGE('Pré Implantação'!D259,'Pré Implantação'!L259,'Pré Implantação'!N259),AVERAGE('Pré Implantação'!N259)),"")</f>
        <v/>
      </c>
      <c r="K259" s="34" t="str">
        <f>IFERROR(IF('Pré Implantação'!B259="URA",AVERAGE('Pré Implantação'!D259,'Pré Implantação'!L259),""),"")</f>
        <v/>
      </c>
      <c r="L259" s="34" t="str">
        <f>IFERROR(IF('Pré Implantação'!B259="CSE Microsoft",AVERAGE('Pré Implantação'!D259,'Pré Implantação'!L259),""),"")</f>
        <v/>
      </c>
      <c r="M259" s="34" t="str">
        <f>IFERROR(IF('Pré Implantação'!B259="CSE Telecom",AVERAGE('Pré Implantação'!D259,'Pré Implantação'!L259),""),"")</f>
        <v/>
      </c>
      <c r="N259" s="34" t="str">
        <f>IFERROR(IF('Pré Implantação'!B259="Site Suporte de Campo",AVERAGE('Pré Implantação'!D259,'Pré Implantação'!L259),""),"")</f>
        <v/>
      </c>
      <c r="O259" s="49" t="str">
        <f>IFERROR(IF('Pré Implantação'!B259="Infraestrutura",AVERAGE('Pré Implantação'!D259,'Pré Implantação'!L259),""),"")</f>
        <v/>
      </c>
    </row>
    <row r="260" spans="1:15" x14ac:dyDescent="0.3">
      <c r="A260" s="33">
        <f>'Pré Implantação'!A260</f>
        <v>0</v>
      </c>
      <c r="B260" s="36">
        <f>'Pré Implantação'!C260</f>
        <v>0</v>
      </c>
      <c r="C260" s="34" t="str">
        <f>IFERROR(IF('Pré Implantação'!B260="Produção TI",AVERAGE('Pré Implantação'!D260,'Pré Implantação'!L260,'Pré Implantação'!E260,'Pré Implantação'!H260),AVERAGE('Pré Implantação'!E260,'Pré Implantação'!H260)),"")</f>
        <v/>
      </c>
      <c r="D260" s="34" t="str">
        <f>IFERROR(IF('Pré Implantação'!B260="CSC Service Desk",AVERAGE('Pré Implantação'!D260,'Pré Implantação'!L260,'Pré Implantação'!F260),AVERAGE('Pré Implantação'!F260)),"")</f>
        <v/>
      </c>
      <c r="E260" s="34" t="str">
        <f>IFERROR(IF('Pré Implantação'!B260="CSC NOC",AVERAGE('Pré Implantação'!D260,'Pré Implantação'!L260,'Pré Implantação'!G260),AVERAGE('Pré Implantação'!G260)),"")</f>
        <v/>
      </c>
      <c r="F260" s="34" t="str">
        <f>IFERROR(IF('Pré Implantação'!B260="CSE Gravadores",AVERAGE('Pré Implantação'!D260,'Pré Implantação'!L260,'Pré Implantação'!I260),AVERAGE('Pré Implantação'!I260)),"")</f>
        <v/>
      </c>
      <c r="G260" s="34" t="str">
        <f>IFERROR(IF('Pré Implantação'!B260="CSC",AVERAGE('Pré Implantação'!D260,'Pré Implantação'!L260,'Pré Implantação'!J260),AVERAGE('Pré Implantação'!J260)),"")</f>
        <v/>
      </c>
      <c r="H260" s="34" t="str">
        <f>IFERROR(IF('Pré Implantação'!B260="Operações \ Negócio",AVERAGE('Pré Implantação'!D260,'Pré Implantação'!L260,'Pré Implantação'!K260),AVERAGE('Pré Implantação'!K260)),"")</f>
        <v/>
      </c>
      <c r="I260" s="34" t="str">
        <f>IFERROR(IF('Pré Implantação'!B260="Projetos",AVERAGE('Pré Implantação'!D260,'Pré Implantação'!L260,'Pré Implantação'!M260),AVERAGE('Pré Implantação'!M260)),"")</f>
        <v/>
      </c>
      <c r="J260" s="34" t="str">
        <f>IFERROR(IF('Pré Implantação'!B260="Engenharia",AVERAGE('Pré Implantação'!D260,'Pré Implantação'!L260,'Pré Implantação'!N260),AVERAGE('Pré Implantação'!N260)),"")</f>
        <v/>
      </c>
      <c r="K260" s="34" t="str">
        <f>IFERROR(IF('Pré Implantação'!B260="URA",AVERAGE('Pré Implantação'!D260,'Pré Implantação'!L260),""),"")</f>
        <v/>
      </c>
      <c r="L260" s="34" t="str">
        <f>IFERROR(IF('Pré Implantação'!B260="CSE Microsoft",AVERAGE('Pré Implantação'!D260,'Pré Implantação'!L260),""),"")</f>
        <v/>
      </c>
      <c r="M260" s="34" t="str">
        <f>IFERROR(IF('Pré Implantação'!B260="CSE Telecom",AVERAGE('Pré Implantação'!D260,'Pré Implantação'!L260),""),"")</f>
        <v/>
      </c>
      <c r="N260" s="34" t="str">
        <f>IFERROR(IF('Pré Implantação'!B260="Site Suporte de Campo",AVERAGE('Pré Implantação'!D260,'Pré Implantação'!L260),""),"")</f>
        <v/>
      </c>
      <c r="O260" s="49" t="str">
        <f>IFERROR(IF('Pré Implantação'!B260="Infraestrutura",AVERAGE('Pré Implantação'!D260,'Pré Implantação'!L260),""),"")</f>
        <v/>
      </c>
    </row>
    <row r="261" spans="1:15" x14ac:dyDescent="0.3">
      <c r="A261" s="33">
        <f>'Pré Implantação'!A261</f>
        <v>0</v>
      </c>
      <c r="B261" s="36">
        <f>'Pré Implantação'!C261</f>
        <v>0</v>
      </c>
      <c r="C261" s="34" t="str">
        <f>IFERROR(IF('Pré Implantação'!B261="Produção TI",AVERAGE('Pré Implantação'!D261,'Pré Implantação'!L261,'Pré Implantação'!E261,'Pré Implantação'!H261),AVERAGE('Pré Implantação'!E261,'Pré Implantação'!H261)),"")</f>
        <v/>
      </c>
      <c r="D261" s="34" t="str">
        <f>IFERROR(IF('Pré Implantação'!B261="CSC Service Desk",AVERAGE('Pré Implantação'!D261,'Pré Implantação'!L261,'Pré Implantação'!F261),AVERAGE('Pré Implantação'!F261)),"")</f>
        <v/>
      </c>
      <c r="E261" s="34" t="str">
        <f>IFERROR(IF('Pré Implantação'!B261="CSC NOC",AVERAGE('Pré Implantação'!D261,'Pré Implantação'!L261,'Pré Implantação'!G261),AVERAGE('Pré Implantação'!G261)),"")</f>
        <v/>
      </c>
      <c r="F261" s="34" t="str">
        <f>IFERROR(IF('Pré Implantação'!B261="CSE Gravadores",AVERAGE('Pré Implantação'!D261,'Pré Implantação'!L261,'Pré Implantação'!I261),AVERAGE('Pré Implantação'!I261)),"")</f>
        <v/>
      </c>
      <c r="G261" s="34" t="str">
        <f>IFERROR(IF('Pré Implantação'!B261="CSC",AVERAGE('Pré Implantação'!D261,'Pré Implantação'!L261,'Pré Implantação'!J261),AVERAGE('Pré Implantação'!J261)),"")</f>
        <v/>
      </c>
      <c r="H261" s="34" t="str">
        <f>IFERROR(IF('Pré Implantação'!B261="Operações \ Negócio",AVERAGE('Pré Implantação'!D261,'Pré Implantação'!L261,'Pré Implantação'!K261),AVERAGE('Pré Implantação'!K261)),"")</f>
        <v/>
      </c>
      <c r="I261" s="34" t="str">
        <f>IFERROR(IF('Pré Implantação'!B261="Projetos",AVERAGE('Pré Implantação'!D261,'Pré Implantação'!L261,'Pré Implantação'!M261),AVERAGE('Pré Implantação'!M261)),"")</f>
        <v/>
      </c>
      <c r="J261" s="34" t="str">
        <f>IFERROR(IF('Pré Implantação'!B261="Engenharia",AVERAGE('Pré Implantação'!D261,'Pré Implantação'!L261,'Pré Implantação'!N261),AVERAGE('Pré Implantação'!N261)),"")</f>
        <v/>
      </c>
      <c r="K261" s="34" t="str">
        <f>IFERROR(IF('Pré Implantação'!B261="URA",AVERAGE('Pré Implantação'!D261,'Pré Implantação'!L261),""),"")</f>
        <v/>
      </c>
      <c r="L261" s="34" t="str">
        <f>IFERROR(IF('Pré Implantação'!B261="CSE Microsoft",AVERAGE('Pré Implantação'!D261,'Pré Implantação'!L261),""),"")</f>
        <v/>
      </c>
      <c r="M261" s="34" t="str">
        <f>IFERROR(IF('Pré Implantação'!B261="CSE Telecom",AVERAGE('Pré Implantação'!D261,'Pré Implantação'!L261),""),"")</f>
        <v/>
      </c>
      <c r="N261" s="34" t="str">
        <f>IFERROR(IF('Pré Implantação'!B261="Site Suporte de Campo",AVERAGE('Pré Implantação'!D261,'Pré Implantação'!L261),""),"")</f>
        <v/>
      </c>
      <c r="O261" s="49" t="str">
        <f>IFERROR(IF('Pré Implantação'!B261="Infraestrutura",AVERAGE('Pré Implantação'!D261,'Pré Implantação'!L261),""),"")</f>
        <v/>
      </c>
    </row>
    <row r="262" spans="1:15" x14ac:dyDescent="0.3">
      <c r="A262" s="33">
        <f>'Pré Implantação'!A262</f>
        <v>0</v>
      </c>
      <c r="B262" s="36">
        <f>'Pré Implantação'!C262</f>
        <v>0</v>
      </c>
      <c r="C262" s="34" t="str">
        <f>IFERROR(IF('Pré Implantação'!B262="Produção TI",AVERAGE('Pré Implantação'!D262,'Pré Implantação'!L262,'Pré Implantação'!E262,'Pré Implantação'!H262),AVERAGE('Pré Implantação'!E262,'Pré Implantação'!H262)),"")</f>
        <v/>
      </c>
      <c r="D262" s="34" t="str">
        <f>IFERROR(IF('Pré Implantação'!B262="CSC Service Desk",AVERAGE('Pré Implantação'!D262,'Pré Implantação'!L262,'Pré Implantação'!F262),AVERAGE('Pré Implantação'!F262)),"")</f>
        <v/>
      </c>
      <c r="E262" s="34" t="str">
        <f>IFERROR(IF('Pré Implantação'!B262="CSC NOC",AVERAGE('Pré Implantação'!D262,'Pré Implantação'!L262,'Pré Implantação'!G262),AVERAGE('Pré Implantação'!G262)),"")</f>
        <v/>
      </c>
      <c r="F262" s="34" t="str">
        <f>IFERROR(IF('Pré Implantação'!B262="CSE Gravadores",AVERAGE('Pré Implantação'!D262,'Pré Implantação'!L262,'Pré Implantação'!I262),AVERAGE('Pré Implantação'!I262)),"")</f>
        <v/>
      </c>
      <c r="G262" s="34" t="str">
        <f>IFERROR(IF('Pré Implantação'!B262="CSC",AVERAGE('Pré Implantação'!D262,'Pré Implantação'!L262,'Pré Implantação'!J262),AVERAGE('Pré Implantação'!J262)),"")</f>
        <v/>
      </c>
      <c r="H262" s="34" t="str">
        <f>IFERROR(IF('Pré Implantação'!B262="Operações \ Negócio",AVERAGE('Pré Implantação'!D262,'Pré Implantação'!L262,'Pré Implantação'!K262),AVERAGE('Pré Implantação'!K262)),"")</f>
        <v/>
      </c>
      <c r="I262" s="34" t="str">
        <f>IFERROR(IF('Pré Implantação'!B262="Projetos",AVERAGE('Pré Implantação'!D262,'Pré Implantação'!L262,'Pré Implantação'!M262),AVERAGE('Pré Implantação'!M262)),"")</f>
        <v/>
      </c>
      <c r="J262" s="34" t="str">
        <f>IFERROR(IF('Pré Implantação'!B262="Engenharia",AVERAGE('Pré Implantação'!D262,'Pré Implantação'!L262,'Pré Implantação'!N262),AVERAGE('Pré Implantação'!N262)),"")</f>
        <v/>
      </c>
      <c r="K262" s="34" t="str">
        <f>IFERROR(IF('Pré Implantação'!B262="URA",AVERAGE('Pré Implantação'!D262,'Pré Implantação'!L262),""),"")</f>
        <v/>
      </c>
      <c r="L262" s="34" t="str">
        <f>IFERROR(IF('Pré Implantação'!B262="CSE Microsoft",AVERAGE('Pré Implantação'!D262,'Pré Implantação'!L262),""),"")</f>
        <v/>
      </c>
      <c r="M262" s="34" t="str">
        <f>IFERROR(IF('Pré Implantação'!B262="CSE Telecom",AVERAGE('Pré Implantação'!D262,'Pré Implantação'!L262),""),"")</f>
        <v/>
      </c>
      <c r="N262" s="34" t="str">
        <f>IFERROR(IF('Pré Implantação'!B262="Site Suporte de Campo",AVERAGE('Pré Implantação'!D262,'Pré Implantação'!L262),""),"")</f>
        <v/>
      </c>
      <c r="O262" s="49" t="str">
        <f>IFERROR(IF('Pré Implantação'!B262="Infraestrutura",AVERAGE('Pré Implantação'!D262,'Pré Implantação'!L262),""),"")</f>
        <v/>
      </c>
    </row>
    <row r="263" spans="1:15" x14ac:dyDescent="0.3">
      <c r="A263" s="33">
        <f>'Pré Implantação'!A263</f>
        <v>0</v>
      </c>
      <c r="B263" s="36">
        <f>'Pré Implantação'!C263</f>
        <v>0</v>
      </c>
      <c r="C263" s="34" t="str">
        <f>IFERROR(IF('Pré Implantação'!B263="Produção TI",AVERAGE('Pré Implantação'!D263,'Pré Implantação'!L263,'Pré Implantação'!E263,'Pré Implantação'!H263),AVERAGE('Pré Implantação'!E263,'Pré Implantação'!H263)),"")</f>
        <v/>
      </c>
      <c r="D263" s="34" t="str">
        <f>IFERROR(IF('Pré Implantação'!B263="CSC Service Desk",AVERAGE('Pré Implantação'!D263,'Pré Implantação'!L263,'Pré Implantação'!F263),AVERAGE('Pré Implantação'!F263)),"")</f>
        <v/>
      </c>
      <c r="E263" s="34" t="str">
        <f>IFERROR(IF('Pré Implantação'!B263="CSC NOC",AVERAGE('Pré Implantação'!D263,'Pré Implantação'!L263,'Pré Implantação'!G263),AVERAGE('Pré Implantação'!G263)),"")</f>
        <v/>
      </c>
      <c r="F263" s="34" t="str">
        <f>IFERROR(IF('Pré Implantação'!B263="CSE Gravadores",AVERAGE('Pré Implantação'!D263,'Pré Implantação'!L263,'Pré Implantação'!I263),AVERAGE('Pré Implantação'!I263)),"")</f>
        <v/>
      </c>
      <c r="G263" s="34" t="str">
        <f>IFERROR(IF('Pré Implantação'!B263="CSC",AVERAGE('Pré Implantação'!D263,'Pré Implantação'!L263,'Pré Implantação'!J263),AVERAGE('Pré Implantação'!J263)),"")</f>
        <v/>
      </c>
      <c r="H263" s="34" t="str">
        <f>IFERROR(IF('Pré Implantação'!B263="Operações \ Negócio",AVERAGE('Pré Implantação'!D263,'Pré Implantação'!L263,'Pré Implantação'!K263),AVERAGE('Pré Implantação'!K263)),"")</f>
        <v/>
      </c>
      <c r="I263" s="34" t="str">
        <f>IFERROR(IF('Pré Implantação'!B263="Projetos",AVERAGE('Pré Implantação'!D263,'Pré Implantação'!L263,'Pré Implantação'!M263),AVERAGE('Pré Implantação'!M263)),"")</f>
        <v/>
      </c>
      <c r="J263" s="34" t="str">
        <f>IFERROR(IF('Pré Implantação'!B263="Engenharia",AVERAGE('Pré Implantação'!D263,'Pré Implantação'!L263,'Pré Implantação'!N263),AVERAGE('Pré Implantação'!N263)),"")</f>
        <v/>
      </c>
      <c r="K263" s="34" t="str">
        <f>IFERROR(IF('Pré Implantação'!B263="URA",AVERAGE('Pré Implantação'!D263,'Pré Implantação'!L263),""),"")</f>
        <v/>
      </c>
      <c r="L263" s="34" t="str">
        <f>IFERROR(IF('Pré Implantação'!B263="CSE Microsoft",AVERAGE('Pré Implantação'!D263,'Pré Implantação'!L263),""),"")</f>
        <v/>
      </c>
      <c r="M263" s="34" t="str">
        <f>IFERROR(IF('Pré Implantação'!B263="CSE Telecom",AVERAGE('Pré Implantação'!D263,'Pré Implantação'!L263),""),"")</f>
        <v/>
      </c>
      <c r="N263" s="34" t="str">
        <f>IFERROR(IF('Pré Implantação'!B263="Site Suporte de Campo",AVERAGE('Pré Implantação'!D263,'Pré Implantação'!L263),""),"")</f>
        <v/>
      </c>
      <c r="O263" s="49" t="str">
        <f>IFERROR(IF('Pré Implantação'!B263="Infraestrutura",AVERAGE('Pré Implantação'!D263,'Pré Implantação'!L263),""),"")</f>
        <v/>
      </c>
    </row>
    <row r="264" spans="1:15" x14ac:dyDescent="0.3">
      <c r="A264" s="33">
        <f>'Pré Implantação'!A264</f>
        <v>0</v>
      </c>
      <c r="B264" s="36">
        <f>'Pré Implantação'!C264</f>
        <v>0</v>
      </c>
      <c r="C264" s="34" t="str">
        <f>IFERROR(IF('Pré Implantação'!B264="Produção TI",AVERAGE('Pré Implantação'!D264,'Pré Implantação'!L264,'Pré Implantação'!E264,'Pré Implantação'!H264),AVERAGE('Pré Implantação'!E264,'Pré Implantação'!H264)),"")</f>
        <v/>
      </c>
      <c r="D264" s="34" t="str">
        <f>IFERROR(IF('Pré Implantação'!B264="CSC Service Desk",AVERAGE('Pré Implantação'!D264,'Pré Implantação'!L264,'Pré Implantação'!F264),AVERAGE('Pré Implantação'!F264)),"")</f>
        <v/>
      </c>
      <c r="E264" s="34" t="str">
        <f>IFERROR(IF('Pré Implantação'!B264="CSC NOC",AVERAGE('Pré Implantação'!D264,'Pré Implantação'!L264,'Pré Implantação'!G264),AVERAGE('Pré Implantação'!G264)),"")</f>
        <v/>
      </c>
      <c r="F264" s="34" t="str">
        <f>IFERROR(IF('Pré Implantação'!B264="CSE Gravadores",AVERAGE('Pré Implantação'!D264,'Pré Implantação'!L264,'Pré Implantação'!I264),AVERAGE('Pré Implantação'!I264)),"")</f>
        <v/>
      </c>
      <c r="G264" s="34" t="str">
        <f>IFERROR(IF('Pré Implantação'!B264="CSC",AVERAGE('Pré Implantação'!D264,'Pré Implantação'!L264,'Pré Implantação'!J264),AVERAGE('Pré Implantação'!J264)),"")</f>
        <v/>
      </c>
      <c r="H264" s="34" t="str">
        <f>IFERROR(IF('Pré Implantação'!B264="Operações \ Negócio",AVERAGE('Pré Implantação'!D264,'Pré Implantação'!L264,'Pré Implantação'!K264),AVERAGE('Pré Implantação'!K264)),"")</f>
        <v/>
      </c>
      <c r="I264" s="34" t="str">
        <f>IFERROR(IF('Pré Implantação'!B264="Projetos",AVERAGE('Pré Implantação'!D264,'Pré Implantação'!L264,'Pré Implantação'!M264),AVERAGE('Pré Implantação'!M264)),"")</f>
        <v/>
      </c>
      <c r="J264" s="34" t="str">
        <f>IFERROR(IF('Pré Implantação'!B264="Engenharia",AVERAGE('Pré Implantação'!D264,'Pré Implantação'!L264,'Pré Implantação'!N264),AVERAGE('Pré Implantação'!N264)),"")</f>
        <v/>
      </c>
      <c r="K264" s="34" t="str">
        <f>IFERROR(IF('Pré Implantação'!B264="URA",AVERAGE('Pré Implantação'!D264,'Pré Implantação'!L264),""),"")</f>
        <v/>
      </c>
      <c r="L264" s="34" t="str">
        <f>IFERROR(IF('Pré Implantação'!B264="CSE Microsoft",AVERAGE('Pré Implantação'!D264,'Pré Implantação'!L264),""),"")</f>
        <v/>
      </c>
      <c r="M264" s="34" t="str">
        <f>IFERROR(IF('Pré Implantação'!B264="CSE Telecom",AVERAGE('Pré Implantação'!D264,'Pré Implantação'!L264),""),"")</f>
        <v/>
      </c>
      <c r="N264" s="34" t="str">
        <f>IFERROR(IF('Pré Implantação'!B264="Site Suporte de Campo",AVERAGE('Pré Implantação'!D264,'Pré Implantação'!L264),""),"")</f>
        <v/>
      </c>
      <c r="O264" s="49" t="str">
        <f>IFERROR(IF('Pré Implantação'!B264="Infraestrutura",AVERAGE('Pré Implantação'!D264,'Pré Implantação'!L264),""),"")</f>
        <v/>
      </c>
    </row>
    <row r="265" spans="1:15" x14ac:dyDescent="0.3">
      <c r="A265" s="33">
        <f>'Pré Implantação'!A265</f>
        <v>0</v>
      </c>
      <c r="B265" s="36">
        <f>'Pré Implantação'!C265</f>
        <v>0</v>
      </c>
      <c r="C265" s="34" t="str">
        <f>IFERROR(IF('Pré Implantação'!B265="Produção TI",AVERAGE('Pré Implantação'!D265,'Pré Implantação'!L265,'Pré Implantação'!E265,'Pré Implantação'!H265),AVERAGE('Pré Implantação'!E265,'Pré Implantação'!H265)),"")</f>
        <v/>
      </c>
      <c r="D265" s="34" t="str">
        <f>IFERROR(IF('Pré Implantação'!B265="CSC Service Desk",AVERAGE('Pré Implantação'!D265,'Pré Implantação'!L265,'Pré Implantação'!F265),AVERAGE('Pré Implantação'!F265)),"")</f>
        <v/>
      </c>
      <c r="E265" s="34" t="str">
        <f>IFERROR(IF('Pré Implantação'!B265="CSC NOC",AVERAGE('Pré Implantação'!D265,'Pré Implantação'!L265,'Pré Implantação'!G265),AVERAGE('Pré Implantação'!G265)),"")</f>
        <v/>
      </c>
      <c r="F265" s="34" t="str">
        <f>IFERROR(IF('Pré Implantação'!B265="CSE Gravadores",AVERAGE('Pré Implantação'!D265,'Pré Implantação'!L265,'Pré Implantação'!I265),AVERAGE('Pré Implantação'!I265)),"")</f>
        <v/>
      </c>
      <c r="G265" s="34" t="str">
        <f>IFERROR(IF('Pré Implantação'!B265="CSC",AVERAGE('Pré Implantação'!D265,'Pré Implantação'!L265,'Pré Implantação'!J265),AVERAGE('Pré Implantação'!J265)),"")</f>
        <v/>
      </c>
      <c r="H265" s="34" t="str">
        <f>IFERROR(IF('Pré Implantação'!B265="Operações \ Negócio",AVERAGE('Pré Implantação'!D265,'Pré Implantação'!L265,'Pré Implantação'!K265),AVERAGE('Pré Implantação'!K265)),"")</f>
        <v/>
      </c>
      <c r="I265" s="34" t="str">
        <f>IFERROR(IF('Pré Implantação'!B265="Projetos",AVERAGE('Pré Implantação'!D265,'Pré Implantação'!L265,'Pré Implantação'!M265),AVERAGE('Pré Implantação'!M265)),"")</f>
        <v/>
      </c>
      <c r="J265" s="34" t="str">
        <f>IFERROR(IF('Pré Implantação'!B265="Engenharia",AVERAGE('Pré Implantação'!D265,'Pré Implantação'!L265,'Pré Implantação'!N265),AVERAGE('Pré Implantação'!N265)),"")</f>
        <v/>
      </c>
      <c r="K265" s="34" t="str">
        <f>IFERROR(IF('Pré Implantação'!B265="URA",AVERAGE('Pré Implantação'!D265,'Pré Implantação'!L265),""),"")</f>
        <v/>
      </c>
      <c r="L265" s="34" t="str">
        <f>IFERROR(IF('Pré Implantação'!B265="CSE Microsoft",AVERAGE('Pré Implantação'!D265,'Pré Implantação'!L265),""),"")</f>
        <v/>
      </c>
      <c r="M265" s="34" t="str">
        <f>IFERROR(IF('Pré Implantação'!B265="CSE Telecom",AVERAGE('Pré Implantação'!D265,'Pré Implantação'!L265),""),"")</f>
        <v/>
      </c>
      <c r="N265" s="34" t="str">
        <f>IFERROR(IF('Pré Implantação'!B265="Site Suporte de Campo",AVERAGE('Pré Implantação'!D265,'Pré Implantação'!L265),""),"")</f>
        <v/>
      </c>
      <c r="O265" s="49" t="str">
        <f>IFERROR(IF('Pré Implantação'!B265="Infraestrutura",AVERAGE('Pré Implantação'!D265,'Pré Implantação'!L265),""),"")</f>
        <v/>
      </c>
    </row>
    <row r="266" spans="1:15" x14ac:dyDescent="0.3">
      <c r="A266" s="33">
        <f>'Pré Implantação'!A266</f>
        <v>0</v>
      </c>
      <c r="B266" s="36">
        <f>'Pré Implantação'!C266</f>
        <v>0</v>
      </c>
      <c r="C266" s="34" t="str">
        <f>IFERROR(IF('Pré Implantação'!B266="Produção TI",AVERAGE('Pré Implantação'!D266,'Pré Implantação'!L266,'Pré Implantação'!E266,'Pré Implantação'!H266),AVERAGE('Pré Implantação'!E266,'Pré Implantação'!H266)),"")</f>
        <v/>
      </c>
      <c r="D266" s="34" t="str">
        <f>IFERROR(IF('Pré Implantação'!B266="CSC Service Desk",AVERAGE('Pré Implantação'!D266,'Pré Implantação'!L266,'Pré Implantação'!F266),AVERAGE('Pré Implantação'!F266)),"")</f>
        <v/>
      </c>
      <c r="E266" s="34" t="str">
        <f>IFERROR(IF('Pré Implantação'!B266="CSC NOC",AVERAGE('Pré Implantação'!D266,'Pré Implantação'!L266,'Pré Implantação'!G266),AVERAGE('Pré Implantação'!G266)),"")</f>
        <v/>
      </c>
      <c r="F266" s="34" t="str">
        <f>IFERROR(IF('Pré Implantação'!B266="CSE Gravadores",AVERAGE('Pré Implantação'!D266,'Pré Implantação'!L266,'Pré Implantação'!I266),AVERAGE('Pré Implantação'!I266)),"")</f>
        <v/>
      </c>
      <c r="G266" s="34" t="str">
        <f>IFERROR(IF('Pré Implantação'!B266="CSC",AVERAGE('Pré Implantação'!D266,'Pré Implantação'!L266,'Pré Implantação'!J266),AVERAGE('Pré Implantação'!J266)),"")</f>
        <v/>
      </c>
      <c r="H266" s="34" t="str">
        <f>IFERROR(IF('Pré Implantação'!B266="Operações \ Negócio",AVERAGE('Pré Implantação'!D266,'Pré Implantação'!L266,'Pré Implantação'!K266),AVERAGE('Pré Implantação'!K266)),"")</f>
        <v/>
      </c>
      <c r="I266" s="34" t="str">
        <f>IFERROR(IF('Pré Implantação'!B266="Projetos",AVERAGE('Pré Implantação'!D266,'Pré Implantação'!L266,'Pré Implantação'!M266),AVERAGE('Pré Implantação'!M266)),"")</f>
        <v/>
      </c>
      <c r="J266" s="34" t="str">
        <f>IFERROR(IF('Pré Implantação'!B266="Engenharia",AVERAGE('Pré Implantação'!D266,'Pré Implantação'!L266,'Pré Implantação'!N266),AVERAGE('Pré Implantação'!N266)),"")</f>
        <v/>
      </c>
      <c r="K266" s="34" t="str">
        <f>IFERROR(IF('Pré Implantação'!B266="URA",AVERAGE('Pré Implantação'!D266,'Pré Implantação'!L266),""),"")</f>
        <v/>
      </c>
      <c r="L266" s="34" t="str">
        <f>IFERROR(IF('Pré Implantação'!B266="CSE Microsoft",AVERAGE('Pré Implantação'!D266,'Pré Implantação'!L266),""),"")</f>
        <v/>
      </c>
      <c r="M266" s="34" t="str">
        <f>IFERROR(IF('Pré Implantação'!B266="CSE Telecom",AVERAGE('Pré Implantação'!D266,'Pré Implantação'!L266),""),"")</f>
        <v/>
      </c>
      <c r="N266" s="34" t="str">
        <f>IFERROR(IF('Pré Implantação'!B266="Site Suporte de Campo",AVERAGE('Pré Implantação'!D266,'Pré Implantação'!L266),""),"")</f>
        <v/>
      </c>
      <c r="O266" s="49" t="str">
        <f>IFERROR(IF('Pré Implantação'!B266="Infraestrutura",AVERAGE('Pré Implantação'!D266,'Pré Implantação'!L266),""),"")</f>
        <v/>
      </c>
    </row>
    <row r="267" spans="1:15" x14ac:dyDescent="0.3">
      <c r="A267" s="33">
        <f>'Pré Implantação'!A267</f>
        <v>0</v>
      </c>
      <c r="B267" s="36">
        <f>'Pré Implantação'!C267</f>
        <v>0</v>
      </c>
      <c r="C267" s="34" t="str">
        <f>IFERROR(IF('Pré Implantação'!B267="Produção TI",AVERAGE('Pré Implantação'!D267,'Pré Implantação'!L267,'Pré Implantação'!E267,'Pré Implantação'!H267),AVERAGE('Pré Implantação'!E267,'Pré Implantação'!H267)),"")</f>
        <v/>
      </c>
      <c r="D267" s="34" t="str">
        <f>IFERROR(IF('Pré Implantação'!B267="CSC Service Desk",AVERAGE('Pré Implantação'!D267,'Pré Implantação'!L267,'Pré Implantação'!F267),AVERAGE('Pré Implantação'!F267)),"")</f>
        <v/>
      </c>
      <c r="E267" s="34" t="str">
        <f>IFERROR(IF('Pré Implantação'!B267="CSC NOC",AVERAGE('Pré Implantação'!D267,'Pré Implantação'!L267,'Pré Implantação'!G267),AVERAGE('Pré Implantação'!G267)),"")</f>
        <v/>
      </c>
      <c r="F267" s="34" t="str">
        <f>IFERROR(IF('Pré Implantação'!B267="CSE Gravadores",AVERAGE('Pré Implantação'!D267,'Pré Implantação'!L267,'Pré Implantação'!I267),AVERAGE('Pré Implantação'!I267)),"")</f>
        <v/>
      </c>
      <c r="G267" s="34" t="str">
        <f>IFERROR(IF('Pré Implantação'!B267="CSC",AVERAGE('Pré Implantação'!D267,'Pré Implantação'!L267,'Pré Implantação'!J267),AVERAGE('Pré Implantação'!J267)),"")</f>
        <v/>
      </c>
      <c r="H267" s="34" t="str">
        <f>IFERROR(IF('Pré Implantação'!B267="Operações \ Negócio",AVERAGE('Pré Implantação'!D267,'Pré Implantação'!L267,'Pré Implantação'!K267),AVERAGE('Pré Implantação'!K267)),"")</f>
        <v/>
      </c>
      <c r="I267" s="34" t="str">
        <f>IFERROR(IF('Pré Implantação'!B267="Projetos",AVERAGE('Pré Implantação'!D267,'Pré Implantação'!L267,'Pré Implantação'!M267),AVERAGE('Pré Implantação'!M267)),"")</f>
        <v/>
      </c>
      <c r="J267" s="34" t="str">
        <f>IFERROR(IF('Pré Implantação'!B267="Engenharia",AVERAGE('Pré Implantação'!D267,'Pré Implantação'!L267,'Pré Implantação'!N267),AVERAGE('Pré Implantação'!N267)),"")</f>
        <v/>
      </c>
      <c r="K267" s="34" t="str">
        <f>IFERROR(IF('Pré Implantação'!B267="URA",AVERAGE('Pré Implantação'!D267,'Pré Implantação'!L267),""),"")</f>
        <v/>
      </c>
      <c r="L267" s="34" t="str">
        <f>IFERROR(IF('Pré Implantação'!B267="CSE Microsoft",AVERAGE('Pré Implantação'!D267,'Pré Implantação'!L267),""),"")</f>
        <v/>
      </c>
      <c r="M267" s="34" t="str">
        <f>IFERROR(IF('Pré Implantação'!B267="CSE Telecom",AVERAGE('Pré Implantação'!D267,'Pré Implantação'!L267),""),"")</f>
        <v/>
      </c>
      <c r="N267" s="34" t="str">
        <f>IFERROR(IF('Pré Implantação'!B267="Site Suporte de Campo",AVERAGE('Pré Implantação'!D267,'Pré Implantação'!L267),""),"")</f>
        <v/>
      </c>
      <c r="O267" s="49" t="str">
        <f>IFERROR(IF('Pré Implantação'!B267="Infraestrutura",AVERAGE('Pré Implantação'!D267,'Pré Implantação'!L267),""),"")</f>
        <v/>
      </c>
    </row>
    <row r="268" spans="1:15" x14ac:dyDescent="0.3">
      <c r="A268" s="33">
        <f>'Pré Implantação'!A268</f>
        <v>0</v>
      </c>
      <c r="B268" s="36">
        <f>'Pré Implantação'!C268</f>
        <v>0</v>
      </c>
      <c r="C268" s="34" t="str">
        <f>IFERROR(IF('Pré Implantação'!B268="Produção TI",AVERAGE('Pré Implantação'!D268,'Pré Implantação'!L268,'Pré Implantação'!E268,'Pré Implantação'!H268),AVERAGE('Pré Implantação'!E268,'Pré Implantação'!H268)),"")</f>
        <v/>
      </c>
      <c r="D268" s="34" t="str">
        <f>IFERROR(IF('Pré Implantação'!B268="CSC Service Desk",AVERAGE('Pré Implantação'!D268,'Pré Implantação'!L268,'Pré Implantação'!F268),AVERAGE('Pré Implantação'!F268)),"")</f>
        <v/>
      </c>
      <c r="E268" s="34" t="str">
        <f>IFERROR(IF('Pré Implantação'!B268="CSC NOC",AVERAGE('Pré Implantação'!D268,'Pré Implantação'!L268,'Pré Implantação'!G268),AVERAGE('Pré Implantação'!G268)),"")</f>
        <v/>
      </c>
      <c r="F268" s="34" t="str">
        <f>IFERROR(IF('Pré Implantação'!B268="CSE Gravadores",AVERAGE('Pré Implantação'!D268,'Pré Implantação'!L268,'Pré Implantação'!I268),AVERAGE('Pré Implantação'!I268)),"")</f>
        <v/>
      </c>
      <c r="G268" s="34" t="str">
        <f>IFERROR(IF('Pré Implantação'!B268="CSC",AVERAGE('Pré Implantação'!D268,'Pré Implantação'!L268,'Pré Implantação'!J268),AVERAGE('Pré Implantação'!J268)),"")</f>
        <v/>
      </c>
      <c r="H268" s="34" t="str">
        <f>IFERROR(IF('Pré Implantação'!B268="Operações \ Negócio",AVERAGE('Pré Implantação'!D268,'Pré Implantação'!L268,'Pré Implantação'!K268),AVERAGE('Pré Implantação'!K268)),"")</f>
        <v/>
      </c>
      <c r="I268" s="34" t="str">
        <f>IFERROR(IF('Pré Implantação'!B268="Projetos",AVERAGE('Pré Implantação'!D268,'Pré Implantação'!L268,'Pré Implantação'!M268),AVERAGE('Pré Implantação'!M268)),"")</f>
        <v/>
      </c>
      <c r="J268" s="34" t="str">
        <f>IFERROR(IF('Pré Implantação'!B268="Engenharia",AVERAGE('Pré Implantação'!D268,'Pré Implantação'!L268,'Pré Implantação'!N268),AVERAGE('Pré Implantação'!N268)),"")</f>
        <v/>
      </c>
      <c r="K268" s="34" t="str">
        <f>IFERROR(IF('Pré Implantação'!B268="URA",AVERAGE('Pré Implantação'!D268,'Pré Implantação'!L268),""),"")</f>
        <v/>
      </c>
      <c r="L268" s="34" t="str">
        <f>IFERROR(IF('Pré Implantação'!B268="CSE Microsoft",AVERAGE('Pré Implantação'!D268,'Pré Implantação'!L268),""),"")</f>
        <v/>
      </c>
      <c r="M268" s="34" t="str">
        <f>IFERROR(IF('Pré Implantação'!B268="CSE Telecom",AVERAGE('Pré Implantação'!D268,'Pré Implantação'!L268),""),"")</f>
        <v/>
      </c>
      <c r="N268" s="34" t="str">
        <f>IFERROR(IF('Pré Implantação'!B268="Site Suporte de Campo",AVERAGE('Pré Implantação'!D268,'Pré Implantação'!L268),""),"")</f>
        <v/>
      </c>
      <c r="O268" s="49" t="str">
        <f>IFERROR(IF('Pré Implantação'!B268="Infraestrutura",AVERAGE('Pré Implantação'!D268,'Pré Implantação'!L268),""),"")</f>
        <v/>
      </c>
    </row>
    <row r="269" spans="1:15" x14ac:dyDescent="0.3">
      <c r="A269" s="33">
        <f>'Pré Implantação'!A269</f>
        <v>0</v>
      </c>
      <c r="B269" s="36">
        <f>'Pré Implantação'!C269</f>
        <v>0</v>
      </c>
      <c r="C269" s="34" t="str">
        <f>IFERROR(IF('Pré Implantação'!B269="Produção TI",AVERAGE('Pré Implantação'!D269,'Pré Implantação'!L269,'Pré Implantação'!E269,'Pré Implantação'!H269),AVERAGE('Pré Implantação'!E269,'Pré Implantação'!H269)),"")</f>
        <v/>
      </c>
      <c r="D269" s="34" t="str">
        <f>IFERROR(IF('Pré Implantação'!B269="CSC Service Desk",AVERAGE('Pré Implantação'!D269,'Pré Implantação'!L269,'Pré Implantação'!F269),AVERAGE('Pré Implantação'!F269)),"")</f>
        <v/>
      </c>
      <c r="E269" s="34" t="str">
        <f>IFERROR(IF('Pré Implantação'!B269="CSC NOC",AVERAGE('Pré Implantação'!D269,'Pré Implantação'!L269,'Pré Implantação'!G269),AVERAGE('Pré Implantação'!G269)),"")</f>
        <v/>
      </c>
      <c r="F269" s="34" t="str">
        <f>IFERROR(IF('Pré Implantação'!B269="CSE Gravadores",AVERAGE('Pré Implantação'!D269,'Pré Implantação'!L269,'Pré Implantação'!I269),AVERAGE('Pré Implantação'!I269)),"")</f>
        <v/>
      </c>
      <c r="G269" s="34" t="str">
        <f>IFERROR(IF('Pré Implantação'!B269="CSC",AVERAGE('Pré Implantação'!D269,'Pré Implantação'!L269,'Pré Implantação'!J269),AVERAGE('Pré Implantação'!J269)),"")</f>
        <v/>
      </c>
      <c r="H269" s="34" t="str">
        <f>IFERROR(IF('Pré Implantação'!B269="Operações \ Negócio",AVERAGE('Pré Implantação'!D269,'Pré Implantação'!L269,'Pré Implantação'!K269),AVERAGE('Pré Implantação'!K269)),"")</f>
        <v/>
      </c>
      <c r="I269" s="34" t="str">
        <f>IFERROR(IF('Pré Implantação'!B269="Projetos",AVERAGE('Pré Implantação'!D269,'Pré Implantação'!L269,'Pré Implantação'!M269),AVERAGE('Pré Implantação'!M269)),"")</f>
        <v/>
      </c>
      <c r="J269" s="34" t="str">
        <f>IFERROR(IF('Pré Implantação'!B269="Engenharia",AVERAGE('Pré Implantação'!D269,'Pré Implantação'!L269,'Pré Implantação'!N269),AVERAGE('Pré Implantação'!N269)),"")</f>
        <v/>
      </c>
      <c r="K269" s="34" t="str">
        <f>IFERROR(IF('Pré Implantação'!B269="URA",AVERAGE('Pré Implantação'!D269,'Pré Implantação'!L269),""),"")</f>
        <v/>
      </c>
      <c r="L269" s="34" t="str">
        <f>IFERROR(IF('Pré Implantação'!B269="CSE Microsoft",AVERAGE('Pré Implantação'!D269,'Pré Implantação'!L269),""),"")</f>
        <v/>
      </c>
      <c r="M269" s="34" t="str">
        <f>IFERROR(IF('Pré Implantação'!B269="CSE Telecom",AVERAGE('Pré Implantação'!D269,'Pré Implantação'!L269),""),"")</f>
        <v/>
      </c>
      <c r="N269" s="34" t="str">
        <f>IFERROR(IF('Pré Implantação'!B269="Site Suporte de Campo",AVERAGE('Pré Implantação'!D269,'Pré Implantação'!L269),""),"")</f>
        <v/>
      </c>
      <c r="O269" s="49" t="str">
        <f>IFERROR(IF('Pré Implantação'!B269="Infraestrutura",AVERAGE('Pré Implantação'!D269,'Pré Implantação'!L269),""),"")</f>
        <v/>
      </c>
    </row>
    <row r="270" spans="1:15" x14ac:dyDescent="0.3">
      <c r="A270" s="33">
        <f>'Pré Implantação'!A270</f>
        <v>0</v>
      </c>
      <c r="B270" s="36">
        <f>'Pré Implantação'!C270</f>
        <v>0</v>
      </c>
      <c r="C270" s="34" t="str">
        <f>IFERROR(IF('Pré Implantação'!B270="Produção TI",AVERAGE('Pré Implantação'!D270,'Pré Implantação'!L270,'Pré Implantação'!E270,'Pré Implantação'!H270),AVERAGE('Pré Implantação'!E270,'Pré Implantação'!H270)),"")</f>
        <v/>
      </c>
      <c r="D270" s="34" t="str">
        <f>IFERROR(IF('Pré Implantação'!B270="CSC Service Desk",AVERAGE('Pré Implantação'!D270,'Pré Implantação'!L270,'Pré Implantação'!F270),AVERAGE('Pré Implantação'!F270)),"")</f>
        <v/>
      </c>
      <c r="E270" s="34" t="str">
        <f>IFERROR(IF('Pré Implantação'!B270="CSC NOC",AVERAGE('Pré Implantação'!D270,'Pré Implantação'!L270,'Pré Implantação'!G270),AVERAGE('Pré Implantação'!G270)),"")</f>
        <v/>
      </c>
      <c r="F270" s="34" t="str">
        <f>IFERROR(IF('Pré Implantação'!B270="CSE Gravadores",AVERAGE('Pré Implantação'!D270,'Pré Implantação'!L270,'Pré Implantação'!I270),AVERAGE('Pré Implantação'!I270)),"")</f>
        <v/>
      </c>
      <c r="G270" s="34" t="str">
        <f>IFERROR(IF('Pré Implantação'!B270="CSC",AVERAGE('Pré Implantação'!D270,'Pré Implantação'!L270,'Pré Implantação'!J270),AVERAGE('Pré Implantação'!J270)),"")</f>
        <v/>
      </c>
      <c r="H270" s="34" t="str">
        <f>IFERROR(IF('Pré Implantação'!B270="Operações \ Negócio",AVERAGE('Pré Implantação'!D270,'Pré Implantação'!L270,'Pré Implantação'!K270),AVERAGE('Pré Implantação'!K270)),"")</f>
        <v/>
      </c>
      <c r="I270" s="34" t="str">
        <f>IFERROR(IF('Pré Implantação'!B270="Projetos",AVERAGE('Pré Implantação'!D270,'Pré Implantação'!L270,'Pré Implantação'!M270),AVERAGE('Pré Implantação'!M270)),"")</f>
        <v/>
      </c>
      <c r="J270" s="34" t="str">
        <f>IFERROR(IF('Pré Implantação'!B270="Engenharia",AVERAGE('Pré Implantação'!D270,'Pré Implantação'!L270,'Pré Implantação'!N270),AVERAGE('Pré Implantação'!N270)),"")</f>
        <v/>
      </c>
      <c r="K270" s="34" t="str">
        <f>IFERROR(IF('Pré Implantação'!B270="URA",AVERAGE('Pré Implantação'!D270,'Pré Implantação'!L270),""),"")</f>
        <v/>
      </c>
      <c r="L270" s="34" t="str">
        <f>IFERROR(IF('Pré Implantação'!B270="CSE Microsoft",AVERAGE('Pré Implantação'!D270,'Pré Implantação'!L270),""),"")</f>
        <v/>
      </c>
      <c r="M270" s="34" t="str">
        <f>IFERROR(IF('Pré Implantação'!B270="CSE Telecom",AVERAGE('Pré Implantação'!D270,'Pré Implantação'!L270),""),"")</f>
        <v/>
      </c>
      <c r="N270" s="34" t="str">
        <f>IFERROR(IF('Pré Implantação'!B270="Site Suporte de Campo",AVERAGE('Pré Implantação'!D270,'Pré Implantação'!L270),""),"")</f>
        <v/>
      </c>
      <c r="O270" s="49" t="str">
        <f>IFERROR(IF('Pré Implantação'!B270="Infraestrutura",AVERAGE('Pré Implantação'!D270,'Pré Implantação'!L270),""),"")</f>
        <v/>
      </c>
    </row>
    <row r="271" spans="1:15" x14ac:dyDescent="0.3">
      <c r="A271" s="33">
        <f>'Pré Implantação'!A271</f>
        <v>0</v>
      </c>
      <c r="B271" s="36">
        <f>'Pré Implantação'!C271</f>
        <v>0</v>
      </c>
      <c r="C271" s="34" t="str">
        <f>IFERROR(IF('Pré Implantação'!B271="Produção TI",AVERAGE('Pré Implantação'!D271,'Pré Implantação'!L271,'Pré Implantação'!E271,'Pré Implantação'!H271),AVERAGE('Pré Implantação'!E271,'Pré Implantação'!H271)),"")</f>
        <v/>
      </c>
      <c r="D271" s="34" t="str">
        <f>IFERROR(IF('Pré Implantação'!B271="CSC Service Desk",AVERAGE('Pré Implantação'!D271,'Pré Implantação'!L271,'Pré Implantação'!F271),AVERAGE('Pré Implantação'!F271)),"")</f>
        <v/>
      </c>
      <c r="E271" s="34" t="str">
        <f>IFERROR(IF('Pré Implantação'!B271="CSC NOC",AVERAGE('Pré Implantação'!D271,'Pré Implantação'!L271,'Pré Implantação'!G271),AVERAGE('Pré Implantação'!G271)),"")</f>
        <v/>
      </c>
      <c r="F271" s="34" t="str">
        <f>IFERROR(IF('Pré Implantação'!B271="CSE Gravadores",AVERAGE('Pré Implantação'!D271,'Pré Implantação'!L271,'Pré Implantação'!I271),AVERAGE('Pré Implantação'!I271)),"")</f>
        <v/>
      </c>
      <c r="G271" s="34" t="str">
        <f>IFERROR(IF('Pré Implantação'!B271="CSC",AVERAGE('Pré Implantação'!D271,'Pré Implantação'!L271,'Pré Implantação'!J271),AVERAGE('Pré Implantação'!J271)),"")</f>
        <v/>
      </c>
      <c r="H271" s="34" t="str">
        <f>IFERROR(IF('Pré Implantação'!B271="Operações \ Negócio",AVERAGE('Pré Implantação'!D271,'Pré Implantação'!L271,'Pré Implantação'!K271),AVERAGE('Pré Implantação'!K271)),"")</f>
        <v/>
      </c>
      <c r="I271" s="34" t="str">
        <f>IFERROR(IF('Pré Implantação'!B271="Projetos",AVERAGE('Pré Implantação'!D271,'Pré Implantação'!L271,'Pré Implantação'!M271),AVERAGE('Pré Implantação'!M271)),"")</f>
        <v/>
      </c>
      <c r="J271" s="34" t="str">
        <f>IFERROR(IF('Pré Implantação'!B271="Engenharia",AVERAGE('Pré Implantação'!D271,'Pré Implantação'!L271,'Pré Implantação'!N271),AVERAGE('Pré Implantação'!N271)),"")</f>
        <v/>
      </c>
      <c r="K271" s="34" t="str">
        <f>IFERROR(IF('Pré Implantação'!B271="URA",AVERAGE('Pré Implantação'!D271,'Pré Implantação'!L271),""),"")</f>
        <v/>
      </c>
      <c r="L271" s="34" t="str">
        <f>IFERROR(IF('Pré Implantação'!B271="CSE Microsoft",AVERAGE('Pré Implantação'!D271,'Pré Implantação'!L271),""),"")</f>
        <v/>
      </c>
      <c r="M271" s="34" t="str">
        <f>IFERROR(IF('Pré Implantação'!B271="CSE Telecom",AVERAGE('Pré Implantação'!D271,'Pré Implantação'!L271),""),"")</f>
        <v/>
      </c>
      <c r="N271" s="34" t="str">
        <f>IFERROR(IF('Pré Implantação'!B271="Site Suporte de Campo",AVERAGE('Pré Implantação'!D271,'Pré Implantação'!L271),""),"")</f>
        <v/>
      </c>
      <c r="O271" s="49" t="str">
        <f>IFERROR(IF('Pré Implantação'!B271="Infraestrutura",AVERAGE('Pré Implantação'!D271,'Pré Implantação'!L271),""),"")</f>
        <v/>
      </c>
    </row>
    <row r="272" spans="1:15" x14ac:dyDescent="0.3">
      <c r="A272" s="33">
        <f>'Pré Implantação'!A272</f>
        <v>0</v>
      </c>
      <c r="B272" s="36">
        <f>'Pré Implantação'!C272</f>
        <v>0</v>
      </c>
      <c r="C272" s="34" t="str">
        <f>IFERROR(IF('Pré Implantação'!B272="Produção TI",AVERAGE('Pré Implantação'!D272,'Pré Implantação'!L272,'Pré Implantação'!E272,'Pré Implantação'!H272),AVERAGE('Pré Implantação'!E272,'Pré Implantação'!H272)),"")</f>
        <v/>
      </c>
      <c r="D272" s="34" t="str">
        <f>IFERROR(IF('Pré Implantação'!B272="CSC Service Desk",AVERAGE('Pré Implantação'!D272,'Pré Implantação'!L272,'Pré Implantação'!F272),AVERAGE('Pré Implantação'!F272)),"")</f>
        <v/>
      </c>
      <c r="E272" s="34" t="str">
        <f>IFERROR(IF('Pré Implantação'!B272="CSC NOC",AVERAGE('Pré Implantação'!D272,'Pré Implantação'!L272,'Pré Implantação'!G272),AVERAGE('Pré Implantação'!G272)),"")</f>
        <v/>
      </c>
      <c r="F272" s="34" t="str">
        <f>IFERROR(IF('Pré Implantação'!B272="CSE Gravadores",AVERAGE('Pré Implantação'!D272,'Pré Implantação'!L272,'Pré Implantação'!I272),AVERAGE('Pré Implantação'!I272)),"")</f>
        <v/>
      </c>
      <c r="G272" s="34" t="str">
        <f>IFERROR(IF('Pré Implantação'!B272="CSC",AVERAGE('Pré Implantação'!D272,'Pré Implantação'!L272,'Pré Implantação'!J272),AVERAGE('Pré Implantação'!J272)),"")</f>
        <v/>
      </c>
      <c r="H272" s="34" t="str">
        <f>IFERROR(IF('Pré Implantação'!B272="Operações \ Negócio",AVERAGE('Pré Implantação'!D272,'Pré Implantação'!L272,'Pré Implantação'!K272),AVERAGE('Pré Implantação'!K272)),"")</f>
        <v/>
      </c>
      <c r="I272" s="34" t="str">
        <f>IFERROR(IF('Pré Implantação'!B272="Projetos",AVERAGE('Pré Implantação'!D272,'Pré Implantação'!L272,'Pré Implantação'!M272),AVERAGE('Pré Implantação'!M272)),"")</f>
        <v/>
      </c>
      <c r="J272" s="34" t="str">
        <f>IFERROR(IF('Pré Implantação'!B272="Engenharia",AVERAGE('Pré Implantação'!D272,'Pré Implantação'!L272,'Pré Implantação'!N272),AVERAGE('Pré Implantação'!N272)),"")</f>
        <v/>
      </c>
      <c r="K272" s="34" t="str">
        <f>IFERROR(IF('Pré Implantação'!B272="URA",AVERAGE('Pré Implantação'!D272,'Pré Implantação'!L272),""),"")</f>
        <v/>
      </c>
      <c r="L272" s="34" t="str">
        <f>IFERROR(IF('Pré Implantação'!B272="CSE Microsoft",AVERAGE('Pré Implantação'!D272,'Pré Implantação'!L272),""),"")</f>
        <v/>
      </c>
      <c r="M272" s="34" t="str">
        <f>IFERROR(IF('Pré Implantação'!B272="CSE Telecom",AVERAGE('Pré Implantação'!D272,'Pré Implantação'!L272),""),"")</f>
        <v/>
      </c>
      <c r="N272" s="34" t="str">
        <f>IFERROR(IF('Pré Implantação'!B272="Site Suporte de Campo",AVERAGE('Pré Implantação'!D272,'Pré Implantação'!L272),""),"")</f>
        <v/>
      </c>
      <c r="O272" s="49" t="str">
        <f>IFERROR(IF('Pré Implantação'!B272="Infraestrutura",AVERAGE('Pré Implantação'!D272,'Pré Implantação'!L272),""),"")</f>
        <v/>
      </c>
    </row>
    <row r="273" spans="1:15" x14ac:dyDescent="0.3">
      <c r="A273" s="33">
        <f>'Pré Implantação'!A273</f>
        <v>0</v>
      </c>
      <c r="B273" s="36">
        <f>'Pré Implantação'!C273</f>
        <v>0</v>
      </c>
      <c r="C273" s="34" t="str">
        <f>IFERROR(IF('Pré Implantação'!B273="Produção TI",AVERAGE('Pré Implantação'!D273,'Pré Implantação'!L273,'Pré Implantação'!E273,'Pré Implantação'!H273),AVERAGE('Pré Implantação'!E273,'Pré Implantação'!H273)),"")</f>
        <v/>
      </c>
      <c r="D273" s="34" t="str">
        <f>IFERROR(IF('Pré Implantação'!B273="CSC Service Desk",AVERAGE('Pré Implantação'!D273,'Pré Implantação'!L273,'Pré Implantação'!F273),AVERAGE('Pré Implantação'!F273)),"")</f>
        <v/>
      </c>
      <c r="E273" s="34" t="str">
        <f>IFERROR(IF('Pré Implantação'!B273="CSC NOC",AVERAGE('Pré Implantação'!D273,'Pré Implantação'!L273,'Pré Implantação'!G273),AVERAGE('Pré Implantação'!G273)),"")</f>
        <v/>
      </c>
      <c r="F273" s="34" t="str">
        <f>IFERROR(IF('Pré Implantação'!B273="CSE Gravadores",AVERAGE('Pré Implantação'!D273,'Pré Implantação'!L273,'Pré Implantação'!I273),AVERAGE('Pré Implantação'!I273)),"")</f>
        <v/>
      </c>
      <c r="G273" s="34" t="str">
        <f>IFERROR(IF('Pré Implantação'!B273="CSC",AVERAGE('Pré Implantação'!D273,'Pré Implantação'!L273,'Pré Implantação'!J273),AVERAGE('Pré Implantação'!J273)),"")</f>
        <v/>
      </c>
      <c r="H273" s="34" t="str">
        <f>IFERROR(IF('Pré Implantação'!B273="Operações \ Negócio",AVERAGE('Pré Implantação'!D273,'Pré Implantação'!L273,'Pré Implantação'!K273),AVERAGE('Pré Implantação'!K273)),"")</f>
        <v/>
      </c>
      <c r="I273" s="34" t="str">
        <f>IFERROR(IF('Pré Implantação'!B273="Projetos",AVERAGE('Pré Implantação'!D273,'Pré Implantação'!L273,'Pré Implantação'!M273),AVERAGE('Pré Implantação'!M273)),"")</f>
        <v/>
      </c>
      <c r="J273" s="34" t="str">
        <f>IFERROR(IF('Pré Implantação'!B273="Engenharia",AVERAGE('Pré Implantação'!D273,'Pré Implantação'!L273,'Pré Implantação'!N273),AVERAGE('Pré Implantação'!N273)),"")</f>
        <v/>
      </c>
      <c r="K273" s="34" t="str">
        <f>IFERROR(IF('Pré Implantação'!B273="URA",AVERAGE('Pré Implantação'!D273,'Pré Implantação'!L273),""),"")</f>
        <v/>
      </c>
      <c r="L273" s="34" t="str">
        <f>IFERROR(IF('Pré Implantação'!B273="CSE Microsoft",AVERAGE('Pré Implantação'!D273,'Pré Implantação'!L273),""),"")</f>
        <v/>
      </c>
      <c r="M273" s="34" t="str">
        <f>IFERROR(IF('Pré Implantação'!B273="CSE Telecom",AVERAGE('Pré Implantação'!D273,'Pré Implantação'!L273),""),"")</f>
        <v/>
      </c>
      <c r="N273" s="34" t="str">
        <f>IFERROR(IF('Pré Implantação'!B273="Site Suporte de Campo",AVERAGE('Pré Implantação'!D273,'Pré Implantação'!L273),""),"")</f>
        <v/>
      </c>
      <c r="O273" s="49" t="str">
        <f>IFERROR(IF('Pré Implantação'!B273="Infraestrutura",AVERAGE('Pré Implantação'!D273,'Pré Implantação'!L273),""),"")</f>
        <v/>
      </c>
    </row>
    <row r="274" spans="1:15" x14ac:dyDescent="0.3">
      <c r="A274" s="33">
        <f>'Pré Implantação'!A274</f>
        <v>0</v>
      </c>
      <c r="B274" s="36">
        <f>'Pré Implantação'!C274</f>
        <v>0</v>
      </c>
      <c r="C274" s="34" t="str">
        <f>IFERROR(IF('Pré Implantação'!B274="Produção TI",AVERAGE('Pré Implantação'!D274,'Pré Implantação'!L274,'Pré Implantação'!E274,'Pré Implantação'!H274),AVERAGE('Pré Implantação'!E274,'Pré Implantação'!H274)),"")</f>
        <v/>
      </c>
      <c r="D274" s="34" t="str">
        <f>IFERROR(IF('Pré Implantação'!B274="CSC Service Desk",AVERAGE('Pré Implantação'!D274,'Pré Implantação'!L274,'Pré Implantação'!F274),AVERAGE('Pré Implantação'!F274)),"")</f>
        <v/>
      </c>
      <c r="E274" s="34" t="str">
        <f>IFERROR(IF('Pré Implantação'!B274="CSC NOC",AVERAGE('Pré Implantação'!D274,'Pré Implantação'!L274,'Pré Implantação'!G274),AVERAGE('Pré Implantação'!G274)),"")</f>
        <v/>
      </c>
      <c r="F274" s="34" t="str">
        <f>IFERROR(IF('Pré Implantação'!B274="CSE Gravadores",AVERAGE('Pré Implantação'!D274,'Pré Implantação'!L274,'Pré Implantação'!I274),AVERAGE('Pré Implantação'!I274)),"")</f>
        <v/>
      </c>
      <c r="G274" s="34" t="str">
        <f>IFERROR(IF('Pré Implantação'!B274="CSC",AVERAGE('Pré Implantação'!D274,'Pré Implantação'!L274,'Pré Implantação'!J274),AVERAGE('Pré Implantação'!J274)),"")</f>
        <v/>
      </c>
      <c r="H274" s="34" t="str">
        <f>IFERROR(IF('Pré Implantação'!B274="Operações \ Negócio",AVERAGE('Pré Implantação'!D274,'Pré Implantação'!L274,'Pré Implantação'!K274),AVERAGE('Pré Implantação'!K274)),"")</f>
        <v/>
      </c>
      <c r="I274" s="34" t="str">
        <f>IFERROR(IF('Pré Implantação'!B274="Projetos",AVERAGE('Pré Implantação'!D274,'Pré Implantação'!L274,'Pré Implantação'!M274),AVERAGE('Pré Implantação'!M274)),"")</f>
        <v/>
      </c>
      <c r="J274" s="34" t="str">
        <f>IFERROR(IF('Pré Implantação'!B274="Engenharia",AVERAGE('Pré Implantação'!D274,'Pré Implantação'!L274,'Pré Implantação'!N274),AVERAGE('Pré Implantação'!N274)),"")</f>
        <v/>
      </c>
      <c r="K274" s="34" t="str">
        <f>IFERROR(IF('Pré Implantação'!B274="URA",AVERAGE('Pré Implantação'!D274,'Pré Implantação'!L274),""),"")</f>
        <v/>
      </c>
      <c r="L274" s="34" t="str">
        <f>IFERROR(IF('Pré Implantação'!B274="CSE Microsoft",AVERAGE('Pré Implantação'!D274,'Pré Implantação'!L274),""),"")</f>
        <v/>
      </c>
      <c r="M274" s="34" t="str">
        <f>IFERROR(IF('Pré Implantação'!B274="CSE Telecom",AVERAGE('Pré Implantação'!D274,'Pré Implantação'!L274),""),"")</f>
        <v/>
      </c>
      <c r="N274" s="34" t="str">
        <f>IFERROR(IF('Pré Implantação'!B274="Site Suporte de Campo",AVERAGE('Pré Implantação'!D274,'Pré Implantação'!L274),""),"")</f>
        <v/>
      </c>
      <c r="O274" s="49" t="str">
        <f>IFERROR(IF('Pré Implantação'!B274="Infraestrutura",AVERAGE('Pré Implantação'!D274,'Pré Implantação'!L274),""),"")</f>
        <v/>
      </c>
    </row>
    <row r="275" spans="1:15" x14ac:dyDescent="0.3">
      <c r="A275" s="33">
        <f>'Pré Implantação'!A275</f>
        <v>0</v>
      </c>
      <c r="B275" s="36">
        <f>'Pré Implantação'!C275</f>
        <v>0</v>
      </c>
      <c r="C275" s="34" t="str">
        <f>IFERROR(IF('Pré Implantação'!B275="Produção TI",AVERAGE('Pré Implantação'!D275,'Pré Implantação'!L275,'Pré Implantação'!E275,'Pré Implantação'!H275),AVERAGE('Pré Implantação'!E275,'Pré Implantação'!H275)),"")</f>
        <v/>
      </c>
      <c r="D275" s="34" t="str">
        <f>IFERROR(IF('Pré Implantação'!B275="CSC Service Desk",AVERAGE('Pré Implantação'!D275,'Pré Implantação'!L275,'Pré Implantação'!F275),AVERAGE('Pré Implantação'!F275)),"")</f>
        <v/>
      </c>
      <c r="E275" s="34" t="str">
        <f>IFERROR(IF('Pré Implantação'!B275="CSC NOC",AVERAGE('Pré Implantação'!D275,'Pré Implantação'!L275,'Pré Implantação'!G275),AVERAGE('Pré Implantação'!G275)),"")</f>
        <v/>
      </c>
      <c r="F275" s="34" t="str">
        <f>IFERROR(IF('Pré Implantação'!B275="CSE Gravadores",AVERAGE('Pré Implantação'!D275,'Pré Implantação'!L275,'Pré Implantação'!I275),AVERAGE('Pré Implantação'!I275)),"")</f>
        <v/>
      </c>
      <c r="G275" s="34" t="str">
        <f>IFERROR(IF('Pré Implantação'!B275="CSC",AVERAGE('Pré Implantação'!D275,'Pré Implantação'!L275,'Pré Implantação'!J275),AVERAGE('Pré Implantação'!J275)),"")</f>
        <v/>
      </c>
      <c r="H275" s="34" t="str">
        <f>IFERROR(IF('Pré Implantação'!B275="Operações \ Negócio",AVERAGE('Pré Implantação'!D275,'Pré Implantação'!L275,'Pré Implantação'!K275),AVERAGE('Pré Implantação'!K275)),"")</f>
        <v/>
      </c>
      <c r="I275" s="34" t="str">
        <f>IFERROR(IF('Pré Implantação'!B275="Projetos",AVERAGE('Pré Implantação'!D275,'Pré Implantação'!L275,'Pré Implantação'!M275),AVERAGE('Pré Implantação'!M275)),"")</f>
        <v/>
      </c>
      <c r="J275" s="34" t="str">
        <f>IFERROR(IF('Pré Implantação'!B275="Engenharia",AVERAGE('Pré Implantação'!D275,'Pré Implantação'!L275,'Pré Implantação'!N275),AVERAGE('Pré Implantação'!N275)),"")</f>
        <v/>
      </c>
      <c r="K275" s="34" t="str">
        <f>IFERROR(IF('Pré Implantação'!B275="URA",AVERAGE('Pré Implantação'!D275,'Pré Implantação'!L275),""),"")</f>
        <v/>
      </c>
      <c r="L275" s="34" t="str">
        <f>IFERROR(IF('Pré Implantação'!B275="CSE Microsoft",AVERAGE('Pré Implantação'!D275,'Pré Implantação'!L275),""),"")</f>
        <v/>
      </c>
      <c r="M275" s="34" t="str">
        <f>IFERROR(IF('Pré Implantação'!B275="CSE Telecom",AVERAGE('Pré Implantação'!D275,'Pré Implantação'!L275),""),"")</f>
        <v/>
      </c>
      <c r="N275" s="34" t="str">
        <f>IFERROR(IF('Pré Implantação'!B275="Site Suporte de Campo",AVERAGE('Pré Implantação'!D275,'Pré Implantação'!L275),""),"")</f>
        <v/>
      </c>
      <c r="O275" s="49" t="str">
        <f>IFERROR(IF('Pré Implantação'!B275="Infraestrutura",AVERAGE('Pré Implantação'!D275,'Pré Implantação'!L275),""),"")</f>
        <v/>
      </c>
    </row>
    <row r="276" spans="1:15" x14ac:dyDescent="0.3">
      <c r="A276" s="33">
        <f>'Pré Implantação'!A276</f>
        <v>0</v>
      </c>
      <c r="B276" s="36">
        <f>'Pré Implantação'!C276</f>
        <v>0</v>
      </c>
      <c r="C276" s="34" t="str">
        <f>IFERROR(IF('Pré Implantação'!B276="Produção TI",AVERAGE('Pré Implantação'!D276,'Pré Implantação'!L276,'Pré Implantação'!E276,'Pré Implantação'!H276),AVERAGE('Pré Implantação'!E276,'Pré Implantação'!H276)),"")</f>
        <v/>
      </c>
      <c r="D276" s="34" t="str">
        <f>IFERROR(IF('Pré Implantação'!B276="CSC Service Desk",AVERAGE('Pré Implantação'!D276,'Pré Implantação'!L276,'Pré Implantação'!F276),AVERAGE('Pré Implantação'!F276)),"")</f>
        <v/>
      </c>
      <c r="E276" s="34" t="str">
        <f>IFERROR(IF('Pré Implantação'!B276="CSC NOC",AVERAGE('Pré Implantação'!D276,'Pré Implantação'!L276,'Pré Implantação'!G276),AVERAGE('Pré Implantação'!G276)),"")</f>
        <v/>
      </c>
      <c r="F276" s="34" t="str">
        <f>IFERROR(IF('Pré Implantação'!B276="CSE Gravadores",AVERAGE('Pré Implantação'!D276,'Pré Implantação'!L276,'Pré Implantação'!I276),AVERAGE('Pré Implantação'!I276)),"")</f>
        <v/>
      </c>
      <c r="G276" s="34" t="str">
        <f>IFERROR(IF('Pré Implantação'!B276="CSC",AVERAGE('Pré Implantação'!D276,'Pré Implantação'!L276,'Pré Implantação'!J276),AVERAGE('Pré Implantação'!J276)),"")</f>
        <v/>
      </c>
      <c r="H276" s="34" t="str">
        <f>IFERROR(IF('Pré Implantação'!B276="Operações \ Negócio",AVERAGE('Pré Implantação'!D276,'Pré Implantação'!L276,'Pré Implantação'!K276),AVERAGE('Pré Implantação'!K276)),"")</f>
        <v/>
      </c>
      <c r="I276" s="34" t="str">
        <f>IFERROR(IF('Pré Implantação'!B276="Projetos",AVERAGE('Pré Implantação'!D276,'Pré Implantação'!L276,'Pré Implantação'!M276),AVERAGE('Pré Implantação'!M276)),"")</f>
        <v/>
      </c>
      <c r="J276" s="34" t="str">
        <f>IFERROR(IF('Pré Implantação'!B276="Engenharia",AVERAGE('Pré Implantação'!D276,'Pré Implantação'!L276,'Pré Implantação'!N276),AVERAGE('Pré Implantação'!N276)),"")</f>
        <v/>
      </c>
      <c r="K276" s="34" t="str">
        <f>IFERROR(IF('Pré Implantação'!B276="URA",AVERAGE('Pré Implantação'!D276,'Pré Implantação'!L276),""),"")</f>
        <v/>
      </c>
      <c r="L276" s="34" t="str">
        <f>IFERROR(IF('Pré Implantação'!B276="CSE Microsoft",AVERAGE('Pré Implantação'!D276,'Pré Implantação'!L276),""),"")</f>
        <v/>
      </c>
      <c r="M276" s="34" t="str">
        <f>IFERROR(IF('Pré Implantação'!B276="CSE Telecom",AVERAGE('Pré Implantação'!D276,'Pré Implantação'!L276),""),"")</f>
        <v/>
      </c>
      <c r="N276" s="34" t="str">
        <f>IFERROR(IF('Pré Implantação'!B276="Site Suporte de Campo",AVERAGE('Pré Implantação'!D276,'Pré Implantação'!L276),""),"")</f>
        <v/>
      </c>
      <c r="O276" s="49" t="str">
        <f>IFERROR(IF('Pré Implantação'!B276="Infraestrutura",AVERAGE('Pré Implantação'!D276,'Pré Implantação'!L276),""),"")</f>
        <v/>
      </c>
    </row>
    <row r="277" spans="1:15" x14ac:dyDescent="0.3">
      <c r="A277" s="33">
        <f>'Pré Implantação'!A277</f>
        <v>0</v>
      </c>
      <c r="B277" s="36">
        <f>'Pré Implantação'!C277</f>
        <v>0</v>
      </c>
      <c r="C277" s="34" t="str">
        <f>IFERROR(IF('Pré Implantação'!B277="Produção TI",AVERAGE('Pré Implantação'!D277,'Pré Implantação'!L277,'Pré Implantação'!E277,'Pré Implantação'!H277),AVERAGE('Pré Implantação'!E277,'Pré Implantação'!H277)),"")</f>
        <v/>
      </c>
      <c r="D277" s="34" t="str">
        <f>IFERROR(IF('Pré Implantação'!B277="CSC Service Desk",AVERAGE('Pré Implantação'!D277,'Pré Implantação'!L277,'Pré Implantação'!F277),AVERAGE('Pré Implantação'!F277)),"")</f>
        <v/>
      </c>
      <c r="E277" s="34" t="str">
        <f>IFERROR(IF('Pré Implantação'!B277="CSC NOC",AVERAGE('Pré Implantação'!D277,'Pré Implantação'!L277,'Pré Implantação'!G277),AVERAGE('Pré Implantação'!G277)),"")</f>
        <v/>
      </c>
      <c r="F277" s="34" t="str">
        <f>IFERROR(IF('Pré Implantação'!B277="CSE Gravadores",AVERAGE('Pré Implantação'!D277,'Pré Implantação'!L277,'Pré Implantação'!I277),AVERAGE('Pré Implantação'!I277)),"")</f>
        <v/>
      </c>
      <c r="G277" s="34" t="str">
        <f>IFERROR(IF('Pré Implantação'!B277="CSC",AVERAGE('Pré Implantação'!D277,'Pré Implantação'!L277,'Pré Implantação'!J277),AVERAGE('Pré Implantação'!J277)),"")</f>
        <v/>
      </c>
      <c r="H277" s="34" t="str">
        <f>IFERROR(IF('Pré Implantação'!B277="Operações \ Negócio",AVERAGE('Pré Implantação'!D277,'Pré Implantação'!L277,'Pré Implantação'!K277),AVERAGE('Pré Implantação'!K277)),"")</f>
        <v/>
      </c>
      <c r="I277" s="34" t="str">
        <f>IFERROR(IF('Pré Implantação'!B277="Projetos",AVERAGE('Pré Implantação'!D277,'Pré Implantação'!L277,'Pré Implantação'!M277),AVERAGE('Pré Implantação'!M277)),"")</f>
        <v/>
      </c>
      <c r="J277" s="34" t="str">
        <f>IFERROR(IF('Pré Implantação'!B277="Engenharia",AVERAGE('Pré Implantação'!D277,'Pré Implantação'!L277,'Pré Implantação'!N277),AVERAGE('Pré Implantação'!N277)),"")</f>
        <v/>
      </c>
      <c r="K277" s="34" t="str">
        <f>IFERROR(IF('Pré Implantação'!B277="URA",AVERAGE('Pré Implantação'!D277,'Pré Implantação'!L277),""),"")</f>
        <v/>
      </c>
      <c r="L277" s="34" t="str">
        <f>IFERROR(IF('Pré Implantação'!B277="CSE Microsoft",AVERAGE('Pré Implantação'!D277,'Pré Implantação'!L277),""),"")</f>
        <v/>
      </c>
      <c r="M277" s="34" t="str">
        <f>IFERROR(IF('Pré Implantação'!B277="CSE Telecom",AVERAGE('Pré Implantação'!D277,'Pré Implantação'!L277),""),"")</f>
        <v/>
      </c>
      <c r="N277" s="34" t="str">
        <f>IFERROR(IF('Pré Implantação'!B277="Site Suporte de Campo",AVERAGE('Pré Implantação'!D277,'Pré Implantação'!L277),""),"")</f>
        <v/>
      </c>
      <c r="O277" s="49" t="str">
        <f>IFERROR(IF('Pré Implantação'!B277="Infraestrutura",AVERAGE('Pré Implantação'!D277,'Pré Implantação'!L277),""),"")</f>
        <v/>
      </c>
    </row>
    <row r="278" spans="1:15" x14ac:dyDescent="0.3">
      <c r="A278" s="33">
        <f>'Pré Implantação'!A278</f>
        <v>0</v>
      </c>
      <c r="B278" s="36">
        <f>'Pré Implantação'!C278</f>
        <v>0</v>
      </c>
      <c r="C278" s="34" t="str">
        <f>IFERROR(IF('Pré Implantação'!B278="Produção TI",AVERAGE('Pré Implantação'!D278,'Pré Implantação'!L278,'Pré Implantação'!E278,'Pré Implantação'!H278),AVERAGE('Pré Implantação'!E278,'Pré Implantação'!H278)),"")</f>
        <v/>
      </c>
      <c r="D278" s="34" t="str">
        <f>IFERROR(IF('Pré Implantação'!B278="CSC Service Desk",AVERAGE('Pré Implantação'!D278,'Pré Implantação'!L278,'Pré Implantação'!F278),AVERAGE('Pré Implantação'!F278)),"")</f>
        <v/>
      </c>
      <c r="E278" s="34" t="str">
        <f>IFERROR(IF('Pré Implantação'!B278="CSC NOC",AVERAGE('Pré Implantação'!D278,'Pré Implantação'!L278,'Pré Implantação'!G278),AVERAGE('Pré Implantação'!G278)),"")</f>
        <v/>
      </c>
      <c r="F278" s="34" t="str">
        <f>IFERROR(IF('Pré Implantação'!B278="CSE Gravadores",AVERAGE('Pré Implantação'!D278,'Pré Implantação'!L278,'Pré Implantação'!I278),AVERAGE('Pré Implantação'!I278)),"")</f>
        <v/>
      </c>
      <c r="G278" s="34" t="str">
        <f>IFERROR(IF('Pré Implantação'!B278="CSC",AVERAGE('Pré Implantação'!D278,'Pré Implantação'!L278,'Pré Implantação'!J278),AVERAGE('Pré Implantação'!J278)),"")</f>
        <v/>
      </c>
      <c r="H278" s="34" t="str">
        <f>IFERROR(IF('Pré Implantação'!B278="Operações \ Negócio",AVERAGE('Pré Implantação'!D278,'Pré Implantação'!L278,'Pré Implantação'!K278),AVERAGE('Pré Implantação'!K278)),"")</f>
        <v/>
      </c>
      <c r="I278" s="34" t="str">
        <f>IFERROR(IF('Pré Implantação'!B278="Projetos",AVERAGE('Pré Implantação'!D278,'Pré Implantação'!L278,'Pré Implantação'!M278),AVERAGE('Pré Implantação'!M278)),"")</f>
        <v/>
      </c>
      <c r="J278" s="34" t="str">
        <f>IFERROR(IF('Pré Implantação'!B278="Engenharia",AVERAGE('Pré Implantação'!D278,'Pré Implantação'!L278,'Pré Implantação'!N278),AVERAGE('Pré Implantação'!N278)),"")</f>
        <v/>
      </c>
      <c r="K278" s="34" t="str">
        <f>IFERROR(IF('Pré Implantação'!B278="URA",AVERAGE('Pré Implantação'!D278,'Pré Implantação'!L278),""),"")</f>
        <v/>
      </c>
      <c r="L278" s="34" t="str">
        <f>IFERROR(IF('Pré Implantação'!B278="CSE Microsoft",AVERAGE('Pré Implantação'!D278,'Pré Implantação'!L278),""),"")</f>
        <v/>
      </c>
      <c r="M278" s="34" t="str">
        <f>IFERROR(IF('Pré Implantação'!B278="CSE Telecom",AVERAGE('Pré Implantação'!D278,'Pré Implantação'!L278),""),"")</f>
        <v/>
      </c>
      <c r="N278" s="34" t="str">
        <f>IFERROR(IF('Pré Implantação'!B278="Site Suporte de Campo",AVERAGE('Pré Implantação'!D278,'Pré Implantação'!L278),""),"")</f>
        <v/>
      </c>
      <c r="O278" s="49" t="str">
        <f>IFERROR(IF('Pré Implantação'!B278="Infraestrutura",AVERAGE('Pré Implantação'!D278,'Pré Implantação'!L278),""),"")</f>
        <v/>
      </c>
    </row>
    <row r="279" spans="1:15" x14ac:dyDescent="0.3">
      <c r="A279" s="33">
        <f>'Pré Implantação'!A279</f>
        <v>0</v>
      </c>
      <c r="B279" s="36">
        <f>'Pré Implantação'!C279</f>
        <v>0</v>
      </c>
      <c r="C279" s="34" t="str">
        <f>IFERROR(IF('Pré Implantação'!B279="Produção TI",AVERAGE('Pré Implantação'!D279,'Pré Implantação'!L279,'Pré Implantação'!E279,'Pré Implantação'!H279),AVERAGE('Pré Implantação'!E279,'Pré Implantação'!H279)),"")</f>
        <v/>
      </c>
      <c r="D279" s="34" t="str">
        <f>IFERROR(IF('Pré Implantação'!B279="CSC Service Desk",AVERAGE('Pré Implantação'!D279,'Pré Implantação'!L279,'Pré Implantação'!F279),AVERAGE('Pré Implantação'!F279)),"")</f>
        <v/>
      </c>
      <c r="E279" s="34" t="str">
        <f>IFERROR(IF('Pré Implantação'!B279="CSC NOC",AVERAGE('Pré Implantação'!D279,'Pré Implantação'!L279,'Pré Implantação'!G279),AVERAGE('Pré Implantação'!G279)),"")</f>
        <v/>
      </c>
      <c r="F279" s="34" t="str">
        <f>IFERROR(IF('Pré Implantação'!B279="CSE Gravadores",AVERAGE('Pré Implantação'!D279,'Pré Implantação'!L279,'Pré Implantação'!I279),AVERAGE('Pré Implantação'!I279)),"")</f>
        <v/>
      </c>
      <c r="G279" s="34" t="str">
        <f>IFERROR(IF('Pré Implantação'!B279="CSC",AVERAGE('Pré Implantação'!D279,'Pré Implantação'!L279,'Pré Implantação'!J279),AVERAGE('Pré Implantação'!J279)),"")</f>
        <v/>
      </c>
      <c r="H279" s="34" t="str">
        <f>IFERROR(IF('Pré Implantação'!B279="Operações \ Negócio",AVERAGE('Pré Implantação'!D279,'Pré Implantação'!L279,'Pré Implantação'!K279),AVERAGE('Pré Implantação'!K279)),"")</f>
        <v/>
      </c>
      <c r="I279" s="34" t="str">
        <f>IFERROR(IF('Pré Implantação'!B279="Projetos",AVERAGE('Pré Implantação'!D279,'Pré Implantação'!L279,'Pré Implantação'!M279),AVERAGE('Pré Implantação'!M279)),"")</f>
        <v/>
      </c>
      <c r="J279" s="34" t="str">
        <f>IFERROR(IF('Pré Implantação'!B279="Engenharia",AVERAGE('Pré Implantação'!D279,'Pré Implantação'!L279,'Pré Implantação'!N279),AVERAGE('Pré Implantação'!N279)),"")</f>
        <v/>
      </c>
      <c r="K279" s="34" t="str">
        <f>IFERROR(IF('Pré Implantação'!B279="URA",AVERAGE('Pré Implantação'!D279,'Pré Implantação'!L279),""),"")</f>
        <v/>
      </c>
      <c r="L279" s="34" t="str">
        <f>IFERROR(IF('Pré Implantação'!B279="CSE Microsoft",AVERAGE('Pré Implantação'!D279,'Pré Implantação'!L279),""),"")</f>
        <v/>
      </c>
      <c r="M279" s="34" t="str">
        <f>IFERROR(IF('Pré Implantação'!B279="CSE Telecom",AVERAGE('Pré Implantação'!D279,'Pré Implantação'!L279),""),"")</f>
        <v/>
      </c>
      <c r="N279" s="34" t="str">
        <f>IFERROR(IF('Pré Implantação'!B279="Site Suporte de Campo",AVERAGE('Pré Implantação'!D279,'Pré Implantação'!L279),""),"")</f>
        <v/>
      </c>
      <c r="O279" s="49" t="str">
        <f>IFERROR(IF('Pré Implantação'!B279="Infraestrutura",AVERAGE('Pré Implantação'!D279,'Pré Implantação'!L279),""),"")</f>
        <v/>
      </c>
    </row>
    <row r="280" spans="1:15" x14ac:dyDescent="0.3">
      <c r="A280" s="33">
        <f>'Pré Implantação'!A280</f>
        <v>0</v>
      </c>
      <c r="B280" s="36">
        <f>'Pré Implantação'!C280</f>
        <v>0</v>
      </c>
      <c r="C280" s="34" t="str">
        <f>IFERROR(IF('Pré Implantação'!B280="Produção TI",AVERAGE('Pré Implantação'!D280,'Pré Implantação'!L280,'Pré Implantação'!E280,'Pré Implantação'!H280),AVERAGE('Pré Implantação'!E280,'Pré Implantação'!H280)),"")</f>
        <v/>
      </c>
      <c r="D280" s="34" t="str">
        <f>IFERROR(IF('Pré Implantação'!B280="CSC Service Desk",AVERAGE('Pré Implantação'!D280,'Pré Implantação'!L280,'Pré Implantação'!F280),AVERAGE('Pré Implantação'!F280)),"")</f>
        <v/>
      </c>
      <c r="E280" s="34" t="str">
        <f>IFERROR(IF('Pré Implantação'!B280="CSC NOC",AVERAGE('Pré Implantação'!D280,'Pré Implantação'!L280,'Pré Implantação'!G280),AVERAGE('Pré Implantação'!G280)),"")</f>
        <v/>
      </c>
      <c r="F280" s="34" t="str">
        <f>IFERROR(IF('Pré Implantação'!B280="CSE Gravadores",AVERAGE('Pré Implantação'!D280,'Pré Implantação'!L280,'Pré Implantação'!I280),AVERAGE('Pré Implantação'!I280)),"")</f>
        <v/>
      </c>
      <c r="G280" s="34" t="str">
        <f>IFERROR(IF('Pré Implantação'!B280="CSC",AVERAGE('Pré Implantação'!D280,'Pré Implantação'!L280,'Pré Implantação'!J280),AVERAGE('Pré Implantação'!J280)),"")</f>
        <v/>
      </c>
      <c r="H280" s="34" t="str">
        <f>IFERROR(IF('Pré Implantação'!B280="Operações \ Negócio",AVERAGE('Pré Implantação'!D280,'Pré Implantação'!L280,'Pré Implantação'!K280),AVERAGE('Pré Implantação'!K280)),"")</f>
        <v/>
      </c>
      <c r="I280" s="34" t="str">
        <f>IFERROR(IF('Pré Implantação'!B280="Projetos",AVERAGE('Pré Implantação'!D280,'Pré Implantação'!L280,'Pré Implantação'!M280),AVERAGE('Pré Implantação'!M280)),"")</f>
        <v/>
      </c>
      <c r="J280" s="34" t="str">
        <f>IFERROR(IF('Pré Implantação'!B280="Engenharia",AVERAGE('Pré Implantação'!D280,'Pré Implantação'!L280,'Pré Implantação'!N280),AVERAGE('Pré Implantação'!N280)),"")</f>
        <v/>
      </c>
      <c r="K280" s="34" t="str">
        <f>IFERROR(IF('Pré Implantação'!B280="URA",AVERAGE('Pré Implantação'!D280,'Pré Implantação'!L280),""),"")</f>
        <v/>
      </c>
      <c r="L280" s="34" t="str">
        <f>IFERROR(IF('Pré Implantação'!B280="CSE Microsoft",AVERAGE('Pré Implantação'!D280,'Pré Implantação'!L280),""),"")</f>
        <v/>
      </c>
      <c r="M280" s="34" t="str">
        <f>IFERROR(IF('Pré Implantação'!B280="CSE Telecom",AVERAGE('Pré Implantação'!D280,'Pré Implantação'!L280),""),"")</f>
        <v/>
      </c>
      <c r="N280" s="34" t="str">
        <f>IFERROR(IF('Pré Implantação'!B280="Site Suporte de Campo",AVERAGE('Pré Implantação'!D280,'Pré Implantação'!L280),""),"")</f>
        <v/>
      </c>
      <c r="O280" s="49" t="str">
        <f>IFERROR(IF('Pré Implantação'!B280="Infraestrutura",AVERAGE('Pré Implantação'!D280,'Pré Implantação'!L280),""),"")</f>
        <v/>
      </c>
    </row>
    <row r="281" spans="1:15" x14ac:dyDescent="0.3">
      <c r="A281" s="33">
        <f>'Pré Implantação'!A281</f>
        <v>0</v>
      </c>
      <c r="B281" s="36">
        <f>'Pré Implantação'!C281</f>
        <v>0</v>
      </c>
      <c r="C281" s="34" t="str">
        <f>IFERROR(IF('Pré Implantação'!B281="Produção TI",AVERAGE('Pré Implantação'!D281,'Pré Implantação'!L281,'Pré Implantação'!E281,'Pré Implantação'!H281),AVERAGE('Pré Implantação'!E281,'Pré Implantação'!H281)),"")</f>
        <v/>
      </c>
      <c r="D281" s="34" t="str">
        <f>IFERROR(IF('Pré Implantação'!B281="CSC Service Desk",AVERAGE('Pré Implantação'!D281,'Pré Implantação'!L281,'Pré Implantação'!F281),AVERAGE('Pré Implantação'!F281)),"")</f>
        <v/>
      </c>
      <c r="E281" s="34" t="str">
        <f>IFERROR(IF('Pré Implantação'!B281="CSC NOC",AVERAGE('Pré Implantação'!D281,'Pré Implantação'!L281,'Pré Implantação'!G281),AVERAGE('Pré Implantação'!G281)),"")</f>
        <v/>
      </c>
      <c r="F281" s="34" t="str">
        <f>IFERROR(IF('Pré Implantação'!B281="CSE Gravadores",AVERAGE('Pré Implantação'!D281,'Pré Implantação'!L281,'Pré Implantação'!I281),AVERAGE('Pré Implantação'!I281)),"")</f>
        <v/>
      </c>
      <c r="G281" s="34" t="str">
        <f>IFERROR(IF('Pré Implantação'!B281="CSC",AVERAGE('Pré Implantação'!D281,'Pré Implantação'!L281,'Pré Implantação'!J281),AVERAGE('Pré Implantação'!J281)),"")</f>
        <v/>
      </c>
      <c r="H281" s="34" t="str">
        <f>IFERROR(IF('Pré Implantação'!B281="Operações \ Negócio",AVERAGE('Pré Implantação'!D281,'Pré Implantação'!L281,'Pré Implantação'!K281),AVERAGE('Pré Implantação'!K281)),"")</f>
        <v/>
      </c>
      <c r="I281" s="34" t="str">
        <f>IFERROR(IF('Pré Implantação'!B281="Projetos",AVERAGE('Pré Implantação'!D281,'Pré Implantação'!L281,'Pré Implantação'!M281),AVERAGE('Pré Implantação'!M281)),"")</f>
        <v/>
      </c>
      <c r="J281" s="34" t="str">
        <f>IFERROR(IF('Pré Implantação'!B281="Engenharia",AVERAGE('Pré Implantação'!D281,'Pré Implantação'!L281,'Pré Implantação'!N281),AVERAGE('Pré Implantação'!N281)),"")</f>
        <v/>
      </c>
      <c r="K281" s="34" t="str">
        <f>IFERROR(IF('Pré Implantação'!B281="URA",AVERAGE('Pré Implantação'!D281,'Pré Implantação'!L281),""),"")</f>
        <v/>
      </c>
      <c r="L281" s="34" t="str">
        <f>IFERROR(IF('Pré Implantação'!B281="CSE Microsoft",AVERAGE('Pré Implantação'!D281,'Pré Implantação'!L281),""),"")</f>
        <v/>
      </c>
      <c r="M281" s="34" t="str">
        <f>IFERROR(IF('Pré Implantação'!B281="CSE Telecom",AVERAGE('Pré Implantação'!D281,'Pré Implantação'!L281),""),"")</f>
        <v/>
      </c>
      <c r="N281" s="34" t="str">
        <f>IFERROR(IF('Pré Implantação'!B281="Site Suporte de Campo",AVERAGE('Pré Implantação'!D281,'Pré Implantação'!L281),""),"")</f>
        <v/>
      </c>
      <c r="O281" s="49" t="str">
        <f>IFERROR(IF('Pré Implantação'!B281="Infraestrutura",AVERAGE('Pré Implantação'!D281,'Pré Implantação'!L281),""),"")</f>
        <v/>
      </c>
    </row>
    <row r="282" spans="1:15" x14ac:dyDescent="0.3">
      <c r="A282" s="33">
        <f>'Pré Implantação'!A282</f>
        <v>0</v>
      </c>
      <c r="B282" s="36">
        <f>'Pré Implantação'!C282</f>
        <v>0</v>
      </c>
      <c r="C282" s="34" t="str">
        <f>IFERROR(IF('Pré Implantação'!B282="Produção TI",AVERAGE('Pré Implantação'!D282,'Pré Implantação'!L282,'Pré Implantação'!E282,'Pré Implantação'!H282),AVERAGE('Pré Implantação'!E282,'Pré Implantação'!H282)),"")</f>
        <v/>
      </c>
      <c r="D282" s="34" t="str">
        <f>IFERROR(IF('Pré Implantação'!B282="CSC Service Desk",AVERAGE('Pré Implantação'!D282,'Pré Implantação'!L282,'Pré Implantação'!F282),AVERAGE('Pré Implantação'!F282)),"")</f>
        <v/>
      </c>
      <c r="E282" s="34" t="str">
        <f>IFERROR(IF('Pré Implantação'!B282="CSC NOC",AVERAGE('Pré Implantação'!D282,'Pré Implantação'!L282,'Pré Implantação'!G282),AVERAGE('Pré Implantação'!G282)),"")</f>
        <v/>
      </c>
      <c r="F282" s="34" t="str">
        <f>IFERROR(IF('Pré Implantação'!B282="CSE Gravadores",AVERAGE('Pré Implantação'!D282,'Pré Implantação'!L282,'Pré Implantação'!I282),AVERAGE('Pré Implantação'!I282)),"")</f>
        <v/>
      </c>
      <c r="G282" s="34" t="str">
        <f>IFERROR(IF('Pré Implantação'!B282="CSC",AVERAGE('Pré Implantação'!D282,'Pré Implantação'!L282,'Pré Implantação'!J282),AVERAGE('Pré Implantação'!J282)),"")</f>
        <v/>
      </c>
      <c r="H282" s="34" t="str">
        <f>IFERROR(IF('Pré Implantação'!B282="Operações \ Negócio",AVERAGE('Pré Implantação'!D282,'Pré Implantação'!L282,'Pré Implantação'!K282),AVERAGE('Pré Implantação'!K282)),"")</f>
        <v/>
      </c>
      <c r="I282" s="34" t="str">
        <f>IFERROR(IF('Pré Implantação'!B282="Projetos",AVERAGE('Pré Implantação'!D282,'Pré Implantação'!L282,'Pré Implantação'!M282),AVERAGE('Pré Implantação'!M282)),"")</f>
        <v/>
      </c>
      <c r="J282" s="34" t="str">
        <f>IFERROR(IF('Pré Implantação'!B282="Engenharia",AVERAGE('Pré Implantação'!D282,'Pré Implantação'!L282,'Pré Implantação'!N282),AVERAGE('Pré Implantação'!N282)),"")</f>
        <v/>
      </c>
      <c r="K282" s="34" t="str">
        <f>IFERROR(IF('Pré Implantação'!B282="URA",AVERAGE('Pré Implantação'!D282,'Pré Implantação'!L282),""),"")</f>
        <v/>
      </c>
      <c r="L282" s="34" t="str">
        <f>IFERROR(IF('Pré Implantação'!B282="CSE Microsoft",AVERAGE('Pré Implantação'!D282,'Pré Implantação'!L282),""),"")</f>
        <v/>
      </c>
      <c r="M282" s="34" t="str">
        <f>IFERROR(IF('Pré Implantação'!B282="CSE Telecom",AVERAGE('Pré Implantação'!D282,'Pré Implantação'!L282),""),"")</f>
        <v/>
      </c>
      <c r="N282" s="34" t="str">
        <f>IFERROR(IF('Pré Implantação'!B282="Site Suporte de Campo",AVERAGE('Pré Implantação'!D282,'Pré Implantação'!L282),""),"")</f>
        <v/>
      </c>
      <c r="O282" s="49" t="str">
        <f>IFERROR(IF('Pré Implantação'!B282="Infraestrutura",AVERAGE('Pré Implantação'!D282,'Pré Implantação'!L282),""),"")</f>
        <v/>
      </c>
    </row>
    <row r="283" spans="1:15" x14ac:dyDescent="0.3">
      <c r="A283" s="33">
        <f>'Pré Implantação'!A283</f>
        <v>0</v>
      </c>
      <c r="B283" s="36">
        <f>'Pré Implantação'!C283</f>
        <v>0</v>
      </c>
      <c r="C283" s="34" t="str">
        <f>IFERROR(IF('Pré Implantação'!B283="Produção TI",AVERAGE('Pré Implantação'!D283,'Pré Implantação'!L283,'Pré Implantação'!E283,'Pré Implantação'!H283),AVERAGE('Pré Implantação'!E283,'Pré Implantação'!H283)),"")</f>
        <v/>
      </c>
      <c r="D283" s="34" t="str">
        <f>IFERROR(IF('Pré Implantação'!B283="CSC Service Desk",AVERAGE('Pré Implantação'!D283,'Pré Implantação'!L283,'Pré Implantação'!F283),AVERAGE('Pré Implantação'!F283)),"")</f>
        <v/>
      </c>
      <c r="E283" s="34" t="str">
        <f>IFERROR(IF('Pré Implantação'!B283="CSC NOC",AVERAGE('Pré Implantação'!D283,'Pré Implantação'!L283,'Pré Implantação'!G283),AVERAGE('Pré Implantação'!G283)),"")</f>
        <v/>
      </c>
      <c r="F283" s="34" t="str">
        <f>IFERROR(IF('Pré Implantação'!B283="CSE Gravadores",AVERAGE('Pré Implantação'!D283,'Pré Implantação'!L283,'Pré Implantação'!I283),AVERAGE('Pré Implantação'!I283)),"")</f>
        <v/>
      </c>
      <c r="G283" s="34" t="str">
        <f>IFERROR(IF('Pré Implantação'!B283="CSC",AVERAGE('Pré Implantação'!D283,'Pré Implantação'!L283,'Pré Implantação'!J283),AVERAGE('Pré Implantação'!J283)),"")</f>
        <v/>
      </c>
      <c r="H283" s="34" t="str">
        <f>IFERROR(IF('Pré Implantação'!B283="Operações \ Negócio",AVERAGE('Pré Implantação'!D283,'Pré Implantação'!L283,'Pré Implantação'!K283),AVERAGE('Pré Implantação'!K283)),"")</f>
        <v/>
      </c>
      <c r="I283" s="34" t="str">
        <f>IFERROR(IF('Pré Implantação'!B283="Projetos",AVERAGE('Pré Implantação'!D283,'Pré Implantação'!L283,'Pré Implantação'!M283),AVERAGE('Pré Implantação'!M283)),"")</f>
        <v/>
      </c>
      <c r="J283" s="34" t="str">
        <f>IFERROR(IF('Pré Implantação'!B283="Engenharia",AVERAGE('Pré Implantação'!D283,'Pré Implantação'!L283,'Pré Implantação'!N283),AVERAGE('Pré Implantação'!N283)),"")</f>
        <v/>
      </c>
      <c r="K283" s="34" t="str">
        <f>IFERROR(IF('Pré Implantação'!B283="URA",AVERAGE('Pré Implantação'!D283,'Pré Implantação'!L283),""),"")</f>
        <v/>
      </c>
      <c r="L283" s="34" t="str">
        <f>IFERROR(IF('Pré Implantação'!B283="CSE Microsoft",AVERAGE('Pré Implantação'!D283,'Pré Implantação'!L283),""),"")</f>
        <v/>
      </c>
      <c r="M283" s="34" t="str">
        <f>IFERROR(IF('Pré Implantação'!B283="CSE Telecom",AVERAGE('Pré Implantação'!D283,'Pré Implantação'!L283),""),"")</f>
        <v/>
      </c>
      <c r="N283" s="34" t="str">
        <f>IFERROR(IF('Pré Implantação'!B283="Site Suporte de Campo",AVERAGE('Pré Implantação'!D283,'Pré Implantação'!L283),""),"")</f>
        <v/>
      </c>
      <c r="O283" s="49" t="str">
        <f>IFERROR(IF('Pré Implantação'!B283="Infraestrutura",AVERAGE('Pré Implantação'!D283,'Pré Implantação'!L283),""),"")</f>
        <v/>
      </c>
    </row>
    <row r="284" spans="1:15" x14ac:dyDescent="0.3">
      <c r="A284" s="33">
        <f>'Pré Implantação'!A284</f>
        <v>0</v>
      </c>
      <c r="B284" s="36">
        <f>'Pré Implantação'!C284</f>
        <v>0</v>
      </c>
      <c r="C284" s="34" t="str">
        <f>IFERROR(IF('Pré Implantação'!B284="Produção TI",AVERAGE('Pré Implantação'!D284,'Pré Implantação'!L284,'Pré Implantação'!E284,'Pré Implantação'!H284),AVERAGE('Pré Implantação'!E284,'Pré Implantação'!H284)),"")</f>
        <v/>
      </c>
      <c r="D284" s="34" t="str">
        <f>IFERROR(IF('Pré Implantação'!B284="CSC Service Desk",AVERAGE('Pré Implantação'!D284,'Pré Implantação'!L284,'Pré Implantação'!F284),AVERAGE('Pré Implantação'!F284)),"")</f>
        <v/>
      </c>
      <c r="E284" s="34" t="str">
        <f>IFERROR(IF('Pré Implantação'!B284="CSC NOC",AVERAGE('Pré Implantação'!D284,'Pré Implantação'!L284,'Pré Implantação'!G284),AVERAGE('Pré Implantação'!G284)),"")</f>
        <v/>
      </c>
      <c r="F284" s="34" t="str">
        <f>IFERROR(IF('Pré Implantação'!B284="CSE Gravadores",AVERAGE('Pré Implantação'!D284,'Pré Implantação'!L284,'Pré Implantação'!I284),AVERAGE('Pré Implantação'!I284)),"")</f>
        <v/>
      </c>
      <c r="G284" s="34" t="str">
        <f>IFERROR(IF('Pré Implantação'!B284="CSC",AVERAGE('Pré Implantação'!D284,'Pré Implantação'!L284,'Pré Implantação'!J284),AVERAGE('Pré Implantação'!J284)),"")</f>
        <v/>
      </c>
      <c r="H284" s="34" t="str">
        <f>IFERROR(IF('Pré Implantação'!B284="Operações \ Negócio",AVERAGE('Pré Implantação'!D284,'Pré Implantação'!L284,'Pré Implantação'!K284),AVERAGE('Pré Implantação'!K284)),"")</f>
        <v/>
      </c>
      <c r="I284" s="34" t="str">
        <f>IFERROR(IF('Pré Implantação'!B284="Projetos",AVERAGE('Pré Implantação'!D284,'Pré Implantação'!L284,'Pré Implantação'!M284),AVERAGE('Pré Implantação'!M284)),"")</f>
        <v/>
      </c>
      <c r="J284" s="34" t="str">
        <f>IFERROR(IF('Pré Implantação'!B284="Engenharia",AVERAGE('Pré Implantação'!D284,'Pré Implantação'!L284,'Pré Implantação'!N284),AVERAGE('Pré Implantação'!N284)),"")</f>
        <v/>
      </c>
      <c r="K284" s="34" t="str">
        <f>IFERROR(IF('Pré Implantação'!B284="URA",AVERAGE('Pré Implantação'!D284,'Pré Implantação'!L284),""),"")</f>
        <v/>
      </c>
      <c r="L284" s="34" t="str">
        <f>IFERROR(IF('Pré Implantação'!B284="CSE Microsoft",AVERAGE('Pré Implantação'!D284,'Pré Implantação'!L284),""),"")</f>
        <v/>
      </c>
      <c r="M284" s="34" t="str">
        <f>IFERROR(IF('Pré Implantação'!B284="CSE Telecom",AVERAGE('Pré Implantação'!D284,'Pré Implantação'!L284),""),"")</f>
        <v/>
      </c>
      <c r="N284" s="34" t="str">
        <f>IFERROR(IF('Pré Implantação'!B284="Site Suporte de Campo",AVERAGE('Pré Implantação'!D284,'Pré Implantação'!L284),""),"")</f>
        <v/>
      </c>
      <c r="O284" s="49" t="str">
        <f>IFERROR(IF('Pré Implantação'!B284="Infraestrutura",AVERAGE('Pré Implantação'!D284,'Pré Implantação'!L284),""),"")</f>
        <v/>
      </c>
    </row>
    <row r="285" spans="1:15" x14ac:dyDescent="0.3">
      <c r="A285" s="33">
        <f>'Pré Implantação'!A285</f>
        <v>0</v>
      </c>
      <c r="B285" s="36">
        <f>'Pré Implantação'!C285</f>
        <v>0</v>
      </c>
      <c r="C285" s="34" t="str">
        <f>IFERROR(IF('Pré Implantação'!B285="Produção TI",AVERAGE('Pré Implantação'!D285,'Pré Implantação'!L285,'Pré Implantação'!E285,'Pré Implantação'!H285),AVERAGE('Pré Implantação'!E285,'Pré Implantação'!H285)),"")</f>
        <v/>
      </c>
      <c r="D285" s="34" t="str">
        <f>IFERROR(IF('Pré Implantação'!B285="CSC Service Desk",AVERAGE('Pré Implantação'!D285,'Pré Implantação'!L285,'Pré Implantação'!F285),AVERAGE('Pré Implantação'!F285)),"")</f>
        <v/>
      </c>
      <c r="E285" s="34" t="str">
        <f>IFERROR(IF('Pré Implantação'!B285="CSC NOC",AVERAGE('Pré Implantação'!D285,'Pré Implantação'!L285,'Pré Implantação'!G285),AVERAGE('Pré Implantação'!G285)),"")</f>
        <v/>
      </c>
      <c r="F285" s="34" t="str">
        <f>IFERROR(IF('Pré Implantação'!B285="CSE Gravadores",AVERAGE('Pré Implantação'!D285,'Pré Implantação'!L285,'Pré Implantação'!I285),AVERAGE('Pré Implantação'!I285)),"")</f>
        <v/>
      </c>
      <c r="G285" s="34" t="str">
        <f>IFERROR(IF('Pré Implantação'!B285="CSC",AVERAGE('Pré Implantação'!D285,'Pré Implantação'!L285,'Pré Implantação'!J285),AVERAGE('Pré Implantação'!J285)),"")</f>
        <v/>
      </c>
      <c r="H285" s="34" t="str">
        <f>IFERROR(IF('Pré Implantação'!B285="Operações \ Negócio",AVERAGE('Pré Implantação'!D285,'Pré Implantação'!L285,'Pré Implantação'!K285),AVERAGE('Pré Implantação'!K285)),"")</f>
        <v/>
      </c>
      <c r="I285" s="34" t="str">
        <f>IFERROR(IF('Pré Implantação'!B285="Projetos",AVERAGE('Pré Implantação'!D285,'Pré Implantação'!L285,'Pré Implantação'!M285),AVERAGE('Pré Implantação'!M285)),"")</f>
        <v/>
      </c>
      <c r="J285" s="34" t="str">
        <f>IFERROR(IF('Pré Implantação'!B285="Engenharia",AVERAGE('Pré Implantação'!D285,'Pré Implantação'!L285,'Pré Implantação'!N285),AVERAGE('Pré Implantação'!N285)),"")</f>
        <v/>
      </c>
      <c r="K285" s="34" t="str">
        <f>IFERROR(IF('Pré Implantação'!B285="URA",AVERAGE('Pré Implantação'!D285,'Pré Implantação'!L285),""),"")</f>
        <v/>
      </c>
      <c r="L285" s="34" t="str">
        <f>IFERROR(IF('Pré Implantação'!B285="CSE Microsoft",AVERAGE('Pré Implantação'!D285,'Pré Implantação'!L285),""),"")</f>
        <v/>
      </c>
      <c r="M285" s="34" t="str">
        <f>IFERROR(IF('Pré Implantação'!B285="CSE Telecom",AVERAGE('Pré Implantação'!D285,'Pré Implantação'!L285),""),"")</f>
        <v/>
      </c>
      <c r="N285" s="34" t="str">
        <f>IFERROR(IF('Pré Implantação'!B285="Site Suporte de Campo",AVERAGE('Pré Implantação'!D285,'Pré Implantação'!L285),""),"")</f>
        <v/>
      </c>
      <c r="O285" s="49" t="str">
        <f>IFERROR(IF('Pré Implantação'!B285="Infraestrutura",AVERAGE('Pré Implantação'!D285,'Pré Implantação'!L285),""),"")</f>
        <v/>
      </c>
    </row>
    <row r="286" spans="1:15" x14ac:dyDescent="0.3">
      <c r="A286" s="33">
        <f>'Pré Implantação'!A286</f>
        <v>0</v>
      </c>
      <c r="B286" s="36">
        <f>'Pré Implantação'!C286</f>
        <v>0</v>
      </c>
      <c r="C286" s="34" t="str">
        <f>IFERROR(IF('Pré Implantação'!B286="Produção TI",AVERAGE('Pré Implantação'!D286,'Pré Implantação'!L286,'Pré Implantação'!E286,'Pré Implantação'!H286),AVERAGE('Pré Implantação'!E286,'Pré Implantação'!H286)),"")</f>
        <v/>
      </c>
      <c r="D286" s="34" t="str">
        <f>IFERROR(IF('Pré Implantação'!B286="CSC Service Desk",AVERAGE('Pré Implantação'!D286,'Pré Implantação'!L286,'Pré Implantação'!F286),AVERAGE('Pré Implantação'!F286)),"")</f>
        <v/>
      </c>
      <c r="E286" s="34" t="str">
        <f>IFERROR(IF('Pré Implantação'!B286="CSC NOC",AVERAGE('Pré Implantação'!D286,'Pré Implantação'!L286,'Pré Implantação'!G286),AVERAGE('Pré Implantação'!G286)),"")</f>
        <v/>
      </c>
      <c r="F286" s="34" t="str">
        <f>IFERROR(IF('Pré Implantação'!B286="CSE Gravadores",AVERAGE('Pré Implantação'!D286,'Pré Implantação'!L286,'Pré Implantação'!I286),AVERAGE('Pré Implantação'!I286)),"")</f>
        <v/>
      </c>
      <c r="G286" s="34" t="str">
        <f>IFERROR(IF('Pré Implantação'!B286="CSC",AVERAGE('Pré Implantação'!D286,'Pré Implantação'!L286,'Pré Implantação'!J286),AVERAGE('Pré Implantação'!J286)),"")</f>
        <v/>
      </c>
      <c r="H286" s="34" t="str">
        <f>IFERROR(IF('Pré Implantação'!B286="Operações \ Negócio",AVERAGE('Pré Implantação'!D286,'Pré Implantação'!L286,'Pré Implantação'!K286),AVERAGE('Pré Implantação'!K286)),"")</f>
        <v/>
      </c>
      <c r="I286" s="34" t="str">
        <f>IFERROR(IF('Pré Implantação'!B286="Projetos",AVERAGE('Pré Implantação'!D286,'Pré Implantação'!L286,'Pré Implantação'!M286),AVERAGE('Pré Implantação'!M286)),"")</f>
        <v/>
      </c>
      <c r="J286" s="34" t="str">
        <f>IFERROR(IF('Pré Implantação'!B286="Engenharia",AVERAGE('Pré Implantação'!D286,'Pré Implantação'!L286,'Pré Implantação'!N286),AVERAGE('Pré Implantação'!N286)),"")</f>
        <v/>
      </c>
      <c r="K286" s="34" t="str">
        <f>IFERROR(IF('Pré Implantação'!B286="URA",AVERAGE('Pré Implantação'!D286,'Pré Implantação'!L286),""),"")</f>
        <v/>
      </c>
      <c r="L286" s="34" t="str">
        <f>IFERROR(IF('Pré Implantação'!B286="CSE Microsoft",AVERAGE('Pré Implantação'!D286,'Pré Implantação'!L286),""),"")</f>
        <v/>
      </c>
      <c r="M286" s="34" t="str">
        <f>IFERROR(IF('Pré Implantação'!B286="CSE Telecom",AVERAGE('Pré Implantação'!D286,'Pré Implantação'!L286),""),"")</f>
        <v/>
      </c>
      <c r="N286" s="34" t="str">
        <f>IFERROR(IF('Pré Implantação'!B286="Site Suporte de Campo",AVERAGE('Pré Implantação'!D286,'Pré Implantação'!L286),""),"")</f>
        <v/>
      </c>
      <c r="O286" s="49" t="str">
        <f>IFERROR(IF('Pré Implantação'!B286="Infraestrutura",AVERAGE('Pré Implantação'!D286,'Pré Implantação'!L286),""),"")</f>
        <v/>
      </c>
    </row>
    <row r="287" spans="1:15" x14ac:dyDescent="0.3">
      <c r="A287" s="33">
        <f>'Pré Implantação'!A287</f>
        <v>0</v>
      </c>
      <c r="B287" s="36">
        <f>'Pré Implantação'!C287</f>
        <v>0</v>
      </c>
      <c r="C287" s="34" t="str">
        <f>IFERROR(IF('Pré Implantação'!B287="Produção TI",AVERAGE('Pré Implantação'!D287,'Pré Implantação'!L287,'Pré Implantação'!E287,'Pré Implantação'!H287),AVERAGE('Pré Implantação'!E287,'Pré Implantação'!H287)),"")</f>
        <v/>
      </c>
      <c r="D287" s="34" t="str">
        <f>IFERROR(IF('Pré Implantação'!B287="CSC Service Desk",AVERAGE('Pré Implantação'!D287,'Pré Implantação'!L287,'Pré Implantação'!F287),AVERAGE('Pré Implantação'!F287)),"")</f>
        <v/>
      </c>
      <c r="E287" s="34" t="str">
        <f>IFERROR(IF('Pré Implantação'!B287="CSC NOC",AVERAGE('Pré Implantação'!D287,'Pré Implantação'!L287,'Pré Implantação'!G287),AVERAGE('Pré Implantação'!G287)),"")</f>
        <v/>
      </c>
      <c r="F287" s="34" t="str">
        <f>IFERROR(IF('Pré Implantação'!B287="CSE Gravadores",AVERAGE('Pré Implantação'!D287,'Pré Implantação'!L287,'Pré Implantação'!I287),AVERAGE('Pré Implantação'!I287)),"")</f>
        <v/>
      </c>
      <c r="G287" s="34" t="str">
        <f>IFERROR(IF('Pré Implantação'!B287="CSC",AVERAGE('Pré Implantação'!D287,'Pré Implantação'!L287,'Pré Implantação'!J287),AVERAGE('Pré Implantação'!J287)),"")</f>
        <v/>
      </c>
      <c r="H287" s="34" t="str">
        <f>IFERROR(IF('Pré Implantação'!B287="Operações \ Negócio",AVERAGE('Pré Implantação'!D287,'Pré Implantação'!L287,'Pré Implantação'!K287),AVERAGE('Pré Implantação'!K287)),"")</f>
        <v/>
      </c>
      <c r="I287" s="34" t="str">
        <f>IFERROR(IF('Pré Implantação'!B287="Projetos",AVERAGE('Pré Implantação'!D287,'Pré Implantação'!L287,'Pré Implantação'!M287),AVERAGE('Pré Implantação'!M287)),"")</f>
        <v/>
      </c>
      <c r="J287" s="34" t="str">
        <f>IFERROR(IF('Pré Implantação'!B287="Engenharia",AVERAGE('Pré Implantação'!D287,'Pré Implantação'!L287,'Pré Implantação'!N287),AVERAGE('Pré Implantação'!N287)),"")</f>
        <v/>
      </c>
      <c r="K287" s="34" t="str">
        <f>IFERROR(IF('Pré Implantação'!B287="URA",AVERAGE('Pré Implantação'!D287,'Pré Implantação'!L287),""),"")</f>
        <v/>
      </c>
      <c r="L287" s="34" t="str">
        <f>IFERROR(IF('Pré Implantação'!B287="CSE Microsoft",AVERAGE('Pré Implantação'!D287,'Pré Implantação'!L287),""),"")</f>
        <v/>
      </c>
      <c r="M287" s="34" t="str">
        <f>IFERROR(IF('Pré Implantação'!B287="CSE Telecom",AVERAGE('Pré Implantação'!D287,'Pré Implantação'!L287),""),"")</f>
        <v/>
      </c>
      <c r="N287" s="34" t="str">
        <f>IFERROR(IF('Pré Implantação'!B287="Site Suporte de Campo",AVERAGE('Pré Implantação'!D287,'Pré Implantação'!L287),""),"")</f>
        <v/>
      </c>
      <c r="O287" s="49" t="str">
        <f>IFERROR(IF('Pré Implantação'!B287="Infraestrutura",AVERAGE('Pré Implantação'!D287,'Pré Implantação'!L287),""),"")</f>
        <v/>
      </c>
    </row>
    <row r="288" spans="1:15" x14ac:dyDescent="0.3">
      <c r="A288" s="33">
        <f>'Pré Implantação'!A288</f>
        <v>0</v>
      </c>
      <c r="B288" s="36">
        <f>'Pré Implantação'!C288</f>
        <v>0</v>
      </c>
      <c r="C288" s="34" t="str">
        <f>IFERROR(IF('Pré Implantação'!B288="Produção TI",AVERAGE('Pré Implantação'!D288,'Pré Implantação'!L288,'Pré Implantação'!E288,'Pré Implantação'!H288),AVERAGE('Pré Implantação'!E288,'Pré Implantação'!H288)),"")</f>
        <v/>
      </c>
      <c r="D288" s="34" t="str">
        <f>IFERROR(IF('Pré Implantação'!B288="CSC Service Desk",AVERAGE('Pré Implantação'!D288,'Pré Implantação'!L288,'Pré Implantação'!F288),AVERAGE('Pré Implantação'!F288)),"")</f>
        <v/>
      </c>
      <c r="E288" s="34" t="str">
        <f>IFERROR(IF('Pré Implantação'!B288="CSC NOC",AVERAGE('Pré Implantação'!D288,'Pré Implantação'!L288,'Pré Implantação'!G288),AVERAGE('Pré Implantação'!G288)),"")</f>
        <v/>
      </c>
      <c r="F288" s="34" t="str">
        <f>IFERROR(IF('Pré Implantação'!B288="CSE Gravadores",AVERAGE('Pré Implantação'!D288,'Pré Implantação'!L288,'Pré Implantação'!I288),AVERAGE('Pré Implantação'!I288)),"")</f>
        <v/>
      </c>
      <c r="G288" s="34" t="str">
        <f>IFERROR(IF('Pré Implantação'!B288="CSC",AVERAGE('Pré Implantação'!D288,'Pré Implantação'!L288,'Pré Implantação'!J288),AVERAGE('Pré Implantação'!J288)),"")</f>
        <v/>
      </c>
      <c r="H288" s="34" t="str">
        <f>IFERROR(IF('Pré Implantação'!B288="Operações \ Negócio",AVERAGE('Pré Implantação'!D288,'Pré Implantação'!L288,'Pré Implantação'!K288),AVERAGE('Pré Implantação'!K288)),"")</f>
        <v/>
      </c>
      <c r="I288" s="34" t="str">
        <f>IFERROR(IF('Pré Implantação'!B288="Projetos",AVERAGE('Pré Implantação'!D288,'Pré Implantação'!L288,'Pré Implantação'!M288),AVERAGE('Pré Implantação'!M288)),"")</f>
        <v/>
      </c>
      <c r="J288" s="34" t="str">
        <f>IFERROR(IF('Pré Implantação'!B288="Engenharia",AVERAGE('Pré Implantação'!D288,'Pré Implantação'!L288,'Pré Implantação'!N288),AVERAGE('Pré Implantação'!N288)),"")</f>
        <v/>
      </c>
      <c r="K288" s="34" t="str">
        <f>IFERROR(IF('Pré Implantação'!B288="URA",AVERAGE('Pré Implantação'!D288,'Pré Implantação'!L288),""),"")</f>
        <v/>
      </c>
      <c r="L288" s="34" t="str">
        <f>IFERROR(IF('Pré Implantação'!B288="CSE Microsoft",AVERAGE('Pré Implantação'!D288,'Pré Implantação'!L288),""),"")</f>
        <v/>
      </c>
      <c r="M288" s="34" t="str">
        <f>IFERROR(IF('Pré Implantação'!B288="CSE Telecom",AVERAGE('Pré Implantação'!D288,'Pré Implantação'!L288),""),"")</f>
        <v/>
      </c>
      <c r="N288" s="34" t="str">
        <f>IFERROR(IF('Pré Implantação'!B288="Site Suporte de Campo",AVERAGE('Pré Implantação'!D288,'Pré Implantação'!L288),""),"")</f>
        <v/>
      </c>
      <c r="O288" s="49" t="str">
        <f>IFERROR(IF('Pré Implantação'!B288="Infraestrutura",AVERAGE('Pré Implantação'!D288,'Pré Implantação'!L288),""),"")</f>
        <v/>
      </c>
    </row>
    <row r="289" spans="1:15" x14ac:dyDescent="0.3">
      <c r="A289" s="33">
        <f>'Pré Implantação'!A289</f>
        <v>0</v>
      </c>
      <c r="B289" s="36">
        <f>'Pré Implantação'!C289</f>
        <v>0</v>
      </c>
      <c r="C289" s="34" t="str">
        <f>IFERROR(IF('Pré Implantação'!B289="Produção TI",AVERAGE('Pré Implantação'!D289,'Pré Implantação'!L289,'Pré Implantação'!E289,'Pré Implantação'!H289),AVERAGE('Pré Implantação'!E289,'Pré Implantação'!H289)),"")</f>
        <v/>
      </c>
      <c r="D289" s="34" t="str">
        <f>IFERROR(IF('Pré Implantação'!B289="CSC Service Desk",AVERAGE('Pré Implantação'!D289,'Pré Implantação'!L289,'Pré Implantação'!F289),AVERAGE('Pré Implantação'!F289)),"")</f>
        <v/>
      </c>
      <c r="E289" s="34" t="str">
        <f>IFERROR(IF('Pré Implantação'!B289="CSC NOC",AVERAGE('Pré Implantação'!D289,'Pré Implantação'!L289,'Pré Implantação'!G289),AVERAGE('Pré Implantação'!G289)),"")</f>
        <v/>
      </c>
      <c r="F289" s="34" t="str">
        <f>IFERROR(IF('Pré Implantação'!B289="CSE Gravadores",AVERAGE('Pré Implantação'!D289,'Pré Implantação'!L289,'Pré Implantação'!I289),AVERAGE('Pré Implantação'!I289)),"")</f>
        <v/>
      </c>
      <c r="G289" s="34" t="str">
        <f>IFERROR(IF('Pré Implantação'!B289="CSC",AVERAGE('Pré Implantação'!D289,'Pré Implantação'!L289,'Pré Implantação'!J289),AVERAGE('Pré Implantação'!J289)),"")</f>
        <v/>
      </c>
      <c r="H289" s="34" t="str">
        <f>IFERROR(IF('Pré Implantação'!B289="Operações \ Negócio",AVERAGE('Pré Implantação'!D289,'Pré Implantação'!L289,'Pré Implantação'!K289),AVERAGE('Pré Implantação'!K289)),"")</f>
        <v/>
      </c>
      <c r="I289" s="34" t="str">
        <f>IFERROR(IF('Pré Implantação'!B289="Projetos",AVERAGE('Pré Implantação'!D289,'Pré Implantação'!L289,'Pré Implantação'!M289),AVERAGE('Pré Implantação'!M289)),"")</f>
        <v/>
      </c>
      <c r="J289" s="34" t="str">
        <f>IFERROR(IF('Pré Implantação'!B289="Engenharia",AVERAGE('Pré Implantação'!D289,'Pré Implantação'!L289,'Pré Implantação'!N289),AVERAGE('Pré Implantação'!N289)),"")</f>
        <v/>
      </c>
      <c r="K289" s="34" t="str">
        <f>IFERROR(IF('Pré Implantação'!B289="URA",AVERAGE('Pré Implantação'!D289,'Pré Implantação'!L289),""),"")</f>
        <v/>
      </c>
      <c r="L289" s="34" t="str">
        <f>IFERROR(IF('Pré Implantação'!B289="CSE Microsoft",AVERAGE('Pré Implantação'!D289,'Pré Implantação'!L289),""),"")</f>
        <v/>
      </c>
      <c r="M289" s="34" t="str">
        <f>IFERROR(IF('Pré Implantação'!B289="CSE Telecom",AVERAGE('Pré Implantação'!D289,'Pré Implantação'!L289),""),"")</f>
        <v/>
      </c>
      <c r="N289" s="34" t="str">
        <f>IFERROR(IF('Pré Implantação'!B289="Site Suporte de Campo",AVERAGE('Pré Implantação'!D289,'Pré Implantação'!L289),""),"")</f>
        <v/>
      </c>
      <c r="O289" s="49" t="str">
        <f>IFERROR(IF('Pré Implantação'!B289="Infraestrutura",AVERAGE('Pré Implantação'!D289,'Pré Implantação'!L289),""),"")</f>
        <v/>
      </c>
    </row>
    <row r="290" spans="1:15" x14ac:dyDescent="0.3">
      <c r="A290" s="33">
        <f>'Pré Implantação'!A290</f>
        <v>0</v>
      </c>
      <c r="B290" s="36">
        <f>'Pré Implantação'!C290</f>
        <v>0</v>
      </c>
      <c r="C290" s="34" t="str">
        <f>IFERROR(IF('Pré Implantação'!B290="Produção TI",AVERAGE('Pré Implantação'!D290,'Pré Implantação'!L290,'Pré Implantação'!E290,'Pré Implantação'!H290),AVERAGE('Pré Implantação'!E290,'Pré Implantação'!H290)),"")</f>
        <v/>
      </c>
      <c r="D290" s="34" t="str">
        <f>IFERROR(IF('Pré Implantação'!B290="CSC Service Desk",AVERAGE('Pré Implantação'!D290,'Pré Implantação'!L290,'Pré Implantação'!F290),AVERAGE('Pré Implantação'!F290)),"")</f>
        <v/>
      </c>
      <c r="E290" s="34" t="str">
        <f>IFERROR(IF('Pré Implantação'!B290="CSC NOC",AVERAGE('Pré Implantação'!D290,'Pré Implantação'!L290,'Pré Implantação'!G290),AVERAGE('Pré Implantação'!G290)),"")</f>
        <v/>
      </c>
      <c r="F290" s="34" t="str">
        <f>IFERROR(IF('Pré Implantação'!B290="CSE Gravadores",AVERAGE('Pré Implantação'!D290,'Pré Implantação'!L290,'Pré Implantação'!I290),AVERAGE('Pré Implantação'!I290)),"")</f>
        <v/>
      </c>
      <c r="G290" s="34" t="str">
        <f>IFERROR(IF('Pré Implantação'!B290="CSC",AVERAGE('Pré Implantação'!D290,'Pré Implantação'!L290,'Pré Implantação'!J290),AVERAGE('Pré Implantação'!J290)),"")</f>
        <v/>
      </c>
      <c r="H290" s="34" t="str">
        <f>IFERROR(IF('Pré Implantação'!B290="Operações \ Negócio",AVERAGE('Pré Implantação'!D290,'Pré Implantação'!L290,'Pré Implantação'!K290),AVERAGE('Pré Implantação'!K290)),"")</f>
        <v/>
      </c>
      <c r="I290" s="34" t="str">
        <f>IFERROR(IF('Pré Implantação'!B290="Projetos",AVERAGE('Pré Implantação'!D290,'Pré Implantação'!L290,'Pré Implantação'!M290),AVERAGE('Pré Implantação'!M290)),"")</f>
        <v/>
      </c>
      <c r="J290" s="34" t="str">
        <f>IFERROR(IF('Pré Implantação'!B290="Engenharia",AVERAGE('Pré Implantação'!D290,'Pré Implantação'!L290,'Pré Implantação'!N290),AVERAGE('Pré Implantação'!N290)),"")</f>
        <v/>
      </c>
      <c r="K290" s="34" t="str">
        <f>IFERROR(IF('Pré Implantação'!B290="URA",AVERAGE('Pré Implantação'!D290,'Pré Implantação'!L290),""),"")</f>
        <v/>
      </c>
      <c r="L290" s="34" t="str">
        <f>IFERROR(IF('Pré Implantação'!B290="CSE Microsoft",AVERAGE('Pré Implantação'!D290,'Pré Implantação'!L290),""),"")</f>
        <v/>
      </c>
      <c r="M290" s="34" t="str">
        <f>IFERROR(IF('Pré Implantação'!B290="CSE Telecom",AVERAGE('Pré Implantação'!D290,'Pré Implantação'!L290),""),"")</f>
        <v/>
      </c>
      <c r="N290" s="34" t="str">
        <f>IFERROR(IF('Pré Implantação'!B290="Site Suporte de Campo",AVERAGE('Pré Implantação'!D290,'Pré Implantação'!L290),""),"")</f>
        <v/>
      </c>
      <c r="O290" s="49" t="str">
        <f>IFERROR(IF('Pré Implantação'!B290="Infraestrutura",AVERAGE('Pré Implantação'!D290,'Pré Implantação'!L290),""),"")</f>
        <v/>
      </c>
    </row>
    <row r="291" spans="1:15" x14ac:dyDescent="0.3">
      <c r="A291" s="33">
        <f>'Pré Implantação'!A291</f>
        <v>0</v>
      </c>
      <c r="B291" s="36">
        <f>'Pré Implantação'!C291</f>
        <v>0</v>
      </c>
      <c r="C291" s="34" t="str">
        <f>IFERROR(IF('Pré Implantação'!B291="Produção TI",AVERAGE('Pré Implantação'!D291,'Pré Implantação'!L291,'Pré Implantação'!E291,'Pré Implantação'!H291),AVERAGE('Pré Implantação'!E291,'Pré Implantação'!H291)),"")</f>
        <v/>
      </c>
      <c r="D291" s="34" t="str">
        <f>IFERROR(IF('Pré Implantação'!B291="CSC Service Desk",AVERAGE('Pré Implantação'!D291,'Pré Implantação'!L291,'Pré Implantação'!F291),AVERAGE('Pré Implantação'!F291)),"")</f>
        <v/>
      </c>
      <c r="E291" s="34" t="str">
        <f>IFERROR(IF('Pré Implantação'!B291="CSC NOC",AVERAGE('Pré Implantação'!D291,'Pré Implantação'!L291,'Pré Implantação'!G291),AVERAGE('Pré Implantação'!G291)),"")</f>
        <v/>
      </c>
      <c r="F291" s="34" t="str">
        <f>IFERROR(IF('Pré Implantação'!B291="CSE Gravadores",AVERAGE('Pré Implantação'!D291,'Pré Implantação'!L291,'Pré Implantação'!I291),AVERAGE('Pré Implantação'!I291)),"")</f>
        <v/>
      </c>
      <c r="G291" s="34" t="str">
        <f>IFERROR(IF('Pré Implantação'!B291="CSC",AVERAGE('Pré Implantação'!D291,'Pré Implantação'!L291,'Pré Implantação'!J291),AVERAGE('Pré Implantação'!J291)),"")</f>
        <v/>
      </c>
      <c r="H291" s="34" t="str">
        <f>IFERROR(IF('Pré Implantação'!B291="Operações \ Negócio",AVERAGE('Pré Implantação'!D291,'Pré Implantação'!L291,'Pré Implantação'!K291),AVERAGE('Pré Implantação'!K291)),"")</f>
        <v/>
      </c>
      <c r="I291" s="34" t="str">
        <f>IFERROR(IF('Pré Implantação'!B291="Projetos",AVERAGE('Pré Implantação'!D291,'Pré Implantação'!L291,'Pré Implantação'!M291),AVERAGE('Pré Implantação'!M291)),"")</f>
        <v/>
      </c>
      <c r="J291" s="34" t="str">
        <f>IFERROR(IF('Pré Implantação'!B291="Engenharia",AVERAGE('Pré Implantação'!D291,'Pré Implantação'!L291,'Pré Implantação'!N291),AVERAGE('Pré Implantação'!N291)),"")</f>
        <v/>
      </c>
      <c r="K291" s="34" t="str">
        <f>IFERROR(IF('Pré Implantação'!B291="URA",AVERAGE('Pré Implantação'!D291,'Pré Implantação'!L291),""),"")</f>
        <v/>
      </c>
      <c r="L291" s="34" t="str">
        <f>IFERROR(IF('Pré Implantação'!B291="CSE Microsoft",AVERAGE('Pré Implantação'!D291,'Pré Implantação'!L291),""),"")</f>
        <v/>
      </c>
      <c r="M291" s="34" t="str">
        <f>IFERROR(IF('Pré Implantação'!B291="CSE Telecom",AVERAGE('Pré Implantação'!D291,'Pré Implantação'!L291),""),"")</f>
        <v/>
      </c>
      <c r="N291" s="34" t="str">
        <f>IFERROR(IF('Pré Implantação'!B291="Site Suporte de Campo",AVERAGE('Pré Implantação'!D291,'Pré Implantação'!L291),""),"")</f>
        <v/>
      </c>
      <c r="O291" s="49" t="str">
        <f>IFERROR(IF('Pré Implantação'!B291="Infraestrutura",AVERAGE('Pré Implantação'!D291,'Pré Implantação'!L291),""),"")</f>
        <v/>
      </c>
    </row>
    <row r="292" spans="1:15" x14ac:dyDescent="0.3">
      <c r="A292" s="33">
        <f>'Pré Implantação'!A292</f>
        <v>0</v>
      </c>
      <c r="B292" s="36">
        <f>'Pré Implantação'!C292</f>
        <v>0</v>
      </c>
      <c r="C292" s="34" t="str">
        <f>IFERROR(IF('Pré Implantação'!B292="Produção TI",AVERAGE('Pré Implantação'!D292,'Pré Implantação'!L292,'Pré Implantação'!E292,'Pré Implantação'!H292),AVERAGE('Pré Implantação'!E292,'Pré Implantação'!H292)),"")</f>
        <v/>
      </c>
      <c r="D292" s="34" t="str">
        <f>IFERROR(IF('Pré Implantação'!B292="CSC Service Desk",AVERAGE('Pré Implantação'!D292,'Pré Implantação'!L292,'Pré Implantação'!F292),AVERAGE('Pré Implantação'!F292)),"")</f>
        <v/>
      </c>
      <c r="E292" s="34" t="str">
        <f>IFERROR(IF('Pré Implantação'!B292="CSC NOC",AVERAGE('Pré Implantação'!D292,'Pré Implantação'!L292,'Pré Implantação'!G292),AVERAGE('Pré Implantação'!G292)),"")</f>
        <v/>
      </c>
      <c r="F292" s="34" t="str">
        <f>IFERROR(IF('Pré Implantação'!B292="CSE Gravadores",AVERAGE('Pré Implantação'!D292,'Pré Implantação'!L292,'Pré Implantação'!I292),AVERAGE('Pré Implantação'!I292)),"")</f>
        <v/>
      </c>
      <c r="G292" s="34" t="str">
        <f>IFERROR(IF('Pré Implantação'!B292="CSC",AVERAGE('Pré Implantação'!D292,'Pré Implantação'!L292,'Pré Implantação'!J292),AVERAGE('Pré Implantação'!J292)),"")</f>
        <v/>
      </c>
      <c r="H292" s="34" t="str">
        <f>IFERROR(IF('Pré Implantação'!B292="Operações \ Negócio",AVERAGE('Pré Implantação'!D292,'Pré Implantação'!L292,'Pré Implantação'!K292),AVERAGE('Pré Implantação'!K292)),"")</f>
        <v/>
      </c>
      <c r="I292" s="34" t="str">
        <f>IFERROR(IF('Pré Implantação'!B292="Projetos",AVERAGE('Pré Implantação'!D292,'Pré Implantação'!L292,'Pré Implantação'!M292),AVERAGE('Pré Implantação'!M292)),"")</f>
        <v/>
      </c>
      <c r="J292" s="34" t="str">
        <f>IFERROR(IF('Pré Implantação'!B292="Engenharia",AVERAGE('Pré Implantação'!D292,'Pré Implantação'!L292,'Pré Implantação'!N292),AVERAGE('Pré Implantação'!N292)),"")</f>
        <v/>
      </c>
      <c r="K292" s="34" t="str">
        <f>IFERROR(IF('Pré Implantação'!B292="URA",AVERAGE('Pré Implantação'!D292,'Pré Implantação'!L292),""),"")</f>
        <v/>
      </c>
      <c r="L292" s="34" t="str">
        <f>IFERROR(IF('Pré Implantação'!B292="CSE Microsoft",AVERAGE('Pré Implantação'!D292,'Pré Implantação'!L292),""),"")</f>
        <v/>
      </c>
      <c r="M292" s="34" t="str">
        <f>IFERROR(IF('Pré Implantação'!B292="CSE Telecom",AVERAGE('Pré Implantação'!D292,'Pré Implantação'!L292),""),"")</f>
        <v/>
      </c>
      <c r="N292" s="34" t="str">
        <f>IFERROR(IF('Pré Implantação'!B292="Site Suporte de Campo",AVERAGE('Pré Implantação'!D292,'Pré Implantação'!L292),""),"")</f>
        <v/>
      </c>
      <c r="O292" s="49" t="str">
        <f>IFERROR(IF('Pré Implantação'!B292="Infraestrutura",AVERAGE('Pré Implantação'!D292,'Pré Implantação'!L292),""),"")</f>
        <v/>
      </c>
    </row>
    <row r="293" spans="1:15" x14ac:dyDescent="0.3">
      <c r="A293" s="33">
        <f>'Pré Implantação'!A293</f>
        <v>0</v>
      </c>
      <c r="B293" s="36">
        <f>'Pré Implantação'!C293</f>
        <v>0</v>
      </c>
      <c r="C293" s="34" t="str">
        <f>IFERROR(IF('Pré Implantação'!B293="Produção TI",AVERAGE('Pré Implantação'!D293,'Pré Implantação'!L293,'Pré Implantação'!E293,'Pré Implantação'!H293),AVERAGE('Pré Implantação'!E293,'Pré Implantação'!H293)),"")</f>
        <v/>
      </c>
      <c r="D293" s="34" t="str">
        <f>IFERROR(IF('Pré Implantação'!B293="CSC Service Desk",AVERAGE('Pré Implantação'!D293,'Pré Implantação'!L293,'Pré Implantação'!F293),AVERAGE('Pré Implantação'!F293)),"")</f>
        <v/>
      </c>
      <c r="E293" s="34" t="str">
        <f>IFERROR(IF('Pré Implantação'!B293="CSC NOC",AVERAGE('Pré Implantação'!D293,'Pré Implantação'!L293,'Pré Implantação'!G293),AVERAGE('Pré Implantação'!G293)),"")</f>
        <v/>
      </c>
      <c r="F293" s="34" t="str">
        <f>IFERROR(IF('Pré Implantação'!B293="CSE Gravadores",AVERAGE('Pré Implantação'!D293,'Pré Implantação'!L293,'Pré Implantação'!I293),AVERAGE('Pré Implantação'!I293)),"")</f>
        <v/>
      </c>
      <c r="G293" s="34" t="str">
        <f>IFERROR(IF('Pré Implantação'!B293="CSC",AVERAGE('Pré Implantação'!D293,'Pré Implantação'!L293,'Pré Implantação'!J293),AVERAGE('Pré Implantação'!J293)),"")</f>
        <v/>
      </c>
      <c r="H293" s="34" t="str">
        <f>IFERROR(IF('Pré Implantação'!B293="Operações \ Negócio",AVERAGE('Pré Implantação'!D293,'Pré Implantação'!L293,'Pré Implantação'!K293),AVERAGE('Pré Implantação'!K293)),"")</f>
        <v/>
      </c>
      <c r="I293" s="34" t="str">
        <f>IFERROR(IF('Pré Implantação'!B293="Projetos",AVERAGE('Pré Implantação'!D293,'Pré Implantação'!L293,'Pré Implantação'!M293),AVERAGE('Pré Implantação'!M293)),"")</f>
        <v/>
      </c>
      <c r="J293" s="34" t="str">
        <f>IFERROR(IF('Pré Implantação'!B293="Engenharia",AVERAGE('Pré Implantação'!D293,'Pré Implantação'!L293,'Pré Implantação'!N293),AVERAGE('Pré Implantação'!N293)),"")</f>
        <v/>
      </c>
      <c r="K293" s="34" t="str">
        <f>IFERROR(IF('Pré Implantação'!B293="URA",AVERAGE('Pré Implantação'!D293,'Pré Implantação'!L293),""),"")</f>
        <v/>
      </c>
      <c r="L293" s="34" t="str">
        <f>IFERROR(IF('Pré Implantação'!B293="CSE Microsoft",AVERAGE('Pré Implantação'!D293,'Pré Implantação'!L293),""),"")</f>
        <v/>
      </c>
      <c r="M293" s="34" t="str">
        <f>IFERROR(IF('Pré Implantação'!B293="CSE Telecom",AVERAGE('Pré Implantação'!D293,'Pré Implantação'!L293),""),"")</f>
        <v/>
      </c>
      <c r="N293" s="34" t="str">
        <f>IFERROR(IF('Pré Implantação'!B293="Site Suporte de Campo",AVERAGE('Pré Implantação'!D293,'Pré Implantação'!L293),""),"")</f>
        <v/>
      </c>
      <c r="O293" s="49" t="str">
        <f>IFERROR(IF('Pré Implantação'!B293="Infraestrutura",AVERAGE('Pré Implantação'!D293,'Pré Implantação'!L293),""),"")</f>
        <v/>
      </c>
    </row>
    <row r="294" spans="1:15" x14ac:dyDescent="0.3">
      <c r="A294" s="33">
        <f>'Pré Implantação'!A294</f>
        <v>0</v>
      </c>
      <c r="B294" s="36">
        <f>'Pré Implantação'!C294</f>
        <v>0</v>
      </c>
      <c r="C294" s="34" t="str">
        <f>IFERROR(IF('Pré Implantação'!B294="Produção TI",AVERAGE('Pré Implantação'!D294,'Pré Implantação'!L294,'Pré Implantação'!E294,'Pré Implantação'!H294),AVERAGE('Pré Implantação'!E294,'Pré Implantação'!H294)),"")</f>
        <v/>
      </c>
      <c r="D294" s="34" t="str">
        <f>IFERROR(IF('Pré Implantação'!B294="CSC Service Desk",AVERAGE('Pré Implantação'!D294,'Pré Implantação'!L294,'Pré Implantação'!F294),AVERAGE('Pré Implantação'!F294)),"")</f>
        <v/>
      </c>
      <c r="E294" s="34" t="str">
        <f>IFERROR(IF('Pré Implantação'!B294="CSC NOC",AVERAGE('Pré Implantação'!D294,'Pré Implantação'!L294,'Pré Implantação'!G294),AVERAGE('Pré Implantação'!G294)),"")</f>
        <v/>
      </c>
      <c r="F294" s="34" t="str">
        <f>IFERROR(IF('Pré Implantação'!B294="CSE Gravadores",AVERAGE('Pré Implantação'!D294,'Pré Implantação'!L294,'Pré Implantação'!I294),AVERAGE('Pré Implantação'!I294)),"")</f>
        <v/>
      </c>
      <c r="G294" s="34" t="str">
        <f>IFERROR(IF('Pré Implantação'!B294="CSC",AVERAGE('Pré Implantação'!D294,'Pré Implantação'!L294,'Pré Implantação'!J294),AVERAGE('Pré Implantação'!J294)),"")</f>
        <v/>
      </c>
      <c r="H294" s="34" t="str">
        <f>IFERROR(IF('Pré Implantação'!B294="Operações \ Negócio",AVERAGE('Pré Implantação'!D294,'Pré Implantação'!L294,'Pré Implantação'!K294),AVERAGE('Pré Implantação'!K294)),"")</f>
        <v/>
      </c>
      <c r="I294" s="34" t="str">
        <f>IFERROR(IF('Pré Implantação'!B294="Projetos",AVERAGE('Pré Implantação'!D294,'Pré Implantação'!L294,'Pré Implantação'!M294),AVERAGE('Pré Implantação'!M294)),"")</f>
        <v/>
      </c>
      <c r="J294" s="34" t="str">
        <f>IFERROR(IF('Pré Implantação'!B294="Engenharia",AVERAGE('Pré Implantação'!D294,'Pré Implantação'!L294,'Pré Implantação'!N294),AVERAGE('Pré Implantação'!N294)),"")</f>
        <v/>
      </c>
      <c r="K294" s="34" t="str">
        <f>IFERROR(IF('Pré Implantação'!B294="URA",AVERAGE('Pré Implantação'!D294,'Pré Implantação'!L294),""),"")</f>
        <v/>
      </c>
      <c r="L294" s="34" t="str">
        <f>IFERROR(IF('Pré Implantação'!B294="CSE Microsoft",AVERAGE('Pré Implantação'!D294,'Pré Implantação'!L294),""),"")</f>
        <v/>
      </c>
      <c r="M294" s="34" t="str">
        <f>IFERROR(IF('Pré Implantação'!B294="CSE Telecom",AVERAGE('Pré Implantação'!D294,'Pré Implantação'!L294),""),"")</f>
        <v/>
      </c>
      <c r="N294" s="34" t="str">
        <f>IFERROR(IF('Pré Implantação'!B294="Site Suporte de Campo",AVERAGE('Pré Implantação'!D294,'Pré Implantação'!L294),""),"")</f>
        <v/>
      </c>
      <c r="O294" s="49" t="str">
        <f>IFERROR(IF('Pré Implantação'!B294="Infraestrutura",AVERAGE('Pré Implantação'!D294,'Pré Implantação'!L294),""),"")</f>
        <v/>
      </c>
    </row>
    <row r="295" spans="1:15" x14ac:dyDescent="0.3">
      <c r="A295" s="33">
        <f>'Pré Implantação'!A295</f>
        <v>0</v>
      </c>
      <c r="B295" s="36">
        <f>'Pré Implantação'!C295</f>
        <v>0</v>
      </c>
      <c r="C295" s="34" t="str">
        <f>IFERROR(IF('Pré Implantação'!B295="Produção TI",AVERAGE('Pré Implantação'!D295,'Pré Implantação'!L295,'Pré Implantação'!E295,'Pré Implantação'!H295),AVERAGE('Pré Implantação'!E295,'Pré Implantação'!H295)),"")</f>
        <v/>
      </c>
      <c r="D295" s="34" t="str">
        <f>IFERROR(IF('Pré Implantação'!B295="CSC Service Desk",AVERAGE('Pré Implantação'!D295,'Pré Implantação'!L295,'Pré Implantação'!F295),AVERAGE('Pré Implantação'!F295)),"")</f>
        <v/>
      </c>
      <c r="E295" s="34" t="str">
        <f>IFERROR(IF('Pré Implantação'!B295="CSC NOC",AVERAGE('Pré Implantação'!D295,'Pré Implantação'!L295,'Pré Implantação'!G295),AVERAGE('Pré Implantação'!G295)),"")</f>
        <v/>
      </c>
      <c r="F295" s="34" t="str">
        <f>IFERROR(IF('Pré Implantação'!B295="CSE Gravadores",AVERAGE('Pré Implantação'!D295,'Pré Implantação'!L295,'Pré Implantação'!I295),AVERAGE('Pré Implantação'!I295)),"")</f>
        <v/>
      </c>
      <c r="G295" s="34" t="str">
        <f>IFERROR(IF('Pré Implantação'!B295="CSC",AVERAGE('Pré Implantação'!D295,'Pré Implantação'!L295,'Pré Implantação'!J295),AVERAGE('Pré Implantação'!J295)),"")</f>
        <v/>
      </c>
      <c r="H295" s="34" t="str">
        <f>IFERROR(IF('Pré Implantação'!B295="Operações \ Negócio",AVERAGE('Pré Implantação'!D295,'Pré Implantação'!L295,'Pré Implantação'!K295),AVERAGE('Pré Implantação'!K295)),"")</f>
        <v/>
      </c>
      <c r="I295" s="34" t="str">
        <f>IFERROR(IF('Pré Implantação'!B295="Projetos",AVERAGE('Pré Implantação'!D295,'Pré Implantação'!L295,'Pré Implantação'!M295),AVERAGE('Pré Implantação'!M295)),"")</f>
        <v/>
      </c>
      <c r="J295" s="34" t="str">
        <f>IFERROR(IF('Pré Implantação'!B295="Engenharia",AVERAGE('Pré Implantação'!D295,'Pré Implantação'!L295,'Pré Implantação'!N295),AVERAGE('Pré Implantação'!N295)),"")</f>
        <v/>
      </c>
      <c r="K295" s="34" t="str">
        <f>IFERROR(IF('Pré Implantação'!B295="URA",AVERAGE('Pré Implantação'!D295,'Pré Implantação'!L295),""),"")</f>
        <v/>
      </c>
      <c r="L295" s="34" t="str">
        <f>IFERROR(IF('Pré Implantação'!B295="CSE Microsoft",AVERAGE('Pré Implantação'!D295,'Pré Implantação'!L295),""),"")</f>
        <v/>
      </c>
      <c r="M295" s="34" t="str">
        <f>IFERROR(IF('Pré Implantação'!B295="CSE Telecom",AVERAGE('Pré Implantação'!D295,'Pré Implantação'!L295),""),"")</f>
        <v/>
      </c>
      <c r="N295" s="34" t="str">
        <f>IFERROR(IF('Pré Implantação'!B295="Site Suporte de Campo",AVERAGE('Pré Implantação'!D295,'Pré Implantação'!L295),""),"")</f>
        <v/>
      </c>
      <c r="O295" s="49" t="str">
        <f>IFERROR(IF('Pré Implantação'!B295="Infraestrutura",AVERAGE('Pré Implantação'!D295,'Pré Implantação'!L295),""),"")</f>
        <v/>
      </c>
    </row>
    <row r="296" spans="1:15" x14ac:dyDescent="0.3">
      <c r="A296" s="33">
        <f>'Pré Implantação'!A296</f>
        <v>0</v>
      </c>
      <c r="B296" s="36">
        <f>'Pré Implantação'!C296</f>
        <v>0</v>
      </c>
      <c r="C296" s="34" t="str">
        <f>IFERROR(IF('Pré Implantação'!B296="Produção TI",AVERAGE('Pré Implantação'!D296,'Pré Implantação'!L296,'Pré Implantação'!E296,'Pré Implantação'!H296),AVERAGE('Pré Implantação'!E296,'Pré Implantação'!H296)),"")</f>
        <v/>
      </c>
      <c r="D296" s="34" t="str">
        <f>IFERROR(IF('Pré Implantação'!B296="CSC Service Desk",AVERAGE('Pré Implantação'!D296,'Pré Implantação'!L296,'Pré Implantação'!F296),AVERAGE('Pré Implantação'!F296)),"")</f>
        <v/>
      </c>
      <c r="E296" s="34" t="str">
        <f>IFERROR(IF('Pré Implantação'!B296="CSC NOC",AVERAGE('Pré Implantação'!D296,'Pré Implantação'!L296,'Pré Implantação'!G296),AVERAGE('Pré Implantação'!G296)),"")</f>
        <v/>
      </c>
      <c r="F296" s="34" t="str">
        <f>IFERROR(IF('Pré Implantação'!B296="CSE Gravadores",AVERAGE('Pré Implantação'!D296,'Pré Implantação'!L296,'Pré Implantação'!I296),AVERAGE('Pré Implantação'!I296)),"")</f>
        <v/>
      </c>
      <c r="G296" s="34" t="str">
        <f>IFERROR(IF('Pré Implantação'!B296="CSC",AVERAGE('Pré Implantação'!D296,'Pré Implantação'!L296,'Pré Implantação'!J296),AVERAGE('Pré Implantação'!J296)),"")</f>
        <v/>
      </c>
      <c r="H296" s="34" t="str">
        <f>IFERROR(IF('Pré Implantação'!B296="Operações \ Negócio",AVERAGE('Pré Implantação'!D296,'Pré Implantação'!L296,'Pré Implantação'!K296),AVERAGE('Pré Implantação'!K296)),"")</f>
        <v/>
      </c>
      <c r="I296" s="34" t="str">
        <f>IFERROR(IF('Pré Implantação'!B296="Projetos",AVERAGE('Pré Implantação'!D296,'Pré Implantação'!L296,'Pré Implantação'!M296),AVERAGE('Pré Implantação'!M296)),"")</f>
        <v/>
      </c>
      <c r="J296" s="34" t="str">
        <f>IFERROR(IF('Pré Implantação'!B296="Engenharia",AVERAGE('Pré Implantação'!D296,'Pré Implantação'!L296,'Pré Implantação'!N296),AVERAGE('Pré Implantação'!N296)),"")</f>
        <v/>
      </c>
      <c r="K296" s="34" t="str">
        <f>IFERROR(IF('Pré Implantação'!B296="URA",AVERAGE('Pré Implantação'!D296,'Pré Implantação'!L296),""),"")</f>
        <v/>
      </c>
      <c r="L296" s="34" t="str">
        <f>IFERROR(IF('Pré Implantação'!B296="CSE Microsoft",AVERAGE('Pré Implantação'!D296,'Pré Implantação'!L296),""),"")</f>
        <v/>
      </c>
      <c r="M296" s="34" t="str">
        <f>IFERROR(IF('Pré Implantação'!B296="CSE Telecom",AVERAGE('Pré Implantação'!D296,'Pré Implantação'!L296),""),"")</f>
        <v/>
      </c>
      <c r="N296" s="34" t="str">
        <f>IFERROR(IF('Pré Implantação'!B296="Site Suporte de Campo",AVERAGE('Pré Implantação'!D296,'Pré Implantação'!L296),""),"")</f>
        <v/>
      </c>
      <c r="O296" s="49" t="str">
        <f>IFERROR(IF('Pré Implantação'!B296="Infraestrutura",AVERAGE('Pré Implantação'!D296,'Pré Implantação'!L296),""),"")</f>
        <v/>
      </c>
    </row>
    <row r="297" spans="1:15" x14ac:dyDescent="0.3">
      <c r="A297" s="33">
        <f>'Pré Implantação'!A297</f>
        <v>0</v>
      </c>
      <c r="B297" s="36">
        <f>'Pré Implantação'!C297</f>
        <v>0</v>
      </c>
      <c r="C297" s="34" t="str">
        <f>IFERROR(IF('Pré Implantação'!B297="Produção TI",AVERAGE('Pré Implantação'!D297,'Pré Implantação'!L297,'Pré Implantação'!E297,'Pré Implantação'!H297),AVERAGE('Pré Implantação'!E297,'Pré Implantação'!H297)),"")</f>
        <v/>
      </c>
      <c r="D297" s="34" t="str">
        <f>IFERROR(IF('Pré Implantação'!B297="CSC Service Desk",AVERAGE('Pré Implantação'!D297,'Pré Implantação'!L297,'Pré Implantação'!F297),AVERAGE('Pré Implantação'!F297)),"")</f>
        <v/>
      </c>
      <c r="E297" s="34" t="str">
        <f>IFERROR(IF('Pré Implantação'!B297="CSC NOC",AVERAGE('Pré Implantação'!D297,'Pré Implantação'!L297,'Pré Implantação'!G297),AVERAGE('Pré Implantação'!G297)),"")</f>
        <v/>
      </c>
      <c r="F297" s="34" t="str">
        <f>IFERROR(IF('Pré Implantação'!B297="CSE Gravadores",AVERAGE('Pré Implantação'!D297,'Pré Implantação'!L297,'Pré Implantação'!I297),AVERAGE('Pré Implantação'!I297)),"")</f>
        <v/>
      </c>
      <c r="G297" s="34" t="str">
        <f>IFERROR(IF('Pré Implantação'!B297="CSC",AVERAGE('Pré Implantação'!D297,'Pré Implantação'!L297,'Pré Implantação'!J297),AVERAGE('Pré Implantação'!J297)),"")</f>
        <v/>
      </c>
      <c r="H297" s="34" t="str">
        <f>IFERROR(IF('Pré Implantação'!B297="Operações \ Negócio",AVERAGE('Pré Implantação'!D297,'Pré Implantação'!L297,'Pré Implantação'!K297),AVERAGE('Pré Implantação'!K297)),"")</f>
        <v/>
      </c>
      <c r="I297" s="34" t="str">
        <f>IFERROR(IF('Pré Implantação'!B297="Projetos",AVERAGE('Pré Implantação'!D297,'Pré Implantação'!L297,'Pré Implantação'!M297),AVERAGE('Pré Implantação'!M297)),"")</f>
        <v/>
      </c>
      <c r="J297" s="34" t="str">
        <f>IFERROR(IF('Pré Implantação'!B297="Engenharia",AVERAGE('Pré Implantação'!D297,'Pré Implantação'!L297,'Pré Implantação'!N297),AVERAGE('Pré Implantação'!N297)),"")</f>
        <v/>
      </c>
      <c r="K297" s="34" t="str">
        <f>IFERROR(IF('Pré Implantação'!B297="URA",AVERAGE('Pré Implantação'!D297,'Pré Implantação'!L297),""),"")</f>
        <v/>
      </c>
      <c r="L297" s="34" t="str">
        <f>IFERROR(IF('Pré Implantação'!B297="CSE Microsoft",AVERAGE('Pré Implantação'!D297,'Pré Implantação'!L297),""),"")</f>
        <v/>
      </c>
      <c r="M297" s="34" t="str">
        <f>IFERROR(IF('Pré Implantação'!B297="CSE Telecom",AVERAGE('Pré Implantação'!D297,'Pré Implantação'!L297),""),"")</f>
        <v/>
      </c>
      <c r="N297" s="34" t="str">
        <f>IFERROR(IF('Pré Implantação'!B297="Site Suporte de Campo",AVERAGE('Pré Implantação'!D297,'Pré Implantação'!L297),""),"")</f>
        <v/>
      </c>
      <c r="O297" s="49" t="str">
        <f>IFERROR(IF('Pré Implantação'!B297="Infraestrutura",AVERAGE('Pré Implantação'!D297,'Pré Implantação'!L297),""),"")</f>
        <v/>
      </c>
    </row>
    <row r="298" spans="1:15" x14ac:dyDescent="0.3">
      <c r="A298" s="33">
        <f>'Pré Implantação'!A298</f>
        <v>0</v>
      </c>
      <c r="B298" s="36">
        <f>'Pré Implantação'!C298</f>
        <v>0</v>
      </c>
      <c r="C298" s="34" t="str">
        <f>IFERROR(IF('Pré Implantação'!B298="Produção TI",AVERAGE('Pré Implantação'!D298,'Pré Implantação'!L298,'Pré Implantação'!E298,'Pré Implantação'!H298),AVERAGE('Pré Implantação'!E298,'Pré Implantação'!H298)),"")</f>
        <v/>
      </c>
      <c r="D298" s="34" t="str">
        <f>IFERROR(IF('Pré Implantação'!B298="CSC Service Desk",AVERAGE('Pré Implantação'!D298,'Pré Implantação'!L298,'Pré Implantação'!F298),AVERAGE('Pré Implantação'!F298)),"")</f>
        <v/>
      </c>
      <c r="E298" s="34" t="str">
        <f>IFERROR(IF('Pré Implantação'!B298="CSC NOC",AVERAGE('Pré Implantação'!D298,'Pré Implantação'!L298,'Pré Implantação'!G298),AVERAGE('Pré Implantação'!G298)),"")</f>
        <v/>
      </c>
      <c r="F298" s="34" t="str">
        <f>IFERROR(IF('Pré Implantação'!B298="CSE Gravadores",AVERAGE('Pré Implantação'!D298,'Pré Implantação'!L298,'Pré Implantação'!I298),AVERAGE('Pré Implantação'!I298)),"")</f>
        <v/>
      </c>
      <c r="G298" s="34" t="str">
        <f>IFERROR(IF('Pré Implantação'!B298="CSC",AVERAGE('Pré Implantação'!D298,'Pré Implantação'!L298,'Pré Implantação'!J298),AVERAGE('Pré Implantação'!J298)),"")</f>
        <v/>
      </c>
      <c r="H298" s="34" t="str">
        <f>IFERROR(IF('Pré Implantação'!B298="Operações \ Negócio",AVERAGE('Pré Implantação'!D298,'Pré Implantação'!L298,'Pré Implantação'!K298),AVERAGE('Pré Implantação'!K298)),"")</f>
        <v/>
      </c>
      <c r="I298" s="34" t="str">
        <f>IFERROR(IF('Pré Implantação'!B298="Projetos",AVERAGE('Pré Implantação'!D298,'Pré Implantação'!L298,'Pré Implantação'!M298),AVERAGE('Pré Implantação'!M298)),"")</f>
        <v/>
      </c>
      <c r="J298" s="34" t="str">
        <f>IFERROR(IF('Pré Implantação'!B298="Engenharia",AVERAGE('Pré Implantação'!D298,'Pré Implantação'!L298,'Pré Implantação'!N298),AVERAGE('Pré Implantação'!N298)),"")</f>
        <v/>
      </c>
      <c r="K298" s="34" t="str">
        <f>IFERROR(IF('Pré Implantação'!B298="URA",AVERAGE('Pré Implantação'!D298,'Pré Implantação'!L298),""),"")</f>
        <v/>
      </c>
      <c r="L298" s="34" t="str">
        <f>IFERROR(IF('Pré Implantação'!B298="CSE Microsoft",AVERAGE('Pré Implantação'!D298,'Pré Implantação'!L298),""),"")</f>
        <v/>
      </c>
      <c r="M298" s="34" t="str">
        <f>IFERROR(IF('Pré Implantação'!B298="CSE Telecom",AVERAGE('Pré Implantação'!D298,'Pré Implantação'!L298),""),"")</f>
        <v/>
      </c>
      <c r="N298" s="34" t="str">
        <f>IFERROR(IF('Pré Implantação'!B298="Site Suporte de Campo",AVERAGE('Pré Implantação'!D298,'Pré Implantação'!L298),""),"")</f>
        <v/>
      </c>
      <c r="O298" s="49" t="str">
        <f>IFERROR(IF('Pré Implantação'!B298="Infraestrutura",AVERAGE('Pré Implantação'!D298,'Pré Implantação'!L298),""),"")</f>
        <v/>
      </c>
    </row>
    <row r="299" spans="1:15" x14ac:dyDescent="0.3">
      <c r="A299" s="33">
        <f>'Pré Implantação'!A299</f>
        <v>0</v>
      </c>
      <c r="B299" s="36">
        <f>'Pré Implantação'!C299</f>
        <v>0</v>
      </c>
      <c r="C299" s="34" t="str">
        <f>IFERROR(IF('Pré Implantação'!B299="Produção TI",AVERAGE('Pré Implantação'!D299,'Pré Implantação'!L299,'Pré Implantação'!E299,'Pré Implantação'!H299),AVERAGE('Pré Implantação'!E299,'Pré Implantação'!H299)),"")</f>
        <v/>
      </c>
      <c r="D299" s="34" t="str">
        <f>IFERROR(IF('Pré Implantação'!B299="CSC Service Desk",AVERAGE('Pré Implantação'!D299,'Pré Implantação'!L299,'Pré Implantação'!F299),AVERAGE('Pré Implantação'!F299)),"")</f>
        <v/>
      </c>
      <c r="E299" s="34" t="str">
        <f>IFERROR(IF('Pré Implantação'!B299="CSC NOC",AVERAGE('Pré Implantação'!D299,'Pré Implantação'!L299,'Pré Implantação'!G299),AVERAGE('Pré Implantação'!G299)),"")</f>
        <v/>
      </c>
      <c r="F299" s="34" t="str">
        <f>IFERROR(IF('Pré Implantação'!B299="CSE Gravadores",AVERAGE('Pré Implantação'!D299,'Pré Implantação'!L299,'Pré Implantação'!I299),AVERAGE('Pré Implantação'!I299)),"")</f>
        <v/>
      </c>
      <c r="G299" s="34" t="str">
        <f>IFERROR(IF('Pré Implantação'!B299="CSC",AVERAGE('Pré Implantação'!D299,'Pré Implantação'!L299,'Pré Implantação'!J299),AVERAGE('Pré Implantação'!J299)),"")</f>
        <v/>
      </c>
      <c r="H299" s="34" t="str">
        <f>IFERROR(IF('Pré Implantação'!B299="Operações \ Negócio",AVERAGE('Pré Implantação'!D299,'Pré Implantação'!L299,'Pré Implantação'!K299),AVERAGE('Pré Implantação'!K299)),"")</f>
        <v/>
      </c>
      <c r="I299" s="34" t="str">
        <f>IFERROR(IF('Pré Implantação'!B299="Projetos",AVERAGE('Pré Implantação'!D299,'Pré Implantação'!L299,'Pré Implantação'!M299),AVERAGE('Pré Implantação'!M299)),"")</f>
        <v/>
      </c>
      <c r="J299" s="34" t="str">
        <f>IFERROR(IF('Pré Implantação'!B299="Engenharia",AVERAGE('Pré Implantação'!D299,'Pré Implantação'!L299,'Pré Implantação'!N299),AVERAGE('Pré Implantação'!N299)),"")</f>
        <v/>
      </c>
      <c r="K299" s="34" t="str">
        <f>IFERROR(IF('Pré Implantação'!B299="URA",AVERAGE('Pré Implantação'!D299,'Pré Implantação'!L299),""),"")</f>
        <v/>
      </c>
      <c r="L299" s="34" t="str">
        <f>IFERROR(IF('Pré Implantação'!B299="CSE Microsoft",AVERAGE('Pré Implantação'!D299,'Pré Implantação'!L299),""),"")</f>
        <v/>
      </c>
      <c r="M299" s="34" t="str">
        <f>IFERROR(IF('Pré Implantação'!B299="CSE Telecom",AVERAGE('Pré Implantação'!D299,'Pré Implantação'!L299),""),"")</f>
        <v/>
      </c>
      <c r="N299" s="34" t="str">
        <f>IFERROR(IF('Pré Implantação'!B299="Site Suporte de Campo",AVERAGE('Pré Implantação'!D299,'Pré Implantação'!L299),""),"")</f>
        <v/>
      </c>
      <c r="O299" s="49" t="str">
        <f>IFERROR(IF('Pré Implantação'!B299="Infraestrutura",AVERAGE('Pré Implantação'!D299,'Pré Implantação'!L299),""),"")</f>
        <v/>
      </c>
    </row>
    <row r="300" spans="1:15" x14ac:dyDescent="0.3">
      <c r="A300" s="33">
        <f>'Pré Implantação'!A300</f>
        <v>0</v>
      </c>
      <c r="B300" s="36">
        <f>'Pré Implantação'!C300</f>
        <v>0</v>
      </c>
      <c r="C300" s="34" t="str">
        <f>IFERROR(IF('Pré Implantação'!B300="Produção TI",AVERAGE('Pré Implantação'!D300,'Pré Implantação'!L300,'Pré Implantação'!E300,'Pré Implantação'!H300),AVERAGE('Pré Implantação'!E300,'Pré Implantação'!H300)),"")</f>
        <v/>
      </c>
      <c r="D300" s="34" t="str">
        <f>IFERROR(IF('Pré Implantação'!B300="CSC Service Desk",AVERAGE('Pré Implantação'!D300,'Pré Implantação'!L300,'Pré Implantação'!F300),AVERAGE('Pré Implantação'!F300)),"")</f>
        <v/>
      </c>
      <c r="E300" s="34" t="str">
        <f>IFERROR(IF('Pré Implantação'!B300="CSC NOC",AVERAGE('Pré Implantação'!D300,'Pré Implantação'!L300,'Pré Implantação'!G300),AVERAGE('Pré Implantação'!G300)),"")</f>
        <v/>
      </c>
      <c r="F300" s="34" t="str">
        <f>IFERROR(IF('Pré Implantação'!B300="CSE Gravadores",AVERAGE('Pré Implantação'!D300,'Pré Implantação'!L300,'Pré Implantação'!I300),AVERAGE('Pré Implantação'!I300)),"")</f>
        <v/>
      </c>
      <c r="G300" s="34" t="str">
        <f>IFERROR(IF('Pré Implantação'!B300="CSC",AVERAGE('Pré Implantação'!D300,'Pré Implantação'!L300,'Pré Implantação'!J300),AVERAGE('Pré Implantação'!J300)),"")</f>
        <v/>
      </c>
      <c r="H300" s="34" t="str">
        <f>IFERROR(IF('Pré Implantação'!B300="Operações \ Negócio",AVERAGE('Pré Implantação'!D300,'Pré Implantação'!L300,'Pré Implantação'!K300),AVERAGE('Pré Implantação'!K300)),"")</f>
        <v/>
      </c>
      <c r="I300" s="34" t="str">
        <f>IFERROR(IF('Pré Implantação'!B300="Projetos",AVERAGE('Pré Implantação'!D300,'Pré Implantação'!L300,'Pré Implantação'!M300),AVERAGE('Pré Implantação'!M300)),"")</f>
        <v/>
      </c>
      <c r="J300" s="34" t="str">
        <f>IFERROR(IF('Pré Implantação'!B300="Engenharia",AVERAGE('Pré Implantação'!D300,'Pré Implantação'!L300,'Pré Implantação'!N300),AVERAGE('Pré Implantação'!N300)),"")</f>
        <v/>
      </c>
      <c r="K300" s="34" t="str">
        <f>IFERROR(IF('Pré Implantação'!B300="URA",AVERAGE('Pré Implantação'!D300,'Pré Implantação'!L300),""),"")</f>
        <v/>
      </c>
      <c r="L300" s="34" t="str">
        <f>IFERROR(IF('Pré Implantação'!B300="CSE Microsoft",AVERAGE('Pré Implantação'!D300,'Pré Implantação'!L300),""),"")</f>
        <v/>
      </c>
      <c r="M300" s="34" t="str">
        <f>IFERROR(IF('Pré Implantação'!B300="CSE Telecom",AVERAGE('Pré Implantação'!D300,'Pré Implantação'!L300),""),"")</f>
        <v/>
      </c>
      <c r="N300" s="34" t="str">
        <f>IFERROR(IF('Pré Implantação'!B300="Site Suporte de Campo",AVERAGE('Pré Implantação'!D300,'Pré Implantação'!L300),""),"")</f>
        <v/>
      </c>
      <c r="O300" s="49" t="str">
        <f>IFERROR(IF('Pré Implantação'!B300="Infraestrutura",AVERAGE('Pré Implantação'!D300,'Pré Implantação'!L300),""),"")</f>
        <v/>
      </c>
    </row>
    <row r="301" spans="1:15" x14ac:dyDescent="0.3">
      <c r="A301" s="33">
        <f>'Pré Implantação'!A301</f>
        <v>0</v>
      </c>
      <c r="B301" s="36">
        <f>'Pré Implantação'!C301</f>
        <v>0</v>
      </c>
      <c r="C301" s="34" t="str">
        <f>IFERROR(IF('Pré Implantação'!B301="Produção TI",AVERAGE('Pré Implantação'!D301,'Pré Implantação'!L301,'Pré Implantação'!E301,'Pré Implantação'!H301),AVERAGE('Pré Implantação'!E301,'Pré Implantação'!H301)),"")</f>
        <v/>
      </c>
      <c r="D301" s="34" t="str">
        <f>IFERROR(IF('Pré Implantação'!B301="CSC Service Desk",AVERAGE('Pré Implantação'!D301,'Pré Implantação'!L301,'Pré Implantação'!F301),AVERAGE('Pré Implantação'!F301)),"")</f>
        <v/>
      </c>
      <c r="E301" s="34" t="str">
        <f>IFERROR(IF('Pré Implantação'!B301="CSC NOC",AVERAGE('Pré Implantação'!D301,'Pré Implantação'!L301,'Pré Implantação'!G301),AVERAGE('Pré Implantação'!G301)),"")</f>
        <v/>
      </c>
      <c r="F301" s="34" t="str">
        <f>IFERROR(IF('Pré Implantação'!B301="CSE Gravadores",AVERAGE('Pré Implantação'!D301,'Pré Implantação'!L301,'Pré Implantação'!I301),AVERAGE('Pré Implantação'!I301)),"")</f>
        <v/>
      </c>
      <c r="G301" s="34" t="str">
        <f>IFERROR(IF('Pré Implantação'!B301="CSC",AVERAGE('Pré Implantação'!D301,'Pré Implantação'!L301,'Pré Implantação'!J301),AVERAGE('Pré Implantação'!J301)),"")</f>
        <v/>
      </c>
      <c r="H301" s="34" t="str">
        <f>IFERROR(IF('Pré Implantação'!B301="Operações \ Negócio",AVERAGE('Pré Implantação'!D301,'Pré Implantação'!L301,'Pré Implantação'!K301),AVERAGE('Pré Implantação'!K301)),"")</f>
        <v/>
      </c>
      <c r="I301" s="34" t="str">
        <f>IFERROR(IF('Pré Implantação'!B301="Projetos",AVERAGE('Pré Implantação'!D301,'Pré Implantação'!L301,'Pré Implantação'!M301),AVERAGE('Pré Implantação'!M301)),"")</f>
        <v/>
      </c>
      <c r="J301" s="34" t="str">
        <f>IFERROR(IF('Pré Implantação'!B301="Engenharia",AVERAGE('Pré Implantação'!D301,'Pré Implantação'!L301,'Pré Implantação'!N301),AVERAGE('Pré Implantação'!N301)),"")</f>
        <v/>
      </c>
      <c r="K301" s="34" t="str">
        <f>IFERROR(IF('Pré Implantação'!B301="URA",AVERAGE('Pré Implantação'!D301,'Pré Implantação'!L301),""),"")</f>
        <v/>
      </c>
      <c r="L301" s="34" t="str">
        <f>IFERROR(IF('Pré Implantação'!B301="CSE Microsoft",AVERAGE('Pré Implantação'!D301,'Pré Implantação'!L301),""),"")</f>
        <v/>
      </c>
      <c r="M301" s="34" t="str">
        <f>IFERROR(IF('Pré Implantação'!B301="CSE Telecom",AVERAGE('Pré Implantação'!D301,'Pré Implantação'!L301),""),"")</f>
        <v/>
      </c>
      <c r="N301" s="34" t="str">
        <f>IFERROR(IF('Pré Implantação'!B301="Site Suporte de Campo",AVERAGE('Pré Implantação'!D301,'Pré Implantação'!L301),""),"")</f>
        <v/>
      </c>
      <c r="O301" s="49" t="str">
        <f>IFERROR(IF('Pré Implantação'!B301="Infraestrutura",AVERAGE('Pré Implantação'!D301,'Pré Implantação'!L301),""),"")</f>
        <v/>
      </c>
    </row>
    <row r="302" spans="1:15" x14ac:dyDescent="0.3">
      <c r="A302" s="33">
        <f>'Pré Implantação'!A302</f>
        <v>0</v>
      </c>
      <c r="B302" s="36">
        <f>'Pré Implantação'!C302</f>
        <v>0</v>
      </c>
      <c r="C302" s="34" t="str">
        <f>IFERROR(IF('Pré Implantação'!B302="Produção TI",AVERAGE('Pré Implantação'!D302,'Pré Implantação'!L302,'Pré Implantação'!E302,'Pré Implantação'!H302),AVERAGE('Pré Implantação'!E302,'Pré Implantação'!H302)),"")</f>
        <v/>
      </c>
      <c r="D302" s="34" t="str">
        <f>IFERROR(IF('Pré Implantação'!B302="CSC Service Desk",AVERAGE('Pré Implantação'!D302,'Pré Implantação'!L302,'Pré Implantação'!F302),AVERAGE('Pré Implantação'!F302)),"")</f>
        <v/>
      </c>
      <c r="E302" s="34" t="str">
        <f>IFERROR(IF('Pré Implantação'!B302="CSC NOC",AVERAGE('Pré Implantação'!D302,'Pré Implantação'!L302,'Pré Implantação'!G302),AVERAGE('Pré Implantação'!G302)),"")</f>
        <v/>
      </c>
      <c r="F302" s="34" t="str">
        <f>IFERROR(IF('Pré Implantação'!B302="CSE Gravadores",AVERAGE('Pré Implantação'!D302,'Pré Implantação'!L302,'Pré Implantação'!I302),AVERAGE('Pré Implantação'!I302)),"")</f>
        <v/>
      </c>
      <c r="G302" s="34" t="str">
        <f>IFERROR(IF('Pré Implantação'!B302="CSC",AVERAGE('Pré Implantação'!D302,'Pré Implantação'!L302,'Pré Implantação'!J302),AVERAGE('Pré Implantação'!J302)),"")</f>
        <v/>
      </c>
      <c r="H302" s="34" t="str">
        <f>IFERROR(IF('Pré Implantação'!B302="Operações \ Negócio",AVERAGE('Pré Implantação'!D302,'Pré Implantação'!L302,'Pré Implantação'!K302),AVERAGE('Pré Implantação'!K302)),"")</f>
        <v/>
      </c>
      <c r="I302" s="34" t="str">
        <f>IFERROR(IF('Pré Implantação'!B302="Projetos",AVERAGE('Pré Implantação'!D302,'Pré Implantação'!L302,'Pré Implantação'!M302),AVERAGE('Pré Implantação'!M302)),"")</f>
        <v/>
      </c>
      <c r="J302" s="34" t="str">
        <f>IFERROR(IF('Pré Implantação'!B302="Engenharia",AVERAGE('Pré Implantação'!D302,'Pré Implantação'!L302,'Pré Implantação'!N302),AVERAGE('Pré Implantação'!N302)),"")</f>
        <v/>
      </c>
      <c r="K302" s="34" t="str">
        <f>IFERROR(IF('Pré Implantação'!B302="URA",AVERAGE('Pré Implantação'!D302,'Pré Implantação'!L302),""),"")</f>
        <v/>
      </c>
      <c r="L302" s="34" t="str">
        <f>IFERROR(IF('Pré Implantação'!B302="CSE Microsoft",AVERAGE('Pré Implantação'!D302,'Pré Implantação'!L302),""),"")</f>
        <v/>
      </c>
      <c r="M302" s="34" t="str">
        <f>IFERROR(IF('Pré Implantação'!B302="CSE Telecom",AVERAGE('Pré Implantação'!D302,'Pré Implantação'!L302),""),"")</f>
        <v/>
      </c>
      <c r="N302" s="34" t="str">
        <f>IFERROR(IF('Pré Implantação'!B302="Site Suporte de Campo",AVERAGE('Pré Implantação'!D302,'Pré Implantação'!L302),""),"")</f>
        <v/>
      </c>
      <c r="O302" s="49" t="str">
        <f>IFERROR(IF('Pré Implantação'!B302="Infraestrutura",AVERAGE('Pré Implantação'!D302,'Pré Implantação'!L302),""),"")</f>
        <v/>
      </c>
    </row>
    <row r="303" spans="1:15" x14ac:dyDescent="0.3">
      <c r="A303" s="33">
        <f>'Pré Implantação'!A303</f>
        <v>0</v>
      </c>
      <c r="B303" s="36">
        <f>'Pré Implantação'!C303</f>
        <v>0</v>
      </c>
      <c r="C303" s="34" t="str">
        <f>IFERROR(IF('Pré Implantação'!B303="Produção TI",AVERAGE('Pré Implantação'!D303,'Pré Implantação'!L303,'Pré Implantação'!E303,'Pré Implantação'!H303),AVERAGE('Pré Implantação'!E303,'Pré Implantação'!H303)),"")</f>
        <v/>
      </c>
      <c r="D303" s="34" t="str">
        <f>IFERROR(IF('Pré Implantação'!B303="CSC Service Desk",AVERAGE('Pré Implantação'!D303,'Pré Implantação'!L303,'Pré Implantação'!F303),AVERAGE('Pré Implantação'!F303)),"")</f>
        <v/>
      </c>
      <c r="E303" s="34" t="str">
        <f>IFERROR(IF('Pré Implantação'!B303="CSC NOC",AVERAGE('Pré Implantação'!D303,'Pré Implantação'!L303,'Pré Implantação'!G303),AVERAGE('Pré Implantação'!G303)),"")</f>
        <v/>
      </c>
      <c r="F303" s="34" t="str">
        <f>IFERROR(IF('Pré Implantação'!B303="CSE Gravadores",AVERAGE('Pré Implantação'!D303,'Pré Implantação'!L303,'Pré Implantação'!I303),AVERAGE('Pré Implantação'!I303)),"")</f>
        <v/>
      </c>
      <c r="G303" s="34" t="str">
        <f>IFERROR(IF('Pré Implantação'!B303="CSC",AVERAGE('Pré Implantação'!D303,'Pré Implantação'!L303,'Pré Implantação'!J303),AVERAGE('Pré Implantação'!J303)),"")</f>
        <v/>
      </c>
      <c r="H303" s="34" t="str">
        <f>IFERROR(IF('Pré Implantação'!B303="Operações \ Negócio",AVERAGE('Pré Implantação'!D303,'Pré Implantação'!L303,'Pré Implantação'!K303),AVERAGE('Pré Implantação'!K303)),"")</f>
        <v/>
      </c>
      <c r="I303" s="34" t="str">
        <f>IFERROR(IF('Pré Implantação'!B303="Projetos",AVERAGE('Pré Implantação'!D303,'Pré Implantação'!L303,'Pré Implantação'!M303),AVERAGE('Pré Implantação'!M303)),"")</f>
        <v/>
      </c>
      <c r="J303" s="34" t="str">
        <f>IFERROR(IF('Pré Implantação'!B303="Engenharia",AVERAGE('Pré Implantação'!D303,'Pré Implantação'!L303,'Pré Implantação'!N303),AVERAGE('Pré Implantação'!N303)),"")</f>
        <v/>
      </c>
      <c r="K303" s="34" t="str">
        <f>IFERROR(IF('Pré Implantação'!B303="URA",AVERAGE('Pré Implantação'!D303,'Pré Implantação'!L303),""),"")</f>
        <v/>
      </c>
      <c r="L303" s="34" t="str">
        <f>IFERROR(IF('Pré Implantação'!B303="CSE Microsoft",AVERAGE('Pré Implantação'!D303,'Pré Implantação'!L303),""),"")</f>
        <v/>
      </c>
      <c r="M303" s="34" t="str">
        <f>IFERROR(IF('Pré Implantação'!B303="CSE Telecom",AVERAGE('Pré Implantação'!D303,'Pré Implantação'!L303),""),"")</f>
        <v/>
      </c>
      <c r="N303" s="34" t="str">
        <f>IFERROR(IF('Pré Implantação'!B303="Site Suporte de Campo",AVERAGE('Pré Implantação'!D303,'Pré Implantação'!L303),""),"")</f>
        <v/>
      </c>
      <c r="O303" s="49" t="str">
        <f>IFERROR(IF('Pré Implantação'!B303="Infraestrutura",AVERAGE('Pré Implantação'!D303,'Pré Implantação'!L303),""),"")</f>
        <v/>
      </c>
    </row>
    <row r="304" spans="1:15" x14ac:dyDescent="0.3">
      <c r="A304" s="33">
        <f>'Pré Implantação'!A304</f>
        <v>0</v>
      </c>
      <c r="B304" s="36">
        <f>'Pré Implantação'!C304</f>
        <v>0</v>
      </c>
      <c r="C304" s="34" t="str">
        <f>IFERROR(IF('Pré Implantação'!B304="Produção TI",AVERAGE('Pré Implantação'!D304,'Pré Implantação'!L304,'Pré Implantação'!E304,'Pré Implantação'!H304),AVERAGE('Pré Implantação'!E304,'Pré Implantação'!H304)),"")</f>
        <v/>
      </c>
      <c r="D304" s="34" t="str">
        <f>IFERROR(IF('Pré Implantação'!B304="CSC Service Desk",AVERAGE('Pré Implantação'!D304,'Pré Implantação'!L304,'Pré Implantação'!F304),AVERAGE('Pré Implantação'!F304)),"")</f>
        <v/>
      </c>
      <c r="E304" s="34" t="str">
        <f>IFERROR(IF('Pré Implantação'!B304="CSC NOC",AVERAGE('Pré Implantação'!D304,'Pré Implantação'!L304,'Pré Implantação'!G304),AVERAGE('Pré Implantação'!G304)),"")</f>
        <v/>
      </c>
      <c r="F304" s="34" t="str">
        <f>IFERROR(IF('Pré Implantação'!B304="CSE Gravadores",AVERAGE('Pré Implantação'!D304,'Pré Implantação'!L304,'Pré Implantação'!I304),AVERAGE('Pré Implantação'!I304)),"")</f>
        <v/>
      </c>
      <c r="G304" s="34" t="str">
        <f>IFERROR(IF('Pré Implantação'!B304="CSC",AVERAGE('Pré Implantação'!D304,'Pré Implantação'!L304,'Pré Implantação'!J304),AVERAGE('Pré Implantação'!J304)),"")</f>
        <v/>
      </c>
      <c r="H304" s="34" t="str">
        <f>IFERROR(IF('Pré Implantação'!B304="Operações \ Negócio",AVERAGE('Pré Implantação'!D304,'Pré Implantação'!L304,'Pré Implantação'!K304),AVERAGE('Pré Implantação'!K304)),"")</f>
        <v/>
      </c>
      <c r="I304" s="34" t="str">
        <f>IFERROR(IF('Pré Implantação'!B304="Projetos",AVERAGE('Pré Implantação'!D304,'Pré Implantação'!L304,'Pré Implantação'!M304),AVERAGE('Pré Implantação'!M304)),"")</f>
        <v/>
      </c>
      <c r="J304" s="34" t="str">
        <f>IFERROR(IF('Pré Implantação'!B304="Engenharia",AVERAGE('Pré Implantação'!D304,'Pré Implantação'!L304,'Pré Implantação'!N304),AVERAGE('Pré Implantação'!N304)),"")</f>
        <v/>
      </c>
      <c r="K304" s="34" t="str">
        <f>IFERROR(IF('Pré Implantação'!B304="URA",AVERAGE('Pré Implantação'!D304,'Pré Implantação'!L304),""),"")</f>
        <v/>
      </c>
      <c r="L304" s="34" t="str">
        <f>IFERROR(IF('Pré Implantação'!B304="CSE Microsoft",AVERAGE('Pré Implantação'!D304,'Pré Implantação'!L304),""),"")</f>
        <v/>
      </c>
      <c r="M304" s="34" t="str">
        <f>IFERROR(IF('Pré Implantação'!B304="CSE Telecom",AVERAGE('Pré Implantação'!D304,'Pré Implantação'!L304),""),"")</f>
        <v/>
      </c>
      <c r="N304" s="34" t="str">
        <f>IFERROR(IF('Pré Implantação'!B304="Site Suporte de Campo",AVERAGE('Pré Implantação'!D304,'Pré Implantação'!L304),""),"")</f>
        <v/>
      </c>
      <c r="O304" s="49" t="str">
        <f>IFERROR(IF('Pré Implantação'!B304="Infraestrutura",AVERAGE('Pré Implantação'!D304,'Pré Implantação'!L304),""),"")</f>
        <v/>
      </c>
    </row>
    <row r="305" spans="1:15" x14ac:dyDescent="0.3">
      <c r="A305" s="33">
        <f>'Pré Implantação'!A305</f>
        <v>0</v>
      </c>
      <c r="B305" s="36">
        <f>'Pré Implantação'!C305</f>
        <v>0</v>
      </c>
      <c r="C305" s="34" t="str">
        <f>IFERROR(IF('Pré Implantação'!B305="Produção TI",AVERAGE('Pré Implantação'!D305,'Pré Implantação'!L305,'Pré Implantação'!E305,'Pré Implantação'!H305),AVERAGE('Pré Implantação'!E305,'Pré Implantação'!H305)),"")</f>
        <v/>
      </c>
      <c r="D305" s="34" t="str">
        <f>IFERROR(IF('Pré Implantação'!B305="CSC Service Desk",AVERAGE('Pré Implantação'!D305,'Pré Implantação'!L305,'Pré Implantação'!F305),AVERAGE('Pré Implantação'!F305)),"")</f>
        <v/>
      </c>
      <c r="E305" s="34" t="str">
        <f>IFERROR(IF('Pré Implantação'!B305="CSC NOC",AVERAGE('Pré Implantação'!D305,'Pré Implantação'!L305,'Pré Implantação'!G305),AVERAGE('Pré Implantação'!G305)),"")</f>
        <v/>
      </c>
      <c r="F305" s="34" t="str">
        <f>IFERROR(IF('Pré Implantação'!B305="CSE Gravadores",AVERAGE('Pré Implantação'!D305,'Pré Implantação'!L305,'Pré Implantação'!I305),AVERAGE('Pré Implantação'!I305)),"")</f>
        <v/>
      </c>
      <c r="G305" s="34" t="str">
        <f>IFERROR(IF('Pré Implantação'!B305="CSC",AVERAGE('Pré Implantação'!D305,'Pré Implantação'!L305,'Pré Implantação'!J305),AVERAGE('Pré Implantação'!J305)),"")</f>
        <v/>
      </c>
      <c r="H305" s="34" t="str">
        <f>IFERROR(IF('Pré Implantação'!B305="Operações \ Negócio",AVERAGE('Pré Implantação'!D305,'Pré Implantação'!L305,'Pré Implantação'!K305),AVERAGE('Pré Implantação'!K305)),"")</f>
        <v/>
      </c>
      <c r="I305" s="34" t="str">
        <f>IFERROR(IF('Pré Implantação'!B305="Projetos",AVERAGE('Pré Implantação'!D305,'Pré Implantação'!L305,'Pré Implantação'!M305),AVERAGE('Pré Implantação'!M305)),"")</f>
        <v/>
      </c>
      <c r="J305" s="34" t="str">
        <f>IFERROR(IF('Pré Implantação'!B305="Engenharia",AVERAGE('Pré Implantação'!D305,'Pré Implantação'!L305,'Pré Implantação'!N305),AVERAGE('Pré Implantação'!N305)),"")</f>
        <v/>
      </c>
      <c r="K305" s="34" t="str">
        <f>IFERROR(IF('Pré Implantação'!B305="URA",AVERAGE('Pré Implantação'!D305,'Pré Implantação'!L305),""),"")</f>
        <v/>
      </c>
      <c r="L305" s="34" t="str">
        <f>IFERROR(IF('Pré Implantação'!B305="CSE Microsoft",AVERAGE('Pré Implantação'!D305,'Pré Implantação'!L305),""),"")</f>
        <v/>
      </c>
      <c r="M305" s="34" t="str">
        <f>IFERROR(IF('Pré Implantação'!B305="CSE Telecom",AVERAGE('Pré Implantação'!D305,'Pré Implantação'!L305),""),"")</f>
        <v/>
      </c>
      <c r="N305" s="34" t="str">
        <f>IFERROR(IF('Pré Implantação'!B305="Site Suporte de Campo",AVERAGE('Pré Implantação'!D305,'Pré Implantação'!L305),""),"")</f>
        <v/>
      </c>
      <c r="O305" s="49" t="str">
        <f>IFERROR(IF('Pré Implantação'!B305="Infraestrutura",AVERAGE('Pré Implantação'!D305,'Pré Implantação'!L305),""),"")</f>
        <v/>
      </c>
    </row>
    <row r="306" spans="1:15" x14ac:dyDescent="0.3">
      <c r="A306" s="33">
        <f>'Pré Implantação'!A306</f>
        <v>0</v>
      </c>
      <c r="B306" s="36">
        <f>'Pré Implantação'!C306</f>
        <v>0</v>
      </c>
      <c r="C306" s="34" t="str">
        <f>IFERROR(IF('Pré Implantação'!B306="Produção TI",AVERAGE('Pré Implantação'!D306,'Pré Implantação'!L306,'Pré Implantação'!E306,'Pré Implantação'!H306),AVERAGE('Pré Implantação'!E306,'Pré Implantação'!H306)),"")</f>
        <v/>
      </c>
      <c r="D306" s="34" t="str">
        <f>IFERROR(IF('Pré Implantação'!B306="CSC Service Desk",AVERAGE('Pré Implantação'!D306,'Pré Implantação'!L306,'Pré Implantação'!F306),AVERAGE('Pré Implantação'!F306)),"")</f>
        <v/>
      </c>
      <c r="E306" s="34" t="str">
        <f>IFERROR(IF('Pré Implantação'!B306="CSC NOC",AVERAGE('Pré Implantação'!D306,'Pré Implantação'!L306,'Pré Implantação'!G306),AVERAGE('Pré Implantação'!G306)),"")</f>
        <v/>
      </c>
      <c r="F306" s="34" t="str">
        <f>IFERROR(IF('Pré Implantação'!B306="CSE Gravadores",AVERAGE('Pré Implantação'!D306,'Pré Implantação'!L306,'Pré Implantação'!I306),AVERAGE('Pré Implantação'!I306)),"")</f>
        <v/>
      </c>
      <c r="G306" s="34" t="str">
        <f>IFERROR(IF('Pré Implantação'!B306="CSC",AVERAGE('Pré Implantação'!D306,'Pré Implantação'!L306,'Pré Implantação'!J306),AVERAGE('Pré Implantação'!J306)),"")</f>
        <v/>
      </c>
      <c r="H306" s="34" t="str">
        <f>IFERROR(IF('Pré Implantação'!B306="Operações \ Negócio",AVERAGE('Pré Implantação'!D306,'Pré Implantação'!L306,'Pré Implantação'!K306),AVERAGE('Pré Implantação'!K306)),"")</f>
        <v/>
      </c>
      <c r="I306" s="34" t="str">
        <f>IFERROR(IF('Pré Implantação'!B306="Projetos",AVERAGE('Pré Implantação'!D306,'Pré Implantação'!L306,'Pré Implantação'!M306),AVERAGE('Pré Implantação'!M306)),"")</f>
        <v/>
      </c>
      <c r="J306" s="34" t="str">
        <f>IFERROR(IF('Pré Implantação'!B306="Engenharia",AVERAGE('Pré Implantação'!D306,'Pré Implantação'!L306,'Pré Implantação'!N306),AVERAGE('Pré Implantação'!N306)),"")</f>
        <v/>
      </c>
      <c r="K306" s="34" t="str">
        <f>IFERROR(IF('Pré Implantação'!B306="URA",AVERAGE('Pré Implantação'!D306,'Pré Implantação'!L306),""),"")</f>
        <v/>
      </c>
      <c r="L306" s="34" t="str">
        <f>IFERROR(IF('Pré Implantação'!B306="CSE Microsoft",AVERAGE('Pré Implantação'!D306,'Pré Implantação'!L306),""),"")</f>
        <v/>
      </c>
      <c r="M306" s="34" t="str">
        <f>IFERROR(IF('Pré Implantação'!B306="CSE Telecom",AVERAGE('Pré Implantação'!D306,'Pré Implantação'!L306),""),"")</f>
        <v/>
      </c>
      <c r="N306" s="34" t="str">
        <f>IFERROR(IF('Pré Implantação'!B306="Site Suporte de Campo",AVERAGE('Pré Implantação'!D306,'Pré Implantação'!L306),""),"")</f>
        <v/>
      </c>
      <c r="O306" s="49" t="str">
        <f>IFERROR(IF('Pré Implantação'!B306="Infraestrutura",AVERAGE('Pré Implantação'!D306,'Pré Implantação'!L306),""),"")</f>
        <v/>
      </c>
    </row>
    <row r="307" spans="1:15" x14ac:dyDescent="0.3">
      <c r="A307" s="33">
        <f>'Pré Implantação'!A307</f>
        <v>0</v>
      </c>
      <c r="B307" s="36">
        <f>'Pré Implantação'!C307</f>
        <v>0</v>
      </c>
      <c r="C307" s="34" t="str">
        <f>IFERROR(IF('Pré Implantação'!B307="Produção TI",AVERAGE('Pré Implantação'!D307,'Pré Implantação'!L307,'Pré Implantação'!E307,'Pré Implantação'!H307),AVERAGE('Pré Implantação'!E307,'Pré Implantação'!H307)),"")</f>
        <v/>
      </c>
      <c r="D307" s="34" t="str">
        <f>IFERROR(IF('Pré Implantação'!B307="CSC Service Desk",AVERAGE('Pré Implantação'!D307,'Pré Implantação'!L307,'Pré Implantação'!F307),AVERAGE('Pré Implantação'!F307)),"")</f>
        <v/>
      </c>
      <c r="E307" s="34" t="str">
        <f>IFERROR(IF('Pré Implantação'!B307="CSC NOC",AVERAGE('Pré Implantação'!D307,'Pré Implantação'!L307,'Pré Implantação'!G307),AVERAGE('Pré Implantação'!G307)),"")</f>
        <v/>
      </c>
      <c r="F307" s="34" t="str">
        <f>IFERROR(IF('Pré Implantação'!B307="CSE Gravadores",AVERAGE('Pré Implantação'!D307,'Pré Implantação'!L307,'Pré Implantação'!I307),AVERAGE('Pré Implantação'!I307)),"")</f>
        <v/>
      </c>
      <c r="G307" s="34" t="str">
        <f>IFERROR(IF('Pré Implantação'!B307="CSC",AVERAGE('Pré Implantação'!D307,'Pré Implantação'!L307,'Pré Implantação'!J307),AVERAGE('Pré Implantação'!J307)),"")</f>
        <v/>
      </c>
      <c r="H307" s="34" t="str">
        <f>IFERROR(IF('Pré Implantação'!B307="Operações \ Negócio",AVERAGE('Pré Implantação'!D307,'Pré Implantação'!L307,'Pré Implantação'!K307),AVERAGE('Pré Implantação'!K307)),"")</f>
        <v/>
      </c>
      <c r="I307" s="34" t="str">
        <f>IFERROR(IF('Pré Implantação'!B307="Projetos",AVERAGE('Pré Implantação'!D307,'Pré Implantação'!L307,'Pré Implantação'!M307),AVERAGE('Pré Implantação'!M307)),"")</f>
        <v/>
      </c>
      <c r="J307" s="34" t="str">
        <f>IFERROR(IF('Pré Implantação'!B307="Engenharia",AVERAGE('Pré Implantação'!D307,'Pré Implantação'!L307,'Pré Implantação'!N307),AVERAGE('Pré Implantação'!N307)),"")</f>
        <v/>
      </c>
      <c r="K307" s="34" t="str">
        <f>IFERROR(IF('Pré Implantação'!B307="URA",AVERAGE('Pré Implantação'!D307,'Pré Implantação'!L307),""),"")</f>
        <v/>
      </c>
      <c r="L307" s="34" t="str">
        <f>IFERROR(IF('Pré Implantação'!B307="CSE Microsoft",AVERAGE('Pré Implantação'!D307,'Pré Implantação'!L307),""),"")</f>
        <v/>
      </c>
      <c r="M307" s="34" t="str">
        <f>IFERROR(IF('Pré Implantação'!B307="CSE Telecom",AVERAGE('Pré Implantação'!D307,'Pré Implantação'!L307),""),"")</f>
        <v/>
      </c>
      <c r="N307" s="34" t="str">
        <f>IFERROR(IF('Pré Implantação'!B307="Site Suporte de Campo",AVERAGE('Pré Implantação'!D307,'Pré Implantação'!L307),""),"")</f>
        <v/>
      </c>
      <c r="O307" s="49" t="str">
        <f>IFERROR(IF('Pré Implantação'!B307="Infraestrutura",AVERAGE('Pré Implantação'!D307,'Pré Implantação'!L307),""),"")</f>
        <v/>
      </c>
    </row>
    <row r="308" spans="1:15" x14ac:dyDescent="0.3">
      <c r="A308" s="33">
        <f>'Pré Implantação'!A308</f>
        <v>0</v>
      </c>
      <c r="B308" s="36">
        <f>'Pré Implantação'!C308</f>
        <v>0</v>
      </c>
      <c r="C308" s="34" t="str">
        <f>IFERROR(IF('Pré Implantação'!B308="Produção TI",AVERAGE('Pré Implantação'!D308,'Pré Implantação'!L308,'Pré Implantação'!E308,'Pré Implantação'!H308),AVERAGE('Pré Implantação'!E308,'Pré Implantação'!H308)),"")</f>
        <v/>
      </c>
      <c r="D308" s="34" t="str">
        <f>IFERROR(IF('Pré Implantação'!B308="CSC Service Desk",AVERAGE('Pré Implantação'!D308,'Pré Implantação'!L308,'Pré Implantação'!F308),AVERAGE('Pré Implantação'!F308)),"")</f>
        <v/>
      </c>
      <c r="E308" s="34" t="str">
        <f>IFERROR(IF('Pré Implantação'!B308="CSC NOC",AVERAGE('Pré Implantação'!D308,'Pré Implantação'!L308,'Pré Implantação'!G308),AVERAGE('Pré Implantação'!G308)),"")</f>
        <v/>
      </c>
      <c r="F308" s="34" t="str">
        <f>IFERROR(IF('Pré Implantação'!B308="CSE Gravadores",AVERAGE('Pré Implantação'!D308,'Pré Implantação'!L308,'Pré Implantação'!I308),AVERAGE('Pré Implantação'!I308)),"")</f>
        <v/>
      </c>
      <c r="G308" s="34" t="str">
        <f>IFERROR(IF('Pré Implantação'!B308="CSC",AVERAGE('Pré Implantação'!D308,'Pré Implantação'!L308,'Pré Implantação'!J308),AVERAGE('Pré Implantação'!J308)),"")</f>
        <v/>
      </c>
      <c r="H308" s="34" t="str">
        <f>IFERROR(IF('Pré Implantação'!B308="Operações \ Negócio",AVERAGE('Pré Implantação'!D308,'Pré Implantação'!L308,'Pré Implantação'!K308),AVERAGE('Pré Implantação'!K308)),"")</f>
        <v/>
      </c>
      <c r="I308" s="34" t="str">
        <f>IFERROR(IF('Pré Implantação'!B308="Projetos",AVERAGE('Pré Implantação'!D308,'Pré Implantação'!L308,'Pré Implantação'!M308),AVERAGE('Pré Implantação'!M308)),"")</f>
        <v/>
      </c>
      <c r="J308" s="34" t="str">
        <f>IFERROR(IF('Pré Implantação'!B308="Engenharia",AVERAGE('Pré Implantação'!D308,'Pré Implantação'!L308,'Pré Implantação'!N308),AVERAGE('Pré Implantação'!N308)),"")</f>
        <v/>
      </c>
      <c r="K308" s="34" t="str">
        <f>IFERROR(IF('Pré Implantação'!B308="URA",AVERAGE('Pré Implantação'!D308,'Pré Implantação'!L308),""),"")</f>
        <v/>
      </c>
      <c r="L308" s="34" t="str">
        <f>IFERROR(IF('Pré Implantação'!B308="CSE Microsoft",AVERAGE('Pré Implantação'!D308,'Pré Implantação'!L308),""),"")</f>
        <v/>
      </c>
      <c r="M308" s="34" t="str">
        <f>IFERROR(IF('Pré Implantação'!B308="CSE Telecom",AVERAGE('Pré Implantação'!D308,'Pré Implantação'!L308),""),"")</f>
        <v/>
      </c>
      <c r="N308" s="34" t="str">
        <f>IFERROR(IF('Pré Implantação'!B308="Site Suporte de Campo",AVERAGE('Pré Implantação'!D308,'Pré Implantação'!L308),""),"")</f>
        <v/>
      </c>
      <c r="O308" s="49" t="str">
        <f>IFERROR(IF('Pré Implantação'!B308="Infraestrutura",AVERAGE('Pré Implantação'!D308,'Pré Implantação'!L308),""),"")</f>
        <v/>
      </c>
    </row>
    <row r="309" spans="1:15" x14ac:dyDescent="0.3">
      <c r="A309" s="33">
        <f>'Pré Implantação'!A309</f>
        <v>0</v>
      </c>
      <c r="B309" s="36">
        <f>'Pré Implantação'!C309</f>
        <v>0</v>
      </c>
      <c r="C309" s="34" t="str">
        <f>IFERROR(IF('Pré Implantação'!B309="Produção TI",AVERAGE('Pré Implantação'!D309,'Pré Implantação'!L309,'Pré Implantação'!E309,'Pré Implantação'!H309),AVERAGE('Pré Implantação'!E309,'Pré Implantação'!H309)),"")</f>
        <v/>
      </c>
      <c r="D309" s="34" t="str">
        <f>IFERROR(IF('Pré Implantação'!B309="CSC Service Desk",AVERAGE('Pré Implantação'!D309,'Pré Implantação'!L309,'Pré Implantação'!F309),AVERAGE('Pré Implantação'!F309)),"")</f>
        <v/>
      </c>
      <c r="E309" s="34" t="str">
        <f>IFERROR(IF('Pré Implantação'!B309="CSC NOC",AVERAGE('Pré Implantação'!D309,'Pré Implantação'!L309,'Pré Implantação'!G309),AVERAGE('Pré Implantação'!G309)),"")</f>
        <v/>
      </c>
      <c r="F309" s="34" t="str">
        <f>IFERROR(IF('Pré Implantação'!B309="CSE Gravadores",AVERAGE('Pré Implantação'!D309,'Pré Implantação'!L309,'Pré Implantação'!I309),AVERAGE('Pré Implantação'!I309)),"")</f>
        <v/>
      </c>
      <c r="G309" s="34" t="str">
        <f>IFERROR(IF('Pré Implantação'!B309="CSC",AVERAGE('Pré Implantação'!D309,'Pré Implantação'!L309,'Pré Implantação'!J309),AVERAGE('Pré Implantação'!J309)),"")</f>
        <v/>
      </c>
      <c r="H309" s="34" t="str">
        <f>IFERROR(IF('Pré Implantação'!B309="Operações \ Negócio",AVERAGE('Pré Implantação'!D309,'Pré Implantação'!L309,'Pré Implantação'!K309),AVERAGE('Pré Implantação'!K309)),"")</f>
        <v/>
      </c>
      <c r="I309" s="34" t="str">
        <f>IFERROR(IF('Pré Implantação'!B309="Projetos",AVERAGE('Pré Implantação'!D309,'Pré Implantação'!L309,'Pré Implantação'!M309),AVERAGE('Pré Implantação'!M309)),"")</f>
        <v/>
      </c>
      <c r="J309" s="34" t="str">
        <f>IFERROR(IF('Pré Implantação'!B309="Engenharia",AVERAGE('Pré Implantação'!D309,'Pré Implantação'!L309,'Pré Implantação'!N309),AVERAGE('Pré Implantação'!N309)),"")</f>
        <v/>
      </c>
      <c r="K309" s="34" t="str">
        <f>IFERROR(IF('Pré Implantação'!B309="URA",AVERAGE('Pré Implantação'!D309,'Pré Implantação'!L309),""),"")</f>
        <v/>
      </c>
      <c r="L309" s="34" t="str">
        <f>IFERROR(IF('Pré Implantação'!B309="CSE Microsoft",AVERAGE('Pré Implantação'!D309,'Pré Implantação'!L309),""),"")</f>
        <v/>
      </c>
      <c r="M309" s="34" t="str">
        <f>IFERROR(IF('Pré Implantação'!B309="CSE Telecom",AVERAGE('Pré Implantação'!D309,'Pré Implantação'!L309),""),"")</f>
        <v/>
      </c>
      <c r="N309" s="34" t="str">
        <f>IFERROR(IF('Pré Implantação'!B309="Site Suporte de Campo",AVERAGE('Pré Implantação'!D309,'Pré Implantação'!L309),""),"")</f>
        <v/>
      </c>
      <c r="O309" s="49" t="str">
        <f>IFERROR(IF('Pré Implantação'!B309="Infraestrutura",AVERAGE('Pré Implantação'!D309,'Pré Implantação'!L309),""),"")</f>
        <v/>
      </c>
    </row>
    <row r="310" spans="1:15" x14ac:dyDescent="0.3">
      <c r="A310" s="33">
        <f>'Pré Implantação'!A310</f>
        <v>0</v>
      </c>
      <c r="B310" s="36">
        <f>'Pré Implantação'!C310</f>
        <v>0</v>
      </c>
      <c r="C310" s="34" t="str">
        <f>IFERROR(IF('Pré Implantação'!B310="Produção TI",AVERAGE('Pré Implantação'!D310,'Pré Implantação'!L310,'Pré Implantação'!E310,'Pré Implantação'!H310),AVERAGE('Pré Implantação'!E310,'Pré Implantação'!H310)),"")</f>
        <v/>
      </c>
      <c r="D310" s="34" t="str">
        <f>IFERROR(IF('Pré Implantação'!B310="CSC Service Desk",AVERAGE('Pré Implantação'!D310,'Pré Implantação'!L310,'Pré Implantação'!F310),AVERAGE('Pré Implantação'!F310)),"")</f>
        <v/>
      </c>
      <c r="E310" s="34" t="str">
        <f>IFERROR(IF('Pré Implantação'!B310="CSC NOC",AVERAGE('Pré Implantação'!D310,'Pré Implantação'!L310,'Pré Implantação'!G310),AVERAGE('Pré Implantação'!G310)),"")</f>
        <v/>
      </c>
      <c r="F310" s="34" t="str">
        <f>IFERROR(IF('Pré Implantação'!B310="CSE Gravadores",AVERAGE('Pré Implantação'!D310,'Pré Implantação'!L310,'Pré Implantação'!I310),AVERAGE('Pré Implantação'!I310)),"")</f>
        <v/>
      </c>
      <c r="G310" s="34" t="str">
        <f>IFERROR(IF('Pré Implantação'!B310="CSC",AVERAGE('Pré Implantação'!D310,'Pré Implantação'!L310,'Pré Implantação'!J310),AVERAGE('Pré Implantação'!J310)),"")</f>
        <v/>
      </c>
      <c r="H310" s="34" t="str">
        <f>IFERROR(IF('Pré Implantação'!B310="Operações \ Negócio",AVERAGE('Pré Implantação'!D310,'Pré Implantação'!L310,'Pré Implantação'!K310),AVERAGE('Pré Implantação'!K310)),"")</f>
        <v/>
      </c>
      <c r="I310" s="34" t="str">
        <f>IFERROR(IF('Pré Implantação'!B310="Projetos",AVERAGE('Pré Implantação'!D310,'Pré Implantação'!L310,'Pré Implantação'!M310),AVERAGE('Pré Implantação'!M310)),"")</f>
        <v/>
      </c>
      <c r="J310" s="34" t="str">
        <f>IFERROR(IF('Pré Implantação'!B310="Engenharia",AVERAGE('Pré Implantação'!D310,'Pré Implantação'!L310,'Pré Implantação'!N310),AVERAGE('Pré Implantação'!N310)),"")</f>
        <v/>
      </c>
      <c r="K310" s="34" t="str">
        <f>IFERROR(IF('Pré Implantação'!B310="URA",AVERAGE('Pré Implantação'!D310,'Pré Implantação'!L310),""),"")</f>
        <v/>
      </c>
      <c r="L310" s="34" t="str">
        <f>IFERROR(IF('Pré Implantação'!B310="CSE Microsoft",AVERAGE('Pré Implantação'!D310,'Pré Implantação'!L310),""),"")</f>
        <v/>
      </c>
      <c r="M310" s="34" t="str">
        <f>IFERROR(IF('Pré Implantação'!B310="CSE Telecom",AVERAGE('Pré Implantação'!D310,'Pré Implantação'!L310),""),"")</f>
        <v/>
      </c>
      <c r="N310" s="34" t="str">
        <f>IFERROR(IF('Pré Implantação'!B310="Site Suporte de Campo",AVERAGE('Pré Implantação'!D310,'Pré Implantação'!L310),""),"")</f>
        <v/>
      </c>
      <c r="O310" s="49" t="str">
        <f>IFERROR(IF('Pré Implantação'!B310="Infraestrutura",AVERAGE('Pré Implantação'!D310,'Pré Implantação'!L310),""),"")</f>
        <v/>
      </c>
    </row>
    <row r="311" spans="1:15" x14ac:dyDescent="0.3">
      <c r="A311" s="33">
        <f>'Pré Implantação'!A311</f>
        <v>0</v>
      </c>
      <c r="B311" s="36">
        <f>'Pré Implantação'!C311</f>
        <v>0</v>
      </c>
      <c r="C311" s="34" t="str">
        <f>IFERROR(IF('Pré Implantação'!B311="Produção TI",AVERAGE('Pré Implantação'!D311,'Pré Implantação'!L311,'Pré Implantação'!E311,'Pré Implantação'!H311),AVERAGE('Pré Implantação'!E311,'Pré Implantação'!H311)),"")</f>
        <v/>
      </c>
      <c r="D311" s="34" t="str">
        <f>IFERROR(IF('Pré Implantação'!B311="CSC Service Desk",AVERAGE('Pré Implantação'!D311,'Pré Implantação'!L311,'Pré Implantação'!F311),AVERAGE('Pré Implantação'!F311)),"")</f>
        <v/>
      </c>
      <c r="E311" s="34" t="str">
        <f>IFERROR(IF('Pré Implantação'!B311="CSC NOC",AVERAGE('Pré Implantação'!D311,'Pré Implantação'!L311,'Pré Implantação'!G311),AVERAGE('Pré Implantação'!G311)),"")</f>
        <v/>
      </c>
      <c r="F311" s="34" t="str">
        <f>IFERROR(IF('Pré Implantação'!B311="CSE Gravadores",AVERAGE('Pré Implantação'!D311,'Pré Implantação'!L311,'Pré Implantação'!I311),AVERAGE('Pré Implantação'!I311)),"")</f>
        <v/>
      </c>
      <c r="G311" s="34" t="str">
        <f>IFERROR(IF('Pré Implantação'!B311="CSC",AVERAGE('Pré Implantação'!D311,'Pré Implantação'!L311,'Pré Implantação'!J311),AVERAGE('Pré Implantação'!J311)),"")</f>
        <v/>
      </c>
      <c r="H311" s="34" t="str">
        <f>IFERROR(IF('Pré Implantação'!B311="Operações \ Negócio",AVERAGE('Pré Implantação'!D311,'Pré Implantação'!L311,'Pré Implantação'!K311),AVERAGE('Pré Implantação'!K311)),"")</f>
        <v/>
      </c>
      <c r="I311" s="34" t="str">
        <f>IFERROR(IF('Pré Implantação'!B311="Projetos",AVERAGE('Pré Implantação'!D311,'Pré Implantação'!L311,'Pré Implantação'!M311),AVERAGE('Pré Implantação'!M311)),"")</f>
        <v/>
      </c>
      <c r="J311" s="34" t="str">
        <f>IFERROR(IF('Pré Implantação'!B311="Engenharia",AVERAGE('Pré Implantação'!D311,'Pré Implantação'!L311,'Pré Implantação'!N311),AVERAGE('Pré Implantação'!N311)),"")</f>
        <v/>
      </c>
      <c r="K311" s="34" t="str">
        <f>IFERROR(IF('Pré Implantação'!B311="URA",AVERAGE('Pré Implantação'!D311,'Pré Implantação'!L311),""),"")</f>
        <v/>
      </c>
      <c r="L311" s="34" t="str">
        <f>IFERROR(IF('Pré Implantação'!B311="CSE Microsoft",AVERAGE('Pré Implantação'!D311,'Pré Implantação'!L311),""),"")</f>
        <v/>
      </c>
      <c r="M311" s="34" t="str">
        <f>IFERROR(IF('Pré Implantação'!B311="CSE Telecom",AVERAGE('Pré Implantação'!D311,'Pré Implantação'!L311),""),"")</f>
        <v/>
      </c>
      <c r="N311" s="34" t="str">
        <f>IFERROR(IF('Pré Implantação'!B311="Site Suporte de Campo",AVERAGE('Pré Implantação'!D311,'Pré Implantação'!L311),""),"")</f>
        <v/>
      </c>
      <c r="O311" s="49" t="str">
        <f>IFERROR(IF('Pré Implantação'!B311="Infraestrutura",AVERAGE('Pré Implantação'!D311,'Pré Implantação'!L311),""),"")</f>
        <v/>
      </c>
    </row>
    <row r="312" spans="1:15" x14ac:dyDescent="0.3">
      <c r="A312" s="33">
        <f>'Pré Implantação'!A312</f>
        <v>0</v>
      </c>
      <c r="B312" s="36">
        <f>'Pré Implantação'!C312</f>
        <v>0</v>
      </c>
      <c r="C312" s="34" t="str">
        <f>IFERROR(IF('Pré Implantação'!B312="Produção TI",AVERAGE('Pré Implantação'!D312,'Pré Implantação'!L312,'Pré Implantação'!E312,'Pré Implantação'!H312),AVERAGE('Pré Implantação'!E312,'Pré Implantação'!H312)),"")</f>
        <v/>
      </c>
      <c r="D312" s="34" t="str">
        <f>IFERROR(IF('Pré Implantação'!B312="CSC Service Desk",AVERAGE('Pré Implantação'!D312,'Pré Implantação'!L312,'Pré Implantação'!F312),AVERAGE('Pré Implantação'!F312)),"")</f>
        <v/>
      </c>
      <c r="E312" s="34" t="str">
        <f>IFERROR(IF('Pré Implantação'!B312="CSC NOC",AVERAGE('Pré Implantação'!D312,'Pré Implantação'!L312,'Pré Implantação'!G312),AVERAGE('Pré Implantação'!G312)),"")</f>
        <v/>
      </c>
      <c r="F312" s="34" t="str">
        <f>IFERROR(IF('Pré Implantação'!B312="CSE Gravadores",AVERAGE('Pré Implantação'!D312,'Pré Implantação'!L312,'Pré Implantação'!I312),AVERAGE('Pré Implantação'!I312)),"")</f>
        <v/>
      </c>
      <c r="G312" s="34" t="str">
        <f>IFERROR(IF('Pré Implantação'!B312="CSC",AVERAGE('Pré Implantação'!D312,'Pré Implantação'!L312,'Pré Implantação'!J312),AVERAGE('Pré Implantação'!J312)),"")</f>
        <v/>
      </c>
      <c r="H312" s="34" t="str">
        <f>IFERROR(IF('Pré Implantação'!B312="Operações \ Negócio",AVERAGE('Pré Implantação'!D312,'Pré Implantação'!L312,'Pré Implantação'!K312),AVERAGE('Pré Implantação'!K312)),"")</f>
        <v/>
      </c>
      <c r="I312" s="34" t="str">
        <f>IFERROR(IF('Pré Implantação'!B312="Projetos",AVERAGE('Pré Implantação'!D312,'Pré Implantação'!L312,'Pré Implantação'!M312),AVERAGE('Pré Implantação'!M312)),"")</f>
        <v/>
      </c>
      <c r="J312" s="34" t="str">
        <f>IFERROR(IF('Pré Implantação'!B312="Engenharia",AVERAGE('Pré Implantação'!D312,'Pré Implantação'!L312,'Pré Implantação'!N312),AVERAGE('Pré Implantação'!N312)),"")</f>
        <v/>
      </c>
      <c r="K312" s="34" t="str">
        <f>IFERROR(IF('Pré Implantação'!B312="URA",AVERAGE('Pré Implantação'!D312,'Pré Implantação'!L312),""),"")</f>
        <v/>
      </c>
      <c r="L312" s="34" t="str">
        <f>IFERROR(IF('Pré Implantação'!B312="CSE Microsoft",AVERAGE('Pré Implantação'!D312,'Pré Implantação'!L312),""),"")</f>
        <v/>
      </c>
      <c r="M312" s="34" t="str">
        <f>IFERROR(IF('Pré Implantação'!B312="CSE Telecom",AVERAGE('Pré Implantação'!D312,'Pré Implantação'!L312),""),"")</f>
        <v/>
      </c>
      <c r="N312" s="34" t="str">
        <f>IFERROR(IF('Pré Implantação'!B312="Site Suporte de Campo",AVERAGE('Pré Implantação'!D312,'Pré Implantação'!L312),""),"")</f>
        <v/>
      </c>
      <c r="O312" s="49" t="str">
        <f>IFERROR(IF('Pré Implantação'!B312="Infraestrutura",AVERAGE('Pré Implantação'!D312,'Pré Implantação'!L312),""),"")</f>
        <v/>
      </c>
    </row>
    <row r="313" spans="1:15" x14ac:dyDescent="0.3">
      <c r="A313" s="33">
        <f>'Pré Implantação'!A313</f>
        <v>0</v>
      </c>
      <c r="B313" s="36">
        <f>'Pré Implantação'!C313</f>
        <v>0</v>
      </c>
      <c r="C313" s="34" t="str">
        <f>IFERROR(IF('Pré Implantação'!B313="Produção TI",AVERAGE('Pré Implantação'!D313,'Pré Implantação'!L313,'Pré Implantação'!E313,'Pré Implantação'!H313),AVERAGE('Pré Implantação'!E313,'Pré Implantação'!H313)),"")</f>
        <v/>
      </c>
      <c r="D313" s="34" t="str">
        <f>IFERROR(IF('Pré Implantação'!B313="CSC Service Desk",AVERAGE('Pré Implantação'!D313,'Pré Implantação'!L313,'Pré Implantação'!F313),AVERAGE('Pré Implantação'!F313)),"")</f>
        <v/>
      </c>
      <c r="E313" s="34" t="str">
        <f>IFERROR(IF('Pré Implantação'!B313="CSC NOC",AVERAGE('Pré Implantação'!D313,'Pré Implantação'!L313,'Pré Implantação'!G313),AVERAGE('Pré Implantação'!G313)),"")</f>
        <v/>
      </c>
      <c r="F313" s="34" t="str">
        <f>IFERROR(IF('Pré Implantação'!B313="CSE Gravadores",AVERAGE('Pré Implantação'!D313,'Pré Implantação'!L313,'Pré Implantação'!I313),AVERAGE('Pré Implantação'!I313)),"")</f>
        <v/>
      </c>
      <c r="G313" s="34" t="str">
        <f>IFERROR(IF('Pré Implantação'!B313="CSC",AVERAGE('Pré Implantação'!D313,'Pré Implantação'!L313,'Pré Implantação'!J313),AVERAGE('Pré Implantação'!J313)),"")</f>
        <v/>
      </c>
      <c r="H313" s="34" t="str">
        <f>IFERROR(IF('Pré Implantação'!B313="Operações \ Negócio",AVERAGE('Pré Implantação'!D313,'Pré Implantação'!L313,'Pré Implantação'!K313),AVERAGE('Pré Implantação'!K313)),"")</f>
        <v/>
      </c>
      <c r="I313" s="34" t="str">
        <f>IFERROR(IF('Pré Implantação'!B313="Projetos",AVERAGE('Pré Implantação'!D313,'Pré Implantação'!L313,'Pré Implantação'!M313),AVERAGE('Pré Implantação'!M313)),"")</f>
        <v/>
      </c>
      <c r="J313" s="34" t="str">
        <f>IFERROR(IF('Pré Implantação'!B313="Engenharia",AVERAGE('Pré Implantação'!D313,'Pré Implantação'!L313,'Pré Implantação'!N313),AVERAGE('Pré Implantação'!N313)),"")</f>
        <v/>
      </c>
      <c r="K313" s="34" t="str">
        <f>IFERROR(IF('Pré Implantação'!B313="URA",AVERAGE('Pré Implantação'!D313,'Pré Implantação'!L313),""),"")</f>
        <v/>
      </c>
      <c r="L313" s="34" t="str">
        <f>IFERROR(IF('Pré Implantação'!B313="CSE Microsoft",AVERAGE('Pré Implantação'!D313,'Pré Implantação'!L313),""),"")</f>
        <v/>
      </c>
      <c r="M313" s="34" t="str">
        <f>IFERROR(IF('Pré Implantação'!B313="CSE Telecom",AVERAGE('Pré Implantação'!D313,'Pré Implantação'!L313),""),"")</f>
        <v/>
      </c>
      <c r="N313" s="34" t="str">
        <f>IFERROR(IF('Pré Implantação'!B313="Site Suporte de Campo",AVERAGE('Pré Implantação'!D313,'Pré Implantação'!L313),""),"")</f>
        <v/>
      </c>
      <c r="O313" s="49" t="str">
        <f>IFERROR(IF('Pré Implantação'!B313="Infraestrutura",AVERAGE('Pré Implantação'!D313,'Pré Implantação'!L313),""),"")</f>
        <v/>
      </c>
    </row>
    <row r="314" spans="1:15" x14ac:dyDescent="0.3">
      <c r="A314" s="33">
        <f>'Pré Implantação'!A314</f>
        <v>0</v>
      </c>
      <c r="B314" s="36">
        <f>'Pré Implantação'!C314</f>
        <v>0</v>
      </c>
      <c r="C314" s="34" t="str">
        <f>IFERROR(IF('Pré Implantação'!B314="Produção TI",AVERAGE('Pré Implantação'!D314,'Pré Implantação'!L314,'Pré Implantação'!E314,'Pré Implantação'!H314),AVERAGE('Pré Implantação'!E314,'Pré Implantação'!H314)),"")</f>
        <v/>
      </c>
      <c r="D314" s="34" t="str">
        <f>IFERROR(IF('Pré Implantação'!B314="CSC Service Desk",AVERAGE('Pré Implantação'!D314,'Pré Implantação'!L314,'Pré Implantação'!F314),AVERAGE('Pré Implantação'!F314)),"")</f>
        <v/>
      </c>
      <c r="E314" s="34" t="str">
        <f>IFERROR(IF('Pré Implantação'!B314="CSC NOC",AVERAGE('Pré Implantação'!D314,'Pré Implantação'!L314,'Pré Implantação'!G314),AVERAGE('Pré Implantação'!G314)),"")</f>
        <v/>
      </c>
      <c r="F314" s="34" t="str">
        <f>IFERROR(IF('Pré Implantação'!B314="CSE Gravadores",AVERAGE('Pré Implantação'!D314,'Pré Implantação'!L314,'Pré Implantação'!I314),AVERAGE('Pré Implantação'!I314)),"")</f>
        <v/>
      </c>
      <c r="G314" s="34" t="str">
        <f>IFERROR(IF('Pré Implantação'!B314="CSC",AVERAGE('Pré Implantação'!D314,'Pré Implantação'!L314,'Pré Implantação'!J314),AVERAGE('Pré Implantação'!J314)),"")</f>
        <v/>
      </c>
      <c r="H314" s="34" t="str">
        <f>IFERROR(IF('Pré Implantação'!B314="Operações \ Negócio",AVERAGE('Pré Implantação'!D314,'Pré Implantação'!L314,'Pré Implantação'!K314),AVERAGE('Pré Implantação'!K314)),"")</f>
        <v/>
      </c>
      <c r="I314" s="34" t="str">
        <f>IFERROR(IF('Pré Implantação'!B314="Projetos",AVERAGE('Pré Implantação'!D314,'Pré Implantação'!L314,'Pré Implantação'!M314),AVERAGE('Pré Implantação'!M314)),"")</f>
        <v/>
      </c>
      <c r="J314" s="34" t="str">
        <f>IFERROR(IF('Pré Implantação'!B314="Engenharia",AVERAGE('Pré Implantação'!D314,'Pré Implantação'!L314,'Pré Implantação'!N314),AVERAGE('Pré Implantação'!N314)),"")</f>
        <v/>
      </c>
      <c r="K314" s="34" t="str">
        <f>IFERROR(IF('Pré Implantação'!B314="URA",AVERAGE('Pré Implantação'!D314,'Pré Implantação'!L314),""),"")</f>
        <v/>
      </c>
      <c r="L314" s="34" t="str">
        <f>IFERROR(IF('Pré Implantação'!B314="CSE Microsoft",AVERAGE('Pré Implantação'!D314,'Pré Implantação'!L314),""),"")</f>
        <v/>
      </c>
      <c r="M314" s="34" t="str">
        <f>IFERROR(IF('Pré Implantação'!B314="CSE Telecom",AVERAGE('Pré Implantação'!D314,'Pré Implantação'!L314),""),"")</f>
        <v/>
      </c>
      <c r="N314" s="34" t="str">
        <f>IFERROR(IF('Pré Implantação'!B314="Site Suporte de Campo",AVERAGE('Pré Implantação'!D314,'Pré Implantação'!L314),""),"")</f>
        <v/>
      </c>
      <c r="O314" s="49" t="str">
        <f>IFERROR(IF('Pré Implantação'!B314="Infraestrutura",AVERAGE('Pré Implantação'!D314,'Pré Implantação'!L314),""),"")</f>
        <v/>
      </c>
    </row>
    <row r="315" spans="1:15" x14ac:dyDescent="0.3">
      <c r="A315" s="33">
        <f>'Pré Implantação'!A315</f>
        <v>0</v>
      </c>
      <c r="B315" s="36">
        <f>'Pré Implantação'!C315</f>
        <v>0</v>
      </c>
      <c r="C315" s="34" t="str">
        <f>IFERROR(IF('Pré Implantação'!B315="Produção TI",AVERAGE('Pré Implantação'!D315,'Pré Implantação'!L315,'Pré Implantação'!E315,'Pré Implantação'!H315),AVERAGE('Pré Implantação'!E315,'Pré Implantação'!H315)),"")</f>
        <v/>
      </c>
      <c r="D315" s="34" t="str">
        <f>IFERROR(IF('Pré Implantação'!B315="CSC Service Desk",AVERAGE('Pré Implantação'!D315,'Pré Implantação'!L315,'Pré Implantação'!F315),AVERAGE('Pré Implantação'!F315)),"")</f>
        <v/>
      </c>
      <c r="E315" s="34" t="str">
        <f>IFERROR(IF('Pré Implantação'!B315="CSC NOC",AVERAGE('Pré Implantação'!D315,'Pré Implantação'!L315,'Pré Implantação'!G315),AVERAGE('Pré Implantação'!G315)),"")</f>
        <v/>
      </c>
      <c r="F315" s="34" t="str">
        <f>IFERROR(IF('Pré Implantação'!B315="CSE Gravadores",AVERAGE('Pré Implantação'!D315,'Pré Implantação'!L315,'Pré Implantação'!I315),AVERAGE('Pré Implantação'!I315)),"")</f>
        <v/>
      </c>
      <c r="G315" s="34" t="str">
        <f>IFERROR(IF('Pré Implantação'!B315="CSC",AVERAGE('Pré Implantação'!D315,'Pré Implantação'!L315,'Pré Implantação'!J315),AVERAGE('Pré Implantação'!J315)),"")</f>
        <v/>
      </c>
      <c r="H315" s="34" t="str">
        <f>IFERROR(IF('Pré Implantação'!B315="Operações \ Negócio",AVERAGE('Pré Implantação'!D315,'Pré Implantação'!L315,'Pré Implantação'!K315),AVERAGE('Pré Implantação'!K315)),"")</f>
        <v/>
      </c>
      <c r="I315" s="34" t="str">
        <f>IFERROR(IF('Pré Implantação'!B315="Projetos",AVERAGE('Pré Implantação'!D315,'Pré Implantação'!L315,'Pré Implantação'!M315),AVERAGE('Pré Implantação'!M315)),"")</f>
        <v/>
      </c>
      <c r="J315" s="34" t="str">
        <f>IFERROR(IF('Pré Implantação'!B315="Engenharia",AVERAGE('Pré Implantação'!D315,'Pré Implantação'!L315,'Pré Implantação'!N315),AVERAGE('Pré Implantação'!N315)),"")</f>
        <v/>
      </c>
      <c r="K315" s="34" t="str">
        <f>IFERROR(IF('Pré Implantação'!B315="URA",AVERAGE('Pré Implantação'!D315,'Pré Implantação'!L315),""),"")</f>
        <v/>
      </c>
      <c r="L315" s="34" t="str">
        <f>IFERROR(IF('Pré Implantação'!B315="CSE Microsoft",AVERAGE('Pré Implantação'!D315,'Pré Implantação'!L315),""),"")</f>
        <v/>
      </c>
      <c r="M315" s="34" t="str">
        <f>IFERROR(IF('Pré Implantação'!B315="CSE Telecom",AVERAGE('Pré Implantação'!D315,'Pré Implantação'!L315),""),"")</f>
        <v/>
      </c>
      <c r="N315" s="34" t="str">
        <f>IFERROR(IF('Pré Implantação'!B315="Site Suporte de Campo",AVERAGE('Pré Implantação'!D315,'Pré Implantação'!L315),""),"")</f>
        <v/>
      </c>
      <c r="O315" s="49" t="str">
        <f>IFERROR(IF('Pré Implantação'!B315="Infraestrutura",AVERAGE('Pré Implantação'!D315,'Pré Implantação'!L315),""),"")</f>
        <v/>
      </c>
    </row>
    <row r="316" spans="1:15" x14ac:dyDescent="0.3">
      <c r="A316" s="33">
        <f>'Pré Implantação'!A316</f>
        <v>0</v>
      </c>
      <c r="B316" s="36">
        <f>'Pré Implantação'!C316</f>
        <v>0</v>
      </c>
      <c r="C316" s="34" t="str">
        <f>IFERROR(IF('Pré Implantação'!B316="Produção TI",AVERAGE('Pré Implantação'!D316,'Pré Implantação'!L316,'Pré Implantação'!E316,'Pré Implantação'!H316),AVERAGE('Pré Implantação'!E316,'Pré Implantação'!H316)),"")</f>
        <v/>
      </c>
      <c r="D316" s="34" t="str">
        <f>IFERROR(IF('Pré Implantação'!B316="CSC Service Desk",AVERAGE('Pré Implantação'!D316,'Pré Implantação'!L316,'Pré Implantação'!F316),AVERAGE('Pré Implantação'!F316)),"")</f>
        <v/>
      </c>
      <c r="E316" s="34" t="str">
        <f>IFERROR(IF('Pré Implantação'!B316="CSC NOC",AVERAGE('Pré Implantação'!D316,'Pré Implantação'!L316,'Pré Implantação'!G316),AVERAGE('Pré Implantação'!G316)),"")</f>
        <v/>
      </c>
      <c r="F316" s="34" t="str">
        <f>IFERROR(IF('Pré Implantação'!B316="CSE Gravadores",AVERAGE('Pré Implantação'!D316,'Pré Implantação'!L316,'Pré Implantação'!I316),AVERAGE('Pré Implantação'!I316)),"")</f>
        <v/>
      </c>
      <c r="G316" s="34" t="str">
        <f>IFERROR(IF('Pré Implantação'!B316="CSC",AVERAGE('Pré Implantação'!D316,'Pré Implantação'!L316,'Pré Implantação'!J316),AVERAGE('Pré Implantação'!J316)),"")</f>
        <v/>
      </c>
      <c r="H316" s="34" t="str">
        <f>IFERROR(IF('Pré Implantação'!B316="Operações \ Negócio",AVERAGE('Pré Implantação'!D316,'Pré Implantação'!L316,'Pré Implantação'!K316),AVERAGE('Pré Implantação'!K316)),"")</f>
        <v/>
      </c>
      <c r="I316" s="34" t="str">
        <f>IFERROR(IF('Pré Implantação'!B316="Projetos",AVERAGE('Pré Implantação'!D316,'Pré Implantação'!L316,'Pré Implantação'!M316),AVERAGE('Pré Implantação'!M316)),"")</f>
        <v/>
      </c>
      <c r="J316" s="34" t="str">
        <f>IFERROR(IF('Pré Implantação'!B316="Engenharia",AVERAGE('Pré Implantação'!D316,'Pré Implantação'!L316,'Pré Implantação'!N316),AVERAGE('Pré Implantação'!N316)),"")</f>
        <v/>
      </c>
      <c r="K316" s="34" t="str">
        <f>IFERROR(IF('Pré Implantação'!B316="URA",AVERAGE('Pré Implantação'!D316,'Pré Implantação'!L316),""),"")</f>
        <v/>
      </c>
      <c r="L316" s="34" t="str">
        <f>IFERROR(IF('Pré Implantação'!B316="CSE Microsoft",AVERAGE('Pré Implantação'!D316,'Pré Implantação'!L316),""),"")</f>
        <v/>
      </c>
      <c r="M316" s="34" t="str">
        <f>IFERROR(IF('Pré Implantação'!B316="CSE Telecom",AVERAGE('Pré Implantação'!D316,'Pré Implantação'!L316),""),"")</f>
        <v/>
      </c>
      <c r="N316" s="34" t="str">
        <f>IFERROR(IF('Pré Implantação'!B316="Site Suporte de Campo",AVERAGE('Pré Implantação'!D316,'Pré Implantação'!L316),""),"")</f>
        <v/>
      </c>
      <c r="O316" s="49" t="str">
        <f>IFERROR(IF('Pré Implantação'!B316="Infraestrutura",AVERAGE('Pré Implantação'!D316,'Pré Implantação'!L316),""),"")</f>
        <v/>
      </c>
    </row>
    <row r="317" spans="1:15" x14ac:dyDescent="0.3">
      <c r="A317" s="33">
        <f>'Pré Implantação'!A317</f>
        <v>0</v>
      </c>
      <c r="B317" s="36">
        <f>'Pré Implantação'!C317</f>
        <v>0</v>
      </c>
      <c r="C317" s="34" t="str">
        <f>IFERROR(IF('Pré Implantação'!B317="Produção TI",AVERAGE('Pré Implantação'!D317,'Pré Implantação'!L317,'Pré Implantação'!E317,'Pré Implantação'!H317),AVERAGE('Pré Implantação'!E317,'Pré Implantação'!H317)),"")</f>
        <v/>
      </c>
      <c r="D317" s="34" t="str">
        <f>IFERROR(IF('Pré Implantação'!B317="CSC Service Desk",AVERAGE('Pré Implantação'!D317,'Pré Implantação'!L317,'Pré Implantação'!F317),AVERAGE('Pré Implantação'!F317)),"")</f>
        <v/>
      </c>
      <c r="E317" s="34" t="str">
        <f>IFERROR(IF('Pré Implantação'!B317="CSC NOC",AVERAGE('Pré Implantação'!D317,'Pré Implantação'!L317,'Pré Implantação'!G317),AVERAGE('Pré Implantação'!G317)),"")</f>
        <v/>
      </c>
      <c r="F317" s="34" t="str">
        <f>IFERROR(IF('Pré Implantação'!B317="CSE Gravadores",AVERAGE('Pré Implantação'!D317,'Pré Implantação'!L317,'Pré Implantação'!I317),AVERAGE('Pré Implantação'!I317)),"")</f>
        <v/>
      </c>
      <c r="G317" s="34" t="str">
        <f>IFERROR(IF('Pré Implantação'!B317="CSC",AVERAGE('Pré Implantação'!D317,'Pré Implantação'!L317,'Pré Implantação'!J317),AVERAGE('Pré Implantação'!J317)),"")</f>
        <v/>
      </c>
      <c r="H317" s="34" t="str">
        <f>IFERROR(IF('Pré Implantação'!B317="Operações \ Negócio",AVERAGE('Pré Implantação'!D317,'Pré Implantação'!L317,'Pré Implantação'!K317),AVERAGE('Pré Implantação'!K317)),"")</f>
        <v/>
      </c>
      <c r="I317" s="34" t="str">
        <f>IFERROR(IF('Pré Implantação'!B317="Projetos",AVERAGE('Pré Implantação'!D317,'Pré Implantação'!L317,'Pré Implantação'!M317),AVERAGE('Pré Implantação'!M317)),"")</f>
        <v/>
      </c>
      <c r="J317" s="34" t="str">
        <f>IFERROR(IF('Pré Implantação'!B317="Engenharia",AVERAGE('Pré Implantação'!D317,'Pré Implantação'!L317,'Pré Implantação'!N317),AVERAGE('Pré Implantação'!N317)),"")</f>
        <v/>
      </c>
      <c r="K317" s="34" t="str">
        <f>IFERROR(IF('Pré Implantação'!B317="URA",AVERAGE('Pré Implantação'!D317,'Pré Implantação'!L317),""),"")</f>
        <v/>
      </c>
      <c r="L317" s="34" t="str">
        <f>IFERROR(IF('Pré Implantação'!B317="CSE Microsoft",AVERAGE('Pré Implantação'!D317,'Pré Implantação'!L317),""),"")</f>
        <v/>
      </c>
      <c r="M317" s="34" t="str">
        <f>IFERROR(IF('Pré Implantação'!B317="CSE Telecom",AVERAGE('Pré Implantação'!D317,'Pré Implantação'!L317),""),"")</f>
        <v/>
      </c>
      <c r="N317" s="34" t="str">
        <f>IFERROR(IF('Pré Implantação'!B317="Site Suporte de Campo",AVERAGE('Pré Implantação'!D317,'Pré Implantação'!L317),""),"")</f>
        <v/>
      </c>
      <c r="O317" s="49" t="str">
        <f>IFERROR(IF('Pré Implantação'!B317="Infraestrutura",AVERAGE('Pré Implantação'!D317,'Pré Implantação'!L317),""),"")</f>
        <v/>
      </c>
    </row>
    <row r="318" spans="1:15" x14ac:dyDescent="0.3">
      <c r="A318" s="33">
        <f>'Pré Implantação'!A318</f>
        <v>0</v>
      </c>
      <c r="B318" s="36">
        <f>'Pré Implantação'!C318</f>
        <v>0</v>
      </c>
      <c r="C318" s="34" t="str">
        <f>IFERROR(IF('Pré Implantação'!B318="Produção TI",AVERAGE('Pré Implantação'!D318,'Pré Implantação'!L318,'Pré Implantação'!E318,'Pré Implantação'!H318),AVERAGE('Pré Implantação'!E318,'Pré Implantação'!H318)),"")</f>
        <v/>
      </c>
      <c r="D318" s="34" t="str">
        <f>IFERROR(IF('Pré Implantação'!B318="CSC Service Desk",AVERAGE('Pré Implantação'!D318,'Pré Implantação'!L318,'Pré Implantação'!F318),AVERAGE('Pré Implantação'!F318)),"")</f>
        <v/>
      </c>
      <c r="E318" s="34" t="str">
        <f>IFERROR(IF('Pré Implantação'!B318="CSC NOC",AVERAGE('Pré Implantação'!D318,'Pré Implantação'!L318,'Pré Implantação'!G318),AVERAGE('Pré Implantação'!G318)),"")</f>
        <v/>
      </c>
      <c r="F318" s="34" t="str">
        <f>IFERROR(IF('Pré Implantação'!B318="CSE Gravadores",AVERAGE('Pré Implantação'!D318,'Pré Implantação'!L318,'Pré Implantação'!I318),AVERAGE('Pré Implantação'!I318)),"")</f>
        <v/>
      </c>
      <c r="G318" s="34" t="str">
        <f>IFERROR(IF('Pré Implantação'!B318="CSC",AVERAGE('Pré Implantação'!D318,'Pré Implantação'!L318,'Pré Implantação'!J318),AVERAGE('Pré Implantação'!J318)),"")</f>
        <v/>
      </c>
      <c r="H318" s="34" t="str">
        <f>IFERROR(IF('Pré Implantação'!B318="Operações \ Negócio",AVERAGE('Pré Implantação'!D318,'Pré Implantação'!L318,'Pré Implantação'!K318),AVERAGE('Pré Implantação'!K318)),"")</f>
        <v/>
      </c>
      <c r="I318" s="34" t="str">
        <f>IFERROR(IF('Pré Implantação'!B318="Projetos",AVERAGE('Pré Implantação'!D318,'Pré Implantação'!L318,'Pré Implantação'!M318),AVERAGE('Pré Implantação'!M318)),"")</f>
        <v/>
      </c>
      <c r="J318" s="34" t="str">
        <f>IFERROR(IF('Pré Implantação'!B318="Engenharia",AVERAGE('Pré Implantação'!D318,'Pré Implantação'!L318,'Pré Implantação'!N318),AVERAGE('Pré Implantação'!N318)),"")</f>
        <v/>
      </c>
      <c r="K318" s="34" t="str">
        <f>IFERROR(IF('Pré Implantação'!B318="URA",AVERAGE('Pré Implantação'!D318,'Pré Implantação'!L318),""),"")</f>
        <v/>
      </c>
      <c r="L318" s="34" t="str">
        <f>IFERROR(IF('Pré Implantação'!B318="CSE Microsoft",AVERAGE('Pré Implantação'!D318,'Pré Implantação'!L318),""),"")</f>
        <v/>
      </c>
      <c r="M318" s="34" t="str">
        <f>IFERROR(IF('Pré Implantação'!B318="CSE Telecom",AVERAGE('Pré Implantação'!D318,'Pré Implantação'!L318),""),"")</f>
        <v/>
      </c>
      <c r="N318" s="34" t="str">
        <f>IFERROR(IF('Pré Implantação'!B318="Site Suporte de Campo",AVERAGE('Pré Implantação'!D318,'Pré Implantação'!L318),""),"")</f>
        <v/>
      </c>
      <c r="O318" s="49" t="str">
        <f>IFERROR(IF('Pré Implantação'!B318="Infraestrutura",AVERAGE('Pré Implantação'!D318,'Pré Implantação'!L318),""),"")</f>
        <v/>
      </c>
    </row>
    <row r="319" spans="1:15" x14ac:dyDescent="0.3">
      <c r="A319" s="33">
        <f>'Pré Implantação'!A319</f>
        <v>0</v>
      </c>
      <c r="B319" s="36">
        <f>'Pré Implantação'!C319</f>
        <v>0</v>
      </c>
      <c r="C319" s="34" t="str">
        <f>IFERROR(IF('Pré Implantação'!B319="Produção TI",AVERAGE('Pré Implantação'!D319,'Pré Implantação'!L319,'Pré Implantação'!E319,'Pré Implantação'!H319),AVERAGE('Pré Implantação'!E319,'Pré Implantação'!H319)),"")</f>
        <v/>
      </c>
      <c r="D319" s="34" t="str">
        <f>IFERROR(IF('Pré Implantação'!B319="CSC Service Desk",AVERAGE('Pré Implantação'!D319,'Pré Implantação'!L319,'Pré Implantação'!F319),AVERAGE('Pré Implantação'!F319)),"")</f>
        <v/>
      </c>
      <c r="E319" s="34" t="str">
        <f>IFERROR(IF('Pré Implantação'!B319="CSC NOC",AVERAGE('Pré Implantação'!D319,'Pré Implantação'!L319,'Pré Implantação'!G319),AVERAGE('Pré Implantação'!G319)),"")</f>
        <v/>
      </c>
      <c r="F319" s="34" t="str">
        <f>IFERROR(IF('Pré Implantação'!B319="CSE Gravadores",AVERAGE('Pré Implantação'!D319,'Pré Implantação'!L319,'Pré Implantação'!I319),AVERAGE('Pré Implantação'!I319)),"")</f>
        <v/>
      </c>
      <c r="G319" s="34" t="str">
        <f>IFERROR(IF('Pré Implantação'!B319="CSC",AVERAGE('Pré Implantação'!D319,'Pré Implantação'!L319,'Pré Implantação'!J319),AVERAGE('Pré Implantação'!J319)),"")</f>
        <v/>
      </c>
      <c r="H319" s="34" t="str">
        <f>IFERROR(IF('Pré Implantação'!B319="Operações \ Negócio",AVERAGE('Pré Implantação'!D319,'Pré Implantação'!L319,'Pré Implantação'!K319),AVERAGE('Pré Implantação'!K319)),"")</f>
        <v/>
      </c>
      <c r="I319" s="34" t="str">
        <f>IFERROR(IF('Pré Implantação'!B319="Projetos",AVERAGE('Pré Implantação'!D319,'Pré Implantação'!L319,'Pré Implantação'!M319),AVERAGE('Pré Implantação'!M319)),"")</f>
        <v/>
      </c>
      <c r="J319" s="34" t="str">
        <f>IFERROR(IF('Pré Implantação'!B319="Engenharia",AVERAGE('Pré Implantação'!D319,'Pré Implantação'!L319,'Pré Implantação'!N319),AVERAGE('Pré Implantação'!N319)),"")</f>
        <v/>
      </c>
      <c r="K319" s="34" t="str">
        <f>IFERROR(IF('Pré Implantação'!B319="URA",AVERAGE('Pré Implantação'!D319,'Pré Implantação'!L319),""),"")</f>
        <v/>
      </c>
      <c r="L319" s="34" t="str">
        <f>IFERROR(IF('Pré Implantação'!B319="CSE Microsoft",AVERAGE('Pré Implantação'!D319,'Pré Implantação'!L319),""),"")</f>
        <v/>
      </c>
      <c r="M319" s="34" t="str">
        <f>IFERROR(IF('Pré Implantação'!B319="CSE Telecom",AVERAGE('Pré Implantação'!D319,'Pré Implantação'!L319),""),"")</f>
        <v/>
      </c>
      <c r="N319" s="34" t="str">
        <f>IFERROR(IF('Pré Implantação'!B319="Site Suporte de Campo",AVERAGE('Pré Implantação'!D319,'Pré Implantação'!L319),""),"")</f>
        <v/>
      </c>
      <c r="O319" s="49" t="str">
        <f>IFERROR(IF('Pré Implantação'!B319="Infraestrutura",AVERAGE('Pré Implantação'!D319,'Pré Implantação'!L319),""),"")</f>
        <v/>
      </c>
    </row>
    <row r="320" spans="1:15" x14ac:dyDescent="0.3">
      <c r="A320" s="33">
        <f>'Pré Implantação'!A320</f>
        <v>0</v>
      </c>
      <c r="B320" s="36">
        <f>'Pré Implantação'!C320</f>
        <v>0</v>
      </c>
      <c r="C320" s="34" t="str">
        <f>IFERROR(IF('Pré Implantação'!B320="Produção TI",AVERAGE('Pré Implantação'!D320,'Pré Implantação'!L320,'Pré Implantação'!E320,'Pré Implantação'!H320),AVERAGE('Pré Implantação'!E320,'Pré Implantação'!H320)),"")</f>
        <v/>
      </c>
      <c r="D320" s="34" t="str">
        <f>IFERROR(IF('Pré Implantação'!B320="CSC Service Desk",AVERAGE('Pré Implantação'!D320,'Pré Implantação'!L320,'Pré Implantação'!F320),AVERAGE('Pré Implantação'!F320)),"")</f>
        <v/>
      </c>
      <c r="E320" s="34" t="str">
        <f>IFERROR(IF('Pré Implantação'!B320="CSC NOC",AVERAGE('Pré Implantação'!D320,'Pré Implantação'!L320,'Pré Implantação'!G320),AVERAGE('Pré Implantação'!G320)),"")</f>
        <v/>
      </c>
      <c r="F320" s="34" t="str">
        <f>IFERROR(IF('Pré Implantação'!B320="CSE Gravadores",AVERAGE('Pré Implantação'!D320,'Pré Implantação'!L320,'Pré Implantação'!I320),AVERAGE('Pré Implantação'!I320)),"")</f>
        <v/>
      </c>
      <c r="G320" s="34" t="str">
        <f>IFERROR(IF('Pré Implantação'!B320="CSC",AVERAGE('Pré Implantação'!D320,'Pré Implantação'!L320,'Pré Implantação'!J320),AVERAGE('Pré Implantação'!J320)),"")</f>
        <v/>
      </c>
      <c r="H320" s="34" t="str">
        <f>IFERROR(IF('Pré Implantação'!B320="Operações \ Negócio",AVERAGE('Pré Implantação'!D320,'Pré Implantação'!L320,'Pré Implantação'!K320),AVERAGE('Pré Implantação'!K320)),"")</f>
        <v/>
      </c>
      <c r="I320" s="34" t="str">
        <f>IFERROR(IF('Pré Implantação'!B320="Projetos",AVERAGE('Pré Implantação'!D320,'Pré Implantação'!L320,'Pré Implantação'!M320),AVERAGE('Pré Implantação'!M320)),"")</f>
        <v/>
      </c>
      <c r="J320" s="34" t="str">
        <f>IFERROR(IF('Pré Implantação'!B320="Engenharia",AVERAGE('Pré Implantação'!D320,'Pré Implantação'!L320,'Pré Implantação'!N320),AVERAGE('Pré Implantação'!N320)),"")</f>
        <v/>
      </c>
      <c r="K320" s="34" t="str">
        <f>IFERROR(IF('Pré Implantação'!B320="URA",AVERAGE('Pré Implantação'!D320,'Pré Implantação'!L320),""),"")</f>
        <v/>
      </c>
      <c r="L320" s="34" t="str">
        <f>IFERROR(IF('Pré Implantação'!B320="CSE Microsoft",AVERAGE('Pré Implantação'!D320,'Pré Implantação'!L320),""),"")</f>
        <v/>
      </c>
      <c r="M320" s="34" t="str">
        <f>IFERROR(IF('Pré Implantação'!B320="CSE Telecom",AVERAGE('Pré Implantação'!D320,'Pré Implantação'!L320),""),"")</f>
        <v/>
      </c>
      <c r="N320" s="34" t="str">
        <f>IFERROR(IF('Pré Implantação'!B320="Site Suporte de Campo",AVERAGE('Pré Implantação'!D320,'Pré Implantação'!L320),""),"")</f>
        <v/>
      </c>
      <c r="O320" s="49" t="str">
        <f>IFERROR(IF('Pré Implantação'!B320="Infraestrutura",AVERAGE('Pré Implantação'!D320,'Pré Implantação'!L320),""),"")</f>
        <v/>
      </c>
    </row>
    <row r="321" spans="1:15" x14ac:dyDescent="0.3">
      <c r="A321" s="33">
        <f>'Pré Implantação'!A321</f>
        <v>0</v>
      </c>
      <c r="B321" s="36">
        <f>'Pré Implantação'!C321</f>
        <v>0</v>
      </c>
      <c r="C321" s="34" t="str">
        <f>IFERROR(IF('Pré Implantação'!B321="Produção TI",AVERAGE('Pré Implantação'!D321,'Pré Implantação'!L321,'Pré Implantação'!E321,'Pré Implantação'!H321),AVERAGE('Pré Implantação'!E321,'Pré Implantação'!H321)),"")</f>
        <v/>
      </c>
      <c r="D321" s="34" t="str">
        <f>IFERROR(IF('Pré Implantação'!B321="CSC Service Desk",AVERAGE('Pré Implantação'!D321,'Pré Implantação'!L321,'Pré Implantação'!F321),AVERAGE('Pré Implantação'!F321)),"")</f>
        <v/>
      </c>
      <c r="E321" s="34" t="str">
        <f>IFERROR(IF('Pré Implantação'!B321="CSC NOC",AVERAGE('Pré Implantação'!D321,'Pré Implantação'!L321,'Pré Implantação'!G321),AVERAGE('Pré Implantação'!G321)),"")</f>
        <v/>
      </c>
      <c r="F321" s="34" t="str">
        <f>IFERROR(IF('Pré Implantação'!B321="CSE Gravadores",AVERAGE('Pré Implantação'!D321,'Pré Implantação'!L321,'Pré Implantação'!I321),AVERAGE('Pré Implantação'!I321)),"")</f>
        <v/>
      </c>
      <c r="G321" s="34" t="str">
        <f>IFERROR(IF('Pré Implantação'!B321="CSC",AVERAGE('Pré Implantação'!D321,'Pré Implantação'!L321,'Pré Implantação'!J321),AVERAGE('Pré Implantação'!J321)),"")</f>
        <v/>
      </c>
      <c r="H321" s="34" t="str">
        <f>IFERROR(IF('Pré Implantação'!B321="Operações \ Negócio",AVERAGE('Pré Implantação'!D321,'Pré Implantação'!L321,'Pré Implantação'!K321),AVERAGE('Pré Implantação'!K321)),"")</f>
        <v/>
      </c>
      <c r="I321" s="34" t="str">
        <f>IFERROR(IF('Pré Implantação'!B321="Projetos",AVERAGE('Pré Implantação'!D321,'Pré Implantação'!L321,'Pré Implantação'!M321),AVERAGE('Pré Implantação'!M321)),"")</f>
        <v/>
      </c>
      <c r="J321" s="34" t="str">
        <f>IFERROR(IF('Pré Implantação'!B321="Engenharia",AVERAGE('Pré Implantação'!D321,'Pré Implantação'!L321,'Pré Implantação'!N321),AVERAGE('Pré Implantação'!N321)),"")</f>
        <v/>
      </c>
      <c r="K321" s="34" t="str">
        <f>IFERROR(IF('Pré Implantação'!B321="URA",AVERAGE('Pré Implantação'!D321,'Pré Implantação'!L321),""),"")</f>
        <v/>
      </c>
      <c r="L321" s="34" t="str">
        <f>IFERROR(IF('Pré Implantação'!B321="CSE Microsoft",AVERAGE('Pré Implantação'!D321,'Pré Implantação'!L321),""),"")</f>
        <v/>
      </c>
      <c r="M321" s="34" t="str">
        <f>IFERROR(IF('Pré Implantação'!B321="CSE Telecom",AVERAGE('Pré Implantação'!D321,'Pré Implantação'!L321),""),"")</f>
        <v/>
      </c>
      <c r="N321" s="34" t="str">
        <f>IFERROR(IF('Pré Implantação'!B321="Site Suporte de Campo",AVERAGE('Pré Implantação'!D321,'Pré Implantação'!L321),""),"")</f>
        <v/>
      </c>
      <c r="O321" s="49" t="str">
        <f>IFERROR(IF('Pré Implantação'!B321="Infraestrutura",AVERAGE('Pré Implantação'!D321,'Pré Implantação'!L321),""),"")</f>
        <v/>
      </c>
    </row>
    <row r="322" spans="1:15" x14ac:dyDescent="0.3">
      <c r="A322" s="33">
        <f>'Pré Implantação'!A322</f>
        <v>0</v>
      </c>
      <c r="B322" s="36">
        <f>'Pré Implantação'!C322</f>
        <v>0</v>
      </c>
      <c r="C322" s="34" t="str">
        <f>IFERROR(IF('Pré Implantação'!B322="Produção TI",AVERAGE('Pré Implantação'!D322,'Pré Implantação'!L322,'Pré Implantação'!E322,'Pré Implantação'!H322),AVERAGE('Pré Implantação'!E322,'Pré Implantação'!H322)),"")</f>
        <v/>
      </c>
      <c r="D322" s="34" t="str">
        <f>IFERROR(IF('Pré Implantação'!B322="CSC Service Desk",AVERAGE('Pré Implantação'!D322,'Pré Implantação'!L322,'Pré Implantação'!F322),AVERAGE('Pré Implantação'!F322)),"")</f>
        <v/>
      </c>
      <c r="E322" s="34" t="str">
        <f>IFERROR(IF('Pré Implantação'!B322="CSC NOC",AVERAGE('Pré Implantação'!D322,'Pré Implantação'!L322,'Pré Implantação'!G322),AVERAGE('Pré Implantação'!G322)),"")</f>
        <v/>
      </c>
      <c r="F322" s="34" t="str">
        <f>IFERROR(IF('Pré Implantação'!B322="CSE Gravadores",AVERAGE('Pré Implantação'!D322,'Pré Implantação'!L322,'Pré Implantação'!I322),AVERAGE('Pré Implantação'!I322)),"")</f>
        <v/>
      </c>
      <c r="G322" s="34" t="str">
        <f>IFERROR(IF('Pré Implantação'!B322="CSC",AVERAGE('Pré Implantação'!D322,'Pré Implantação'!L322,'Pré Implantação'!J322),AVERAGE('Pré Implantação'!J322)),"")</f>
        <v/>
      </c>
      <c r="H322" s="34" t="str">
        <f>IFERROR(IF('Pré Implantação'!B322="Operações \ Negócio",AVERAGE('Pré Implantação'!D322,'Pré Implantação'!L322,'Pré Implantação'!K322),AVERAGE('Pré Implantação'!K322)),"")</f>
        <v/>
      </c>
      <c r="I322" s="34" t="str">
        <f>IFERROR(IF('Pré Implantação'!B322="Projetos",AVERAGE('Pré Implantação'!D322,'Pré Implantação'!L322,'Pré Implantação'!M322),AVERAGE('Pré Implantação'!M322)),"")</f>
        <v/>
      </c>
      <c r="J322" s="34" t="str">
        <f>IFERROR(IF('Pré Implantação'!B322="Engenharia",AVERAGE('Pré Implantação'!D322,'Pré Implantação'!L322,'Pré Implantação'!N322),AVERAGE('Pré Implantação'!N322)),"")</f>
        <v/>
      </c>
      <c r="K322" s="34" t="str">
        <f>IFERROR(IF('Pré Implantação'!B322="URA",AVERAGE('Pré Implantação'!D322,'Pré Implantação'!L322),""),"")</f>
        <v/>
      </c>
      <c r="L322" s="34" t="str">
        <f>IFERROR(IF('Pré Implantação'!B322="CSE Microsoft",AVERAGE('Pré Implantação'!D322,'Pré Implantação'!L322),""),"")</f>
        <v/>
      </c>
      <c r="M322" s="34" t="str">
        <f>IFERROR(IF('Pré Implantação'!B322="CSE Telecom",AVERAGE('Pré Implantação'!D322,'Pré Implantação'!L322),""),"")</f>
        <v/>
      </c>
      <c r="N322" s="34" t="str">
        <f>IFERROR(IF('Pré Implantação'!B322="Site Suporte de Campo",AVERAGE('Pré Implantação'!D322,'Pré Implantação'!L322),""),"")</f>
        <v/>
      </c>
      <c r="O322" s="49" t="str">
        <f>IFERROR(IF('Pré Implantação'!B322="Infraestrutura",AVERAGE('Pré Implantação'!D322,'Pré Implantação'!L322),""),"")</f>
        <v/>
      </c>
    </row>
    <row r="323" spans="1:15" x14ac:dyDescent="0.3">
      <c r="A323" s="33">
        <f>'Pré Implantação'!A323</f>
        <v>0</v>
      </c>
      <c r="B323" s="36">
        <f>'Pré Implantação'!C323</f>
        <v>0</v>
      </c>
      <c r="C323" s="34" t="str">
        <f>IFERROR(IF('Pré Implantação'!B323="Produção TI",AVERAGE('Pré Implantação'!D323,'Pré Implantação'!L323,'Pré Implantação'!E323,'Pré Implantação'!H323),AVERAGE('Pré Implantação'!E323,'Pré Implantação'!H323)),"")</f>
        <v/>
      </c>
      <c r="D323" s="34" t="str">
        <f>IFERROR(IF('Pré Implantação'!B323="CSC Service Desk",AVERAGE('Pré Implantação'!D323,'Pré Implantação'!L323,'Pré Implantação'!F323),AVERAGE('Pré Implantação'!F323)),"")</f>
        <v/>
      </c>
      <c r="E323" s="34" t="str">
        <f>IFERROR(IF('Pré Implantação'!B323="CSC NOC",AVERAGE('Pré Implantação'!D323,'Pré Implantação'!L323,'Pré Implantação'!G323),AVERAGE('Pré Implantação'!G323)),"")</f>
        <v/>
      </c>
      <c r="F323" s="34" t="str">
        <f>IFERROR(IF('Pré Implantação'!B323="CSE Gravadores",AVERAGE('Pré Implantação'!D323,'Pré Implantação'!L323,'Pré Implantação'!I323),AVERAGE('Pré Implantação'!I323)),"")</f>
        <v/>
      </c>
      <c r="G323" s="34" t="str">
        <f>IFERROR(IF('Pré Implantação'!B323="CSC",AVERAGE('Pré Implantação'!D323,'Pré Implantação'!L323,'Pré Implantação'!J323),AVERAGE('Pré Implantação'!J323)),"")</f>
        <v/>
      </c>
      <c r="H323" s="34" t="str">
        <f>IFERROR(IF('Pré Implantação'!B323="Operações \ Negócio",AVERAGE('Pré Implantação'!D323,'Pré Implantação'!L323,'Pré Implantação'!K323),AVERAGE('Pré Implantação'!K323)),"")</f>
        <v/>
      </c>
      <c r="I323" s="34" t="str">
        <f>IFERROR(IF('Pré Implantação'!B323="Projetos",AVERAGE('Pré Implantação'!D323,'Pré Implantação'!L323,'Pré Implantação'!M323),AVERAGE('Pré Implantação'!M323)),"")</f>
        <v/>
      </c>
      <c r="J323" s="34" t="str">
        <f>IFERROR(IF('Pré Implantação'!B323="Engenharia",AVERAGE('Pré Implantação'!D323,'Pré Implantação'!L323,'Pré Implantação'!N323),AVERAGE('Pré Implantação'!N323)),"")</f>
        <v/>
      </c>
      <c r="K323" s="34" t="str">
        <f>IFERROR(IF('Pré Implantação'!B323="URA",AVERAGE('Pré Implantação'!D323,'Pré Implantação'!L323),""),"")</f>
        <v/>
      </c>
      <c r="L323" s="34" t="str">
        <f>IFERROR(IF('Pré Implantação'!B323="CSE Microsoft",AVERAGE('Pré Implantação'!D323,'Pré Implantação'!L323),""),"")</f>
        <v/>
      </c>
      <c r="M323" s="34" t="str">
        <f>IFERROR(IF('Pré Implantação'!B323="CSE Telecom",AVERAGE('Pré Implantação'!D323,'Pré Implantação'!L323),""),"")</f>
        <v/>
      </c>
      <c r="N323" s="34" t="str">
        <f>IFERROR(IF('Pré Implantação'!B323="Site Suporte de Campo",AVERAGE('Pré Implantação'!D323,'Pré Implantação'!L323),""),"")</f>
        <v/>
      </c>
      <c r="O323" s="49" t="str">
        <f>IFERROR(IF('Pré Implantação'!B323="Infraestrutura",AVERAGE('Pré Implantação'!D323,'Pré Implantação'!L323),""),"")</f>
        <v/>
      </c>
    </row>
    <row r="324" spans="1:15" x14ac:dyDescent="0.3">
      <c r="A324" s="33">
        <f>'Pré Implantação'!A324</f>
        <v>0</v>
      </c>
      <c r="B324" s="36">
        <f>'Pré Implantação'!C324</f>
        <v>0</v>
      </c>
      <c r="C324" s="34" t="str">
        <f>IFERROR(IF('Pré Implantação'!B324="Produção TI",AVERAGE('Pré Implantação'!D324,'Pré Implantação'!L324,'Pré Implantação'!E324,'Pré Implantação'!H324),AVERAGE('Pré Implantação'!E324,'Pré Implantação'!H324)),"")</f>
        <v/>
      </c>
      <c r="D324" s="34" t="str">
        <f>IFERROR(IF('Pré Implantação'!B324="CSC Service Desk",AVERAGE('Pré Implantação'!D324,'Pré Implantação'!L324,'Pré Implantação'!F324),AVERAGE('Pré Implantação'!F324)),"")</f>
        <v/>
      </c>
      <c r="E324" s="34" t="str">
        <f>IFERROR(IF('Pré Implantação'!B324="CSC NOC",AVERAGE('Pré Implantação'!D324,'Pré Implantação'!L324,'Pré Implantação'!G324),AVERAGE('Pré Implantação'!G324)),"")</f>
        <v/>
      </c>
      <c r="F324" s="34" t="str">
        <f>IFERROR(IF('Pré Implantação'!B324="CSE Gravadores",AVERAGE('Pré Implantação'!D324,'Pré Implantação'!L324,'Pré Implantação'!I324),AVERAGE('Pré Implantação'!I324)),"")</f>
        <v/>
      </c>
      <c r="G324" s="34" t="str">
        <f>IFERROR(IF('Pré Implantação'!B324="CSC",AVERAGE('Pré Implantação'!D324,'Pré Implantação'!L324,'Pré Implantação'!J324),AVERAGE('Pré Implantação'!J324)),"")</f>
        <v/>
      </c>
      <c r="H324" s="34" t="str">
        <f>IFERROR(IF('Pré Implantação'!B324="Operações \ Negócio",AVERAGE('Pré Implantação'!D324,'Pré Implantação'!L324,'Pré Implantação'!K324),AVERAGE('Pré Implantação'!K324)),"")</f>
        <v/>
      </c>
      <c r="I324" s="34" t="str">
        <f>IFERROR(IF('Pré Implantação'!B324="Projetos",AVERAGE('Pré Implantação'!D324,'Pré Implantação'!L324,'Pré Implantação'!M324),AVERAGE('Pré Implantação'!M324)),"")</f>
        <v/>
      </c>
      <c r="J324" s="34" t="str">
        <f>IFERROR(IF('Pré Implantação'!B324="Engenharia",AVERAGE('Pré Implantação'!D324,'Pré Implantação'!L324,'Pré Implantação'!N324),AVERAGE('Pré Implantação'!N324)),"")</f>
        <v/>
      </c>
      <c r="K324" s="34" t="str">
        <f>IFERROR(IF('Pré Implantação'!B324="URA",AVERAGE('Pré Implantação'!D324,'Pré Implantação'!L324),""),"")</f>
        <v/>
      </c>
      <c r="L324" s="34" t="str">
        <f>IFERROR(IF('Pré Implantação'!B324="CSE Microsoft",AVERAGE('Pré Implantação'!D324,'Pré Implantação'!L324),""),"")</f>
        <v/>
      </c>
      <c r="M324" s="34" t="str">
        <f>IFERROR(IF('Pré Implantação'!B324="CSE Telecom",AVERAGE('Pré Implantação'!D324,'Pré Implantação'!L324),""),"")</f>
        <v/>
      </c>
      <c r="N324" s="34" t="str">
        <f>IFERROR(IF('Pré Implantação'!B324="Site Suporte de Campo",AVERAGE('Pré Implantação'!D324,'Pré Implantação'!L324),""),"")</f>
        <v/>
      </c>
      <c r="O324" s="49" t="str">
        <f>IFERROR(IF('Pré Implantação'!B324="Infraestrutura",AVERAGE('Pré Implantação'!D324,'Pré Implantação'!L324),""),"")</f>
        <v/>
      </c>
    </row>
    <row r="325" spans="1:15" x14ac:dyDescent="0.3">
      <c r="A325" s="33">
        <f>'Pré Implantação'!A325</f>
        <v>0</v>
      </c>
      <c r="B325" s="36">
        <f>'Pré Implantação'!C325</f>
        <v>0</v>
      </c>
      <c r="C325" s="34" t="str">
        <f>IFERROR(IF('Pré Implantação'!B325="Produção TI",AVERAGE('Pré Implantação'!D325,'Pré Implantação'!L325,'Pré Implantação'!E325,'Pré Implantação'!H325),AVERAGE('Pré Implantação'!E325,'Pré Implantação'!H325)),"")</f>
        <v/>
      </c>
      <c r="D325" s="34" t="str">
        <f>IFERROR(IF('Pré Implantação'!B325="CSC Service Desk",AVERAGE('Pré Implantação'!D325,'Pré Implantação'!L325,'Pré Implantação'!F325),AVERAGE('Pré Implantação'!F325)),"")</f>
        <v/>
      </c>
      <c r="E325" s="34" t="str">
        <f>IFERROR(IF('Pré Implantação'!B325="CSC NOC",AVERAGE('Pré Implantação'!D325,'Pré Implantação'!L325,'Pré Implantação'!G325),AVERAGE('Pré Implantação'!G325)),"")</f>
        <v/>
      </c>
      <c r="F325" s="34" t="str">
        <f>IFERROR(IF('Pré Implantação'!B325="CSE Gravadores",AVERAGE('Pré Implantação'!D325,'Pré Implantação'!L325,'Pré Implantação'!I325),AVERAGE('Pré Implantação'!I325)),"")</f>
        <v/>
      </c>
      <c r="G325" s="34" t="str">
        <f>IFERROR(IF('Pré Implantação'!B325="CSC",AVERAGE('Pré Implantação'!D325,'Pré Implantação'!L325,'Pré Implantação'!J325),AVERAGE('Pré Implantação'!J325)),"")</f>
        <v/>
      </c>
      <c r="H325" s="34" t="str">
        <f>IFERROR(IF('Pré Implantação'!B325="Operações \ Negócio",AVERAGE('Pré Implantação'!D325,'Pré Implantação'!L325,'Pré Implantação'!K325),AVERAGE('Pré Implantação'!K325)),"")</f>
        <v/>
      </c>
      <c r="I325" s="34" t="str">
        <f>IFERROR(IF('Pré Implantação'!B325="Projetos",AVERAGE('Pré Implantação'!D325,'Pré Implantação'!L325,'Pré Implantação'!M325),AVERAGE('Pré Implantação'!M325)),"")</f>
        <v/>
      </c>
      <c r="J325" s="34" t="str">
        <f>IFERROR(IF('Pré Implantação'!B325="Engenharia",AVERAGE('Pré Implantação'!D325,'Pré Implantação'!L325,'Pré Implantação'!N325),AVERAGE('Pré Implantação'!N325)),"")</f>
        <v/>
      </c>
      <c r="K325" s="34" t="str">
        <f>IFERROR(IF('Pré Implantação'!B325="URA",AVERAGE('Pré Implantação'!D325,'Pré Implantação'!L325),""),"")</f>
        <v/>
      </c>
      <c r="L325" s="34" t="str">
        <f>IFERROR(IF('Pré Implantação'!B325="CSE Microsoft",AVERAGE('Pré Implantação'!D325,'Pré Implantação'!L325),""),"")</f>
        <v/>
      </c>
      <c r="M325" s="34" t="str">
        <f>IFERROR(IF('Pré Implantação'!B325="CSE Telecom",AVERAGE('Pré Implantação'!D325,'Pré Implantação'!L325),""),"")</f>
        <v/>
      </c>
      <c r="N325" s="34" t="str">
        <f>IFERROR(IF('Pré Implantação'!B325="Site Suporte de Campo",AVERAGE('Pré Implantação'!D325,'Pré Implantação'!L325),""),"")</f>
        <v/>
      </c>
      <c r="O325" s="49" t="str">
        <f>IFERROR(IF('Pré Implantação'!B325="Infraestrutura",AVERAGE('Pré Implantação'!D325,'Pré Implantação'!L325),""),"")</f>
        <v/>
      </c>
    </row>
    <row r="326" spans="1:15" x14ac:dyDescent="0.3">
      <c r="A326" s="33">
        <f>'Pré Implantação'!A326</f>
        <v>0</v>
      </c>
      <c r="B326" s="36">
        <f>'Pré Implantação'!C326</f>
        <v>0</v>
      </c>
      <c r="C326" s="34" t="str">
        <f>IFERROR(IF('Pré Implantação'!B326="Produção TI",AVERAGE('Pré Implantação'!D326,'Pré Implantação'!L326,'Pré Implantação'!E326,'Pré Implantação'!H326),AVERAGE('Pré Implantação'!E326,'Pré Implantação'!H326)),"")</f>
        <v/>
      </c>
      <c r="D326" s="34" t="str">
        <f>IFERROR(IF('Pré Implantação'!B326="CSC Service Desk",AVERAGE('Pré Implantação'!D326,'Pré Implantação'!L326,'Pré Implantação'!F326),AVERAGE('Pré Implantação'!F326)),"")</f>
        <v/>
      </c>
      <c r="E326" s="34" t="str">
        <f>IFERROR(IF('Pré Implantação'!B326="CSC NOC",AVERAGE('Pré Implantação'!D326,'Pré Implantação'!L326,'Pré Implantação'!G326),AVERAGE('Pré Implantação'!G326)),"")</f>
        <v/>
      </c>
      <c r="F326" s="34" t="str">
        <f>IFERROR(IF('Pré Implantação'!B326="CSE Gravadores",AVERAGE('Pré Implantação'!D326,'Pré Implantação'!L326,'Pré Implantação'!I326),AVERAGE('Pré Implantação'!I326)),"")</f>
        <v/>
      </c>
      <c r="G326" s="34" t="str">
        <f>IFERROR(IF('Pré Implantação'!B326="CSC",AVERAGE('Pré Implantação'!D326,'Pré Implantação'!L326,'Pré Implantação'!J326),AVERAGE('Pré Implantação'!J326)),"")</f>
        <v/>
      </c>
      <c r="H326" s="34" t="str">
        <f>IFERROR(IF('Pré Implantação'!B326="Operações \ Negócio",AVERAGE('Pré Implantação'!D326,'Pré Implantação'!L326,'Pré Implantação'!K326),AVERAGE('Pré Implantação'!K326)),"")</f>
        <v/>
      </c>
      <c r="I326" s="34" t="str">
        <f>IFERROR(IF('Pré Implantação'!B326="Projetos",AVERAGE('Pré Implantação'!D326,'Pré Implantação'!L326,'Pré Implantação'!M326),AVERAGE('Pré Implantação'!M326)),"")</f>
        <v/>
      </c>
      <c r="J326" s="34" t="str">
        <f>IFERROR(IF('Pré Implantação'!B326="Engenharia",AVERAGE('Pré Implantação'!D326,'Pré Implantação'!L326,'Pré Implantação'!N326),AVERAGE('Pré Implantação'!N326)),"")</f>
        <v/>
      </c>
      <c r="K326" s="34" t="str">
        <f>IFERROR(IF('Pré Implantação'!B326="URA",AVERAGE('Pré Implantação'!D326,'Pré Implantação'!L326),""),"")</f>
        <v/>
      </c>
      <c r="L326" s="34" t="str">
        <f>IFERROR(IF('Pré Implantação'!B326="CSE Microsoft",AVERAGE('Pré Implantação'!D326,'Pré Implantação'!L326),""),"")</f>
        <v/>
      </c>
      <c r="M326" s="34" t="str">
        <f>IFERROR(IF('Pré Implantação'!B326="CSE Telecom",AVERAGE('Pré Implantação'!D326,'Pré Implantação'!L326),""),"")</f>
        <v/>
      </c>
      <c r="N326" s="34" t="str">
        <f>IFERROR(IF('Pré Implantação'!B326="Site Suporte de Campo",AVERAGE('Pré Implantação'!D326,'Pré Implantação'!L326),""),"")</f>
        <v/>
      </c>
      <c r="O326" s="49" t="str">
        <f>IFERROR(IF('Pré Implantação'!B326="Infraestrutura",AVERAGE('Pré Implantação'!D326,'Pré Implantação'!L326),""),"")</f>
        <v/>
      </c>
    </row>
    <row r="327" spans="1:15" x14ac:dyDescent="0.3">
      <c r="A327" s="33">
        <f>'Pré Implantação'!A327</f>
        <v>0</v>
      </c>
      <c r="B327" s="36">
        <f>'Pré Implantação'!C327</f>
        <v>0</v>
      </c>
      <c r="C327" s="34" t="str">
        <f>IFERROR(IF('Pré Implantação'!B327="Produção TI",AVERAGE('Pré Implantação'!D327,'Pré Implantação'!L327,'Pré Implantação'!E327,'Pré Implantação'!H327),AVERAGE('Pré Implantação'!E327,'Pré Implantação'!H327)),"")</f>
        <v/>
      </c>
      <c r="D327" s="34" t="str">
        <f>IFERROR(IF('Pré Implantação'!B327="CSC Service Desk",AVERAGE('Pré Implantação'!D327,'Pré Implantação'!L327,'Pré Implantação'!F327),AVERAGE('Pré Implantação'!F327)),"")</f>
        <v/>
      </c>
      <c r="E327" s="34" t="str">
        <f>IFERROR(IF('Pré Implantação'!B327="CSC NOC",AVERAGE('Pré Implantação'!D327,'Pré Implantação'!L327,'Pré Implantação'!G327),AVERAGE('Pré Implantação'!G327)),"")</f>
        <v/>
      </c>
      <c r="F327" s="34" t="str">
        <f>IFERROR(IF('Pré Implantação'!B327="CSE Gravadores",AVERAGE('Pré Implantação'!D327,'Pré Implantação'!L327,'Pré Implantação'!I327),AVERAGE('Pré Implantação'!I327)),"")</f>
        <v/>
      </c>
      <c r="G327" s="34" t="str">
        <f>IFERROR(IF('Pré Implantação'!B327="CSC",AVERAGE('Pré Implantação'!D327,'Pré Implantação'!L327,'Pré Implantação'!J327),AVERAGE('Pré Implantação'!J327)),"")</f>
        <v/>
      </c>
      <c r="H327" s="34" t="str">
        <f>IFERROR(IF('Pré Implantação'!B327="Operações \ Negócio",AVERAGE('Pré Implantação'!D327,'Pré Implantação'!L327,'Pré Implantação'!K327),AVERAGE('Pré Implantação'!K327)),"")</f>
        <v/>
      </c>
      <c r="I327" s="34" t="str">
        <f>IFERROR(IF('Pré Implantação'!B327="Projetos",AVERAGE('Pré Implantação'!D327,'Pré Implantação'!L327,'Pré Implantação'!M327),AVERAGE('Pré Implantação'!M327)),"")</f>
        <v/>
      </c>
      <c r="J327" s="34" t="str">
        <f>IFERROR(IF('Pré Implantação'!B327="Engenharia",AVERAGE('Pré Implantação'!D327,'Pré Implantação'!L327,'Pré Implantação'!N327),AVERAGE('Pré Implantação'!N327)),"")</f>
        <v/>
      </c>
      <c r="K327" s="34" t="str">
        <f>IFERROR(IF('Pré Implantação'!B327="URA",AVERAGE('Pré Implantação'!D327,'Pré Implantação'!L327),""),"")</f>
        <v/>
      </c>
      <c r="L327" s="34" t="str">
        <f>IFERROR(IF('Pré Implantação'!B327="CSE Microsoft",AVERAGE('Pré Implantação'!D327,'Pré Implantação'!L327),""),"")</f>
        <v/>
      </c>
      <c r="M327" s="34" t="str">
        <f>IFERROR(IF('Pré Implantação'!B327="CSE Telecom",AVERAGE('Pré Implantação'!D327,'Pré Implantação'!L327),""),"")</f>
        <v/>
      </c>
      <c r="N327" s="34" t="str">
        <f>IFERROR(IF('Pré Implantação'!B327="Site Suporte de Campo",AVERAGE('Pré Implantação'!D327,'Pré Implantação'!L327),""),"")</f>
        <v/>
      </c>
      <c r="O327" s="49" t="str">
        <f>IFERROR(IF('Pré Implantação'!B327="Infraestrutura",AVERAGE('Pré Implantação'!D327,'Pré Implantação'!L327),""),"")</f>
        <v/>
      </c>
    </row>
    <row r="328" spans="1:15" x14ac:dyDescent="0.3">
      <c r="A328" s="33">
        <f>'Pré Implantação'!A328</f>
        <v>0</v>
      </c>
      <c r="B328" s="36">
        <f>'Pré Implantação'!C328</f>
        <v>0</v>
      </c>
      <c r="C328" s="34" t="str">
        <f>IFERROR(IF('Pré Implantação'!B328="Produção TI",AVERAGE('Pré Implantação'!D328,'Pré Implantação'!L328,'Pré Implantação'!E328,'Pré Implantação'!H328),AVERAGE('Pré Implantação'!E328,'Pré Implantação'!H328)),"")</f>
        <v/>
      </c>
      <c r="D328" s="34" t="str">
        <f>IFERROR(IF('Pré Implantação'!B328="CSC Service Desk",AVERAGE('Pré Implantação'!D328,'Pré Implantação'!L328,'Pré Implantação'!F328),AVERAGE('Pré Implantação'!F328)),"")</f>
        <v/>
      </c>
      <c r="E328" s="34" t="str">
        <f>IFERROR(IF('Pré Implantação'!B328="CSC NOC",AVERAGE('Pré Implantação'!D328,'Pré Implantação'!L328,'Pré Implantação'!G328),AVERAGE('Pré Implantação'!G328)),"")</f>
        <v/>
      </c>
      <c r="F328" s="34" t="str">
        <f>IFERROR(IF('Pré Implantação'!B328="CSE Gravadores",AVERAGE('Pré Implantação'!D328,'Pré Implantação'!L328,'Pré Implantação'!I328),AVERAGE('Pré Implantação'!I328)),"")</f>
        <v/>
      </c>
      <c r="G328" s="34" t="str">
        <f>IFERROR(IF('Pré Implantação'!B328="CSC",AVERAGE('Pré Implantação'!D328,'Pré Implantação'!L328,'Pré Implantação'!J328),AVERAGE('Pré Implantação'!J328)),"")</f>
        <v/>
      </c>
      <c r="H328" s="34" t="str">
        <f>IFERROR(IF('Pré Implantação'!B328="Operações \ Negócio",AVERAGE('Pré Implantação'!D328,'Pré Implantação'!L328,'Pré Implantação'!K328),AVERAGE('Pré Implantação'!K328)),"")</f>
        <v/>
      </c>
      <c r="I328" s="34" t="str">
        <f>IFERROR(IF('Pré Implantação'!B328="Projetos",AVERAGE('Pré Implantação'!D328,'Pré Implantação'!L328,'Pré Implantação'!M328),AVERAGE('Pré Implantação'!M328)),"")</f>
        <v/>
      </c>
      <c r="J328" s="34" t="str">
        <f>IFERROR(IF('Pré Implantação'!B328="Engenharia",AVERAGE('Pré Implantação'!D328,'Pré Implantação'!L328,'Pré Implantação'!N328),AVERAGE('Pré Implantação'!N328)),"")</f>
        <v/>
      </c>
      <c r="K328" s="34" t="str">
        <f>IFERROR(IF('Pré Implantação'!B328="URA",AVERAGE('Pré Implantação'!D328,'Pré Implantação'!L328),""),"")</f>
        <v/>
      </c>
      <c r="L328" s="34" t="str">
        <f>IFERROR(IF('Pré Implantação'!B328="CSE Microsoft",AVERAGE('Pré Implantação'!D328,'Pré Implantação'!L328),""),"")</f>
        <v/>
      </c>
      <c r="M328" s="34" t="str">
        <f>IFERROR(IF('Pré Implantação'!B328="CSE Telecom",AVERAGE('Pré Implantação'!D328,'Pré Implantação'!L328),""),"")</f>
        <v/>
      </c>
      <c r="N328" s="34" t="str">
        <f>IFERROR(IF('Pré Implantação'!B328="Site Suporte de Campo",AVERAGE('Pré Implantação'!D328,'Pré Implantação'!L328),""),"")</f>
        <v/>
      </c>
      <c r="O328" s="49" t="str">
        <f>IFERROR(IF('Pré Implantação'!B328="Infraestrutura",AVERAGE('Pré Implantação'!D328,'Pré Implantação'!L328),""),"")</f>
        <v/>
      </c>
    </row>
    <row r="329" spans="1:15" x14ac:dyDescent="0.3">
      <c r="A329" s="33">
        <f>'Pré Implantação'!A329</f>
        <v>0</v>
      </c>
      <c r="B329" s="36">
        <f>'Pré Implantação'!C329</f>
        <v>0</v>
      </c>
      <c r="C329" s="34" t="str">
        <f>IFERROR(IF('Pré Implantação'!B329="Produção TI",AVERAGE('Pré Implantação'!D329,'Pré Implantação'!L329,'Pré Implantação'!E329,'Pré Implantação'!H329),AVERAGE('Pré Implantação'!E329,'Pré Implantação'!H329)),"")</f>
        <v/>
      </c>
      <c r="D329" s="34" t="str">
        <f>IFERROR(IF('Pré Implantação'!B329="CSC Service Desk",AVERAGE('Pré Implantação'!D329,'Pré Implantação'!L329,'Pré Implantação'!F329),AVERAGE('Pré Implantação'!F329)),"")</f>
        <v/>
      </c>
      <c r="E329" s="34" t="str">
        <f>IFERROR(IF('Pré Implantação'!B329="CSC NOC",AVERAGE('Pré Implantação'!D329,'Pré Implantação'!L329,'Pré Implantação'!G329),AVERAGE('Pré Implantação'!G329)),"")</f>
        <v/>
      </c>
      <c r="F329" s="34" t="str">
        <f>IFERROR(IF('Pré Implantação'!B329="CSE Gravadores",AVERAGE('Pré Implantação'!D329,'Pré Implantação'!L329,'Pré Implantação'!I329),AVERAGE('Pré Implantação'!I329)),"")</f>
        <v/>
      </c>
      <c r="G329" s="34" t="str">
        <f>IFERROR(IF('Pré Implantação'!B329="CSC",AVERAGE('Pré Implantação'!D329,'Pré Implantação'!L329,'Pré Implantação'!J329),AVERAGE('Pré Implantação'!J329)),"")</f>
        <v/>
      </c>
      <c r="H329" s="34" t="str">
        <f>IFERROR(IF('Pré Implantação'!B329="Operações \ Negócio",AVERAGE('Pré Implantação'!D329,'Pré Implantação'!L329,'Pré Implantação'!K329),AVERAGE('Pré Implantação'!K329)),"")</f>
        <v/>
      </c>
      <c r="I329" s="34" t="str">
        <f>IFERROR(IF('Pré Implantação'!B329="Projetos",AVERAGE('Pré Implantação'!D329,'Pré Implantação'!L329,'Pré Implantação'!M329),AVERAGE('Pré Implantação'!M329)),"")</f>
        <v/>
      </c>
      <c r="J329" s="34" t="str">
        <f>IFERROR(IF('Pré Implantação'!B329="Engenharia",AVERAGE('Pré Implantação'!D329,'Pré Implantação'!L329,'Pré Implantação'!N329),AVERAGE('Pré Implantação'!N329)),"")</f>
        <v/>
      </c>
      <c r="K329" s="34" t="str">
        <f>IFERROR(IF('Pré Implantação'!B329="URA",AVERAGE('Pré Implantação'!D329,'Pré Implantação'!L329),""),"")</f>
        <v/>
      </c>
      <c r="L329" s="34" t="str">
        <f>IFERROR(IF('Pré Implantação'!B329="CSE Microsoft",AVERAGE('Pré Implantação'!D329,'Pré Implantação'!L329),""),"")</f>
        <v/>
      </c>
      <c r="M329" s="34" t="str">
        <f>IFERROR(IF('Pré Implantação'!B329="CSE Telecom",AVERAGE('Pré Implantação'!D329,'Pré Implantação'!L329),""),"")</f>
        <v/>
      </c>
      <c r="N329" s="34" t="str">
        <f>IFERROR(IF('Pré Implantação'!B329="Site Suporte de Campo",AVERAGE('Pré Implantação'!D329,'Pré Implantação'!L329),""),"")</f>
        <v/>
      </c>
      <c r="O329" s="49" t="str">
        <f>IFERROR(IF('Pré Implantação'!B329="Infraestrutura",AVERAGE('Pré Implantação'!D329,'Pré Implantação'!L329),""),"")</f>
        <v/>
      </c>
    </row>
    <row r="330" spans="1:15" x14ac:dyDescent="0.3">
      <c r="A330" s="33">
        <f>'Pré Implantação'!A330</f>
        <v>0</v>
      </c>
      <c r="B330" s="36">
        <f>'Pré Implantação'!C330</f>
        <v>0</v>
      </c>
      <c r="C330" s="34" t="str">
        <f>IFERROR(IF('Pré Implantação'!B330="Produção TI",AVERAGE('Pré Implantação'!D330,'Pré Implantação'!L330,'Pré Implantação'!E330,'Pré Implantação'!H330),AVERAGE('Pré Implantação'!E330,'Pré Implantação'!H330)),"")</f>
        <v/>
      </c>
      <c r="D330" s="34" t="str">
        <f>IFERROR(IF('Pré Implantação'!B330="CSC Service Desk",AVERAGE('Pré Implantação'!D330,'Pré Implantação'!L330,'Pré Implantação'!F330),AVERAGE('Pré Implantação'!F330)),"")</f>
        <v/>
      </c>
      <c r="E330" s="34" t="str">
        <f>IFERROR(IF('Pré Implantação'!B330="CSC NOC",AVERAGE('Pré Implantação'!D330,'Pré Implantação'!L330,'Pré Implantação'!G330),AVERAGE('Pré Implantação'!G330)),"")</f>
        <v/>
      </c>
      <c r="F330" s="34" t="str">
        <f>IFERROR(IF('Pré Implantação'!B330="CSE Gravadores",AVERAGE('Pré Implantação'!D330,'Pré Implantação'!L330,'Pré Implantação'!I330),AVERAGE('Pré Implantação'!I330)),"")</f>
        <v/>
      </c>
      <c r="G330" s="34" t="str">
        <f>IFERROR(IF('Pré Implantação'!B330="CSC",AVERAGE('Pré Implantação'!D330,'Pré Implantação'!L330,'Pré Implantação'!J330),AVERAGE('Pré Implantação'!J330)),"")</f>
        <v/>
      </c>
      <c r="H330" s="34" t="str">
        <f>IFERROR(IF('Pré Implantação'!B330="Operações \ Negócio",AVERAGE('Pré Implantação'!D330,'Pré Implantação'!L330,'Pré Implantação'!K330),AVERAGE('Pré Implantação'!K330)),"")</f>
        <v/>
      </c>
      <c r="I330" s="34" t="str">
        <f>IFERROR(IF('Pré Implantação'!B330="Projetos",AVERAGE('Pré Implantação'!D330,'Pré Implantação'!L330,'Pré Implantação'!M330),AVERAGE('Pré Implantação'!M330)),"")</f>
        <v/>
      </c>
      <c r="J330" s="34" t="str">
        <f>IFERROR(IF('Pré Implantação'!B330="Engenharia",AVERAGE('Pré Implantação'!D330,'Pré Implantação'!L330,'Pré Implantação'!N330),AVERAGE('Pré Implantação'!N330)),"")</f>
        <v/>
      </c>
      <c r="K330" s="34" t="str">
        <f>IFERROR(IF('Pré Implantação'!B330="URA",AVERAGE('Pré Implantação'!D330,'Pré Implantação'!L330),""),"")</f>
        <v/>
      </c>
      <c r="L330" s="34" t="str">
        <f>IFERROR(IF('Pré Implantação'!B330="CSE Microsoft",AVERAGE('Pré Implantação'!D330,'Pré Implantação'!L330),""),"")</f>
        <v/>
      </c>
      <c r="M330" s="34" t="str">
        <f>IFERROR(IF('Pré Implantação'!B330="CSE Telecom",AVERAGE('Pré Implantação'!D330,'Pré Implantação'!L330),""),"")</f>
        <v/>
      </c>
      <c r="N330" s="34" t="str">
        <f>IFERROR(IF('Pré Implantação'!B330="Site Suporte de Campo",AVERAGE('Pré Implantação'!D330,'Pré Implantação'!L330),""),"")</f>
        <v/>
      </c>
      <c r="O330" s="49" t="str">
        <f>IFERROR(IF('Pré Implantação'!B330="Infraestrutura",AVERAGE('Pré Implantação'!D330,'Pré Implantação'!L330),""),"")</f>
        <v/>
      </c>
    </row>
    <row r="331" spans="1:15" x14ac:dyDescent="0.3">
      <c r="A331" s="33">
        <f>'Pré Implantação'!A331</f>
        <v>0</v>
      </c>
      <c r="B331" s="36">
        <f>'Pré Implantação'!C331</f>
        <v>0</v>
      </c>
      <c r="C331" s="34" t="str">
        <f>IFERROR(IF('Pré Implantação'!B331="Produção TI",AVERAGE('Pré Implantação'!D331,'Pré Implantação'!L331,'Pré Implantação'!E331,'Pré Implantação'!H331),AVERAGE('Pré Implantação'!E331,'Pré Implantação'!H331)),"")</f>
        <v/>
      </c>
      <c r="D331" s="34" t="str">
        <f>IFERROR(IF('Pré Implantação'!B331="CSC Service Desk",AVERAGE('Pré Implantação'!D331,'Pré Implantação'!L331,'Pré Implantação'!F331),AVERAGE('Pré Implantação'!F331)),"")</f>
        <v/>
      </c>
      <c r="E331" s="34" t="str">
        <f>IFERROR(IF('Pré Implantação'!B331="CSC NOC",AVERAGE('Pré Implantação'!D331,'Pré Implantação'!L331,'Pré Implantação'!G331),AVERAGE('Pré Implantação'!G331)),"")</f>
        <v/>
      </c>
      <c r="F331" s="34" t="str">
        <f>IFERROR(IF('Pré Implantação'!B331="CSE Gravadores",AVERAGE('Pré Implantação'!D331,'Pré Implantação'!L331,'Pré Implantação'!I331),AVERAGE('Pré Implantação'!I331)),"")</f>
        <v/>
      </c>
      <c r="G331" s="34" t="str">
        <f>IFERROR(IF('Pré Implantação'!B331="CSC",AVERAGE('Pré Implantação'!D331,'Pré Implantação'!L331,'Pré Implantação'!J331),AVERAGE('Pré Implantação'!J331)),"")</f>
        <v/>
      </c>
      <c r="H331" s="34" t="str">
        <f>IFERROR(IF('Pré Implantação'!B331="Operações \ Negócio",AVERAGE('Pré Implantação'!D331,'Pré Implantação'!L331,'Pré Implantação'!K331),AVERAGE('Pré Implantação'!K331)),"")</f>
        <v/>
      </c>
      <c r="I331" s="34" t="str">
        <f>IFERROR(IF('Pré Implantação'!B331="Projetos",AVERAGE('Pré Implantação'!D331,'Pré Implantação'!L331,'Pré Implantação'!M331),AVERAGE('Pré Implantação'!M331)),"")</f>
        <v/>
      </c>
      <c r="J331" s="34" t="str">
        <f>IFERROR(IF('Pré Implantação'!B331="Engenharia",AVERAGE('Pré Implantação'!D331,'Pré Implantação'!L331,'Pré Implantação'!N331),AVERAGE('Pré Implantação'!N331)),"")</f>
        <v/>
      </c>
      <c r="K331" s="34" t="str">
        <f>IFERROR(IF('Pré Implantação'!B331="URA",AVERAGE('Pré Implantação'!D331,'Pré Implantação'!L331),""),"")</f>
        <v/>
      </c>
      <c r="L331" s="34" t="str">
        <f>IFERROR(IF('Pré Implantação'!B331="CSE Microsoft",AVERAGE('Pré Implantação'!D331,'Pré Implantação'!L331),""),"")</f>
        <v/>
      </c>
      <c r="M331" s="34" t="str">
        <f>IFERROR(IF('Pré Implantação'!B331="CSE Telecom",AVERAGE('Pré Implantação'!D331,'Pré Implantação'!L331),""),"")</f>
        <v/>
      </c>
      <c r="N331" s="34" t="str">
        <f>IFERROR(IF('Pré Implantação'!B331="Site Suporte de Campo",AVERAGE('Pré Implantação'!D331,'Pré Implantação'!L331),""),"")</f>
        <v/>
      </c>
      <c r="O331" s="49" t="str">
        <f>IFERROR(IF('Pré Implantação'!B331="Infraestrutura",AVERAGE('Pré Implantação'!D331,'Pré Implantação'!L331),""),"")</f>
        <v/>
      </c>
    </row>
    <row r="332" spans="1:15" x14ac:dyDescent="0.3">
      <c r="A332" s="33">
        <f>'Pré Implantação'!A332</f>
        <v>0</v>
      </c>
      <c r="B332" s="36">
        <f>'Pré Implantação'!C332</f>
        <v>0</v>
      </c>
      <c r="C332" s="34" t="str">
        <f>IFERROR(IF('Pré Implantação'!B332="Produção TI",AVERAGE('Pré Implantação'!D332,'Pré Implantação'!L332,'Pré Implantação'!E332,'Pré Implantação'!H332),AVERAGE('Pré Implantação'!E332,'Pré Implantação'!H332)),"")</f>
        <v/>
      </c>
      <c r="D332" s="34" t="str">
        <f>IFERROR(IF('Pré Implantação'!B332="CSC Service Desk",AVERAGE('Pré Implantação'!D332,'Pré Implantação'!L332,'Pré Implantação'!F332),AVERAGE('Pré Implantação'!F332)),"")</f>
        <v/>
      </c>
      <c r="E332" s="34" t="str">
        <f>IFERROR(IF('Pré Implantação'!B332="CSC NOC",AVERAGE('Pré Implantação'!D332,'Pré Implantação'!L332,'Pré Implantação'!G332),AVERAGE('Pré Implantação'!G332)),"")</f>
        <v/>
      </c>
      <c r="F332" s="34" t="str">
        <f>IFERROR(IF('Pré Implantação'!B332="CSE Gravadores",AVERAGE('Pré Implantação'!D332,'Pré Implantação'!L332,'Pré Implantação'!I332),AVERAGE('Pré Implantação'!I332)),"")</f>
        <v/>
      </c>
      <c r="G332" s="34" t="str">
        <f>IFERROR(IF('Pré Implantação'!B332="CSC",AVERAGE('Pré Implantação'!D332,'Pré Implantação'!L332,'Pré Implantação'!J332),AVERAGE('Pré Implantação'!J332)),"")</f>
        <v/>
      </c>
      <c r="H332" s="34" t="str">
        <f>IFERROR(IF('Pré Implantação'!B332="Operações \ Negócio",AVERAGE('Pré Implantação'!D332,'Pré Implantação'!L332,'Pré Implantação'!K332),AVERAGE('Pré Implantação'!K332)),"")</f>
        <v/>
      </c>
      <c r="I332" s="34" t="str">
        <f>IFERROR(IF('Pré Implantação'!B332="Projetos",AVERAGE('Pré Implantação'!D332,'Pré Implantação'!L332,'Pré Implantação'!M332),AVERAGE('Pré Implantação'!M332)),"")</f>
        <v/>
      </c>
      <c r="J332" s="34" t="str">
        <f>IFERROR(IF('Pré Implantação'!B332="Engenharia",AVERAGE('Pré Implantação'!D332,'Pré Implantação'!L332,'Pré Implantação'!N332),AVERAGE('Pré Implantação'!N332)),"")</f>
        <v/>
      </c>
      <c r="K332" s="34" t="str">
        <f>IFERROR(IF('Pré Implantação'!B332="URA",AVERAGE('Pré Implantação'!D332,'Pré Implantação'!L332),""),"")</f>
        <v/>
      </c>
      <c r="L332" s="34" t="str">
        <f>IFERROR(IF('Pré Implantação'!B332="CSE Microsoft",AVERAGE('Pré Implantação'!D332,'Pré Implantação'!L332),""),"")</f>
        <v/>
      </c>
      <c r="M332" s="34" t="str">
        <f>IFERROR(IF('Pré Implantação'!B332="CSE Telecom",AVERAGE('Pré Implantação'!D332,'Pré Implantação'!L332),""),"")</f>
        <v/>
      </c>
      <c r="N332" s="34" t="str">
        <f>IFERROR(IF('Pré Implantação'!B332="Site Suporte de Campo",AVERAGE('Pré Implantação'!D332,'Pré Implantação'!L332),""),"")</f>
        <v/>
      </c>
      <c r="O332" s="49" t="str">
        <f>IFERROR(IF('Pré Implantação'!B332="Infraestrutura",AVERAGE('Pré Implantação'!D332,'Pré Implantação'!L332),""),"")</f>
        <v/>
      </c>
    </row>
    <row r="333" spans="1:15" x14ac:dyDescent="0.3">
      <c r="A333" s="33">
        <f>'Pré Implantação'!A333</f>
        <v>0</v>
      </c>
      <c r="B333" s="36">
        <f>'Pré Implantação'!C333</f>
        <v>0</v>
      </c>
      <c r="C333" s="34" t="str">
        <f>IFERROR(IF('Pré Implantação'!B333="Produção TI",AVERAGE('Pré Implantação'!D333,'Pré Implantação'!L333,'Pré Implantação'!E333,'Pré Implantação'!H333),AVERAGE('Pré Implantação'!E333,'Pré Implantação'!H333)),"")</f>
        <v/>
      </c>
      <c r="D333" s="34" t="str">
        <f>IFERROR(IF('Pré Implantação'!B333="CSC Service Desk",AVERAGE('Pré Implantação'!D333,'Pré Implantação'!L333,'Pré Implantação'!F333),AVERAGE('Pré Implantação'!F333)),"")</f>
        <v/>
      </c>
      <c r="E333" s="34" t="str">
        <f>IFERROR(IF('Pré Implantação'!B333="CSC NOC",AVERAGE('Pré Implantação'!D333,'Pré Implantação'!L333,'Pré Implantação'!G333),AVERAGE('Pré Implantação'!G333)),"")</f>
        <v/>
      </c>
      <c r="F333" s="34" t="str">
        <f>IFERROR(IF('Pré Implantação'!B333="CSE Gravadores",AVERAGE('Pré Implantação'!D333,'Pré Implantação'!L333,'Pré Implantação'!I333),AVERAGE('Pré Implantação'!I333)),"")</f>
        <v/>
      </c>
      <c r="G333" s="34" t="str">
        <f>IFERROR(IF('Pré Implantação'!B333="CSC",AVERAGE('Pré Implantação'!D333,'Pré Implantação'!L333,'Pré Implantação'!J333),AVERAGE('Pré Implantação'!J333)),"")</f>
        <v/>
      </c>
      <c r="H333" s="34" t="str">
        <f>IFERROR(IF('Pré Implantação'!B333="Operações \ Negócio",AVERAGE('Pré Implantação'!D333,'Pré Implantação'!L333,'Pré Implantação'!K333),AVERAGE('Pré Implantação'!K333)),"")</f>
        <v/>
      </c>
      <c r="I333" s="34" t="str">
        <f>IFERROR(IF('Pré Implantação'!B333="Projetos",AVERAGE('Pré Implantação'!D333,'Pré Implantação'!L333,'Pré Implantação'!M333),AVERAGE('Pré Implantação'!M333)),"")</f>
        <v/>
      </c>
      <c r="J333" s="34" t="str">
        <f>IFERROR(IF('Pré Implantação'!B333="Engenharia",AVERAGE('Pré Implantação'!D333,'Pré Implantação'!L333,'Pré Implantação'!N333),AVERAGE('Pré Implantação'!N333)),"")</f>
        <v/>
      </c>
      <c r="K333" s="34" t="str">
        <f>IFERROR(IF('Pré Implantação'!B333="URA",AVERAGE('Pré Implantação'!D333,'Pré Implantação'!L333),""),"")</f>
        <v/>
      </c>
      <c r="L333" s="34" t="str">
        <f>IFERROR(IF('Pré Implantação'!B333="CSE Microsoft",AVERAGE('Pré Implantação'!D333,'Pré Implantação'!L333),""),"")</f>
        <v/>
      </c>
      <c r="M333" s="34" t="str">
        <f>IFERROR(IF('Pré Implantação'!B333="CSE Telecom",AVERAGE('Pré Implantação'!D333,'Pré Implantação'!L333),""),"")</f>
        <v/>
      </c>
      <c r="N333" s="34" t="str">
        <f>IFERROR(IF('Pré Implantação'!B333="Site Suporte de Campo",AVERAGE('Pré Implantação'!D333,'Pré Implantação'!L333),""),"")</f>
        <v/>
      </c>
      <c r="O333" s="49" t="str">
        <f>IFERROR(IF('Pré Implantação'!B333="Infraestrutura",AVERAGE('Pré Implantação'!D333,'Pré Implantação'!L333),""),"")</f>
        <v/>
      </c>
    </row>
    <row r="334" spans="1:15" x14ac:dyDescent="0.3">
      <c r="A334" s="33">
        <f>'Pré Implantação'!A334</f>
        <v>0</v>
      </c>
      <c r="B334" s="36">
        <f>'Pré Implantação'!C334</f>
        <v>0</v>
      </c>
      <c r="C334" s="34" t="str">
        <f>IFERROR(IF('Pré Implantação'!B334="Produção TI",AVERAGE('Pré Implantação'!D334,'Pré Implantação'!L334,'Pré Implantação'!E334,'Pré Implantação'!H334),AVERAGE('Pré Implantação'!E334,'Pré Implantação'!H334)),"")</f>
        <v/>
      </c>
      <c r="D334" s="34" t="str">
        <f>IFERROR(IF('Pré Implantação'!B334="CSC Service Desk",AVERAGE('Pré Implantação'!D334,'Pré Implantação'!L334,'Pré Implantação'!F334),AVERAGE('Pré Implantação'!F334)),"")</f>
        <v/>
      </c>
      <c r="E334" s="34" t="str">
        <f>IFERROR(IF('Pré Implantação'!B334="CSC NOC",AVERAGE('Pré Implantação'!D334,'Pré Implantação'!L334,'Pré Implantação'!G334),AVERAGE('Pré Implantação'!G334)),"")</f>
        <v/>
      </c>
      <c r="F334" s="34" t="str">
        <f>IFERROR(IF('Pré Implantação'!B334="CSE Gravadores",AVERAGE('Pré Implantação'!D334,'Pré Implantação'!L334,'Pré Implantação'!I334),AVERAGE('Pré Implantação'!I334)),"")</f>
        <v/>
      </c>
      <c r="G334" s="34" t="str">
        <f>IFERROR(IF('Pré Implantação'!B334="CSC",AVERAGE('Pré Implantação'!D334,'Pré Implantação'!L334,'Pré Implantação'!J334),AVERAGE('Pré Implantação'!J334)),"")</f>
        <v/>
      </c>
      <c r="H334" s="34" t="str">
        <f>IFERROR(IF('Pré Implantação'!B334="Operações \ Negócio",AVERAGE('Pré Implantação'!D334,'Pré Implantação'!L334,'Pré Implantação'!K334),AVERAGE('Pré Implantação'!K334)),"")</f>
        <v/>
      </c>
      <c r="I334" s="34" t="str">
        <f>IFERROR(IF('Pré Implantação'!B334="Projetos",AVERAGE('Pré Implantação'!D334,'Pré Implantação'!L334,'Pré Implantação'!M334),AVERAGE('Pré Implantação'!M334)),"")</f>
        <v/>
      </c>
      <c r="J334" s="34" t="str">
        <f>IFERROR(IF('Pré Implantação'!B334="Engenharia",AVERAGE('Pré Implantação'!D334,'Pré Implantação'!L334,'Pré Implantação'!N334),AVERAGE('Pré Implantação'!N334)),"")</f>
        <v/>
      </c>
      <c r="K334" s="34" t="str">
        <f>IFERROR(IF('Pré Implantação'!B334="URA",AVERAGE('Pré Implantação'!D334,'Pré Implantação'!L334),""),"")</f>
        <v/>
      </c>
      <c r="L334" s="34" t="str">
        <f>IFERROR(IF('Pré Implantação'!B334="CSE Microsoft",AVERAGE('Pré Implantação'!D334,'Pré Implantação'!L334),""),"")</f>
        <v/>
      </c>
      <c r="M334" s="34" t="str">
        <f>IFERROR(IF('Pré Implantação'!B334="CSE Telecom",AVERAGE('Pré Implantação'!D334,'Pré Implantação'!L334),""),"")</f>
        <v/>
      </c>
      <c r="N334" s="34" t="str">
        <f>IFERROR(IF('Pré Implantação'!B334="Site Suporte de Campo",AVERAGE('Pré Implantação'!D334,'Pré Implantação'!L334),""),"")</f>
        <v/>
      </c>
      <c r="O334" s="49" t="str">
        <f>IFERROR(IF('Pré Implantação'!B334="Infraestrutura",AVERAGE('Pré Implantação'!D334,'Pré Implantação'!L334),""),"")</f>
        <v/>
      </c>
    </row>
    <row r="335" spans="1:15" x14ac:dyDescent="0.3">
      <c r="A335" s="33">
        <f>'Pré Implantação'!A335</f>
        <v>0</v>
      </c>
      <c r="B335" s="36">
        <f>'Pré Implantação'!C335</f>
        <v>0</v>
      </c>
      <c r="C335" s="34" t="str">
        <f>IFERROR(IF('Pré Implantação'!B335="Produção TI",AVERAGE('Pré Implantação'!D335,'Pré Implantação'!L335,'Pré Implantação'!E335,'Pré Implantação'!H335),AVERAGE('Pré Implantação'!E335,'Pré Implantação'!H335)),"")</f>
        <v/>
      </c>
      <c r="D335" s="34" t="str">
        <f>IFERROR(IF('Pré Implantação'!B335="CSC Service Desk",AVERAGE('Pré Implantação'!D335,'Pré Implantação'!L335,'Pré Implantação'!F335),AVERAGE('Pré Implantação'!F335)),"")</f>
        <v/>
      </c>
      <c r="E335" s="34" t="str">
        <f>IFERROR(IF('Pré Implantação'!B335="CSC NOC",AVERAGE('Pré Implantação'!D335,'Pré Implantação'!L335,'Pré Implantação'!G335),AVERAGE('Pré Implantação'!G335)),"")</f>
        <v/>
      </c>
      <c r="F335" s="34" t="str">
        <f>IFERROR(IF('Pré Implantação'!B335="CSE Gravadores",AVERAGE('Pré Implantação'!D335,'Pré Implantação'!L335,'Pré Implantação'!I335),AVERAGE('Pré Implantação'!I335)),"")</f>
        <v/>
      </c>
      <c r="G335" s="34" t="str">
        <f>IFERROR(IF('Pré Implantação'!B335="CSC",AVERAGE('Pré Implantação'!D335,'Pré Implantação'!L335,'Pré Implantação'!J335),AVERAGE('Pré Implantação'!J335)),"")</f>
        <v/>
      </c>
      <c r="H335" s="34" t="str">
        <f>IFERROR(IF('Pré Implantação'!B335="Operações \ Negócio",AVERAGE('Pré Implantação'!D335,'Pré Implantação'!L335,'Pré Implantação'!K335),AVERAGE('Pré Implantação'!K335)),"")</f>
        <v/>
      </c>
      <c r="I335" s="34" t="str">
        <f>IFERROR(IF('Pré Implantação'!B335="Projetos",AVERAGE('Pré Implantação'!D335,'Pré Implantação'!L335,'Pré Implantação'!M335),AVERAGE('Pré Implantação'!M335)),"")</f>
        <v/>
      </c>
      <c r="J335" s="34" t="str">
        <f>IFERROR(IF('Pré Implantação'!B335="Engenharia",AVERAGE('Pré Implantação'!D335,'Pré Implantação'!L335,'Pré Implantação'!N335),AVERAGE('Pré Implantação'!N335)),"")</f>
        <v/>
      </c>
      <c r="K335" s="34" t="str">
        <f>IFERROR(IF('Pré Implantação'!B335="URA",AVERAGE('Pré Implantação'!D335,'Pré Implantação'!L335),""),"")</f>
        <v/>
      </c>
      <c r="L335" s="34" t="str">
        <f>IFERROR(IF('Pré Implantação'!B335="CSE Microsoft",AVERAGE('Pré Implantação'!D335,'Pré Implantação'!L335),""),"")</f>
        <v/>
      </c>
      <c r="M335" s="34" t="str">
        <f>IFERROR(IF('Pré Implantação'!B335="CSE Telecom",AVERAGE('Pré Implantação'!D335,'Pré Implantação'!L335),""),"")</f>
        <v/>
      </c>
      <c r="N335" s="34" t="str">
        <f>IFERROR(IF('Pré Implantação'!B335="Site Suporte de Campo",AVERAGE('Pré Implantação'!D335,'Pré Implantação'!L335),""),"")</f>
        <v/>
      </c>
      <c r="O335" s="49" t="str">
        <f>IFERROR(IF('Pré Implantação'!B335="Infraestrutura",AVERAGE('Pré Implantação'!D335,'Pré Implantação'!L335),""),"")</f>
        <v/>
      </c>
    </row>
    <row r="336" spans="1:15" x14ac:dyDescent="0.3">
      <c r="A336" s="33">
        <f>'Pré Implantação'!A336</f>
        <v>0</v>
      </c>
      <c r="B336" s="36">
        <f>'Pré Implantação'!C336</f>
        <v>0</v>
      </c>
      <c r="C336" s="34" t="str">
        <f>IFERROR(IF('Pré Implantação'!B336="Produção TI",AVERAGE('Pré Implantação'!D336,'Pré Implantação'!L336,'Pré Implantação'!E336,'Pré Implantação'!H336),AVERAGE('Pré Implantação'!E336,'Pré Implantação'!H336)),"")</f>
        <v/>
      </c>
      <c r="D336" s="34" t="str">
        <f>IFERROR(IF('Pré Implantação'!B336="CSC Service Desk",AVERAGE('Pré Implantação'!D336,'Pré Implantação'!L336,'Pré Implantação'!F336),AVERAGE('Pré Implantação'!F336)),"")</f>
        <v/>
      </c>
      <c r="E336" s="34" t="str">
        <f>IFERROR(IF('Pré Implantação'!B336="CSC NOC",AVERAGE('Pré Implantação'!D336,'Pré Implantação'!L336,'Pré Implantação'!G336),AVERAGE('Pré Implantação'!G336)),"")</f>
        <v/>
      </c>
      <c r="F336" s="34" t="str">
        <f>IFERROR(IF('Pré Implantação'!B336="CSE Gravadores",AVERAGE('Pré Implantação'!D336,'Pré Implantação'!L336,'Pré Implantação'!I336),AVERAGE('Pré Implantação'!I336)),"")</f>
        <v/>
      </c>
      <c r="G336" s="34" t="str">
        <f>IFERROR(IF('Pré Implantação'!B336="CSC",AVERAGE('Pré Implantação'!D336,'Pré Implantação'!L336,'Pré Implantação'!J336),AVERAGE('Pré Implantação'!J336)),"")</f>
        <v/>
      </c>
      <c r="H336" s="34" t="str">
        <f>IFERROR(IF('Pré Implantação'!B336="Operações \ Negócio",AVERAGE('Pré Implantação'!D336,'Pré Implantação'!L336,'Pré Implantação'!K336),AVERAGE('Pré Implantação'!K336)),"")</f>
        <v/>
      </c>
      <c r="I336" s="34" t="str">
        <f>IFERROR(IF('Pré Implantação'!B336="Projetos",AVERAGE('Pré Implantação'!D336,'Pré Implantação'!L336,'Pré Implantação'!M336),AVERAGE('Pré Implantação'!M336)),"")</f>
        <v/>
      </c>
      <c r="J336" s="34" t="str">
        <f>IFERROR(IF('Pré Implantação'!B336="Engenharia",AVERAGE('Pré Implantação'!D336,'Pré Implantação'!L336,'Pré Implantação'!N336),AVERAGE('Pré Implantação'!N336)),"")</f>
        <v/>
      </c>
      <c r="K336" s="34" t="str">
        <f>IFERROR(IF('Pré Implantação'!B336="URA",AVERAGE('Pré Implantação'!D336,'Pré Implantação'!L336),""),"")</f>
        <v/>
      </c>
      <c r="L336" s="34" t="str">
        <f>IFERROR(IF('Pré Implantação'!B336="CSE Microsoft",AVERAGE('Pré Implantação'!D336,'Pré Implantação'!L336),""),"")</f>
        <v/>
      </c>
      <c r="M336" s="34" t="str">
        <f>IFERROR(IF('Pré Implantação'!B336="CSE Telecom",AVERAGE('Pré Implantação'!D336,'Pré Implantação'!L336),""),"")</f>
        <v/>
      </c>
      <c r="N336" s="34" t="str">
        <f>IFERROR(IF('Pré Implantação'!B336="Site Suporte de Campo",AVERAGE('Pré Implantação'!D336,'Pré Implantação'!L336),""),"")</f>
        <v/>
      </c>
      <c r="O336" s="49" t="str">
        <f>IFERROR(IF('Pré Implantação'!B336="Infraestrutura",AVERAGE('Pré Implantação'!D336,'Pré Implantação'!L336),""),"")</f>
        <v/>
      </c>
    </row>
    <row r="337" spans="1:15" x14ac:dyDescent="0.3">
      <c r="A337" s="33">
        <f>'Pré Implantação'!A337</f>
        <v>0</v>
      </c>
      <c r="B337" s="36">
        <f>'Pré Implantação'!C337</f>
        <v>0</v>
      </c>
      <c r="C337" s="34" t="str">
        <f>IFERROR(IF('Pré Implantação'!B337="Produção TI",AVERAGE('Pré Implantação'!D337,'Pré Implantação'!L337,'Pré Implantação'!E337,'Pré Implantação'!H337),AVERAGE('Pré Implantação'!E337,'Pré Implantação'!H337)),"")</f>
        <v/>
      </c>
      <c r="D337" s="34" t="str">
        <f>IFERROR(IF('Pré Implantação'!B337="CSC Service Desk",AVERAGE('Pré Implantação'!D337,'Pré Implantação'!L337,'Pré Implantação'!F337),AVERAGE('Pré Implantação'!F337)),"")</f>
        <v/>
      </c>
      <c r="E337" s="34" t="str">
        <f>IFERROR(IF('Pré Implantação'!B337="CSC NOC",AVERAGE('Pré Implantação'!D337,'Pré Implantação'!L337,'Pré Implantação'!G337),AVERAGE('Pré Implantação'!G337)),"")</f>
        <v/>
      </c>
      <c r="F337" s="34" t="str">
        <f>IFERROR(IF('Pré Implantação'!B337="CSE Gravadores",AVERAGE('Pré Implantação'!D337,'Pré Implantação'!L337,'Pré Implantação'!I337),AVERAGE('Pré Implantação'!I337)),"")</f>
        <v/>
      </c>
      <c r="G337" s="34" t="str">
        <f>IFERROR(IF('Pré Implantação'!B337="CSC",AVERAGE('Pré Implantação'!D337,'Pré Implantação'!L337,'Pré Implantação'!J337),AVERAGE('Pré Implantação'!J337)),"")</f>
        <v/>
      </c>
      <c r="H337" s="34" t="str">
        <f>IFERROR(IF('Pré Implantação'!B337="Operações \ Negócio",AVERAGE('Pré Implantação'!D337,'Pré Implantação'!L337,'Pré Implantação'!K337),AVERAGE('Pré Implantação'!K337)),"")</f>
        <v/>
      </c>
      <c r="I337" s="34" t="str">
        <f>IFERROR(IF('Pré Implantação'!B337="Projetos",AVERAGE('Pré Implantação'!D337,'Pré Implantação'!L337,'Pré Implantação'!M337),AVERAGE('Pré Implantação'!M337)),"")</f>
        <v/>
      </c>
      <c r="J337" s="34" t="str">
        <f>IFERROR(IF('Pré Implantação'!B337="Engenharia",AVERAGE('Pré Implantação'!D337,'Pré Implantação'!L337,'Pré Implantação'!N337),AVERAGE('Pré Implantação'!N337)),"")</f>
        <v/>
      </c>
      <c r="K337" s="34" t="str">
        <f>IFERROR(IF('Pré Implantação'!B337="URA",AVERAGE('Pré Implantação'!D337,'Pré Implantação'!L337),""),"")</f>
        <v/>
      </c>
      <c r="L337" s="34" t="str">
        <f>IFERROR(IF('Pré Implantação'!B337="CSE Microsoft",AVERAGE('Pré Implantação'!D337,'Pré Implantação'!L337),""),"")</f>
        <v/>
      </c>
      <c r="M337" s="34" t="str">
        <f>IFERROR(IF('Pré Implantação'!B337="CSE Telecom",AVERAGE('Pré Implantação'!D337,'Pré Implantação'!L337),""),"")</f>
        <v/>
      </c>
      <c r="N337" s="34" t="str">
        <f>IFERROR(IF('Pré Implantação'!B337="Site Suporte de Campo",AVERAGE('Pré Implantação'!D337,'Pré Implantação'!L337),""),"")</f>
        <v/>
      </c>
      <c r="O337" s="49" t="str">
        <f>IFERROR(IF('Pré Implantação'!B337="Infraestrutura",AVERAGE('Pré Implantação'!D337,'Pré Implantação'!L337),""),"")</f>
        <v/>
      </c>
    </row>
    <row r="338" spans="1:15" x14ac:dyDescent="0.3">
      <c r="A338" s="33">
        <f>'Pré Implantação'!A338</f>
        <v>0</v>
      </c>
      <c r="B338" s="36">
        <f>'Pré Implantação'!C338</f>
        <v>0</v>
      </c>
      <c r="C338" s="34" t="str">
        <f>IFERROR(IF('Pré Implantação'!B338="Produção TI",AVERAGE('Pré Implantação'!D338,'Pré Implantação'!L338,'Pré Implantação'!E338,'Pré Implantação'!H338),AVERAGE('Pré Implantação'!E338,'Pré Implantação'!H338)),"")</f>
        <v/>
      </c>
      <c r="D338" s="34" t="str">
        <f>IFERROR(IF('Pré Implantação'!B338="CSC Service Desk",AVERAGE('Pré Implantação'!D338,'Pré Implantação'!L338,'Pré Implantação'!F338),AVERAGE('Pré Implantação'!F338)),"")</f>
        <v/>
      </c>
      <c r="E338" s="34" t="str">
        <f>IFERROR(IF('Pré Implantação'!B338="CSC NOC",AVERAGE('Pré Implantação'!D338,'Pré Implantação'!L338,'Pré Implantação'!G338),AVERAGE('Pré Implantação'!G338)),"")</f>
        <v/>
      </c>
      <c r="F338" s="34" t="str">
        <f>IFERROR(IF('Pré Implantação'!B338="CSE Gravadores",AVERAGE('Pré Implantação'!D338,'Pré Implantação'!L338,'Pré Implantação'!I338),AVERAGE('Pré Implantação'!I338)),"")</f>
        <v/>
      </c>
      <c r="G338" s="34" t="str">
        <f>IFERROR(IF('Pré Implantação'!B338="CSC",AVERAGE('Pré Implantação'!D338,'Pré Implantação'!L338,'Pré Implantação'!J338),AVERAGE('Pré Implantação'!J338)),"")</f>
        <v/>
      </c>
      <c r="H338" s="34" t="str">
        <f>IFERROR(IF('Pré Implantação'!B338="Operações \ Negócio",AVERAGE('Pré Implantação'!D338,'Pré Implantação'!L338,'Pré Implantação'!K338),AVERAGE('Pré Implantação'!K338)),"")</f>
        <v/>
      </c>
      <c r="I338" s="34" t="str">
        <f>IFERROR(IF('Pré Implantação'!B338="Projetos",AVERAGE('Pré Implantação'!D338,'Pré Implantação'!L338,'Pré Implantação'!M338),AVERAGE('Pré Implantação'!M338)),"")</f>
        <v/>
      </c>
      <c r="J338" s="34" t="str">
        <f>IFERROR(IF('Pré Implantação'!B338="Engenharia",AVERAGE('Pré Implantação'!D338,'Pré Implantação'!L338,'Pré Implantação'!N338),AVERAGE('Pré Implantação'!N338)),"")</f>
        <v/>
      </c>
      <c r="K338" s="34" t="str">
        <f>IFERROR(IF('Pré Implantação'!B338="URA",AVERAGE('Pré Implantação'!D338,'Pré Implantação'!L338),""),"")</f>
        <v/>
      </c>
      <c r="L338" s="34" t="str">
        <f>IFERROR(IF('Pré Implantação'!B338="CSE Microsoft",AVERAGE('Pré Implantação'!D338,'Pré Implantação'!L338),""),"")</f>
        <v/>
      </c>
      <c r="M338" s="34" t="str">
        <f>IFERROR(IF('Pré Implantação'!B338="CSE Telecom",AVERAGE('Pré Implantação'!D338,'Pré Implantação'!L338),""),"")</f>
        <v/>
      </c>
      <c r="N338" s="34" t="str">
        <f>IFERROR(IF('Pré Implantação'!B338="Site Suporte de Campo",AVERAGE('Pré Implantação'!D338,'Pré Implantação'!L338),""),"")</f>
        <v/>
      </c>
      <c r="O338" s="49" t="str">
        <f>IFERROR(IF('Pré Implantação'!B338="Infraestrutura",AVERAGE('Pré Implantação'!D338,'Pré Implantação'!L338),""),"")</f>
        <v/>
      </c>
    </row>
    <row r="339" spans="1:15" x14ac:dyDescent="0.3">
      <c r="A339" s="33">
        <f>'Pré Implantação'!A339</f>
        <v>0</v>
      </c>
      <c r="B339" s="36">
        <f>'Pré Implantação'!C339</f>
        <v>0</v>
      </c>
      <c r="C339" s="34" t="str">
        <f>IFERROR(IF('Pré Implantação'!B339="Produção TI",AVERAGE('Pré Implantação'!D339,'Pré Implantação'!L339,'Pré Implantação'!E339,'Pré Implantação'!H339),AVERAGE('Pré Implantação'!E339,'Pré Implantação'!H339)),"")</f>
        <v/>
      </c>
      <c r="D339" s="34" t="str">
        <f>IFERROR(IF('Pré Implantação'!B339="CSC Service Desk",AVERAGE('Pré Implantação'!D339,'Pré Implantação'!L339,'Pré Implantação'!F339),AVERAGE('Pré Implantação'!F339)),"")</f>
        <v/>
      </c>
      <c r="E339" s="34" t="str">
        <f>IFERROR(IF('Pré Implantação'!B339="CSC NOC",AVERAGE('Pré Implantação'!D339,'Pré Implantação'!L339,'Pré Implantação'!G339),AVERAGE('Pré Implantação'!G339)),"")</f>
        <v/>
      </c>
      <c r="F339" s="34" t="str">
        <f>IFERROR(IF('Pré Implantação'!B339="CSE Gravadores",AVERAGE('Pré Implantação'!D339,'Pré Implantação'!L339,'Pré Implantação'!I339),AVERAGE('Pré Implantação'!I339)),"")</f>
        <v/>
      </c>
      <c r="G339" s="34" t="str">
        <f>IFERROR(IF('Pré Implantação'!B339="CSC",AVERAGE('Pré Implantação'!D339,'Pré Implantação'!L339,'Pré Implantação'!J339),AVERAGE('Pré Implantação'!J339)),"")</f>
        <v/>
      </c>
      <c r="H339" s="34" t="str">
        <f>IFERROR(IF('Pré Implantação'!B339="Operações \ Negócio",AVERAGE('Pré Implantação'!D339,'Pré Implantação'!L339,'Pré Implantação'!K339),AVERAGE('Pré Implantação'!K339)),"")</f>
        <v/>
      </c>
      <c r="I339" s="34" t="str">
        <f>IFERROR(IF('Pré Implantação'!B339="Projetos",AVERAGE('Pré Implantação'!D339,'Pré Implantação'!L339,'Pré Implantação'!M339),AVERAGE('Pré Implantação'!M339)),"")</f>
        <v/>
      </c>
      <c r="J339" s="34" t="str">
        <f>IFERROR(IF('Pré Implantação'!B339="Engenharia",AVERAGE('Pré Implantação'!D339,'Pré Implantação'!L339,'Pré Implantação'!N339),AVERAGE('Pré Implantação'!N339)),"")</f>
        <v/>
      </c>
      <c r="K339" s="34" t="str">
        <f>IFERROR(IF('Pré Implantação'!B339="URA",AVERAGE('Pré Implantação'!D339,'Pré Implantação'!L339),""),"")</f>
        <v/>
      </c>
      <c r="L339" s="34" t="str">
        <f>IFERROR(IF('Pré Implantação'!B339="CSE Microsoft",AVERAGE('Pré Implantação'!D339,'Pré Implantação'!L339),""),"")</f>
        <v/>
      </c>
      <c r="M339" s="34" t="str">
        <f>IFERROR(IF('Pré Implantação'!B339="CSE Telecom",AVERAGE('Pré Implantação'!D339,'Pré Implantação'!L339),""),"")</f>
        <v/>
      </c>
      <c r="N339" s="34" t="str">
        <f>IFERROR(IF('Pré Implantação'!B339="Site Suporte de Campo",AVERAGE('Pré Implantação'!D339,'Pré Implantação'!L339),""),"")</f>
        <v/>
      </c>
      <c r="O339" s="49" t="str">
        <f>IFERROR(IF('Pré Implantação'!B339="Infraestrutura",AVERAGE('Pré Implantação'!D339,'Pré Implantação'!L339),""),"")</f>
        <v/>
      </c>
    </row>
    <row r="340" spans="1:15" x14ac:dyDescent="0.3">
      <c r="A340" s="33">
        <f>'Pré Implantação'!A340</f>
        <v>0</v>
      </c>
      <c r="B340" s="36">
        <f>'Pré Implantação'!C340</f>
        <v>0</v>
      </c>
      <c r="C340" s="34" t="str">
        <f>IFERROR(IF('Pré Implantação'!B340="Produção TI",AVERAGE('Pré Implantação'!D340,'Pré Implantação'!L340,'Pré Implantação'!E340,'Pré Implantação'!H340),AVERAGE('Pré Implantação'!E340,'Pré Implantação'!H340)),"")</f>
        <v/>
      </c>
      <c r="D340" s="34" t="str">
        <f>IFERROR(IF('Pré Implantação'!B340="CSC Service Desk",AVERAGE('Pré Implantação'!D340,'Pré Implantação'!L340,'Pré Implantação'!F340),AVERAGE('Pré Implantação'!F340)),"")</f>
        <v/>
      </c>
      <c r="E340" s="34" t="str">
        <f>IFERROR(IF('Pré Implantação'!B340="CSC NOC",AVERAGE('Pré Implantação'!D340,'Pré Implantação'!L340,'Pré Implantação'!G340),AVERAGE('Pré Implantação'!G340)),"")</f>
        <v/>
      </c>
      <c r="F340" s="34" t="str">
        <f>IFERROR(IF('Pré Implantação'!B340="CSE Gravadores",AVERAGE('Pré Implantação'!D340,'Pré Implantação'!L340,'Pré Implantação'!I340),AVERAGE('Pré Implantação'!I340)),"")</f>
        <v/>
      </c>
      <c r="G340" s="34" t="str">
        <f>IFERROR(IF('Pré Implantação'!B340="CSC",AVERAGE('Pré Implantação'!D340,'Pré Implantação'!L340,'Pré Implantação'!J340),AVERAGE('Pré Implantação'!J340)),"")</f>
        <v/>
      </c>
      <c r="H340" s="34" t="str">
        <f>IFERROR(IF('Pré Implantação'!B340="Operações \ Negócio",AVERAGE('Pré Implantação'!D340,'Pré Implantação'!L340,'Pré Implantação'!K340),AVERAGE('Pré Implantação'!K340)),"")</f>
        <v/>
      </c>
      <c r="I340" s="34" t="str">
        <f>IFERROR(IF('Pré Implantação'!B340="Projetos",AVERAGE('Pré Implantação'!D340,'Pré Implantação'!L340,'Pré Implantação'!M340),AVERAGE('Pré Implantação'!M340)),"")</f>
        <v/>
      </c>
      <c r="J340" s="34" t="str">
        <f>IFERROR(IF('Pré Implantação'!B340="Engenharia",AVERAGE('Pré Implantação'!D340,'Pré Implantação'!L340,'Pré Implantação'!N340),AVERAGE('Pré Implantação'!N340)),"")</f>
        <v/>
      </c>
      <c r="K340" s="34" t="str">
        <f>IFERROR(IF('Pré Implantação'!B340="URA",AVERAGE('Pré Implantação'!D340,'Pré Implantação'!L340),""),"")</f>
        <v/>
      </c>
      <c r="L340" s="34" t="str">
        <f>IFERROR(IF('Pré Implantação'!B340="CSE Microsoft",AVERAGE('Pré Implantação'!D340,'Pré Implantação'!L340),""),"")</f>
        <v/>
      </c>
      <c r="M340" s="34" t="str">
        <f>IFERROR(IF('Pré Implantação'!B340="CSE Telecom",AVERAGE('Pré Implantação'!D340,'Pré Implantação'!L340),""),"")</f>
        <v/>
      </c>
      <c r="N340" s="34" t="str">
        <f>IFERROR(IF('Pré Implantação'!B340="Site Suporte de Campo",AVERAGE('Pré Implantação'!D340,'Pré Implantação'!L340),""),"")</f>
        <v/>
      </c>
      <c r="O340" s="49" t="str">
        <f>IFERROR(IF('Pré Implantação'!B340="Infraestrutura",AVERAGE('Pré Implantação'!D340,'Pré Implantação'!L340),""),"")</f>
        <v/>
      </c>
    </row>
    <row r="341" spans="1:15" x14ac:dyDescent="0.3">
      <c r="A341" s="33">
        <f>'Pré Implantação'!A341</f>
        <v>0</v>
      </c>
      <c r="B341" s="36">
        <f>'Pré Implantação'!C341</f>
        <v>0</v>
      </c>
      <c r="C341" s="34" t="str">
        <f>IFERROR(IF('Pré Implantação'!B341="Produção TI",AVERAGE('Pré Implantação'!D341,'Pré Implantação'!L341,'Pré Implantação'!E341,'Pré Implantação'!H341),AVERAGE('Pré Implantação'!E341,'Pré Implantação'!H341)),"")</f>
        <v/>
      </c>
      <c r="D341" s="34" t="str">
        <f>IFERROR(IF('Pré Implantação'!B341="CSC Service Desk",AVERAGE('Pré Implantação'!D341,'Pré Implantação'!L341,'Pré Implantação'!F341),AVERAGE('Pré Implantação'!F341)),"")</f>
        <v/>
      </c>
      <c r="E341" s="34" t="str">
        <f>IFERROR(IF('Pré Implantação'!B341="CSC NOC",AVERAGE('Pré Implantação'!D341,'Pré Implantação'!L341,'Pré Implantação'!G341),AVERAGE('Pré Implantação'!G341)),"")</f>
        <v/>
      </c>
      <c r="F341" s="34" t="str">
        <f>IFERROR(IF('Pré Implantação'!B341="CSE Gravadores",AVERAGE('Pré Implantação'!D341,'Pré Implantação'!L341,'Pré Implantação'!I341),AVERAGE('Pré Implantação'!I341)),"")</f>
        <v/>
      </c>
      <c r="G341" s="34" t="str">
        <f>IFERROR(IF('Pré Implantação'!B341="CSC",AVERAGE('Pré Implantação'!D341,'Pré Implantação'!L341,'Pré Implantação'!J341),AVERAGE('Pré Implantação'!J341)),"")</f>
        <v/>
      </c>
      <c r="H341" s="34" t="str">
        <f>IFERROR(IF('Pré Implantação'!B341="Operações \ Negócio",AVERAGE('Pré Implantação'!D341,'Pré Implantação'!L341,'Pré Implantação'!K341),AVERAGE('Pré Implantação'!K341)),"")</f>
        <v/>
      </c>
      <c r="I341" s="34" t="str">
        <f>IFERROR(IF('Pré Implantação'!B341="Projetos",AVERAGE('Pré Implantação'!D341,'Pré Implantação'!L341,'Pré Implantação'!M341),AVERAGE('Pré Implantação'!M341)),"")</f>
        <v/>
      </c>
      <c r="J341" s="34" t="str">
        <f>IFERROR(IF('Pré Implantação'!B341="Engenharia",AVERAGE('Pré Implantação'!D341,'Pré Implantação'!L341,'Pré Implantação'!N341),AVERAGE('Pré Implantação'!N341)),"")</f>
        <v/>
      </c>
      <c r="K341" s="34" t="str">
        <f>IFERROR(IF('Pré Implantação'!B341="URA",AVERAGE('Pré Implantação'!D341,'Pré Implantação'!L341),""),"")</f>
        <v/>
      </c>
      <c r="L341" s="34" t="str">
        <f>IFERROR(IF('Pré Implantação'!B341="CSE Microsoft",AVERAGE('Pré Implantação'!D341,'Pré Implantação'!L341),""),"")</f>
        <v/>
      </c>
      <c r="M341" s="34" t="str">
        <f>IFERROR(IF('Pré Implantação'!B341="CSE Telecom",AVERAGE('Pré Implantação'!D341,'Pré Implantação'!L341),""),"")</f>
        <v/>
      </c>
      <c r="N341" s="34" t="str">
        <f>IFERROR(IF('Pré Implantação'!B341="Site Suporte de Campo",AVERAGE('Pré Implantação'!D341,'Pré Implantação'!L341),""),"")</f>
        <v/>
      </c>
      <c r="O341" s="49" t="str">
        <f>IFERROR(IF('Pré Implantação'!B341="Infraestrutura",AVERAGE('Pré Implantação'!D341,'Pré Implantação'!L341),""),"")</f>
        <v/>
      </c>
    </row>
    <row r="342" spans="1:15" x14ac:dyDescent="0.3">
      <c r="A342" s="33">
        <f>'Pré Implantação'!A342</f>
        <v>0</v>
      </c>
      <c r="B342" s="36">
        <f>'Pré Implantação'!C342</f>
        <v>0</v>
      </c>
      <c r="C342" s="34" t="str">
        <f>IFERROR(IF('Pré Implantação'!B342="Produção TI",AVERAGE('Pré Implantação'!D342,'Pré Implantação'!L342,'Pré Implantação'!E342,'Pré Implantação'!H342),AVERAGE('Pré Implantação'!E342,'Pré Implantação'!H342)),"")</f>
        <v/>
      </c>
      <c r="D342" s="34" t="str">
        <f>IFERROR(IF('Pré Implantação'!B342="CSC Service Desk",AVERAGE('Pré Implantação'!D342,'Pré Implantação'!L342,'Pré Implantação'!F342),AVERAGE('Pré Implantação'!F342)),"")</f>
        <v/>
      </c>
      <c r="E342" s="34" t="str">
        <f>IFERROR(IF('Pré Implantação'!B342="CSC NOC",AVERAGE('Pré Implantação'!D342,'Pré Implantação'!L342,'Pré Implantação'!G342),AVERAGE('Pré Implantação'!G342)),"")</f>
        <v/>
      </c>
      <c r="F342" s="34" t="str">
        <f>IFERROR(IF('Pré Implantação'!B342="CSE Gravadores",AVERAGE('Pré Implantação'!D342,'Pré Implantação'!L342,'Pré Implantação'!I342),AVERAGE('Pré Implantação'!I342)),"")</f>
        <v/>
      </c>
      <c r="G342" s="34" t="str">
        <f>IFERROR(IF('Pré Implantação'!B342="CSC",AVERAGE('Pré Implantação'!D342,'Pré Implantação'!L342,'Pré Implantação'!J342),AVERAGE('Pré Implantação'!J342)),"")</f>
        <v/>
      </c>
      <c r="H342" s="34" t="str">
        <f>IFERROR(IF('Pré Implantação'!B342="Operações \ Negócio",AVERAGE('Pré Implantação'!D342,'Pré Implantação'!L342,'Pré Implantação'!K342),AVERAGE('Pré Implantação'!K342)),"")</f>
        <v/>
      </c>
      <c r="I342" s="34" t="str">
        <f>IFERROR(IF('Pré Implantação'!B342="Projetos",AVERAGE('Pré Implantação'!D342,'Pré Implantação'!L342,'Pré Implantação'!M342),AVERAGE('Pré Implantação'!M342)),"")</f>
        <v/>
      </c>
      <c r="J342" s="34" t="str">
        <f>IFERROR(IF('Pré Implantação'!B342="Engenharia",AVERAGE('Pré Implantação'!D342,'Pré Implantação'!L342,'Pré Implantação'!N342),AVERAGE('Pré Implantação'!N342)),"")</f>
        <v/>
      </c>
      <c r="K342" s="34" t="str">
        <f>IFERROR(IF('Pré Implantação'!B342="URA",AVERAGE('Pré Implantação'!D342,'Pré Implantação'!L342),""),"")</f>
        <v/>
      </c>
      <c r="L342" s="34" t="str">
        <f>IFERROR(IF('Pré Implantação'!B342="CSE Microsoft",AVERAGE('Pré Implantação'!D342,'Pré Implantação'!L342),""),"")</f>
        <v/>
      </c>
      <c r="M342" s="34" t="str">
        <f>IFERROR(IF('Pré Implantação'!B342="CSE Telecom",AVERAGE('Pré Implantação'!D342,'Pré Implantação'!L342),""),"")</f>
        <v/>
      </c>
      <c r="N342" s="34" t="str">
        <f>IFERROR(IF('Pré Implantação'!B342="Site Suporte de Campo",AVERAGE('Pré Implantação'!D342,'Pré Implantação'!L342),""),"")</f>
        <v/>
      </c>
      <c r="O342" s="49" t="str">
        <f>IFERROR(IF('Pré Implantação'!B342="Infraestrutura",AVERAGE('Pré Implantação'!D342,'Pré Implantação'!L342),""),"")</f>
        <v/>
      </c>
    </row>
    <row r="343" spans="1:15" x14ac:dyDescent="0.3">
      <c r="A343" s="33">
        <f>'Pré Implantação'!A343</f>
        <v>0</v>
      </c>
      <c r="B343" s="36">
        <f>'Pré Implantação'!C343</f>
        <v>0</v>
      </c>
      <c r="C343" s="34" t="str">
        <f>IFERROR(IF('Pré Implantação'!B343="Produção TI",AVERAGE('Pré Implantação'!D343,'Pré Implantação'!L343,'Pré Implantação'!E343,'Pré Implantação'!H343),AVERAGE('Pré Implantação'!E343,'Pré Implantação'!H343)),"")</f>
        <v/>
      </c>
      <c r="D343" s="34" t="str">
        <f>IFERROR(IF('Pré Implantação'!B343="CSC Service Desk",AVERAGE('Pré Implantação'!D343,'Pré Implantação'!L343,'Pré Implantação'!F343),AVERAGE('Pré Implantação'!F343)),"")</f>
        <v/>
      </c>
      <c r="E343" s="34" t="str">
        <f>IFERROR(IF('Pré Implantação'!B343="CSC NOC",AVERAGE('Pré Implantação'!D343,'Pré Implantação'!L343,'Pré Implantação'!G343),AVERAGE('Pré Implantação'!G343)),"")</f>
        <v/>
      </c>
      <c r="F343" s="34" t="str">
        <f>IFERROR(IF('Pré Implantação'!B343="CSE Gravadores",AVERAGE('Pré Implantação'!D343,'Pré Implantação'!L343,'Pré Implantação'!I343),AVERAGE('Pré Implantação'!I343)),"")</f>
        <v/>
      </c>
      <c r="G343" s="34" t="str">
        <f>IFERROR(IF('Pré Implantação'!B343="CSC",AVERAGE('Pré Implantação'!D343,'Pré Implantação'!L343,'Pré Implantação'!J343),AVERAGE('Pré Implantação'!J343)),"")</f>
        <v/>
      </c>
      <c r="H343" s="34" t="str">
        <f>IFERROR(IF('Pré Implantação'!B343="Operações \ Negócio",AVERAGE('Pré Implantação'!D343,'Pré Implantação'!L343,'Pré Implantação'!K343),AVERAGE('Pré Implantação'!K343)),"")</f>
        <v/>
      </c>
      <c r="I343" s="34" t="str">
        <f>IFERROR(IF('Pré Implantação'!B343="Projetos",AVERAGE('Pré Implantação'!D343,'Pré Implantação'!L343,'Pré Implantação'!M343),AVERAGE('Pré Implantação'!M343)),"")</f>
        <v/>
      </c>
      <c r="J343" s="34" t="str">
        <f>IFERROR(IF('Pré Implantação'!B343="Engenharia",AVERAGE('Pré Implantação'!D343,'Pré Implantação'!L343,'Pré Implantação'!N343),AVERAGE('Pré Implantação'!N343)),"")</f>
        <v/>
      </c>
      <c r="K343" s="34" t="str">
        <f>IFERROR(IF('Pré Implantação'!B343="URA",AVERAGE('Pré Implantação'!D343,'Pré Implantação'!L343),""),"")</f>
        <v/>
      </c>
      <c r="L343" s="34" t="str">
        <f>IFERROR(IF('Pré Implantação'!B343="CSE Microsoft",AVERAGE('Pré Implantação'!D343,'Pré Implantação'!L343),""),"")</f>
        <v/>
      </c>
      <c r="M343" s="34" t="str">
        <f>IFERROR(IF('Pré Implantação'!B343="CSE Telecom",AVERAGE('Pré Implantação'!D343,'Pré Implantação'!L343),""),"")</f>
        <v/>
      </c>
      <c r="N343" s="34" t="str">
        <f>IFERROR(IF('Pré Implantação'!B343="Site Suporte de Campo",AVERAGE('Pré Implantação'!D343,'Pré Implantação'!L343),""),"")</f>
        <v/>
      </c>
      <c r="O343" s="49" t="str">
        <f>IFERROR(IF('Pré Implantação'!B343="Infraestrutura",AVERAGE('Pré Implantação'!D343,'Pré Implantação'!L343),""),"")</f>
        <v/>
      </c>
    </row>
    <row r="344" spans="1:15" x14ac:dyDescent="0.3">
      <c r="A344" s="33">
        <f>'Pré Implantação'!A344</f>
        <v>0</v>
      </c>
      <c r="B344" s="36">
        <f>'Pré Implantação'!C344</f>
        <v>0</v>
      </c>
      <c r="C344" s="34" t="str">
        <f>IFERROR(IF('Pré Implantação'!B344="Produção TI",AVERAGE('Pré Implantação'!D344,'Pré Implantação'!L344,'Pré Implantação'!E344,'Pré Implantação'!H344),AVERAGE('Pré Implantação'!E344,'Pré Implantação'!H344)),"")</f>
        <v/>
      </c>
      <c r="D344" s="34" t="str">
        <f>IFERROR(IF('Pré Implantação'!B344="CSC Service Desk",AVERAGE('Pré Implantação'!D344,'Pré Implantação'!L344,'Pré Implantação'!F344),AVERAGE('Pré Implantação'!F344)),"")</f>
        <v/>
      </c>
      <c r="E344" s="34" t="str">
        <f>IFERROR(IF('Pré Implantação'!B344="CSC NOC",AVERAGE('Pré Implantação'!D344,'Pré Implantação'!L344,'Pré Implantação'!G344),AVERAGE('Pré Implantação'!G344)),"")</f>
        <v/>
      </c>
      <c r="F344" s="34" t="str">
        <f>IFERROR(IF('Pré Implantação'!B344="CSE Gravadores",AVERAGE('Pré Implantação'!D344,'Pré Implantação'!L344,'Pré Implantação'!I344),AVERAGE('Pré Implantação'!I344)),"")</f>
        <v/>
      </c>
      <c r="G344" s="34" t="str">
        <f>IFERROR(IF('Pré Implantação'!B344="CSC",AVERAGE('Pré Implantação'!D344,'Pré Implantação'!L344,'Pré Implantação'!J344),AVERAGE('Pré Implantação'!J344)),"")</f>
        <v/>
      </c>
      <c r="H344" s="34" t="str">
        <f>IFERROR(IF('Pré Implantação'!B344="Operações \ Negócio",AVERAGE('Pré Implantação'!D344,'Pré Implantação'!L344,'Pré Implantação'!K344),AVERAGE('Pré Implantação'!K344)),"")</f>
        <v/>
      </c>
      <c r="I344" s="34" t="str">
        <f>IFERROR(IF('Pré Implantação'!B344="Projetos",AVERAGE('Pré Implantação'!D344,'Pré Implantação'!L344,'Pré Implantação'!M344),AVERAGE('Pré Implantação'!M344)),"")</f>
        <v/>
      </c>
      <c r="J344" s="34" t="str">
        <f>IFERROR(IF('Pré Implantação'!B344="Engenharia",AVERAGE('Pré Implantação'!D344,'Pré Implantação'!L344,'Pré Implantação'!N344),AVERAGE('Pré Implantação'!N344)),"")</f>
        <v/>
      </c>
      <c r="K344" s="34" t="str">
        <f>IFERROR(IF('Pré Implantação'!B344="URA",AVERAGE('Pré Implantação'!D344,'Pré Implantação'!L344),""),"")</f>
        <v/>
      </c>
      <c r="L344" s="34" t="str">
        <f>IFERROR(IF('Pré Implantação'!B344="CSE Microsoft",AVERAGE('Pré Implantação'!D344,'Pré Implantação'!L344),""),"")</f>
        <v/>
      </c>
      <c r="M344" s="34" t="str">
        <f>IFERROR(IF('Pré Implantação'!B344="CSE Telecom",AVERAGE('Pré Implantação'!D344,'Pré Implantação'!L344),""),"")</f>
        <v/>
      </c>
      <c r="N344" s="34" t="str">
        <f>IFERROR(IF('Pré Implantação'!B344="Site Suporte de Campo",AVERAGE('Pré Implantação'!D344,'Pré Implantação'!L344),""),"")</f>
        <v/>
      </c>
      <c r="O344" s="49" t="str">
        <f>IFERROR(IF('Pré Implantação'!B344="Infraestrutura",AVERAGE('Pré Implantação'!D344,'Pré Implantação'!L344),""),"")</f>
        <v/>
      </c>
    </row>
    <row r="345" spans="1:15" x14ac:dyDescent="0.3">
      <c r="A345" s="33">
        <f>'Pré Implantação'!A345</f>
        <v>0</v>
      </c>
      <c r="B345" s="36">
        <f>'Pré Implantação'!C345</f>
        <v>0</v>
      </c>
      <c r="C345" s="34" t="str">
        <f>IFERROR(IF('Pré Implantação'!B345="Produção TI",AVERAGE('Pré Implantação'!D345,'Pré Implantação'!L345,'Pré Implantação'!E345,'Pré Implantação'!H345),AVERAGE('Pré Implantação'!E345,'Pré Implantação'!H345)),"")</f>
        <v/>
      </c>
      <c r="D345" s="34" t="str">
        <f>IFERROR(IF('Pré Implantação'!B345="CSC Service Desk",AVERAGE('Pré Implantação'!D345,'Pré Implantação'!L345,'Pré Implantação'!F345),AVERAGE('Pré Implantação'!F345)),"")</f>
        <v/>
      </c>
      <c r="E345" s="34" t="str">
        <f>IFERROR(IF('Pré Implantação'!B345="CSC NOC",AVERAGE('Pré Implantação'!D345,'Pré Implantação'!L345,'Pré Implantação'!G345),AVERAGE('Pré Implantação'!G345)),"")</f>
        <v/>
      </c>
      <c r="F345" s="34" t="str">
        <f>IFERROR(IF('Pré Implantação'!B345="CSE Gravadores",AVERAGE('Pré Implantação'!D345,'Pré Implantação'!L345,'Pré Implantação'!I345),AVERAGE('Pré Implantação'!I345)),"")</f>
        <v/>
      </c>
      <c r="G345" s="34" t="str">
        <f>IFERROR(IF('Pré Implantação'!B345="CSC",AVERAGE('Pré Implantação'!D345,'Pré Implantação'!L345,'Pré Implantação'!J345),AVERAGE('Pré Implantação'!J345)),"")</f>
        <v/>
      </c>
      <c r="H345" s="34" t="str">
        <f>IFERROR(IF('Pré Implantação'!B345="Operações \ Negócio",AVERAGE('Pré Implantação'!D345,'Pré Implantação'!L345,'Pré Implantação'!K345),AVERAGE('Pré Implantação'!K345)),"")</f>
        <v/>
      </c>
      <c r="I345" s="34" t="str">
        <f>IFERROR(IF('Pré Implantação'!B345="Projetos",AVERAGE('Pré Implantação'!D345,'Pré Implantação'!L345,'Pré Implantação'!M345),AVERAGE('Pré Implantação'!M345)),"")</f>
        <v/>
      </c>
      <c r="J345" s="34" t="str">
        <f>IFERROR(IF('Pré Implantação'!B345="Engenharia",AVERAGE('Pré Implantação'!D345,'Pré Implantação'!L345,'Pré Implantação'!N345),AVERAGE('Pré Implantação'!N345)),"")</f>
        <v/>
      </c>
      <c r="K345" s="34" t="str">
        <f>IFERROR(IF('Pré Implantação'!B345="URA",AVERAGE('Pré Implantação'!D345,'Pré Implantação'!L345),""),"")</f>
        <v/>
      </c>
      <c r="L345" s="34" t="str">
        <f>IFERROR(IF('Pré Implantação'!B345="CSE Microsoft",AVERAGE('Pré Implantação'!D345,'Pré Implantação'!L345),""),"")</f>
        <v/>
      </c>
      <c r="M345" s="34" t="str">
        <f>IFERROR(IF('Pré Implantação'!B345="CSE Telecom",AVERAGE('Pré Implantação'!D345,'Pré Implantação'!L345),""),"")</f>
        <v/>
      </c>
      <c r="N345" s="34" t="str">
        <f>IFERROR(IF('Pré Implantação'!B345="Site Suporte de Campo",AVERAGE('Pré Implantação'!D345,'Pré Implantação'!L345),""),"")</f>
        <v/>
      </c>
      <c r="O345" s="49" t="str">
        <f>IFERROR(IF('Pré Implantação'!B345="Infraestrutura",AVERAGE('Pré Implantação'!D345,'Pré Implantação'!L345),""),"")</f>
        <v/>
      </c>
    </row>
    <row r="346" spans="1:15" x14ac:dyDescent="0.3">
      <c r="A346" s="33">
        <f>'Pré Implantação'!A346</f>
        <v>0</v>
      </c>
      <c r="B346" s="36">
        <f>'Pré Implantação'!C346</f>
        <v>0</v>
      </c>
      <c r="C346" s="34" t="str">
        <f>IFERROR(IF('Pré Implantação'!B346="Produção TI",AVERAGE('Pré Implantação'!D346,'Pré Implantação'!L346,'Pré Implantação'!E346,'Pré Implantação'!H346),AVERAGE('Pré Implantação'!E346,'Pré Implantação'!H346)),"")</f>
        <v/>
      </c>
      <c r="D346" s="34" t="str">
        <f>IFERROR(IF('Pré Implantação'!B346="CSC Service Desk",AVERAGE('Pré Implantação'!D346,'Pré Implantação'!L346,'Pré Implantação'!F346),AVERAGE('Pré Implantação'!F346)),"")</f>
        <v/>
      </c>
      <c r="E346" s="34" t="str">
        <f>IFERROR(IF('Pré Implantação'!B346="CSC NOC",AVERAGE('Pré Implantação'!D346,'Pré Implantação'!L346,'Pré Implantação'!G346),AVERAGE('Pré Implantação'!G346)),"")</f>
        <v/>
      </c>
      <c r="F346" s="34" t="str">
        <f>IFERROR(IF('Pré Implantação'!B346="CSE Gravadores",AVERAGE('Pré Implantação'!D346,'Pré Implantação'!L346,'Pré Implantação'!I346),AVERAGE('Pré Implantação'!I346)),"")</f>
        <v/>
      </c>
      <c r="G346" s="34" t="str">
        <f>IFERROR(IF('Pré Implantação'!B346="CSC",AVERAGE('Pré Implantação'!D346,'Pré Implantação'!L346,'Pré Implantação'!J346),AVERAGE('Pré Implantação'!J346)),"")</f>
        <v/>
      </c>
      <c r="H346" s="34" t="str">
        <f>IFERROR(IF('Pré Implantação'!B346="Operações \ Negócio",AVERAGE('Pré Implantação'!D346,'Pré Implantação'!L346,'Pré Implantação'!K346),AVERAGE('Pré Implantação'!K346)),"")</f>
        <v/>
      </c>
      <c r="I346" s="34" t="str">
        <f>IFERROR(IF('Pré Implantação'!B346="Projetos",AVERAGE('Pré Implantação'!D346,'Pré Implantação'!L346,'Pré Implantação'!M346),AVERAGE('Pré Implantação'!M346)),"")</f>
        <v/>
      </c>
      <c r="J346" s="34" t="str">
        <f>IFERROR(IF('Pré Implantação'!B346="Engenharia",AVERAGE('Pré Implantação'!D346,'Pré Implantação'!L346,'Pré Implantação'!N346),AVERAGE('Pré Implantação'!N346)),"")</f>
        <v/>
      </c>
      <c r="K346" s="34" t="str">
        <f>IFERROR(IF('Pré Implantação'!B346="URA",AVERAGE('Pré Implantação'!D346,'Pré Implantação'!L346),""),"")</f>
        <v/>
      </c>
      <c r="L346" s="34" t="str">
        <f>IFERROR(IF('Pré Implantação'!B346="CSE Microsoft",AVERAGE('Pré Implantação'!D346,'Pré Implantação'!L346),""),"")</f>
        <v/>
      </c>
      <c r="M346" s="34" t="str">
        <f>IFERROR(IF('Pré Implantação'!B346="CSE Telecom",AVERAGE('Pré Implantação'!D346,'Pré Implantação'!L346),""),"")</f>
        <v/>
      </c>
      <c r="N346" s="34" t="str">
        <f>IFERROR(IF('Pré Implantação'!B346="Site Suporte de Campo",AVERAGE('Pré Implantação'!D346,'Pré Implantação'!L346),""),"")</f>
        <v/>
      </c>
      <c r="O346" s="49" t="str">
        <f>IFERROR(IF('Pré Implantação'!B346="Infraestrutura",AVERAGE('Pré Implantação'!D346,'Pré Implantação'!L346),""),"")</f>
        <v/>
      </c>
    </row>
    <row r="347" spans="1:15" x14ac:dyDescent="0.3">
      <c r="A347" s="33">
        <f>'Pré Implantação'!A347</f>
        <v>0</v>
      </c>
      <c r="B347" s="36">
        <f>'Pré Implantação'!C347</f>
        <v>0</v>
      </c>
      <c r="C347" s="34" t="str">
        <f>IFERROR(IF('Pré Implantação'!B347="Produção TI",AVERAGE('Pré Implantação'!D347,'Pré Implantação'!L347,'Pré Implantação'!E347,'Pré Implantação'!H347),AVERAGE('Pré Implantação'!E347,'Pré Implantação'!H347)),"")</f>
        <v/>
      </c>
      <c r="D347" s="34" t="str">
        <f>IFERROR(IF('Pré Implantação'!B347="CSC Service Desk",AVERAGE('Pré Implantação'!D347,'Pré Implantação'!L347,'Pré Implantação'!F347),AVERAGE('Pré Implantação'!F347)),"")</f>
        <v/>
      </c>
      <c r="E347" s="34" t="str">
        <f>IFERROR(IF('Pré Implantação'!B347="CSC NOC",AVERAGE('Pré Implantação'!D347,'Pré Implantação'!L347,'Pré Implantação'!G347),AVERAGE('Pré Implantação'!G347)),"")</f>
        <v/>
      </c>
      <c r="F347" s="34" t="str">
        <f>IFERROR(IF('Pré Implantação'!B347="CSE Gravadores",AVERAGE('Pré Implantação'!D347,'Pré Implantação'!L347,'Pré Implantação'!I347),AVERAGE('Pré Implantação'!I347)),"")</f>
        <v/>
      </c>
      <c r="G347" s="34" t="str">
        <f>IFERROR(IF('Pré Implantação'!B347="CSC",AVERAGE('Pré Implantação'!D347,'Pré Implantação'!L347,'Pré Implantação'!J347),AVERAGE('Pré Implantação'!J347)),"")</f>
        <v/>
      </c>
      <c r="H347" s="34" t="str">
        <f>IFERROR(IF('Pré Implantação'!B347="Operações \ Negócio",AVERAGE('Pré Implantação'!D347,'Pré Implantação'!L347,'Pré Implantação'!K347),AVERAGE('Pré Implantação'!K347)),"")</f>
        <v/>
      </c>
      <c r="I347" s="34" t="str">
        <f>IFERROR(IF('Pré Implantação'!B347="Projetos",AVERAGE('Pré Implantação'!D347,'Pré Implantação'!L347,'Pré Implantação'!M347),AVERAGE('Pré Implantação'!M347)),"")</f>
        <v/>
      </c>
      <c r="J347" s="34" t="str">
        <f>IFERROR(IF('Pré Implantação'!B347="Engenharia",AVERAGE('Pré Implantação'!D347,'Pré Implantação'!L347,'Pré Implantação'!N347),AVERAGE('Pré Implantação'!N347)),"")</f>
        <v/>
      </c>
      <c r="K347" s="34" t="str">
        <f>IFERROR(IF('Pré Implantação'!B347="URA",AVERAGE('Pré Implantação'!D347,'Pré Implantação'!L347),""),"")</f>
        <v/>
      </c>
      <c r="L347" s="34" t="str">
        <f>IFERROR(IF('Pré Implantação'!B347="CSE Microsoft",AVERAGE('Pré Implantação'!D347,'Pré Implantação'!L347),""),"")</f>
        <v/>
      </c>
      <c r="M347" s="34" t="str">
        <f>IFERROR(IF('Pré Implantação'!B347="CSE Telecom",AVERAGE('Pré Implantação'!D347,'Pré Implantação'!L347),""),"")</f>
        <v/>
      </c>
      <c r="N347" s="34" t="str">
        <f>IFERROR(IF('Pré Implantação'!B347="Site Suporte de Campo",AVERAGE('Pré Implantação'!D347,'Pré Implantação'!L347),""),"")</f>
        <v/>
      </c>
      <c r="O347" s="49" t="str">
        <f>IFERROR(IF('Pré Implantação'!B347="Infraestrutura",AVERAGE('Pré Implantação'!D347,'Pré Implantação'!L347),""),"")</f>
        <v/>
      </c>
    </row>
    <row r="348" spans="1:15" x14ac:dyDescent="0.3">
      <c r="A348" s="33">
        <f>'Pré Implantação'!A348</f>
        <v>0</v>
      </c>
      <c r="B348" s="36">
        <f>'Pré Implantação'!C348</f>
        <v>0</v>
      </c>
      <c r="C348" s="34" t="str">
        <f>IFERROR(IF('Pré Implantação'!B348="Produção TI",AVERAGE('Pré Implantação'!D348,'Pré Implantação'!L348,'Pré Implantação'!E348,'Pré Implantação'!H348),AVERAGE('Pré Implantação'!E348,'Pré Implantação'!H348)),"")</f>
        <v/>
      </c>
      <c r="D348" s="34" t="str">
        <f>IFERROR(IF('Pré Implantação'!B348="CSC Service Desk",AVERAGE('Pré Implantação'!D348,'Pré Implantação'!L348,'Pré Implantação'!F348),AVERAGE('Pré Implantação'!F348)),"")</f>
        <v/>
      </c>
      <c r="E348" s="34" t="str">
        <f>IFERROR(IF('Pré Implantação'!B348="CSC NOC",AVERAGE('Pré Implantação'!D348,'Pré Implantação'!L348,'Pré Implantação'!G348),AVERAGE('Pré Implantação'!G348)),"")</f>
        <v/>
      </c>
      <c r="F348" s="34" t="str">
        <f>IFERROR(IF('Pré Implantação'!B348="CSE Gravadores",AVERAGE('Pré Implantação'!D348,'Pré Implantação'!L348,'Pré Implantação'!I348),AVERAGE('Pré Implantação'!I348)),"")</f>
        <v/>
      </c>
      <c r="G348" s="34" t="str">
        <f>IFERROR(IF('Pré Implantação'!B348="CSC",AVERAGE('Pré Implantação'!D348,'Pré Implantação'!L348,'Pré Implantação'!J348),AVERAGE('Pré Implantação'!J348)),"")</f>
        <v/>
      </c>
      <c r="H348" s="34" t="str">
        <f>IFERROR(IF('Pré Implantação'!B348="Operações \ Negócio",AVERAGE('Pré Implantação'!D348,'Pré Implantação'!L348,'Pré Implantação'!K348),AVERAGE('Pré Implantação'!K348)),"")</f>
        <v/>
      </c>
      <c r="I348" s="34" t="str">
        <f>IFERROR(IF('Pré Implantação'!B348="Projetos",AVERAGE('Pré Implantação'!D348,'Pré Implantação'!L348,'Pré Implantação'!M348),AVERAGE('Pré Implantação'!M348)),"")</f>
        <v/>
      </c>
      <c r="J348" s="34" t="str">
        <f>IFERROR(IF('Pré Implantação'!B348="Engenharia",AVERAGE('Pré Implantação'!D348,'Pré Implantação'!L348,'Pré Implantação'!N348),AVERAGE('Pré Implantação'!N348)),"")</f>
        <v/>
      </c>
      <c r="K348" s="34" t="str">
        <f>IFERROR(IF('Pré Implantação'!B348="URA",AVERAGE('Pré Implantação'!D348,'Pré Implantação'!L348),""),"")</f>
        <v/>
      </c>
      <c r="L348" s="34" t="str">
        <f>IFERROR(IF('Pré Implantação'!B348="CSE Microsoft",AVERAGE('Pré Implantação'!D348,'Pré Implantação'!L348),""),"")</f>
        <v/>
      </c>
      <c r="M348" s="34" t="str">
        <f>IFERROR(IF('Pré Implantação'!B348="CSE Telecom",AVERAGE('Pré Implantação'!D348,'Pré Implantação'!L348),""),"")</f>
        <v/>
      </c>
      <c r="N348" s="34" t="str">
        <f>IFERROR(IF('Pré Implantação'!B348="Site Suporte de Campo",AVERAGE('Pré Implantação'!D348,'Pré Implantação'!L348),""),"")</f>
        <v/>
      </c>
      <c r="O348" s="49" t="str">
        <f>IFERROR(IF('Pré Implantação'!B348="Infraestrutura",AVERAGE('Pré Implantação'!D348,'Pré Implantação'!L348),""),"")</f>
        <v/>
      </c>
    </row>
    <row r="349" spans="1:15" x14ac:dyDescent="0.3">
      <c r="A349" s="33">
        <f>'Pré Implantação'!A349</f>
        <v>0</v>
      </c>
      <c r="B349" s="36">
        <f>'Pré Implantação'!C349</f>
        <v>0</v>
      </c>
      <c r="C349" s="34" t="str">
        <f>IFERROR(IF('Pré Implantação'!B349="Produção TI",AVERAGE('Pré Implantação'!D349,'Pré Implantação'!L349,'Pré Implantação'!E349,'Pré Implantação'!H349),AVERAGE('Pré Implantação'!E349,'Pré Implantação'!H349)),"")</f>
        <v/>
      </c>
      <c r="D349" s="34" t="str">
        <f>IFERROR(IF('Pré Implantação'!B349="CSC Service Desk",AVERAGE('Pré Implantação'!D349,'Pré Implantação'!L349,'Pré Implantação'!F349),AVERAGE('Pré Implantação'!F349)),"")</f>
        <v/>
      </c>
      <c r="E349" s="34" t="str">
        <f>IFERROR(IF('Pré Implantação'!B349="CSC NOC",AVERAGE('Pré Implantação'!D349,'Pré Implantação'!L349,'Pré Implantação'!G349),AVERAGE('Pré Implantação'!G349)),"")</f>
        <v/>
      </c>
      <c r="F349" s="34" t="str">
        <f>IFERROR(IF('Pré Implantação'!B349="CSE Gravadores",AVERAGE('Pré Implantação'!D349,'Pré Implantação'!L349,'Pré Implantação'!I349),AVERAGE('Pré Implantação'!I349)),"")</f>
        <v/>
      </c>
      <c r="G349" s="34" t="str">
        <f>IFERROR(IF('Pré Implantação'!B349="CSC",AVERAGE('Pré Implantação'!D349,'Pré Implantação'!L349,'Pré Implantação'!J349),AVERAGE('Pré Implantação'!J349)),"")</f>
        <v/>
      </c>
      <c r="H349" s="34" t="str">
        <f>IFERROR(IF('Pré Implantação'!B349="Operações \ Negócio",AVERAGE('Pré Implantação'!D349,'Pré Implantação'!L349,'Pré Implantação'!K349),AVERAGE('Pré Implantação'!K349)),"")</f>
        <v/>
      </c>
      <c r="I349" s="34" t="str">
        <f>IFERROR(IF('Pré Implantação'!B349="Projetos",AVERAGE('Pré Implantação'!D349,'Pré Implantação'!L349,'Pré Implantação'!M349),AVERAGE('Pré Implantação'!M349)),"")</f>
        <v/>
      </c>
      <c r="J349" s="34" t="str">
        <f>IFERROR(IF('Pré Implantação'!B349="Engenharia",AVERAGE('Pré Implantação'!D349,'Pré Implantação'!L349,'Pré Implantação'!N349),AVERAGE('Pré Implantação'!N349)),"")</f>
        <v/>
      </c>
      <c r="K349" s="34" t="str">
        <f>IFERROR(IF('Pré Implantação'!B349="URA",AVERAGE('Pré Implantação'!D349,'Pré Implantação'!L349),""),"")</f>
        <v/>
      </c>
      <c r="L349" s="34" t="str">
        <f>IFERROR(IF('Pré Implantação'!B349="CSE Microsoft",AVERAGE('Pré Implantação'!D349,'Pré Implantação'!L349),""),"")</f>
        <v/>
      </c>
      <c r="M349" s="34" t="str">
        <f>IFERROR(IF('Pré Implantação'!B349="CSE Telecom",AVERAGE('Pré Implantação'!D349,'Pré Implantação'!L349),""),"")</f>
        <v/>
      </c>
      <c r="N349" s="34" t="str">
        <f>IFERROR(IF('Pré Implantação'!B349="Site Suporte de Campo",AVERAGE('Pré Implantação'!D349,'Pré Implantação'!L349),""),"")</f>
        <v/>
      </c>
      <c r="O349" s="49" t="str">
        <f>IFERROR(IF('Pré Implantação'!B349="Infraestrutura",AVERAGE('Pré Implantação'!D349,'Pré Implantação'!L349),""),"")</f>
        <v/>
      </c>
    </row>
    <row r="350" spans="1:15" x14ac:dyDescent="0.3">
      <c r="A350" s="33">
        <f>'Pré Implantação'!A350</f>
        <v>0</v>
      </c>
      <c r="B350" s="36">
        <f>'Pré Implantação'!C350</f>
        <v>0</v>
      </c>
      <c r="C350" s="34" t="str">
        <f>IFERROR(IF('Pré Implantação'!B350="Produção TI",AVERAGE('Pré Implantação'!D350,'Pré Implantação'!L350,'Pré Implantação'!E350,'Pré Implantação'!H350),AVERAGE('Pré Implantação'!E350,'Pré Implantação'!H350)),"")</f>
        <v/>
      </c>
      <c r="D350" s="34" t="str">
        <f>IFERROR(IF('Pré Implantação'!B350="CSC Service Desk",AVERAGE('Pré Implantação'!D350,'Pré Implantação'!L350,'Pré Implantação'!F350),AVERAGE('Pré Implantação'!F350)),"")</f>
        <v/>
      </c>
      <c r="E350" s="34" t="str">
        <f>IFERROR(IF('Pré Implantação'!B350="CSC NOC",AVERAGE('Pré Implantação'!D350,'Pré Implantação'!L350,'Pré Implantação'!G350),AVERAGE('Pré Implantação'!G350)),"")</f>
        <v/>
      </c>
      <c r="F350" s="34" t="str">
        <f>IFERROR(IF('Pré Implantação'!B350="CSE Gravadores",AVERAGE('Pré Implantação'!D350,'Pré Implantação'!L350,'Pré Implantação'!I350),AVERAGE('Pré Implantação'!I350)),"")</f>
        <v/>
      </c>
      <c r="G350" s="34" t="str">
        <f>IFERROR(IF('Pré Implantação'!B350="CSC",AVERAGE('Pré Implantação'!D350,'Pré Implantação'!L350,'Pré Implantação'!J350),AVERAGE('Pré Implantação'!J350)),"")</f>
        <v/>
      </c>
      <c r="H350" s="34" t="str">
        <f>IFERROR(IF('Pré Implantação'!B350="Operações \ Negócio",AVERAGE('Pré Implantação'!D350,'Pré Implantação'!L350,'Pré Implantação'!K350),AVERAGE('Pré Implantação'!K350)),"")</f>
        <v/>
      </c>
      <c r="I350" s="34" t="str">
        <f>IFERROR(IF('Pré Implantação'!B350="Projetos",AVERAGE('Pré Implantação'!D350,'Pré Implantação'!L350,'Pré Implantação'!M350),AVERAGE('Pré Implantação'!M350)),"")</f>
        <v/>
      </c>
      <c r="J350" s="34" t="str">
        <f>IFERROR(IF('Pré Implantação'!B350="Engenharia",AVERAGE('Pré Implantação'!D350,'Pré Implantação'!L350,'Pré Implantação'!N350),AVERAGE('Pré Implantação'!N350)),"")</f>
        <v/>
      </c>
      <c r="K350" s="34" t="str">
        <f>IFERROR(IF('Pré Implantação'!B350="URA",AVERAGE('Pré Implantação'!D350,'Pré Implantação'!L350),""),"")</f>
        <v/>
      </c>
      <c r="L350" s="34" t="str">
        <f>IFERROR(IF('Pré Implantação'!B350="CSE Microsoft",AVERAGE('Pré Implantação'!D350,'Pré Implantação'!L350),""),"")</f>
        <v/>
      </c>
      <c r="M350" s="34" t="str">
        <f>IFERROR(IF('Pré Implantação'!B350="CSE Telecom",AVERAGE('Pré Implantação'!D350,'Pré Implantação'!L350),""),"")</f>
        <v/>
      </c>
      <c r="N350" s="34" t="str">
        <f>IFERROR(IF('Pré Implantação'!B350="Site Suporte de Campo",AVERAGE('Pré Implantação'!D350,'Pré Implantação'!L350),""),"")</f>
        <v/>
      </c>
      <c r="O350" s="49" t="str">
        <f>IFERROR(IF('Pré Implantação'!B350="Infraestrutura",AVERAGE('Pré Implantação'!D350,'Pré Implantação'!L350),""),"")</f>
        <v/>
      </c>
    </row>
    <row r="351" spans="1:15" x14ac:dyDescent="0.3">
      <c r="A351" s="33">
        <f>'Pré Implantação'!A351</f>
        <v>0</v>
      </c>
      <c r="B351" s="36">
        <f>'Pré Implantação'!C351</f>
        <v>0</v>
      </c>
      <c r="C351" s="34" t="str">
        <f>IFERROR(IF('Pré Implantação'!B351="Produção TI",AVERAGE('Pré Implantação'!D351,'Pré Implantação'!L351,'Pré Implantação'!E351,'Pré Implantação'!H351),AVERAGE('Pré Implantação'!E351,'Pré Implantação'!H351)),"")</f>
        <v/>
      </c>
      <c r="D351" s="34" t="str">
        <f>IFERROR(IF('Pré Implantação'!B351="CSC Service Desk",AVERAGE('Pré Implantação'!D351,'Pré Implantação'!L351,'Pré Implantação'!F351),AVERAGE('Pré Implantação'!F351)),"")</f>
        <v/>
      </c>
      <c r="E351" s="34" t="str">
        <f>IFERROR(IF('Pré Implantação'!B351="CSC NOC",AVERAGE('Pré Implantação'!D351,'Pré Implantação'!L351,'Pré Implantação'!G351),AVERAGE('Pré Implantação'!G351)),"")</f>
        <v/>
      </c>
      <c r="F351" s="34" t="str">
        <f>IFERROR(IF('Pré Implantação'!B351="CSE Gravadores",AVERAGE('Pré Implantação'!D351,'Pré Implantação'!L351,'Pré Implantação'!I351),AVERAGE('Pré Implantação'!I351)),"")</f>
        <v/>
      </c>
      <c r="G351" s="34" t="str">
        <f>IFERROR(IF('Pré Implantação'!B351="CSC",AVERAGE('Pré Implantação'!D351,'Pré Implantação'!L351,'Pré Implantação'!J351),AVERAGE('Pré Implantação'!J351)),"")</f>
        <v/>
      </c>
      <c r="H351" s="34" t="str">
        <f>IFERROR(IF('Pré Implantação'!B351="Operações \ Negócio",AVERAGE('Pré Implantação'!D351,'Pré Implantação'!L351,'Pré Implantação'!K351),AVERAGE('Pré Implantação'!K351)),"")</f>
        <v/>
      </c>
      <c r="I351" s="34" t="str">
        <f>IFERROR(IF('Pré Implantação'!B351="Projetos",AVERAGE('Pré Implantação'!D351,'Pré Implantação'!L351,'Pré Implantação'!M351),AVERAGE('Pré Implantação'!M351)),"")</f>
        <v/>
      </c>
      <c r="J351" s="34" t="str">
        <f>IFERROR(IF('Pré Implantação'!B351="Engenharia",AVERAGE('Pré Implantação'!D351,'Pré Implantação'!L351,'Pré Implantação'!N351),AVERAGE('Pré Implantação'!N351)),"")</f>
        <v/>
      </c>
      <c r="K351" s="34" t="str">
        <f>IFERROR(IF('Pré Implantação'!B351="URA",AVERAGE('Pré Implantação'!D351,'Pré Implantação'!L351),""),"")</f>
        <v/>
      </c>
      <c r="L351" s="34" t="str">
        <f>IFERROR(IF('Pré Implantação'!B351="CSE Microsoft",AVERAGE('Pré Implantação'!D351,'Pré Implantação'!L351),""),"")</f>
        <v/>
      </c>
      <c r="M351" s="34" t="str">
        <f>IFERROR(IF('Pré Implantação'!B351="CSE Telecom",AVERAGE('Pré Implantação'!D351,'Pré Implantação'!L351),""),"")</f>
        <v/>
      </c>
      <c r="N351" s="34" t="str">
        <f>IFERROR(IF('Pré Implantação'!B351="Site Suporte de Campo",AVERAGE('Pré Implantação'!D351,'Pré Implantação'!L351),""),"")</f>
        <v/>
      </c>
      <c r="O351" s="49" t="str">
        <f>IFERROR(IF('Pré Implantação'!B351="Infraestrutura",AVERAGE('Pré Implantação'!D351,'Pré Implantação'!L351),""),"")</f>
        <v/>
      </c>
    </row>
    <row r="352" spans="1:15" x14ac:dyDescent="0.3">
      <c r="A352" s="33">
        <f>'Pré Implantação'!A352</f>
        <v>0</v>
      </c>
      <c r="B352" s="36">
        <f>'Pré Implantação'!C352</f>
        <v>0</v>
      </c>
      <c r="C352" s="34" t="str">
        <f>IFERROR(IF('Pré Implantação'!B352="Produção TI",AVERAGE('Pré Implantação'!D352,'Pré Implantação'!L352,'Pré Implantação'!E352,'Pré Implantação'!H352),AVERAGE('Pré Implantação'!E352,'Pré Implantação'!H352)),"")</f>
        <v/>
      </c>
      <c r="D352" s="34" t="str">
        <f>IFERROR(IF('Pré Implantação'!B352="CSC Service Desk",AVERAGE('Pré Implantação'!D352,'Pré Implantação'!L352,'Pré Implantação'!F352),AVERAGE('Pré Implantação'!F352)),"")</f>
        <v/>
      </c>
      <c r="E352" s="34" t="str">
        <f>IFERROR(IF('Pré Implantação'!B352="CSC NOC",AVERAGE('Pré Implantação'!D352,'Pré Implantação'!L352,'Pré Implantação'!G352),AVERAGE('Pré Implantação'!G352)),"")</f>
        <v/>
      </c>
      <c r="F352" s="34" t="str">
        <f>IFERROR(IF('Pré Implantação'!B352="CSE Gravadores",AVERAGE('Pré Implantação'!D352,'Pré Implantação'!L352,'Pré Implantação'!I352),AVERAGE('Pré Implantação'!I352)),"")</f>
        <v/>
      </c>
      <c r="G352" s="34" t="str">
        <f>IFERROR(IF('Pré Implantação'!B352="CSC",AVERAGE('Pré Implantação'!D352,'Pré Implantação'!L352,'Pré Implantação'!J352),AVERAGE('Pré Implantação'!J352)),"")</f>
        <v/>
      </c>
      <c r="H352" s="34" t="str">
        <f>IFERROR(IF('Pré Implantação'!B352="Operações \ Negócio",AVERAGE('Pré Implantação'!D352,'Pré Implantação'!L352,'Pré Implantação'!K352),AVERAGE('Pré Implantação'!K352)),"")</f>
        <v/>
      </c>
      <c r="I352" s="34" t="str">
        <f>IFERROR(IF('Pré Implantação'!B352="Projetos",AVERAGE('Pré Implantação'!D352,'Pré Implantação'!L352,'Pré Implantação'!M352),AVERAGE('Pré Implantação'!M352)),"")</f>
        <v/>
      </c>
      <c r="J352" s="34" t="str">
        <f>IFERROR(IF('Pré Implantação'!B352="Engenharia",AVERAGE('Pré Implantação'!D352,'Pré Implantação'!L352,'Pré Implantação'!N352),AVERAGE('Pré Implantação'!N352)),"")</f>
        <v/>
      </c>
      <c r="K352" s="34" t="str">
        <f>IFERROR(IF('Pré Implantação'!B352="URA",AVERAGE('Pré Implantação'!D352,'Pré Implantação'!L352),""),"")</f>
        <v/>
      </c>
      <c r="L352" s="34" t="str">
        <f>IFERROR(IF('Pré Implantação'!B352="CSE Microsoft",AVERAGE('Pré Implantação'!D352,'Pré Implantação'!L352),""),"")</f>
        <v/>
      </c>
      <c r="M352" s="34" t="str">
        <f>IFERROR(IF('Pré Implantação'!B352="CSE Telecom",AVERAGE('Pré Implantação'!D352,'Pré Implantação'!L352),""),"")</f>
        <v/>
      </c>
      <c r="N352" s="34" t="str">
        <f>IFERROR(IF('Pré Implantação'!B352="Site Suporte de Campo",AVERAGE('Pré Implantação'!D352,'Pré Implantação'!L352),""),"")</f>
        <v/>
      </c>
      <c r="O352" s="49" t="str">
        <f>IFERROR(IF('Pré Implantação'!B352="Infraestrutura",AVERAGE('Pré Implantação'!D352,'Pré Implantação'!L352),""),"")</f>
        <v/>
      </c>
    </row>
    <row r="353" spans="1:15" x14ac:dyDescent="0.3">
      <c r="A353" s="33">
        <f>'Pré Implantação'!A353</f>
        <v>0</v>
      </c>
      <c r="B353" s="36">
        <f>'Pré Implantação'!C353</f>
        <v>0</v>
      </c>
      <c r="C353" s="34" t="str">
        <f>IFERROR(IF('Pré Implantação'!B353="Produção TI",AVERAGE('Pré Implantação'!D353,'Pré Implantação'!L353,'Pré Implantação'!E353,'Pré Implantação'!H353),AVERAGE('Pré Implantação'!E353,'Pré Implantação'!H353)),"")</f>
        <v/>
      </c>
      <c r="D353" s="34" t="str">
        <f>IFERROR(IF('Pré Implantação'!B353="CSC Service Desk",AVERAGE('Pré Implantação'!D353,'Pré Implantação'!L353,'Pré Implantação'!F353),AVERAGE('Pré Implantação'!F353)),"")</f>
        <v/>
      </c>
      <c r="E353" s="34" t="str">
        <f>IFERROR(IF('Pré Implantação'!B353="CSC NOC",AVERAGE('Pré Implantação'!D353,'Pré Implantação'!L353,'Pré Implantação'!G353),AVERAGE('Pré Implantação'!G353)),"")</f>
        <v/>
      </c>
      <c r="F353" s="34" t="str">
        <f>IFERROR(IF('Pré Implantação'!B353="CSE Gravadores",AVERAGE('Pré Implantação'!D353,'Pré Implantação'!L353,'Pré Implantação'!I353),AVERAGE('Pré Implantação'!I353)),"")</f>
        <v/>
      </c>
      <c r="G353" s="34" t="str">
        <f>IFERROR(IF('Pré Implantação'!B353="CSC",AVERAGE('Pré Implantação'!D353,'Pré Implantação'!L353,'Pré Implantação'!J353),AVERAGE('Pré Implantação'!J353)),"")</f>
        <v/>
      </c>
      <c r="H353" s="34" t="str">
        <f>IFERROR(IF('Pré Implantação'!B353="Operações \ Negócio",AVERAGE('Pré Implantação'!D353,'Pré Implantação'!L353,'Pré Implantação'!K353),AVERAGE('Pré Implantação'!K353)),"")</f>
        <v/>
      </c>
      <c r="I353" s="34" t="str">
        <f>IFERROR(IF('Pré Implantação'!B353="Projetos",AVERAGE('Pré Implantação'!D353,'Pré Implantação'!L353,'Pré Implantação'!M353),AVERAGE('Pré Implantação'!M353)),"")</f>
        <v/>
      </c>
      <c r="J353" s="34" t="str">
        <f>IFERROR(IF('Pré Implantação'!B353="Engenharia",AVERAGE('Pré Implantação'!D353,'Pré Implantação'!L353,'Pré Implantação'!N353),AVERAGE('Pré Implantação'!N353)),"")</f>
        <v/>
      </c>
      <c r="K353" s="34" t="str">
        <f>IFERROR(IF('Pré Implantação'!B353="URA",AVERAGE('Pré Implantação'!D353,'Pré Implantação'!L353),""),"")</f>
        <v/>
      </c>
      <c r="L353" s="34" t="str">
        <f>IFERROR(IF('Pré Implantação'!B353="CSE Microsoft",AVERAGE('Pré Implantação'!D353,'Pré Implantação'!L353),""),"")</f>
        <v/>
      </c>
      <c r="M353" s="34" t="str">
        <f>IFERROR(IF('Pré Implantação'!B353="CSE Telecom",AVERAGE('Pré Implantação'!D353,'Pré Implantação'!L353),""),"")</f>
        <v/>
      </c>
      <c r="N353" s="34" t="str">
        <f>IFERROR(IF('Pré Implantação'!B353="Site Suporte de Campo",AVERAGE('Pré Implantação'!D353,'Pré Implantação'!L353),""),"")</f>
        <v/>
      </c>
      <c r="O353" s="49" t="str">
        <f>IFERROR(IF('Pré Implantação'!B353="Infraestrutura",AVERAGE('Pré Implantação'!D353,'Pré Implantação'!L353),""),"")</f>
        <v/>
      </c>
    </row>
    <row r="354" spans="1:15" x14ac:dyDescent="0.3">
      <c r="A354" s="33">
        <f>'Pré Implantação'!A354</f>
        <v>0</v>
      </c>
      <c r="B354" s="36">
        <f>'Pré Implantação'!C354</f>
        <v>0</v>
      </c>
      <c r="C354" s="34" t="str">
        <f>IFERROR(IF('Pré Implantação'!B354="Produção TI",AVERAGE('Pré Implantação'!D354,'Pré Implantação'!L354,'Pré Implantação'!E354,'Pré Implantação'!H354),AVERAGE('Pré Implantação'!E354,'Pré Implantação'!H354)),"")</f>
        <v/>
      </c>
      <c r="D354" s="34" t="str">
        <f>IFERROR(IF('Pré Implantação'!B354="CSC Service Desk",AVERAGE('Pré Implantação'!D354,'Pré Implantação'!L354,'Pré Implantação'!F354),AVERAGE('Pré Implantação'!F354)),"")</f>
        <v/>
      </c>
      <c r="E354" s="34" t="str">
        <f>IFERROR(IF('Pré Implantação'!B354="CSC NOC",AVERAGE('Pré Implantação'!D354,'Pré Implantação'!L354,'Pré Implantação'!G354),AVERAGE('Pré Implantação'!G354)),"")</f>
        <v/>
      </c>
      <c r="F354" s="34" t="str">
        <f>IFERROR(IF('Pré Implantação'!B354="CSE Gravadores",AVERAGE('Pré Implantação'!D354,'Pré Implantação'!L354,'Pré Implantação'!I354),AVERAGE('Pré Implantação'!I354)),"")</f>
        <v/>
      </c>
      <c r="G354" s="34" t="str">
        <f>IFERROR(IF('Pré Implantação'!B354="CSC",AVERAGE('Pré Implantação'!D354,'Pré Implantação'!L354,'Pré Implantação'!J354),AVERAGE('Pré Implantação'!J354)),"")</f>
        <v/>
      </c>
      <c r="H354" s="34" t="str">
        <f>IFERROR(IF('Pré Implantação'!B354="Operações \ Negócio",AVERAGE('Pré Implantação'!D354,'Pré Implantação'!L354,'Pré Implantação'!K354),AVERAGE('Pré Implantação'!K354)),"")</f>
        <v/>
      </c>
      <c r="I354" s="34" t="str">
        <f>IFERROR(IF('Pré Implantação'!B354="Projetos",AVERAGE('Pré Implantação'!D354,'Pré Implantação'!L354,'Pré Implantação'!M354),AVERAGE('Pré Implantação'!M354)),"")</f>
        <v/>
      </c>
      <c r="J354" s="34" t="str">
        <f>IFERROR(IF('Pré Implantação'!B354="Engenharia",AVERAGE('Pré Implantação'!D354,'Pré Implantação'!L354,'Pré Implantação'!N354),AVERAGE('Pré Implantação'!N354)),"")</f>
        <v/>
      </c>
      <c r="K354" s="34" t="str">
        <f>IFERROR(IF('Pré Implantação'!B354="URA",AVERAGE('Pré Implantação'!D354,'Pré Implantação'!L354),""),"")</f>
        <v/>
      </c>
      <c r="L354" s="34" t="str">
        <f>IFERROR(IF('Pré Implantação'!B354="CSE Microsoft",AVERAGE('Pré Implantação'!D354,'Pré Implantação'!L354),""),"")</f>
        <v/>
      </c>
      <c r="M354" s="34" t="str">
        <f>IFERROR(IF('Pré Implantação'!B354="CSE Telecom",AVERAGE('Pré Implantação'!D354,'Pré Implantação'!L354),""),"")</f>
        <v/>
      </c>
      <c r="N354" s="34" t="str">
        <f>IFERROR(IF('Pré Implantação'!B354="Site Suporte de Campo",AVERAGE('Pré Implantação'!D354,'Pré Implantação'!L354),""),"")</f>
        <v/>
      </c>
      <c r="O354" s="49" t="str">
        <f>IFERROR(IF('Pré Implantação'!B354="Infraestrutura",AVERAGE('Pré Implantação'!D354,'Pré Implantação'!L354),""),"")</f>
        <v/>
      </c>
    </row>
    <row r="355" spans="1:15" x14ac:dyDescent="0.3">
      <c r="A355" s="33">
        <f>'Pré Implantação'!A355</f>
        <v>0</v>
      </c>
      <c r="B355" s="36">
        <f>'Pré Implantação'!C355</f>
        <v>0</v>
      </c>
      <c r="C355" s="34" t="str">
        <f>IFERROR(IF('Pré Implantação'!B355="Produção TI",AVERAGE('Pré Implantação'!D355,'Pré Implantação'!L355,'Pré Implantação'!E355,'Pré Implantação'!H355),AVERAGE('Pré Implantação'!E355,'Pré Implantação'!H355)),"")</f>
        <v/>
      </c>
      <c r="D355" s="34" t="str">
        <f>IFERROR(IF('Pré Implantação'!B355="CSC Service Desk",AVERAGE('Pré Implantação'!D355,'Pré Implantação'!L355,'Pré Implantação'!F355),AVERAGE('Pré Implantação'!F355)),"")</f>
        <v/>
      </c>
      <c r="E355" s="34" t="str">
        <f>IFERROR(IF('Pré Implantação'!B355="CSC NOC",AVERAGE('Pré Implantação'!D355,'Pré Implantação'!L355,'Pré Implantação'!G355),AVERAGE('Pré Implantação'!G355)),"")</f>
        <v/>
      </c>
      <c r="F355" s="34" t="str">
        <f>IFERROR(IF('Pré Implantação'!B355="CSE Gravadores",AVERAGE('Pré Implantação'!D355,'Pré Implantação'!L355,'Pré Implantação'!I355),AVERAGE('Pré Implantação'!I355)),"")</f>
        <v/>
      </c>
      <c r="G355" s="34" t="str">
        <f>IFERROR(IF('Pré Implantação'!B355="CSC",AVERAGE('Pré Implantação'!D355,'Pré Implantação'!L355,'Pré Implantação'!J355),AVERAGE('Pré Implantação'!J355)),"")</f>
        <v/>
      </c>
      <c r="H355" s="34" t="str">
        <f>IFERROR(IF('Pré Implantação'!B355="Operações \ Negócio",AVERAGE('Pré Implantação'!D355,'Pré Implantação'!L355,'Pré Implantação'!K355),AVERAGE('Pré Implantação'!K355)),"")</f>
        <v/>
      </c>
      <c r="I355" s="34" t="str">
        <f>IFERROR(IF('Pré Implantação'!B355="Projetos",AVERAGE('Pré Implantação'!D355,'Pré Implantação'!L355,'Pré Implantação'!M355),AVERAGE('Pré Implantação'!M355)),"")</f>
        <v/>
      </c>
      <c r="J355" s="34" t="str">
        <f>IFERROR(IF('Pré Implantação'!B355="Engenharia",AVERAGE('Pré Implantação'!D355,'Pré Implantação'!L355,'Pré Implantação'!N355),AVERAGE('Pré Implantação'!N355)),"")</f>
        <v/>
      </c>
      <c r="K355" s="34" t="str">
        <f>IFERROR(IF('Pré Implantação'!B355="URA",AVERAGE('Pré Implantação'!D355,'Pré Implantação'!L355),""),"")</f>
        <v/>
      </c>
      <c r="L355" s="34" t="str">
        <f>IFERROR(IF('Pré Implantação'!B355="CSE Microsoft",AVERAGE('Pré Implantação'!D355,'Pré Implantação'!L355),""),"")</f>
        <v/>
      </c>
      <c r="M355" s="34" t="str">
        <f>IFERROR(IF('Pré Implantação'!B355="CSE Telecom",AVERAGE('Pré Implantação'!D355,'Pré Implantação'!L355),""),"")</f>
        <v/>
      </c>
      <c r="N355" s="34" t="str">
        <f>IFERROR(IF('Pré Implantação'!B355="Site Suporte de Campo",AVERAGE('Pré Implantação'!D355,'Pré Implantação'!L355),""),"")</f>
        <v/>
      </c>
      <c r="O355" s="49" t="str">
        <f>IFERROR(IF('Pré Implantação'!B355="Infraestrutura",AVERAGE('Pré Implantação'!D355,'Pré Implantação'!L355),""),"")</f>
        <v/>
      </c>
    </row>
    <row r="356" spans="1:15" x14ac:dyDescent="0.3">
      <c r="A356" s="33">
        <f>'Pré Implantação'!A356</f>
        <v>0</v>
      </c>
      <c r="B356" s="36">
        <f>'Pré Implantação'!C356</f>
        <v>0</v>
      </c>
      <c r="C356" s="34" t="str">
        <f>IFERROR(IF('Pré Implantação'!B356="Produção TI",AVERAGE('Pré Implantação'!D356,'Pré Implantação'!L356,'Pré Implantação'!E356,'Pré Implantação'!H356),AVERAGE('Pré Implantação'!E356,'Pré Implantação'!H356)),"")</f>
        <v/>
      </c>
      <c r="D356" s="34" t="str">
        <f>IFERROR(IF('Pré Implantação'!B356="CSC Service Desk",AVERAGE('Pré Implantação'!D356,'Pré Implantação'!L356,'Pré Implantação'!F356),AVERAGE('Pré Implantação'!F356)),"")</f>
        <v/>
      </c>
      <c r="E356" s="34" t="str">
        <f>IFERROR(IF('Pré Implantação'!B356="CSC NOC",AVERAGE('Pré Implantação'!D356,'Pré Implantação'!L356,'Pré Implantação'!G356),AVERAGE('Pré Implantação'!G356)),"")</f>
        <v/>
      </c>
      <c r="F356" s="34" t="str">
        <f>IFERROR(IF('Pré Implantação'!B356="CSE Gravadores",AVERAGE('Pré Implantação'!D356,'Pré Implantação'!L356,'Pré Implantação'!I356),AVERAGE('Pré Implantação'!I356)),"")</f>
        <v/>
      </c>
      <c r="G356" s="34" t="str">
        <f>IFERROR(IF('Pré Implantação'!B356="CSC",AVERAGE('Pré Implantação'!D356,'Pré Implantação'!L356,'Pré Implantação'!J356),AVERAGE('Pré Implantação'!J356)),"")</f>
        <v/>
      </c>
      <c r="H356" s="34" t="str">
        <f>IFERROR(IF('Pré Implantação'!B356="Operações \ Negócio",AVERAGE('Pré Implantação'!D356,'Pré Implantação'!L356,'Pré Implantação'!K356),AVERAGE('Pré Implantação'!K356)),"")</f>
        <v/>
      </c>
      <c r="I356" s="34" t="str">
        <f>IFERROR(IF('Pré Implantação'!B356="Projetos",AVERAGE('Pré Implantação'!D356,'Pré Implantação'!L356,'Pré Implantação'!M356),AVERAGE('Pré Implantação'!M356)),"")</f>
        <v/>
      </c>
      <c r="J356" s="34" t="str">
        <f>IFERROR(IF('Pré Implantação'!B356="Engenharia",AVERAGE('Pré Implantação'!D356,'Pré Implantação'!L356,'Pré Implantação'!N356),AVERAGE('Pré Implantação'!N356)),"")</f>
        <v/>
      </c>
      <c r="K356" s="34" t="str">
        <f>IFERROR(IF('Pré Implantação'!B356="URA",AVERAGE('Pré Implantação'!D356,'Pré Implantação'!L356),""),"")</f>
        <v/>
      </c>
      <c r="L356" s="34" t="str">
        <f>IFERROR(IF('Pré Implantação'!B356="CSE Microsoft",AVERAGE('Pré Implantação'!D356,'Pré Implantação'!L356),""),"")</f>
        <v/>
      </c>
      <c r="M356" s="34" t="str">
        <f>IFERROR(IF('Pré Implantação'!B356="CSE Telecom",AVERAGE('Pré Implantação'!D356,'Pré Implantação'!L356),""),"")</f>
        <v/>
      </c>
      <c r="N356" s="34" t="str">
        <f>IFERROR(IF('Pré Implantação'!B356="Site Suporte de Campo",AVERAGE('Pré Implantação'!D356,'Pré Implantação'!L356),""),"")</f>
        <v/>
      </c>
      <c r="O356" s="49" t="str">
        <f>IFERROR(IF('Pré Implantação'!B356="Infraestrutura",AVERAGE('Pré Implantação'!D356,'Pré Implantação'!L356),""),"")</f>
        <v/>
      </c>
    </row>
    <row r="357" spans="1:15" x14ac:dyDescent="0.3">
      <c r="A357" s="33">
        <f>'Pré Implantação'!A357</f>
        <v>0</v>
      </c>
      <c r="B357" s="36">
        <f>'Pré Implantação'!C357</f>
        <v>0</v>
      </c>
      <c r="C357" s="34" t="str">
        <f>IFERROR(IF('Pré Implantação'!B357="Produção TI",AVERAGE('Pré Implantação'!D357,'Pré Implantação'!L357,'Pré Implantação'!E357,'Pré Implantação'!H357),AVERAGE('Pré Implantação'!E357,'Pré Implantação'!H357)),"")</f>
        <v/>
      </c>
      <c r="D357" s="34" t="str">
        <f>IFERROR(IF('Pré Implantação'!B357="CSC Service Desk",AVERAGE('Pré Implantação'!D357,'Pré Implantação'!L357,'Pré Implantação'!F357),AVERAGE('Pré Implantação'!F357)),"")</f>
        <v/>
      </c>
      <c r="E357" s="34" t="str">
        <f>IFERROR(IF('Pré Implantação'!B357="CSC NOC",AVERAGE('Pré Implantação'!D357,'Pré Implantação'!L357,'Pré Implantação'!G357),AVERAGE('Pré Implantação'!G357)),"")</f>
        <v/>
      </c>
      <c r="F357" s="34" t="str">
        <f>IFERROR(IF('Pré Implantação'!B357="CSE Gravadores",AVERAGE('Pré Implantação'!D357,'Pré Implantação'!L357,'Pré Implantação'!I357),AVERAGE('Pré Implantação'!I357)),"")</f>
        <v/>
      </c>
      <c r="G357" s="34" t="str">
        <f>IFERROR(IF('Pré Implantação'!B357="CSC",AVERAGE('Pré Implantação'!D357,'Pré Implantação'!L357,'Pré Implantação'!J357),AVERAGE('Pré Implantação'!J357)),"")</f>
        <v/>
      </c>
      <c r="H357" s="34" t="str">
        <f>IFERROR(IF('Pré Implantação'!B357="Operações \ Negócio",AVERAGE('Pré Implantação'!D357,'Pré Implantação'!L357,'Pré Implantação'!K357),AVERAGE('Pré Implantação'!K357)),"")</f>
        <v/>
      </c>
      <c r="I357" s="34" t="str">
        <f>IFERROR(IF('Pré Implantação'!B357="Projetos",AVERAGE('Pré Implantação'!D357,'Pré Implantação'!L357,'Pré Implantação'!M357),AVERAGE('Pré Implantação'!M357)),"")</f>
        <v/>
      </c>
      <c r="J357" s="34" t="str">
        <f>IFERROR(IF('Pré Implantação'!B357="Engenharia",AVERAGE('Pré Implantação'!D357,'Pré Implantação'!L357,'Pré Implantação'!N357),AVERAGE('Pré Implantação'!N357)),"")</f>
        <v/>
      </c>
      <c r="K357" s="34" t="str">
        <f>IFERROR(IF('Pré Implantação'!B357="URA",AVERAGE('Pré Implantação'!D357,'Pré Implantação'!L357),""),"")</f>
        <v/>
      </c>
      <c r="L357" s="34" t="str">
        <f>IFERROR(IF('Pré Implantação'!B357="CSE Microsoft",AVERAGE('Pré Implantação'!D357,'Pré Implantação'!L357),""),"")</f>
        <v/>
      </c>
      <c r="M357" s="34" t="str">
        <f>IFERROR(IF('Pré Implantação'!B357="CSE Telecom",AVERAGE('Pré Implantação'!D357,'Pré Implantação'!L357),""),"")</f>
        <v/>
      </c>
      <c r="N357" s="34" t="str">
        <f>IFERROR(IF('Pré Implantação'!B357="Site Suporte de Campo",AVERAGE('Pré Implantação'!D357,'Pré Implantação'!L357),""),"")</f>
        <v/>
      </c>
      <c r="O357" s="49" t="str">
        <f>IFERROR(IF('Pré Implantação'!B357="Infraestrutura",AVERAGE('Pré Implantação'!D357,'Pré Implantação'!L357),""),"")</f>
        <v/>
      </c>
    </row>
    <row r="358" spans="1:15" x14ac:dyDescent="0.3">
      <c r="A358" s="33">
        <f>'Pré Implantação'!A358</f>
        <v>0</v>
      </c>
      <c r="B358" s="36">
        <f>'Pré Implantação'!C358</f>
        <v>0</v>
      </c>
      <c r="C358" s="34" t="str">
        <f>IFERROR(IF('Pré Implantação'!B358="Produção TI",AVERAGE('Pré Implantação'!D358,'Pré Implantação'!L358,'Pré Implantação'!E358,'Pré Implantação'!H358),AVERAGE('Pré Implantação'!E358,'Pré Implantação'!H358)),"")</f>
        <v/>
      </c>
      <c r="D358" s="34" t="str">
        <f>IFERROR(IF('Pré Implantação'!B358="CSC Service Desk",AVERAGE('Pré Implantação'!D358,'Pré Implantação'!L358,'Pré Implantação'!F358),AVERAGE('Pré Implantação'!F358)),"")</f>
        <v/>
      </c>
      <c r="E358" s="34" t="str">
        <f>IFERROR(IF('Pré Implantação'!B358="CSC NOC",AVERAGE('Pré Implantação'!D358,'Pré Implantação'!L358,'Pré Implantação'!G358),AVERAGE('Pré Implantação'!G358)),"")</f>
        <v/>
      </c>
      <c r="F358" s="34" t="str">
        <f>IFERROR(IF('Pré Implantação'!B358="CSE Gravadores",AVERAGE('Pré Implantação'!D358,'Pré Implantação'!L358,'Pré Implantação'!I358),AVERAGE('Pré Implantação'!I358)),"")</f>
        <v/>
      </c>
      <c r="G358" s="34" t="str">
        <f>IFERROR(IF('Pré Implantação'!B358="CSC",AVERAGE('Pré Implantação'!D358,'Pré Implantação'!L358,'Pré Implantação'!J358),AVERAGE('Pré Implantação'!J358)),"")</f>
        <v/>
      </c>
      <c r="H358" s="34" t="str">
        <f>IFERROR(IF('Pré Implantação'!B358="Operações \ Negócio",AVERAGE('Pré Implantação'!D358,'Pré Implantação'!L358,'Pré Implantação'!K358),AVERAGE('Pré Implantação'!K358)),"")</f>
        <v/>
      </c>
      <c r="I358" s="34" t="str">
        <f>IFERROR(IF('Pré Implantação'!B358="Projetos",AVERAGE('Pré Implantação'!D358,'Pré Implantação'!L358,'Pré Implantação'!M358),AVERAGE('Pré Implantação'!M358)),"")</f>
        <v/>
      </c>
      <c r="J358" s="34" t="str">
        <f>IFERROR(IF('Pré Implantação'!B358="Engenharia",AVERAGE('Pré Implantação'!D358,'Pré Implantação'!L358,'Pré Implantação'!N358),AVERAGE('Pré Implantação'!N358)),"")</f>
        <v/>
      </c>
      <c r="K358" s="34" t="str">
        <f>IFERROR(IF('Pré Implantação'!B358="URA",AVERAGE('Pré Implantação'!D358,'Pré Implantação'!L358),""),"")</f>
        <v/>
      </c>
      <c r="L358" s="34" t="str">
        <f>IFERROR(IF('Pré Implantação'!B358="CSE Microsoft",AVERAGE('Pré Implantação'!D358,'Pré Implantação'!L358),""),"")</f>
        <v/>
      </c>
      <c r="M358" s="34" t="str">
        <f>IFERROR(IF('Pré Implantação'!B358="CSE Telecom",AVERAGE('Pré Implantação'!D358,'Pré Implantação'!L358),""),"")</f>
        <v/>
      </c>
      <c r="N358" s="34" t="str">
        <f>IFERROR(IF('Pré Implantação'!B358="Site Suporte de Campo",AVERAGE('Pré Implantação'!D358,'Pré Implantação'!L358),""),"")</f>
        <v/>
      </c>
      <c r="O358" s="49" t="str">
        <f>IFERROR(IF('Pré Implantação'!B358="Infraestrutura",AVERAGE('Pré Implantação'!D358,'Pré Implantação'!L358),""),"")</f>
        <v/>
      </c>
    </row>
    <row r="359" spans="1:15" x14ac:dyDescent="0.3">
      <c r="A359" s="33">
        <f>'Pré Implantação'!A359</f>
        <v>0</v>
      </c>
      <c r="B359" s="36">
        <f>'Pré Implantação'!C359</f>
        <v>0</v>
      </c>
      <c r="C359" s="34" t="str">
        <f>IFERROR(IF('Pré Implantação'!B359="Produção TI",AVERAGE('Pré Implantação'!D359,'Pré Implantação'!L359,'Pré Implantação'!E359,'Pré Implantação'!H359),AVERAGE('Pré Implantação'!E359,'Pré Implantação'!H359)),"")</f>
        <v/>
      </c>
      <c r="D359" s="34" t="str">
        <f>IFERROR(IF('Pré Implantação'!B359="CSC Service Desk",AVERAGE('Pré Implantação'!D359,'Pré Implantação'!L359,'Pré Implantação'!F359),AVERAGE('Pré Implantação'!F359)),"")</f>
        <v/>
      </c>
      <c r="E359" s="34" t="str">
        <f>IFERROR(IF('Pré Implantação'!B359="CSC NOC",AVERAGE('Pré Implantação'!D359,'Pré Implantação'!L359,'Pré Implantação'!G359),AVERAGE('Pré Implantação'!G359)),"")</f>
        <v/>
      </c>
      <c r="F359" s="34" t="str">
        <f>IFERROR(IF('Pré Implantação'!B359="CSE Gravadores",AVERAGE('Pré Implantação'!D359,'Pré Implantação'!L359,'Pré Implantação'!I359),AVERAGE('Pré Implantação'!I359)),"")</f>
        <v/>
      </c>
      <c r="G359" s="34" t="str">
        <f>IFERROR(IF('Pré Implantação'!B359="CSC",AVERAGE('Pré Implantação'!D359,'Pré Implantação'!L359,'Pré Implantação'!J359),AVERAGE('Pré Implantação'!J359)),"")</f>
        <v/>
      </c>
      <c r="H359" s="34" t="str">
        <f>IFERROR(IF('Pré Implantação'!B359="Operações \ Negócio",AVERAGE('Pré Implantação'!D359,'Pré Implantação'!L359,'Pré Implantação'!K359),AVERAGE('Pré Implantação'!K359)),"")</f>
        <v/>
      </c>
      <c r="I359" s="34" t="str">
        <f>IFERROR(IF('Pré Implantação'!B359="Projetos",AVERAGE('Pré Implantação'!D359,'Pré Implantação'!L359,'Pré Implantação'!M359),AVERAGE('Pré Implantação'!M359)),"")</f>
        <v/>
      </c>
      <c r="J359" s="34" t="str">
        <f>IFERROR(IF('Pré Implantação'!B359="Engenharia",AVERAGE('Pré Implantação'!D359,'Pré Implantação'!L359,'Pré Implantação'!N359),AVERAGE('Pré Implantação'!N359)),"")</f>
        <v/>
      </c>
      <c r="K359" s="34" t="str">
        <f>IFERROR(IF('Pré Implantação'!B359="URA",AVERAGE('Pré Implantação'!D359,'Pré Implantação'!L359),""),"")</f>
        <v/>
      </c>
      <c r="L359" s="34" t="str">
        <f>IFERROR(IF('Pré Implantação'!B359="CSE Microsoft",AVERAGE('Pré Implantação'!D359,'Pré Implantação'!L359),""),"")</f>
        <v/>
      </c>
      <c r="M359" s="34" t="str">
        <f>IFERROR(IF('Pré Implantação'!B359="CSE Telecom",AVERAGE('Pré Implantação'!D359,'Pré Implantação'!L359),""),"")</f>
        <v/>
      </c>
      <c r="N359" s="34" t="str">
        <f>IFERROR(IF('Pré Implantação'!B359="Site Suporte de Campo",AVERAGE('Pré Implantação'!D359,'Pré Implantação'!L359),""),"")</f>
        <v/>
      </c>
      <c r="O359" s="49" t="str">
        <f>IFERROR(IF('Pré Implantação'!B359="Infraestrutura",AVERAGE('Pré Implantação'!D359,'Pré Implantação'!L359),""),"")</f>
        <v/>
      </c>
    </row>
    <row r="360" spans="1:15" x14ac:dyDescent="0.3">
      <c r="A360" s="33">
        <f>'Pré Implantação'!A360</f>
        <v>0</v>
      </c>
      <c r="B360" s="36">
        <f>'Pré Implantação'!C360</f>
        <v>0</v>
      </c>
      <c r="C360" s="34" t="str">
        <f>IFERROR(IF('Pré Implantação'!B360="Produção TI",AVERAGE('Pré Implantação'!D360,'Pré Implantação'!L360,'Pré Implantação'!E360,'Pré Implantação'!H360),AVERAGE('Pré Implantação'!E360,'Pré Implantação'!H360)),"")</f>
        <v/>
      </c>
      <c r="D360" s="34" t="str">
        <f>IFERROR(IF('Pré Implantação'!B360="CSC Service Desk",AVERAGE('Pré Implantação'!D360,'Pré Implantação'!L360,'Pré Implantação'!F360),AVERAGE('Pré Implantação'!F360)),"")</f>
        <v/>
      </c>
      <c r="E360" s="34" t="str">
        <f>IFERROR(IF('Pré Implantação'!B360="CSC NOC",AVERAGE('Pré Implantação'!D360,'Pré Implantação'!L360,'Pré Implantação'!G360),AVERAGE('Pré Implantação'!G360)),"")</f>
        <v/>
      </c>
      <c r="F360" s="34" t="str">
        <f>IFERROR(IF('Pré Implantação'!B360="CSE Gravadores",AVERAGE('Pré Implantação'!D360,'Pré Implantação'!L360,'Pré Implantação'!I360),AVERAGE('Pré Implantação'!I360)),"")</f>
        <v/>
      </c>
      <c r="G360" s="34" t="str">
        <f>IFERROR(IF('Pré Implantação'!B360="CSC",AVERAGE('Pré Implantação'!D360,'Pré Implantação'!L360,'Pré Implantação'!J360),AVERAGE('Pré Implantação'!J360)),"")</f>
        <v/>
      </c>
      <c r="H360" s="34" t="str">
        <f>IFERROR(IF('Pré Implantação'!B360="Operações \ Negócio",AVERAGE('Pré Implantação'!D360,'Pré Implantação'!L360,'Pré Implantação'!K360),AVERAGE('Pré Implantação'!K360)),"")</f>
        <v/>
      </c>
      <c r="I360" s="34" t="str">
        <f>IFERROR(IF('Pré Implantação'!B360="Projetos",AVERAGE('Pré Implantação'!D360,'Pré Implantação'!L360,'Pré Implantação'!M360),AVERAGE('Pré Implantação'!M360)),"")</f>
        <v/>
      </c>
      <c r="J360" s="34" t="str">
        <f>IFERROR(IF('Pré Implantação'!B360="Engenharia",AVERAGE('Pré Implantação'!D360,'Pré Implantação'!L360,'Pré Implantação'!N360),AVERAGE('Pré Implantação'!N360)),"")</f>
        <v/>
      </c>
      <c r="K360" s="34" t="str">
        <f>IFERROR(IF('Pré Implantação'!B360="URA",AVERAGE('Pré Implantação'!D360,'Pré Implantação'!L360),""),"")</f>
        <v/>
      </c>
      <c r="L360" s="34" t="str">
        <f>IFERROR(IF('Pré Implantação'!B360="CSE Microsoft",AVERAGE('Pré Implantação'!D360,'Pré Implantação'!L360),""),"")</f>
        <v/>
      </c>
      <c r="M360" s="34" t="str">
        <f>IFERROR(IF('Pré Implantação'!B360="CSE Telecom",AVERAGE('Pré Implantação'!D360,'Pré Implantação'!L360),""),"")</f>
        <v/>
      </c>
      <c r="N360" s="34" t="str">
        <f>IFERROR(IF('Pré Implantação'!B360="Site Suporte de Campo",AVERAGE('Pré Implantação'!D360,'Pré Implantação'!L360),""),"")</f>
        <v/>
      </c>
      <c r="O360" s="49" t="str">
        <f>IFERROR(IF('Pré Implantação'!B360="Infraestrutura",AVERAGE('Pré Implantação'!D360,'Pré Implantação'!L360),""),"")</f>
        <v/>
      </c>
    </row>
    <row r="361" spans="1:15" x14ac:dyDescent="0.3">
      <c r="A361" s="33">
        <f>'Pré Implantação'!A361</f>
        <v>0</v>
      </c>
      <c r="B361" s="36">
        <f>'Pré Implantação'!C361</f>
        <v>0</v>
      </c>
      <c r="C361" s="34" t="str">
        <f>IFERROR(IF('Pré Implantação'!B361="Produção TI",AVERAGE('Pré Implantação'!D361,'Pré Implantação'!L361,'Pré Implantação'!E361,'Pré Implantação'!H361),AVERAGE('Pré Implantação'!E361,'Pré Implantação'!H361)),"")</f>
        <v/>
      </c>
      <c r="D361" s="34" t="str">
        <f>IFERROR(IF('Pré Implantação'!B361="CSC Service Desk",AVERAGE('Pré Implantação'!D361,'Pré Implantação'!L361,'Pré Implantação'!F361),AVERAGE('Pré Implantação'!F361)),"")</f>
        <v/>
      </c>
      <c r="E361" s="34" t="str">
        <f>IFERROR(IF('Pré Implantação'!B361="CSC NOC",AVERAGE('Pré Implantação'!D361,'Pré Implantação'!L361,'Pré Implantação'!G361),AVERAGE('Pré Implantação'!G361)),"")</f>
        <v/>
      </c>
      <c r="F361" s="34" t="str">
        <f>IFERROR(IF('Pré Implantação'!B361="CSE Gravadores",AVERAGE('Pré Implantação'!D361,'Pré Implantação'!L361,'Pré Implantação'!I361),AVERAGE('Pré Implantação'!I361)),"")</f>
        <v/>
      </c>
      <c r="G361" s="34" t="str">
        <f>IFERROR(IF('Pré Implantação'!B361="CSC",AVERAGE('Pré Implantação'!D361,'Pré Implantação'!L361,'Pré Implantação'!J361),AVERAGE('Pré Implantação'!J361)),"")</f>
        <v/>
      </c>
      <c r="H361" s="34" t="str">
        <f>IFERROR(IF('Pré Implantação'!B361="Operações \ Negócio",AVERAGE('Pré Implantação'!D361,'Pré Implantação'!L361,'Pré Implantação'!K361),AVERAGE('Pré Implantação'!K361)),"")</f>
        <v/>
      </c>
      <c r="I361" s="34" t="str">
        <f>IFERROR(IF('Pré Implantação'!B361="Projetos",AVERAGE('Pré Implantação'!D361,'Pré Implantação'!L361,'Pré Implantação'!M361),AVERAGE('Pré Implantação'!M361)),"")</f>
        <v/>
      </c>
      <c r="J361" s="34" t="str">
        <f>IFERROR(IF('Pré Implantação'!B361="Engenharia",AVERAGE('Pré Implantação'!D361,'Pré Implantação'!L361,'Pré Implantação'!N361),AVERAGE('Pré Implantação'!N361)),"")</f>
        <v/>
      </c>
      <c r="K361" s="34" t="str">
        <f>IFERROR(IF('Pré Implantação'!B361="URA",AVERAGE('Pré Implantação'!D361,'Pré Implantação'!L361),""),"")</f>
        <v/>
      </c>
      <c r="L361" s="34" t="str">
        <f>IFERROR(IF('Pré Implantação'!B361="CSE Microsoft",AVERAGE('Pré Implantação'!D361,'Pré Implantação'!L361),""),"")</f>
        <v/>
      </c>
      <c r="M361" s="34" t="str">
        <f>IFERROR(IF('Pré Implantação'!B361="CSE Telecom",AVERAGE('Pré Implantação'!D361,'Pré Implantação'!L361),""),"")</f>
        <v/>
      </c>
      <c r="N361" s="34" t="str">
        <f>IFERROR(IF('Pré Implantação'!B361="Site Suporte de Campo",AVERAGE('Pré Implantação'!D361,'Pré Implantação'!L361),""),"")</f>
        <v/>
      </c>
      <c r="O361" s="49" t="str">
        <f>IFERROR(IF('Pré Implantação'!B361="Infraestrutura",AVERAGE('Pré Implantação'!D361,'Pré Implantação'!L361),""),"")</f>
        <v/>
      </c>
    </row>
    <row r="362" spans="1:15" x14ac:dyDescent="0.3">
      <c r="A362" s="33">
        <f>'Pré Implantação'!A362</f>
        <v>0</v>
      </c>
      <c r="B362" s="36">
        <f>'Pré Implantação'!C362</f>
        <v>0</v>
      </c>
      <c r="C362" s="34" t="str">
        <f>IFERROR(IF('Pré Implantação'!B362="Produção TI",AVERAGE('Pré Implantação'!D362,'Pré Implantação'!L362,'Pré Implantação'!E362,'Pré Implantação'!H362),AVERAGE('Pré Implantação'!E362,'Pré Implantação'!H362)),"")</f>
        <v/>
      </c>
      <c r="D362" s="34" t="str">
        <f>IFERROR(IF('Pré Implantação'!B362="CSC Service Desk",AVERAGE('Pré Implantação'!D362,'Pré Implantação'!L362,'Pré Implantação'!F362),AVERAGE('Pré Implantação'!F362)),"")</f>
        <v/>
      </c>
      <c r="E362" s="34" t="str">
        <f>IFERROR(IF('Pré Implantação'!B362="CSC NOC",AVERAGE('Pré Implantação'!D362,'Pré Implantação'!L362,'Pré Implantação'!G362),AVERAGE('Pré Implantação'!G362)),"")</f>
        <v/>
      </c>
      <c r="F362" s="34" t="str">
        <f>IFERROR(IF('Pré Implantação'!B362="CSE Gravadores",AVERAGE('Pré Implantação'!D362,'Pré Implantação'!L362,'Pré Implantação'!I362),AVERAGE('Pré Implantação'!I362)),"")</f>
        <v/>
      </c>
      <c r="G362" s="34" t="str">
        <f>IFERROR(IF('Pré Implantação'!B362="CSC",AVERAGE('Pré Implantação'!D362,'Pré Implantação'!L362,'Pré Implantação'!J362),AVERAGE('Pré Implantação'!J362)),"")</f>
        <v/>
      </c>
      <c r="H362" s="34" t="str">
        <f>IFERROR(IF('Pré Implantação'!B362="Operações \ Negócio",AVERAGE('Pré Implantação'!D362,'Pré Implantação'!L362,'Pré Implantação'!K362),AVERAGE('Pré Implantação'!K362)),"")</f>
        <v/>
      </c>
      <c r="I362" s="34" t="str">
        <f>IFERROR(IF('Pré Implantação'!B362="Projetos",AVERAGE('Pré Implantação'!D362,'Pré Implantação'!L362,'Pré Implantação'!M362),AVERAGE('Pré Implantação'!M362)),"")</f>
        <v/>
      </c>
      <c r="J362" s="34" t="str">
        <f>IFERROR(IF('Pré Implantação'!B362="Engenharia",AVERAGE('Pré Implantação'!D362,'Pré Implantação'!L362,'Pré Implantação'!N362),AVERAGE('Pré Implantação'!N362)),"")</f>
        <v/>
      </c>
      <c r="K362" s="34" t="str">
        <f>IFERROR(IF('Pré Implantação'!B362="URA",AVERAGE('Pré Implantação'!D362,'Pré Implantação'!L362),""),"")</f>
        <v/>
      </c>
      <c r="L362" s="34" t="str">
        <f>IFERROR(IF('Pré Implantação'!B362="CSE Microsoft",AVERAGE('Pré Implantação'!D362,'Pré Implantação'!L362),""),"")</f>
        <v/>
      </c>
      <c r="M362" s="34" t="str">
        <f>IFERROR(IF('Pré Implantação'!B362="CSE Telecom",AVERAGE('Pré Implantação'!D362,'Pré Implantação'!L362),""),"")</f>
        <v/>
      </c>
      <c r="N362" s="34" t="str">
        <f>IFERROR(IF('Pré Implantação'!B362="Site Suporte de Campo",AVERAGE('Pré Implantação'!D362,'Pré Implantação'!L362),""),"")</f>
        <v/>
      </c>
      <c r="O362" s="49" t="str">
        <f>IFERROR(IF('Pré Implantação'!B362="Infraestrutura",AVERAGE('Pré Implantação'!D362,'Pré Implantação'!L362),""),"")</f>
        <v/>
      </c>
    </row>
    <row r="363" spans="1:15" x14ac:dyDescent="0.3">
      <c r="A363" s="33">
        <f>'Pré Implantação'!A363</f>
        <v>0</v>
      </c>
      <c r="B363" s="36">
        <f>'Pré Implantação'!C363</f>
        <v>0</v>
      </c>
      <c r="C363" s="34" t="str">
        <f>IFERROR(IF('Pré Implantação'!B363="Produção TI",AVERAGE('Pré Implantação'!D363,'Pré Implantação'!L363,'Pré Implantação'!E363,'Pré Implantação'!H363),AVERAGE('Pré Implantação'!E363,'Pré Implantação'!H363)),"")</f>
        <v/>
      </c>
      <c r="D363" s="34" t="str">
        <f>IFERROR(IF('Pré Implantação'!B363="CSC Service Desk",AVERAGE('Pré Implantação'!D363,'Pré Implantação'!L363,'Pré Implantação'!F363),AVERAGE('Pré Implantação'!F363)),"")</f>
        <v/>
      </c>
      <c r="E363" s="34" t="str">
        <f>IFERROR(IF('Pré Implantação'!B363="CSC NOC",AVERAGE('Pré Implantação'!D363,'Pré Implantação'!L363,'Pré Implantação'!G363),AVERAGE('Pré Implantação'!G363)),"")</f>
        <v/>
      </c>
      <c r="F363" s="34" t="str">
        <f>IFERROR(IF('Pré Implantação'!B363="CSE Gravadores",AVERAGE('Pré Implantação'!D363,'Pré Implantação'!L363,'Pré Implantação'!I363),AVERAGE('Pré Implantação'!I363)),"")</f>
        <v/>
      </c>
      <c r="G363" s="34" t="str">
        <f>IFERROR(IF('Pré Implantação'!B363="CSC",AVERAGE('Pré Implantação'!D363,'Pré Implantação'!L363,'Pré Implantação'!J363),AVERAGE('Pré Implantação'!J363)),"")</f>
        <v/>
      </c>
      <c r="H363" s="34" t="str">
        <f>IFERROR(IF('Pré Implantação'!B363="Operações \ Negócio",AVERAGE('Pré Implantação'!D363,'Pré Implantação'!L363,'Pré Implantação'!K363),AVERAGE('Pré Implantação'!K363)),"")</f>
        <v/>
      </c>
      <c r="I363" s="34" t="str">
        <f>IFERROR(IF('Pré Implantação'!B363="Projetos",AVERAGE('Pré Implantação'!D363,'Pré Implantação'!L363,'Pré Implantação'!M363),AVERAGE('Pré Implantação'!M363)),"")</f>
        <v/>
      </c>
      <c r="J363" s="34" t="str">
        <f>IFERROR(IF('Pré Implantação'!B363="Engenharia",AVERAGE('Pré Implantação'!D363,'Pré Implantação'!L363,'Pré Implantação'!N363),AVERAGE('Pré Implantação'!N363)),"")</f>
        <v/>
      </c>
      <c r="K363" s="34" t="str">
        <f>IFERROR(IF('Pré Implantação'!B363="URA",AVERAGE('Pré Implantação'!D363,'Pré Implantação'!L363),""),"")</f>
        <v/>
      </c>
      <c r="L363" s="34" t="str">
        <f>IFERROR(IF('Pré Implantação'!B363="CSE Microsoft",AVERAGE('Pré Implantação'!D363,'Pré Implantação'!L363),""),"")</f>
        <v/>
      </c>
      <c r="M363" s="34" t="str">
        <f>IFERROR(IF('Pré Implantação'!B363="CSE Telecom",AVERAGE('Pré Implantação'!D363,'Pré Implantação'!L363),""),"")</f>
        <v/>
      </c>
      <c r="N363" s="34" t="str">
        <f>IFERROR(IF('Pré Implantação'!B363="Site Suporte de Campo",AVERAGE('Pré Implantação'!D363,'Pré Implantação'!L363),""),"")</f>
        <v/>
      </c>
      <c r="O363" s="49" t="str">
        <f>IFERROR(IF('Pré Implantação'!B363="Infraestrutura",AVERAGE('Pré Implantação'!D363,'Pré Implantação'!L363),""),"")</f>
        <v/>
      </c>
    </row>
    <row r="364" spans="1:15" x14ac:dyDescent="0.3">
      <c r="A364" s="33">
        <f>'Pré Implantação'!A364</f>
        <v>0</v>
      </c>
      <c r="B364" s="36">
        <f>'Pré Implantação'!C364</f>
        <v>0</v>
      </c>
      <c r="C364" s="34" t="str">
        <f>IFERROR(IF('Pré Implantação'!B364="Produção TI",AVERAGE('Pré Implantação'!D364,'Pré Implantação'!L364,'Pré Implantação'!E364,'Pré Implantação'!H364),AVERAGE('Pré Implantação'!E364,'Pré Implantação'!H364)),"")</f>
        <v/>
      </c>
      <c r="D364" s="34" t="str">
        <f>IFERROR(IF('Pré Implantação'!B364="CSC Service Desk",AVERAGE('Pré Implantação'!D364,'Pré Implantação'!L364,'Pré Implantação'!F364),AVERAGE('Pré Implantação'!F364)),"")</f>
        <v/>
      </c>
      <c r="E364" s="34" t="str">
        <f>IFERROR(IF('Pré Implantação'!B364="CSC NOC",AVERAGE('Pré Implantação'!D364,'Pré Implantação'!L364,'Pré Implantação'!G364),AVERAGE('Pré Implantação'!G364)),"")</f>
        <v/>
      </c>
      <c r="F364" s="34" t="str">
        <f>IFERROR(IF('Pré Implantação'!B364="CSE Gravadores",AVERAGE('Pré Implantação'!D364,'Pré Implantação'!L364,'Pré Implantação'!I364),AVERAGE('Pré Implantação'!I364)),"")</f>
        <v/>
      </c>
      <c r="G364" s="34" t="str">
        <f>IFERROR(IF('Pré Implantação'!B364="CSC",AVERAGE('Pré Implantação'!D364,'Pré Implantação'!L364,'Pré Implantação'!J364),AVERAGE('Pré Implantação'!J364)),"")</f>
        <v/>
      </c>
      <c r="H364" s="34" t="str">
        <f>IFERROR(IF('Pré Implantação'!B364="Operações \ Negócio",AVERAGE('Pré Implantação'!D364,'Pré Implantação'!L364,'Pré Implantação'!K364),AVERAGE('Pré Implantação'!K364)),"")</f>
        <v/>
      </c>
      <c r="I364" s="34" t="str">
        <f>IFERROR(IF('Pré Implantação'!B364="Projetos",AVERAGE('Pré Implantação'!D364,'Pré Implantação'!L364,'Pré Implantação'!M364),AVERAGE('Pré Implantação'!M364)),"")</f>
        <v/>
      </c>
      <c r="J364" s="34" t="str">
        <f>IFERROR(IF('Pré Implantação'!B364="Engenharia",AVERAGE('Pré Implantação'!D364,'Pré Implantação'!L364,'Pré Implantação'!N364),AVERAGE('Pré Implantação'!N364)),"")</f>
        <v/>
      </c>
      <c r="K364" s="34" t="str">
        <f>IFERROR(IF('Pré Implantação'!B364="URA",AVERAGE('Pré Implantação'!D364,'Pré Implantação'!L364),""),"")</f>
        <v/>
      </c>
      <c r="L364" s="34" t="str">
        <f>IFERROR(IF('Pré Implantação'!B364="CSE Microsoft",AVERAGE('Pré Implantação'!D364,'Pré Implantação'!L364),""),"")</f>
        <v/>
      </c>
      <c r="M364" s="34" t="str">
        <f>IFERROR(IF('Pré Implantação'!B364="CSE Telecom",AVERAGE('Pré Implantação'!D364,'Pré Implantação'!L364),""),"")</f>
        <v/>
      </c>
      <c r="N364" s="34" t="str">
        <f>IFERROR(IF('Pré Implantação'!B364="Site Suporte de Campo",AVERAGE('Pré Implantação'!D364,'Pré Implantação'!L364),""),"")</f>
        <v/>
      </c>
      <c r="O364" s="49" t="str">
        <f>IFERROR(IF('Pré Implantação'!B364="Infraestrutura",AVERAGE('Pré Implantação'!D364,'Pré Implantação'!L364),""),"")</f>
        <v/>
      </c>
    </row>
    <row r="365" spans="1:15" x14ac:dyDescent="0.3">
      <c r="A365" s="33">
        <f>'Pré Implantação'!A365</f>
        <v>0</v>
      </c>
      <c r="B365" s="36">
        <f>'Pré Implantação'!C365</f>
        <v>0</v>
      </c>
      <c r="C365" s="34" t="str">
        <f>IFERROR(IF('Pré Implantação'!B365="Produção TI",AVERAGE('Pré Implantação'!D365,'Pré Implantação'!L365,'Pré Implantação'!E365,'Pré Implantação'!H365),AVERAGE('Pré Implantação'!E365,'Pré Implantação'!H365)),"")</f>
        <v/>
      </c>
      <c r="D365" s="34" t="str">
        <f>IFERROR(IF('Pré Implantação'!B365="CSC Service Desk",AVERAGE('Pré Implantação'!D365,'Pré Implantação'!L365,'Pré Implantação'!F365),AVERAGE('Pré Implantação'!F365)),"")</f>
        <v/>
      </c>
      <c r="E365" s="34" t="str">
        <f>IFERROR(IF('Pré Implantação'!B365="CSC NOC",AVERAGE('Pré Implantação'!D365,'Pré Implantação'!L365,'Pré Implantação'!G365),AVERAGE('Pré Implantação'!G365)),"")</f>
        <v/>
      </c>
      <c r="F365" s="34" t="str">
        <f>IFERROR(IF('Pré Implantação'!B365="CSE Gravadores",AVERAGE('Pré Implantação'!D365,'Pré Implantação'!L365,'Pré Implantação'!I365),AVERAGE('Pré Implantação'!I365)),"")</f>
        <v/>
      </c>
      <c r="G365" s="34" t="str">
        <f>IFERROR(IF('Pré Implantação'!B365="CSC",AVERAGE('Pré Implantação'!D365,'Pré Implantação'!L365,'Pré Implantação'!J365),AVERAGE('Pré Implantação'!J365)),"")</f>
        <v/>
      </c>
      <c r="H365" s="34" t="str">
        <f>IFERROR(IF('Pré Implantação'!B365="Operações \ Negócio",AVERAGE('Pré Implantação'!D365,'Pré Implantação'!L365,'Pré Implantação'!K365),AVERAGE('Pré Implantação'!K365)),"")</f>
        <v/>
      </c>
      <c r="I365" s="34" t="str">
        <f>IFERROR(IF('Pré Implantação'!B365="Projetos",AVERAGE('Pré Implantação'!D365,'Pré Implantação'!L365,'Pré Implantação'!M365),AVERAGE('Pré Implantação'!M365)),"")</f>
        <v/>
      </c>
      <c r="J365" s="34" t="str">
        <f>IFERROR(IF('Pré Implantação'!B365="Engenharia",AVERAGE('Pré Implantação'!D365,'Pré Implantação'!L365,'Pré Implantação'!N365),AVERAGE('Pré Implantação'!N365)),"")</f>
        <v/>
      </c>
      <c r="K365" s="34" t="str">
        <f>IFERROR(IF('Pré Implantação'!B365="URA",AVERAGE('Pré Implantação'!D365,'Pré Implantação'!L365),""),"")</f>
        <v/>
      </c>
      <c r="L365" s="34" t="str">
        <f>IFERROR(IF('Pré Implantação'!B365="CSE Microsoft",AVERAGE('Pré Implantação'!D365,'Pré Implantação'!L365),""),"")</f>
        <v/>
      </c>
      <c r="M365" s="34" t="str">
        <f>IFERROR(IF('Pré Implantação'!B365="CSE Telecom",AVERAGE('Pré Implantação'!D365,'Pré Implantação'!L365),""),"")</f>
        <v/>
      </c>
      <c r="N365" s="34" t="str">
        <f>IFERROR(IF('Pré Implantação'!B365="Site Suporte de Campo",AVERAGE('Pré Implantação'!D365,'Pré Implantação'!L365),""),"")</f>
        <v/>
      </c>
      <c r="O365" s="49" t="str">
        <f>IFERROR(IF('Pré Implantação'!B365="Infraestrutura",AVERAGE('Pré Implantação'!D365,'Pré Implantação'!L365),""),"")</f>
        <v/>
      </c>
    </row>
    <row r="366" spans="1:15" x14ac:dyDescent="0.3">
      <c r="A366" s="33">
        <f>'Pré Implantação'!A366</f>
        <v>0</v>
      </c>
      <c r="B366" s="36">
        <f>'Pré Implantação'!C366</f>
        <v>0</v>
      </c>
      <c r="C366" s="34" t="str">
        <f>IFERROR(IF('Pré Implantação'!B366="Produção TI",AVERAGE('Pré Implantação'!D366,'Pré Implantação'!L366,'Pré Implantação'!E366,'Pré Implantação'!H366),AVERAGE('Pré Implantação'!E366,'Pré Implantação'!H366)),"")</f>
        <v/>
      </c>
      <c r="D366" s="34" t="str">
        <f>IFERROR(IF('Pré Implantação'!B366="CSC Service Desk",AVERAGE('Pré Implantação'!D366,'Pré Implantação'!L366,'Pré Implantação'!F366),AVERAGE('Pré Implantação'!F366)),"")</f>
        <v/>
      </c>
      <c r="E366" s="34" t="str">
        <f>IFERROR(IF('Pré Implantação'!B366="CSC NOC",AVERAGE('Pré Implantação'!D366,'Pré Implantação'!L366,'Pré Implantação'!G366),AVERAGE('Pré Implantação'!G366)),"")</f>
        <v/>
      </c>
      <c r="F366" s="34" t="str">
        <f>IFERROR(IF('Pré Implantação'!B366="CSE Gravadores",AVERAGE('Pré Implantação'!D366,'Pré Implantação'!L366,'Pré Implantação'!I366),AVERAGE('Pré Implantação'!I366)),"")</f>
        <v/>
      </c>
      <c r="G366" s="34" t="str">
        <f>IFERROR(IF('Pré Implantação'!B366="CSC",AVERAGE('Pré Implantação'!D366,'Pré Implantação'!L366,'Pré Implantação'!J366),AVERAGE('Pré Implantação'!J366)),"")</f>
        <v/>
      </c>
      <c r="H366" s="34" t="str">
        <f>IFERROR(IF('Pré Implantação'!B366="Operações \ Negócio",AVERAGE('Pré Implantação'!D366,'Pré Implantação'!L366,'Pré Implantação'!K366),AVERAGE('Pré Implantação'!K366)),"")</f>
        <v/>
      </c>
      <c r="I366" s="34" t="str">
        <f>IFERROR(IF('Pré Implantação'!B366="Projetos",AVERAGE('Pré Implantação'!D366,'Pré Implantação'!L366,'Pré Implantação'!M366),AVERAGE('Pré Implantação'!M366)),"")</f>
        <v/>
      </c>
      <c r="J366" s="34" t="str">
        <f>IFERROR(IF('Pré Implantação'!B366="Engenharia",AVERAGE('Pré Implantação'!D366,'Pré Implantação'!L366,'Pré Implantação'!N366),AVERAGE('Pré Implantação'!N366)),"")</f>
        <v/>
      </c>
      <c r="K366" s="34" t="str">
        <f>IFERROR(IF('Pré Implantação'!B366="URA",AVERAGE('Pré Implantação'!D366,'Pré Implantação'!L366),""),"")</f>
        <v/>
      </c>
      <c r="L366" s="34" t="str">
        <f>IFERROR(IF('Pré Implantação'!B366="CSE Microsoft",AVERAGE('Pré Implantação'!D366,'Pré Implantação'!L366),""),"")</f>
        <v/>
      </c>
      <c r="M366" s="34" t="str">
        <f>IFERROR(IF('Pré Implantação'!B366="CSE Telecom",AVERAGE('Pré Implantação'!D366,'Pré Implantação'!L366),""),"")</f>
        <v/>
      </c>
      <c r="N366" s="34" t="str">
        <f>IFERROR(IF('Pré Implantação'!B366="Site Suporte de Campo",AVERAGE('Pré Implantação'!D366,'Pré Implantação'!L366),""),"")</f>
        <v/>
      </c>
      <c r="O366" s="49" t="str">
        <f>IFERROR(IF('Pré Implantação'!B366="Infraestrutura",AVERAGE('Pré Implantação'!D366,'Pré Implantação'!L366),""),"")</f>
        <v/>
      </c>
    </row>
    <row r="367" spans="1:15" x14ac:dyDescent="0.3">
      <c r="A367" s="33">
        <f>'Pré Implantação'!A367</f>
        <v>0</v>
      </c>
      <c r="B367" s="36">
        <f>'Pré Implantação'!C367</f>
        <v>0</v>
      </c>
      <c r="C367" s="34" t="str">
        <f>IFERROR(IF('Pré Implantação'!B367="Produção TI",AVERAGE('Pré Implantação'!D367,'Pré Implantação'!L367,'Pré Implantação'!E367,'Pré Implantação'!H367),AVERAGE('Pré Implantação'!E367,'Pré Implantação'!H367)),"")</f>
        <v/>
      </c>
      <c r="D367" s="34" t="str">
        <f>IFERROR(IF('Pré Implantação'!B367="CSC Service Desk",AVERAGE('Pré Implantação'!D367,'Pré Implantação'!L367,'Pré Implantação'!F367),AVERAGE('Pré Implantação'!F367)),"")</f>
        <v/>
      </c>
      <c r="E367" s="34" t="str">
        <f>IFERROR(IF('Pré Implantação'!B367="CSC NOC",AVERAGE('Pré Implantação'!D367,'Pré Implantação'!L367,'Pré Implantação'!G367),AVERAGE('Pré Implantação'!G367)),"")</f>
        <v/>
      </c>
      <c r="F367" s="34" t="str">
        <f>IFERROR(IF('Pré Implantação'!B367="CSE Gravadores",AVERAGE('Pré Implantação'!D367,'Pré Implantação'!L367,'Pré Implantação'!I367),AVERAGE('Pré Implantação'!I367)),"")</f>
        <v/>
      </c>
      <c r="G367" s="34" t="str">
        <f>IFERROR(IF('Pré Implantação'!B367="CSC",AVERAGE('Pré Implantação'!D367,'Pré Implantação'!L367,'Pré Implantação'!J367),AVERAGE('Pré Implantação'!J367)),"")</f>
        <v/>
      </c>
      <c r="H367" s="34" t="str">
        <f>IFERROR(IF('Pré Implantação'!B367="Operações \ Negócio",AVERAGE('Pré Implantação'!D367,'Pré Implantação'!L367,'Pré Implantação'!K367),AVERAGE('Pré Implantação'!K367)),"")</f>
        <v/>
      </c>
      <c r="I367" s="34" t="str">
        <f>IFERROR(IF('Pré Implantação'!B367="Projetos",AVERAGE('Pré Implantação'!D367,'Pré Implantação'!L367,'Pré Implantação'!M367),AVERAGE('Pré Implantação'!M367)),"")</f>
        <v/>
      </c>
      <c r="J367" s="34" t="str">
        <f>IFERROR(IF('Pré Implantação'!B367="Engenharia",AVERAGE('Pré Implantação'!D367,'Pré Implantação'!L367,'Pré Implantação'!N367),AVERAGE('Pré Implantação'!N367)),"")</f>
        <v/>
      </c>
      <c r="K367" s="34" t="str">
        <f>IFERROR(IF('Pré Implantação'!B367="URA",AVERAGE('Pré Implantação'!D367,'Pré Implantação'!L367),""),"")</f>
        <v/>
      </c>
      <c r="L367" s="34" t="str">
        <f>IFERROR(IF('Pré Implantação'!B367="CSE Microsoft",AVERAGE('Pré Implantação'!D367,'Pré Implantação'!L367),""),"")</f>
        <v/>
      </c>
      <c r="M367" s="34" t="str">
        <f>IFERROR(IF('Pré Implantação'!B367="CSE Telecom",AVERAGE('Pré Implantação'!D367,'Pré Implantação'!L367),""),"")</f>
        <v/>
      </c>
      <c r="N367" s="34" t="str">
        <f>IFERROR(IF('Pré Implantação'!B367="Site Suporte de Campo",AVERAGE('Pré Implantação'!D367,'Pré Implantação'!L367),""),"")</f>
        <v/>
      </c>
      <c r="O367" s="49" t="str">
        <f>IFERROR(IF('Pré Implantação'!B367="Infraestrutura",AVERAGE('Pré Implantação'!D367,'Pré Implantação'!L367),""),"")</f>
        <v/>
      </c>
    </row>
    <row r="368" spans="1:15" x14ac:dyDescent="0.3">
      <c r="A368" s="33">
        <f>'Pré Implantação'!A368</f>
        <v>0</v>
      </c>
      <c r="B368" s="36">
        <f>'Pré Implantação'!C368</f>
        <v>0</v>
      </c>
      <c r="C368" s="34" t="str">
        <f>IFERROR(IF('Pré Implantação'!B368="Produção TI",AVERAGE('Pré Implantação'!D368,'Pré Implantação'!L368,'Pré Implantação'!E368,'Pré Implantação'!H368),AVERAGE('Pré Implantação'!E368,'Pré Implantação'!H368)),"")</f>
        <v/>
      </c>
      <c r="D368" s="34" t="str">
        <f>IFERROR(IF('Pré Implantação'!B368="CSC Service Desk",AVERAGE('Pré Implantação'!D368,'Pré Implantação'!L368,'Pré Implantação'!F368),AVERAGE('Pré Implantação'!F368)),"")</f>
        <v/>
      </c>
      <c r="E368" s="34" t="str">
        <f>IFERROR(IF('Pré Implantação'!B368="CSC NOC",AVERAGE('Pré Implantação'!D368,'Pré Implantação'!L368,'Pré Implantação'!G368),AVERAGE('Pré Implantação'!G368)),"")</f>
        <v/>
      </c>
      <c r="F368" s="34" t="str">
        <f>IFERROR(IF('Pré Implantação'!B368="CSE Gravadores",AVERAGE('Pré Implantação'!D368,'Pré Implantação'!L368,'Pré Implantação'!I368),AVERAGE('Pré Implantação'!I368)),"")</f>
        <v/>
      </c>
      <c r="G368" s="34" t="str">
        <f>IFERROR(IF('Pré Implantação'!B368="CSC",AVERAGE('Pré Implantação'!D368,'Pré Implantação'!L368,'Pré Implantação'!J368),AVERAGE('Pré Implantação'!J368)),"")</f>
        <v/>
      </c>
      <c r="H368" s="34" t="str">
        <f>IFERROR(IF('Pré Implantação'!B368="Operações \ Negócio",AVERAGE('Pré Implantação'!D368,'Pré Implantação'!L368,'Pré Implantação'!K368),AVERAGE('Pré Implantação'!K368)),"")</f>
        <v/>
      </c>
      <c r="I368" s="34" t="str">
        <f>IFERROR(IF('Pré Implantação'!B368="Projetos",AVERAGE('Pré Implantação'!D368,'Pré Implantação'!L368,'Pré Implantação'!M368),AVERAGE('Pré Implantação'!M368)),"")</f>
        <v/>
      </c>
      <c r="J368" s="34" t="str">
        <f>IFERROR(IF('Pré Implantação'!B368="Engenharia",AVERAGE('Pré Implantação'!D368,'Pré Implantação'!L368,'Pré Implantação'!N368),AVERAGE('Pré Implantação'!N368)),"")</f>
        <v/>
      </c>
      <c r="K368" s="34" t="str">
        <f>IFERROR(IF('Pré Implantação'!B368="URA",AVERAGE('Pré Implantação'!D368,'Pré Implantação'!L368),""),"")</f>
        <v/>
      </c>
      <c r="L368" s="34" t="str">
        <f>IFERROR(IF('Pré Implantação'!B368="CSE Microsoft",AVERAGE('Pré Implantação'!D368,'Pré Implantação'!L368),""),"")</f>
        <v/>
      </c>
      <c r="M368" s="34" t="str">
        <f>IFERROR(IF('Pré Implantação'!B368="CSE Telecom",AVERAGE('Pré Implantação'!D368,'Pré Implantação'!L368),""),"")</f>
        <v/>
      </c>
      <c r="N368" s="34" t="str">
        <f>IFERROR(IF('Pré Implantação'!B368="Site Suporte de Campo",AVERAGE('Pré Implantação'!D368,'Pré Implantação'!L368),""),"")</f>
        <v/>
      </c>
      <c r="O368" s="49" t="str">
        <f>IFERROR(IF('Pré Implantação'!B368="Infraestrutura",AVERAGE('Pré Implantação'!D368,'Pré Implantação'!L368),""),"")</f>
        <v/>
      </c>
    </row>
    <row r="369" spans="1:15" x14ac:dyDescent="0.3">
      <c r="A369" s="33">
        <f>'Pré Implantação'!A369</f>
        <v>0</v>
      </c>
      <c r="B369" s="36">
        <f>'Pré Implantação'!C369</f>
        <v>0</v>
      </c>
      <c r="C369" s="34" t="str">
        <f>IFERROR(IF('Pré Implantação'!B369="Produção TI",AVERAGE('Pré Implantação'!D369,'Pré Implantação'!L369,'Pré Implantação'!E369,'Pré Implantação'!H369),AVERAGE('Pré Implantação'!E369,'Pré Implantação'!H369)),"")</f>
        <v/>
      </c>
      <c r="D369" s="34" t="str">
        <f>IFERROR(IF('Pré Implantação'!B369="CSC Service Desk",AVERAGE('Pré Implantação'!D369,'Pré Implantação'!L369,'Pré Implantação'!F369),AVERAGE('Pré Implantação'!F369)),"")</f>
        <v/>
      </c>
      <c r="E369" s="34" t="str">
        <f>IFERROR(IF('Pré Implantação'!B369="CSC NOC",AVERAGE('Pré Implantação'!D369,'Pré Implantação'!L369,'Pré Implantação'!G369),AVERAGE('Pré Implantação'!G369)),"")</f>
        <v/>
      </c>
      <c r="F369" s="34" t="str">
        <f>IFERROR(IF('Pré Implantação'!B369="CSE Gravadores",AVERAGE('Pré Implantação'!D369,'Pré Implantação'!L369,'Pré Implantação'!I369),AVERAGE('Pré Implantação'!I369)),"")</f>
        <v/>
      </c>
      <c r="G369" s="34" t="str">
        <f>IFERROR(IF('Pré Implantação'!B369="CSC",AVERAGE('Pré Implantação'!D369,'Pré Implantação'!L369,'Pré Implantação'!J369),AVERAGE('Pré Implantação'!J369)),"")</f>
        <v/>
      </c>
      <c r="H369" s="34" t="str">
        <f>IFERROR(IF('Pré Implantação'!B369="Operações \ Negócio",AVERAGE('Pré Implantação'!D369,'Pré Implantação'!L369,'Pré Implantação'!K369),AVERAGE('Pré Implantação'!K369)),"")</f>
        <v/>
      </c>
      <c r="I369" s="34" t="str">
        <f>IFERROR(IF('Pré Implantação'!B369="Projetos",AVERAGE('Pré Implantação'!D369,'Pré Implantação'!L369,'Pré Implantação'!M369),AVERAGE('Pré Implantação'!M369)),"")</f>
        <v/>
      </c>
      <c r="J369" s="34" t="str">
        <f>IFERROR(IF('Pré Implantação'!B369="Engenharia",AVERAGE('Pré Implantação'!D369,'Pré Implantação'!L369,'Pré Implantação'!N369),AVERAGE('Pré Implantação'!N369)),"")</f>
        <v/>
      </c>
      <c r="K369" s="34" t="str">
        <f>IFERROR(IF('Pré Implantação'!B369="URA",AVERAGE('Pré Implantação'!D369,'Pré Implantação'!L369),""),"")</f>
        <v/>
      </c>
      <c r="L369" s="34" t="str">
        <f>IFERROR(IF('Pré Implantação'!B369="CSE Microsoft",AVERAGE('Pré Implantação'!D369,'Pré Implantação'!L369),""),"")</f>
        <v/>
      </c>
      <c r="M369" s="34" t="str">
        <f>IFERROR(IF('Pré Implantação'!B369="CSE Telecom",AVERAGE('Pré Implantação'!D369,'Pré Implantação'!L369),""),"")</f>
        <v/>
      </c>
      <c r="N369" s="34" t="str">
        <f>IFERROR(IF('Pré Implantação'!B369="Site Suporte de Campo",AVERAGE('Pré Implantação'!D369,'Pré Implantação'!L369),""),"")</f>
        <v/>
      </c>
      <c r="O369" s="49" t="str">
        <f>IFERROR(IF('Pré Implantação'!B369="Infraestrutura",AVERAGE('Pré Implantação'!D369,'Pré Implantação'!L369),""),"")</f>
        <v/>
      </c>
    </row>
    <row r="370" spans="1:15" x14ac:dyDescent="0.3">
      <c r="A370" s="33">
        <f>'Pré Implantação'!A370</f>
        <v>0</v>
      </c>
      <c r="B370" s="36">
        <f>'Pré Implantação'!C370</f>
        <v>0</v>
      </c>
      <c r="C370" s="34" t="str">
        <f>IFERROR(IF('Pré Implantação'!B370="Produção TI",AVERAGE('Pré Implantação'!D370,'Pré Implantação'!L370,'Pré Implantação'!E370,'Pré Implantação'!H370),AVERAGE('Pré Implantação'!E370,'Pré Implantação'!H370)),"")</f>
        <v/>
      </c>
      <c r="D370" s="34" t="str">
        <f>IFERROR(IF('Pré Implantação'!B370="CSC Service Desk",AVERAGE('Pré Implantação'!D370,'Pré Implantação'!L370,'Pré Implantação'!F370),AVERAGE('Pré Implantação'!F370)),"")</f>
        <v/>
      </c>
      <c r="E370" s="34" t="str">
        <f>IFERROR(IF('Pré Implantação'!B370="CSC NOC",AVERAGE('Pré Implantação'!D370,'Pré Implantação'!L370,'Pré Implantação'!G370),AVERAGE('Pré Implantação'!G370)),"")</f>
        <v/>
      </c>
      <c r="F370" s="34" t="str">
        <f>IFERROR(IF('Pré Implantação'!B370="CSE Gravadores",AVERAGE('Pré Implantação'!D370,'Pré Implantação'!L370,'Pré Implantação'!I370),AVERAGE('Pré Implantação'!I370)),"")</f>
        <v/>
      </c>
      <c r="G370" s="34" t="str">
        <f>IFERROR(IF('Pré Implantação'!B370="CSC",AVERAGE('Pré Implantação'!D370,'Pré Implantação'!L370,'Pré Implantação'!J370),AVERAGE('Pré Implantação'!J370)),"")</f>
        <v/>
      </c>
      <c r="H370" s="34" t="str">
        <f>IFERROR(IF('Pré Implantação'!B370="Operações \ Negócio",AVERAGE('Pré Implantação'!D370,'Pré Implantação'!L370,'Pré Implantação'!K370),AVERAGE('Pré Implantação'!K370)),"")</f>
        <v/>
      </c>
      <c r="I370" s="34" t="str">
        <f>IFERROR(IF('Pré Implantação'!B370="Projetos",AVERAGE('Pré Implantação'!D370,'Pré Implantação'!L370,'Pré Implantação'!M370),AVERAGE('Pré Implantação'!M370)),"")</f>
        <v/>
      </c>
      <c r="J370" s="34" t="str">
        <f>IFERROR(IF('Pré Implantação'!B370="Engenharia",AVERAGE('Pré Implantação'!D370,'Pré Implantação'!L370,'Pré Implantação'!N370),AVERAGE('Pré Implantação'!N370)),"")</f>
        <v/>
      </c>
      <c r="K370" s="34" t="str">
        <f>IFERROR(IF('Pré Implantação'!B370="URA",AVERAGE('Pré Implantação'!D370,'Pré Implantação'!L370),""),"")</f>
        <v/>
      </c>
      <c r="L370" s="34" t="str">
        <f>IFERROR(IF('Pré Implantação'!B370="CSE Microsoft",AVERAGE('Pré Implantação'!D370,'Pré Implantação'!L370),""),"")</f>
        <v/>
      </c>
      <c r="M370" s="34" t="str">
        <f>IFERROR(IF('Pré Implantação'!B370="CSE Telecom",AVERAGE('Pré Implantação'!D370,'Pré Implantação'!L370),""),"")</f>
        <v/>
      </c>
      <c r="N370" s="34" t="str">
        <f>IFERROR(IF('Pré Implantação'!B370="Site Suporte de Campo",AVERAGE('Pré Implantação'!D370,'Pré Implantação'!L370),""),"")</f>
        <v/>
      </c>
      <c r="O370" s="49" t="str">
        <f>IFERROR(IF('Pré Implantação'!B370="Infraestrutura",AVERAGE('Pré Implantação'!D370,'Pré Implantação'!L370),""),"")</f>
        <v/>
      </c>
    </row>
    <row r="371" spans="1:15" x14ac:dyDescent="0.3">
      <c r="A371" s="33">
        <f>'Pré Implantação'!A371</f>
        <v>0</v>
      </c>
      <c r="B371" s="36">
        <f>'Pré Implantação'!C371</f>
        <v>0</v>
      </c>
      <c r="C371" s="34" t="str">
        <f>IFERROR(IF('Pré Implantação'!B371="Produção TI",AVERAGE('Pré Implantação'!D371,'Pré Implantação'!L371,'Pré Implantação'!E371,'Pré Implantação'!H371),AVERAGE('Pré Implantação'!E371,'Pré Implantação'!H371)),"")</f>
        <v/>
      </c>
      <c r="D371" s="34" t="str">
        <f>IFERROR(IF('Pré Implantação'!B371="CSC Service Desk",AVERAGE('Pré Implantação'!D371,'Pré Implantação'!L371,'Pré Implantação'!F371),AVERAGE('Pré Implantação'!F371)),"")</f>
        <v/>
      </c>
      <c r="E371" s="34" t="str">
        <f>IFERROR(IF('Pré Implantação'!B371="CSC NOC",AVERAGE('Pré Implantação'!D371,'Pré Implantação'!L371,'Pré Implantação'!G371),AVERAGE('Pré Implantação'!G371)),"")</f>
        <v/>
      </c>
      <c r="F371" s="34" t="str">
        <f>IFERROR(IF('Pré Implantação'!B371="CSE Gravadores",AVERAGE('Pré Implantação'!D371,'Pré Implantação'!L371,'Pré Implantação'!I371),AVERAGE('Pré Implantação'!I371)),"")</f>
        <v/>
      </c>
      <c r="G371" s="34" t="str">
        <f>IFERROR(IF('Pré Implantação'!B371="CSC",AVERAGE('Pré Implantação'!D371,'Pré Implantação'!L371,'Pré Implantação'!J371),AVERAGE('Pré Implantação'!J371)),"")</f>
        <v/>
      </c>
      <c r="H371" s="34" t="str">
        <f>IFERROR(IF('Pré Implantação'!B371="Operações \ Negócio",AVERAGE('Pré Implantação'!D371,'Pré Implantação'!L371,'Pré Implantação'!K371),AVERAGE('Pré Implantação'!K371)),"")</f>
        <v/>
      </c>
      <c r="I371" s="34" t="str">
        <f>IFERROR(IF('Pré Implantação'!B371="Projetos",AVERAGE('Pré Implantação'!D371,'Pré Implantação'!L371,'Pré Implantação'!M371),AVERAGE('Pré Implantação'!M371)),"")</f>
        <v/>
      </c>
      <c r="J371" s="34" t="str">
        <f>IFERROR(IF('Pré Implantação'!B371="Engenharia",AVERAGE('Pré Implantação'!D371,'Pré Implantação'!L371,'Pré Implantação'!N371),AVERAGE('Pré Implantação'!N371)),"")</f>
        <v/>
      </c>
      <c r="K371" s="34" t="str">
        <f>IFERROR(IF('Pré Implantação'!B371="URA",AVERAGE('Pré Implantação'!D371,'Pré Implantação'!L371),""),"")</f>
        <v/>
      </c>
      <c r="L371" s="34" t="str">
        <f>IFERROR(IF('Pré Implantação'!B371="CSE Microsoft",AVERAGE('Pré Implantação'!D371,'Pré Implantação'!L371),""),"")</f>
        <v/>
      </c>
      <c r="M371" s="34" t="str">
        <f>IFERROR(IF('Pré Implantação'!B371="CSE Telecom",AVERAGE('Pré Implantação'!D371,'Pré Implantação'!L371),""),"")</f>
        <v/>
      </c>
      <c r="N371" s="34" t="str">
        <f>IFERROR(IF('Pré Implantação'!B371="Site Suporte de Campo",AVERAGE('Pré Implantação'!D371,'Pré Implantação'!L371),""),"")</f>
        <v/>
      </c>
      <c r="O371" s="49" t="str">
        <f>IFERROR(IF('Pré Implantação'!B371="Infraestrutura",AVERAGE('Pré Implantação'!D371,'Pré Implantação'!L371),""),"")</f>
        <v/>
      </c>
    </row>
    <row r="372" spans="1:15" x14ac:dyDescent="0.3">
      <c r="A372" s="33">
        <f>'Pré Implantação'!A372</f>
        <v>0</v>
      </c>
      <c r="B372" s="36">
        <f>'Pré Implantação'!C372</f>
        <v>0</v>
      </c>
      <c r="C372" s="34" t="str">
        <f>IFERROR(IF('Pré Implantação'!B372="Produção TI",AVERAGE('Pré Implantação'!D372,'Pré Implantação'!L372,'Pré Implantação'!E372,'Pré Implantação'!H372),AVERAGE('Pré Implantação'!E372,'Pré Implantação'!H372)),"")</f>
        <v/>
      </c>
      <c r="D372" s="34" t="str">
        <f>IFERROR(IF('Pré Implantação'!B372="CSC Service Desk",AVERAGE('Pré Implantação'!D372,'Pré Implantação'!L372,'Pré Implantação'!F372),AVERAGE('Pré Implantação'!F372)),"")</f>
        <v/>
      </c>
      <c r="E372" s="34" t="str">
        <f>IFERROR(IF('Pré Implantação'!B372="CSC NOC",AVERAGE('Pré Implantação'!D372,'Pré Implantação'!L372,'Pré Implantação'!G372),AVERAGE('Pré Implantação'!G372)),"")</f>
        <v/>
      </c>
      <c r="F372" s="34" t="str">
        <f>IFERROR(IF('Pré Implantação'!B372="CSE Gravadores",AVERAGE('Pré Implantação'!D372,'Pré Implantação'!L372,'Pré Implantação'!I372),AVERAGE('Pré Implantação'!I372)),"")</f>
        <v/>
      </c>
      <c r="G372" s="34" t="str">
        <f>IFERROR(IF('Pré Implantação'!B372="CSC",AVERAGE('Pré Implantação'!D372,'Pré Implantação'!L372,'Pré Implantação'!J372),AVERAGE('Pré Implantação'!J372)),"")</f>
        <v/>
      </c>
      <c r="H372" s="34" t="str">
        <f>IFERROR(IF('Pré Implantação'!B372="Operações \ Negócio",AVERAGE('Pré Implantação'!D372,'Pré Implantação'!L372,'Pré Implantação'!K372),AVERAGE('Pré Implantação'!K372)),"")</f>
        <v/>
      </c>
      <c r="I372" s="34" t="str">
        <f>IFERROR(IF('Pré Implantação'!B372="Projetos",AVERAGE('Pré Implantação'!D372,'Pré Implantação'!L372,'Pré Implantação'!M372),AVERAGE('Pré Implantação'!M372)),"")</f>
        <v/>
      </c>
      <c r="J372" s="34" t="str">
        <f>IFERROR(IF('Pré Implantação'!B372="Engenharia",AVERAGE('Pré Implantação'!D372,'Pré Implantação'!L372,'Pré Implantação'!N372),AVERAGE('Pré Implantação'!N372)),"")</f>
        <v/>
      </c>
      <c r="K372" s="34" t="str">
        <f>IFERROR(IF('Pré Implantação'!B372="URA",AVERAGE('Pré Implantação'!D372,'Pré Implantação'!L372),""),"")</f>
        <v/>
      </c>
      <c r="L372" s="34" t="str">
        <f>IFERROR(IF('Pré Implantação'!B372="CSE Microsoft",AVERAGE('Pré Implantação'!D372,'Pré Implantação'!L372),""),"")</f>
        <v/>
      </c>
      <c r="M372" s="34" t="str">
        <f>IFERROR(IF('Pré Implantação'!B372="CSE Telecom",AVERAGE('Pré Implantação'!D372,'Pré Implantação'!L372),""),"")</f>
        <v/>
      </c>
      <c r="N372" s="34" t="str">
        <f>IFERROR(IF('Pré Implantação'!B372="Site Suporte de Campo",AVERAGE('Pré Implantação'!D372,'Pré Implantação'!L372),""),"")</f>
        <v/>
      </c>
      <c r="O372" s="49" t="str">
        <f>IFERROR(IF('Pré Implantação'!B372="Infraestrutura",AVERAGE('Pré Implantação'!D372,'Pré Implantação'!L372),""),"")</f>
        <v/>
      </c>
    </row>
    <row r="373" spans="1:15" x14ac:dyDescent="0.3">
      <c r="A373" s="33">
        <f>'Pré Implantação'!A373</f>
        <v>0</v>
      </c>
      <c r="B373" s="36">
        <f>'Pré Implantação'!C373</f>
        <v>0</v>
      </c>
      <c r="C373" s="34" t="str">
        <f>IFERROR(IF('Pré Implantação'!B373="Produção TI",AVERAGE('Pré Implantação'!D373,'Pré Implantação'!L373,'Pré Implantação'!E373,'Pré Implantação'!H373),AVERAGE('Pré Implantação'!E373,'Pré Implantação'!H373)),"")</f>
        <v/>
      </c>
      <c r="D373" s="34" t="str">
        <f>IFERROR(IF('Pré Implantação'!B373="CSC Service Desk",AVERAGE('Pré Implantação'!D373,'Pré Implantação'!L373,'Pré Implantação'!F373),AVERAGE('Pré Implantação'!F373)),"")</f>
        <v/>
      </c>
      <c r="E373" s="34" t="str">
        <f>IFERROR(IF('Pré Implantação'!B373="CSC NOC",AVERAGE('Pré Implantação'!D373,'Pré Implantação'!L373,'Pré Implantação'!G373),AVERAGE('Pré Implantação'!G373)),"")</f>
        <v/>
      </c>
      <c r="F373" s="34" t="str">
        <f>IFERROR(IF('Pré Implantação'!B373="CSE Gravadores",AVERAGE('Pré Implantação'!D373,'Pré Implantação'!L373,'Pré Implantação'!I373),AVERAGE('Pré Implantação'!I373)),"")</f>
        <v/>
      </c>
      <c r="G373" s="34" t="str">
        <f>IFERROR(IF('Pré Implantação'!B373="CSC",AVERAGE('Pré Implantação'!D373,'Pré Implantação'!L373,'Pré Implantação'!J373),AVERAGE('Pré Implantação'!J373)),"")</f>
        <v/>
      </c>
      <c r="H373" s="34" t="str">
        <f>IFERROR(IF('Pré Implantação'!B373="Operações \ Negócio",AVERAGE('Pré Implantação'!D373,'Pré Implantação'!L373,'Pré Implantação'!K373),AVERAGE('Pré Implantação'!K373)),"")</f>
        <v/>
      </c>
      <c r="I373" s="34" t="str">
        <f>IFERROR(IF('Pré Implantação'!B373="Projetos",AVERAGE('Pré Implantação'!D373,'Pré Implantação'!L373,'Pré Implantação'!M373),AVERAGE('Pré Implantação'!M373)),"")</f>
        <v/>
      </c>
      <c r="J373" s="34" t="str">
        <f>IFERROR(IF('Pré Implantação'!B373="Engenharia",AVERAGE('Pré Implantação'!D373,'Pré Implantação'!L373,'Pré Implantação'!N373),AVERAGE('Pré Implantação'!N373)),"")</f>
        <v/>
      </c>
      <c r="K373" s="34" t="str">
        <f>IFERROR(IF('Pré Implantação'!B373="URA",AVERAGE('Pré Implantação'!D373,'Pré Implantação'!L373),""),"")</f>
        <v/>
      </c>
      <c r="L373" s="34" t="str">
        <f>IFERROR(IF('Pré Implantação'!B373="CSE Microsoft",AVERAGE('Pré Implantação'!D373,'Pré Implantação'!L373),""),"")</f>
        <v/>
      </c>
      <c r="M373" s="34" t="str">
        <f>IFERROR(IF('Pré Implantação'!B373="CSE Telecom",AVERAGE('Pré Implantação'!D373,'Pré Implantação'!L373),""),"")</f>
        <v/>
      </c>
      <c r="N373" s="34" t="str">
        <f>IFERROR(IF('Pré Implantação'!B373="Site Suporte de Campo",AVERAGE('Pré Implantação'!D373,'Pré Implantação'!L373),""),"")</f>
        <v/>
      </c>
      <c r="O373" s="49" t="str">
        <f>IFERROR(IF('Pré Implantação'!B373="Infraestrutura",AVERAGE('Pré Implantação'!D373,'Pré Implantação'!L373),""),"")</f>
        <v/>
      </c>
    </row>
    <row r="374" spans="1:15" x14ac:dyDescent="0.3">
      <c r="A374" s="33">
        <f>'Pré Implantação'!A374</f>
        <v>0</v>
      </c>
      <c r="B374" s="36">
        <f>'Pré Implantação'!C374</f>
        <v>0</v>
      </c>
      <c r="C374" s="34" t="str">
        <f>IFERROR(IF('Pré Implantação'!B374="Produção TI",AVERAGE('Pré Implantação'!D374,'Pré Implantação'!L374,'Pré Implantação'!E374,'Pré Implantação'!H374),AVERAGE('Pré Implantação'!E374,'Pré Implantação'!H374)),"")</f>
        <v/>
      </c>
      <c r="D374" s="34" t="str">
        <f>IFERROR(IF('Pré Implantação'!B374="CSC Service Desk",AVERAGE('Pré Implantação'!D374,'Pré Implantação'!L374,'Pré Implantação'!F374),AVERAGE('Pré Implantação'!F374)),"")</f>
        <v/>
      </c>
      <c r="E374" s="34" t="str">
        <f>IFERROR(IF('Pré Implantação'!B374="CSC NOC",AVERAGE('Pré Implantação'!D374,'Pré Implantação'!L374,'Pré Implantação'!G374),AVERAGE('Pré Implantação'!G374)),"")</f>
        <v/>
      </c>
      <c r="F374" s="34" t="str">
        <f>IFERROR(IF('Pré Implantação'!B374="CSE Gravadores",AVERAGE('Pré Implantação'!D374,'Pré Implantação'!L374,'Pré Implantação'!I374),AVERAGE('Pré Implantação'!I374)),"")</f>
        <v/>
      </c>
      <c r="G374" s="34" t="str">
        <f>IFERROR(IF('Pré Implantação'!B374="CSC",AVERAGE('Pré Implantação'!D374,'Pré Implantação'!L374,'Pré Implantação'!J374),AVERAGE('Pré Implantação'!J374)),"")</f>
        <v/>
      </c>
      <c r="H374" s="34" t="str">
        <f>IFERROR(IF('Pré Implantação'!B374="Operações \ Negócio",AVERAGE('Pré Implantação'!D374,'Pré Implantação'!L374,'Pré Implantação'!K374),AVERAGE('Pré Implantação'!K374)),"")</f>
        <v/>
      </c>
      <c r="I374" s="34" t="str">
        <f>IFERROR(IF('Pré Implantação'!B374="Projetos",AVERAGE('Pré Implantação'!D374,'Pré Implantação'!L374,'Pré Implantação'!M374),AVERAGE('Pré Implantação'!M374)),"")</f>
        <v/>
      </c>
      <c r="J374" s="34" t="str">
        <f>IFERROR(IF('Pré Implantação'!B374="Engenharia",AVERAGE('Pré Implantação'!D374,'Pré Implantação'!L374,'Pré Implantação'!N374),AVERAGE('Pré Implantação'!N374)),"")</f>
        <v/>
      </c>
      <c r="K374" s="34" t="str">
        <f>IFERROR(IF('Pré Implantação'!B374="URA",AVERAGE('Pré Implantação'!D374,'Pré Implantação'!L374),""),"")</f>
        <v/>
      </c>
      <c r="L374" s="34" t="str">
        <f>IFERROR(IF('Pré Implantação'!B374="CSE Microsoft",AVERAGE('Pré Implantação'!D374,'Pré Implantação'!L374),""),"")</f>
        <v/>
      </c>
      <c r="M374" s="34" t="str">
        <f>IFERROR(IF('Pré Implantação'!B374="CSE Telecom",AVERAGE('Pré Implantação'!D374,'Pré Implantação'!L374),""),"")</f>
        <v/>
      </c>
      <c r="N374" s="34" t="str">
        <f>IFERROR(IF('Pré Implantação'!B374="Site Suporte de Campo",AVERAGE('Pré Implantação'!D374,'Pré Implantação'!L374),""),"")</f>
        <v/>
      </c>
      <c r="O374" s="49" t="str">
        <f>IFERROR(IF('Pré Implantação'!B374="Infraestrutura",AVERAGE('Pré Implantação'!D374,'Pré Implantação'!L374),""),"")</f>
        <v/>
      </c>
    </row>
    <row r="375" spans="1:15" x14ac:dyDescent="0.3">
      <c r="A375" s="33">
        <f>'Pré Implantação'!A375</f>
        <v>0</v>
      </c>
      <c r="B375" s="36">
        <f>'Pré Implantação'!C375</f>
        <v>0</v>
      </c>
      <c r="C375" s="34" t="str">
        <f>IFERROR(IF('Pré Implantação'!B375="Produção TI",AVERAGE('Pré Implantação'!D375,'Pré Implantação'!L375,'Pré Implantação'!E375,'Pré Implantação'!H375),AVERAGE('Pré Implantação'!E375,'Pré Implantação'!H375)),"")</f>
        <v/>
      </c>
      <c r="D375" s="34" t="str">
        <f>IFERROR(IF('Pré Implantação'!B375="CSC Service Desk",AVERAGE('Pré Implantação'!D375,'Pré Implantação'!L375,'Pré Implantação'!F375),AVERAGE('Pré Implantação'!F375)),"")</f>
        <v/>
      </c>
      <c r="E375" s="34" t="str">
        <f>IFERROR(IF('Pré Implantação'!B375="CSC NOC",AVERAGE('Pré Implantação'!D375,'Pré Implantação'!L375,'Pré Implantação'!G375),AVERAGE('Pré Implantação'!G375)),"")</f>
        <v/>
      </c>
      <c r="F375" s="34" t="str">
        <f>IFERROR(IF('Pré Implantação'!B375="CSE Gravadores",AVERAGE('Pré Implantação'!D375,'Pré Implantação'!L375,'Pré Implantação'!I375),AVERAGE('Pré Implantação'!I375)),"")</f>
        <v/>
      </c>
      <c r="G375" s="34" t="str">
        <f>IFERROR(IF('Pré Implantação'!B375="CSC",AVERAGE('Pré Implantação'!D375,'Pré Implantação'!L375,'Pré Implantação'!J375),AVERAGE('Pré Implantação'!J375)),"")</f>
        <v/>
      </c>
      <c r="H375" s="34" t="str">
        <f>IFERROR(IF('Pré Implantação'!B375="Operações \ Negócio",AVERAGE('Pré Implantação'!D375,'Pré Implantação'!L375,'Pré Implantação'!K375),AVERAGE('Pré Implantação'!K375)),"")</f>
        <v/>
      </c>
      <c r="I375" s="34" t="str">
        <f>IFERROR(IF('Pré Implantação'!B375="Projetos",AVERAGE('Pré Implantação'!D375,'Pré Implantação'!L375,'Pré Implantação'!M375),AVERAGE('Pré Implantação'!M375)),"")</f>
        <v/>
      </c>
      <c r="J375" s="34" t="str">
        <f>IFERROR(IF('Pré Implantação'!B375="Engenharia",AVERAGE('Pré Implantação'!D375,'Pré Implantação'!L375,'Pré Implantação'!N375),AVERAGE('Pré Implantação'!N375)),"")</f>
        <v/>
      </c>
      <c r="K375" s="34" t="str">
        <f>IFERROR(IF('Pré Implantação'!B375="URA",AVERAGE('Pré Implantação'!D375,'Pré Implantação'!L375),""),"")</f>
        <v/>
      </c>
      <c r="L375" s="34" t="str">
        <f>IFERROR(IF('Pré Implantação'!B375="CSE Microsoft",AVERAGE('Pré Implantação'!D375,'Pré Implantação'!L375),""),"")</f>
        <v/>
      </c>
      <c r="M375" s="34" t="str">
        <f>IFERROR(IF('Pré Implantação'!B375="CSE Telecom",AVERAGE('Pré Implantação'!D375,'Pré Implantação'!L375),""),"")</f>
        <v/>
      </c>
      <c r="N375" s="34" t="str">
        <f>IFERROR(IF('Pré Implantação'!B375="Site Suporte de Campo",AVERAGE('Pré Implantação'!D375,'Pré Implantação'!L375),""),"")</f>
        <v/>
      </c>
      <c r="O375" s="49" t="str">
        <f>IFERROR(IF('Pré Implantação'!B375="Infraestrutura",AVERAGE('Pré Implantação'!D375,'Pré Implantação'!L375),""),"")</f>
        <v/>
      </c>
    </row>
    <row r="376" spans="1:15" x14ac:dyDescent="0.3">
      <c r="A376" s="33">
        <f>'Pré Implantação'!A376</f>
        <v>0</v>
      </c>
      <c r="B376" s="36">
        <f>'Pré Implantação'!C376</f>
        <v>0</v>
      </c>
      <c r="C376" s="34" t="str">
        <f>IFERROR(IF('Pré Implantação'!B376="Produção TI",AVERAGE('Pré Implantação'!D376,'Pré Implantação'!L376,'Pré Implantação'!E376,'Pré Implantação'!H376),AVERAGE('Pré Implantação'!E376,'Pré Implantação'!H376)),"")</f>
        <v/>
      </c>
      <c r="D376" s="34" t="str">
        <f>IFERROR(IF('Pré Implantação'!B376="CSC Service Desk",AVERAGE('Pré Implantação'!D376,'Pré Implantação'!L376,'Pré Implantação'!F376),AVERAGE('Pré Implantação'!F376)),"")</f>
        <v/>
      </c>
      <c r="E376" s="34" t="str">
        <f>IFERROR(IF('Pré Implantação'!B376="CSC NOC",AVERAGE('Pré Implantação'!D376,'Pré Implantação'!L376,'Pré Implantação'!G376),AVERAGE('Pré Implantação'!G376)),"")</f>
        <v/>
      </c>
      <c r="F376" s="34" t="str">
        <f>IFERROR(IF('Pré Implantação'!B376="CSE Gravadores",AVERAGE('Pré Implantação'!D376,'Pré Implantação'!L376,'Pré Implantação'!I376),AVERAGE('Pré Implantação'!I376)),"")</f>
        <v/>
      </c>
      <c r="G376" s="34" t="str">
        <f>IFERROR(IF('Pré Implantação'!B376="CSC",AVERAGE('Pré Implantação'!D376,'Pré Implantação'!L376,'Pré Implantação'!J376),AVERAGE('Pré Implantação'!J376)),"")</f>
        <v/>
      </c>
      <c r="H376" s="34" t="str">
        <f>IFERROR(IF('Pré Implantação'!B376="Operações \ Negócio",AVERAGE('Pré Implantação'!D376,'Pré Implantação'!L376,'Pré Implantação'!K376),AVERAGE('Pré Implantação'!K376)),"")</f>
        <v/>
      </c>
      <c r="I376" s="34" t="str">
        <f>IFERROR(IF('Pré Implantação'!B376="Projetos",AVERAGE('Pré Implantação'!D376,'Pré Implantação'!L376,'Pré Implantação'!M376),AVERAGE('Pré Implantação'!M376)),"")</f>
        <v/>
      </c>
      <c r="J376" s="34" t="str">
        <f>IFERROR(IF('Pré Implantação'!B376="Engenharia",AVERAGE('Pré Implantação'!D376,'Pré Implantação'!L376,'Pré Implantação'!N376),AVERAGE('Pré Implantação'!N376)),"")</f>
        <v/>
      </c>
      <c r="K376" s="34" t="str">
        <f>IFERROR(IF('Pré Implantação'!B376="URA",AVERAGE('Pré Implantação'!D376,'Pré Implantação'!L376),""),"")</f>
        <v/>
      </c>
      <c r="L376" s="34" t="str">
        <f>IFERROR(IF('Pré Implantação'!B376="CSE Microsoft",AVERAGE('Pré Implantação'!D376,'Pré Implantação'!L376),""),"")</f>
        <v/>
      </c>
      <c r="M376" s="34" t="str">
        <f>IFERROR(IF('Pré Implantação'!B376="CSE Telecom",AVERAGE('Pré Implantação'!D376,'Pré Implantação'!L376),""),"")</f>
        <v/>
      </c>
      <c r="N376" s="34" t="str">
        <f>IFERROR(IF('Pré Implantação'!B376="Site Suporte de Campo",AVERAGE('Pré Implantação'!D376,'Pré Implantação'!L376),""),"")</f>
        <v/>
      </c>
      <c r="O376" s="49" t="str">
        <f>IFERROR(IF('Pré Implantação'!B376="Infraestrutura",AVERAGE('Pré Implantação'!D376,'Pré Implantação'!L376),""),"")</f>
        <v/>
      </c>
    </row>
    <row r="377" spans="1:15" x14ac:dyDescent="0.3">
      <c r="A377" s="33">
        <f>'Pré Implantação'!A377</f>
        <v>0</v>
      </c>
      <c r="B377" s="36">
        <f>'Pré Implantação'!C377</f>
        <v>0</v>
      </c>
      <c r="C377" s="34" t="str">
        <f>IFERROR(IF('Pré Implantação'!B377="Produção TI",AVERAGE('Pré Implantação'!D377,'Pré Implantação'!L377,'Pré Implantação'!E377,'Pré Implantação'!H377),AVERAGE('Pré Implantação'!E377,'Pré Implantação'!H377)),"")</f>
        <v/>
      </c>
      <c r="D377" s="34" t="str">
        <f>IFERROR(IF('Pré Implantação'!B377="CSC Service Desk",AVERAGE('Pré Implantação'!D377,'Pré Implantação'!L377,'Pré Implantação'!F377),AVERAGE('Pré Implantação'!F377)),"")</f>
        <v/>
      </c>
      <c r="E377" s="34" t="str">
        <f>IFERROR(IF('Pré Implantação'!B377="CSC NOC",AVERAGE('Pré Implantação'!D377,'Pré Implantação'!L377,'Pré Implantação'!G377),AVERAGE('Pré Implantação'!G377)),"")</f>
        <v/>
      </c>
      <c r="F377" s="34" t="str">
        <f>IFERROR(IF('Pré Implantação'!B377="CSE Gravadores",AVERAGE('Pré Implantação'!D377,'Pré Implantação'!L377,'Pré Implantação'!I377),AVERAGE('Pré Implantação'!I377)),"")</f>
        <v/>
      </c>
      <c r="G377" s="34" t="str">
        <f>IFERROR(IF('Pré Implantação'!B377="CSC",AVERAGE('Pré Implantação'!D377,'Pré Implantação'!L377,'Pré Implantação'!J377),AVERAGE('Pré Implantação'!J377)),"")</f>
        <v/>
      </c>
      <c r="H377" s="34" t="str">
        <f>IFERROR(IF('Pré Implantação'!B377="Operações \ Negócio",AVERAGE('Pré Implantação'!D377,'Pré Implantação'!L377,'Pré Implantação'!K377),AVERAGE('Pré Implantação'!K377)),"")</f>
        <v/>
      </c>
      <c r="I377" s="34" t="str">
        <f>IFERROR(IF('Pré Implantação'!B377="Projetos",AVERAGE('Pré Implantação'!D377,'Pré Implantação'!L377,'Pré Implantação'!M377),AVERAGE('Pré Implantação'!M377)),"")</f>
        <v/>
      </c>
      <c r="J377" s="34" t="str">
        <f>IFERROR(IF('Pré Implantação'!B377="Engenharia",AVERAGE('Pré Implantação'!D377,'Pré Implantação'!L377,'Pré Implantação'!N377),AVERAGE('Pré Implantação'!N377)),"")</f>
        <v/>
      </c>
      <c r="K377" s="34" t="str">
        <f>IFERROR(IF('Pré Implantação'!B377="URA",AVERAGE('Pré Implantação'!D377,'Pré Implantação'!L377),""),"")</f>
        <v/>
      </c>
      <c r="L377" s="34" t="str">
        <f>IFERROR(IF('Pré Implantação'!B377="CSE Microsoft",AVERAGE('Pré Implantação'!D377,'Pré Implantação'!L377),""),"")</f>
        <v/>
      </c>
      <c r="M377" s="34" t="str">
        <f>IFERROR(IF('Pré Implantação'!B377="CSE Telecom",AVERAGE('Pré Implantação'!D377,'Pré Implantação'!L377),""),"")</f>
        <v/>
      </c>
      <c r="N377" s="34" t="str">
        <f>IFERROR(IF('Pré Implantação'!B377="Site Suporte de Campo",AVERAGE('Pré Implantação'!D377,'Pré Implantação'!L377),""),"")</f>
        <v/>
      </c>
      <c r="O377" s="49" t="str">
        <f>IFERROR(IF('Pré Implantação'!B377="Infraestrutura",AVERAGE('Pré Implantação'!D377,'Pré Implantação'!L377),""),"")</f>
        <v/>
      </c>
    </row>
    <row r="378" spans="1:15" x14ac:dyDescent="0.3">
      <c r="A378" s="33">
        <f>'Pré Implantação'!A378</f>
        <v>0</v>
      </c>
      <c r="B378" s="36">
        <f>'Pré Implantação'!C378</f>
        <v>0</v>
      </c>
      <c r="C378" s="34" t="str">
        <f>IFERROR(IF('Pré Implantação'!B378="Produção TI",AVERAGE('Pré Implantação'!D378,'Pré Implantação'!L378,'Pré Implantação'!E378,'Pré Implantação'!H378),AVERAGE('Pré Implantação'!E378,'Pré Implantação'!H378)),"")</f>
        <v/>
      </c>
      <c r="D378" s="34" t="str">
        <f>IFERROR(IF('Pré Implantação'!B378="CSC Service Desk",AVERAGE('Pré Implantação'!D378,'Pré Implantação'!L378,'Pré Implantação'!F378),AVERAGE('Pré Implantação'!F378)),"")</f>
        <v/>
      </c>
      <c r="E378" s="34" t="str">
        <f>IFERROR(IF('Pré Implantação'!B378="CSC NOC",AVERAGE('Pré Implantação'!D378,'Pré Implantação'!L378,'Pré Implantação'!G378),AVERAGE('Pré Implantação'!G378)),"")</f>
        <v/>
      </c>
      <c r="F378" s="34" t="str">
        <f>IFERROR(IF('Pré Implantação'!B378="CSE Gravadores",AVERAGE('Pré Implantação'!D378,'Pré Implantação'!L378,'Pré Implantação'!I378),AVERAGE('Pré Implantação'!I378)),"")</f>
        <v/>
      </c>
      <c r="G378" s="34" t="str">
        <f>IFERROR(IF('Pré Implantação'!B378="CSC",AVERAGE('Pré Implantação'!D378,'Pré Implantação'!L378,'Pré Implantação'!J378),AVERAGE('Pré Implantação'!J378)),"")</f>
        <v/>
      </c>
      <c r="H378" s="34" t="str">
        <f>IFERROR(IF('Pré Implantação'!B378="Operações \ Negócio",AVERAGE('Pré Implantação'!D378,'Pré Implantação'!L378,'Pré Implantação'!K378),AVERAGE('Pré Implantação'!K378)),"")</f>
        <v/>
      </c>
      <c r="I378" s="34" t="str">
        <f>IFERROR(IF('Pré Implantação'!B378="Projetos",AVERAGE('Pré Implantação'!D378,'Pré Implantação'!L378,'Pré Implantação'!M378),AVERAGE('Pré Implantação'!M378)),"")</f>
        <v/>
      </c>
      <c r="J378" s="34" t="str">
        <f>IFERROR(IF('Pré Implantação'!B378="Engenharia",AVERAGE('Pré Implantação'!D378,'Pré Implantação'!L378,'Pré Implantação'!N378),AVERAGE('Pré Implantação'!N378)),"")</f>
        <v/>
      </c>
      <c r="K378" s="34" t="str">
        <f>IFERROR(IF('Pré Implantação'!B378="URA",AVERAGE('Pré Implantação'!D378,'Pré Implantação'!L378),""),"")</f>
        <v/>
      </c>
      <c r="L378" s="34" t="str">
        <f>IFERROR(IF('Pré Implantação'!B378="CSE Microsoft",AVERAGE('Pré Implantação'!D378,'Pré Implantação'!L378),""),"")</f>
        <v/>
      </c>
      <c r="M378" s="34" t="str">
        <f>IFERROR(IF('Pré Implantação'!B378="CSE Telecom",AVERAGE('Pré Implantação'!D378,'Pré Implantação'!L378),""),"")</f>
        <v/>
      </c>
      <c r="N378" s="34" t="str">
        <f>IFERROR(IF('Pré Implantação'!B378="Site Suporte de Campo",AVERAGE('Pré Implantação'!D378,'Pré Implantação'!L378),""),"")</f>
        <v/>
      </c>
      <c r="O378" s="49" t="str">
        <f>IFERROR(IF('Pré Implantação'!B378="Infraestrutura",AVERAGE('Pré Implantação'!D378,'Pré Implantação'!L378),""),"")</f>
        <v/>
      </c>
    </row>
    <row r="379" spans="1:15" x14ac:dyDescent="0.3">
      <c r="A379" s="33">
        <f>'Pré Implantação'!A379</f>
        <v>0</v>
      </c>
      <c r="B379" s="36">
        <f>'Pré Implantação'!C379</f>
        <v>0</v>
      </c>
      <c r="C379" s="34" t="str">
        <f>IFERROR(IF('Pré Implantação'!B379="Produção TI",AVERAGE('Pré Implantação'!D379,'Pré Implantação'!L379,'Pré Implantação'!E379,'Pré Implantação'!H379),AVERAGE('Pré Implantação'!E379,'Pré Implantação'!H379)),"")</f>
        <v/>
      </c>
      <c r="D379" s="34" t="str">
        <f>IFERROR(IF('Pré Implantação'!B379="CSC Service Desk",AVERAGE('Pré Implantação'!D379,'Pré Implantação'!L379,'Pré Implantação'!F379),AVERAGE('Pré Implantação'!F379)),"")</f>
        <v/>
      </c>
      <c r="E379" s="34" t="str">
        <f>IFERROR(IF('Pré Implantação'!B379="CSC NOC",AVERAGE('Pré Implantação'!D379,'Pré Implantação'!L379,'Pré Implantação'!G379),AVERAGE('Pré Implantação'!G379)),"")</f>
        <v/>
      </c>
      <c r="F379" s="34" t="str">
        <f>IFERROR(IF('Pré Implantação'!B379="CSE Gravadores",AVERAGE('Pré Implantação'!D379,'Pré Implantação'!L379,'Pré Implantação'!I379),AVERAGE('Pré Implantação'!I379)),"")</f>
        <v/>
      </c>
      <c r="G379" s="34" t="str">
        <f>IFERROR(IF('Pré Implantação'!B379="CSC",AVERAGE('Pré Implantação'!D379,'Pré Implantação'!L379,'Pré Implantação'!J379),AVERAGE('Pré Implantação'!J379)),"")</f>
        <v/>
      </c>
      <c r="H379" s="34" t="str">
        <f>IFERROR(IF('Pré Implantação'!B379="Operações \ Negócio",AVERAGE('Pré Implantação'!D379,'Pré Implantação'!L379,'Pré Implantação'!K379),AVERAGE('Pré Implantação'!K379)),"")</f>
        <v/>
      </c>
      <c r="I379" s="34" t="str">
        <f>IFERROR(IF('Pré Implantação'!B379="Projetos",AVERAGE('Pré Implantação'!D379,'Pré Implantação'!L379,'Pré Implantação'!M379),AVERAGE('Pré Implantação'!M379)),"")</f>
        <v/>
      </c>
      <c r="J379" s="34" t="str">
        <f>IFERROR(IF('Pré Implantação'!B379="Engenharia",AVERAGE('Pré Implantação'!D379,'Pré Implantação'!L379,'Pré Implantação'!N379),AVERAGE('Pré Implantação'!N379)),"")</f>
        <v/>
      </c>
      <c r="K379" s="34" t="str">
        <f>IFERROR(IF('Pré Implantação'!B379="URA",AVERAGE('Pré Implantação'!D379,'Pré Implantação'!L379),""),"")</f>
        <v/>
      </c>
      <c r="L379" s="34" t="str">
        <f>IFERROR(IF('Pré Implantação'!B379="CSE Microsoft",AVERAGE('Pré Implantação'!D379,'Pré Implantação'!L379),""),"")</f>
        <v/>
      </c>
      <c r="M379" s="34" t="str">
        <f>IFERROR(IF('Pré Implantação'!B379="CSE Telecom",AVERAGE('Pré Implantação'!D379,'Pré Implantação'!L379),""),"")</f>
        <v/>
      </c>
      <c r="N379" s="34" t="str">
        <f>IFERROR(IF('Pré Implantação'!B379="Site Suporte de Campo",AVERAGE('Pré Implantação'!D379,'Pré Implantação'!L379),""),"")</f>
        <v/>
      </c>
      <c r="O379" s="49" t="str">
        <f>IFERROR(IF('Pré Implantação'!B379="Infraestrutura",AVERAGE('Pré Implantação'!D379,'Pré Implantação'!L379),""),"")</f>
        <v/>
      </c>
    </row>
    <row r="380" spans="1:15" x14ac:dyDescent="0.3">
      <c r="A380" s="33">
        <f>'Pré Implantação'!A380</f>
        <v>0</v>
      </c>
      <c r="B380" s="36">
        <f>'Pré Implantação'!C380</f>
        <v>0</v>
      </c>
      <c r="C380" s="34" t="str">
        <f>IFERROR(IF('Pré Implantação'!B380="Produção TI",AVERAGE('Pré Implantação'!D380,'Pré Implantação'!L380,'Pré Implantação'!E380,'Pré Implantação'!H380),AVERAGE('Pré Implantação'!E380,'Pré Implantação'!H380)),"")</f>
        <v/>
      </c>
      <c r="D380" s="34" t="str">
        <f>IFERROR(IF('Pré Implantação'!B380="CSC Service Desk",AVERAGE('Pré Implantação'!D380,'Pré Implantação'!L380,'Pré Implantação'!F380),AVERAGE('Pré Implantação'!F380)),"")</f>
        <v/>
      </c>
      <c r="E380" s="34" t="str">
        <f>IFERROR(IF('Pré Implantação'!B380="CSC NOC",AVERAGE('Pré Implantação'!D380,'Pré Implantação'!L380,'Pré Implantação'!G380),AVERAGE('Pré Implantação'!G380)),"")</f>
        <v/>
      </c>
      <c r="F380" s="34" t="str">
        <f>IFERROR(IF('Pré Implantação'!B380="CSE Gravadores",AVERAGE('Pré Implantação'!D380,'Pré Implantação'!L380,'Pré Implantação'!I380),AVERAGE('Pré Implantação'!I380)),"")</f>
        <v/>
      </c>
      <c r="G380" s="34" t="str">
        <f>IFERROR(IF('Pré Implantação'!B380="CSC",AVERAGE('Pré Implantação'!D380,'Pré Implantação'!L380,'Pré Implantação'!J380),AVERAGE('Pré Implantação'!J380)),"")</f>
        <v/>
      </c>
      <c r="H380" s="34" t="str">
        <f>IFERROR(IF('Pré Implantação'!B380="Operações \ Negócio",AVERAGE('Pré Implantação'!D380,'Pré Implantação'!L380,'Pré Implantação'!K380),AVERAGE('Pré Implantação'!K380)),"")</f>
        <v/>
      </c>
      <c r="I380" s="34" t="str">
        <f>IFERROR(IF('Pré Implantação'!B380="Projetos",AVERAGE('Pré Implantação'!D380,'Pré Implantação'!L380,'Pré Implantação'!M380),AVERAGE('Pré Implantação'!M380)),"")</f>
        <v/>
      </c>
      <c r="J380" s="34" t="str">
        <f>IFERROR(IF('Pré Implantação'!B380="Engenharia",AVERAGE('Pré Implantação'!D380,'Pré Implantação'!L380,'Pré Implantação'!N380),AVERAGE('Pré Implantação'!N380)),"")</f>
        <v/>
      </c>
      <c r="K380" s="34" t="str">
        <f>IFERROR(IF('Pré Implantação'!B380="URA",AVERAGE('Pré Implantação'!D380,'Pré Implantação'!L380),""),"")</f>
        <v/>
      </c>
      <c r="L380" s="34" t="str">
        <f>IFERROR(IF('Pré Implantação'!B380="CSE Microsoft",AVERAGE('Pré Implantação'!D380,'Pré Implantação'!L380),""),"")</f>
        <v/>
      </c>
      <c r="M380" s="34" t="str">
        <f>IFERROR(IF('Pré Implantação'!B380="CSE Telecom",AVERAGE('Pré Implantação'!D380,'Pré Implantação'!L380),""),"")</f>
        <v/>
      </c>
      <c r="N380" s="34" t="str">
        <f>IFERROR(IF('Pré Implantação'!B380="Site Suporte de Campo",AVERAGE('Pré Implantação'!D380,'Pré Implantação'!L380),""),"")</f>
        <v/>
      </c>
      <c r="O380" s="49" t="str">
        <f>IFERROR(IF('Pré Implantação'!B380="Infraestrutura",AVERAGE('Pré Implantação'!D380,'Pré Implantação'!L380),""),"")</f>
        <v/>
      </c>
    </row>
    <row r="381" spans="1:15" x14ac:dyDescent="0.3">
      <c r="A381" s="33">
        <f>'Pré Implantação'!A381</f>
        <v>0</v>
      </c>
      <c r="B381" s="36">
        <f>'Pré Implantação'!C381</f>
        <v>0</v>
      </c>
      <c r="C381" s="34" t="str">
        <f>IFERROR(IF('Pré Implantação'!B381="Produção TI",AVERAGE('Pré Implantação'!D381,'Pré Implantação'!L381,'Pré Implantação'!E381,'Pré Implantação'!H381),AVERAGE('Pré Implantação'!E381,'Pré Implantação'!H381)),"")</f>
        <v/>
      </c>
      <c r="D381" s="34" t="str">
        <f>IFERROR(IF('Pré Implantação'!B381="CSC Service Desk",AVERAGE('Pré Implantação'!D381,'Pré Implantação'!L381,'Pré Implantação'!F381),AVERAGE('Pré Implantação'!F381)),"")</f>
        <v/>
      </c>
      <c r="E381" s="34" t="str">
        <f>IFERROR(IF('Pré Implantação'!B381="CSC NOC",AVERAGE('Pré Implantação'!D381,'Pré Implantação'!L381,'Pré Implantação'!G381),AVERAGE('Pré Implantação'!G381)),"")</f>
        <v/>
      </c>
      <c r="F381" s="34" t="str">
        <f>IFERROR(IF('Pré Implantação'!B381="CSE Gravadores",AVERAGE('Pré Implantação'!D381,'Pré Implantação'!L381,'Pré Implantação'!I381),AVERAGE('Pré Implantação'!I381)),"")</f>
        <v/>
      </c>
      <c r="G381" s="34" t="str">
        <f>IFERROR(IF('Pré Implantação'!B381="CSC",AVERAGE('Pré Implantação'!D381,'Pré Implantação'!L381,'Pré Implantação'!J381),AVERAGE('Pré Implantação'!J381)),"")</f>
        <v/>
      </c>
      <c r="H381" s="34" t="str">
        <f>IFERROR(IF('Pré Implantação'!B381="Operações \ Negócio",AVERAGE('Pré Implantação'!D381,'Pré Implantação'!L381,'Pré Implantação'!K381),AVERAGE('Pré Implantação'!K381)),"")</f>
        <v/>
      </c>
      <c r="I381" s="34" t="str">
        <f>IFERROR(IF('Pré Implantação'!B381="Projetos",AVERAGE('Pré Implantação'!D381,'Pré Implantação'!L381,'Pré Implantação'!M381),AVERAGE('Pré Implantação'!M381)),"")</f>
        <v/>
      </c>
      <c r="J381" s="34" t="str">
        <f>IFERROR(IF('Pré Implantação'!B381="Engenharia",AVERAGE('Pré Implantação'!D381,'Pré Implantação'!L381,'Pré Implantação'!N381),AVERAGE('Pré Implantação'!N381)),"")</f>
        <v/>
      </c>
      <c r="K381" s="34" t="str">
        <f>IFERROR(IF('Pré Implantação'!B381="URA",AVERAGE('Pré Implantação'!D381,'Pré Implantação'!L381),""),"")</f>
        <v/>
      </c>
      <c r="L381" s="34" t="str">
        <f>IFERROR(IF('Pré Implantação'!B381="CSE Microsoft",AVERAGE('Pré Implantação'!D381,'Pré Implantação'!L381),""),"")</f>
        <v/>
      </c>
      <c r="M381" s="34" t="str">
        <f>IFERROR(IF('Pré Implantação'!B381="CSE Telecom",AVERAGE('Pré Implantação'!D381,'Pré Implantação'!L381),""),"")</f>
        <v/>
      </c>
      <c r="N381" s="34" t="str">
        <f>IFERROR(IF('Pré Implantação'!B381="Site Suporte de Campo",AVERAGE('Pré Implantação'!D381,'Pré Implantação'!L381),""),"")</f>
        <v/>
      </c>
      <c r="O381" s="49" t="str">
        <f>IFERROR(IF('Pré Implantação'!B381="Infraestrutura",AVERAGE('Pré Implantação'!D381,'Pré Implantação'!L381),""),"")</f>
        <v/>
      </c>
    </row>
    <row r="382" spans="1:15" x14ac:dyDescent="0.3">
      <c r="A382" s="33">
        <f>'Pré Implantação'!A382</f>
        <v>0</v>
      </c>
      <c r="B382" s="36">
        <f>'Pré Implantação'!C382</f>
        <v>0</v>
      </c>
      <c r="C382" s="34" t="str">
        <f>IFERROR(IF('Pré Implantação'!B382="Produção TI",AVERAGE('Pré Implantação'!D382,'Pré Implantação'!L382,'Pré Implantação'!E382,'Pré Implantação'!H382),AVERAGE('Pré Implantação'!E382,'Pré Implantação'!H382)),"")</f>
        <v/>
      </c>
      <c r="D382" s="34" t="str">
        <f>IFERROR(IF('Pré Implantação'!B382="CSC Service Desk",AVERAGE('Pré Implantação'!D382,'Pré Implantação'!L382,'Pré Implantação'!F382),AVERAGE('Pré Implantação'!F382)),"")</f>
        <v/>
      </c>
      <c r="E382" s="34" t="str">
        <f>IFERROR(IF('Pré Implantação'!B382="CSC NOC",AVERAGE('Pré Implantação'!D382,'Pré Implantação'!L382,'Pré Implantação'!G382),AVERAGE('Pré Implantação'!G382)),"")</f>
        <v/>
      </c>
      <c r="F382" s="34" t="str">
        <f>IFERROR(IF('Pré Implantação'!B382="CSE Gravadores",AVERAGE('Pré Implantação'!D382,'Pré Implantação'!L382,'Pré Implantação'!I382),AVERAGE('Pré Implantação'!I382)),"")</f>
        <v/>
      </c>
      <c r="G382" s="34" t="str">
        <f>IFERROR(IF('Pré Implantação'!B382="CSC",AVERAGE('Pré Implantação'!D382,'Pré Implantação'!L382,'Pré Implantação'!J382),AVERAGE('Pré Implantação'!J382)),"")</f>
        <v/>
      </c>
      <c r="H382" s="34" t="str">
        <f>IFERROR(IF('Pré Implantação'!B382="Operações \ Negócio",AVERAGE('Pré Implantação'!D382,'Pré Implantação'!L382,'Pré Implantação'!K382),AVERAGE('Pré Implantação'!K382)),"")</f>
        <v/>
      </c>
      <c r="I382" s="34" t="str">
        <f>IFERROR(IF('Pré Implantação'!B382="Projetos",AVERAGE('Pré Implantação'!D382,'Pré Implantação'!L382,'Pré Implantação'!M382),AVERAGE('Pré Implantação'!M382)),"")</f>
        <v/>
      </c>
      <c r="J382" s="34" t="str">
        <f>IFERROR(IF('Pré Implantação'!B382="Engenharia",AVERAGE('Pré Implantação'!D382,'Pré Implantação'!L382,'Pré Implantação'!N382),AVERAGE('Pré Implantação'!N382)),"")</f>
        <v/>
      </c>
      <c r="K382" s="34" t="str">
        <f>IFERROR(IF('Pré Implantação'!B382="URA",AVERAGE('Pré Implantação'!D382,'Pré Implantação'!L382),""),"")</f>
        <v/>
      </c>
      <c r="L382" s="34" t="str">
        <f>IFERROR(IF('Pré Implantação'!B382="CSE Microsoft",AVERAGE('Pré Implantação'!D382,'Pré Implantação'!L382),""),"")</f>
        <v/>
      </c>
      <c r="M382" s="34" t="str">
        <f>IFERROR(IF('Pré Implantação'!B382="CSE Telecom",AVERAGE('Pré Implantação'!D382,'Pré Implantação'!L382),""),"")</f>
        <v/>
      </c>
      <c r="N382" s="34" t="str">
        <f>IFERROR(IF('Pré Implantação'!B382="Site Suporte de Campo",AVERAGE('Pré Implantação'!D382,'Pré Implantação'!L382),""),"")</f>
        <v/>
      </c>
      <c r="O382" s="49" t="str">
        <f>IFERROR(IF('Pré Implantação'!B382="Infraestrutura",AVERAGE('Pré Implantação'!D382,'Pré Implantação'!L382),""),"")</f>
        <v/>
      </c>
    </row>
    <row r="383" spans="1:15" x14ac:dyDescent="0.3">
      <c r="A383" s="33">
        <f>'Pré Implantação'!A383</f>
        <v>0</v>
      </c>
      <c r="B383" s="36">
        <f>'Pré Implantação'!C383</f>
        <v>0</v>
      </c>
      <c r="C383" s="34" t="str">
        <f>IFERROR(IF('Pré Implantação'!B383="Produção TI",AVERAGE('Pré Implantação'!D383,'Pré Implantação'!L383,'Pré Implantação'!E383,'Pré Implantação'!H383),AVERAGE('Pré Implantação'!E383,'Pré Implantação'!H383)),"")</f>
        <v/>
      </c>
      <c r="D383" s="34" t="str">
        <f>IFERROR(IF('Pré Implantação'!B383="CSC Service Desk",AVERAGE('Pré Implantação'!D383,'Pré Implantação'!L383,'Pré Implantação'!F383),AVERAGE('Pré Implantação'!F383)),"")</f>
        <v/>
      </c>
      <c r="E383" s="34" t="str">
        <f>IFERROR(IF('Pré Implantação'!B383="CSC NOC",AVERAGE('Pré Implantação'!D383,'Pré Implantação'!L383,'Pré Implantação'!G383),AVERAGE('Pré Implantação'!G383)),"")</f>
        <v/>
      </c>
      <c r="F383" s="34" t="str">
        <f>IFERROR(IF('Pré Implantação'!B383="CSE Gravadores",AVERAGE('Pré Implantação'!D383,'Pré Implantação'!L383,'Pré Implantação'!I383),AVERAGE('Pré Implantação'!I383)),"")</f>
        <v/>
      </c>
      <c r="G383" s="34" t="str">
        <f>IFERROR(IF('Pré Implantação'!B383="CSC",AVERAGE('Pré Implantação'!D383,'Pré Implantação'!L383,'Pré Implantação'!J383),AVERAGE('Pré Implantação'!J383)),"")</f>
        <v/>
      </c>
      <c r="H383" s="34" t="str">
        <f>IFERROR(IF('Pré Implantação'!B383="Operações \ Negócio",AVERAGE('Pré Implantação'!D383,'Pré Implantação'!L383,'Pré Implantação'!K383),AVERAGE('Pré Implantação'!K383)),"")</f>
        <v/>
      </c>
      <c r="I383" s="34" t="str">
        <f>IFERROR(IF('Pré Implantação'!B383="Projetos",AVERAGE('Pré Implantação'!D383,'Pré Implantação'!L383,'Pré Implantação'!M383),AVERAGE('Pré Implantação'!M383)),"")</f>
        <v/>
      </c>
      <c r="J383" s="34" t="str">
        <f>IFERROR(IF('Pré Implantação'!B383="Engenharia",AVERAGE('Pré Implantação'!D383,'Pré Implantação'!L383,'Pré Implantação'!N383),AVERAGE('Pré Implantação'!N383)),"")</f>
        <v/>
      </c>
      <c r="K383" s="34" t="str">
        <f>IFERROR(IF('Pré Implantação'!B383="URA",AVERAGE('Pré Implantação'!D383,'Pré Implantação'!L383),""),"")</f>
        <v/>
      </c>
      <c r="L383" s="34" t="str">
        <f>IFERROR(IF('Pré Implantação'!B383="CSE Microsoft",AVERAGE('Pré Implantação'!D383,'Pré Implantação'!L383),""),"")</f>
        <v/>
      </c>
      <c r="M383" s="34" t="str">
        <f>IFERROR(IF('Pré Implantação'!B383="CSE Telecom",AVERAGE('Pré Implantação'!D383,'Pré Implantação'!L383),""),"")</f>
        <v/>
      </c>
      <c r="N383" s="34" t="str">
        <f>IFERROR(IF('Pré Implantação'!B383="Site Suporte de Campo",AVERAGE('Pré Implantação'!D383,'Pré Implantação'!L383),""),"")</f>
        <v/>
      </c>
      <c r="O383" s="49" t="str">
        <f>IFERROR(IF('Pré Implantação'!B383="Infraestrutura",AVERAGE('Pré Implantação'!D383,'Pré Implantação'!L383),""),"")</f>
        <v/>
      </c>
    </row>
    <row r="384" spans="1:15" x14ac:dyDescent="0.3">
      <c r="A384" s="33">
        <f>'Pré Implantação'!A384</f>
        <v>0</v>
      </c>
      <c r="B384" s="36">
        <f>'Pré Implantação'!C384</f>
        <v>0</v>
      </c>
      <c r="C384" s="34" t="str">
        <f>IFERROR(IF('Pré Implantação'!B384="Produção TI",AVERAGE('Pré Implantação'!D384,'Pré Implantação'!L384,'Pré Implantação'!E384,'Pré Implantação'!H384),AVERAGE('Pré Implantação'!E384,'Pré Implantação'!H384)),"")</f>
        <v/>
      </c>
      <c r="D384" s="34" t="str">
        <f>IFERROR(IF('Pré Implantação'!B384="CSC Service Desk",AVERAGE('Pré Implantação'!D384,'Pré Implantação'!L384,'Pré Implantação'!F384),AVERAGE('Pré Implantação'!F384)),"")</f>
        <v/>
      </c>
      <c r="E384" s="34" t="str">
        <f>IFERROR(IF('Pré Implantação'!B384="CSC NOC",AVERAGE('Pré Implantação'!D384,'Pré Implantação'!L384,'Pré Implantação'!G384),AVERAGE('Pré Implantação'!G384)),"")</f>
        <v/>
      </c>
      <c r="F384" s="34" t="str">
        <f>IFERROR(IF('Pré Implantação'!B384="CSE Gravadores",AVERAGE('Pré Implantação'!D384,'Pré Implantação'!L384,'Pré Implantação'!I384),AVERAGE('Pré Implantação'!I384)),"")</f>
        <v/>
      </c>
      <c r="G384" s="34" t="str">
        <f>IFERROR(IF('Pré Implantação'!B384="CSC",AVERAGE('Pré Implantação'!D384,'Pré Implantação'!L384,'Pré Implantação'!J384),AVERAGE('Pré Implantação'!J384)),"")</f>
        <v/>
      </c>
      <c r="H384" s="34" t="str">
        <f>IFERROR(IF('Pré Implantação'!B384="Operações \ Negócio",AVERAGE('Pré Implantação'!D384,'Pré Implantação'!L384,'Pré Implantação'!K384),AVERAGE('Pré Implantação'!K384)),"")</f>
        <v/>
      </c>
      <c r="I384" s="34" t="str">
        <f>IFERROR(IF('Pré Implantação'!B384="Projetos",AVERAGE('Pré Implantação'!D384,'Pré Implantação'!L384,'Pré Implantação'!M384),AVERAGE('Pré Implantação'!M384)),"")</f>
        <v/>
      </c>
      <c r="J384" s="34" t="str">
        <f>IFERROR(IF('Pré Implantação'!B384="Engenharia",AVERAGE('Pré Implantação'!D384,'Pré Implantação'!L384,'Pré Implantação'!N384),AVERAGE('Pré Implantação'!N384)),"")</f>
        <v/>
      </c>
      <c r="K384" s="34" t="str">
        <f>IFERROR(IF('Pré Implantação'!B384="URA",AVERAGE('Pré Implantação'!D384,'Pré Implantação'!L384),""),"")</f>
        <v/>
      </c>
      <c r="L384" s="34" t="str">
        <f>IFERROR(IF('Pré Implantação'!B384="CSE Microsoft",AVERAGE('Pré Implantação'!D384,'Pré Implantação'!L384),""),"")</f>
        <v/>
      </c>
      <c r="M384" s="34" t="str">
        <f>IFERROR(IF('Pré Implantação'!B384="CSE Telecom",AVERAGE('Pré Implantação'!D384,'Pré Implantação'!L384),""),"")</f>
        <v/>
      </c>
      <c r="N384" s="34" t="str">
        <f>IFERROR(IF('Pré Implantação'!B384="Site Suporte de Campo",AVERAGE('Pré Implantação'!D384,'Pré Implantação'!L384),""),"")</f>
        <v/>
      </c>
      <c r="O384" s="49" t="str">
        <f>IFERROR(IF('Pré Implantação'!B384="Infraestrutura",AVERAGE('Pré Implantação'!D384,'Pré Implantação'!L384),""),"")</f>
        <v/>
      </c>
    </row>
    <row r="385" spans="1:15" x14ac:dyDescent="0.3">
      <c r="A385" s="33">
        <f>'Pré Implantação'!A385</f>
        <v>0</v>
      </c>
      <c r="B385" s="36">
        <f>'Pré Implantação'!C385</f>
        <v>0</v>
      </c>
      <c r="C385" s="34" t="str">
        <f>IFERROR(IF('Pré Implantação'!B385="Produção TI",AVERAGE('Pré Implantação'!D385,'Pré Implantação'!L385,'Pré Implantação'!E385,'Pré Implantação'!H385),AVERAGE('Pré Implantação'!E385,'Pré Implantação'!H385)),"")</f>
        <v/>
      </c>
      <c r="D385" s="34" t="str">
        <f>IFERROR(IF('Pré Implantação'!B385="CSC Service Desk",AVERAGE('Pré Implantação'!D385,'Pré Implantação'!L385,'Pré Implantação'!F385),AVERAGE('Pré Implantação'!F385)),"")</f>
        <v/>
      </c>
      <c r="E385" s="34" t="str">
        <f>IFERROR(IF('Pré Implantação'!B385="CSC NOC",AVERAGE('Pré Implantação'!D385,'Pré Implantação'!L385,'Pré Implantação'!G385),AVERAGE('Pré Implantação'!G385)),"")</f>
        <v/>
      </c>
      <c r="F385" s="34" t="str">
        <f>IFERROR(IF('Pré Implantação'!B385="CSE Gravadores",AVERAGE('Pré Implantação'!D385,'Pré Implantação'!L385,'Pré Implantação'!I385),AVERAGE('Pré Implantação'!I385)),"")</f>
        <v/>
      </c>
      <c r="G385" s="34" t="str">
        <f>IFERROR(IF('Pré Implantação'!B385="CSC",AVERAGE('Pré Implantação'!D385,'Pré Implantação'!L385,'Pré Implantação'!J385),AVERAGE('Pré Implantação'!J385)),"")</f>
        <v/>
      </c>
      <c r="H385" s="34" t="str">
        <f>IFERROR(IF('Pré Implantação'!B385="Operações \ Negócio",AVERAGE('Pré Implantação'!D385,'Pré Implantação'!L385,'Pré Implantação'!K385),AVERAGE('Pré Implantação'!K385)),"")</f>
        <v/>
      </c>
      <c r="I385" s="34" t="str">
        <f>IFERROR(IF('Pré Implantação'!B385="Projetos",AVERAGE('Pré Implantação'!D385,'Pré Implantação'!L385,'Pré Implantação'!M385),AVERAGE('Pré Implantação'!M385)),"")</f>
        <v/>
      </c>
      <c r="J385" s="34" t="str">
        <f>IFERROR(IF('Pré Implantação'!B385="Engenharia",AVERAGE('Pré Implantação'!D385,'Pré Implantação'!L385,'Pré Implantação'!N385),AVERAGE('Pré Implantação'!N385)),"")</f>
        <v/>
      </c>
      <c r="K385" s="34" t="str">
        <f>IFERROR(IF('Pré Implantação'!B385="URA",AVERAGE('Pré Implantação'!D385,'Pré Implantação'!L385),""),"")</f>
        <v/>
      </c>
      <c r="L385" s="34" t="str">
        <f>IFERROR(IF('Pré Implantação'!B385="CSE Microsoft",AVERAGE('Pré Implantação'!D385,'Pré Implantação'!L385),""),"")</f>
        <v/>
      </c>
      <c r="M385" s="34" t="str">
        <f>IFERROR(IF('Pré Implantação'!B385="CSE Telecom",AVERAGE('Pré Implantação'!D385,'Pré Implantação'!L385),""),"")</f>
        <v/>
      </c>
      <c r="N385" s="34" t="str">
        <f>IFERROR(IF('Pré Implantação'!B385="Site Suporte de Campo",AVERAGE('Pré Implantação'!D385,'Pré Implantação'!L385),""),"")</f>
        <v/>
      </c>
      <c r="O385" s="49" t="str">
        <f>IFERROR(IF('Pré Implantação'!B385="Infraestrutura",AVERAGE('Pré Implantação'!D385,'Pré Implantação'!L385),""),"")</f>
        <v/>
      </c>
    </row>
    <row r="386" spans="1:15" x14ac:dyDescent="0.3">
      <c r="A386" s="33">
        <f>'Pré Implantação'!A386</f>
        <v>0</v>
      </c>
      <c r="B386" s="36">
        <f>'Pré Implantação'!C386</f>
        <v>0</v>
      </c>
      <c r="C386" s="34" t="str">
        <f>IFERROR(IF('Pré Implantação'!B386="Produção TI",AVERAGE('Pré Implantação'!D386,'Pré Implantação'!L386,'Pré Implantação'!E386,'Pré Implantação'!H386),AVERAGE('Pré Implantação'!E386,'Pré Implantação'!H386)),"")</f>
        <v/>
      </c>
      <c r="D386" s="34" t="str">
        <f>IFERROR(IF('Pré Implantação'!B386="CSC Service Desk",AVERAGE('Pré Implantação'!D386,'Pré Implantação'!L386,'Pré Implantação'!F386),AVERAGE('Pré Implantação'!F386)),"")</f>
        <v/>
      </c>
      <c r="E386" s="34" t="str">
        <f>IFERROR(IF('Pré Implantação'!B386="CSC NOC",AVERAGE('Pré Implantação'!D386,'Pré Implantação'!L386,'Pré Implantação'!G386),AVERAGE('Pré Implantação'!G386)),"")</f>
        <v/>
      </c>
      <c r="F386" s="34" t="str">
        <f>IFERROR(IF('Pré Implantação'!B386="CSE Gravadores",AVERAGE('Pré Implantação'!D386,'Pré Implantação'!L386,'Pré Implantação'!I386),AVERAGE('Pré Implantação'!I386)),"")</f>
        <v/>
      </c>
      <c r="G386" s="34" t="str">
        <f>IFERROR(IF('Pré Implantação'!B386="CSC",AVERAGE('Pré Implantação'!D386,'Pré Implantação'!L386,'Pré Implantação'!J386),AVERAGE('Pré Implantação'!J386)),"")</f>
        <v/>
      </c>
      <c r="H386" s="34" t="str">
        <f>IFERROR(IF('Pré Implantação'!B386="Operações \ Negócio",AVERAGE('Pré Implantação'!D386,'Pré Implantação'!L386,'Pré Implantação'!K386),AVERAGE('Pré Implantação'!K386)),"")</f>
        <v/>
      </c>
      <c r="I386" s="34" t="str">
        <f>IFERROR(IF('Pré Implantação'!B386="Projetos",AVERAGE('Pré Implantação'!D386,'Pré Implantação'!L386,'Pré Implantação'!M386),AVERAGE('Pré Implantação'!M386)),"")</f>
        <v/>
      </c>
      <c r="J386" s="34" t="str">
        <f>IFERROR(IF('Pré Implantação'!B386="Engenharia",AVERAGE('Pré Implantação'!D386,'Pré Implantação'!L386,'Pré Implantação'!N386),AVERAGE('Pré Implantação'!N386)),"")</f>
        <v/>
      </c>
      <c r="K386" s="34" t="str">
        <f>IFERROR(IF('Pré Implantação'!B386="URA",AVERAGE('Pré Implantação'!D386,'Pré Implantação'!L386),""),"")</f>
        <v/>
      </c>
      <c r="L386" s="34" t="str">
        <f>IFERROR(IF('Pré Implantação'!B386="CSE Microsoft",AVERAGE('Pré Implantação'!D386,'Pré Implantação'!L386),""),"")</f>
        <v/>
      </c>
      <c r="M386" s="34" t="str">
        <f>IFERROR(IF('Pré Implantação'!B386="CSE Telecom",AVERAGE('Pré Implantação'!D386,'Pré Implantação'!L386),""),"")</f>
        <v/>
      </c>
      <c r="N386" s="34" t="str">
        <f>IFERROR(IF('Pré Implantação'!B386="Site Suporte de Campo",AVERAGE('Pré Implantação'!D386,'Pré Implantação'!L386),""),"")</f>
        <v/>
      </c>
      <c r="O386" s="49" t="str">
        <f>IFERROR(IF('Pré Implantação'!B386="Infraestrutura",AVERAGE('Pré Implantação'!D386,'Pré Implantação'!L386),""),"")</f>
        <v/>
      </c>
    </row>
    <row r="387" spans="1:15" x14ac:dyDescent="0.3">
      <c r="A387" s="33">
        <f>'Pré Implantação'!A387</f>
        <v>0</v>
      </c>
      <c r="B387" s="36">
        <f>'Pré Implantação'!C387</f>
        <v>0</v>
      </c>
      <c r="C387" s="34" t="str">
        <f>IFERROR(IF('Pré Implantação'!B387="Produção TI",AVERAGE('Pré Implantação'!D387,'Pré Implantação'!L387,'Pré Implantação'!E387,'Pré Implantação'!H387),AVERAGE('Pré Implantação'!E387,'Pré Implantação'!H387)),"")</f>
        <v/>
      </c>
      <c r="D387" s="34" t="str">
        <f>IFERROR(IF('Pré Implantação'!B387="CSC Service Desk",AVERAGE('Pré Implantação'!D387,'Pré Implantação'!L387,'Pré Implantação'!F387),AVERAGE('Pré Implantação'!F387)),"")</f>
        <v/>
      </c>
      <c r="E387" s="34" t="str">
        <f>IFERROR(IF('Pré Implantação'!B387="CSC NOC",AVERAGE('Pré Implantação'!D387,'Pré Implantação'!L387,'Pré Implantação'!G387),AVERAGE('Pré Implantação'!G387)),"")</f>
        <v/>
      </c>
      <c r="F387" s="34" t="str">
        <f>IFERROR(IF('Pré Implantação'!B387="CSE Gravadores",AVERAGE('Pré Implantação'!D387,'Pré Implantação'!L387,'Pré Implantação'!I387),AVERAGE('Pré Implantação'!I387)),"")</f>
        <v/>
      </c>
      <c r="G387" s="34" t="str">
        <f>IFERROR(IF('Pré Implantação'!B387="CSC",AVERAGE('Pré Implantação'!D387,'Pré Implantação'!L387,'Pré Implantação'!J387),AVERAGE('Pré Implantação'!J387)),"")</f>
        <v/>
      </c>
      <c r="H387" s="34" t="str">
        <f>IFERROR(IF('Pré Implantação'!B387="Operações \ Negócio",AVERAGE('Pré Implantação'!D387,'Pré Implantação'!L387,'Pré Implantação'!K387),AVERAGE('Pré Implantação'!K387)),"")</f>
        <v/>
      </c>
      <c r="I387" s="34" t="str">
        <f>IFERROR(IF('Pré Implantação'!B387="Projetos",AVERAGE('Pré Implantação'!D387,'Pré Implantação'!L387,'Pré Implantação'!M387),AVERAGE('Pré Implantação'!M387)),"")</f>
        <v/>
      </c>
      <c r="J387" s="34" t="str">
        <f>IFERROR(IF('Pré Implantação'!B387="Engenharia",AVERAGE('Pré Implantação'!D387,'Pré Implantação'!L387,'Pré Implantação'!N387),AVERAGE('Pré Implantação'!N387)),"")</f>
        <v/>
      </c>
      <c r="K387" s="34" t="str">
        <f>IFERROR(IF('Pré Implantação'!B387="URA",AVERAGE('Pré Implantação'!D387,'Pré Implantação'!L387),""),"")</f>
        <v/>
      </c>
      <c r="L387" s="34" t="str">
        <f>IFERROR(IF('Pré Implantação'!B387="CSE Microsoft",AVERAGE('Pré Implantação'!D387,'Pré Implantação'!L387),""),"")</f>
        <v/>
      </c>
      <c r="M387" s="34" t="str">
        <f>IFERROR(IF('Pré Implantação'!B387="CSE Telecom",AVERAGE('Pré Implantação'!D387,'Pré Implantação'!L387),""),"")</f>
        <v/>
      </c>
      <c r="N387" s="34" t="str">
        <f>IFERROR(IF('Pré Implantação'!B387="Site Suporte de Campo",AVERAGE('Pré Implantação'!D387,'Pré Implantação'!L387),""),"")</f>
        <v/>
      </c>
      <c r="O387" s="49" t="str">
        <f>IFERROR(IF('Pré Implantação'!B387="Infraestrutura",AVERAGE('Pré Implantação'!D387,'Pré Implantação'!L387),""),"")</f>
        <v/>
      </c>
    </row>
    <row r="388" spans="1:15" x14ac:dyDescent="0.3">
      <c r="A388" s="33">
        <f>'Pré Implantação'!A388</f>
        <v>0</v>
      </c>
      <c r="B388" s="36">
        <f>'Pré Implantação'!C388</f>
        <v>0</v>
      </c>
      <c r="C388" s="34" t="str">
        <f>IFERROR(IF('Pré Implantação'!B388="Produção TI",AVERAGE('Pré Implantação'!D388,'Pré Implantação'!L388,'Pré Implantação'!E388,'Pré Implantação'!H388),AVERAGE('Pré Implantação'!E388,'Pré Implantação'!H388)),"")</f>
        <v/>
      </c>
      <c r="D388" s="34" t="str">
        <f>IFERROR(IF('Pré Implantação'!B388="CSC Service Desk",AVERAGE('Pré Implantação'!D388,'Pré Implantação'!L388,'Pré Implantação'!F388),AVERAGE('Pré Implantação'!F388)),"")</f>
        <v/>
      </c>
      <c r="E388" s="34" t="str">
        <f>IFERROR(IF('Pré Implantação'!B388="CSC NOC",AVERAGE('Pré Implantação'!D388,'Pré Implantação'!L388,'Pré Implantação'!G388),AVERAGE('Pré Implantação'!G388)),"")</f>
        <v/>
      </c>
      <c r="F388" s="34" t="str">
        <f>IFERROR(IF('Pré Implantação'!B388="CSE Gravadores",AVERAGE('Pré Implantação'!D388,'Pré Implantação'!L388,'Pré Implantação'!I388),AVERAGE('Pré Implantação'!I388)),"")</f>
        <v/>
      </c>
      <c r="G388" s="34" t="str">
        <f>IFERROR(IF('Pré Implantação'!B388="CSC",AVERAGE('Pré Implantação'!D388,'Pré Implantação'!L388,'Pré Implantação'!J388),AVERAGE('Pré Implantação'!J388)),"")</f>
        <v/>
      </c>
      <c r="H388" s="34" t="str">
        <f>IFERROR(IF('Pré Implantação'!B388="Operações \ Negócio",AVERAGE('Pré Implantação'!D388,'Pré Implantação'!L388,'Pré Implantação'!K388),AVERAGE('Pré Implantação'!K388)),"")</f>
        <v/>
      </c>
      <c r="I388" s="34" t="str">
        <f>IFERROR(IF('Pré Implantação'!B388="Projetos",AVERAGE('Pré Implantação'!D388,'Pré Implantação'!L388,'Pré Implantação'!M388),AVERAGE('Pré Implantação'!M388)),"")</f>
        <v/>
      </c>
      <c r="J388" s="34" t="str">
        <f>IFERROR(IF('Pré Implantação'!B388="Engenharia",AVERAGE('Pré Implantação'!D388,'Pré Implantação'!L388,'Pré Implantação'!N388),AVERAGE('Pré Implantação'!N388)),"")</f>
        <v/>
      </c>
      <c r="K388" s="34" t="str">
        <f>IFERROR(IF('Pré Implantação'!B388="URA",AVERAGE('Pré Implantação'!D388,'Pré Implantação'!L388),""),"")</f>
        <v/>
      </c>
      <c r="L388" s="34" t="str">
        <f>IFERROR(IF('Pré Implantação'!B388="CSE Microsoft",AVERAGE('Pré Implantação'!D388,'Pré Implantação'!L388),""),"")</f>
        <v/>
      </c>
      <c r="M388" s="34" t="str">
        <f>IFERROR(IF('Pré Implantação'!B388="CSE Telecom",AVERAGE('Pré Implantação'!D388,'Pré Implantação'!L388),""),"")</f>
        <v/>
      </c>
      <c r="N388" s="34" t="str">
        <f>IFERROR(IF('Pré Implantação'!B388="Site Suporte de Campo",AVERAGE('Pré Implantação'!D388,'Pré Implantação'!L388),""),"")</f>
        <v/>
      </c>
      <c r="O388" s="49" t="str">
        <f>IFERROR(IF('Pré Implantação'!B388="Infraestrutura",AVERAGE('Pré Implantação'!D388,'Pré Implantação'!L388),""),"")</f>
        <v/>
      </c>
    </row>
    <row r="389" spans="1:15" x14ac:dyDescent="0.3">
      <c r="A389" s="33">
        <f>'Pré Implantação'!A389</f>
        <v>0</v>
      </c>
      <c r="B389" s="36">
        <f>'Pré Implantação'!C389</f>
        <v>0</v>
      </c>
      <c r="C389" s="34" t="str">
        <f>IFERROR(IF('Pré Implantação'!B389="Produção TI",AVERAGE('Pré Implantação'!D389,'Pré Implantação'!L389,'Pré Implantação'!E389,'Pré Implantação'!H389),AVERAGE('Pré Implantação'!E389,'Pré Implantação'!H389)),"")</f>
        <v/>
      </c>
      <c r="D389" s="34" t="str">
        <f>IFERROR(IF('Pré Implantação'!B389="CSC Service Desk",AVERAGE('Pré Implantação'!D389,'Pré Implantação'!L389,'Pré Implantação'!F389),AVERAGE('Pré Implantação'!F389)),"")</f>
        <v/>
      </c>
      <c r="E389" s="34" t="str">
        <f>IFERROR(IF('Pré Implantação'!B389="CSC NOC",AVERAGE('Pré Implantação'!D389,'Pré Implantação'!L389,'Pré Implantação'!G389),AVERAGE('Pré Implantação'!G389)),"")</f>
        <v/>
      </c>
      <c r="F389" s="34" t="str">
        <f>IFERROR(IF('Pré Implantação'!B389="CSE Gravadores",AVERAGE('Pré Implantação'!D389,'Pré Implantação'!L389,'Pré Implantação'!I389),AVERAGE('Pré Implantação'!I389)),"")</f>
        <v/>
      </c>
      <c r="G389" s="34" t="str">
        <f>IFERROR(IF('Pré Implantação'!B389="CSC",AVERAGE('Pré Implantação'!D389,'Pré Implantação'!L389,'Pré Implantação'!J389),AVERAGE('Pré Implantação'!J389)),"")</f>
        <v/>
      </c>
      <c r="H389" s="34" t="str">
        <f>IFERROR(IF('Pré Implantação'!B389="Operações \ Negócio",AVERAGE('Pré Implantação'!D389,'Pré Implantação'!L389,'Pré Implantação'!K389),AVERAGE('Pré Implantação'!K389)),"")</f>
        <v/>
      </c>
      <c r="I389" s="34" t="str">
        <f>IFERROR(IF('Pré Implantação'!B389="Projetos",AVERAGE('Pré Implantação'!D389,'Pré Implantação'!L389,'Pré Implantação'!M389),AVERAGE('Pré Implantação'!M389)),"")</f>
        <v/>
      </c>
      <c r="J389" s="34" t="str">
        <f>IFERROR(IF('Pré Implantação'!B389="Engenharia",AVERAGE('Pré Implantação'!D389,'Pré Implantação'!L389,'Pré Implantação'!N389),AVERAGE('Pré Implantação'!N389)),"")</f>
        <v/>
      </c>
      <c r="K389" s="34" t="str">
        <f>IFERROR(IF('Pré Implantação'!B389="URA",AVERAGE('Pré Implantação'!D389,'Pré Implantação'!L389),""),"")</f>
        <v/>
      </c>
      <c r="L389" s="34" t="str">
        <f>IFERROR(IF('Pré Implantação'!B389="CSE Microsoft",AVERAGE('Pré Implantação'!D389,'Pré Implantação'!L389),""),"")</f>
        <v/>
      </c>
      <c r="M389" s="34" t="str">
        <f>IFERROR(IF('Pré Implantação'!B389="CSE Telecom",AVERAGE('Pré Implantação'!D389,'Pré Implantação'!L389),""),"")</f>
        <v/>
      </c>
      <c r="N389" s="34" t="str">
        <f>IFERROR(IF('Pré Implantação'!B389="Site Suporte de Campo",AVERAGE('Pré Implantação'!D389,'Pré Implantação'!L389),""),"")</f>
        <v/>
      </c>
      <c r="O389" s="49" t="str">
        <f>IFERROR(IF('Pré Implantação'!B389="Infraestrutura",AVERAGE('Pré Implantação'!D389,'Pré Implantação'!L389),""),"")</f>
        <v/>
      </c>
    </row>
    <row r="390" spans="1:15" x14ac:dyDescent="0.3">
      <c r="A390" s="33">
        <f>'Pré Implantação'!A390</f>
        <v>0</v>
      </c>
      <c r="B390" s="36">
        <f>'Pré Implantação'!C390</f>
        <v>0</v>
      </c>
      <c r="C390" s="34" t="str">
        <f>IFERROR(IF('Pré Implantação'!B390="Produção TI",AVERAGE('Pré Implantação'!D390,'Pré Implantação'!L390,'Pré Implantação'!E390,'Pré Implantação'!H390),AVERAGE('Pré Implantação'!E390,'Pré Implantação'!H390)),"")</f>
        <v/>
      </c>
      <c r="D390" s="34" t="str">
        <f>IFERROR(IF('Pré Implantação'!B390="CSC Service Desk",AVERAGE('Pré Implantação'!D390,'Pré Implantação'!L390,'Pré Implantação'!F390),AVERAGE('Pré Implantação'!F390)),"")</f>
        <v/>
      </c>
      <c r="E390" s="34" t="str">
        <f>IFERROR(IF('Pré Implantação'!B390="CSC NOC",AVERAGE('Pré Implantação'!D390,'Pré Implantação'!L390,'Pré Implantação'!G390),AVERAGE('Pré Implantação'!G390)),"")</f>
        <v/>
      </c>
      <c r="F390" s="34" t="str">
        <f>IFERROR(IF('Pré Implantação'!B390="CSE Gravadores",AVERAGE('Pré Implantação'!D390,'Pré Implantação'!L390,'Pré Implantação'!I390),AVERAGE('Pré Implantação'!I390)),"")</f>
        <v/>
      </c>
      <c r="G390" s="34" t="str">
        <f>IFERROR(IF('Pré Implantação'!B390="CSC",AVERAGE('Pré Implantação'!D390,'Pré Implantação'!L390,'Pré Implantação'!J390),AVERAGE('Pré Implantação'!J390)),"")</f>
        <v/>
      </c>
      <c r="H390" s="34" t="str">
        <f>IFERROR(IF('Pré Implantação'!B390="Operações \ Negócio",AVERAGE('Pré Implantação'!D390,'Pré Implantação'!L390,'Pré Implantação'!K390),AVERAGE('Pré Implantação'!K390)),"")</f>
        <v/>
      </c>
      <c r="I390" s="34" t="str">
        <f>IFERROR(IF('Pré Implantação'!B390="Projetos",AVERAGE('Pré Implantação'!D390,'Pré Implantação'!L390,'Pré Implantação'!M390),AVERAGE('Pré Implantação'!M390)),"")</f>
        <v/>
      </c>
      <c r="J390" s="34" t="str">
        <f>IFERROR(IF('Pré Implantação'!B390="Engenharia",AVERAGE('Pré Implantação'!D390,'Pré Implantação'!L390,'Pré Implantação'!N390),AVERAGE('Pré Implantação'!N390)),"")</f>
        <v/>
      </c>
      <c r="K390" s="34" t="str">
        <f>IFERROR(IF('Pré Implantação'!B390="URA",AVERAGE('Pré Implantação'!D390,'Pré Implantação'!L390),""),"")</f>
        <v/>
      </c>
      <c r="L390" s="34" t="str">
        <f>IFERROR(IF('Pré Implantação'!B390="CSE Microsoft",AVERAGE('Pré Implantação'!D390,'Pré Implantação'!L390),""),"")</f>
        <v/>
      </c>
      <c r="M390" s="34" t="str">
        <f>IFERROR(IF('Pré Implantação'!B390="CSE Telecom",AVERAGE('Pré Implantação'!D390,'Pré Implantação'!L390),""),"")</f>
        <v/>
      </c>
      <c r="N390" s="34" t="str">
        <f>IFERROR(IF('Pré Implantação'!B390="Site Suporte de Campo",AVERAGE('Pré Implantação'!D390,'Pré Implantação'!L390),""),"")</f>
        <v/>
      </c>
      <c r="O390" s="49" t="str">
        <f>IFERROR(IF('Pré Implantação'!B390="Infraestrutura",AVERAGE('Pré Implantação'!D390,'Pré Implantação'!L390),""),"")</f>
        <v/>
      </c>
    </row>
    <row r="391" spans="1:15" x14ac:dyDescent="0.3">
      <c r="A391" s="33">
        <f>'Pré Implantação'!A391</f>
        <v>0</v>
      </c>
      <c r="B391" s="36">
        <f>'Pré Implantação'!C391</f>
        <v>0</v>
      </c>
      <c r="C391" s="34" t="str">
        <f>IFERROR(IF('Pré Implantação'!B391="Produção TI",AVERAGE('Pré Implantação'!D391,'Pré Implantação'!L391,'Pré Implantação'!E391,'Pré Implantação'!H391),AVERAGE('Pré Implantação'!E391,'Pré Implantação'!H391)),"")</f>
        <v/>
      </c>
      <c r="D391" s="34" t="str">
        <f>IFERROR(IF('Pré Implantação'!B391="CSC Service Desk",AVERAGE('Pré Implantação'!D391,'Pré Implantação'!L391,'Pré Implantação'!F391),AVERAGE('Pré Implantação'!F391)),"")</f>
        <v/>
      </c>
      <c r="E391" s="34" t="str">
        <f>IFERROR(IF('Pré Implantação'!B391="CSC NOC",AVERAGE('Pré Implantação'!D391,'Pré Implantação'!L391,'Pré Implantação'!G391),AVERAGE('Pré Implantação'!G391)),"")</f>
        <v/>
      </c>
      <c r="F391" s="34" t="str">
        <f>IFERROR(IF('Pré Implantação'!B391="CSE Gravadores",AVERAGE('Pré Implantação'!D391,'Pré Implantação'!L391,'Pré Implantação'!I391),AVERAGE('Pré Implantação'!I391)),"")</f>
        <v/>
      </c>
      <c r="G391" s="34" t="str">
        <f>IFERROR(IF('Pré Implantação'!B391="CSC",AVERAGE('Pré Implantação'!D391,'Pré Implantação'!L391,'Pré Implantação'!J391),AVERAGE('Pré Implantação'!J391)),"")</f>
        <v/>
      </c>
      <c r="H391" s="34" t="str">
        <f>IFERROR(IF('Pré Implantação'!B391="Operações \ Negócio",AVERAGE('Pré Implantação'!D391,'Pré Implantação'!L391,'Pré Implantação'!K391),AVERAGE('Pré Implantação'!K391)),"")</f>
        <v/>
      </c>
      <c r="I391" s="34" t="str">
        <f>IFERROR(IF('Pré Implantação'!B391="Projetos",AVERAGE('Pré Implantação'!D391,'Pré Implantação'!L391,'Pré Implantação'!M391),AVERAGE('Pré Implantação'!M391)),"")</f>
        <v/>
      </c>
      <c r="J391" s="34" t="str">
        <f>IFERROR(IF('Pré Implantação'!B391="Engenharia",AVERAGE('Pré Implantação'!D391,'Pré Implantação'!L391,'Pré Implantação'!N391),AVERAGE('Pré Implantação'!N391)),"")</f>
        <v/>
      </c>
      <c r="K391" s="34" t="str">
        <f>IFERROR(IF('Pré Implantação'!B391="URA",AVERAGE('Pré Implantação'!D391,'Pré Implantação'!L391),""),"")</f>
        <v/>
      </c>
      <c r="L391" s="34" t="str">
        <f>IFERROR(IF('Pré Implantação'!B391="CSE Microsoft",AVERAGE('Pré Implantação'!D391,'Pré Implantação'!L391),""),"")</f>
        <v/>
      </c>
      <c r="M391" s="34" t="str">
        <f>IFERROR(IF('Pré Implantação'!B391="CSE Telecom",AVERAGE('Pré Implantação'!D391,'Pré Implantação'!L391),""),"")</f>
        <v/>
      </c>
      <c r="N391" s="34" t="str">
        <f>IFERROR(IF('Pré Implantação'!B391="Site Suporte de Campo",AVERAGE('Pré Implantação'!D391,'Pré Implantação'!L391),""),"")</f>
        <v/>
      </c>
      <c r="O391" s="49" t="str">
        <f>IFERROR(IF('Pré Implantação'!B391="Infraestrutura",AVERAGE('Pré Implantação'!D391,'Pré Implantação'!L391),""),"")</f>
        <v/>
      </c>
    </row>
    <row r="392" spans="1:15" x14ac:dyDescent="0.3">
      <c r="A392" s="33">
        <f>'Pré Implantação'!A392</f>
        <v>0</v>
      </c>
      <c r="B392" s="36">
        <f>'Pré Implantação'!C392</f>
        <v>0</v>
      </c>
      <c r="C392" s="34" t="str">
        <f>IFERROR(IF('Pré Implantação'!B392="Produção TI",AVERAGE('Pré Implantação'!D392,'Pré Implantação'!L392,'Pré Implantação'!E392,'Pré Implantação'!H392),AVERAGE('Pré Implantação'!E392,'Pré Implantação'!H392)),"")</f>
        <v/>
      </c>
      <c r="D392" s="34" t="str">
        <f>IFERROR(IF('Pré Implantação'!B392="CSC Service Desk",AVERAGE('Pré Implantação'!D392,'Pré Implantação'!L392,'Pré Implantação'!F392),AVERAGE('Pré Implantação'!F392)),"")</f>
        <v/>
      </c>
      <c r="E392" s="34" t="str">
        <f>IFERROR(IF('Pré Implantação'!B392="CSC NOC",AVERAGE('Pré Implantação'!D392,'Pré Implantação'!L392,'Pré Implantação'!G392),AVERAGE('Pré Implantação'!G392)),"")</f>
        <v/>
      </c>
      <c r="F392" s="34" t="str">
        <f>IFERROR(IF('Pré Implantação'!B392="CSE Gravadores",AVERAGE('Pré Implantação'!D392,'Pré Implantação'!L392,'Pré Implantação'!I392),AVERAGE('Pré Implantação'!I392)),"")</f>
        <v/>
      </c>
      <c r="G392" s="34" t="str">
        <f>IFERROR(IF('Pré Implantação'!B392="CSC",AVERAGE('Pré Implantação'!D392,'Pré Implantação'!L392,'Pré Implantação'!J392),AVERAGE('Pré Implantação'!J392)),"")</f>
        <v/>
      </c>
      <c r="H392" s="34" t="str">
        <f>IFERROR(IF('Pré Implantação'!B392="Operações \ Negócio",AVERAGE('Pré Implantação'!D392,'Pré Implantação'!L392,'Pré Implantação'!K392),AVERAGE('Pré Implantação'!K392)),"")</f>
        <v/>
      </c>
      <c r="I392" s="34" t="str">
        <f>IFERROR(IF('Pré Implantação'!B392="Projetos",AVERAGE('Pré Implantação'!D392,'Pré Implantação'!L392,'Pré Implantação'!M392),AVERAGE('Pré Implantação'!M392)),"")</f>
        <v/>
      </c>
      <c r="J392" s="34" t="str">
        <f>IFERROR(IF('Pré Implantação'!B392="Engenharia",AVERAGE('Pré Implantação'!D392,'Pré Implantação'!L392,'Pré Implantação'!N392),AVERAGE('Pré Implantação'!N392)),"")</f>
        <v/>
      </c>
      <c r="K392" s="34" t="str">
        <f>IFERROR(IF('Pré Implantação'!B392="URA",AVERAGE('Pré Implantação'!D392,'Pré Implantação'!L392),""),"")</f>
        <v/>
      </c>
      <c r="L392" s="34" t="str">
        <f>IFERROR(IF('Pré Implantação'!B392="CSE Microsoft",AVERAGE('Pré Implantação'!D392,'Pré Implantação'!L392),""),"")</f>
        <v/>
      </c>
      <c r="M392" s="34" t="str">
        <f>IFERROR(IF('Pré Implantação'!B392="CSE Telecom",AVERAGE('Pré Implantação'!D392,'Pré Implantação'!L392),""),"")</f>
        <v/>
      </c>
      <c r="N392" s="34" t="str">
        <f>IFERROR(IF('Pré Implantação'!B392="Site Suporte de Campo",AVERAGE('Pré Implantação'!D392,'Pré Implantação'!L392),""),"")</f>
        <v/>
      </c>
      <c r="O392" s="49" t="str">
        <f>IFERROR(IF('Pré Implantação'!B392="Infraestrutura",AVERAGE('Pré Implantação'!D392,'Pré Implantação'!L392),""),"")</f>
        <v/>
      </c>
    </row>
    <row r="393" spans="1:15" x14ac:dyDescent="0.3">
      <c r="A393" s="33">
        <f>'Pré Implantação'!A393</f>
        <v>0</v>
      </c>
      <c r="B393" s="36">
        <f>'Pré Implantação'!C393</f>
        <v>0</v>
      </c>
      <c r="C393" s="34" t="str">
        <f>IFERROR(IF('Pré Implantação'!B393="Produção TI",AVERAGE('Pré Implantação'!D393,'Pré Implantação'!L393,'Pré Implantação'!E393,'Pré Implantação'!H393),AVERAGE('Pré Implantação'!E393,'Pré Implantação'!H393)),"")</f>
        <v/>
      </c>
      <c r="D393" s="34" t="str">
        <f>IFERROR(IF('Pré Implantação'!B393="CSC Service Desk",AVERAGE('Pré Implantação'!D393,'Pré Implantação'!L393,'Pré Implantação'!F393),AVERAGE('Pré Implantação'!F393)),"")</f>
        <v/>
      </c>
      <c r="E393" s="34" t="str">
        <f>IFERROR(IF('Pré Implantação'!B393="CSC NOC",AVERAGE('Pré Implantação'!D393,'Pré Implantação'!L393,'Pré Implantação'!G393),AVERAGE('Pré Implantação'!G393)),"")</f>
        <v/>
      </c>
      <c r="F393" s="34" t="str">
        <f>IFERROR(IF('Pré Implantação'!B393="CSE Gravadores",AVERAGE('Pré Implantação'!D393,'Pré Implantação'!L393,'Pré Implantação'!I393),AVERAGE('Pré Implantação'!I393)),"")</f>
        <v/>
      </c>
      <c r="G393" s="34" t="str">
        <f>IFERROR(IF('Pré Implantação'!B393="CSC",AVERAGE('Pré Implantação'!D393,'Pré Implantação'!L393,'Pré Implantação'!J393),AVERAGE('Pré Implantação'!J393)),"")</f>
        <v/>
      </c>
      <c r="H393" s="34" t="str">
        <f>IFERROR(IF('Pré Implantação'!B393="Operações \ Negócio",AVERAGE('Pré Implantação'!D393,'Pré Implantação'!L393,'Pré Implantação'!K393),AVERAGE('Pré Implantação'!K393)),"")</f>
        <v/>
      </c>
      <c r="I393" s="34" t="str">
        <f>IFERROR(IF('Pré Implantação'!B393="Projetos",AVERAGE('Pré Implantação'!D393,'Pré Implantação'!L393,'Pré Implantação'!M393),AVERAGE('Pré Implantação'!M393)),"")</f>
        <v/>
      </c>
      <c r="J393" s="34" t="str">
        <f>IFERROR(IF('Pré Implantação'!B393="Engenharia",AVERAGE('Pré Implantação'!D393,'Pré Implantação'!L393,'Pré Implantação'!N393),AVERAGE('Pré Implantação'!N393)),"")</f>
        <v/>
      </c>
      <c r="K393" s="34" t="str">
        <f>IFERROR(IF('Pré Implantação'!B393="URA",AVERAGE('Pré Implantação'!D393,'Pré Implantação'!L393),""),"")</f>
        <v/>
      </c>
      <c r="L393" s="34" t="str">
        <f>IFERROR(IF('Pré Implantação'!B393="CSE Microsoft",AVERAGE('Pré Implantação'!D393,'Pré Implantação'!L393),""),"")</f>
        <v/>
      </c>
      <c r="M393" s="34" t="str">
        <f>IFERROR(IF('Pré Implantação'!B393="CSE Telecom",AVERAGE('Pré Implantação'!D393,'Pré Implantação'!L393),""),"")</f>
        <v/>
      </c>
      <c r="N393" s="34" t="str">
        <f>IFERROR(IF('Pré Implantação'!B393="Site Suporte de Campo",AVERAGE('Pré Implantação'!D393,'Pré Implantação'!L393),""),"")</f>
        <v/>
      </c>
      <c r="O393" s="49" t="str">
        <f>IFERROR(IF('Pré Implantação'!B393="Infraestrutura",AVERAGE('Pré Implantação'!D393,'Pré Implantação'!L393),""),"")</f>
        <v/>
      </c>
    </row>
    <row r="394" spans="1:15" x14ac:dyDescent="0.3">
      <c r="A394" s="33">
        <f>'Pré Implantação'!A394</f>
        <v>0</v>
      </c>
      <c r="B394" s="36">
        <f>'Pré Implantação'!C394</f>
        <v>0</v>
      </c>
      <c r="C394" s="34" t="str">
        <f>IFERROR(IF('Pré Implantação'!B394="Produção TI",AVERAGE('Pré Implantação'!D394,'Pré Implantação'!L394,'Pré Implantação'!E394,'Pré Implantação'!H394),AVERAGE('Pré Implantação'!E394,'Pré Implantação'!H394)),"")</f>
        <v/>
      </c>
      <c r="D394" s="34" t="str">
        <f>IFERROR(IF('Pré Implantação'!B394="CSC Service Desk",AVERAGE('Pré Implantação'!D394,'Pré Implantação'!L394,'Pré Implantação'!F394),AVERAGE('Pré Implantação'!F394)),"")</f>
        <v/>
      </c>
      <c r="E394" s="34" t="str">
        <f>IFERROR(IF('Pré Implantação'!B394="CSC NOC",AVERAGE('Pré Implantação'!D394,'Pré Implantação'!L394,'Pré Implantação'!G394),AVERAGE('Pré Implantação'!G394)),"")</f>
        <v/>
      </c>
      <c r="F394" s="34" t="str">
        <f>IFERROR(IF('Pré Implantação'!B394="CSE Gravadores",AVERAGE('Pré Implantação'!D394,'Pré Implantação'!L394,'Pré Implantação'!I394),AVERAGE('Pré Implantação'!I394)),"")</f>
        <v/>
      </c>
      <c r="G394" s="34" t="str">
        <f>IFERROR(IF('Pré Implantação'!B394="CSC",AVERAGE('Pré Implantação'!D394,'Pré Implantação'!L394,'Pré Implantação'!J394),AVERAGE('Pré Implantação'!J394)),"")</f>
        <v/>
      </c>
      <c r="H394" s="34" t="str">
        <f>IFERROR(IF('Pré Implantação'!B394="Operações \ Negócio",AVERAGE('Pré Implantação'!D394,'Pré Implantação'!L394,'Pré Implantação'!K394),AVERAGE('Pré Implantação'!K394)),"")</f>
        <v/>
      </c>
      <c r="I394" s="34" t="str">
        <f>IFERROR(IF('Pré Implantação'!B394="Projetos",AVERAGE('Pré Implantação'!D394,'Pré Implantação'!L394,'Pré Implantação'!M394),AVERAGE('Pré Implantação'!M394)),"")</f>
        <v/>
      </c>
      <c r="J394" s="34" t="str">
        <f>IFERROR(IF('Pré Implantação'!B394="Engenharia",AVERAGE('Pré Implantação'!D394,'Pré Implantação'!L394,'Pré Implantação'!N394),AVERAGE('Pré Implantação'!N394)),"")</f>
        <v/>
      </c>
      <c r="K394" s="34" t="str">
        <f>IFERROR(IF('Pré Implantação'!B394="URA",AVERAGE('Pré Implantação'!D394,'Pré Implantação'!L394),""),"")</f>
        <v/>
      </c>
      <c r="L394" s="34" t="str">
        <f>IFERROR(IF('Pré Implantação'!B394="CSE Microsoft",AVERAGE('Pré Implantação'!D394,'Pré Implantação'!L394),""),"")</f>
        <v/>
      </c>
      <c r="M394" s="34" t="str">
        <f>IFERROR(IF('Pré Implantação'!B394="CSE Telecom",AVERAGE('Pré Implantação'!D394,'Pré Implantação'!L394),""),"")</f>
        <v/>
      </c>
      <c r="N394" s="34" t="str">
        <f>IFERROR(IF('Pré Implantação'!B394="Site Suporte de Campo",AVERAGE('Pré Implantação'!D394,'Pré Implantação'!L394),""),"")</f>
        <v/>
      </c>
      <c r="O394" s="49" t="str">
        <f>IFERROR(IF('Pré Implantação'!B394="Infraestrutura",AVERAGE('Pré Implantação'!D394,'Pré Implantação'!L394),""),"")</f>
        <v/>
      </c>
    </row>
    <row r="395" spans="1:15" x14ac:dyDescent="0.3">
      <c r="A395" s="33">
        <f>'Pré Implantação'!A395</f>
        <v>0</v>
      </c>
      <c r="B395" s="36">
        <f>'Pré Implantação'!C395</f>
        <v>0</v>
      </c>
      <c r="C395" s="34" t="str">
        <f>IFERROR(IF('Pré Implantação'!B395="Produção TI",AVERAGE('Pré Implantação'!D395,'Pré Implantação'!L395,'Pré Implantação'!E395,'Pré Implantação'!H395),AVERAGE('Pré Implantação'!E395,'Pré Implantação'!H395)),"")</f>
        <v/>
      </c>
      <c r="D395" s="34" t="str">
        <f>IFERROR(IF('Pré Implantação'!B395="CSC Service Desk",AVERAGE('Pré Implantação'!D395,'Pré Implantação'!L395,'Pré Implantação'!F395),AVERAGE('Pré Implantação'!F395)),"")</f>
        <v/>
      </c>
      <c r="E395" s="34" t="str">
        <f>IFERROR(IF('Pré Implantação'!B395="CSC NOC",AVERAGE('Pré Implantação'!D395,'Pré Implantação'!L395,'Pré Implantação'!G395),AVERAGE('Pré Implantação'!G395)),"")</f>
        <v/>
      </c>
      <c r="F395" s="34" t="str">
        <f>IFERROR(IF('Pré Implantação'!B395="CSE Gravadores",AVERAGE('Pré Implantação'!D395,'Pré Implantação'!L395,'Pré Implantação'!I395),AVERAGE('Pré Implantação'!I395)),"")</f>
        <v/>
      </c>
      <c r="G395" s="34" t="str">
        <f>IFERROR(IF('Pré Implantação'!B395="CSC",AVERAGE('Pré Implantação'!D395,'Pré Implantação'!L395,'Pré Implantação'!J395),AVERAGE('Pré Implantação'!J395)),"")</f>
        <v/>
      </c>
      <c r="H395" s="34" t="str">
        <f>IFERROR(IF('Pré Implantação'!B395="Operações \ Negócio",AVERAGE('Pré Implantação'!D395,'Pré Implantação'!L395,'Pré Implantação'!K395),AVERAGE('Pré Implantação'!K395)),"")</f>
        <v/>
      </c>
      <c r="I395" s="34" t="str">
        <f>IFERROR(IF('Pré Implantação'!B395="Projetos",AVERAGE('Pré Implantação'!D395,'Pré Implantação'!L395,'Pré Implantação'!M395),AVERAGE('Pré Implantação'!M395)),"")</f>
        <v/>
      </c>
      <c r="J395" s="34" t="str">
        <f>IFERROR(IF('Pré Implantação'!B395="Engenharia",AVERAGE('Pré Implantação'!D395,'Pré Implantação'!L395,'Pré Implantação'!N395),AVERAGE('Pré Implantação'!N395)),"")</f>
        <v/>
      </c>
      <c r="K395" s="34" t="str">
        <f>IFERROR(IF('Pré Implantação'!B395="URA",AVERAGE('Pré Implantação'!D395,'Pré Implantação'!L395),""),"")</f>
        <v/>
      </c>
      <c r="L395" s="34" t="str">
        <f>IFERROR(IF('Pré Implantação'!B395="CSE Microsoft",AVERAGE('Pré Implantação'!D395,'Pré Implantação'!L395),""),"")</f>
        <v/>
      </c>
      <c r="M395" s="34" t="str">
        <f>IFERROR(IF('Pré Implantação'!B395="CSE Telecom",AVERAGE('Pré Implantação'!D395,'Pré Implantação'!L395),""),"")</f>
        <v/>
      </c>
      <c r="N395" s="34" t="str">
        <f>IFERROR(IF('Pré Implantação'!B395="Site Suporte de Campo",AVERAGE('Pré Implantação'!D395,'Pré Implantação'!L395),""),"")</f>
        <v/>
      </c>
      <c r="O395" s="49" t="str">
        <f>IFERROR(IF('Pré Implantação'!B395="Infraestrutura",AVERAGE('Pré Implantação'!D395,'Pré Implantação'!L395),""),"")</f>
        <v/>
      </c>
    </row>
    <row r="396" spans="1:15" x14ac:dyDescent="0.3">
      <c r="A396" s="33">
        <f>'Pré Implantação'!A396</f>
        <v>0</v>
      </c>
      <c r="B396" s="36">
        <f>'Pré Implantação'!C396</f>
        <v>0</v>
      </c>
      <c r="C396" s="34" t="str">
        <f>IFERROR(IF('Pré Implantação'!B396="Produção TI",AVERAGE('Pré Implantação'!D396,'Pré Implantação'!L396,'Pré Implantação'!E396,'Pré Implantação'!H396),AVERAGE('Pré Implantação'!E396,'Pré Implantação'!H396)),"")</f>
        <v/>
      </c>
      <c r="D396" s="34" t="str">
        <f>IFERROR(IF('Pré Implantação'!B396="CSC Service Desk",AVERAGE('Pré Implantação'!D396,'Pré Implantação'!L396,'Pré Implantação'!F396),AVERAGE('Pré Implantação'!F396)),"")</f>
        <v/>
      </c>
      <c r="E396" s="34" t="str">
        <f>IFERROR(IF('Pré Implantação'!B396="CSC NOC",AVERAGE('Pré Implantação'!D396,'Pré Implantação'!L396,'Pré Implantação'!G396),AVERAGE('Pré Implantação'!G396)),"")</f>
        <v/>
      </c>
      <c r="F396" s="34" t="str">
        <f>IFERROR(IF('Pré Implantação'!B396="CSE Gravadores",AVERAGE('Pré Implantação'!D396,'Pré Implantação'!L396,'Pré Implantação'!I396),AVERAGE('Pré Implantação'!I396)),"")</f>
        <v/>
      </c>
      <c r="G396" s="34" t="str">
        <f>IFERROR(IF('Pré Implantação'!B396="CSC",AVERAGE('Pré Implantação'!D396,'Pré Implantação'!L396,'Pré Implantação'!J396),AVERAGE('Pré Implantação'!J396)),"")</f>
        <v/>
      </c>
      <c r="H396" s="34" t="str">
        <f>IFERROR(IF('Pré Implantação'!B396="Operações \ Negócio",AVERAGE('Pré Implantação'!D396,'Pré Implantação'!L396,'Pré Implantação'!K396),AVERAGE('Pré Implantação'!K396)),"")</f>
        <v/>
      </c>
      <c r="I396" s="34" t="str">
        <f>IFERROR(IF('Pré Implantação'!B396="Projetos",AVERAGE('Pré Implantação'!D396,'Pré Implantação'!L396,'Pré Implantação'!M396),AVERAGE('Pré Implantação'!M396)),"")</f>
        <v/>
      </c>
      <c r="J396" s="34" t="str">
        <f>IFERROR(IF('Pré Implantação'!B396="Engenharia",AVERAGE('Pré Implantação'!D396,'Pré Implantação'!L396,'Pré Implantação'!N396),AVERAGE('Pré Implantação'!N396)),"")</f>
        <v/>
      </c>
      <c r="K396" s="34" t="str">
        <f>IFERROR(IF('Pré Implantação'!B396="URA",AVERAGE('Pré Implantação'!D396,'Pré Implantação'!L396),""),"")</f>
        <v/>
      </c>
      <c r="L396" s="34" t="str">
        <f>IFERROR(IF('Pré Implantação'!B396="CSE Microsoft",AVERAGE('Pré Implantação'!D396,'Pré Implantação'!L396),""),"")</f>
        <v/>
      </c>
      <c r="M396" s="34" t="str">
        <f>IFERROR(IF('Pré Implantação'!B396="CSE Telecom",AVERAGE('Pré Implantação'!D396,'Pré Implantação'!L396),""),"")</f>
        <v/>
      </c>
      <c r="N396" s="34" t="str">
        <f>IFERROR(IF('Pré Implantação'!B396="Site Suporte de Campo",AVERAGE('Pré Implantação'!D396,'Pré Implantação'!L396),""),"")</f>
        <v/>
      </c>
      <c r="O396" s="49" t="str">
        <f>IFERROR(IF('Pré Implantação'!B396="Infraestrutura",AVERAGE('Pré Implantação'!D396,'Pré Implantação'!L396),""),"")</f>
        <v/>
      </c>
    </row>
    <row r="397" spans="1:15" x14ac:dyDescent="0.3">
      <c r="A397" s="33">
        <f>'Pré Implantação'!A397</f>
        <v>0</v>
      </c>
      <c r="B397" s="36">
        <f>'Pré Implantação'!C397</f>
        <v>0</v>
      </c>
      <c r="C397" s="34" t="str">
        <f>IFERROR(IF('Pré Implantação'!B397="Produção TI",AVERAGE('Pré Implantação'!D397,'Pré Implantação'!L397,'Pré Implantação'!E397,'Pré Implantação'!H397),AVERAGE('Pré Implantação'!E397,'Pré Implantação'!H397)),"")</f>
        <v/>
      </c>
      <c r="D397" s="34" t="str">
        <f>IFERROR(IF('Pré Implantação'!B397="CSC Service Desk",AVERAGE('Pré Implantação'!D397,'Pré Implantação'!L397,'Pré Implantação'!F397),AVERAGE('Pré Implantação'!F397)),"")</f>
        <v/>
      </c>
      <c r="E397" s="34" t="str">
        <f>IFERROR(IF('Pré Implantação'!B397="CSC NOC",AVERAGE('Pré Implantação'!D397,'Pré Implantação'!L397,'Pré Implantação'!G397),AVERAGE('Pré Implantação'!G397)),"")</f>
        <v/>
      </c>
      <c r="F397" s="34" t="str">
        <f>IFERROR(IF('Pré Implantação'!B397="CSE Gravadores",AVERAGE('Pré Implantação'!D397,'Pré Implantação'!L397,'Pré Implantação'!I397),AVERAGE('Pré Implantação'!I397)),"")</f>
        <v/>
      </c>
      <c r="G397" s="34" t="str">
        <f>IFERROR(IF('Pré Implantação'!B397="CSC",AVERAGE('Pré Implantação'!D397,'Pré Implantação'!L397,'Pré Implantação'!J397),AVERAGE('Pré Implantação'!J397)),"")</f>
        <v/>
      </c>
      <c r="H397" s="34" t="str">
        <f>IFERROR(IF('Pré Implantação'!B397="Operações \ Negócio",AVERAGE('Pré Implantação'!D397,'Pré Implantação'!L397,'Pré Implantação'!K397),AVERAGE('Pré Implantação'!K397)),"")</f>
        <v/>
      </c>
      <c r="I397" s="34" t="str">
        <f>IFERROR(IF('Pré Implantação'!B397="Projetos",AVERAGE('Pré Implantação'!D397,'Pré Implantação'!L397,'Pré Implantação'!M397),AVERAGE('Pré Implantação'!M397)),"")</f>
        <v/>
      </c>
      <c r="J397" s="34" t="str">
        <f>IFERROR(IF('Pré Implantação'!B397="Engenharia",AVERAGE('Pré Implantação'!D397,'Pré Implantação'!L397,'Pré Implantação'!N397),AVERAGE('Pré Implantação'!N397)),"")</f>
        <v/>
      </c>
      <c r="K397" s="34" t="str">
        <f>IFERROR(IF('Pré Implantação'!B397="URA",AVERAGE('Pré Implantação'!D397,'Pré Implantação'!L397),""),"")</f>
        <v/>
      </c>
      <c r="L397" s="34" t="str">
        <f>IFERROR(IF('Pré Implantação'!B397="CSE Microsoft",AVERAGE('Pré Implantação'!D397,'Pré Implantação'!L397),""),"")</f>
        <v/>
      </c>
      <c r="M397" s="34" t="str">
        <f>IFERROR(IF('Pré Implantação'!B397="CSE Telecom",AVERAGE('Pré Implantação'!D397,'Pré Implantação'!L397),""),"")</f>
        <v/>
      </c>
      <c r="N397" s="34" t="str">
        <f>IFERROR(IF('Pré Implantação'!B397="Site Suporte de Campo",AVERAGE('Pré Implantação'!D397,'Pré Implantação'!L397),""),"")</f>
        <v/>
      </c>
      <c r="O397" s="49" t="str">
        <f>IFERROR(IF('Pré Implantação'!B397="Infraestrutura",AVERAGE('Pré Implantação'!D397,'Pré Implantação'!L397),""),"")</f>
        <v/>
      </c>
    </row>
    <row r="398" spans="1:15" x14ac:dyDescent="0.3">
      <c r="A398" s="33">
        <f>'Pré Implantação'!A398</f>
        <v>0</v>
      </c>
      <c r="B398" s="36">
        <f>'Pré Implantação'!C398</f>
        <v>0</v>
      </c>
      <c r="C398" s="34" t="str">
        <f>IFERROR(IF('Pré Implantação'!B398="Produção TI",AVERAGE('Pré Implantação'!D398,'Pré Implantação'!L398,'Pré Implantação'!E398,'Pré Implantação'!H398),AVERAGE('Pré Implantação'!E398,'Pré Implantação'!H398)),"")</f>
        <v/>
      </c>
      <c r="D398" s="34" t="str">
        <f>IFERROR(IF('Pré Implantação'!B398="CSC Service Desk",AVERAGE('Pré Implantação'!D398,'Pré Implantação'!L398,'Pré Implantação'!F398),AVERAGE('Pré Implantação'!F398)),"")</f>
        <v/>
      </c>
      <c r="E398" s="34" t="str">
        <f>IFERROR(IF('Pré Implantação'!B398="CSC NOC",AVERAGE('Pré Implantação'!D398,'Pré Implantação'!L398,'Pré Implantação'!G398),AVERAGE('Pré Implantação'!G398)),"")</f>
        <v/>
      </c>
      <c r="F398" s="34" t="str">
        <f>IFERROR(IF('Pré Implantação'!B398="CSE Gravadores",AVERAGE('Pré Implantação'!D398,'Pré Implantação'!L398,'Pré Implantação'!I398),AVERAGE('Pré Implantação'!I398)),"")</f>
        <v/>
      </c>
      <c r="G398" s="34" t="str">
        <f>IFERROR(IF('Pré Implantação'!B398="CSC",AVERAGE('Pré Implantação'!D398,'Pré Implantação'!L398,'Pré Implantação'!J398),AVERAGE('Pré Implantação'!J398)),"")</f>
        <v/>
      </c>
      <c r="H398" s="34" t="str">
        <f>IFERROR(IF('Pré Implantação'!B398="Operações \ Negócio",AVERAGE('Pré Implantação'!D398,'Pré Implantação'!L398,'Pré Implantação'!K398),AVERAGE('Pré Implantação'!K398)),"")</f>
        <v/>
      </c>
      <c r="I398" s="34" t="str">
        <f>IFERROR(IF('Pré Implantação'!B398="Projetos",AVERAGE('Pré Implantação'!D398,'Pré Implantação'!L398,'Pré Implantação'!M398),AVERAGE('Pré Implantação'!M398)),"")</f>
        <v/>
      </c>
      <c r="J398" s="34" t="str">
        <f>IFERROR(IF('Pré Implantação'!B398="Engenharia",AVERAGE('Pré Implantação'!D398,'Pré Implantação'!L398,'Pré Implantação'!N398),AVERAGE('Pré Implantação'!N398)),"")</f>
        <v/>
      </c>
      <c r="K398" s="34" t="str">
        <f>IFERROR(IF('Pré Implantação'!B398="URA",AVERAGE('Pré Implantação'!D398,'Pré Implantação'!L398),""),"")</f>
        <v/>
      </c>
      <c r="L398" s="34" t="str">
        <f>IFERROR(IF('Pré Implantação'!B398="CSE Microsoft",AVERAGE('Pré Implantação'!D398,'Pré Implantação'!L398),""),"")</f>
        <v/>
      </c>
      <c r="M398" s="34" t="str">
        <f>IFERROR(IF('Pré Implantação'!B398="CSE Telecom",AVERAGE('Pré Implantação'!D398,'Pré Implantação'!L398),""),"")</f>
        <v/>
      </c>
      <c r="N398" s="34" t="str">
        <f>IFERROR(IF('Pré Implantação'!B398="Site Suporte de Campo",AVERAGE('Pré Implantação'!D398,'Pré Implantação'!L398),""),"")</f>
        <v/>
      </c>
      <c r="O398" s="49" t="str">
        <f>IFERROR(IF('Pré Implantação'!B398="Infraestrutura",AVERAGE('Pré Implantação'!D398,'Pré Implantação'!L398),""),"")</f>
        <v/>
      </c>
    </row>
    <row r="399" spans="1:15" x14ac:dyDescent="0.3">
      <c r="A399" s="33">
        <f>'Pré Implantação'!A399</f>
        <v>0</v>
      </c>
      <c r="B399" s="36">
        <f>'Pré Implantação'!C399</f>
        <v>0</v>
      </c>
      <c r="C399" s="34" t="str">
        <f>IFERROR(IF('Pré Implantação'!B399="Produção TI",AVERAGE('Pré Implantação'!D399,'Pré Implantação'!L399,'Pré Implantação'!E399,'Pré Implantação'!H399),AVERAGE('Pré Implantação'!E399,'Pré Implantação'!H399)),"")</f>
        <v/>
      </c>
      <c r="D399" s="34" t="str">
        <f>IFERROR(IF('Pré Implantação'!B399="CSC Service Desk",AVERAGE('Pré Implantação'!D399,'Pré Implantação'!L399,'Pré Implantação'!F399),AVERAGE('Pré Implantação'!F399)),"")</f>
        <v/>
      </c>
      <c r="E399" s="34" t="str">
        <f>IFERROR(IF('Pré Implantação'!B399="CSC NOC",AVERAGE('Pré Implantação'!D399,'Pré Implantação'!L399,'Pré Implantação'!G399),AVERAGE('Pré Implantação'!G399)),"")</f>
        <v/>
      </c>
      <c r="F399" s="34" t="str">
        <f>IFERROR(IF('Pré Implantação'!B399="CSE Gravadores",AVERAGE('Pré Implantação'!D399,'Pré Implantação'!L399,'Pré Implantação'!I399),AVERAGE('Pré Implantação'!I399)),"")</f>
        <v/>
      </c>
      <c r="G399" s="34" t="str">
        <f>IFERROR(IF('Pré Implantação'!B399="CSC",AVERAGE('Pré Implantação'!D399,'Pré Implantação'!L399,'Pré Implantação'!J399),AVERAGE('Pré Implantação'!J399)),"")</f>
        <v/>
      </c>
      <c r="H399" s="34" t="str">
        <f>IFERROR(IF('Pré Implantação'!B399="Operações \ Negócio",AVERAGE('Pré Implantação'!D399,'Pré Implantação'!L399,'Pré Implantação'!K399),AVERAGE('Pré Implantação'!K399)),"")</f>
        <v/>
      </c>
      <c r="I399" s="34" t="str">
        <f>IFERROR(IF('Pré Implantação'!B399="Projetos",AVERAGE('Pré Implantação'!D399,'Pré Implantação'!L399,'Pré Implantação'!M399),AVERAGE('Pré Implantação'!M399)),"")</f>
        <v/>
      </c>
      <c r="J399" s="34" t="str">
        <f>IFERROR(IF('Pré Implantação'!B399="Engenharia",AVERAGE('Pré Implantação'!D399,'Pré Implantação'!L399,'Pré Implantação'!N399),AVERAGE('Pré Implantação'!N399)),"")</f>
        <v/>
      </c>
      <c r="K399" s="34" t="str">
        <f>IFERROR(IF('Pré Implantação'!B399="URA",AVERAGE('Pré Implantação'!D399,'Pré Implantação'!L399),""),"")</f>
        <v/>
      </c>
      <c r="L399" s="34" t="str">
        <f>IFERROR(IF('Pré Implantação'!B399="CSE Microsoft",AVERAGE('Pré Implantação'!D399,'Pré Implantação'!L399),""),"")</f>
        <v/>
      </c>
      <c r="M399" s="34" t="str">
        <f>IFERROR(IF('Pré Implantação'!B399="CSE Telecom",AVERAGE('Pré Implantação'!D399,'Pré Implantação'!L399),""),"")</f>
        <v/>
      </c>
      <c r="N399" s="34" t="str">
        <f>IFERROR(IF('Pré Implantação'!B399="Site Suporte de Campo",AVERAGE('Pré Implantação'!D399,'Pré Implantação'!L399),""),"")</f>
        <v/>
      </c>
      <c r="O399" s="49" t="str">
        <f>IFERROR(IF('Pré Implantação'!B399="Infraestrutura",AVERAGE('Pré Implantação'!D399,'Pré Implantação'!L399),""),"")</f>
        <v/>
      </c>
    </row>
    <row r="400" spans="1:15" x14ac:dyDescent="0.3">
      <c r="A400" s="33">
        <f>'Pré Implantação'!A400</f>
        <v>0</v>
      </c>
      <c r="B400" s="36">
        <f>'Pré Implantação'!C400</f>
        <v>0</v>
      </c>
      <c r="C400" s="34" t="str">
        <f>IFERROR(IF('Pré Implantação'!B400="Produção TI",AVERAGE('Pré Implantação'!D400,'Pré Implantação'!L400,'Pré Implantação'!E400,'Pré Implantação'!H400),AVERAGE('Pré Implantação'!E400,'Pré Implantação'!H400)),"")</f>
        <v/>
      </c>
      <c r="D400" s="34" t="str">
        <f>IFERROR(IF('Pré Implantação'!B400="CSC Service Desk",AVERAGE('Pré Implantação'!D400,'Pré Implantação'!L400,'Pré Implantação'!F400),AVERAGE('Pré Implantação'!F400)),"")</f>
        <v/>
      </c>
      <c r="E400" s="34" t="str">
        <f>IFERROR(IF('Pré Implantação'!B400="CSC NOC",AVERAGE('Pré Implantação'!D400,'Pré Implantação'!L400,'Pré Implantação'!G400),AVERAGE('Pré Implantação'!G400)),"")</f>
        <v/>
      </c>
      <c r="F400" s="34" t="str">
        <f>IFERROR(IF('Pré Implantação'!B400="CSE Gravadores",AVERAGE('Pré Implantação'!D400,'Pré Implantação'!L400,'Pré Implantação'!I400),AVERAGE('Pré Implantação'!I400)),"")</f>
        <v/>
      </c>
      <c r="G400" s="34" t="str">
        <f>IFERROR(IF('Pré Implantação'!B400="CSC",AVERAGE('Pré Implantação'!D400,'Pré Implantação'!L400,'Pré Implantação'!J400),AVERAGE('Pré Implantação'!J400)),"")</f>
        <v/>
      </c>
      <c r="H400" s="34" t="str">
        <f>IFERROR(IF('Pré Implantação'!B400="Operações \ Negócio",AVERAGE('Pré Implantação'!D400,'Pré Implantação'!L400,'Pré Implantação'!K400),AVERAGE('Pré Implantação'!K400)),"")</f>
        <v/>
      </c>
      <c r="I400" s="34" t="str">
        <f>IFERROR(IF('Pré Implantação'!B400="Projetos",AVERAGE('Pré Implantação'!D400,'Pré Implantação'!L400,'Pré Implantação'!M400),AVERAGE('Pré Implantação'!M400)),"")</f>
        <v/>
      </c>
      <c r="J400" s="34" t="str">
        <f>IFERROR(IF('Pré Implantação'!B400="Engenharia",AVERAGE('Pré Implantação'!D400,'Pré Implantação'!L400,'Pré Implantação'!N400),AVERAGE('Pré Implantação'!N400)),"")</f>
        <v/>
      </c>
      <c r="K400" s="34" t="str">
        <f>IFERROR(IF('Pré Implantação'!B400="URA",AVERAGE('Pré Implantação'!D400,'Pré Implantação'!L400),""),"")</f>
        <v/>
      </c>
      <c r="L400" s="34" t="str">
        <f>IFERROR(IF('Pré Implantação'!B400="CSE Microsoft",AVERAGE('Pré Implantação'!D400,'Pré Implantação'!L400),""),"")</f>
        <v/>
      </c>
      <c r="M400" s="34" t="str">
        <f>IFERROR(IF('Pré Implantação'!B400="CSE Telecom",AVERAGE('Pré Implantação'!D400,'Pré Implantação'!L400),""),"")</f>
        <v/>
      </c>
      <c r="N400" s="34" t="str">
        <f>IFERROR(IF('Pré Implantação'!B400="Site Suporte de Campo",AVERAGE('Pré Implantação'!D400,'Pré Implantação'!L400),""),"")</f>
        <v/>
      </c>
      <c r="O400" s="49" t="str">
        <f>IFERROR(IF('Pré Implantação'!B400="Infraestrutura",AVERAGE('Pré Implantação'!D400,'Pré Implantação'!L400),""),"")</f>
        <v/>
      </c>
    </row>
    <row r="401" spans="1:15" x14ac:dyDescent="0.3">
      <c r="A401" s="33">
        <f>'Pré Implantação'!A401</f>
        <v>0</v>
      </c>
      <c r="B401" s="36">
        <f>'Pré Implantação'!C401</f>
        <v>0</v>
      </c>
      <c r="C401" s="34" t="str">
        <f>IFERROR(IF('Pré Implantação'!B401="Produção TI",AVERAGE('Pré Implantação'!D401,'Pré Implantação'!L401,'Pré Implantação'!E401,'Pré Implantação'!H401),AVERAGE('Pré Implantação'!E401,'Pré Implantação'!H401)),"")</f>
        <v/>
      </c>
      <c r="D401" s="34" t="str">
        <f>IFERROR(IF('Pré Implantação'!B401="CSC Service Desk",AVERAGE('Pré Implantação'!D401,'Pré Implantação'!L401,'Pré Implantação'!F401),AVERAGE('Pré Implantação'!F401)),"")</f>
        <v/>
      </c>
      <c r="E401" s="34" t="str">
        <f>IFERROR(IF('Pré Implantação'!B401="CSC NOC",AVERAGE('Pré Implantação'!D401,'Pré Implantação'!L401,'Pré Implantação'!G401),AVERAGE('Pré Implantação'!G401)),"")</f>
        <v/>
      </c>
      <c r="F401" s="34" t="str">
        <f>IFERROR(IF('Pré Implantação'!B401="CSE Gravadores",AVERAGE('Pré Implantação'!D401,'Pré Implantação'!L401,'Pré Implantação'!I401),AVERAGE('Pré Implantação'!I401)),"")</f>
        <v/>
      </c>
      <c r="G401" s="34" t="str">
        <f>IFERROR(IF('Pré Implantação'!B401="CSC",AVERAGE('Pré Implantação'!D401,'Pré Implantação'!L401,'Pré Implantação'!J401),AVERAGE('Pré Implantação'!J401)),"")</f>
        <v/>
      </c>
      <c r="H401" s="34" t="str">
        <f>IFERROR(IF('Pré Implantação'!B401="Operações \ Negócio",AVERAGE('Pré Implantação'!D401,'Pré Implantação'!L401,'Pré Implantação'!K401),AVERAGE('Pré Implantação'!K401)),"")</f>
        <v/>
      </c>
      <c r="I401" s="34" t="str">
        <f>IFERROR(IF('Pré Implantação'!B401="Projetos",AVERAGE('Pré Implantação'!D401,'Pré Implantação'!L401,'Pré Implantação'!M401),AVERAGE('Pré Implantação'!M401)),"")</f>
        <v/>
      </c>
      <c r="J401" s="34" t="str">
        <f>IFERROR(IF('Pré Implantação'!B401="Engenharia",AVERAGE('Pré Implantação'!D401,'Pré Implantação'!L401,'Pré Implantação'!N401),AVERAGE('Pré Implantação'!N401)),"")</f>
        <v/>
      </c>
      <c r="K401" s="34" t="str">
        <f>IFERROR(IF('Pré Implantação'!B401="URA",AVERAGE('Pré Implantação'!D401,'Pré Implantação'!L401),""),"")</f>
        <v/>
      </c>
      <c r="L401" s="34" t="str">
        <f>IFERROR(IF('Pré Implantação'!B401="CSE Microsoft",AVERAGE('Pré Implantação'!D401,'Pré Implantação'!L401),""),"")</f>
        <v/>
      </c>
      <c r="M401" s="34" t="str">
        <f>IFERROR(IF('Pré Implantação'!B401="CSE Telecom",AVERAGE('Pré Implantação'!D401,'Pré Implantação'!L401),""),"")</f>
        <v/>
      </c>
      <c r="N401" s="34" t="str">
        <f>IFERROR(IF('Pré Implantação'!B401="Site Suporte de Campo",AVERAGE('Pré Implantação'!D401,'Pré Implantação'!L401),""),"")</f>
        <v/>
      </c>
      <c r="O401" s="49" t="str">
        <f>IFERROR(IF('Pré Implantação'!B401="Infraestrutura",AVERAGE('Pré Implantação'!D401,'Pré Implantação'!L401),""),"")</f>
        <v/>
      </c>
    </row>
    <row r="402" spans="1:15" x14ac:dyDescent="0.3">
      <c r="A402" s="33">
        <f>'Pré Implantação'!A402</f>
        <v>0</v>
      </c>
      <c r="B402" s="36">
        <f>'Pré Implantação'!C402</f>
        <v>0</v>
      </c>
      <c r="C402" s="34" t="str">
        <f>IFERROR(IF('Pré Implantação'!B402="Produção TI",AVERAGE('Pré Implantação'!D402,'Pré Implantação'!L402,'Pré Implantação'!E402,'Pré Implantação'!H402),AVERAGE('Pré Implantação'!E402,'Pré Implantação'!H402)),"")</f>
        <v/>
      </c>
      <c r="D402" s="34" t="str">
        <f>IFERROR(IF('Pré Implantação'!B402="CSC Service Desk",AVERAGE('Pré Implantação'!D402,'Pré Implantação'!L402,'Pré Implantação'!F402),AVERAGE('Pré Implantação'!F402)),"")</f>
        <v/>
      </c>
      <c r="E402" s="34" t="str">
        <f>IFERROR(IF('Pré Implantação'!B402="CSC NOC",AVERAGE('Pré Implantação'!D402,'Pré Implantação'!L402,'Pré Implantação'!G402),AVERAGE('Pré Implantação'!G402)),"")</f>
        <v/>
      </c>
      <c r="F402" s="34" t="str">
        <f>IFERROR(IF('Pré Implantação'!B402="CSE Gravadores",AVERAGE('Pré Implantação'!D402,'Pré Implantação'!L402,'Pré Implantação'!I402),AVERAGE('Pré Implantação'!I402)),"")</f>
        <v/>
      </c>
      <c r="G402" s="34" t="str">
        <f>IFERROR(IF('Pré Implantação'!B402="CSC",AVERAGE('Pré Implantação'!D402,'Pré Implantação'!L402,'Pré Implantação'!J402),AVERAGE('Pré Implantação'!J402)),"")</f>
        <v/>
      </c>
      <c r="H402" s="34" t="str">
        <f>IFERROR(IF('Pré Implantação'!B402="Operações \ Negócio",AVERAGE('Pré Implantação'!D402,'Pré Implantação'!L402,'Pré Implantação'!K402),AVERAGE('Pré Implantação'!K402)),"")</f>
        <v/>
      </c>
      <c r="I402" s="34" t="str">
        <f>IFERROR(IF('Pré Implantação'!B402="Projetos",AVERAGE('Pré Implantação'!D402,'Pré Implantação'!L402,'Pré Implantação'!M402),AVERAGE('Pré Implantação'!M402)),"")</f>
        <v/>
      </c>
      <c r="J402" s="34" t="str">
        <f>IFERROR(IF('Pré Implantação'!B402="Engenharia",AVERAGE('Pré Implantação'!D402,'Pré Implantação'!L402,'Pré Implantação'!N402),AVERAGE('Pré Implantação'!N402)),"")</f>
        <v/>
      </c>
      <c r="K402" s="34" t="str">
        <f>IFERROR(IF('Pré Implantação'!B402="URA",AVERAGE('Pré Implantação'!D402,'Pré Implantação'!L402),""),"")</f>
        <v/>
      </c>
      <c r="L402" s="34" t="str">
        <f>IFERROR(IF('Pré Implantação'!B402="CSE Microsoft",AVERAGE('Pré Implantação'!D402,'Pré Implantação'!L402),""),"")</f>
        <v/>
      </c>
      <c r="M402" s="34" t="str">
        <f>IFERROR(IF('Pré Implantação'!B402="CSE Telecom",AVERAGE('Pré Implantação'!D402,'Pré Implantação'!L402),""),"")</f>
        <v/>
      </c>
      <c r="N402" s="34" t="str">
        <f>IFERROR(IF('Pré Implantação'!B402="Site Suporte de Campo",AVERAGE('Pré Implantação'!D402,'Pré Implantação'!L402),""),"")</f>
        <v/>
      </c>
      <c r="O402" s="49" t="str">
        <f>IFERROR(IF('Pré Implantação'!B402="Infraestrutura",AVERAGE('Pré Implantação'!D402,'Pré Implantação'!L402),""),"")</f>
        <v/>
      </c>
    </row>
    <row r="403" spans="1:15" x14ac:dyDescent="0.3">
      <c r="A403" s="33">
        <f>'Pré Implantação'!A403</f>
        <v>0</v>
      </c>
      <c r="B403" s="36">
        <f>'Pré Implantação'!C403</f>
        <v>0</v>
      </c>
      <c r="C403" s="34" t="str">
        <f>IFERROR(IF('Pré Implantação'!B403="Produção TI",AVERAGE('Pré Implantação'!D403,'Pré Implantação'!L403,'Pré Implantação'!E403,'Pré Implantação'!H403),AVERAGE('Pré Implantação'!E403,'Pré Implantação'!H403)),"")</f>
        <v/>
      </c>
      <c r="D403" s="34" t="str">
        <f>IFERROR(IF('Pré Implantação'!B403="CSC Service Desk",AVERAGE('Pré Implantação'!D403,'Pré Implantação'!L403,'Pré Implantação'!F403),AVERAGE('Pré Implantação'!F403)),"")</f>
        <v/>
      </c>
      <c r="E403" s="34" t="str">
        <f>IFERROR(IF('Pré Implantação'!B403="CSC NOC",AVERAGE('Pré Implantação'!D403,'Pré Implantação'!L403,'Pré Implantação'!G403),AVERAGE('Pré Implantação'!G403)),"")</f>
        <v/>
      </c>
      <c r="F403" s="34" t="str">
        <f>IFERROR(IF('Pré Implantação'!B403="CSE Gravadores",AVERAGE('Pré Implantação'!D403,'Pré Implantação'!L403,'Pré Implantação'!I403),AVERAGE('Pré Implantação'!I403)),"")</f>
        <v/>
      </c>
      <c r="G403" s="34" t="str">
        <f>IFERROR(IF('Pré Implantação'!B403="CSC",AVERAGE('Pré Implantação'!D403,'Pré Implantação'!L403,'Pré Implantação'!J403),AVERAGE('Pré Implantação'!J403)),"")</f>
        <v/>
      </c>
      <c r="H403" s="34" t="str">
        <f>IFERROR(IF('Pré Implantação'!B403="Operações \ Negócio",AVERAGE('Pré Implantação'!D403,'Pré Implantação'!L403,'Pré Implantação'!K403),AVERAGE('Pré Implantação'!K403)),"")</f>
        <v/>
      </c>
      <c r="I403" s="34" t="str">
        <f>IFERROR(IF('Pré Implantação'!B403="Projetos",AVERAGE('Pré Implantação'!D403,'Pré Implantação'!L403,'Pré Implantação'!M403),AVERAGE('Pré Implantação'!M403)),"")</f>
        <v/>
      </c>
      <c r="J403" s="34" t="str">
        <f>IFERROR(IF('Pré Implantação'!B403="Engenharia",AVERAGE('Pré Implantação'!D403,'Pré Implantação'!L403,'Pré Implantação'!N403),AVERAGE('Pré Implantação'!N403)),"")</f>
        <v/>
      </c>
      <c r="K403" s="34" t="str">
        <f>IFERROR(IF('Pré Implantação'!B403="URA",AVERAGE('Pré Implantação'!D403,'Pré Implantação'!L403),""),"")</f>
        <v/>
      </c>
      <c r="L403" s="34" t="str">
        <f>IFERROR(IF('Pré Implantação'!B403="CSE Microsoft",AVERAGE('Pré Implantação'!D403,'Pré Implantação'!L403),""),"")</f>
        <v/>
      </c>
      <c r="M403" s="34" t="str">
        <f>IFERROR(IF('Pré Implantação'!B403="CSE Telecom",AVERAGE('Pré Implantação'!D403,'Pré Implantação'!L403),""),"")</f>
        <v/>
      </c>
      <c r="N403" s="34" t="str">
        <f>IFERROR(IF('Pré Implantação'!B403="Site Suporte de Campo",AVERAGE('Pré Implantação'!D403,'Pré Implantação'!L403),""),"")</f>
        <v/>
      </c>
      <c r="O403" s="49" t="str">
        <f>IFERROR(IF('Pré Implantação'!B403="Infraestrutura",AVERAGE('Pré Implantação'!D403,'Pré Implantação'!L403),""),"")</f>
        <v/>
      </c>
    </row>
    <row r="404" spans="1:15" x14ac:dyDescent="0.3">
      <c r="A404" s="33">
        <f>'Pré Implantação'!A404</f>
        <v>0</v>
      </c>
      <c r="B404" s="36">
        <f>'Pré Implantação'!C404</f>
        <v>0</v>
      </c>
      <c r="C404" s="34" t="str">
        <f>IFERROR(IF('Pré Implantação'!B404="Produção TI",AVERAGE('Pré Implantação'!D404,'Pré Implantação'!L404,'Pré Implantação'!E404,'Pré Implantação'!H404),AVERAGE('Pré Implantação'!E404,'Pré Implantação'!H404)),"")</f>
        <v/>
      </c>
      <c r="D404" s="34" t="str">
        <f>IFERROR(IF('Pré Implantação'!B404="CSC Service Desk",AVERAGE('Pré Implantação'!D404,'Pré Implantação'!L404,'Pré Implantação'!F404),AVERAGE('Pré Implantação'!F404)),"")</f>
        <v/>
      </c>
      <c r="E404" s="34" t="str">
        <f>IFERROR(IF('Pré Implantação'!B404="CSC NOC",AVERAGE('Pré Implantação'!D404,'Pré Implantação'!L404,'Pré Implantação'!G404),AVERAGE('Pré Implantação'!G404)),"")</f>
        <v/>
      </c>
      <c r="F404" s="34" t="str">
        <f>IFERROR(IF('Pré Implantação'!B404="CSE Gravadores",AVERAGE('Pré Implantação'!D404,'Pré Implantação'!L404,'Pré Implantação'!I404),AVERAGE('Pré Implantação'!I404)),"")</f>
        <v/>
      </c>
      <c r="G404" s="34" t="str">
        <f>IFERROR(IF('Pré Implantação'!B404="CSC",AVERAGE('Pré Implantação'!D404,'Pré Implantação'!L404,'Pré Implantação'!J404),AVERAGE('Pré Implantação'!J404)),"")</f>
        <v/>
      </c>
      <c r="H404" s="34" t="str">
        <f>IFERROR(IF('Pré Implantação'!B404="Operações \ Negócio",AVERAGE('Pré Implantação'!D404,'Pré Implantação'!L404,'Pré Implantação'!K404),AVERAGE('Pré Implantação'!K404)),"")</f>
        <v/>
      </c>
      <c r="I404" s="34" t="str">
        <f>IFERROR(IF('Pré Implantação'!B404="Projetos",AVERAGE('Pré Implantação'!D404,'Pré Implantação'!L404,'Pré Implantação'!M404),AVERAGE('Pré Implantação'!M404)),"")</f>
        <v/>
      </c>
      <c r="J404" s="34" t="str">
        <f>IFERROR(IF('Pré Implantação'!B404="Engenharia",AVERAGE('Pré Implantação'!D404,'Pré Implantação'!L404,'Pré Implantação'!N404),AVERAGE('Pré Implantação'!N404)),"")</f>
        <v/>
      </c>
      <c r="K404" s="34" t="str">
        <f>IFERROR(IF('Pré Implantação'!B404="URA",AVERAGE('Pré Implantação'!D404,'Pré Implantação'!L404),""),"")</f>
        <v/>
      </c>
      <c r="L404" s="34" t="str">
        <f>IFERROR(IF('Pré Implantação'!B404="CSE Microsoft",AVERAGE('Pré Implantação'!D404,'Pré Implantação'!L404),""),"")</f>
        <v/>
      </c>
      <c r="M404" s="34" t="str">
        <f>IFERROR(IF('Pré Implantação'!B404="CSE Telecom",AVERAGE('Pré Implantação'!D404,'Pré Implantação'!L404),""),"")</f>
        <v/>
      </c>
      <c r="N404" s="34" t="str">
        <f>IFERROR(IF('Pré Implantação'!B404="Site Suporte de Campo",AVERAGE('Pré Implantação'!D404,'Pré Implantação'!L404),""),"")</f>
        <v/>
      </c>
      <c r="O404" s="49" t="str">
        <f>IFERROR(IF('Pré Implantação'!B404="Infraestrutura",AVERAGE('Pré Implantação'!D404,'Pré Implantação'!L404),""),"")</f>
        <v/>
      </c>
    </row>
    <row r="405" spans="1:15" x14ac:dyDescent="0.3">
      <c r="A405" s="33">
        <f>'Pré Implantação'!A405</f>
        <v>0</v>
      </c>
      <c r="B405" s="36">
        <f>'Pré Implantação'!C405</f>
        <v>0</v>
      </c>
      <c r="C405" s="34" t="str">
        <f>IFERROR(IF('Pré Implantação'!B405="Produção TI",AVERAGE('Pré Implantação'!D405,'Pré Implantação'!L405,'Pré Implantação'!E405,'Pré Implantação'!H405),AVERAGE('Pré Implantação'!E405,'Pré Implantação'!H405)),"")</f>
        <v/>
      </c>
      <c r="D405" s="34" t="str">
        <f>IFERROR(IF('Pré Implantação'!B405="CSC Service Desk",AVERAGE('Pré Implantação'!D405,'Pré Implantação'!L405,'Pré Implantação'!F405),AVERAGE('Pré Implantação'!F405)),"")</f>
        <v/>
      </c>
      <c r="E405" s="34" t="str">
        <f>IFERROR(IF('Pré Implantação'!B405="CSC NOC",AVERAGE('Pré Implantação'!D405,'Pré Implantação'!L405,'Pré Implantação'!G405),AVERAGE('Pré Implantação'!G405)),"")</f>
        <v/>
      </c>
      <c r="F405" s="34" t="str">
        <f>IFERROR(IF('Pré Implantação'!B405="CSE Gravadores",AVERAGE('Pré Implantação'!D405,'Pré Implantação'!L405,'Pré Implantação'!I405),AVERAGE('Pré Implantação'!I405)),"")</f>
        <v/>
      </c>
      <c r="G405" s="34" t="str">
        <f>IFERROR(IF('Pré Implantação'!B405="CSC",AVERAGE('Pré Implantação'!D405,'Pré Implantação'!L405,'Pré Implantação'!J405),AVERAGE('Pré Implantação'!J405)),"")</f>
        <v/>
      </c>
      <c r="H405" s="34" t="str">
        <f>IFERROR(IF('Pré Implantação'!B405="Operações \ Negócio",AVERAGE('Pré Implantação'!D405,'Pré Implantação'!L405,'Pré Implantação'!K405),AVERAGE('Pré Implantação'!K405)),"")</f>
        <v/>
      </c>
      <c r="I405" s="34" t="str">
        <f>IFERROR(IF('Pré Implantação'!B405="Projetos",AVERAGE('Pré Implantação'!D405,'Pré Implantação'!L405,'Pré Implantação'!M405),AVERAGE('Pré Implantação'!M405)),"")</f>
        <v/>
      </c>
      <c r="J405" s="34" t="str">
        <f>IFERROR(IF('Pré Implantação'!B405="Engenharia",AVERAGE('Pré Implantação'!D405,'Pré Implantação'!L405,'Pré Implantação'!N405),AVERAGE('Pré Implantação'!N405)),"")</f>
        <v/>
      </c>
      <c r="K405" s="34" t="str">
        <f>IFERROR(IF('Pré Implantação'!B405="URA",AVERAGE('Pré Implantação'!D405,'Pré Implantação'!L405),""),"")</f>
        <v/>
      </c>
      <c r="L405" s="34" t="str">
        <f>IFERROR(IF('Pré Implantação'!B405="CSE Microsoft",AVERAGE('Pré Implantação'!D405,'Pré Implantação'!L405),""),"")</f>
        <v/>
      </c>
      <c r="M405" s="34" t="str">
        <f>IFERROR(IF('Pré Implantação'!B405="CSE Telecom",AVERAGE('Pré Implantação'!D405,'Pré Implantação'!L405),""),"")</f>
        <v/>
      </c>
      <c r="N405" s="34" t="str">
        <f>IFERROR(IF('Pré Implantação'!B405="Site Suporte de Campo",AVERAGE('Pré Implantação'!D405,'Pré Implantação'!L405),""),"")</f>
        <v/>
      </c>
      <c r="O405" s="49" t="str">
        <f>IFERROR(IF('Pré Implantação'!B405="Infraestrutura",AVERAGE('Pré Implantação'!D405,'Pré Implantação'!L405),""),"")</f>
        <v/>
      </c>
    </row>
    <row r="406" spans="1:15" x14ac:dyDescent="0.3">
      <c r="A406" s="33">
        <f>'Pré Implantação'!A406</f>
        <v>0</v>
      </c>
      <c r="B406" s="36">
        <f>'Pré Implantação'!C406</f>
        <v>0</v>
      </c>
      <c r="C406" s="34" t="str">
        <f>IFERROR(IF('Pré Implantação'!B406="Produção TI",AVERAGE('Pré Implantação'!D406,'Pré Implantação'!L406,'Pré Implantação'!E406,'Pré Implantação'!H406),AVERAGE('Pré Implantação'!E406,'Pré Implantação'!H406)),"")</f>
        <v/>
      </c>
      <c r="D406" s="34" t="str">
        <f>IFERROR(IF('Pré Implantação'!B406="CSC Service Desk",AVERAGE('Pré Implantação'!D406,'Pré Implantação'!L406,'Pré Implantação'!F406),AVERAGE('Pré Implantação'!F406)),"")</f>
        <v/>
      </c>
      <c r="E406" s="34" t="str">
        <f>IFERROR(IF('Pré Implantação'!B406="CSC NOC",AVERAGE('Pré Implantação'!D406,'Pré Implantação'!L406,'Pré Implantação'!G406),AVERAGE('Pré Implantação'!G406)),"")</f>
        <v/>
      </c>
      <c r="F406" s="34" t="str">
        <f>IFERROR(IF('Pré Implantação'!B406="CSE Gravadores",AVERAGE('Pré Implantação'!D406,'Pré Implantação'!L406,'Pré Implantação'!I406),AVERAGE('Pré Implantação'!I406)),"")</f>
        <v/>
      </c>
      <c r="G406" s="34" t="str">
        <f>IFERROR(IF('Pré Implantação'!B406="CSC",AVERAGE('Pré Implantação'!D406,'Pré Implantação'!L406,'Pré Implantação'!J406),AVERAGE('Pré Implantação'!J406)),"")</f>
        <v/>
      </c>
      <c r="H406" s="34" t="str">
        <f>IFERROR(IF('Pré Implantação'!B406="Operações \ Negócio",AVERAGE('Pré Implantação'!D406,'Pré Implantação'!L406,'Pré Implantação'!K406),AVERAGE('Pré Implantação'!K406)),"")</f>
        <v/>
      </c>
      <c r="I406" s="34" t="str">
        <f>IFERROR(IF('Pré Implantação'!B406="Projetos",AVERAGE('Pré Implantação'!D406,'Pré Implantação'!L406,'Pré Implantação'!M406),AVERAGE('Pré Implantação'!M406)),"")</f>
        <v/>
      </c>
      <c r="J406" s="34" t="str">
        <f>IFERROR(IF('Pré Implantação'!B406="Engenharia",AVERAGE('Pré Implantação'!D406,'Pré Implantação'!L406,'Pré Implantação'!N406),AVERAGE('Pré Implantação'!N406)),"")</f>
        <v/>
      </c>
      <c r="K406" s="34" t="str">
        <f>IFERROR(IF('Pré Implantação'!B406="URA",AVERAGE('Pré Implantação'!D406,'Pré Implantação'!L406),""),"")</f>
        <v/>
      </c>
      <c r="L406" s="34" t="str">
        <f>IFERROR(IF('Pré Implantação'!B406="CSE Microsoft",AVERAGE('Pré Implantação'!D406,'Pré Implantação'!L406),""),"")</f>
        <v/>
      </c>
      <c r="M406" s="34" t="str">
        <f>IFERROR(IF('Pré Implantação'!B406="CSE Telecom",AVERAGE('Pré Implantação'!D406,'Pré Implantação'!L406),""),"")</f>
        <v/>
      </c>
      <c r="N406" s="34" t="str">
        <f>IFERROR(IF('Pré Implantação'!B406="Site Suporte de Campo",AVERAGE('Pré Implantação'!D406,'Pré Implantação'!L406),""),"")</f>
        <v/>
      </c>
      <c r="O406" s="49" t="str">
        <f>IFERROR(IF('Pré Implantação'!B406="Infraestrutura",AVERAGE('Pré Implantação'!D406,'Pré Implantação'!L406),""),"")</f>
        <v/>
      </c>
    </row>
    <row r="407" spans="1:15" x14ac:dyDescent="0.3">
      <c r="A407" s="33">
        <f>'Pré Implantação'!A407</f>
        <v>0</v>
      </c>
      <c r="B407" s="36">
        <f>'Pré Implantação'!C407</f>
        <v>0</v>
      </c>
      <c r="C407" s="34" t="str">
        <f>IFERROR(IF('Pré Implantação'!B407="Produção TI",AVERAGE('Pré Implantação'!D407,'Pré Implantação'!L407,'Pré Implantação'!E407,'Pré Implantação'!H407),AVERAGE('Pré Implantação'!E407,'Pré Implantação'!H407)),"")</f>
        <v/>
      </c>
      <c r="D407" s="34" t="str">
        <f>IFERROR(IF('Pré Implantação'!B407="CSC Service Desk",AVERAGE('Pré Implantação'!D407,'Pré Implantação'!L407,'Pré Implantação'!F407),AVERAGE('Pré Implantação'!F407)),"")</f>
        <v/>
      </c>
      <c r="E407" s="34" t="str">
        <f>IFERROR(IF('Pré Implantação'!B407="CSC NOC",AVERAGE('Pré Implantação'!D407,'Pré Implantação'!L407,'Pré Implantação'!G407),AVERAGE('Pré Implantação'!G407)),"")</f>
        <v/>
      </c>
      <c r="F407" s="34" t="str">
        <f>IFERROR(IF('Pré Implantação'!B407="CSE Gravadores",AVERAGE('Pré Implantação'!D407,'Pré Implantação'!L407,'Pré Implantação'!I407),AVERAGE('Pré Implantação'!I407)),"")</f>
        <v/>
      </c>
      <c r="G407" s="34" t="str">
        <f>IFERROR(IF('Pré Implantação'!B407="CSC",AVERAGE('Pré Implantação'!D407,'Pré Implantação'!L407,'Pré Implantação'!J407),AVERAGE('Pré Implantação'!J407)),"")</f>
        <v/>
      </c>
      <c r="H407" s="34" t="str">
        <f>IFERROR(IF('Pré Implantação'!B407="Operações \ Negócio",AVERAGE('Pré Implantação'!D407,'Pré Implantação'!L407,'Pré Implantação'!K407),AVERAGE('Pré Implantação'!K407)),"")</f>
        <v/>
      </c>
      <c r="I407" s="34" t="str">
        <f>IFERROR(IF('Pré Implantação'!B407="Projetos",AVERAGE('Pré Implantação'!D407,'Pré Implantação'!L407,'Pré Implantação'!M407),AVERAGE('Pré Implantação'!M407)),"")</f>
        <v/>
      </c>
      <c r="J407" s="34" t="str">
        <f>IFERROR(IF('Pré Implantação'!B407="Engenharia",AVERAGE('Pré Implantação'!D407,'Pré Implantação'!L407,'Pré Implantação'!N407),AVERAGE('Pré Implantação'!N407)),"")</f>
        <v/>
      </c>
      <c r="K407" s="34" t="str">
        <f>IFERROR(IF('Pré Implantação'!B407="URA",AVERAGE('Pré Implantação'!D407,'Pré Implantação'!L407),""),"")</f>
        <v/>
      </c>
      <c r="L407" s="34" t="str">
        <f>IFERROR(IF('Pré Implantação'!B407="CSE Microsoft",AVERAGE('Pré Implantação'!D407,'Pré Implantação'!L407),""),"")</f>
        <v/>
      </c>
      <c r="M407" s="34" t="str">
        <f>IFERROR(IF('Pré Implantação'!B407="CSE Telecom",AVERAGE('Pré Implantação'!D407,'Pré Implantação'!L407),""),"")</f>
        <v/>
      </c>
      <c r="N407" s="34" t="str">
        <f>IFERROR(IF('Pré Implantação'!B407="Site Suporte de Campo",AVERAGE('Pré Implantação'!D407,'Pré Implantação'!L407),""),"")</f>
        <v/>
      </c>
      <c r="O407" s="49" t="str">
        <f>IFERROR(IF('Pré Implantação'!B407="Infraestrutura",AVERAGE('Pré Implantação'!D407,'Pré Implantação'!L407),""),"")</f>
        <v/>
      </c>
    </row>
    <row r="408" spans="1:15" x14ac:dyDescent="0.3">
      <c r="A408" s="33">
        <f>'Pré Implantação'!A408</f>
        <v>0</v>
      </c>
      <c r="B408" s="36">
        <f>'Pré Implantação'!C408</f>
        <v>0</v>
      </c>
      <c r="C408" s="34" t="str">
        <f>IFERROR(IF('Pré Implantação'!B408="Produção TI",AVERAGE('Pré Implantação'!D408,'Pré Implantação'!L408,'Pré Implantação'!E408,'Pré Implantação'!H408),AVERAGE('Pré Implantação'!E408,'Pré Implantação'!H408)),"")</f>
        <v/>
      </c>
      <c r="D408" s="34" t="str">
        <f>IFERROR(IF('Pré Implantação'!B408="CSC Service Desk",AVERAGE('Pré Implantação'!D408,'Pré Implantação'!L408,'Pré Implantação'!F408),AVERAGE('Pré Implantação'!F408)),"")</f>
        <v/>
      </c>
      <c r="E408" s="34" t="str">
        <f>IFERROR(IF('Pré Implantação'!B408="CSC NOC",AVERAGE('Pré Implantação'!D408,'Pré Implantação'!L408,'Pré Implantação'!G408),AVERAGE('Pré Implantação'!G408)),"")</f>
        <v/>
      </c>
      <c r="F408" s="34" t="str">
        <f>IFERROR(IF('Pré Implantação'!B408="CSE Gravadores",AVERAGE('Pré Implantação'!D408,'Pré Implantação'!L408,'Pré Implantação'!I408),AVERAGE('Pré Implantação'!I408)),"")</f>
        <v/>
      </c>
      <c r="G408" s="34" t="str">
        <f>IFERROR(IF('Pré Implantação'!B408="CSC",AVERAGE('Pré Implantação'!D408,'Pré Implantação'!L408,'Pré Implantação'!J408),AVERAGE('Pré Implantação'!J408)),"")</f>
        <v/>
      </c>
      <c r="H408" s="34" t="str">
        <f>IFERROR(IF('Pré Implantação'!B408="Operações \ Negócio",AVERAGE('Pré Implantação'!D408,'Pré Implantação'!L408,'Pré Implantação'!K408),AVERAGE('Pré Implantação'!K408)),"")</f>
        <v/>
      </c>
      <c r="I408" s="34" t="str">
        <f>IFERROR(IF('Pré Implantação'!B408="Projetos",AVERAGE('Pré Implantação'!D408,'Pré Implantação'!L408,'Pré Implantação'!M408),AVERAGE('Pré Implantação'!M408)),"")</f>
        <v/>
      </c>
      <c r="J408" s="34" t="str">
        <f>IFERROR(IF('Pré Implantação'!B408="Engenharia",AVERAGE('Pré Implantação'!D408,'Pré Implantação'!L408,'Pré Implantação'!N408),AVERAGE('Pré Implantação'!N408)),"")</f>
        <v/>
      </c>
      <c r="K408" s="34" t="str">
        <f>IFERROR(IF('Pré Implantação'!B408="URA",AVERAGE('Pré Implantação'!D408,'Pré Implantação'!L408),""),"")</f>
        <v/>
      </c>
      <c r="L408" s="34" t="str">
        <f>IFERROR(IF('Pré Implantação'!B408="CSE Microsoft",AVERAGE('Pré Implantação'!D408,'Pré Implantação'!L408),""),"")</f>
        <v/>
      </c>
      <c r="M408" s="34" t="str">
        <f>IFERROR(IF('Pré Implantação'!B408="CSE Telecom",AVERAGE('Pré Implantação'!D408,'Pré Implantação'!L408),""),"")</f>
        <v/>
      </c>
      <c r="N408" s="34" t="str">
        <f>IFERROR(IF('Pré Implantação'!B408="Site Suporte de Campo",AVERAGE('Pré Implantação'!D408,'Pré Implantação'!L408),""),"")</f>
        <v/>
      </c>
      <c r="O408" s="49" t="str">
        <f>IFERROR(IF('Pré Implantação'!B408="Infraestrutura",AVERAGE('Pré Implantação'!D408,'Pré Implantação'!L408),""),"")</f>
        <v/>
      </c>
    </row>
    <row r="409" spans="1:15" x14ac:dyDescent="0.3">
      <c r="A409" s="33">
        <f>'Pré Implantação'!A409</f>
        <v>0</v>
      </c>
      <c r="B409" s="36">
        <f>'Pré Implantação'!C409</f>
        <v>0</v>
      </c>
      <c r="C409" s="34" t="str">
        <f>IFERROR(IF('Pré Implantação'!B409="Produção TI",AVERAGE('Pré Implantação'!D409,'Pré Implantação'!L409,'Pré Implantação'!E409,'Pré Implantação'!H409),AVERAGE('Pré Implantação'!E409,'Pré Implantação'!H409)),"")</f>
        <v/>
      </c>
      <c r="D409" s="34" t="str">
        <f>IFERROR(IF('Pré Implantação'!B409="CSC Service Desk",AVERAGE('Pré Implantação'!D409,'Pré Implantação'!L409,'Pré Implantação'!F409),AVERAGE('Pré Implantação'!F409)),"")</f>
        <v/>
      </c>
      <c r="E409" s="34" t="str">
        <f>IFERROR(IF('Pré Implantação'!B409="CSC NOC",AVERAGE('Pré Implantação'!D409,'Pré Implantação'!L409,'Pré Implantação'!G409),AVERAGE('Pré Implantação'!G409)),"")</f>
        <v/>
      </c>
      <c r="F409" s="34" t="str">
        <f>IFERROR(IF('Pré Implantação'!B409="CSE Gravadores",AVERAGE('Pré Implantação'!D409,'Pré Implantação'!L409,'Pré Implantação'!I409),AVERAGE('Pré Implantação'!I409)),"")</f>
        <v/>
      </c>
      <c r="G409" s="34" t="str">
        <f>IFERROR(IF('Pré Implantação'!B409="CSC",AVERAGE('Pré Implantação'!D409,'Pré Implantação'!L409,'Pré Implantação'!J409),AVERAGE('Pré Implantação'!J409)),"")</f>
        <v/>
      </c>
      <c r="H409" s="34" t="str">
        <f>IFERROR(IF('Pré Implantação'!B409="Operações \ Negócio",AVERAGE('Pré Implantação'!D409,'Pré Implantação'!L409,'Pré Implantação'!K409),AVERAGE('Pré Implantação'!K409)),"")</f>
        <v/>
      </c>
      <c r="I409" s="34" t="str">
        <f>IFERROR(IF('Pré Implantação'!B409="Projetos",AVERAGE('Pré Implantação'!D409,'Pré Implantação'!L409,'Pré Implantação'!M409),AVERAGE('Pré Implantação'!M409)),"")</f>
        <v/>
      </c>
      <c r="J409" s="34" t="str">
        <f>IFERROR(IF('Pré Implantação'!B409="Engenharia",AVERAGE('Pré Implantação'!D409,'Pré Implantação'!L409,'Pré Implantação'!N409),AVERAGE('Pré Implantação'!N409)),"")</f>
        <v/>
      </c>
      <c r="K409" s="34" t="str">
        <f>IFERROR(IF('Pré Implantação'!B409="URA",AVERAGE('Pré Implantação'!D409,'Pré Implantação'!L409),""),"")</f>
        <v/>
      </c>
      <c r="L409" s="34" t="str">
        <f>IFERROR(IF('Pré Implantação'!B409="CSE Microsoft",AVERAGE('Pré Implantação'!D409,'Pré Implantação'!L409),""),"")</f>
        <v/>
      </c>
      <c r="M409" s="34" t="str">
        <f>IFERROR(IF('Pré Implantação'!B409="CSE Telecom",AVERAGE('Pré Implantação'!D409,'Pré Implantação'!L409),""),"")</f>
        <v/>
      </c>
      <c r="N409" s="34" t="str">
        <f>IFERROR(IF('Pré Implantação'!B409="Site Suporte de Campo",AVERAGE('Pré Implantação'!D409,'Pré Implantação'!L409),""),"")</f>
        <v/>
      </c>
      <c r="O409" s="49" t="str">
        <f>IFERROR(IF('Pré Implantação'!B409="Infraestrutura",AVERAGE('Pré Implantação'!D409,'Pré Implantação'!L409),""),"")</f>
        <v/>
      </c>
    </row>
    <row r="410" spans="1:15" x14ac:dyDescent="0.3">
      <c r="A410" s="33">
        <f>'Pré Implantação'!A410</f>
        <v>0</v>
      </c>
      <c r="B410" s="36">
        <f>'Pré Implantação'!C410</f>
        <v>0</v>
      </c>
      <c r="C410" s="34" t="str">
        <f>IFERROR(IF('Pré Implantação'!B410="Produção TI",AVERAGE('Pré Implantação'!D410,'Pré Implantação'!L410,'Pré Implantação'!E410,'Pré Implantação'!H410),AVERAGE('Pré Implantação'!E410,'Pré Implantação'!H410)),"")</f>
        <v/>
      </c>
      <c r="D410" s="34" t="str">
        <f>IFERROR(IF('Pré Implantação'!B410="CSC Service Desk",AVERAGE('Pré Implantação'!D410,'Pré Implantação'!L410,'Pré Implantação'!F410),AVERAGE('Pré Implantação'!F410)),"")</f>
        <v/>
      </c>
      <c r="E410" s="34" t="str">
        <f>IFERROR(IF('Pré Implantação'!B410="CSC NOC",AVERAGE('Pré Implantação'!D410,'Pré Implantação'!L410,'Pré Implantação'!G410),AVERAGE('Pré Implantação'!G410)),"")</f>
        <v/>
      </c>
      <c r="F410" s="34" t="str">
        <f>IFERROR(IF('Pré Implantação'!B410="CSE Gravadores",AVERAGE('Pré Implantação'!D410,'Pré Implantação'!L410,'Pré Implantação'!I410),AVERAGE('Pré Implantação'!I410)),"")</f>
        <v/>
      </c>
      <c r="G410" s="34" t="str">
        <f>IFERROR(IF('Pré Implantação'!B410="CSC",AVERAGE('Pré Implantação'!D410,'Pré Implantação'!L410,'Pré Implantação'!J410),AVERAGE('Pré Implantação'!J410)),"")</f>
        <v/>
      </c>
      <c r="H410" s="34" t="str">
        <f>IFERROR(IF('Pré Implantação'!B410="Operações \ Negócio",AVERAGE('Pré Implantação'!D410,'Pré Implantação'!L410,'Pré Implantação'!K410),AVERAGE('Pré Implantação'!K410)),"")</f>
        <v/>
      </c>
      <c r="I410" s="34" t="str">
        <f>IFERROR(IF('Pré Implantação'!B410="Projetos",AVERAGE('Pré Implantação'!D410,'Pré Implantação'!L410,'Pré Implantação'!M410),AVERAGE('Pré Implantação'!M410)),"")</f>
        <v/>
      </c>
      <c r="J410" s="34" t="str">
        <f>IFERROR(IF('Pré Implantação'!B410="Engenharia",AVERAGE('Pré Implantação'!D410,'Pré Implantação'!L410,'Pré Implantação'!N410),AVERAGE('Pré Implantação'!N410)),"")</f>
        <v/>
      </c>
      <c r="K410" s="34" t="str">
        <f>IFERROR(IF('Pré Implantação'!B410="URA",AVERAGE('Pré Implantação'!D410,'Pré Implantação'!L410),""),"")</f>
        <v/>
      </c>
      <c r="L410" s="34" t="str">
        <f>IFERROR(IF('Pré Implantação'!B410="CSE Microsoft",AVERAGE('Pré Implantação'!D410,'Pré Implantação'!L410),""),"")</f>
        <v/>
      </c>
      <c r="M410" s="34" t="str">
        <f>IFERROR(IF('Pré Implantação'!B410="CSE Telecom",AVERAGE('Pré Implantação'!D410,'Pré Implantação'!L410),""),"")</f>
        <v/>
      </c>
      <c r="N410" s="34" t="str">
        <f>IFERROR(IF('Pré Implantação'!B410="Site Suporte de Campo",AVERAGE('Pré Implantação'!D410,'Pré Implantação'!L410),""),"")</f>
        <v/>
      </c>
      <c r="O410" s="49" t="str">
        <f>IFERROR(IF('Pré Implantação'!B410="Infraestrutura",AVERAGE('Pré Implantação'!D410,'Pré Implantação'!L410),""),"")</f>
        <v/>
      </c>
    </row>
    <row r="411" spans="1:15" x14ac:dyDescent="0.3">
      <c r="A411" s="33">
        <f>'Pré Implantação'!A411</f>
        <v>0</v>
      </c>
      <c r="B411" s="36">
        <f>'Pré Implantação'!C411</f>
        <v>0</v>
      </c>
      <c r="C411" s="34" t="str">
        <f>IFERROR(IF('Pré Implantação'!B411="Produção TI",AVERAGE('Pré Implantação'!D411,'Pré Implantação'!L411,'Pré Implantação'!E411,'Pré Implantação'!H411),AVERAGE('Pré Implantação'!E411,'Pré Implantação'!H411)),"")</f>
        <v/>
      </c>
      <c r="D411" s="34" t="str">
        <f>IFERROR(IF('Pré Implantação'!B411="CSC Service Desk",AVERAGE('Pré Implantação'!D411,'Pré Implantação'!L411,'Pré Implantação'!F411),AVERAGE('Pré Implantação'!F411)),"")</f>
        <v/>
      </c>
      <c r="E411" s="34" t="str">
        <f>IFERROR(IF('Pré Implantação'!B411="CSC NOC",AVERAGE('Pré Implantação'!D411,'Pré Implantação'!L411,'Pré Implantação'!G411),AVERAGE('Pré Implantação'!G411)),"")</f>
        <v/>
      </c>
      <c r="F411" s="34" t="str">
        <f>IFERROR(IF('Pré Implantação'!B411="CSE Gravadores",AVERAGE('Pré Implantação'!D411,'Pré Implantação'!L411,'Pré Implantação'!I411),AVERAGE('Pré Implantação'!I411)),"")</f>
        <v/>
      </c>
      <c r="G411" s="34" t="str">
        <f>IFERROR(IF('Pré Implantação'!B411="CSC",AVERAGE('Pré Implantação'!D411,'Pré Implantação'!L411,'Pré Implantação'!J411),AVERAGE('Pré Implantação'!J411)),"")</f>
        <v/>
      </c>
      <c r="H411" s="34" t="str">
        <f>IFERROR(IF('Pré Implantação'!B411="Operações \ Negócio",AVERAGE('Pré Implantação'!D411,'Pré Implantação'!L411,'Pré Implantação'!K411),AVERAGE('Pré Implantação'!K411)),"")</f>
        <v/>
      </c>
      <c r="I411" s="34" t="str">
        <f>IFERROR(IF('Pré Implantação'!B411="Projetos",AVERAGE('Pré Implantação'!D411,'Pré Implantação'!L411,'Pré Implantação'!M411),AVERAGE('Pré Implantação'!M411)),"")</f>
        <v/>
      </c>
      <c r="J411" s="34" t="str">
        <f>IFERROR(IF('Pré Implantação'!B411="Engenharia",AVERAGE('Pré Implantação'!D411,'Pré Implantação'!L411,'Pré Implantação'!N411),AVERAGE('Pré Implantação'!N411)),"")</f>
        <v/>
      </c>
      <c r="K411" s="34" t="str">
        <f>IFERROR(IF('Pré Implantação'!B411="URA",AVERAGE('Pré Implantação'!D411,'Pré Implantação'!L411),""),"")</f>
        <v/>
      </c>
      <c r="L411" s="34" t="str">
        <f>IFERROR(IF('Pré Implantação'!B411="CSE Microsoft",AVERAGE('Pré Implantação'!D411,'Pré Implantação'!L411),""),"")</f>
        <v/>
      </c>
      <c r="M411" s="34" t="str">
        <f>IFERROR(IF('Pré Implantação'!B411="CSE Telecom",AVERAGE('Pré Implantação'!D411,'Pré Implantação'!L411),""),"")</f>
        <v/>
      </c>
      <c r="N411" s="34" t="str">
        <f>IFERROR(IF('Pré Implantação'!B411="Site Suporte de Campo",AVERAGE('Pré Implantação'!D411,'Pré Implantação'!L411),""),"")</f>
        <v/>
      </c>
      <c r="O411" s="49" t="str">
        <f>IFERROR(IF('Pré Implantação'!B411="Infraestrutura",AVERAGE('Pré Implantação'!D411,'Pré Implantação'!L411),""),"")</f>
        <v/>
      </c>
    </row>
    <row r="412" spans="1:15" x14ac:dyDescent="0.3">
      <c r="A412" s="33">
        <f>'Pré Implantação'!A412</f>
        <v>0</v>
      </c>
      <c r="B412" s="36">
        <f>'Pré Implantação'!C412</f>
        <v>0</v>
      </c>
      <c r="C412" s="34" t="str">
        <f>IFERROR(IF('Pré Implantação'!B412="Produção TI",AVERAGE('Pré Implantação'!D412,'Pré Implantação'!L412,'Pré Implantação'!E412,'Pré Implantação'!H412),AVERAGE('Pré Implantação'!E412,'Pré Implantação'!H412)),"")</f>
        <v/>
      </c>
      <c r="D412" s="34" t="str">
        <f>IFERROR(IF('Pré Implantação'!B412="CSC Service Desk",AVERAGE('Pré Implantação'!D412,'Pré Implantação'!L412,'Pré Implantação'!F412),AVERAGE('Pré Implantação'!F412)),"")</f>
        <v/>
      </c>
      <c r="E412" s="34" t="str">
        <f>IFERROR(IF('Pré Implantação'!B412="CSC NOC",AVERAGE('Pré Implantação'!D412,'Pré Implantação'!L412,'Pré Implantação'!G412),AVERAGE('Pré Implantação'!G412)),"")</f>
        <v/>
      </c>
      <c r="F412" s="34" t="str">
        <f>IFERROR(IF('Pré Implantação'!B412="CSE Gravadores",AVERAGE('Pré Implantação'!D412,'Pré Implantação'!L412,'Pré Implantação'!I412),AVERAGE('Pré Implantação'!I412)),"")</f>
        <v/>
      </c>
      <c r="G412" s="34" t="str">
        <f>IFERROR(IF('Pré Implantação'!B412="CSC",AVERAGE('Pré Implantação'!D412,'Pré Implantação'!L412,'Pré Implantação'!J412),AVERAGE('Pré Implantação'!J412)),"")</f>
        <v/>
      </c>
      <c r="H412" s="34" t="str">
        <f>IFERROR(IF('Pré Implantação'!B412="Operações \ Negócio",AVERAGE('Pré Implantação'!D412,'Pré Implantação'!L412,'Pré Implantação'!K412),AVERAGE('Pré Implantação'!K412)),"")</f>
        <v/>
      </c>
      <c r="I412" s="34" t="str">
        <f>IFERROR(IF('Pré Implantação'!B412="Projetos",AVERAGE('Pré Implantação'!D412,'Pré Implantação'!L412,'Pré Implantação'!M412),AVERAGE('Pré Implantação'!M412)),"")</f>
        <v/>
      </c>
      <c r="J412" s="34" t="str">
        <f>IFERROR(IF('Pré Implantação'!B412="Engenharia",AVERAGE('Pré Implantação'!D412,'Pré Implantação'!L412,'Pré Implantação'!N412),AVERAGE('Pré Implantação'!N412)),"")</f>
        <v/>
      </c>
      <c r="K412" s="34" t="str">
        <f>IFERROR(IF('Pré Implantação'!B412="URA",AVERAGE('Pré Implantação'!D412,'Pré Implantação'!L412),""),"")</f>
        <v/>
      </c>
      <c r="L412" s="34" t="str">
        <f>IFERROR(IF('Pré Implantação'!B412="CSE Microsoft",AVERAGE('Pré Implantação'!D412,'Pré Implantação'!L412),""),"")</f>
        <v/>
      </c>
      <c r="M412" s="34" t="str">
        <f>IFERROR(IF('Pré Implantação'!B412="CSE Telecom",AVERAGE('Pré Implantação'!D412,'Pré Implantação'!L412),""),"")</f>
        <v/>
      </c>
      <c r="N412" s="34" t="str">
        <f>IFERROR(IF('Pré Implantação'!B412="Site Suporte de Campo",AVERAGE('Pré Implantação'!D412,'Pré Implantação'!L412),""),"")</f>
        <v/>
      </c>
      <c r="O412" s="49" t="str">
        <f>IFERROR(IF('Pré Implantação'!B412="Infraestrutura",AVERAGE('Pré Implantação'!D412,'Pré Implantação'!L412),""),"")</f>
        <v/>
      </c>
    </row>
    <row r="413" spans="1:15" x14ac:dyDescent="0.3">
      <c r="A413" s="33">
        <f>'Pré Implantação'!A413</f>
        <v>0</v>
      </c>
      <c r="B413" s="36">
        <f>'Pré Implantação'!C413</f>
        <v>0</v>
      </c>
      <c r="C413" s="34" t="str">
        <f>IFERROR(IF('Pré Implantação'!B413="Produção TI",AVERAGE('Pré Implantação'!D413,'Pré Implantação'!L413,'Pré Implantação'!E413,'Pré Implantação'!H413),AVERAGE('Pré Implantação'!E413,'Pré Implantação'!H413)),"")</f>
        <v/>
      </c>
      <c r="D413" s="34" t="str">
        <f>IFERROR(IF('Pré Implantação'!B413="CSC Service Desk",AVERAGE('Pré Implantação'!D413,'Pré Implantação'!L413,'Pré Implantação'!F413),AVERAGE('Pré Implantação'!F413)),"")</f>
        <v/>
      </c>
      <c r="E413" s="34" t="str">
        <f>IFERROR(IF('Pré Implantação'!B413="CSC NOC",AVERAGE('Pré Implantação'!D413,'Pré Implantação'!L413,'Pré Implantação'!G413),AVERAGE('Pré Implantação'!G413)),"")</f>
        <v/>
      </c>
      <c r="F413" s="34" t="str">
        <f>IFERROR(IF('Pré Implantação'!B413="CSE Gravadores",AVERAGE('Pré Implantação'!D413,'Pré Implantação'!L413,'Pré Implantação'!I413),AVERAGE('Pré Implantação'!I413)),"")</f>
        <v/>
      </c>
      <c r="G413" s="34" t="str">
        <f>IFERROR(IF('Pré Implantação'!B413="CSC",AVERAGE('Pré Implantação'!D413,'Pré Implantação'!L413,'Pré Implantação'!J413),AVERAGE('Pré Implantação'!J413)),"")</f>
        <v/>
      </c>
      <c r="H413" s="34" t="str">
        <f>IFERROR(IF('Pré Implantação'!B413="Operações \ Negócio",AVERAGE('Pré Implantação'!D413,'Pré Implantação'!L413,'Pré Implantação'!K413),AVERAGE('Pré Implantação'!K413)),"")</f>
        <v/>
      </c>
      <c r="I413" s="34" t="str">
        <f>IFERROR(IF('Pré Implantação'!B413="Projetos",AVERAGE('Pré Implantação'!D413,'Pré Implantação'!L413,'Pré Implantação'!M413),AVERAGE('Pré Implantação'!M413)),"")</f>
        <v/>
      </c>
      <c r="J413" s="34" t="str">
        <f>IFERROR(IF('Pré Implantação'!B413="Engenharia",AVERAGE('Pré Implantação'!D413,'Pré Implantação'!L413,'Pré Implantação'!N413),AVERAGE('Pré Implantação'!N413)),"")</f>
        <v/>
      </c>
      <c r="K413" s="34" t="str">
        <f>IFERROR(IF('Pré Implantação'!B413="URA",AVERAGE('Pré Implantação'!D413,'Pré Implantação'!L413),""),"")</f>
        <v/>
      </c>
      <c r="L413" s="34" t="str">
        <f>IFERROR(IF('Pré Implantação'!B413="CSE Microsoft",AVERAGE('Pré Implantação'!D413,'Pré Implantação'!L413),""),"")</f>
        <v/>
      </c>
      <c r="M413" s="34" t="str">
        <f>IFERROR(IF('Pré Implantação'!B413="CSE Telecom",AVERAGE('Pré Implantação'!D413,'Pré Implantação'!L413),""),"")</f>
        <v/>
      </c>
      <c r="N413" s="34" t="str">
        <f>IFERROR(IF('Pré Implantação'!B413="Site Suporte de Campo",AVERAGE('Pré Implantação'!D413,'Pré Implantação'!L413),""),"")</f>
        <v/>
      </c>
      <c r="O413" s="49" t="str">
        <f>IFERROR(IF('Pré Implantação'!B413="Infraestrutura",AVERAGE('Pré Implantação'!D413,'Pré Implantação'!L413),""),"")</f>
        <v/>
      </c>
    </row>
    <row r="414" spans="1:15" x14ac:dyDescent="0.3">
      <c r="A414" s="33">
        <f>'Pré Implantação'!A414</f>
        <v>0</v>
      </c>
      <c r="B414" s="36">
        <f>'Pré Implantação'!C414</f>
        <v>0</v>
      </c>
      <c r="C414" s="34" t="str">
        <f>IFERROR(IF('Pré Implantação'!B414="Produção TI",AVERAGE('Pré Implantação'!D414,'Pré Implantação'!L414,'Pré Implantação'!E414,'Pré Implantação'!H414),AVERAGE('Pré Implantação'!E414,'Pré Implantação'!H414)),"")</f>
        <v/>
      </c>
      <c r="D414" s="34" t="str">
        <f>IFERROR(IF('Pré Implantação'!B414="CSC Service Desk",AVERAGE('Pré Implantação'!D414,'Pré Implantação'!L414,'Pré Implantação'!F414),AVERAGE('Pré Implantação'!F414)),"")</f>
        <v/>
      </c>
      <c r="E414" s="34" t="str">
        <f>IFERROR(IF('Pré Implantação'!B414="CSC NOC",AVERAGE('Pré Implantação'!D414,'Pré Implantação'!L414,'Pré Implantação'!G414),AVERAGE('Pré Implantação'!G414)),"")</f>
        <v/>
      </c>
      <c r="F414" s="34" t="str">
        <f>IFERROR(IF('Pré Implantação'!B414="CSE Gravadores",AVERAGE('Pré Implantação'!D414,'Pré Implantação'!L414,'Pré Implantação'!I414),AVERAGE('Pré Implantação'!I414)),"")</f>
        <v/>
      </c>
      <c r="G414" s="34" t="str">
        <f>IFERROR(IF('Pré Implantação'!B414="CSC",AVERAGE('Pré Implantação'!D414,'Pré Implantação'!L414,'Pré Implantação'!J414),AVERAGE('Pré Implantação'!J414)),"")</f>
        <v/>
      </c>
      <c r="H414" s="34" t="str">
        <f>IFERROR(IF('Pré Implantação'!B414="Operações \ Negócio",AVERAGE('Pré Implantação'!D414,'Pré Implantação'!L414,'Pré Implantação'!K414),AVERAGE('Pré Implantação'!K414)),"")</f>
        <v/>
      </c>
      <c r="I414" s="34" t="str">
        <f>IFERROR(IF('Pré Implantação'!B414="Projetos",AVERAGE('Pré Implantação'!D414,'Pré Implantação'!L414,'Pré Implantação'!M414),AVERAGE('Pré Implantação'!M414)),"")</f>
        <v/>
      </c>
      <c r="J414" s="34" t="str">
        <f>IFERROR(IF('Pré Implantação'!B414="Engenharia",AVERAGE('Pré Implantação'!D414,'Pré Implantação'!L414,'Pré Implantação'!N414),AVERAGE('Pré Implantação'!N414)),"")</f>
        <v/>
      </c>
      <c r="K414" s="34" t="str">
        <f>IFERROR(IF('Pré Implantação'!B414="URA",AVERAGE('Pré Implantação'!D414,'Pré Implantação'!L414),""),"")</f>
        <v/>
      </c>
      <c r="L414" s="34" t="str">
        <f>IFERROR(IF('Pré Implantação'!B414="CSE Microsoft",AVERAGE('Pré Implantação'!D414,'Pré Implantação'!L414),""),"")</f>
        <v/>
      </c>
      <c r="M414" s="34" t="str">
        <f>IFERROR(IF('Pré Implantação'!B414="CSE Telecom",AVERAGE('Pré Implantação'!D414,'Pré Implantação'!L414),""),"")</f>
        <v/>
      </c>
      <c r="N414" s="34" t="str">
        <f>IFERROR(IF('Pré Implantação'!B414="Site Suporte de Campo",AVERAGE('Pré Implantação'!D414,'Pré Implantação'!L414),""),"")</f>
        <v/>
      </c>
      <c r="O414" s="49" t="str">
        <f>IFERROR(IF('Pré Implantação'!B414="Infraestrutura",AVERAGE('Pré Implantação'!D414,'Pré Implantação'!L414),""),"")</f>
        <v/>
      </c>
    </row>
    <row r="415" spans="1:15" x14ac:dyDescent="0.3">
      <c r="A415" s="33">
        <f>'Pré Implantação'!A415</f>
        <v>0</v>
      </c>
      <c r="B415" s="36">
        <f>'Pré Implantação'!C415</f>
        <v>0</v>
      </c>
      <c r="C415" s="34" t="str">
        <f>IFERROR(IF('Pré Implantação'!B415="Produção TI",AVERAGE('Pré Implantação'!D415,'Pré Implantação'!L415,'Pré Implantação'!E415,'Pré Implantação'!H415),AVERAGE('Pré Implantação'!E415,'Pré Implantação'!H415)),"")</f>
        <v/>
      </c>
      <c r="D415" s="34" t="str">
        <f>IFERROR(IF('Pré Implantação'!B415="CSC Service Desk",AVERAGE('Pré Implantação'!D415,'Pré Implantação'!L415,'Pré Implantação'!F415),AVERAGE('Pré Implantação'!F415)),"")</f>
        <v/>
      </c>
      <c r="E415" s="34" t="str">
        <f>IFERROR(IF('Pré Implantação'!B415="CSC NOC",AVERAGE('Pré Implantação'!D415,'Pré Implantação'!L415,'Pré Implantação'!G415),AVERAGE('Pré Implantação'!G415)),"")</f>
        <v/>
      </c>
      <c r="F415" s="34" t="str">
        <f>IFERROR(IF('Pré Implantação'!B415="CSE Gravadores",AVERAGE('Pré Implantação'!D415,'Pré Implantação'!L415,'Pré Implantação'!I415),AVERAGE('Pré Implantação'!I415)),"")</f>
        <v/>
      </c>
      <c r="G415" s="34" t="str">
        <f>IFERROR(IF('Pré Implantação'!B415="CSC",AVERAGE('Pré Implantação'!D415,'Pré Implantação'!L415,'Pré Implantação'!J415),AVERAGE('Pré Implantação'!J415)),"")</f>
        <v/>
      </c>
      <c r="H415" s="34" t="str">
        <f>IFERROR(IF('Pré Implantação'!B415="Operações \ Negócio",AVERAGE('Pré Implantação'!D415,'Pré Implantação'!L415,'Pré Implantação'!K415),AVERAGE('Pré Implantação'!K415)),"")</f>
        <v/>
      </c>
      <c r="I415" s="34" t="str">
        <f>IFERROR(IF('Pré Implantação'!B415="Projetos",AVERAGE('Pré Implantação'!D415,'Pré Implantação'!L415,'Pré Implantação'!M415),AVERAGE('Pré Implantação'!M415)),"")</f>
        <v/>
      </c>
      <c r="J415" s="34" t="str">
        <f>IFERROR(IF('Pré Implantação'!B415="Engenharia",AVERAGE('Pré Implantação'!D415,'Pré Implantação'!L415,'Pré Implantação'!N415),AVERAGE('Pré Implantação'!N415)),"")</f>
        <v/>
      </c>
      <c r="K415" s="34" t="str">
        <f>IFERROR(IF('Pré Implantação'!B415="URA",AVERAGE('Pré Implantação'!D415,'Pré Implantação'!L415),""),"")</f>
        <v/>
      </c>
      <c r="L415" s="34" t="str">
        <f>IFERROR(IF('Pré Implantação'!B415="CSE Microsoft",AVERAGE('Pré Implantação'!D415,'Pré Implantação'!L415),""),"")</f>
        <v/>
      </c>
      <c r="M415" s="34" t="str">
        <f>IFERROR(IF('Pré Implantação'!B415="CSE Telecom",AVERAGE('Pré Implantação'!D415,'Pré Implantação'!L415),""),"")</f>
        <v/>
      </c>
      <c r="N415" s="34" t="str">
        <f>IFERROR(IF('Pré Implantação'!B415="Site Suporte de Campo",AVERAGE('Pré Implantação'!D415,'Pré Implantação'!L415),""),"")</f>
        <v/>
      </c>
      <c r="O415" s="49" t="str">
        <f>IFERROR(IF('Pré Implantação'!B415="Infraestrutura",AVERAGE('Pré Implantação'!D415,'Pré Implantação'!L415),""),"")</f>
        <v/>
      </c>
    </row>
    <row r="416" spans="1:15" x14ac:dyDescent="0.3">
      <c r="A416" s="33">
        <f>'Pré Implantação'!A416</f>
        <v>0</v>
      </c>
      <c r="B416" s="36">
        <f>'Pré Implantação'!C416</f>
        <v>0</v>
      </c>
      <c r="C416" s="34" t="str">
        <f>IFERROR(IF('Pré Implantação'!B416="Produção TI",AVERAGE('Pré Implantação'!D416,'Pré Implantação'!L416,'Pré Implantação'!E416,'Pré Implantação'!H416),AVERAGE('Pré Implantação'!E416,'Pré Implantação'!H416)),"")</f>
        <v/>
      </c>
      <c r="D416" s="34" t="str">
        <f>IFERROR(IF('Pré Implantação'!B416="CSC Service Desk",AVERAGE('Pré Implantação'!D416,'Pré Implantação'!L416,'Pré Implantação'!F416),AVERAGE('Pré Implantação'!F416)),"")</f>
        <v/>
      </c>
      <c r="E416" s="34" t="str">
        <f>IFERROR(IF('Pré Implantação'!B416="CSC NOC",AVERAGE('Pré Implantação'!D416,'Pré Implantação'!L416,'Pré Implantação'!G416),AVERAGE('Pré Implantação'!G416)),"")</f>
        <v/>
      </c>
      <c r="F416" s="34" t="str">
        <f>IFERROR(IF('Pré Implantação'!B416="CSE Gravadores",AVERAGE('Pré Implantação'!D416,'Pré Implantação'!L416,'Pré Implantação'!I416),AVERAGE('Pré Implantação'!I416)),"")</f>
        <v/>
      </c>
      <c r="G416" s="34" t="str">
        <f>IFERROR(IF('Pré Implantação'!B416="CSC",AVERAGE('Pré Implantação'!D416,'Pré Implantação'!L416,'Pré Implantação'!J416),AVERAGE('Pré Implantação'!J416)),"")</f>
        <v/>
      </c>
      <c r="H416" s="34" t="str">
        <f>IFERROR(IF('Pré Implantação'!B416="Operações \ Negócio",AVERAGE('Pré Implantação'!D416,'Pré Implantação'!L416,'Pré Implantação'!K416),AVERAGE('Pré Implantação'!K416)),"")</f>
        <v/>
      </c>
      <c r="I416" s="34" t="str">
        <f>IFERROR(IF('Pré Implantação'!B416="Projetos",AVERAGE('Pré Implantação'!D416,'Pré Implantação'!L416,'Pré Implantação'!M416),AVERAGE('Pré Implantação'!M416)),"")</f>
        <v/>
      </c>
      <c r="J416" s="34" t="str">
        <f>IFERROR(IF('Pré Implantação'!B416="Engenharia",AVERAGE('Pré Implantação'!D416,'Pré Implantação'!L416,'Pré Implantação'!N416),AVERAGE('Pré Implantação'!N416)),"")</f>
        <v/>
      </c>
      <c r="K416" s="34" t="str">
        <f>IFERROR(IF('Pré Implantação'!B416="URA",AVERAGE('Pré Implantação'!D416,'Pré Implantação'!L416),""),"")</f>
        <v/>
      </c>
      <c r="L416" s="34" t="str">
        <f>IFERROR(IF('Pré Implantação'!B416="CSE Microsoft",AVERAGE('Pré Implantação'!D416,'Pré Implantação'!L416),""),"")</f>
        <v/>
      </c>
      <c r="M416" s="34" t="str">
        <f>IFERROR(IF('Pré Implantação'!B416="CSE Telecom",AVERAGE('Pré Implantação'!D416,'Pré Implantação'!L416),""),"")</f>
        <v/>
      </c>
      <c r="N416" s="34" t="str">
        <f>IFERROR(IF('Pré Implantação'!B416="Site Suporte de Campo",AVERAGE('Pré Implantação'!D416,'Pré Implantação'!L416),""),"")</f>
        <v/>
      </c>
      <c r="O416" s="49" t="str">
        <f>IFERROR(IF('Pré Implantação'!B416="Infraestrutura",AVERAGE('Pré Implantação'!D416,'Pré Implantação'!L416),""),"")</f>
        <v/>
      </c>
    </row>
    <row r="417" spans="1:15" x14ac:dyDescent="0.3">
      <c r="A417" s="33">
        <f>'Pré Implantação'!A417</f>
        <v>0</v>
      </c>
      <c r="B417" s="36">
        <f>'Pré Implantação'!C417</f>
        <v>0</v>
      </c>
      <c r="C417" s="34" t="str">
        <f>IFERROR(IF('Pré Implantação'!B417="Produção TI",AVERAGE('Pré Implantação'!D417,'Pré Implantação'!L417,'Pré Implantação'!E417,'Pré Implantação'!H417),AVERAGE('Pré Implantação'!E417,'Pré Implantação'!H417)),"")</f>
        <v/>
      </c>
      <c r="D417" s="34" t="str">
        <f>IFERROR(IF('Pré Implantação'!B417="CSC Service Desk",AVERAGE('Pré Implantação'!D417,'Pré Implantação'!L417,'Pré Implantação'!F417),AVERAGE('Pré Implantação'!F417)),"")</f>
        <v/>
      </c>
      <c r="E417" s="34" t="str">
        <f>IFERROR(IF('Pré Implantação'!B417="CSC NOC",AVERAGE('Pré Implantação'!D417,'Pré Implantação'!L417,'Pré Implantação'!G417),AVERAGE('Pré Implantação'!G417)),"")</f>
        <v/>
      </c>
      <c r="F417" s="34" t="str">
        <f>IFERROR(IF('Pré Implantação'!B417="CSE Gravadores",AVERAGE('Pré Implantação'!D417,'Pré Implantação'!L417,'Pré Implantação'!I417),AVERAGE('Pré Implantação'!I417)),"")</f>
        <v/>
      </c>
      <c r="G417" s="34" t="str">
        <f>IFERROR(IF('Pré Implantação'!B417="CSC",AVERAGE('Pré Implantação'!D417,'Pré Implantação'!L417,'Pré Implantação'!J417),AVERAGE('Pré Implantação'!J417)),"")</f>
        <v/>
      </c>
      <c r="H417" s="34" t="str">
        <f>IFERROR(IF('Pré Implantação'!B417="Operações \ Negócio",AVERAGE('Pré Implantação'!D417,'Pré Implantação'!L417,'Pré Implantação'!K417),AVERAGE('Pré Implantação'!K417)),"")</f>
        <v/>
      </c>
      <c r="I417" s="34" t="str">
        <f>IFERROR(IF('Pré Implantação'!B417="Projetos",AVERAGE('Pré Implantação'!D417,'Pré Implantação'!L417,'Pré Implantação'!M417),AVERAGE('Pré Implantação'!M417)),"")</f>
        <v/>
      </c>
      <c r="J417" s="34" t="str">
        <f>IFERROR(IF('Pré Implantação'!B417="Engenharia",AVERAGE('Pré Implantação'!D417,'Pré Implantação'!L417,'Pré Implantação'!N417),AVERAGE('Pré Implantação'!N417)),"")</f>
        <v/>
      </c>
      <c r="K417" s="34" t="str">
        <f>IFERROR(IF('Pré Implantação'!B417="URA",AVERAGE('Pré Implantação'!D417,'Pré Implantação'!L417),""),"")</f>
        <v/>
      </c>
      <c r="L417" s="34" t="str">
        <f>IFERROR(IF('Pré Implantação'!B417="CSE Microsoft",AVERAGE('Pré Implantação'!D417,'Pré Implantação'!L417),""),"")</f>
        <v/>
      </c>
      <c r="M417" s="34" t="str">
        <f>IFERROR(IF('Pré Implantação'!B417="CSE Telecom",AVERAGE('Pré Implantação'!D417,'Pré Implantação'!L417),""),"")</f>
        <v/>
      </c>
      <c r="N417" s="34" t="str">
        <f>IFERROR(IF('Pré Implantação'!B417="Site Suporte de Campo",AVERAGE('Pré Implantação'!D417,'Pré Implantação'!L417),""),"")</f>
        <v/>
      </c>
      <c r="O417" s="49" t="str">
        <f>IFERROR(IF('Pré Implantação'!B417="Infraestrutura",AVERAGE('Pré Implantação'!D417,'Pré Implantação'!L417),""),"")</f>
        <v/>
      </c>
    </row>
    <row r="418" spans="1:15" x14ac:dyDescent="0.3">
      <c r="A418" s="33">
        <f>'Pré Implantação'!A418</f>
        <v>0</v>
      </c>
      <c r="B418" s="36">
        <f>'Pré Implantação'!C418</f>
        <v>0</v>
      </c>
      <c r="C418" s="34" t="str">
        <f>IFERROR(IF('Pré Implantação'!B418="Produção TI",AVERAGE('Pré Implantação'!D418,'Pré Implantação'!L418,'Pré Implantação'!E418,'Pré Implantação'!H418),AVERAGE('Pré Implantação'!E418,'Pré Implantação'!H418)),"")</f>
        <v/>
      </c>
      <c r="D418" s="34" t="str">
        <f>IFERROR(IF('Pré Implantação'!B418="CSC Service Desk",AVERAGE('Pré Implantação'!D418,'Pré Implantação'!L418,'Pré Implantação'!F418),AVERAGE('Pré Implantação'!F418)),"")</f>
        <v/>
      </c>
      <c r="E418" s="34" t="str">
        <f>IFERROR(IF('Pré Implantação'!B418="CSC NOC",AVERAGE('Pré Implantação'!D418,'Pré Implantação'!L418,'Pré Implantação'!G418),AVERAGE('Pré Implantação'!G418)),"")</f>
        <v/>
      </c>
      <c r="F418" s="34" t="str">
        <f>IFERROR(IF('Pré Implantação'!B418="CSE Gravadores",AVERAGE('Pré Implantação'!D418,'Pré Implantação'!L418,'Pré Implantação'!I418),AVERAGE('Pré Implantação'!I418)),"")</f>
        <v/>
      </c>
      <c r="G418" s="34" t="str">
        <f>IFERROR(IF('Pré Implantação'!B418="CSC",AVERAGE('Pré Implantação'!D418,'Pré Implantação'!L418,'Pré Implantação'!J418),AVERAGE('Pré Implantação'!J418)),"")</f>
        <v/>
      </c>
      <c r="H418" s="34" t="str">
        <f>IFERROR(IF('Pré Implantação'!B418="Operações \ Negócio",AVERAGE('Pré Implantação'!D418,'Pré Implantação'!L418,'Pré Implantação'!K418),AVERAGE('Pré Implantação'!K418)),"")</f>
        <v/>
      </c>
      <c r="I418" s="34" t="str">
        <f>IFERROR(IF('Pré Implantação'!B418="Projetos",AVERAGE('Pré Implantação'!D418,'Pré Implantação'!L418,'Pré Implantação'!M418),AVERAGE('Pré Implantação'!M418)),"")</f>
        <v/>
      </c>
      <c r="J418" s="34" t="str">
        <f>IFERROR(IF('Pré Implantação'!B418="Engenharia",AVERAGE('Pré Implantação'!D418,'Pré Implantação'!L418,'Pré Implantação'!N418),AVERAGE('Pré Implantação'!N418)),"")</f>
        <v/>
      </c>
      <c r="K418" s="34" t="str">
        <f>IFERROR(IF('Pré Implantação'!B418="URA",AVERAGE('Pré Implantação'!D418,'Pré Implantação'!L418),""),"")</f>
        <v/>
      </c>
      <c r="L418" s="34" t="str">
        <f>IFERROR(IF('Pré Implantação'!B418="CSE Microsoft",AVERAGE('Pré Implantação'!D418,'Pré Implantação'!L418),""),"")</f>
        <v/>
      </c>
      <c r="M418" s="34" t="str">
        <f>IFERROR(IF('Pré Implantação'!B418="CSE Telecom",AVERAGE('Pré Implantação'!D418,'Pré Implantação'!L418),""),"")</f>
        <v/>
      </c>
      <c r="N418" s="34" t="str">
        <f>IFERROR(IF('Pré Implantação'!B418="Site Suporte de Campo",AVERAGE('Pré Implantação'!D418,'Pré Implantação'!L418),""),"")</f>
        <v/>
      </c>
      <c r="O418" s="49" t="str">
        <f>IFERROR(IF('Pré Implantação'!B418="Infraestrutura",AVERAGE('Pré Implantação'!D418,'Pré Implantação'!L418),""),"")</f>
        <v/>
      </c>
    </row>
    <row r="419" spans="1:15" x14ac:dyDescent="0.3">
      <c r="A419" s="33">
        <f>'Pré Implantação'!A419</f>
        <v>0</v>
      </c>
      <c r="B419" s="36">
        <f>'Pré Implantação'!C419</f>
        <v>0</v>
      </c>
      <c r="C419" s="34" t="str">
        <f>IFERROR(IF('Pré Implantação'!B419="Produção TI",AVERAGE('Pré Implantação'!D419,'Pré Implantação'!L419,'Pré Implantação'!E419,'Pré Implantação'!H419),AVERAGE('Pré Implantação'!E419,'Pré Implantação'!H419)),"")</f>
        <v/>
      </c>
      <c r="D419" s="34" t="str">
        <f>IFERROR(IF('Pré Implantação'!B419="CSC Service Desk",AVERAGE('Pré Implantação'!D419,'Pré Implantação'!L419,'Pré Implantação'!F419),AVERAGE('Pré Implantação'!F419)),"")</f>
        <v/>
      </c>
      <c r="E419" s="34" t="str">
        <f>IFERROR(IF('Pré Implantação'!B419="CSC NOC",AVERAGE('Pré Implantação'!D419,'Pré Implantação'!L419,'Pré Implantação'!G419),AVERAGE('Pré Implantação'!G419)),"")</f>
        <v/>
      </c>
      <c r="F419" s="34" t="str">
        <f>IFERROR(IF('Pré Implantação'!B419="CSE Gravadores",AVERAGE('Pré Implantação'!D419,'Pré Implantação'!L419,'Pré Implantação'!I419),AVERAGE('Pré Implantação'!I419)),"")</f>
        <v/>
      </c>
      <c r="G419" s="34" t="str">
        <f>IFERROR(IF('Pré Implantação'!B419="CSC",AVERAGE('Pré Implantação'!D419,'Pré Implantação'!L419,'Pré Implantação'!J419),AVERAGE('Pré Implantação'!J419)),"")</f>
        <v/>
      </c>
      <c r="H419" s="34" t="str">
        <f>IFERROR(IF('Pré Implantação'!B419="Operações \ Negócio",AVERAGE('Pré Implantação'!D419,'Pré Implantação'!L419,'Pré Implantação'!K419),AVERAGE('Pré Implantação'!K419)),"")</f>
        <v/>
      </c>
      <c r="I419" s="34" t="str">
        <f>IFERROR(IF('Pré Implantação'!B419="Projetos",AVERAGE('Pré Implantação'!D419,'Pré Implantação'!L419,'Pré Implantação'!M419),AVERAGE('Pré Implantação'!M419)),"")</f>
        <v/>
      </c>
      <c r="J419" s="34" t="str">
        <f>IFERROR(IF('Pré Implantação'!B419="Engenharia",AVERAGE('Pré Implantação'!D419,'Pré Implantação'!L419,'Pré Implantação'!N419),AVERAGE('Pré Implantação'!N419)),"")</f>
        <v/>
      </c>
      <c r="K419" s="34" t="str">
        <f>IFERROR(IF('Pré Implantação'!B419="URA",AVERAGE('Pré Implantação'!D419,'Pré Implantação'!L419),""),"")</f>
        <v/>
      </c>
      <c r="L419" s="34" t="str">
        <f>IFERROR(IF('Pré Implantação'!B419="CSE Microsoft",AVERAGE('Pré Implantação'!D419,'Pré Implantação'!L419),""),"")</f>
        <v/>
      </c>
      <c r="M419" s="34" t="str">
        <f>IFERROR(IF('Pré Implantação'!B419="CSE Telecom",AVERAGE('Pré Implantação'!D419,'Pré Implantação'!L419),""),"")</f>
        <v/>
      </c>
      <c r="N419" s="34" t="str">
        <f>IFERROR(IF('Pré Implantação'!B419="Site Suporte de Campo",AVERAGE('Pré Implantação'!D419,'Pré Implantação'!L419),""),"")</f>
        <v/>
      </c>
      <c r="O419" s="49" t="str">
        <f>IFERROR(IF('Pré Implantação'!B419="Infraestrutura",AVERAGE('Pré Implantação'!D419,'Pré Implantação'!L419),""),"")</f>
        <v/>
      </c>
    </row>
    <row r="420" spans="1:15" x14ac:dyDescent="0.3">
      <c r="A420" s="33">
        <f>'Pré Implantação'!A420</f>
        <v>0</v>
      </c>
      <c r="B420" s="36">
        <f>'Pré Implantação'!C420</f>
        <v>0</v>
      </c>
      <c r="C420" s="34" t="str">
        <f>IFERROR(IF('Pré Implantação'!B420="Produção TI",AVERAGE('Pré Implantação'!D420,'Pré Implantação'!L420,'Pré Implantação'!E420,'Pré Implantação'!H420),AVERAGE('Pré Implantação'!E420,'Pré Implantação'!H420)),"")</f>
        <v/>
      </c>
      <c r="D420" s="34" t="str">
        <f>IFERROR(IF('Pré Implantação'!B420="CSC Service Desk",AVERAGE('Pré Implantação'!D420,'Pré Implantação'!L420,'Pré Implantação'!F420),AVERAGE('Pré Implantação'!F420)),"")</f>
        <v/>
      </c>
      <c r="E420" s="34" t="str">
        <f>IFERROR(IF('Pré Implantação'!B420="CSC NOC",AVERAGE('Pré Implantação'!D420,'Pré Implantação'!L420,'Pré Implantação'!G420),AVERAGE('Pré Implantação'!G420)),"")</f>
        <v/>
      </c>
      <c r="F420" s="34" t="str">
        <f>IFERROR(IF('Pré Implantação'!B420="CSE Gravadores",AVERAGE('Pré Implantação'!D420,'Pré Implantação'!L420,'Pré Implantação'!I420),AVERAGE('Pré Implantação'!I420)),"")</f>
        <v/>
      </c>
      <c r="G420" s="34" t="str">
        <f>IFERROR(IF('Pré Implantação'!B420="CSC",AVERAGE('Pré Implantação'!D420,'Pré Implantação'!L420,'Pré Implantação'!J420),AVERAGE('Pré Implantação'!J420)),"")</f>
        <v/>
      </c>
      <c r="H420" s="34" t="str">
        <f>IFERROR(IF('Pré Implantação'!B420="Operações \ Negócio",AVERAGE('Pré Implantação'!D420,'Pré Implantação'!L420,'Pré Implantação'!K420),AVERAGE('Pré Implantação'!K420)),"")</f>
        <v/>
      </c>
      <c r="I420" s="34" t="str">
        <f>IFERROR(IF('Pré Implantação'!B420="Projetos",AVERAGE('Pré Implantação'!D420,'Pré Implantação'!L420,'Pré Implantação'!M420),AVERAGE('Pré Implantação'!M420)),"")</f>
        <v/>
      </c>
      <c r="J420" s="34" t="str">
        <f>IFERROR(IF('Pré Implantação'!B420="Engenharia",AVERAGE('Pré Implantação'!D420,'Pré Implantação'!L420,'Pré Implantação'!N420),AVERAGE('Pré Implantação'!N420)),"")</f>
        <v/>
      </c>
      <c r="K420" s="34" t="str">
        <f>IFERROR(IF('Pré Implantação'!B420="URA",AVERAGE('Pré Implantação'!D420,'Pré Implantação'!L420),""),"")</f>
        <v/>
      </c>
      <c r="L420" s="34" t="str">
        <f>IFERROR(IF('Pré Implantação'!B420="CSE Microsoft",AVERAGE('Pré Implantação'!D420,'Pré Implantação'!L420),""),"")</f>
        <v/>
      </c>
      <c r="M420" s="34" t="str">
        <f>IFERROR(IF('Pré Implantação'!B420="CSE Telecom",AVERAGE('Pré Implantação'!D420,'Pré Implantação'!L420),""),"")</f>
        <v/>
      </c>
      <c r="N420" s="34" t="str">
        <f>IFERROR(IF('Pré Implantação'!B420="Site Suporte de Campo",AVERAGE('Pré Implantação'!D420,'Pré Implantação'!L420),""),"")</f>
        <v/>
      </c>
      <c r="O420" s="49" t="str">
        <f>IFERROR(IF('Pré Implantação'!B420="Infraestrutura",AVERAGE('Pré Implantação'!D420,'Pré Implantação'!L420),""),"")</f>
        <v/>
      </c>
    </row>
    <row r="421" spans="1:15" x14ac:dyDescent="0.3">
      <c r="A421" s="33">
        <f>'Pré Implantação'!A421</f>
        <v>0</v>
      </c>
      <c r="B421" s="36">
        <f>'Pré Implantação'!C421</f>
        <v>0</v>
      </c>
      <c r="C421" s="34" t="str">
        <f>IFERROR(IF('Pré Implantação'!B421="Produção TI",AVERAGE('Pré Implantação'!D421,'Pré Implantação'!L421,'Pré Implantação'!E421,'Pré Implantação'!H421),AVERAGE('Pré Implantação'!E421,'Pré Implantação'!H421)),"")</f>
        <v/>
      </c>
      <c r="D421" s="34" t="str">
        <f>IFERROR(IF('Pré Implantação'!B421="CSC Service Desk",AVERAGE('Pré Implantação'!D421,'Pré Implantação'!L421,'Pré Implantação'!F421),AVERAGE('Pré Implantação'!F421)),"")</f>
        <v/>
      </c>
      <c r="E421" s="34" t="str">
        <f>IFERROR(IF('Pré Implantação'!B421="CSC NOC",AVERAGE('Pré Implantação'!D421,'Pré Implantação'!L421,'Pré Implantação'!G421),AVERAGE('Pré Implantação'!G421)),"")</f>
        <v/>
      </c>
      <c r="F421" s="34" t="str">
        <f>IFERROR(IF('Pré Implantação'!B421="CSE Gravadores",AVERAGE('Pré Implantação'!D421,'Pré Implantação'!L421,'Pré Implantação'!I421),AVERAGE('Pré Implantação'!I421)),"")</f>
        <v/>
      </c>
      <c r="G421" s="34" t="str">
        <f>IFERROR(IF('Pré Implantação'!B421="CSC",AVERAGE('Pré Implantação'!D421,'Pré Implantação'!L421,'Pré Implantação'!J421),AVERAGE('Pré Implantação'!J421)),"")</f>
        <v/>
      </c>
      <c r="H421" s="34" t="str">
        <f>IFERROR(IF('Pré Implantação'!B421="Operações \ Negócio",AVERAGE('Pré Implantação'!D421,'Pré Implantação'!L421,'Pré Implantação'!K421),AVERAGE('Pré Implantação'!K421)),"")</f>
        <v/>
      </c>
      <c r="I421" s="34" t="str">
        <f>IFERROR(IF('Pré Implantação'!B421="Projetos",AVERAGE('Pré Implantação'!D421,'Pré Implantação'!L421,'Pré Implantação'!M421),AVERAGE('Pré Implantação'!M421)),"")</f>
        <v/>
      </c>
      <c r="J421" s="34" t="str">
        <f>IFERROR(IF('Pré Implantação'!B421="Engenharia",AVERAGE('Pré Implantação'!D421,'Pré Implantação'!L421,'Pré Implantação'!N421),AVERAGE('Pré Implantação'!N421)),"")</f>
        <v/>
      </c>
      <c r="K421" s="34" t="str">
        <f>IFERROR(IF('Pré Implantação'!B421="URA",AVERAGE('Pré Implantação'!D421,'Pré Implantação'!L421),""),"")</f>
        <v/>
      </c>
      <c r="L421" s="34" t="str">
        <f>IFERROR(IF('Pré Implantação'!B421="CSE Microsoft",AVERAGE('Pré Implantação'!D421,'Pré Implantação'!L421),""),"")</f>
        <v/>
      </c>
      <c r="M421" s="34" t="str">
        <f>IFERROR(IF('Pré Implantação'!B421="CSE Telecom",AVERAGE('Pré Implantação'!D421,'Pré Implantação'!L421),""),"")</f>
        <v/>
      </c>
      <c r="N421" s="34" t="str">
        <f>IFERROR(IF('Pré Implantação'!B421="Site Suporte de Campo",AVERAGE('Pré Implantação'!D421,'Pré Implantação'!L421),""),"")</f>
        <v/>
      </c>
      <c r="O421" s="49" t="str">
        <f>IFERROR(IF('Pré Implantação'!B421="Infraestrutura",AVERAGE('Pré Implantação'!D421,'Pré Implantação'!L421),""),"")</f>
        <v/>
      </c>
    </row>
  </sheetData>
  <mergeCells count="1">
    <mergeCell ref="A2:B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21"/>
  <sheetViews>
    <sheetView workbookViewId="0">
      <selection activeCell="F4" sqref="F4"/>
    </sheetView>
  </sheetViews>
  <sheetFormatPr defaultRowHeight="14.4" x14ac:dyDescent="0.3"/>
  <cols>
    <col min="1" max="1" width="10.88671875" style="1" customWidth="1"/>
    <col min="2" max="2" width="20" style="1" bestFit="1" customWidth="1"/>
    <col min="3" max="7" width="15.77734375" customWidth="1"/>
    <col min="8" max="8" width="18.77734375" bestFit="1" customWidth="1"/>
    <col min="9" max="9" width="15.77734375" customWidth="1"/>
    <col min="10" max="15" width="15.77734375" style="45" customWidth="1"/>
  </cols>
  <sheetData>
    <row r="1" spans="1:15" s="1" customFormat="1" x14ac:dyDescent="0.3">
      <c r="A1" s="28" t="s">
        <v>11</v>
      </c>
      <c r="B1" s="35" t="s">
        <v>25</v>
      </c>
      <c r="C1" s="29" t="s">
        <v>18</v>
      </c>
      <c r="D1" s="29" t="s">
        <v>16</v>
      </c>
      <c r="E1" s="29" t="s">
        <v>19</v>
      </c>
      <c r="F1" s="29" t="s">
        <v>20</v>
      </c>
      <c r="G1" s="29" t="s">
        <v>21</v>
      </c>
      <c r="H1" s="29" t="s">
        <v>22</v>
      </c>
      <c r="I1" s="29" t="s">
        <v>23</v>
      </c>
      <c r="J1" s="43" t="s">
        <v>24</v>
      </c>
      <c r="K1" s="43" t="s">
        <v>29</v>
      </c>
      <c r="L1" s="43" t="s">
        <v>14</v>
      </c>
      <c r="M1" s="43" t="s">
        <v>15</v>
      </c>
      <c r="N1" s="44" t="s">
        <v>30</v>
      </c>
      <c r="O1" s="43" t="s">
        <v>17</v>
      </c>
    </row>
    <row r="2" spans="1:15" s="1" customFormat="1" x14ac:dyDescent="0.3">
      <c r="A2" s="55" t="s">
        <v>31</v>
      </c>
      <c r="B2" s="56"/>
      <c r="C2" s="46">
        <f t="shared" ref="C2:O2" si="0">IFERROR(AVERAGE(C3:C421),"")</f>
        <v>0.7</v>
      </c>
      <c r="D2" s="46">
        <f t="shared" si="0"/>
        <v>1</v>
      </c>
      <c r="E2" s="46">
        <f t="shared" si="0"/>
        <v>1</v>
      </c>
      <c r="F2" s="46">
        <f t="shared" si="0"/>
        <v>0.85</v>
      </c>
      <c r="G2" s="46">
        <f t="shared" si="0"/>
        <v>0.94000000000000006</v>
      </c>
      <c r="H2" s="46">
        <f t="shared" si="0"/>
        <v>0.65</v>
      </c>
      <c r="I2" s="46">
        <f t="shared" si="0"/>
        <v>0.9</v>
      </c>
      <c r="J2" s="46">
        <f t="shared" si="0"/>
        <v>0.76666666666666672</v>
      </c>
      <c r="K2" s="46">
        <f t="shared" si="0"/>
        <v>0.875</v>
      </c>
      <c r="L2" s="46">
        <f t="shared" si="0"/>
        <v>0.9</v>
      </c>
      <c r="M2" s="46">
        <f t="shared" si="0"/>
        <v>1</v>
      </c>
      <c r="N2" s="47" t="str">
        <f t="shared" si="0"/>
        <v/>
      </c>
      <c r="O2" s="48">
        <f t="shared" si="0"/>
        <v>1</v>
      </c>
    </row>
    <row r="3" spans="1:15" x14ac:dyDescent="0.3">
      <c r="A3" s="33">
        <f>'Pré Implantação'!A3</f>
        <v>12345</v>
      </c>
      <c r="B3" s="36">
        <f>'Pós Implantação'!C3</f>
        <v>42579.657638888886</v>
      </c>
      <c r="C3" s="34">
        <f>IFERROR(IF('Pré Implantação'!B3="Produção TI",AVERAGE('Pós Implantação'!D3,'Pós Implantação'!E3,'Pós Implantação'!L3,'Pós Implantação'!H3),AVERAGE('Pré Implantação'!E3,'Pré Implantação'!H3)),"")</f>
        <v>0.95</v>
      </c>
      <c r="D3" s="34">
        <f>IFERROR(IF('Pós Implantação'!B3="CSC Service Desk",AVERAGE('Pós Implantação'!D3,'Pós Implantação'!L3,'Pós Implantação'!F3),AVERAGE('Pós Implantação'!F3)),"")</f>
        <v>1</v>
      </c>
      <c r="E3" s="34">
        <f>IFERROR(IF('Pós Implantação'!B3="CSC NOC",AVERAGE('Pós Implantação'!D3,'Pós Implantação'!L3,'Pós Implantação'!G3),AVERAGE('Pós Implantação'!G3)),"")</f>
        <v>1</v>
      </c>
      <c r="F3" s="34">
        <f>IFERROR(IF('Pós Implantação'!B3="CSE Gravadores",AVERAGE('Pós Implantação'!D3,'Pós Implantação'!L3,'Pós Implantação'!I3),AVERAGE('Pós Implantação'!I3)),"")</f>
        <v>1</v>
      </c>
      <c r="G3" s="34" t="str">
        <f>IFERROR(IF('Pós Implantação'!B3="CSC",AVERAGE('Pós Implantação'!D3,'Pós Implantação'!L3,'Pós Implantação'!J3),AVERAGE('Pós Implantação'!J3)),"")</f>
        <v/>
      </c>
      <c r="H3" s="34" t="str">
        <f>IFERROR(IF('Pós Implantação'!B3="Operações \ Negócio",AVERAGE('Pós Implantação'!D3,'Pós Implantação'!L3,'Pós Implantação'!K3),AVERAGE('Pós Implantação'!K3)),"")</f>
        <v/>
      </c>
      <c r="I3" s="34">
        <f>IFERROR(IF('Pós Implantação'!B3="Projetos",AVERAGE('Pós Implantação'!D3,'Pós Implantação'!L3,'Pós Implantação'!M3),AVERAGE('Pós Implantação'!M3)),"")</f>
        <v>0.7</v>
      </c>
      <c r="J3" s="34" t="str">
        <f>IFERROR(IF('Pós Implantação'!B3="Engenharia",AVERAGE('Pós Implantação'!D3,'Pós Implantação'!L3,'Pós Implantação'!N3),AVERAGE('Pós Implantação'!N3)),"")</f>
        <v/>
      </c>
      <c r="K3" s="34" t="str">
        <f>IFERROR(IF('Pós Implantação'!B3="URA",AVERAGE('Pós Implantação'!D3,'Pós Implantação'!L3),""),"")</f>
        <v/>
      </c>
      <c r="L3" s="34" t="str">
        <f>IFERROR(IF('Pós Implantação'!B3="CSE Microsoft",AVERAGE('Pós Implantação'!D3,'Pós Implantação'!L3),""),"")</f>
        <v/>
      </c>
      <c r="M3" s="34" t="str">
        <f>IFERROR(IF('Pós Implantação'!B3="CSE Telecom",AVERAGE('Pós Implantação'!D3,'Pós Implantação'!L3),""),"")</f>
        <v/>
      </c>
      <c r="N3" s="34" t="str">
        <f>IFERROR(IF('Pós Implantação'!B3="Site Suporte de Campo",AVERAGE('Pós Implantação'!D3,'Pós Implantação'!L3),""),"")</f>
        <v/>
      </c>
      <c r="O3" s="49" t="str">
        <f>IFERROR(IF('Pós Implantação'!B3="Infraestrutura",AVERAGE('Pós Implantação'!D3,'Pós Implantação'!L3),""),"")</f>
        <v/>
      </c>
    </row>
    <row r="4" spans="1:15" x14ac:dyDescent="0.3">
      <c r="A4" s="33">
        <f>'Pré Implantação'!A4</f>
        <v>12346</v>
      </c>
      <c r="B4" s="36">
        <f>'Pós Implantação'!C4</f>
        <v>42578.791666666664</v>
      </c>
      <c r="C4" s="34">
        <f>IFERROR(IF('Pré Implantação'!B4="Produção TI",AVERAGE('Pós Implantação'!D4,'Pós Implantação'!E4,'Pós Implantação'!L4,'Pós Implantação'!H4),AVERAGE('Pré Implantação'!E4,'Pré Implantação'!H4)),"")</f>
        <v>0.5</v>
      </c>
      <c r="D4" s="34" t="str">
        <f>IFERROR(IF('Pós Implantação'!B4="CSC Service Desk",AVERAGE('Pós Implantação'!D4,'Pós Implantação'!L4,'Pós Implantação'!F4),AVERAGE('Pós Implantação'!F4)),"")</f>
        <v/>
      </c>
      <c r="E4" s="34">
        <f>IFERROR(IF('Pós Implantação'!B4="CSC NOC",AVERAGE('Pós Implantação'!D4,'Pós Implantação'!L4,'Pós Implantação'!G4),AVERAGE('Pós Implantação'!G4)),"")</f>
        <v>1</v>
      </c>
      <c r="F4" s="34">
        <f>IFERROR(IF('Pós Implantação'!B4="CSE Gravadores",AVERAGE('Pós Implantação'!D4,'Pós Implantação'!L4,'Pós Implantação'!I4),AVERAGE('Pós Implantação'!I4)),"")</f>
        <v>1</v>
      </c>
      <c r="G4" s="34">
        <f>IFERROR(IF('Pós Implantação'!B4="CSC",AVERAGE('Pós Implantação'!D4,'Pós Implantação'!L4,'Pós Implantação'!J4),AVERAGE('Pós Implantação'!J4)),"")</f>
        <v>0.9</v>
      </c>
      <c r="H4" s="34" t="str">
        <f>IFERROR(IF('Pós Implantação'!B4="Operações \ Negócio",AVERAGE('Pós Implantação'!D4,'Pós Implantação'!L4,'Pós Implantação'!K4),AVERAGE('Pós Implantação'!K4)),"")</f>
        <v/>
      </c>
      <c r="I4" s="34" t="str">
        <f>IFERROR(IF('Pós Implantação'!B4="Projetos",AVERAGE('Pós Implantação'!D4,'Pós Implantação'!L4,'Pós Implantação'!M4),AVERAGE('Pós Implantação'!M4)),"")</f>
        <v/>
      </c>
      <c r="J4" s="34">
        <f>IFERROR(IF('Pós Implantação'!B4="Engenharia",AVERAGE('Pós Implantação'!D4,'Pós Implantação'!L4,'Pós Implantação'!N4),AVERAGE('Pós Implantação'!N4)),"")</f>
        <v>1</v>
      </c>
      <c r="K4" s="34" t="str">
        <f>IFERROR(IF('Pós Implantação'!B4="URA",AVERAGE('Pós Implantação'!D4,'Pós Implantação'!L4),""),"")</f>
        <v/>
      </c>
      <c r="L4" s="34">
        <f>IFERROR(IF('Pós Implantação'!B4="CSE Microsoft",AVERAGE('Pós Implantação'!D4,'Pós Implantação'!L4),""),"")</f>
        <v>1</v>
      </c>
      <c r="M4" s="34" t="str">
        <f>IFERROR(IF('Pós Implantação'!B4="CSE Telecom",AVERAGE('Pós Implantação'!D4,'Pós Implantação'!L4),""),"")</f>
        <v/>
      </c>
      <c r="N4" s="34" t="str">
        <f>IFERROR(IF('Pós Implantação'!B4="Site Suporte de Campo",AVERAGE('Pós Implantação'!D4,'Pós Implantação'!L4),""),"")</f>
        <v/>
      </c>
      <c r="O4" s="49" t="str">
        <f>IFERROR(IF('Pós Implantação'!B4="Infraestrutura",AVERAGE('Pós Implantação'!D4,'Pós Implantação'!L4),""),"")</f>
        <v/>
      </c>
    </row>
    <row r="5" spans="1:15" x14ac:dyDescent="0.3">
      <c r="A5" s="33">
        <f>'Pré Implantação'!A5</f>
        <v>12347</v>
      </c>
      <c r="B5" s="36">
        <f>'Pós Implantação'!C5</f>
        <v>42574.5</v>
      </c>
      <c r="C5" s="34">
        <f>IFERROR(IF('Pré Implantação'!B5="Produção TI",AVERAGE('Pós Implantação'!D5,'Pós Implantação'!E5,'Pós Implantação'!L5,'Pós Implantação'!H5),AVERAGE('Pré Implantação'!E5,'Pré Implantação'!H5)),"")</f>
        <v>0.2</v>
      </c>
      <c r="D5" s="34">
        <f>IFERROR(IF('Pós Implantação'!B5="CSC Service Desk",AVERAGE('Pós Implantação'!D5,'Pós Implantação'!L5,'Pós Implantação'!F5),AVERAGE('Pós Implantação'!F5)),"")</f>
        <v>1</v>
      </c>
      <c r="E5" s="34">
        <f>IFERROR(IF('Pós Implantação'!B5="CSC NOC",AVERAGE('Pós Implantação'!D5,'Pós Implantação'!L5,'Pós Implantação'!G5),AVERAGE('Pós Implantação'!G5)),"")</f>
        <v>1</v>
      </c>
      <c r="F5" s="34">
        <f>IFERROR(IF('Pós Implantação'!B5="CSE Gravadores",AVERAGE('Pós Implantação'!D5,'Pós Implantação'!L5,'Pós Implantação'!I5),AVERAGE('Pós Implantação'!I5)),"")</f>
        <v>0.8</v>
      </c>
      <c r="G5" s="34" t="str">
        <f>IFERROR(IF('Pós Implantação'!B5="CSC",AVERAGE('Pós Implantação'!D5,'Pós Implantação'!L5,'Pós Implantação'!J5),AVERAGE('Pós Implantação'!J5)),"")</f>
        <v/>
      </c>
      <c r="H5" s="34" t="str">
        <f>IFERROR(IF('Pós Implantação'!B5="Operações \ Negócio",AVERAGE('Pós Implantação'!D5,'Pós Implantação'!L5,'Pós Implantação'!K5),AVERAGE('Pós Implantação'!K5)),"")</f>
        <v/>
      </c>
      <c r="I5" s="34" t="str">
        <f>IFERROR(IF('Pós Implantação'!B5="Projetos",AVERAGE('Pós Implantação'!D5,'Pós Implantação'!L5,'Pós Implantação'!M5),AVERAGE('Pós Implantação'!M5)),"")</f>
        <v/>
      </c>
      <c r="J5" s="34">
        <f>IFERROR(IF('Pós Implantação'!B5="Engenharia",AVERAGE('Pós Implantação'!D5,'Pós Implantação'!L5,'Pós Implantação'!N5),AVERAGE('Pós Implantação'!N5)),"")</f>
        <v>0.6</v>
      </c>
      <c r="K5" s="34" t="str">
        <f>IFERROR(IF('Pós Implantação'!B5="URA",AVERAGE('Pós Implantação'!D5,'Pós Implantação'!L5),""),"")</f>
        <v/>
      </c>
      <c r="L5" s="34" t="str">
        <f>IFERROR(IF('Pós Implantação'!B5="CSE Microsoft",AVERAGE('Pós Implantação'!D5,'Pós Implantação'!L5),""),"")</f>
        <v/>
      </c>
      <c r="M5" s="34" t="str">
        <f>IFERROR(IF('Pós Implantação'!B5="CSE Telecom",AVERAGE('Pós Implantação'!D5,'Pós Implantação'!L5),""),"")</f>
        <v/>
      </c>
      <c r="N5" s="34" t="str">
        <f>IFERROR(IF('Pós Implantação'!B5="Site Suporte de Campo",AVERAGE('Pós Implantação'!D5,'Pós Implantação'!L5),""),"")</f>
        <v/>
      </c>
      <c r="O5" s="49" t="str">
        <f>IFERROR(IF('Pós Implantação'!B5="Infraestrutura",AVERAGE('Pós Implantação'!D5,'Pós Implantação'!L5),""),"")</f>
        <v/>
      </c>
    </row>
    <row r="6" spans="1:15" x14ac:dyDescent="0.3">
      <c r="A6" s="33">
        <f>'Pré Implantação'!A6</f>
        <v>12348</v>
      </c>
      <c r="B6" s="36">
        <f>'Pós Implantação'!C6</f>
        <v>42583.409722222219</v>
      </c>
      <c r="C6" s="34" t="str">
        <f>IFERROR(IF('Pré Implantação'!B6="Produção TI",AVERAGE('Pós Implantação'!D6,'Pós Implantação'!E6,'Pós Implantação'!L6,'Pós Implantação'!H6),AVERAGE('Pré Implantação'!E6,'Pré Implantação'!H6)),"")</f>
        <v/>
      </c>
      <c r="D6" s="34">
        <f>IFERROR(IF('Pós Implantação'!B6="CSC Service Desk",AVERAGE('Pós Implantação'!D6,'Pós Implantação'!L6,'Pós Implantação'!F6),AVERAGE('Pós Implantação'!F6)),"")</f>
        <v>1</v>
      </c>
      <c r="E6" s="34" t="str">
        <f>IFERROR(IF('Pós Implantação'!B6="CSC NOC",AVERAGE('Pós Implantação'!D6,'Pós Implantação'!L6,'Pós Implantação'!G6),AVERAGE('Pós Implantação'!G6)),"")</f>
        <v/>
      </c>
      <c r="F6" s="34" t="str">
        <f>IFERROR(IF('Pós Implantação'!B6="CSE Gravadores",AVERAGE('Pós Implantação'!D6,'Pós Implantação'!L6,'Pós Implantação'!I6),AVERAGE('Pós Implantação'!I6)),"")</f>
        <v/>
      </c>
      <c r="G6" s="34" t="str">
        <f>IFERROR(IF('Pós Implantação'!B6="CSC",AVERAGE('Pós Implantação'!D6,'Pós Implantação'!L6,'Pós Implantação'!J6),AVERAGE('Pós Implantação'!J6)),"")</f>
        <v/>
      </c>
      <c r="H6" s="34" t="str">
        <f>IFERROR(IF('Pós Implantação'!B6="Operações \ Negócio",AVERAGE('Pós Implantação'!D6,'Pós Implantação'!L6,'Pós Implantação'!K6),AVERAGE('Pós Implantação'!K6)),"")</f>
        <v/>
      </c>
      <c r="I6" s="34" t="str">
        <f>IFERROR(IF('Pós Implantação'!B6="Projetos",AVERAGE('Pós Implantação'!D6,'Pós Implantação'!L6,'Pós Implantação'!M6),AVERAGE('Pós Implantação'!M6)),"")</f>
        <v/>
      </c>
      <c r="J6" s="34" t="str">
        <f>IFERROR(IF('Pós Implantação'!B6="Engenharia",AVERAGE('Pós Implantação'!D6,'Pós Implantação'!L6,'Pós Implantação'!N6),AVERAGE('Pós Implantação'!N6)),"")</f>
        <v/>
      </c>
      <c r="K6" s="34" t="str">
        <f>IFERROR(IF('Pós Implantação'!B6="URA",AVERAGE('Pós Implantação'!D6,'Pós Implantação'!L6),""),"")</f>
        <v/>
      </c>
      <c r="L6" s="34" t="str">
        <f>IFERROR(IF('Pós Implantação'!B6="CSE Microsoft",AVERAGE('Pós Implantação'!D6,'Pós Implantação'!L6),""),"")</f>
        <v/>
      </c>
      <c r="M6" s="34">
        <f>IFERROR(IF('Pós Implantação'!B6="CSE Telecom",AVERAGE('Pós Implantação'!D6,'Pós Implantação'!L6),""),"")</f>
        <v>1</v>
      </c>
      <c r="N6" s="34" t="str">
        <f>IFERROR(IF('Pós Implantação'!B6="Site Suporte de Campo",AVERAGE('Pós Implantação'!D6,'Pós Implantação'!L6),""),"")</f>
        <v/>
      </c>
      <c r="O6" s="49" t="str">
        <f>IFERROR(IF('Pós Implantação'!B6="Infraestrutura",AVERAGE('Pós Implantação'!D6,'Pós Implantação'!L6),""),"")</f>
        <v/>
      </c>
    </row>
    <row r="7" spans="1:15" x14ac:dyDescent="0.3">
      <c r="A7" s="33">
        <f>'Pré Implantação'!A7</f>
        <v>12349</v>
      </c>
      <c r="B7" s="36">
        <f>'Pós Implantação'!C7</f>
        <v>42571.083333333336</v>
      </c>
      <c r="C7" s="34">
        <f>IFERROR(IF('Pré Implantação'!B7="Produção TI",AVERAGE('Pós Implantação'!D7,'Pós Implantação'!E7,'Pós Implantação'!L7,'Pós Implantação'!H7),AVERAGE('Pré Implantação'!E7,'Pré Implantação'!H7)),"")</f>
        <v>1</v>
      </c>
      <c r="D7" s="34">
        <f>IFERROR(IF('Pós Implantação'!B7="CSC Service Desk",AVERAGE('Pós Implantação'!D7,'Pós Implantação'!L7,'Pós Implantação'!F7),AVERAGE('Pós Implantação'!F7)),"")</f>
        <v>1</v>
      </c>
      <c r="E7" s="34">
        <f>IFERROR(IF('Pós Implantação'!B7="CSC NOC",AVERAGE('Pós Implantação'!D7,'Pós Implantação'!L7,'Pós Implantação'!G7),AVERAGE('Pós Implantação'!G7)),"")</f>
        <v>1</v>
      </c>
      <c r="F7" s="34">
        <f>IFERROR(IF('Pós Implantação'!B7="CSE Gravadores",AVERAGE('Pós Implantação'!D7,'Pós Implantação'!L7,'Pós Implantação'!I7),AVERAGE('Pós Implantação'!I7)),"")</f>
        <v>1</v>
      </c>
      <c r="G7" s="34">
        <f>IFERROR(IF('Pós Implantação'!B7="CSC",AVERAGE('Pós Implantação'!D7,'Pós Implantação'!L7,'Pós Implantação'!J7),AVERAGE('Pós Implantação'!J7)),"")</f>
        <v>1</v>
      </c>
      <c r="H7" s="34">
        <f>IFERROR(IF('Pós Implantação'!B7="Operações \ Negócio",AVERAGE('Pós Implantação'!D7,'Pós Implantação'!L7,'Pós Implantação'!K7),AVERAGE('Pós Implantação'!K7)),"")</f>
        <v>0.2</v>
      </c>
      <c r="I7" s="34">
        <f>IFERROR(IF('Pós Implantação'!B7="Projetos",AVERAGE('Pós Implantação'!D7,'Pós Implantação'!L7,'Pós Implantação'!M7),AVERAGE('Pós Implantação'!M7)),"")</f>
        <v>1</v>
      </c>
      <c r="J7" s="34">
        <f>IFERROR(IF('Pós Implantação'!B7="Engenharia",AVERAGE('Pós Implantação'!D7,'Pós Implantação'!L7,'Pós Implantação'!N7),AVERAGE('Pós Implantação'!N7)),"")</f>
        <v>0.6</v>
      </c>
      <c r="K7" s="34" t="str">
        <f>IFERROR(IF('Pós Implantação'!B7="URA",AVERAGE('Pós Implantação'!D7,'Pós Implantação'!L7),""),"")</f>
        <v/>
      </c>
      <c r="L7" s="34" t="str">
        <f>IFERROR(IF('Pós Implantação'!B7="CSE Microsoft",AVERAGE('Pós Implantação'!D7,'Pós Implantação'!L7),""),"")</f>
        <v/>
      </c>
      <c r="M7" s="34" t="str">
        <f>IFERROR(IF('Pós Implantação'!B7="CSE Telecom",AVERAGE('Pós Implantação'!D7,'Pós Implantação'!L7),""),"")</f>
        <v/>
      </c>
      <c r="N7" s="34" t="str">
        <f>IFERROR(IF('Pós Implantação'!B7="Site Suporte de Campo",AVERAGE('Pós Implantação'!D7,'Pós Implantação'!L7),""),"")</f>
        <v/>
      </c>
      <c r="O7" s="49">
        <f>IFERROR(IF('Pós Implantação'!B7="Infraestrutura",AVERAGE('Pós Implantação'!D7,'Pós Implantação'!L7),""),"")</f>
        <v>1</v>
      </c>
    </row>
    <row r="8" spans="1:15" x14ac:dyDescent="0.3">
      <c r="A8" s="33">
        <f>'Pré Implantação'!A8</f>
        <v>12350</v>
      </c>
      <c r="B8" s="36">
        <f>'Pós Implantação'!C8</f>
        <v>42580.583333333336</v>
      </c>
      <c r="C8" s="34">
        <f>IFERROR(IF('Pré Implantação'!B8="Produção TI",AVERAGE('Pós Implantação'!D8,'Pós Implantação'!E8,'Pós Implantação'!L8,'Pós Implantação'!H8),AVERAGE('Pré Implantação'!E8,'Pré Implantação'!H8)),"")</f>
        <v>0.7</v>
      </c>
      <c r="D8" s="34" t="str">
        <f>IFERROR(IF('Pós Implantação'!B8="CSC Service Desk",AVERAGE('Pós Implantação'!D8,'Pós Implantação'!L8,'Pós Implantação'!F8),AVERAGE('Pós Implantação'!F8)),"")</f>
        <v/>
      </c>
      <c r="E8" s="34">
        <f>IFERROR(IF('Pós Implantação'!B8="CSC NOC",AVERAGE('Pós Implantação'!D8,'Pós Implantação'!L8,'Pós Implantação'!G8),AVERAGE('Pós Implantação'!G8)),"")</f>
        <v>1</v>
      </c>
      <c r="F8" s="34" t="str">
        <f>IFERROR(IF('Pós Implantação'!B8="CSE Gravadores",AVERAGE('Pós Implantação'!D8,'Pós Implantação'!L8,'Pós Implantação'!I8),AVERAGE('Pós Implantação'!I8)),"")</f>
        <v/>
      </c>
      <c r="G8" s="34">
        <f>IFERROR(IF('Pós Implantação'!B8="CSC",AVERAGE('Pós Implantação'!D8,'Pós Implantação'!L8,'Pós Implantação'!J8),AVERAGE('Pós Implantação'!J8)),"")</f>
        <v>1</v>
      </c>
      <c r="H8" s="34" t="str">
        <f>IFERROR(IF('Pós Implantação'!B8="Operações \ Negócio",AVERAGE('Pós Implantação'!D8,'Pós Implantação'!L8,'Pós Implantação'!K8),AVERAGE('Pós Implantação'!K8)),"")</f>
        <v/>
      </c>
      <c r="I8" s="34" t="str">
        <f>IFERROR(IF('Pós Implantação'!B8="Projetos",AVERAGE('Pós Implantação'!D8,'Pós Implantação'!L8,'Pós Implantação'!M8),AVERAGE('Pós Implantação'!M8)),"")</f>
        <v/>
      </c>
      <c r="J8" s="34" t="str">
        <f>IFERROR(IF('Pós Implantação'!B8="Engenharia",AVERAGE('Pós Implantação'!D8,'Pós Implantação'!L8,'Pós Implantação'!N8),AVERAGE('Pós Implantação'!N8)),"")</f>
        <v/>
      </c>
      <c r="K8" s="34">
        <f>IFERROR(IF('Pós Implantação'!B8="URA",AVERAGE('Pós Implantação'!D8,'Pós Implantação'!L8),""),"")</f>
        <v>1</v>
      </c>
      <c r="L8" s="34" t="str">
        <f>IFERROR(IF('Pós Implantação'!B8="CSE Microsoft",AVERAGE('Pós Implantação'!D8,'Pós Implantação'!L8),""),"")</f>
        <v/>
      </c>
      <c r="M8" s="34" t="str">
        <f>IFERROR(IF('Pós Implantação'!B8="CSE Telecom",AVERAGE('Pós Implantação'!D8,'Pós Implantação'!L8),""),"")</f>
        <v/>
      </c>
      <c r="N8" s="34" t="str">
        <f>IFERROR(IF('Pós Implantação'!B8="Site Suporte de Campo",AVERAGE('Pós Implantação'!D8,'Pós Implantação'!L8),""),"")</f>
        <v/>
      </c>
      <c r="O8" s="49" t="str">
        <f>IFERROR(IF('Pós Implantação'!B8="Infraestrutura",AVERAGE('Pós Implantação'!D8,'Pós Implantação'!L8),""),"")</f>
        <v/>
      </c>
    </row>
    <row r="9" spans="1:15" x14ac:dyDescent="0.3">
      <c r="A9" s="33">
        <f>'Pré Implantação'!A9</f>
        <v>12351</v>
      </c>
      <c r="B9" s="36">
        <f>'Pós Implantação'!C9</f>
        <v>42572.229166666664</v>
      </c>
      <c r="C9" s="34">
        <f>IFERROR(IF('Pré Implantação'!B9="Produção TI",AVERAGE('Pós Implantação'!D9,'Pós Implantação'!E9,'Pós Implantação'!L9,'Pós Implantação'!H9),AVERAGE('Pré Implantação'!E9,'Pré Implantação'!H9)),"")</f>
        <v>0.8</v>
      </c>
      <c r="D9" s="34" t="str">
        <f>IFERROR(IF('Pós Implantação'!B9="CSC Service Desk",AVERAGE('Pós Implantação'!D9,'Pós Implantação'!L9,'Pós Implantação'!F9),AVERAGE('Pós Implantação'!F9)),"")</f>
        <v/>
      </c>
      <c r="E9" s="34">
        <f>IFERROR(IF('Pós Implantação'!B9="CSC NOC",AVERAGE('Pós Implantação'!D9,'Pós Implantação'!L9,'Pós Implantação'!G9),AVERAGE('Pós Implantação'!G9)),"")</f>
        <v>1</v>
      </c>
      <c r="F9" s="34" t="str">
        <f>IFERROR(IF('Pós Implantação'!B9="CSE Gravadores",AVERAGE('Pós Implantação'!D9,'Pós Implantação'!L9,'Pós Implantação'!I9),AVERAGE('Pós Implantação'!I9)),"")</f>
        <v/>
      </c>
      <c r="G9" s="34" t="str">
        <f>IFERROR(IF('Pós Implantação'!B9="CSC",AVERAGE('Pós Implantação'!D9,'Pós Implantação'!L9,'Pós Implantação'!J9),AVERAGE('Pós Implantação'!J9)),"")</f>
        <v/>
      </c>
      <c r="H9" s="34" t="str">
        <f>IFERROR(IF('Pós Implantação'!B9="Operações \ Negócio",AVERAGE('Pós Implantação'!D9,'Pós Implantação'!L9,'Pós Implantação'!K9),AVERAGE('Pós Implantação'!K9)),"")</f>
        <v/>
      </c>
      <c r="I9" s="34" t="str">
        <f>IFERROR(IF('Pós Implantação'!B9="Projetos",AVERAGE('Pós Implantação'!D9,'Pós Implantação'!L9,'Pós Implantação'!M9),AVERAGE('Pós Implantação'!M9)),"")</f>
        <v/>
      </c>
      <c r="J9" s="34">
        <f>IFERROR(IF('Pós Implantação'!B9="Engenharia",AVERAGE('Pós Implantação'!D9,'Pós Implantação'!L9,'Pós Implantação'!N9),AVERAGE('Pós Implantação'!N9)),"")</f>
        <v>1</v>
      </c>
      <c r="K9" s="34" t="str">
        <f>IFERROR(IF('Pós Implantação'!B9="URA",AVERAGE('Pós Implantação'!D9,'Pós Implantação'!L9),""),"")</f>
        <v/>
      </c>
      <c r="L9" s="34">
        <f>IFERROR(IF('Pós Implantação'!B9="CSE Microsoft",AVERAGE('Pós Implantação'!D9,'Pós Implantação'!L9),""),"")</f>
        <v>0.7</v>
      </c>
      <c r="M9" s="34" t="str">
        <f>IFERROR(IF('Pós Implantação'!B9="CSE Telecom",AVERAGE('Pós Implantação'!D9,'Pós Implantação'!L9),""),"")</f>
        <v/>
      </c>
      <c r="N9" s="34" t="str">
        <f>IFERROR(IF('Pós Implantação'!B9="Site Suporte de Campo",AVERAGE('Pós Implantação'!D9,'Pós Implantação'!L9),""),"")</f>
        <v/>
      </c>
      <c r="O9" s="49" t="str">
        <f>IFERROR(IF('Pós Implantação'!B9="Infraestrutura",AVERAGE('Pós Implantação'!D9,'Pós Implantação'!L9),""),"")</f>
        <v/>
      </c>
    </row>
    <row r="10" spans="1:15" x14ac:dyDescent="0.3">
      <c r="A10" s="33">
        <f>'Pré Implantação'!A10</f>
        <v>12352</v>
      </c>
      <c r="B10" s="36">
        <f>'Pós Implantação'!C10</f>
        <v>42584.458333333336</v>
      </c>
      <c r="C10" s="34">
        <f>IFERROR(IF('Pré Implantação'!B10="Produção TI",AVERAGE('Pós Implantação'!D10,'Pós Implantação'!E10,'Pós Implantação'!L10,'Pós Implantação'!H10),AVERAGE('Pré Implantação'!E10,'Pré Implantação'!H10)),"")</f>
        <v>0.9</v>
      </c>
      <c r="D10" s="34" t="str">
        <f>IFERROR(IF('Pós Implantação'!B10="CSC Service Desk",AVERAGE('Pós Implantação'!D10,'Pós Implantação'!L10,'Pós Implantação'!F10),AVERAGE('Pós Implantação'!F10)),"")</f>
        <v/>
      </c>
      <c r="E10" s="34" t="str">
        <f>IFERROR(IF('Pós Implantação'!B10="CSC NOC",AVERAGE('Pós Implantação'!D10,'Pós Implantação'!L10,'Pós Implantação'!G10),AVERAGE('Pós Implantação'!G10)),"")</f>
        <v/>
      </c>
      <c r="F10" s="34" t="str">
        <f>IFERROR(IF('Pós Implantação'!B10="CSE Gravadores",AVERAGE('Pós Implantação'!D10,'Pós Implantação'!L10,'Pós Implantação'!I10),AVERAGE('Pós Implantação'!I10)),"")</f>
        <v/>
      </c>
      <c r="G10" s="34" t="str">
        <f>IFERROR(IF('Pós Implantação'!B10="CSC",AVERAGE('Pós Implantação'!D10,'Pós Implantação'!L10,'Pós Implantação'!J10),AVERAGE('Pós Implantação'!J10)),"")</f>
        <v/>
      </c>
      <c r="H10" s="34" t="str">
        <f>IFERROR(IF('Pós Implantação'!B10="Operações \ Negócio",AVERAGE('Pós Implantação'!D10,'Pós Implantação'!L10,'Pós Implantação'!K10),AVERAGE('Pós Implantação'!K10)),"")</f>
        <v/>
      </c>
      <c r="I10" s="34" t="str">
        <f>IFERROR(IF('Pós Implantação'!B10="Projetos",AVERAGE('Pós Implantação'!D10,'Pós Implantação'!L10,'Pós Implantação'!M10),AVERAGE('Pós Implantação'!M10)),"")</f>
        <v/>
      </c>
      <c r="J10" s="34" t="str">
        <f>IFERROR(IF('Pós Implantação'!B10="Engenharia",AVERAGE('Pós Implantação'!D10,'Pós Implantação'!L10,'Pós Implantação'!N10),AVERAGE('Pós Implantação'!N10)),"")</f>
        <v/>
      </c>
      <c r="K10" s="34">
        <f>IFERROR(IF('Pós Implantação'!B10="URA",AVERAGE('Pós Implantação'!D10,'Pós Implantação'!L10),""),"")</f>
        <v>0.75</v>
      </c>
      <c r="L10" s="34" t="str">
        <f>IFERROR(IF('Pós Implantação'!B10="CSE Microsoft",AVERAGE('Pós Implantação'!D10,'Pós Implantação'!L10),""),"")</f>
        <v/>
      </c>
      <c r="M10" s="34" t="str">
        <f>IFERROR(IF('Pós Implantação'!B10="CSE Telecom",AVERAGE('Pós Implantação'!D10,'Pós Implantação'!L10),""),"")</f>
        <v/>
      </c>
      <c r="N10" s="34" t="str">
        <f>IFERROR(IF('Pós Implantação'!B10="Site Suporte de Campo",AVERAGE('Pós Implantação'!D10,'Pós Implantação'!L10),""),"")</f>
        <v/>
      </c>
      <c r="O10" s="49" t="str">
        <f>IFERROR(IF('Pós Implantação'!B10="Infraestrutura",AVERAGE('Pós Implantação'!D10,'Pós Implantação'!L10),""),"")</f>
        <v/>
      </c>
    </row>
    <row r="11" spans="1:15" x14ac:dyDescent="0.3">
      <c r="A11" s="33">
        <f>'Pré Implantação'!A11</f>
        <v>12353</v>
      </c>
      <c r="B11" s="36">
        <f>'Pós Implantação'!C11</f>
        <v>42578.020833333336</v>
      </c>
      <c r="C11" s="34" t="str">
        <f>IFERROR(IF('Pré Implantação'!B11="Produção TI",AVERAGE('Pós Implantação'!D11,'Pós Implantação'!E11,'Pós Implantação'!L11,'Pós Implantação'!H11),AVERAGE('Pré Implantação'!E11,'Pré Implantação'!H11)),"")</f>
        <v/>
      </c>
      <c r="D11" s="34" t="str">
        <f>IFERROR(IF('Pós Implantação'!B11="CSC Service Desk",AVERAGE('Pós Implantação'!D11,'Pós Implantação'!L11,'Pós Implantação'!F11),AVERAGE('Pós Implantação'!F11)),"")</f>
        <v/>
      </c>
      <c r="E11" s="34" t="str">
        <f>IFERROR(IF('Pós Implantação'!B11="CSC NOC",AVERAGE('Pós Implantação'!D11,'Pós Implantação'!L11,'Pós Implantação'!G11),AVERAGE('Pós Implantação'!G11)),"")</f>
        <v/>
      </c>
      <c r="F11" s="34">
        <f>IFERROR(IF('Pós Implantação'!B11="CSE Gravadores",AVERAGE('Pós Implantação'!D11,'Pós Implantação'!L11,'Pós Implantação'!I11),AVERAGE('Pós Implantação'!I11)),"")</f>
        <v>0.3</v>
      </c>
      <c r="G11" s="34" t="str">
        <f>IFERROR(IF('Pós Implantação'!B11="CSC",AVERAGE('Pós Implantação'!D11,'Pós Implantação'!L11,'Pós Implantação'!J11),AVERAGE('Pós Implantação'!J11)),"")</f>
        <v/>
      </c>
      <c r="H11" s="34" t="str">
        <f>IFERROR(IF('Pós Implantação'!B11="Operações \ Negócio",AVERAGE('Pós Implantação'!D11,'Pós Implantação'!L11,'Pós Implantação'!K11),AVERAGE('Pós Implantação'!K11)),"")</f>
        <v/>
      </c>
      <c r="I11" s="34" t="str">
        <f>IFERROR(IF('Pós Implantação'!B11="Projetos",AVERAGE('Pós Implantação'!D11,'Pós Implantação'!L11,'Pós Implantação'!M11),AVERAGE('Pós Implantação'!M11)),"")</f>
        <v/>
      </c>
      <c r="J11" s="34" t="str">
        <f>IFERROR(IF('Pós Implantação'!B11="Engenharia",AVERAGE('Pós Implantação'!D11,'Pós Implantação'!L11,'Pós Implantação'!N11),AVERAGE('Pós Implantação'!N11)),"")</f>
        <v/>
      </c>
      <c r="K11" s="34" t="str">
        <f>IFERROR(IF('Pós Implantação'!B11="URA",AVERAGE('Pós Implantação'!D11,'Pós Implantação'!L11),""),"")</f>
        <v/>
      </c>
      <c r="L11" s="34" t="str">
        <f>IFERROR(IF('Pós Implantação'!B11="CSE Microsoft",AVERAGE('Pós Implantação'!D11,'Pós Implantação'!L11),""),"")</f>
        <v/>
      </c>
      <c r="M11" s="34">
        <f>IFERROR(IF('Pós Implantação'!B11="CSE Telecom",AVERAGE('Pós Implantação'!D11,'Pós Implantação'!L11),""),"")</f>
        <v>1</v>
      </c>
      <c r="N11" s="34" t="str">
        <f>IFERROR(IF('Pós Implantação'!B11="Site Suporte de Campo",AVERAGE('Pós Implantação'!D11,'Pós Implantação'!L11),""),"")</f>
        <v/>
      </c>
      <c r="O11" s="49" t="str">
        <f>IFERROR(IF('Pós Implantação'!B11="Infraestrutura",AVERAGE('Pós Implantação'!D11,'Pós Implantação'!L11),""),"")</f>
        <v/>
      </c>
    </row>
    <row r="12" spans="1:15" x14ac:dyDescent="0.3">
      <c r="A12" s="33">
        <f>'Pré Implantação'!A12</f>
        <v>12354</v>
      </c>
      <c r="B12" s="36">
        <f>'Pós Implantação'!C12</f>
        <v>42579.802083333336</v>
      </c>
      <c r="C12" s="34">
        <f>IFERROR(IF('Pré Implantação'!B12="Produção TI",AVERAGE('Pós Implantação'!D12,'Pós Implantação'!E12,'Pós Implantação'!L12,'Pós Implantação'!H12),AVERAGE('Pré Implantação'!E12,'Pré Implantação'!H12)),"")</f>
        <v>0.75</v>
      </c>
      <c r="D12" s="34">
        <f>IFERROR(IF('Pós Implantação'!B12="CSC Service Desk",AVERAGE('Pós Implantação'!D12,'Pós Implantação'!L12,'Pós Implantação'!F12),AVERAGE('Pós Implantação'!F12)),"")</f>
        <v>1</v>
      </c>
      <c r="E12" s="34">
        <f>IFERROR(IF('Pós Implantação'!B12="CSC NOC",AVERAGE('Pós Implantação'!D12,'Pós Implantação'!L12,'Pós Implantação'!G12),AVERAGE('Pós Implantação'!G12)),"")</f>
        <v>1</v>
      </c>
      <c r="F12" s="34">
        <f>IFERROR(IF('Pós Implantação'!B12="CSE Gravadores",AVERAGE('Pós Implantação'!D12,'Pós Implantação'!L12,'Pós Implantação'!I12),AVERAGE('Pós Implantação'!I12)),"")</f>
        <v>1</v>
      </c>
      <c r="G12" s="34">
        <f>IFERROR(IF('Pós Implantação'!B12="CSC",AVERAGE('Pós Implantação'!D12,'Pós Implantação'!L12,'Pós Implantação'!J12),AVERAGE('Pós Implantação'!J12)),"")</f>
        <v>1</v>
      </c>
      <c r="H12" s="34">
        <f>IFERROR(IF('Pós Implantação'!B12="Operações \ Negócio",AVERAGE('Pós Implantação'!D12,'Pós Implantação'!L12,'Pós Implantação'!K12),AVERAGE('Pós Implantação'!K12)),"")</f>
        <v>1</v>
      </c>
      <c r="I12" s="34">
        <f>IFERROR(IF('Pós Implantação'!B12="Projetos",AVERAGE('Pós Implantação'!D12,'Pós Implantação'!L12,'Pós Implantação'!M12),AVERAGE('Pós Implantação'!M12)),"")</f>
        <v>1</v>
      </c>
      <c r="J12" s="34">
        <f>IFERROR(IF('Pós Implantação'!B12="Engenharia",AVERAGE('Pós Implantação'!D12,'Pós Implantação'!L12,'Pós Implantação'!N12),AVERAGE('Pós Implantação'!N12)),"")</f>
        <v>1</v>
      </c>
      <c r="K12" s="34" t="str">
        <f>IFERROR(IF('Pós Implantação'!B12="URA",AVERAGE('Pós Implantação'!D12,'Pós Implantação'!L12),""),"")</f>
        <v/>
      </c>
      <c r="L12" s="34">
        <f>IFERROR(IF('Pós Implantação'!B12="CSE Microsoft",AVERAGE('Pós Implantação'!D12,'Pós Implantação'!L12),""),"")</f>
        <v>1</v>
      </c>
      <c r="M12" s="34" t="str">
        <f>IFERROR(IF('Pós Implantação'!B12="CSE Telecom",AVERAGE('Pós Implantação'!D12,'Pós Implantação'!L12),""),"")</f>
        <v/>
      </c>
      <c r="N12" s="34" t="str">
        <f>IFERROR(IF('Pós Implantação'!B12="Site Suporte de Campo",AVERAGE('Pós Implantação'!D12,'Pós Implantação'!L12),""),"")</f>
        <v/>
      </c>
      <c r="O12" s="49" t="str">
        <f>IFERROR(IF('Pós Implantação'!B12="Infraestrutura",AVERAGE('Pós Implantação'!D12,'Pós Implantação'!L12),""),"")</f>
        <v/>
      </c>
    </row>
    <row r="13" spans="1:15" x14ac:dyDescent="0.3">
      <c r="A13" s="33">
        <f>'Pré Implantação'!A13</f>
        <v>12355</v>
      </c>
      <c r="B13" s="36">
        <f>'Pós Implantação'!C13</f>
        <v>42579.666666666664</v>
      </c>
      <c r="C13" s="34">
        <f>IFERROR(IF('Pré Implantação'!B13="Produção TI",AVERAGE('Pós Implantação'!D13,'Pós Implantação'!E13,'Pós Implantação'!L13,'Pós Implantação'!H13),AVERAGE('Pré Implantação'!E13,'Pré Implantação'!H13)),"")</f>
        <v>0.5</v>
      </c>
      <c r="D13" s="34">
        <f>IFERROR(IF('Pós Implantação'!B13="CSC Service Desk",AVERAGE('Pós Implantação'!D13,'Pós Implantação'!L13,'Pós Implantação'!F13),AVERAGE('Pós Implantação'!F13)),"")</f>
        <v>1</v>
      </c>
      <c r="E13" s="34" t="str">
        <f>IFERROR(IF('Pós Implantação'!B13="CSC NOC",AVERAGE('Pós Implantação'!D13,'Pós Implantação'!L13,'Pós Implantação'!G13),AVERAGE('Pós Implantação'!G13)),"")</f>
        <v/>
      </c>
      <c r="F13" s="34" t="str">
        <f>IFERROR(IF('Pós Implantação'!B13="CSE Gravadores",AVERAGE('Pós Implantação'!D13,'Pós Implantação'!L13,'Pós Implantação'!I13),AVERAGE('Pós Implantação'!I13)),"")</f>
        <v/>
      </c>
      <c r="G13" s="34">
        <f>IFERROR(IF('Pós Implantação'!B13="CSC",AVERAGE('Pós Implantação'!D13,'Pós Implantação'!L13,'Pós Implantação'!J13),AVERAGE('Pós Implantação'!J13)),"")</f>
        <v>0.8</v>
      </c>
      <c r="H13" s="34">
        <f>IFERROR(IF('Pós Implantação'!B13="Operações \ Negócio",AVERAGE('Pós Implantação'!D13,'Pós Implantação'!L13,'Pós Implantação'!K13),AVERAGE('Pós Implantação'!K13)),"")</f>
        <v>0.75</v>
      </c>
      <c r="I13" s="34" t="str">
        <f>IFERROR(IF('Pós Implantação'!B13="Projetos",AVERAGE('Pós Implantação'!D13,'Pós Implantação'!L13,'Pós Implantação'!M13),AVERAGE('Pós Implantação'!M13)),"")</f>
        <v/>
      </c>
      <c r="J13" s="34">
        <f>IFERROR(IF('Pós Implantação'!B13="Engenharia",AVERAGE('Pós Implantação'!D13,'Pós Implantação'!L13,'Pós Implantação'!N13),AVERAGE('Pós Implantação'!N13)),"")</f>
        <v>0.4</v>
      </c>
      <c r="K13" s="34" t="str">
        <f>IFERROR(IF('Pós Implantação'!B13="URA",AVERAGE('Pós Implantação'!D13,'Pós Implantação'!L13),""),"")</f>
        <v/>
      </c>
      <c r="L13" s="34" t="str">
        <f>IFERROR(IF('Pós Implantação'!B13="CSE Microsoft",AVERAGE('Pós Implantação'!D13,'Pós Implantação'!L13),""),"")</f>
        <v/>
      </c>
      <c r="M13" s="34" t="str">
        <f>IFERROR(IF('Pós Implantação'!B13="CSE Telecom",AVERAGE('Pós Implantação'!D13,'Pós Implantação'!L13),""),"")</f>
        <v/>
      </c>
      <c r="N13" s="34" t="str">
        <f>IFERROR(IF('Pós Implantação'!B13="Site Suporte de Campo",AVERAGE('Pós Implantação'!D13,'Pós Implantação'!L13),""),"")</f>
        <v/>
      </c>
      <c r="O13" s="49" t="str">
        <f>IFERROR(IF('Pós Implantação'!B13="Infraestrutura",AVERAGE('Pós Implantação'!D13,'Pós Implantação'!L13),""),"")</f>
        <v/>
      </c>
    </row>
    <row r="14" spans="1:15" x14ac:dyDescent="0.3">
      <c r="A14" s="33">
        <f>'Pré Implantação'!A14</f>
        <v>0</v>
      </c>
      <c r="B14" s="36" t="str">
        <f>'Pós Implantação'!C14</f>
        <v>0</v>
      </c>
      <c r="C14" s="34" t="str">
        <f>IFERROR(IF('Pré Implantação'!B14="Produção TI",AVERAGE('Pós Implantação'!D14,'Pós Implantação'!E14,'Pós Implantação'!L14,'Pós Implantação'!H14),AVERAGE('Pré Implantação'!E14,'Pré Implantação'!H14)),"")</f>
        <v/>
      </c>
      <c r="D14" s="34" t="str">
        <f>IFERROR(IF('Pós Implantação'!B14="CSC Service Desk",AVERAGE('Pós Implantação'!D14,'Pós Implantação'!L14,'Pós Implantação'!F14),AVERAGE('Pós Implantação'!F14)),"")</f>
        <v/>
      </c>
      <c r="E14" s="34" t="str">
        <f>IFERROR(IF('Pós Implantação'!B14="CSC NOC",AVERAGE('Pós Implantação'!D14,'Pós Implantação'!L14,'Pós Implantação'!G14),AVERAGE('Pós Implantação'!G14)),"")</f>
        <v/>
      </c>
      <c r="F14" s="34" t="str">
        <f>IFERROR(IF('Pós Implantação'!B14="CSE Gravadores",AVERAGE('Pós Implantação'!D14,'Pós Implantação'!L14,'Pós Implantação'!I14),AVERAGE('Pós Implantação'!I14)),"")</f>
        <v/>
      </c>
      <c r="G14" s="34" t="str">
        <f>IFERROR(IF('Pós Implantação'!B14="CSC",AVERAGE('Pós Implantação'!D14,'Pós Implantação'!L14,'Pós Implantação'!J14),AVERAGE('Pós Implantação'!J14)),"")</f>
        <v/>
      </c>
      <c r="H14" s="34" t="str">
        <f>IFERROR(IF('Pós Implantação'!B14="Operações \ Negócio",AVERAGE('Pós Implantação'!D14,'Pós Implantação'!L14,'Pós Implantação'!K14),AVERAGE('Pós Implantação'!K14)),"")</f>
        <v/>
      </c>
      <c r="I14" s="34" t="str">
        <f>IFERROR(IF('Pós Implantação'!B14="Projetos",AVERAGE('Pós Implantação'!D14,'Pós Implantação'!L14,'Pós Implantação'!M14),AVERAGE('Pós Implantação'!M14)),"")</f>
        <v/>
      </c>
      <c r="J14" s="34" t="str">
        <f>IFERROR(IF('Pós Implantação'!B14="Engenharia",AVERAGE('Pós Implantação'!D14,'Pós Implantação'!L14,'Pós Implantação'!N14),AVERAGE('Pós Implantação'!N14)),"")</f>
        <v/>
      </c>
      <c r="K14" s="34" t="str">
        <f>IFERROR(IF('Pós Implantação'!B14="URA",AVERAGE('Pós Implantação'!D14,'Pós Implantação'!L14),""),"")</f>
        <v/>
      </c>
      <c r="L14" s="34" t="str">
        <f>IFERROR(IF('Pós Implantação'!B14="CSE Microsoft",AVERAGE('Pós Implantação'!D14,'Pós Implantação'!L14),""),"")</f>
        <v/>
      </c>
      <c r="M14" s="34" t="str">
        <f>IFERROR(IF('Pós Implantação'!B14="CSE Telecom",AVERAGE('Pós Implantação'!D14,'Pós Implantação'!L14),""),"")</f>
        <v/>
      </c>
      <c r="N14" s="34" t="str">
        <f>IFERROR(IF('Pós Implantação'!B14="Site Suporte de Campo",AVERAGE('Pós Implantação'!D14,'Pós Implantação'!L14),""),"")</f>
        <v/>
      </c>
      <c r="O14" s="49" t="str">
        <f>IFERROR(IF('Pós Implantação'!B14="Infraestrutura",AVERAGE('Pós Implantação'!D14,'Pós Implantação'!L14),""),"")</f>
        <v/>
      </c>
    </row>
    <row r="15" spans="1:15" x14ac:dyDescent="0.3">
      <c r="A15" s="33">
        <f>'Pré Implantação'!A15</f>
        <v>0</v>
      </c>
      <c r="B15" s="36" t="str">
        <f>'Pós Implantação'!C15</f>
        <v>0</v>
      </c>
      <c r="C15" s="34" t="str">
        <f>IFERROR(IF('Pré Implantação'!B15="Produção TI",AVERAGE('Pós Implantação'!D15,'Pós Implantação'!E15,'Pós Implantação'!L15,'Pós Implantação'!H15),AVERAGE('Pré Implantação'!E15,'Pré Implantação'!H15)),"")</f>
        <v/>
      </c>
      <c r="D15" s="34" t="str">
        <f>IFERROR(IF('Pós Implantação'!B15="CSC Service Desk",AVERAGE('Pós Implantação'!D15,'Pós Implantação'!L15,'Pós Implantação'!F15),AVERAGE('Pós Implantação'!F15)),"")</f>
        <v/>
      </c>
      <c r="E15" s="34" t="str">
        <f>IFERROR(IF('Pós Implantação'!B15="CSC NOC",AVERAGE('Pós Implantação'!D15,'Pós Implantação'!L15,'Pós Implantação'!G15),AVERAGE('Pós Implantação'!G15)),"")</f>
        <v/>
      </c>
      <c r="F15" s="34" t="str">
        <f>IFERROR(IF('Pós Implantação'!B15="CSE Gravadores",AVERAGE('Pós Implantação'!D15,'Pós Implantação'!L15,'Pós Implantação'!I15),AVERAGE('Pós Implantação'!I15)),"")</f>
        <v/>
      </c>
      <c r="G15" s="34" t="str">
        <f>IFERROR(IF('Pós Implantação'!B15="CSC",AVERAGE('Pós Implantação'!D15,'Pós Implantação'!L15,'Pós Implantação'!J15),AVERAGE('Pós Implantação'!J15)),"")</f>
        <v/>
      </c>
      <c r="H15" s="34" t="str">
        <f>IFERROR(IF('Pós Implantação'!B15="Operações \ Negócio",AVERAGE('Pós Implantação'!D15,'Pós Implantação'!L15,'Pós Implantação'!K15),AVERAGE('Pós Implantação'!K15)),"")</f>
        <v/>
      </c>
      <c r="I15" s="34" t="str">
        <f>IFERROR(IF('Pós Implantação'!B15="Projetos",AVERAGE('Pós Implantação'!D15,'Pós Implantação'!L15,'Pós Implantação'!M15),AVERAGE('Pós Implantação'!M15)),"")</f>
        <v/>
      </c>
      <c r="J15" s="34" t="str">
        <f>IFERROR(IF('Pós Implantação'!B15="Engenharia",AVERAGE('Pós Implantação'!D15,'Pós Implantação'!L15,'Pós Implantação'!N15),AVERAGE('Pós Implantação'!N15)),"")</f>
        <v/>
      </c>
      <c r="K15" s="34" t="str">
        <f>IFERROR(IF('Pós Implantação'!B15="URA",AVERAGE('Pós Implantação'!D15,'Pós Implantação'!L15),""),"")</f>
        <v/>
      </c>
      <c r="L15" s="34" t="str">
        <f>IFERROR(IF('Pós Implantação'!B15="CSE Microsoft",AVERAGE('Pós Implantação'!D15,'Pós Implantação'!L15),""),"")</f>
        <v/>
      </c>
      <c r="M15" s="34" t="str">
        <f>IFERROR(IF('Pós Implantação'!B15="CSE Telecom",AVERAGE('Pós Implantação'!D15,'Pós Implantação'!L15),""),"")</f>
        <v/>
      </c>
      <c r="N15" s="34" t="str">
        <f>IFERROR(IF('Pós Implantação'!B15="Site Suporte de Campo",AVERAGE('Pós Implantação'!D15,'Pós Implantação'!L15),""),"")</f>
        <v/>
      </c>
      <c r="O15" s="49" t="str">
        <f>IFERROR(IF('Pós Implantação'!B15="Infraestrutura",AVERAGE('Pós Implantação'!D15,'Pós Implantação'!L15),""),"")</f>
        <v/>
      </c>
    </row>
    <row r="16" spans="1:15" x14ac:dyDescent="0.3">
      <c r="A16" s="33">
        <f>'Pré Implantação'!A16</f>
        <v>0</v>
      </c>
      <c r="B16" s="36" t="str">
        <f>'Pós Implantação'!C16</f>
        <v>0</v>
      </c>
      <c r="C16" s="34" t="str">
        <f>IFERROR(IF('Pré Implantação'!B16="Produção TI",AVERAGE('Pós Implantação'!D16,'Pós Implantação'!E16,'Pós Implantação'!L16,'Pós Implantação'!H16),AVERAGE('Pré Implantação'!E16,'Pré Implantação'!H16)),"")</f>
        <v/>
      </c>
      <c r="D16" s="34" t="str">
        <f>IFERROR(IF('Pós Implantação'!B16="CSC Service Desk",AVERAGE('Pós Implantação'!D16,'Pós Implantação'!L16,'Pós Implantação'!F16),AVERAGE('Pós Implantação'!F16)),"")</f>
        <v/>
      </c>
      <c r="E16" s="34" t="str">
        <f>IFERROR(IF('Pós Implantação'!B16="CSC NOC",AVERAGE('Pós Implantação'!D16,'Pós Implantação'!L16,'Pós Implantação'!G16),AVERAGE('Pós Implantação'!G16)),"")</f>
        <v/>
      </c>
      <c r="F16" s="34" t="str">
        <f>IFERROR(IF('Pós Implantação'!B16="CSE Gravadores",AVERAGE('Pós Implantação'!D16,'Pós Implantação'!L16,'Pós Implantação'!I16),AVERAGE('Pós Implantação'!I16)),"")</f>
        <v/>
      </c>
      <c r="G16" s="34" t="str">
        <f>IFERROR(IF('Pós Implantação'!B16="CSC",AVERAGE('Pós Implantação'!D16,'Pós Implantação'!L16,'Pós Implantação'!J16),AVERAGE('Pós Implantação'!J16)),"")</f>
        <v/>
      </c>
      <c r="H16" s="34" t="str">
        <f>IFERROR(IF('Pós Implantação'!B16="Operações \ Negócio",AVERAGE('Pós Implantação'!D16,'Pós Implantação'!L16,'Pós Implantação'!K16),AVERAGE('Pós Implantação'!K16)),"")</f>
        <v/>
      </c>
      <c r="I16" s="34" t="str">
        <f>IFERROR(IF('Pós Implantação'!B16="Projetos",AVERAGE('Pós Implantação'!D16,'Pós Implantação'!L16,'Pós Implantação'!M16),AVERAGE('Pós Implantação'!M16)),"")</f>
        <v/>
      </c>
      <c r="J16" s="34" t="str">
        <f>IFERROR(IF('Pós Implantação'!B16="Engenharia",AVERAGE('Pós Implantação'!D16,'Pós Implantação'!L16,'Pós Implantação'!N16),AVERAGE('Pós Implantação'!N16)),"")</f>
        <v/>
      </c>
      <c r="K16" s="34" t="str">
        <f>IFERROR(IF('Pós Implantação'!B16="URA",AVERAGE('Pós Implantação'!D16,'Pós Implantação'!L16),""),"")</f>
        <v/>
      </c>
      <c r="L16" s="34" t="str">
        <f>IFERROR(IF('Pós Implantação'!B16="CSE Microsoft",AVERAGE('Pós Implantação'!D16,'Pós Implantação'!L16),""),"")</f>
        <v/>
      </c>
      <c r="M16" s="34" t="str">
        <f>IFERROR(IF('Pós Implantação'!B16="CSE Telecom",AVERAGE('Pós Implantação'!D16,'Pós Implantação'!L16),""),"")</f>
        <v/>
      </c>
      <c r="N16" s="34" t="str">
        <f>IFERROR(IF('Pós Implantação'!B16="Site Suporte de Campo",AVERAGE('Pós Implantação'!D16,'Pós Implantação'!L16),""),"")</f>
        <v/>
      </c>
      <c r="O16" s="49" t="str">
        <f>IFERROR(IF('Pós Implantação'!B16="Infraestrutura",AVERAGE('Pós Implantação'!D16,'Pós Implantação'!L16),""),"")</f>
        <v/>
      </c>
    </row>
    <row r="17" spans="1:15" x14ac:dyDescent="0.3">
      <c r="A17" s="33">
        <f>'Pré Implantação'!A17</f>
        <v>0</v>
      </c>
      <c r="B17" s="36" t="str">
        <f>'Pós Implantação'!C17</f>
        <v>0</v>
      </c>
      <c r="C17" s="34" t="str">
        <f>IFERROR(IF('Pré Implantação'!B17="Produção TI",AVERAGE('Pós Implantação'!D17,'Pós Implantação'!E17,'Pós Implantação'!L17,'Pós Implantação'!H17),AVERAGE('Pré Implantação'!E17,'Pré Implantação'!H17)),"")</f>
        <v/>
      </c>
      <c r="D17" s="34" t="str">
        <f>IFERROR(IF('Pós Implantação'!B17="CSC Service Desk",AVERAGE('Pós Implantação'!D17,'Pós Implantação'!L17,'Pós Implantação'!F17),AVERAGE('Pós Implantação'!F17)),"")</f>
        <v/>
      </c>
      <c r="E17" s="34" t="str">
        <f>IFERROR(IF('Pós Implantação'!B17="CSC NOC",AVERAGE('Pós Implantação'!D17,'Pós Implantação'!L17,'Pós Implantação'!G17),AVERAGE('Pós Implantação'!G17)),"")</f>
        <v/>
      </c>
      <c r="F17" s="34" t="str">
        <f>IFERROR(IF('Pós Implantação'!B17="CSE Gravadores",AVERAGE('Pós Implantação'!D17,'Pós Implantação'!L17,'Pós Implantação'!I17),AVERAGE('Pós Implantação'!I17)),"")</f>
        <v/>
      </c>
      <c r="G17" s="34" t="str">
        <f>IFERROR(IF('Pós Implantação'!B17="CSC",AVERAGE('Pós Implantação'!D17,'Pós Implantação'!L17,'Pós Implantação'!J17),AVERAGE('Pós Implantação'!J17)),"")</f>
        <v/>
      </c>
      <c r="H17" s="34" t="str">
        <f>IFERROR(IF('Pós Implantação'!B17="Operações \ Negócio",AVERAGE('Pós Implantação'!D17,'Pós Implantação'!L17,'Pós Implantação'!K17),AVERAGE('Pós Implantação'!K17)),"")</f>
        <v/>
      </c>
      <c r="I17" s="34" t="str">
        <f>IFERROR(IF('Pós Implantação'!B17="Projetos",AVERAGE('Pós Implantação'!D17,'Pós Implantação'!L17,'Pós Implantação'!M17),AVERAGE('Pós Implantação'!M17)),"")</f>
        <v/>
      </c>
      <c r="J17" s="34" t="str">
        <f>IFERROR(IF('Pós Implantação'!B17="Engenharia",AVERAGE('Pós Implantação'!D17,'Pós Implantação'!L17,'Pós Implantação'!N17),AVERAGE('Pós Implantação'!N17)),"")</f>
        <v/>
      </c>
      <c r="K17" s="34" t="str">
        <f>IFERROR(IF('Pós Implantação'!B17="URA",AVERAGE('Pós Implantação'!D17,'Pós Implantação'!L17),""),"")</f>
        <v/>
      </c>
      <c r="L17" s="34" t="str">
        <f>IFERROR(IF('Pós Implantação'!B17="CSE Microsoft",AVERAGE('Pós Implantação'!D17,'Pós Implantação'!L17),""),"")</f>
        <v/>
      </c>
      <c r="M17" s="34" t="str">
        <f>IFERROR(IF('Pós Implantação'!B17="CSE Telecom",AVERAGE('Pós Implantação'!D17,'Pós Implantação'!L17),""),"")</f>
        <v/>
      </c>
      <c r="N17" s="34" t="str">
        <f>IFERROR(IF('Pós Implantação'!B17="Site Suporte de Campo",AVERAGE('Pós Implantação'!D17,'Pós Implantação'!L17),""),"")</f>
        <v/>
      </c>
      <c r="O17" s="49" t="str">
        <f>IFERROR(IF('Pós Implantação'!B17="Infraestrutura",AVERAGE('Pós Implantação'!D17,'Pós Implantação'!L17),""),"")</f>
        <v/>
      </c>
    </row>
    <row r="18" spans="1:15" x14ac:dyDescent="0.3">
      <c r="A18" s="33">
        <f>'Pré Implantação'!A18</f>
        <v>0</v>
      </c>
      <c r="B18" s="36" t="str">
        <f>'Pós Implantação'!C18</f>
        <v>0</v>
      </c>
      <c r="C18" s="34" t="str">
        <f>IFERROR(IF('Pré Implantação'!B18="Produção TI",AVERAGE('Pós Implantação'!D18,'Pós Implantação'!E18,'Pós Implantação'!L18,'Pós Implantação'!H18),AVERAGE('Pré Implantação'!E18,'Pré Implantação'!H18)),"")</f>
        <v/>
      </c>
      <c r="D18" s="34" t="str">
        <f>IFERROR(IF('Pós Implantação'!B18="CSC Service Desk",AVERAGE('Pós Implantação'!D18,'Pós Implantação'!L18,'Pós Implantação'!F18),AVERAGE('Pós Implantação'!F18)),"")</f>
        <v/>
      </c>
      <c r="E18" s="34" t="str">
        <f>IFERROR(IF('Pós Implantação'!B18="CSC NOC",AVERAGE('Pós Implantação'!D18,'Pós Implantação'!L18,'Pós Implantação'!G18),AVERAGE('Pós Implantação'!G18)),"")</f>
        <v/>
      </c>
      <c r="F18" s="34" t="str">
        <f>IFERROR(IF('Pós Implantação'!B18="CSE Gravadores",AVERAGE('Pós Implantação'!D18,'Pós Implantação'!L18,'Pós Implantação'!I18),AVERAGE('Pós Implantação'!I18)),"")</f>
        <v/>
      </c>
      <c r="G18" s="34" t="str">
        <f>IFERROR(IF('Pós Implantação'!B18="CSC",AVERAGE('Pós Implantação'!D18,'Pós Implantação'!L18,'Pós Implantação'!J18),AVERAGE('Pós Implantação'!J18)),"")</f>
        <v/>
      </c>
      <c r="H18" s="34" t="str">
        <f>IFERROR(IF('Pós Implantação'!B18="Operações \ Negócio",AVERAGE('Pós Implantação'!D18,'Pós Implantação'!L18,'Pós Implantação'!K18),AVERAGE('Pós Implantação'!K18)),"")</f>
        <v/>
      </c>
      <c r="I18" s="34" t="str">
        <f>IFERROR(IF('Pós Implantação'!B18="Projetos",AVERAGE('Pós Implantação'!D18,'Pós Implantação'!L18,'Pós Implantação'!M18),AVERAGE('Pós Implantação'!M18)),"")</f>
        <v/>
      </c>
      <c r="J18" s="34" t="str">
        <f>IFERROR(IF('Pós Implantação'!B18="Engenharia",AVERAGE('Pós Implantação'!D18,'Pós Implantação'!L18,'Pós Implantação'!N18),AVERAGE('Pós Implantação'!N18)),"")</f>
        <v/>
      </c>
      <c r="K18" s="34" t="str">
        <f>IFERROR(IF('Pós Implantação'!B18="URA",AVERAGE('Pós Implantação'!D18,'Pós Implantação'!L18),""),"")</f>
        <v/>
      </c>
      <c r="L18" s="34" t="str">
        <f>IFERROR(IF('Pós Implantação'!B18="CSE Microsoft",AVERAGE('Pós Implantação'!D18,'Pós Implantação'!L18),""),"")</f>
        <v/>
      </c>
      <c r="M18" s="34" t="str">
        <f>IFERROR(IF('Pós Implantação'!B18="CSE Telecom",AVERAGE('Pós Implantação'!D18,'Pós Implantação'!L18),""),"")</f>
        <v/>
      </c>
      <c r="N18" s="34" t="str">
        <f>IFERROR(IF('Pós Implantação'!B18="Site Suporte de Campo",AVERAGE('Pós Implantação'!D18,'Pós Implantação'!L18),""),"")</f>
        <v/>
      </c>
      <c r="O18" s="49" t="str">
        <f>IFERROR(IF('Pós Implantação'!B18="Infraestrutura",AVERAGE('Pós Implantação'!D18,'Pós Implantação'!L18),""),"")</f>
        <v/>
      </c>
    </row>
    <row r="19" spans="1:15" x14ac:dyDescent="0.3">
      <c r="A19" s="33">
        <f>'Pré Implantação'!A19</f>
        <v>0</v>
      </c>
      <c r="B19" s="36" t="str">
        <f>'Pós Implantação'!C19</f>
        <v>0</v>
      </c>
      <c r="C19" s="34" t="str">
        <f>IFERROR(IF('Pré Implantação'!B19="Produção TI",AVERAGE('Pós Implantação'!D19,'Pós Implantação'!E19,'Pós Implantação'!L19,'Pós Implantação'!H19),AVERAGE('Pré Implantação'!E19,'Pré Implantação'!H19)),"")</f>
        <v/>
      </c>
      <c r="D19" s="34" t="str">
        <f>IFERROR(IF('Pós Implantação'!B19="CSC Service Desk",AVERAGE('Pós Implantação'!D19,'Pós Implantação'!L19,'Pós Implantação'!F19),AVERAGE('Pós Implantação'!F19)),"")</f>
        <v/>
      </c>
      <c r="E19" s="34" t="str">
        <f>IFERROR(IF('Pós Implantação'!B19="CSC NOC",AVERAGE('Pós Implantação'!D19,'Pós Implantação'!L19,'Pós Implantação'!G19),AVERAGE('Pós Implantação'!G19)),"")</f>
        <v/>
      </c>
      <c r="F19" s="34" t="str">
        <f>IFERROR(IF('Pós Implantação'!B19="CSE Gravadores",AVERAGE('Pós Implantação'!D19,'Pós Implantação'!L19,'Pós Implantação'!I19),AVERAGE('Pós Implantação'!I19)),"")</f>
        <v/>
      </c>
      <c r="G19" s="34" t="str">
        <f>IFERROR(IF('Pós Implantação'!B19="CSC",AVERAGE('Pós Implantação'!D19,'Pós Implantação'!L19,'Pós Implantação'!J19),AVERAGE('Pós Implantação'!J19)),"")</f>
        <v/>
      </c>
      <c r="H19" s="34" t="str">
        <f>IFERROR(IF('Pós Implantação'!B19="Operações \ Negócio",AVERAGE('Pós Implantação'!D19,'Pós Implantação'!L19,'Pós Implantação'!K19),AVERAGE('Pós Implantação'!K19)),"")</f>
        <v/>
      </c>
      <c r="I19" s="34" t="str">
        <f>IFERROR(IF('Pós Implantação'!B19="Projetos",AVERAGE('Pós Implantação'!D19,'Pós Implantação'!L19,'Pós Implantação'!M19),AVERAGE('Pós Implantação'!M19)),"")</f>
        <v/>
      </c>
      <c r="J19" s="34" t="str">
        <f>IFERROR(IF('Pós Implantação'!B19="Engenharia",AVERAGE('Pós Implantação'!D19,'Pós Implantação'!L19,'Pós Implantação'!N19),AVERAGE('Pós Implantação'!N19)),"")</f>
        <v/>
      </c>
      <c r="K19" s="34" t="str">
        <f>IFERROR(IF('Pós Implantação'!B19="URA",AVERAGE('Pós Implantação'!D19,'Pós Implantação'!L19),""),"")</f>
        <v/>
      </c>
      <c r="L19" s="34" t="str">
        <f>IFERROR(IF('Pós Implantação'!B19="CSE Microsoft",AVERAGE('Pós Implantação'!D19,'Pós Implantação'!L19),""),"")</f>
        <v/>
      </c>
      <c r="M19" s="34" t="str">
        <f>IFERROR(IF('Pós Implantação'!B19="CSE Telecom",AVERAGE('Pós Implantação'!D19,'Pós Implantação'!L19),""),"")</f>
        <v/>
      </c>
      <c r="N19" s="34" t="str">
        <f>IFERROR(IF('Pós Implantação'!B19="Site Suporte de Campo",AVERAGE('Pós Implantação'!D19,'Pós Implantação'!L19),""),"")</f>
        <v/>
      </c>
      <c r="O19" s="49" t="str">
        <f>IFERROR(IF('Pós Implantação'!B19="Infraestrutura",AVERAGE('Pós Implantação'!D19,'Pós Implantação'!L19),""),"")</f>
        <v/>
      </c>
    </row>
    <row r="20" spans="1:15" x14ac:dyDescent="0.3">
      <c r="A20" s="33">
        <f>'Pré Implantação'!A20</f>
        <v>0</v>
      </c>
      <c r="B20" s="36" t="str">
        <f>'Pós Implantação'!C20</f>
        <v>0</v>
      </c>
      <c r="C20" s="34" t="str">
        <f>IFERROR(IF('Pré Implantação'!B20="Produção TI",AVERAGE('Pós Implantação'!D20,'Pós Implantação'!E20,'Pós Implantação'!L20,'Pós Implantação'!H20),AVERAGE('Pré Implantação'!E20,'Pré Implantação'!H20)),"")</f>
        <v/>
      </c>
      <c r="D20" s="34" t="str">
        <f>IFERROR(IF('Pós Implantação'!B20="CSC Service Desk",AVERAGE('Pós Implantação'!D20,'Pós Implantação'!L20,'Pós Implantação'!F20),AVERAGE('Pós Implantação'!F20)),"")</f>
        <v/>
      </c>
      <c r="E20" s="34" t="str">
        <f>IFERROR(IF('Pós Implantação'!B20="CSC NOC",AVERAGE('Pós Implantação'!D20,'Pós Implantação'!L20,'Pós Implantação'!G20),AVERAGE('Pós Implantação'!G20)),"")</f>
        <v/>
      </c>
      <c r="F20" s="34" t="str">
        <f>IFERROR(IF('Pós Implantação'!B20="CSE Gravadores",AVERAGE('Pós Implantação'!D20,'Pós Implantação'!L20,'Pós Implantação'!I20),AVERAGE('Pós Implantação'!I20)),"")</f>
        <v/>
      </c>
      <c r="G20" s="34" t="str">
        <f>IFERROR(IF('Pós Implantação'!B20="CSC",AVERAGE('Pós Implantação'!D20,'Pós Implantação'!L20,'Pós Implantação'!J20),AVERAGE('Pós Implantação'!J20)),"")</f>
        <v/>
      </c>
      <c r="H20" s="34" t="str">
        <f>IFERROR(IF('Pós Implantação'!B20="Operações \ Negócio",AVERAGE('Pós Implantação'!D20,'Pós Implantação'!L20,'Pós Implantação'!K20),AVERAGE('Pós Implantação'!K20)),"")</f>
        <v/>
      </c>
      <c r="I20" s="34" t="str">
        <f>IFERROR(IF('Pós Implantação'!B20="Projetos",AVERAGE('Pós Implantação'!D20,'Pós Implantação'!L20,'Pós Implantação'!M20),AVERAGE('Pós Implantação'!M20)),"")</f>
        <v/>
      </c>
      <c r="J20" s="34" t="str">
        <f>IFERROR(IF('Pós Implantação'!B20="Engenharia",AVERAGE('Pós Implantação'!D20,'Pós Implantação'!L20,'Pós Implantação'!N20),AVERAGE('Pós Implantação'!N20)),"")</f>
        <v/>
      </c>
      <c r="K20" s="34" t="str">
        <f>IFERROR(IF('Pós Implantação'!B20="URA",AVERAGE('Pós Implantação'!D20,'Pós Implantação'!L20),""),"")</f>
        <v/>
      </c>
      <c r="L20" s="34" t="str">
        <f>IFERROR(IF('Pós Implantação'!B20="CSE Microsoft",AVERAGE('Pós Implantação'!D20,'Pós Implantação'!L20),""),"")</f>
        <v/>
      </c>
      <c r="M20" s="34" t="str">
        <f>IFERROR(IF('Pós Implantação'!B20="CSE Telecom",AVERAGE('Pós Implantação'!D20,'Pós Implantação'!L20),""),"")</f>
        <v/>
      </c>
      <c r="N20" s="34" t="str">
        <f>IFERROR(IF('Pós Implantação'!B20="Site Suporte de Campo",AVERAGE('Pós Implantação'!D20,'Pós Implantação'!L20),""),"")</f>
        <v/>
      </c>
      <c r="O20" s="49" t="str">
        <f>IFERROR(IF('Pós Implantação'!B20="Infraestrutura",AVERAGE('Pós Implantação'!D20,'Pós Implantação'!L20),""),"")</f>
        <v/>
      </c>
    </row>
    <row r="21" spans="1:15" x14ac:dyDescent="0.3">
      <c r="A21" s="33">
        <f>'Pré Implantação'!A21</f>
        <v>0</v>
      </c>
      <c r="B21" s="36" t="str">
        <f>'Pós Implantação'!C21</f>
        <v>0</v>
      </c>
      <c r="C21" s="34" t="str">
        <f>IFERROR(IF('Pré Implantação'!B21="Produção TI",AVERAGE('Pós Implantação'!D21,'Pós Implantação'!E21,'Pós Implantação'!L21,'Pós Implantação'!H21),AVERAGE('Pré Implantação'!E21,'Pré Implantação'!H21)),"")</f>
        <v/>
      </c>
      <c r="D21" s="34" t="str">
        <f>IFERROR(IF('Pós Implantação'!B21="CSC Service Desk",AVERAGE('Pós Implantação'!D21,'Pós Implantação'!L21,'Pós Implantação'!F21),AVERAGE('Pós Implantação'!F21)),"")</f>
        <v/>
      </c>
      <c r="E21" s="34" t="str">
        <f>IFERROR(IF('Pós Implantação'!B21="CSC NOC",AVERAGE('Pós Implantação'!D21,'Pós Implantação'!L21,'Pós Implantação'!G21),AVERAGE('Pós Implantação'!G21)),"")</f>
        <v/>
      </c>
      <c r="F21" s="34" t="str">
        <f>IFERROR(IF('Pós Implantação'!B21="CSE Gravadores",AVERAGE('Pós Implantação'!D21,'Pós Implantação'!L21,'Pós Implantação'!I21),AVERAGE('Pós Implantação'!I21)),"")</f>
        <v/>
      </c>
      <c r="G21" s="34" t="str">
        <f>IFERROR(IF('Pós Implantação'!B21="CSC",AVERAGE('Pós Implantação'!D21,'Pós Implantação'!L21,'Pós Implantação'!J21),AVERAGE('Pós Implantação'!J21)),"")</f>
        <v/>
      </c>
      <c r="H21" s="34" t="str">
        <f>IFERROR(IF('Pós Implantação'!B21="Operações \ Negócio",AVERAGE('Pós Implantação'!D21,'Pós Implantação'!L21,'Pós Implantação'!K21),AVERAGE('Pós Implantação'!K21)),"")</f>
        <v/>
      </c>
      <c r="I21" s="34" t="str">
        <f>IFERROR(IF('Pós Implantação'!B21="Projetos",AVERAGE('Pós Implantação'!D21,'Pós Implantação'!L21,'Pós Implantação'!M21),AVERAGE('Pós Implantação'!M21)),"")</f>
        <v/>
      </c>
      <c r="J21" s="34" t="str">
        <f>IFERROR(IF('Pós Implantação'!B21="Engenharia",AVERAGE('Pós Implantação'!D21,'Pós Implantação'!L21,'Pós Implantação'!N21),AVERAGE('Pós Implantação'!N21)),"")</f>
        <v/>
      </c>
      <c r="K21" s="34" t="str">
        <f>IFERROR(IF('Pós Implantação'!B21="URA",AVERAGE('Pós Implantação'!D21,'Pós Implantação'!L21),""),"")</f>
        <v/>
      </c>
      <c r="L21" s="34" t="str">
        <f>IFERROR(IF('Pós Implantação'!B21="CSE Microsoft",AVERAGE('Pós Implantação'!D21,'Pós Implantação'!L21),""),"")</f>
        <v/>
      </c>
      <c r="M21" s="34" t="str">
        <f>IFERROR(IF('Pós Implantação'!B21="CSE Telecom",AVERAGE('Pós Implantação'!D21,'Pós Implantação'!L21),""),"")</f>
        <v/>
      </c>
      <c r="N21" s="34" t="str">
        <f>IFERROR(IF('Pós Implantação'!B21="Site Suporte de Campo",AVERAGE('Pós Implantação'!D21,'Pós Implantação'!L21),""),"")</f>
        <v/>
      </c>
      <c r="O21" s="49" t="str">
        <f>IFERROR(IF('Pós Implantação'!B21="Infraestrutura",AVERAGE('Pós Implantação'!D21,'Pós Implantação'!L21),""),"")</f>
        <v/>
      </c>
    </row>
    <row r="22" spans="1:15" x14ac:dyDescent="0.3">
      <c r="A22" s="33">
        <f>'Pré Implantação'!A22</f>
        <v>0</v>
      </c>
      <c r="B22" s="36" t="str">
        <f>'Pós Implantação'!C22</f>
        <v>0</v>
      </c>
      <c r="C22" s="34" t="str">
        <f>IFERROR(IF('Pré Implantação'!B22="Produção TI",AVERAGE('Pós Implantação'!D22,'Pós Implantação'!E22,'Pós Implantação'!L22,'Pós Implantação'!H22),AVERAGE('Pré Implantação'!E22,'Pré Implantação'!H22)),"")</f>
        <v/>
      </c>
      <c r="D22" s="34" t="str">
        <f>IFERROR(IF('Pós Implantação'!B22="CSC Service Desk",AVERAGE('Pós Implantação'!D22,'Pós Implantação'!L22,'Pós Implantação'!F22),AVERAGE('Pós Implantação'!F22)),"")</f>
        <v/>
      </c>
      <c r="E22" s="34" t="str">
        <f>IFERROR(IF('Pós Implantação'!B22="CSC NOC",AVERAGE('Pós Implantação'!D22,'Pós Implantação'!L22,'Pós Implantação'!G22),AVERAGE('Pós Implantação'!G22)),"")</f>
        <v/>
      </c>
      <c r="F22" s="34" t="str">
        <f>IFERROR(IF('Pós Implantação'!B22="CSE Gravadores",AVERAGE('Pós Implantação'!D22,'Pós Implantação'!L22,'Pós Implantação'!I22),AVERAGE('Pós Implantação'!I22)),"")</f>
        <v/>
      </c>
      <c r="G22" s="34" t="str">
        <f>IFERROR(IF('Pós Implantação'!B22="CSC",AVERAGE('Pós Implantação'!D22,'Pós Implantação'!L22,'Pós Implantação'!J22),AVERAGE('Pós Implantação'!J22)),"")</f>
        <v/>
      </c>
      <c r="H22" s="34" t="str">
        <f>IFERROR(IF('Pós Implantação'!B22="Operações \ Negócio",AVERAGE('Pós Implantação'!D22,'Pós Implantação'!L22,'Pós Implantação'!K22),AVERAGE('Pós Implantação'!K22)),"")</f>
        <v/>
      </c>
      <c r="I22" s="34" t="str">
        <f>IFERROR(IF('Pós Implantação'!B22="Projetos",AVERAGE('Pós Implantação'!D22,'Pós Implantação'!L22,'Pós Implantação'!M22),AVERAGE('Pós Implantação'!M22)),"")</f>
        <v/>
      </c>
      <c r="J22" s="34" t="str">
        <f>IFERROR(IF('Pós Implantação'!B22="Engenharia",AVERAGE('Pós Implantação'!D22,'Pós Implantação'!L22,'Pós Implantação'!N22),AVERAGE('Pós Implantação'!N22)),"")</f>
        <v/>
      </c>
      <c r="K22" s="34" t="str">
        <f>IFERROR(IF('Pós Implantação'!B22="URA",AVERAGE('Pós Implantação'!D22,'Pós Implantação'!L22),""),"")</f>
        <v/>
      </c>
      <c r="L22" s="34" t="str">
        <f>IFERROR(IF('Pós Implantação'!B22="CSE Microsoft",AVERAGE('Pós Implantação'!D22,'Pós Implantação'!L22),""),"")</f>
        <v/>
      </c>
      <c r="M22" s="34" t="str">
        <f>IFERROR(IF('Pós Implantação'!B22="CSE Telecom",AVERAGE('Pós Implantação'!D22,'Pós Implantação'!L22),""),"")</f>
        <v/>
      </c>
      <c r="N22" s="34" t="str">
        <f>IFERROR(IF('Pós Implantação'!B22="Site Suporte de Campo",AVERAGE('Pós Implantação'!D22,'Pós Implantação'!L22),""),"")</f>
        <v/>
      </c>
      <c r="O22" s="49" t="str">
        <f>IFERROR(IF('Pós Implantação'!B22="Infraestrutura",AVERAGE('Pós Implantação'!D22,'Pós Implantação'!L22),""),"")</f>
        <v/>
      </c>
    </row>
    <row r="23" spans="1:15" x14ac:dyDescent="0.3">
      <c r="A23" s="33">
        <f>'Pré Implantação'!A23</f>
        <v>0</v>
      </c>
      <c r="B23" s="36" t="str">
        <f>'Pós Implantação'!C23</f>
        <v>0</v>
      </c>
      <c r="C23" s="34" t="str">
        <f>IFERROR(IF('Pré Implantação'!B23="Produção TI",AVERAGE('Pós Implantação'!D23,'Pós Implantação'!E23,'Pós Implantação'!L23,'Pós Implantação'!H23),AVERAGE('Pré Implantação'!E23,'Pré Implantação'!H23)),"")</f>
        <v/>
      </c>
      <c r="D23" s="34" t="str">
        <f>IFERROR(IF('Pós Implantação'!B23="CSC Service Desk",AVERAGE('Pós Implantação'!D23,'Pós Implantação'!L23,'Pós Implantação'!F23),AVERAGE('Pós Implantação'!F23)),"")</f>
        <v/>
      </c>
      <c r="E23" s="34" t="str">
        <f>IFERROR(IF('Pós Implantação'!B23="CSC NOC",AVERAGE('Pós Implantação'!D23,'Pós Implantação'!L23,'Pós Implantação'!G23),AVERAGE('Pós Implantação'!G23)),"")</f>
        <v/>
      </c>
      <c r="F23" s="34" t="str">
        <f>IFERROR(IF('Pós Implantação'!B23="CSE Gravadores",AVERAGE('Pós Implantação'!D23,'Pós Implantação'!L23,'Pós Implantação'!I23),AVERAGE('Pós Implantação'!I23)),"")</f>
        <v/>
      </c>
      <c r="G23" s="34" t="str">
        <f>IFERROR(IF('Pós Implantação'!B23="CSC",AVERAGE('Pós Implantação'!D23,'Pós Implantação'!L23,'Pós Implantação'!J23),AVERAGE('Pós Implantação'!J23)),"")</f>
        <v/>
      </c>
      <c r="H23" s="34" t="str">
        <f>IFERROR(IF('Pós Implantação'!B23="Operações \ Negócio",AVERAGE('Pós Implantação'!D23,'Pós Implantação'!L23,'Pós Implantação'!K23),AVERAGE('Pós Implantação'!K23)),"")</f>
        <v/>
      </c>
      <c r="I23" s="34" t="str">
        <f>IFERROR(IF('Pós Implantação'!B23="Projetos",AVERAGE('Pós Implantação'!D23,'Pós Implantação'!L23,'Pós Implantação'!M23),AVERAGE('Pós Implantação'!M23)),"")</f>
        <v/>
      </c>
      <c r="J23" s="34" t="str">
        <f>IFERROR(IF('Pós Implantação'!B23="Engenharia",AVERAGE('Pós Implantação'!D23,'Pós Implantação'!L23,'Pós Implantação'!N23),AVERAGE('Pós Implantação'!N23)),"")</f>
        <v/>
      </c>
      <c r="K23" s="34" t="str">
        <f>IFERROR(IF('Pós Implantação'!B23="URA",AVERAGE('Pós Implantação'!D23,'Pós Implantação'!L23),""),"")</f>
        <v/>
      </c>
      <c r="L23" s="34" t="str">
        <f>IFERROR(IF('Pós Implantação'!B23="CSE Microsoft",AVERAGE('Pós Implantação'!D23,'Pós Implantação'!L23),""),"")</f>
        <v/>
      </c>
      <c r="M23" s="34" t="str">
        <f>IFERROR(IF('Pós Implantação'!B23="CSE Telecom",AVERAGE('Pós Implantação'!D23,'Pós Implantação'!L23),""),"")</f>
        <v/>
      </c>
      <c r="N23" s="34" t="str">
        <f>IFERROR(IF('Pós Implantação'!B23="Site Suporte de Campo",AVERAGE('Pós Implantação'!D23,'Pós Implantação'!L23),""),"")</f>
        <v/>
      </c>
      <c r="O23" s="49" t="str">
        <f>IFERROR(IF('Pós Implantação'!B23="Infraestrutura",AVERAGE('Pós Implantação'!D23,'Pós Implantação'!L23),""),"")</f>
        <v/>
      </c>
    </row>
    <row r="24" spans="1:15" x14ac:dyDescent="0.3">
      <c r="A24" s="33">
        <f>'Pré Implantação'!A24</f>
        <v>0</v>
      </c>
      <c r="B24" s="36" t="str">
        <f>'Pós Implantação'!C24</f>
        <v>0</v>
      </c>
      <c r="C24" s="34" t="str">
        <f>IFERROR(IF('Pré Implantação'!B24="Produção TI",AVERAGE('Pós Implantação'!D24,'Pós Implantação'!E24,'Pós Implantação'!L24,'Pós Implantação'!H24),AVERAGE('Pré Implantação'!E24,'Pré Implantação'!H24)),"")</f>
        <v/>
      </c>
      <c r="D24" s="34" t="str">
        <f>IFERROR(IF('Pós Implantação'!B24="CSC Service Desk",AVERAGE('Pós Implantação'!D24,'Pós Implantação'!L24,'Pós Implantação'!F24),AVERAGE('Pós Implantação'!F24)),"")</f>
        <v/>
      </c>
      <c r="E24" s="34" t="str">
        <f>IFERROR(IF('Pós Implantação'!B24="CSC NOC",AVERAGE('Pós Implantação'!D24,'Pós Implantação'!L24,'Pós Implantação'!G24),AVERAGE('Pós Implantação'!G24)),"")</f>
        <v/>
      </c>
      <c r="F24" s="34" t="str">
        <f>IFERROR(IF('Pós Implantação'!B24="CSE Gravadores",AVERAGE('Pós Implantação'!D24,'Pós Implantação'!L24,'Pós Implantação'!I24),AVERAGE('Pós Implantação'!I24)),"")</f>
        <v/>
      </c>
      <c r="G24" s="34" t="str">
        <f>IFERROR(IF('Pós Implantação'!B24="CSC",AVERAGE('Pós Implantação'!D24,'Pós Implantação'!L24,'Pós Implantação'!J24),AVERAGE('Pós Implantação'!J24)),"")</f>
        <v/>
      </c>
      <c r="H24" s="34" t="str">
        <f>IFERROR(IF('Pós Implantação'!B24="Operações \ Negócio",AVERAGE('Pós Implantação'!D24,'Pós Implantação'!L24,'Pós Implantação'!K24),AVERAGE('Pós Implantação'!K24)),"")</f>
        <v/>
      </c>
      <c r="I24" s="34" t="str">
        <f>IFERROR(IF('Pós Implantação'!B24="Projetos",AVERAGE('Pós Implantação'!D24,'Pós Implantação'!L24,'Pós Implantação'!M24),AVERAGE('Pós Implantação'!M24)),"")</f>
        <v/>
      </c>
      <c r="J24" s="34" t="str">
        <f>IFERROR(IF('Pós Implantação'!B24="Engenharia",AVERAGE('Pós Implantação'!D24,'Pós Implantação'!L24,'Pós Implantação'!N24),AVERAGE('Pós Implantação'!N24)),"")</f>
        <v/>
      </c>
      <c r="K24" s="34" t="str">
        <f>IFERROR(IF('Pós Implantação'!B24="URA",AVERAGE('Pós Implantação'!D24,'Pós Implantação'!L24),""),"")</f>
        <v/>
      </c>
      <c r="L24" s="34" t="str">
        <f>IFERROR(IF('Pós Implantação'!B24="CSE Microsoft",AVERAGE('Pós Implantação'!D24,'Pós Implantação'!L24),""),"")</f>
        <v/>
      </c>
      <c r="M24" s="34" t="str">
        <f>IFERROR(IF('Pós Implantação'!B24="CSE Telecom",AVERAGE('Pós Implantação'!D24,'Pós Implantação'!L24),""),"")</f>
        <v/>
      </c>
      <c r="N24" s="34" t="str">
        <f>IFERROR(IF('Pós Implantação'!B24="Site Suporte de Campo",AVERAGE('Pós Implantação'!D24,'Pós Implantação'!L24),""),"")</f>
        <v/>
      </c>
      <c r="O24" s="49" t="str">
        <f>IFERROR(IF('Pós Implantação'!B24="Infraestrutura",AVERAGE('Pós Implantação'!D24,'Pós Implantação'!L24),""),"")</f>
        <v/>
      </c>
    </row>
    <row r="25" spans="1:15" x14ac:dyDescent="0.3">
      <c r="A25" s="33">
        <f>'Pré Implantação'!A25</f>
        <v>0</v>
      </c>
      <c r="B25" s="36" t="str">
        <f>'Pós Implantação'!C25</f>
        <v>0</v>
      </c>
      <c r="C25" s="34" t="str">
        <f>IFERROR(IF('Pré Implantação'!B25="Produção TI",AVERAGE('Pós Implantação'!D25,'Pós Implantação'!E25,'Pós Implantação'!L25,'Pós Implantação'!H25),AVERAGE('Pré Implantação'!E25,'Pré Implantação'!H25)),"")</f>
        <v/>
      </c>
      <c r="D25" s="34" t="str">
        <f>IFERROR(IF('Pós Implantação'!B25="CSC Service Desk",AVERAGE('Pós Implantação'!D25,'Pós Implantação'!L25,'Pós Implantação'!F25),AVERAGE('Pós Implantação'!F25)),"")</f>
        <v/>
      </c>
      <c r="E25" s="34" t="str">
        <f>IFERROR(IF('Pós Implantação'!B25="CSC NOC",AVERAGE('Pós Implantação'!D25,'Pós Implantação'!L25,'Pós Implantação'!G25),AVERAGE('Pós Implantação'!G25)),"")</f>
        <v/>
      </c>
      <c r="F25" s="34" t="str">
        <f>IFERROR(IF('Pós Implantação'!B25="CSE Gravadores",AVERAGE('Pós Implantação'!D25,'Pós Implantação'!L25,'Pós Implantação'!I25),AVERAGE('Pós Implantação'!I25)),"")</f>
        <v/>
      </c>
      <c r="G25" s="34" t="str">
        <f>IFERROR(IF('Pós Implantação'!B25="CSC",AVERAGE('Pós Implantação'!D25,'Pós Implantação'!L25,'Pós Implantação'!J25),AVERAGE('Pós Implantação'!J25)),"")</f>
        <v/>
      </c>
      <c r="H25" s="34" t="str">
        <f>IFERROR(IF('Pós Implantação'!B25="Operações \ Negócio",AVERAGE('Pós Implantação'!D25,'Pós Implantação'!L25,'Pós Implantação'!K25),AVERAGE('Pós Implantação'!K25)),"")</f>
        <v/>
      </c>
      <c r="I25" s="34" t="str">
        <f>IFERROR(IF('Pós Implantação'!B25="Projetos",AVERAGE('Pós Implantação'!D25,'Pós Implantação'!L25,'Pós Implantação'!M25),AVERAGE('Pós Implantação'!M25)),"")</f>
        <v/>
      </c>
      <c r="J25" s="34" t="str">
        <f>IFERROR(IF('Pós Implantação'!B25="Engenharia",AVERAGE('Pós Implantação'!D25,'Pós Implantação'!L25,'Pós Implantação'!N25),AVERAGE('Pós Implantação'!N25)),"")</f>
        <v/>
      </c>
      <c r="K25" s="34" t="str">
        <f>IFERROR(IF('Pós Implantação'!B25="URA",AVERAGE('Pós Implantação'!D25,'Pós Implantação'!L25),""),"")</f>
        <v/>
      </c>
      <c r="L25" s="34" t="str">
        <f>IFERROR(IF('Pós Implantação'!B25="CSE Microsoft",AVERAGE('Pós Implantação'!D25,'Pós Implantação'!L25),""),"")</f>
        <v/>
      </c>
      <c r="M25" s="34" t="str">
        <f>IFERROR(IF('Pós Implantação'!B25="CSE Telecom",AVERAGE('Pós Implantação'!D25,'Pós Implantação'!L25),""),"")</f>
        <v/>
      </c>
      <c r="N25" s="34" t="str">
        <f>IFERROR(IF('Pós Implantação'!B25="Site Suporte de Campo",AVERAGE('Pós Implantação'!D25,'Pós Implantação'!L25),""),"")</f>
        <v/>
      </c>
      <c r="O25" s="49" t="str">
        <f>IFERROR(IF('Pós Implantação'!B25="Infraestrutura",AVERAGE('Pós Implantação'!D25,'Pós Implantação'!L25),""),"")</f>
        <v/>
      </c>
    </row>
    <row r="26" spans="1:15" x14ac:dyDescent="0.3">
      <c r="A26" s="33">
        <f>'Pré Implantação'!A26</f>
        <v>0</v>
      </c>
      <c r="B26" s="36" t="str">
        <f>'Pós Implantação'!C26</f>
        <v>0</v>
      </c>
      <c r="C26" s="34" t="str">
        <f>IFERROR(IF('Pré Implantação'!B26="Produção TI",AVERAGE('Pós Implantação'!D26,'Pós Implantação'!E26,'Pós Implantação'!L26,'Pós Implantação'!H26),AVERAGE('Pré Implantação'!E26,'Pré Implantação'!H26)),"")</f>
        <v/>
      </c>
      <c r="D26" s="34" t="str">
        <f>IFERROR(IF('Pós Implantação'!B26="CSC Service Desk",AVERAGE('Pós Implantação'!D26,'Pós Implantação'!L26,'Pós Implantação'!F26),AVERAGE('Pós Implantação'!F26)),"")</f>
        <v/>
      </c>
      <c r="E26" s="34" t="str">
        <f>IFERROR(IF('Pós Implantação'!B26="CSC NOC",AVERAGE('Pós Implantação'!D26,'Pós Implantação'!L26,'Pós Implantação'!G26),AVERAGE('Pós Implantação'!G26)),"")</f>
        <v/>
      </c>
      <c r="F26" s="34" t="str">
        <f>IFERROR(IF('Pós Implantação'!B26="CSE Gravadores",AVERAGE('Pós Implantação'!D26,'Pós Implantação'!L26,'Pós Implantação'!I26),AVERAGE('Pós Implantação'!I26)),"")</f>
        <v/>
      </c>
      <c r="G26" s="34" t="str">
        <f>IFERROR(IF('Pós Implantação'!B26="CSC",AVERAGE('Pós Implantação'!D26,'Pós Implantação'!L26,'Pós Implantação'!J26),AVERAGE('Pós Implantação'!J26)),"")</f>
        <v/>
      </c>
      <c r="H26" s="34" t="str">
        <f>IFERROR(IF('Pós Implantação'!B26="Operações \ Negócio",AVERAGE('Pós Implantação'!D26,'Pós Implantação'!L26,'Pós Implantação'!K26),AVERAGE('Pós Implantação'!K26)),"")</f>
        <v/>
      </c>
      <c r="I26" s="34" t="str">
        <f>IFERROR(IF('Pós Implantação'!B26="Projetos",AVERAGE('Pós Implantação'!D26,'Pós Implantação'!L26,'Pós Implantação'!M26),AVERAGE('Pós Implantação'!M26)),"")</f>
        <v/>
      </c>
      <c r="J26" s="34" t="str">
        <f>IFERROR(IF('Pós Implantação'!B26="Engenharia",AVERAGE('Pós Implantação'!D26,'Pós Implantação'!L26,'Pós Implantação'!N26),AVERAGE('Pós Implantação'!N26)),"")</f>
        <v/>
      </c>
      <c r="K26" s="34" t="str">
        <f>IFERROR(IF('Pós Implantação'!B26="URA",AVERAGE('Pós Implantação'!D26,'Pós Implantação'!L26),""),"")</f>
        <v/>
      </c>
      <c r="L26" s="34" t="str">
        <f>IFERROR(IF('Pós Implantação'!B26="CSE Microsoft",AVERAGE('Pós Implantação'!D26,'Pós Implantação'!L26),""),"")</f>
        <v/>
      </c>
      <c r="M26" s="34" t="str">
        <f>IFERROR(IF('Pós Implantação'!B26="CSE Telecom",AVERAGE('Pós Implantação'!D26,'Pós Implantação'!L26),""),"")</f>
        <v/>
      </c>
      <c r="N26" s="34" t="str">
        <f>IFERROR(IF('Pós Implantação'!B26="Site Suporte de Campo",AVERAGE('Pós Implantação'!D26,'Pós Implantação'!L26),""),"")</f>
        <v/>
      </c>
      <c r="O26" s="49" t="str">
        <f>IFERROR(IF('Pós Implantação'!B26="Infraestrutura",AVERAGE('Pós Implantação'!D26,'Pós Implantação'!L26),""),"")</f>
        <v/>
      </c>
    </row>
    <row r="27" spans="1:15" x14ac:dyDescent="0.3">
      <c r="A27" s="33">
        <f>'Pré Implantação'!A27</f>
        <v>0</v>
      </c>
      <c r="B27" s="36" t="str">
        <f>'Pós Implantação'!C27</f>
        <v>0</v>
      </c>
      <c r="C27" s="34" t="str">
        <f>IFERROR(IF('Pré Implantação'!B27="Produção TI",AVERAGE('Pós Implantação'!D27,'Pós Implantação'!E27,'Pós Implantação'!L27,'Pós Implantação'!H27),AVERAGE('Pré Implantação'!E27,'Pré Implantação'!H27)),"")</f>
        <v/>
      </c>
      <c r="D27" s="34" t="str">
        <f>IFERROR(IF('Pós Implantação'!B27="CSC Service Desk",AVERAGE('Pós Implantação'!D27,'Pós Implantação'!L27,'Pós Implantação'!F27),AVERAGE('Pós Implantação'!F27)),"")</f>
        <v/>
      </c>
      <c r="E27" s="34" t="str">
        <f>IFERROR(IF('Pós Implantação'!B27="CSC NOC",AVERAGE('Pós Implantação'!D27,'Pós Implantação'!L27,'Pós Implantação'!G27),AVERAGE('Pós Implantação'!G27)),"")</f>
        <v/>
      </c>
      <c r="F27" s="34" t="str">
        <f>IFERROR(IF('Pós Implantação'!B27="CSE Gravadores",AVERAGE('Pós Implantação'!D27,'Pós Implantação'!L27,'Pós Implantação'!I27),AVERAGE('Pós Implantação'!I27)),"")</f>
        <v/>
      </c>
      <c r="G27" s="34" t="str">
        <f>IFERROR(IF('Pós Implantação'!B27="CSC",AVERAGE('Pós Implantação'!D27,'Pós Implantação'!L27,'Pós Implantação'!J27),AVERAGE('Pós Implantação'!J27)),"")</f>
        <v/>
      </c>
      <c r="H27" s="34" t="str">
        <f>IFERROR(IF('Pós Implantação'!B27="Operações \ Negócio",AVERAGE('Pós Implantação'!D27,'Pós Implantação'!L27,'Pós Implantação'!K27),AVERAGE('Pós Implantação'!K27)),"")</f>
        <v/>
      </c>
      <c r="I27" s="34" t="str">
        <f>IFERROR(IF('Pós Implantação'!B27="Projetos",AVERAGE('Pós Implantação'!D27,'Pós Implantação'!L27,'Pós Implantação'!M27),AVERAGE('Pós Implantação'!M27)),"")</f>
        <v/>
      </c>
      <c r="J27" s="34" t="str">
        <f>IFERROR(IF('Pós Implantação'!B27="Engenharia",AVERAGE('Pós Implantação'!D27,'Pós Implantação'!L27,'Pós Implantação'!N27),AVERAGE('Pós Implantação'!N27)),"")</f>
        <v/>
      </c>
      <c r="K27" s="34" t="str">
        <f>IFERROR(IF('Pós Implantação'!B27="URA",AVERAGE('Pós Implantação'!D27,'Pós Implantação'!L27),""),"")</f>
        <v/>
      </c>
      <c r="L27" s="34" t="str">
        <f>IFERROR(IF('Pós Implantação'!B27="CSE Microsoft",AVERAGE('Pós Implantação'!D27,'Pós Implantação'!L27),""),"")</f>
        <v/>
      </c>
      <c r="M27" s="34" t="str">
        <f>IFERROR(IF('Pós Implantação'!B27="CSE Telecom",AVERAGE('Pós Implantação'!D27,'Pós Implantação'!L27),""),"")</f>
        <v/>
      </c>
      <c r="N27" s="34" t="str">
        <f>IFERROR(IF('Pós Implantação'!B27="Site Suporte de Campo",AVERAGE('Pós Implantação'!D27,'Pós Implantação'!L27),""),"")</f>
        <v/>
      </c>
      <c r="O27" s="49" t="str">
        <f>IFERROR(IF('Pós Implantação'!B27="Infraestrutura",AVERAGE('Pós Implantação'!D27,'Pós Implantação'!L27),""),"")</f>
        <v/>
      </c>
    </row>
    <row r="28" spans="1:15" x14ac:dyDescent="0.3">
      <c r="A28" s="33">
        <f>'Pré Implantação'!A28</f>
        <v>0</v>
      </c>
      <c r="B28" s="36" t="str">
        <f>'Pós Implantação'!C28</f>
        <v>0</v>
      </c>
      <c r="C28" s="34" t="str">
        <f>IFERROR(IF('Pré Implantação'!B28="Produção TI",AVERAGE('Pós Implantação'!D28,'Pós Implantação'!E28,'Pós Implantação'!L28,'Pós Implantação'!H28),AVERAGE('Pré Implantação'!E28,'Pré Implantação'!H28)),"")</f>
        <v/>
      </c>
      <c r="D28" s="34" t="str">
        <f>IFERROR(IF('Pós Implantação'!B28="CSC Service Desk",AVERAGE('Pós Implantação'!D28,'Pós Implantação'!L28,'Pós Implantação'!F28),AVERAGE('Pós Implantação'!F28)),"")</f>
        <v/>
      </c>
      <c r="E28" s="34" t="str">
        <f>IFERROR(IF('Pós Implantação'!B28="CSC NOC",AVERAGE('Pós Implantação'!D28,'Pós Implantação'!L28,'Pós Implantação'!G28),AVERAGE('Pós Implantação'!G28)),"")</f>
        <v/>
      </c>
      <c r="F28" s="34" t="str">
        <f>IFERROR(IF('Pós Implantação'!B28="CSE Gravadores",AVERAGE('Pós Implantação'!D28,'Pós Implantação'!L28,'Pós Implantação'!I28),AVERAGE('Pós Implantação'!I28)),"")</f>
        <v/>
      </c>
      <c r="G28" s="34" t="str">
        <f>IFERROR(IF('Pós Implantação'!B28="CSC",AVERAGE('Pós Implantação'!D28,'Pós Implantação'!L28,'Pós Implantação'!J28),AVERAGE('Pós Implantação'!J28)),"")</f>
        <v/>
      </c>
      <c r="H28" s="34" t="str">
        <f>IFERROR(IF('Pós Implantação'!B28="Operações \ Negócio",AVERAGE('Pós Implantação'!D28,'Pós Implantação'!L28,'Pós Implantação'!K28),AVERAGE('Pós Implantação'!K28)),"")</f>
        <v/>
      </c>
      <c r="I28" s="34" t="str">
        <f>IFERROR(IF('Pós Implantação'!B28="Projetos",AVERAGE('Pós Implantação'!D28,'Pós Implantação'!L28,'Pós Implantação'!M28),AVERAGE('Pós Implantação'!M28)),"")</f>
        <v/>
      </c>
      <c r="J28" s="34" t="str">
        <f>IFERROR(IF('Pós Implantação'!B28="Engenharia",AVERAGE('Pós Implantação'!D28,'Pós Implantação'!L28,'Pós Implantação'!N28),AVERAGE('Pós Implantação'!N28)),"")</f>
        <v/>
      </c>
      <c r="K28" s="34" t="str">
        <f>IFERROR(IF('Pós Implantação'!B28="URA",AVERAGE('Pós Implantação'!D28,'Pós Implantação'!L28),""),"")</f>
        <v/>
      </c>
      <c r="L28" s="34" t="str">
        <f>IFERROR(IF('Pós Implantação'!B28="CSE Microsoft",AVERAGE('Pós Implantação'!D28,'Pós Implantação'!L28),""),"")</f>
        <v/>
      </c>
      <c r="M28" s="34" t="str">
        <f>IFERROR(IF('Pós Implantação'!B28="CSE Telecom",AVERAGE('Pós Implantação'!D28,'Pós Implantação'!L28),""),"")</f>
        <v/>
      </c>
      <c r="N28" s="34" t="str">
        <f>IFERROR(IF('Pós Implantação'!B28="Site Suporte de Campo",AVERAGE('Pós Implantação'!D28,'Pós Implantação'!L28),""),"")</f>
        <v/>
      </c>
      <c r="O28" s="49" t="str">
        <f>IFERROR(IF('Pós Implantação'!B28="Infraestrutura",AVERAGE('Pós Implantação'!D28,'Pós Implantação'!L28),""),"")</f>
        <v/>
      </c>
    </row>
    <row r="29" spans="1:15" x14ac:dyDescent="0.3">
      <c r="A29" s="33">
        <f>'Pré Implantação'!A29</f>
        <v>0</v>
      </c>
      <c r="B29" s="36" t="str">
        <f>'Pós Implantação'!C29</f>
        <v>0</v>
      </c>
      <c r="C29" s="34" t="str">
        <f>IFERROR(IF('Pré Implantação'!B29="Produção TI",AVERAGE('Pós Implantação'!D29,'Pós Implantação'!E29,'Pós Implantação'!L29,'Pós Implantação'!H29),AVERAGE('Pré Implantação'!E29,'Pré Implantação'!H29)),"")</f>
        <v/>
      </c>
      <c r="D29" s="34" t="str">
        <f>IFERROR(IF('Pós Implantação'!B29="CSC Service Desk",AVERAGE('Pós Implantação'!D29,'Pós Implantação'!L29,'Pós Implantação'!F29),AVERAGE('Pós Implantação'!F29)),"")</f>
        <v/>
      </c>
      <c r="E29" s="34" t="str">
        <f>IFERROR(IF('Pós Implantação'!B29="CSC NOC",AVERAGE('Pós Implantação'!D29,'Pós Implantação'!L29,'Pós Implantação'!G29),AVERAGE('Pós Implantação'!G29)),"")</f>
        <v/>
      </c>
      <c r="F29" s="34" t="str">
        <f>IFERROR(IF('Pós Implantação'!B29="CSE Gravadores",AVERAGE('Pós Implantação'!D29,'Pós Implantação'!L29,'Pós Implantação'!I29),AVERAGE('Pós Implantação'!I29)),"")</f>
        <v/>
      </c>
      <c r="G29" s="34" t="str">
        <f>IFERROR(IF('Pós Implantação'!B29="CSC",AVERAGE('Pós Implantação'!D29,'Pós Implantação'!L29,'Pós Implantação'!J29),AVERAGE('Pós Implantação'!J29)),"")</f>
        <v/>
      </c>
      <c r="H29" s="34" t="str">
        <f>IFERROR(IF('Pós Implantação'!B29="Operações \ Negócio",AVERAGE('Pós Implantação'!D29,'Pós Implantação'!L29,'Pós Implantação'!K29),AVERAGE('Pós Implantação'!K29)),"")</f>
        <v/>
      </c>
      <c r="I29" s="34" t="str">
        <f>IFERROR(IF('Pós Implantação'!B29="Projetos",AVERAGE('Pós Implantação'!D29,'Pós Implantação'!L29,'Pós Implantação'!M29),AVERAGE('Pós Implantação'!M29)),"")</f>
        <v/>
      </c>
      <c r="J29" s="34" t="str">
        <f>IFERROR(IF('Pós Implantação'!B29="Engenharia",AVERAGE('Pós Implantação'!D29,'Pós Implantação'!L29,'Pós Implantação'!N29),AVERAGE('Pós Implantação'!N29)),"")</f>
        <v/>
      </c>
      <c r="K29" s="34" t="str">
        <f>IFERROR(IF('Pós Implantação'!B29="URA",AVERAGE('Pós Implantação'!D29,'Pós Implantação'!L29),""),"")</f>
        <v/>
      </c>
      <c r="L29" s="34" t="str">
        <f>IFERROR(IF('Pós Implantação'!B29="CSE Microsoft",AVERAGE('Pós Implantação'!D29,'Pós Implantação'!L29),""),"")</f>
        <v/>
      </c>
      <c r="M29" s="34" t="str">
        <f>IFERROR(IF('Pós Implantação'!B29="CSE Telecom",AVERAGE('Pós Implantação'!D29,'Pós Implantação'!L29),""),"")</f>
        <v/>
      </c>
      <c r="N29" s="34" t="str">
        <f>IFERROR(IF('Pós Implantação'!B29="Site Suporte de Campo",AVERAGE('Pós Implantação'!D29,'Pós Implantação'!L29),""),"")</f>
        <v/>
      </c>
      <c r="O29" s="49" t="str">
        <f>IFERROR(IF('Pós Implantação'!B29="Infraestrutura",AVERAGE('Pós Implantação'!D29,'Pós Implantação'!L29),""),"")</f>
        <v/>
      </c>
    </row>
    <row r="30" spans="1:15" x14ac:dyDescent="0.3">
      <c r="A30" s="33">
        <f>'Pré Implantação'!A30</f>
        <v>0</v>
      </c>
      <c r="B30" s="36" t="str">
        <f>'Pós Implantação'!C30</f>
        <v>0</v>
      </c>
      <c r="C30" s="34" t="str">
        <f>IFERROR(IF('Pré Implantação'!B30="Produção TI",AVERAGE('Pós Implantação'!D30,'Pós Implantação'!E30,'Pós Implantação'!L30,'Pós Implantação'!H30),AVERAGE('Pré Implantação'!E30,'Pré Implantação'!H30)),"")</f>
        <v/>
      </c>
      <c r="D30" s="34" t="str">
        <f>IFERROR(IF('Pós Implantação'!B30="CSC Service Desk",AVERAGE('Pós Implantação'!D30,'Pós Implantação'!L30,'Pós Implantação'!F30),AVERAGE('Pós Implantação'!F30)),"")</f>
        <v/>
      </c>
      <c r="E30" s="34" t="str">
        <f>IFERROR(IF('Pós Implantação'!B30="CSC NOC",AVERAGE('Pós Implantação'!D30,'Pós Implantação'!L30,'Pós Implantação'!G30),AVERAGE('Pós Implantação'!G30)),"")</f>
        <v/>
      </c>
      <c r="F30" s="34" t="str">
        <f>IFERROR(IF('Pós Implantação'!B30="CSE Gravadores",AVERAGE('Pós Implantação'!D30,'Pós Implantação'!L30,'Pós Implantação'!I30),AVERAGE('Pós Implantação'!I30)),"")</f>
        <v/>
      </c>
      <c r="G30" s="34" t="str">
        <f>IFERROR(IF('Pós Implantação'!B30="CSC",AVERAGE('Pós Implantação'!D30,'Pós Implantação'!L30,'Pós Implantação'!J30),AVERAGE('Pós Implantação'!J30)),"")</f>
        <v/>
      </c>
      <c r="H30" s="34" t="str">
        <f>IFERROR(IF('Pós Implantação'!B30="Operações \ Negócio",AVERAGE('Pós Implantação'!D30,'Pós Implantação'!L30,'Pós Implantação'!K30),AVERAGE('Pós Implantação'!K30)),"")</f>
        <v/>
      </c>
      <c r="I30" s="34" t="str">
        <f>IFERROR(IF('Pós Implantação'!B30="Projetos",AVERAGE('Pós Implantação'!D30,'Pós Implantação'!L30,'Pós Implantação'!M30),AVERAGE('Pós Implantação'!M30)),"")</f>
        <v/>
      </c>
      <c r="J30" s="34" t="str">
        <f>IFERROR(IF('Pós Implantação'!B30="Engenharia",AVERAGE('Pós Implantação'!D30,'Pós Implantação'!L30,'Pós Implantação'!N30),AVERAGE('Pós Implantação'!N30)),"")</f>
        <v/>
      </c>
      <c r="K30" s="34" t="str">
        <f>IFERROR(IF('Pós Implantação'!B30="URA",AVERAGE('Pós Implantação'!D30,'Pós Implantação'!L30),""),"")</f>
        <v/>
      </c>
      <c r="L30" s="34" t="str">
        <f>IFERROR(IF('Pós Implantação'!B30="CSE Microsoft",AVERAGE('Pós Implantação'!D30,'Pós Implantação'!L30),""),"")</f>
        <v/>
      </c>
      <c r="M30" s="34" t="str">
        <f>IFERROR(IF('Pós Implantação'!B30="CSE Telecom",AVERAGE('Pós Implantação'!D30,'Pós Implantação'!L30),""),"")</f>
        <v/>
      </c>
      <c r="N30" s="34" t="str">
        <f>IFERROR(IF('Pós Implantação'!B30="Site Suporte de Campo",AVERAGE('Pós Implantação'!D30,'Pós Implantação'!L30),""),"")</f>
        <v/>
      </c>
      <c r="O30" s="49" t="str">
        <f>IFERROR(IF('Pós Implantação'!B30="Infraestrutura",AVERAGE('Pós Implantação'!D30,'Pós Implantação'!L30),""),"")</f>
        <v/>
      </c>
    </row>
    <row r="31" spans="1:15" x14ac:dyDescent="0.3">
      <c r="A31" s="33">
        <f>'Pré Implantação'!A31</f>
        <v>0</v>
      </c>
      <c r="B31" s="36" t="str">
        <f>'Pós Implantação'!C31</f>
        <v>0</v>
      </c>
      <c r="C31" s="34" t="str">
        <f>IFERROR(IF('Pré Implantação'!B31="Produção TI",AVERAGE('Pós Implantação'!D31,'Pós Implantação'!E31,'Pós Implantação'!L31,'Pós Implantação'!H31),AVERAGE('Pré Implantação'!E31,'Pré Implantação'!H31)),"")</f>
        <v/>
      </c>
      <c r="D31" s="34" t="str">
        <f>IFERROR(IF('Pós Implantação'!B31="CSC Service Desk",AVERAGE('Pós Implantação'!D31,'Pós Implantação'!L31,'Pós Implantação'!F31),AVERAGE('Pós Implantação'!F31)),"")</f>
        <v/>
      </c>
      <c r="E31" s="34" t="str">
        <f>IFERROR(IF('Pós Implantação'!B31="CSC NOC",AVERAGE('Pós Implantação'!D31,'Pós Implantação'!L31,'Pós Implantação'!G31),AVERAGE('Pós Implantação'!G31)),"")</f>
        <v/>
      </c>
      <c r="F31" s="34" t="str">
        <f>IFERROR(IF('Pós Implantação'!B31="CSE Gravadores",AVERAGE('Pós Implantação'!D31,'Pós Implantação'!L31,'Pós Implantação'!I31),AVERAGE('Pós Implantação'!I31)),"")</f>
        <v/>
      </c>
      <c r="G31" s="34" t="str">
        <f>IFERROR(IF('Pós Implantação'!B31="CSC",AVERAGE('Pós Implantação'!D31,'Pós Implantação'!L31,'Pós Implantação'!J31),AVERAGE('Pós Implantação'!J31)),"")</f>
        <v/>
      </c>
      <c r="H31" s="34" t="str">
        <f>IFERROR(IF('Pós Implantação'!B31="Operações \ Negócio",AVERAGE('Pós Implantação'!D31,'Pós Implantação'!L31,'Pós Implantação'!K31),AVERAGE('Pós Implantação'!K31)),"")</f>
        <v/>
      </c>
      <c r="I31" s="34" t="str">
        <f>IFERROR(IF('Pós Implantação'!B31="Projetos",AVERAGE('Pós Implantação'!D31,'Pós Implantação'!L31,'Pós Implantação'!M31),AVERAGE('Pós Implantação'!M31)),"")</f>
        <v/>
      </c>
      <c r="J31" s="34" t="str">
        <f>IFERROR(IF('Pós Implantação'!B31="Engenharia",AVERAGE('Pós Implantação'!D31,'Pós Implantação'!L31,'Pós Implantação'!N31),AVERAGE('Pós Implantação'!N31)),"")</f>
        <v/>
      </c>
      <c r="K31" s="34" t="str">
        <f>IFERROR(IF('Pós Implantação'!B31="URA",AVERAGE('Pós Implantação'!D31,'Pós Implantação'!L31),""),"")</f>
        <v/>
      </c>
      <c r="L31" s="34" t="str">
        <f>IFERROR(IF('Pós Implantação'!B31="CSE Microsoft",AVERAGE('Pós Implantação'!D31,'Pós Implantação'!L31),""),"")</f>
        <v/>
      </c>
      <c r="M31" s="34" t="str">
        <f>IFERROR(IF('Pós Implantação'!B31="CSE Telecom",AVERAGE('Pós Implantação'!D31,'Pós Implantação'!L31),""),"")</f>
        <v/>
      </c>
      <c r="N31" s="34" t="str">
        <f>IFERROR(IF('Pós Implantação'!B31="Site Suporte de Campo",AVERAGE('Pós Implantação'!D31,'Pós Implantação'!L31),""),"")</f>
        <v/>
      </c>
      <c r="O31" s="49" t="str">
        <f>IFERROR(IF('Pós Implantação'!B31="Infraestrutura",AVERAGE('Pós Implantação'!D31,'Pós Implantação'!L31),""),"")</f>
        <v/>
      </c>
    </row>
    <row r="32" spans="1:15" x14ac:dyDescent="0.3">
      <c r="A32" s="33">
        <f>'Pré Implantação'!A32</f>
        <v>0</v>
      </c>
      <c r="B32" s="36" t="str">
        <f>'Pós Implantação'!C32</f>
        <v>0</v>
      </c>
      <c r="C32" s="34" t="str">
        <f>IFERROR(IF('Pré Implantação'!B32="Produção TI",AVERAGE('Pós Implantação'!D32,'Pós Implantação'!E32,'Pós Implantação'!L32,'Pós Implantação'!H32),AVERAGE('Pré Implantação'!E32,'Pré Implantação'!H32)),"")</f>
        <v/>
      </c>
      <c r="D32" s="34" t="str">
        <f>IFERROR(IF('Pós Implantação'!B32="CSC Service Desk",AVERAGE('Pós Implantação'!D32,'Pós Implantação'!L32,'Pós Implantação'!F32),AVERAGE('Pós Implantação'!F32)),"")</f>
        <v/>
      </c>
      <c r="E32" s="34" t="str">
        <f>IFERROR(IF('Pós Implantação'!B32="CSC NOC",AVERAGE('Pós Implantação'!D32,'Pós Implantação'!L32,'Pós Implantação'!G32),AVERAGE('Pós Implantação'!G32)),"")</f>
        <v/>
      </c>
      <c r="F32" s="34" t="str">
        <f>IFERROR(IF('Pós Implantação'!B32="CSE Gravadores",AVERAGE('Pós Implantação'!D32,'Pós Implantação'!L32,'Pós Implantação'!I32),AVERAGE('Pós Implantação'!I32)),"")</f>
        <v/>
      </c>
      <c r="G32" s="34" t="str">
        <f>IFERROR(IF('Pós Implantação'!B32="CSC",AVERAGE('Pós Implantação'!D32,'Pós Implantação'!L32,'Pós Implantação'!J32),AVERAGE('Pós Implantação'!J32)),"")</f>
        <v/>
      </c>
      <c r="H32" s="34" t="str">
        <f>IFERROR(IF('Pós Implantação'!B32="Operações \ Negócio",AVERAGE('Pós Implantação'!D32,'Pós Implantação'!L32,'Pós Implantação'!K32),AVERAGE('Pós Implantação'!K32)),"")</f>
        <v/>
      </c>
      <c r="I32" s="34" t="str">
        <f>IFERROR(IF('Pós Implantação'!B32="Projetos",AVERAGE('Pós Implantação'!D32,'Pós Implantação'!L32,'Pós Implantação'!M32),AVERAGE('Pós Implantação'!M32)),"")</f>
        <v/>
      </c>
      <c r="J32" s="34" t="str">
        <f>IFERROR(IF('Pós Implantação'!B32="Engenharia",AVERAGE('Pós Implantação'!D32,'Pós Implantação'!L32,'Pós Implantação'!N32),AVERAGE('Pós Implantação'!N32)),"")</f>
        <v/>
      </c>
      <c r="K32" s="34" t="str">
        <f>IFERROR(IF('Pós Implantação'!B32="URA",AVERAGE('Pós Implantação'!D32,'Pós Implantação'!L32),""),"")</f>
        <v/>
      </c>
      <c r="L32" s="34" t="str">
        <f>IFERROR(IF('Pós Implantação'!B32="CSE Microsoft",AVERAGE('Pós Implantação'!D32,'Pós Implantação'!L32),""),"")</f>
        <v/>
      </c>
      <c r="M32" s="34" t="str">
        <f>IFERROR(IF('Pós Implantação'!B32="CSE Telecom",AVERAGE('Pós Implantação'!D32,'Pós Implantação'!L32),""),"")</f>
        <v/>
      </c>
      <c r="N32" s="34" t="str">
        <f>IFERROR(IF('Pós Implantação'!B32="Site Suporte de Campo",AVERAGE('Pós Implantação'!D32,'Pós Implantação'!L32),""),"")</f>
        <v/>
      </c>
      <c r="O32" s="49" t="str">
        <f>IFERROR(IF('Pós Implantação'!B32="Infraestrutura",AVERAGE('Pós Implantação'!D32,'Pós Implantação'!L32),""),"")</f>
        <v/>
      </c>
    </row>
    <row r="33" spans="1:15" x14ac:dyDescent="0.3">
      <c r="A33" s="33">
        <f>'Pré Implantação'!A33</f>
        <v>0</v>
      </c>
      <c r="B33" s="36" t="str">
        <f>'Pós Implantação'!C33</f>
        <v>0</v>
      </c>
      <c r="C33" s="34" t="str">
        <f>IFERROR(IF('Pré Implantação'!B33="Produção TI",AVERAGE('Pós Implantação'!D33,'Pós Implantação'!E33,'Pós Implantação'!L33,'Pós Implantação'!H33),AVERAGE('Pré Implantação'!E33,'Pré Implantação'!H33)),"")</f>
        <v/>
      </c>
      <c r="D33" s="34" t="str">
        <f>IFERROR(IF('Pós Implantação'!B33="CSC Service Desk",AVERAGE('Pós Implantação'!D33,'Pós Implantação'!L33,'Pós Implantação'!F33),AVERAGE('Pós Implantação'!F33)),"")</f>
        <v/>
      </c>
      <c r="E33" s="34" t="str">
        <f>IFERROR(IF('Pós Implantação'!B33="CSC NOC",AVERAGE('Pós Implantação'!D33,'Pós Implantação'!L33,'Pós Implantação'!G33),AVERAGE('Pós Implantação'!G33)),"")</f>
        <v/>
      </c>
      <c r="F33" s="34" t="str">
        <f>IFERROR(IF('Pós Implantação'!B33="CSE Gravadores",AVERAGE('Pós Implantação'!D33,'Pós Implantação'!L33,'Pós Implantação'!I33),AVERAGE('Pós Implantação'!I33)),"")</f>
        <v/>
      </c>
      <c r="G33" s="34" t="str">
        <f>IFERROR(IF('Pós Implantação'!B33="CSC",AVERAGE('Pós Implantação'!D33,'Pós Implantação'!L33,'Pós Implantação'!J33),AVERAGE('Pós Implantação'!J33)),"")</f>
        <v/>
      </c>
      <c r="H33" s="34" t="str">
        <f>IFERROR(IF('Pós Implantação'!B33="Operações \ Negócio",AVERAGE('Pós Implantação'!D33,'Pós Implantação'!L33,'Pós Implantação'!K33),AVERAGE('Pós Implantação'!K33)),"")</f>
        <v/>
      </c>
      <c r="I33" s="34" t="str">
        <f>IFERROR(IF('Pós Implantação'!B33="Projetos",AVERAGE('Pós Implantação'!D33,'Pós Implantação'!L33,'Pós Implantação'!M33),AVERAGE('Pós Implantação'!M33)),"")</f>
        <v/>
      </c>
      <c r="J33" s="34" t="str">
        <f>IFERROR(IF('Pós Implantação'!B33="Engenharia",AVERAGE('Pós Implantação'!D33,'Pós Implantação'!L33,'Pós Implantação'!N33),AVERAGE('Pós Implantação'!N33)),"")</f>
        <v/>
      </c>
      <c r="K33" s="34" t="str">
        <f>IFERROR(IF('Pós Implantação'!B33="URA",AVERAGE('Pós Implantação'!D33,'Pós Implantação'!L33),""),"")</f>
        <v/>
      </c>
      <c r="L33" s="34" t="str">
        <f>IFERROR(IF('Pós Implantação'!B33="CSE Microsoft",AVERAGE('Pós Implantação'!D33,'Pós Implantação'!L33),""),"")</f>
        <v/>
      </c>
      <c r="M33" s="34" t="str">
        <f>IFERROR(IF('Pós Implantação'!B33="CSE Telecom",AVERAGE('Pós Implantação'!D33,'Pós Implantação'!L33),""),"")</f>
        <v/>
      </c>
      <c r="N33" s="34" t="str">
        <f>IFERROR(IF('Pós Implantação'!B33="Site Suporte de Campo",AVERAGE('Pós Implantação'!D33,'Pós Implantação'!L33),""),"")</f>
        <v/>
      </c>
      <c r="O33" s="49" t="str">
        <f>IFERROR(IF('Pós Implantação'!B33="Infraestrutura",AVERAGE('Pós Implantação'!D33,'Pós Implantação'!L33),""),"")</f>
        <v/>
      </c>
    </row>
    <row r="34" spans="1:15" x14ac:dyDescent="0.3">
      <c r="A34" s="33">
        <f>'Pré Implantação'!A34</f>
        <v>0</v>
      </c>
      <c r="B34" s="36" t="str">
        <f>'Pós Implantação'!C34</f>
        <v>0</v>
      </c>
      <c r="C34" s="34" t="str">
        <f>IFERROR(IF('Pré Implantação'!B34="Produção TI",AVERAGE('Pós Implantação'!D34,'Pós Implantação'!E34,'Pós Implantação'!L34,'Pós Implantação'!H34),AVERAGE('Pré Implantação'!E34,'Pré Implantação'!H34)),"")</f>
        <v/>
      </c>
      <c r="D34" s="34" t="str">
        <f>IFERROR(IF('Pós Implantação'!B34="CSC Service Desk",AVERAGE('Pós Implantação'!D34,'Pós Implantação'!L34,'Pós Implantação'!F34),AVERAGE('Pós Implantação'!F34)),"")</f>
        <v/>
      </c>
      <c r="E34" s="34" t="str">
        <f>IFERROR(IF('Pós Implantação'!B34="CSC NOC",AVERAGE('Pós Implantação'!D34,'Pós Implantação'!L34,'Pós Implantação'!G34),AVERAGE('Pós Implantação'!G34)),"")</f>
        <v/>
      </c>
      <c r="F34" s="34" t="str">
        <f>IFERROR(IF('Pós Implantação'!B34="CSE Gravadores",AVERAGE('Pós Implantação'!D34,'Pós Implantação'!L34,'Pós Implantação'!I34),AVERAGE('Pós Implantação'!I34)),"")</f>
        <v/>
      </c>
      <c r="G34" s="34" t="str">
        <f>IFERROR(IF('Pós Implantação'!B34="CSC",AVERAGE('Pós Implantação'!D34,'Pós Implantação'!L34,'Pós Implantação'!J34),AVERAGE('Pós Implantação'!J34)),"")</f>
        <v/>
      </c>
      <c r="H34" s="34" t="str">
        <f>IFERROR(IF('Pós Implantação'!B34="Operações \ Negócio",AVERAGE('Pós Implantação'!D34,'Pós Implantação'!L34,'Pós Implantação'!K34),AVERAGE('Pós Implantação'!K34)),"")</f>
        <v/>
      </c>
      <c r="I34" s="34" t="str">
        <f>IFERROR(IF('Pós Implantação'!B34="Projetos",AVERAGE('Pós Implantação'!D34,'Pós Implantação'!L34,'Pós Implantação'!M34),AVERAGE('Pós Implantação'!M34)),"")</f>
        <v/>
      </c>
      <c r="J34" s="34" t="str">
        <f>IFERROR(IF('Pós Implantação'!B34="Engenharia",AVERAGE('Pós Implantação'!D34,'Pós Implantação'!L34,'Pós Implantação'!N34),AVERAGE('Pós Implantação'!N34)),"")</f>
        <v/>
      </c>
      <c r="K34" s="34" t="str">
        <f>IFERROR(IF('Pós Implantação'!B34="URA",AVERAGE('Pós Implantação'!D34,'Pós Implantação'!L34),""),"")</f>
        <v/>
      </c>
      <c r="L34" s="34" t="str">
        <f>IFERROR(IF('Pós Implantação'!B34="CSE Microsoft",AVERAGE('Pós Implantação'!D34,'Pós Implantação'!L34),""),"")</f>
        <v/>
      </c>
      <c r="M34" s="34" t="str">
        <f>IFERROR(IF('Pós Implantação'!B34="CSE Telecom",AVERAGE('Pós Implantação'!D34,'Pós Implantação'!L34),""),"")</f>
        <v/>
      </c>
      <c r="N34" s="34" t="str">
        <f>IFERROR(IF('Pós Implantação'!B34="Site Suporte de Campo",AVERAGE('Pós Implantação'!D34,'Pós Implantação'!L34),""),"")</f>
        <v/>
      </c>
      <c r="O34" s="49" t="str">
        <f>IFERROR(IF('Pós Implantação'!B34="Infraestrutura",AVERAGE('Pós Implantação'!D34,'Pós Implantação'!L34),""),"")</f>
        <v/>
      </c>
    </row>
    <row r="35" spans="1:15" x14ac:dyDescent="0.3">
      <c r="A35" s="33">
        <f>'Pré Implantação'!A35</f>
        <v>0</v>
      </c>
      <c r="B35" s="36" t="str">
        <f>'Pós Implantação'!C35</f>
        <v>0</v>
      </c>
      <c r="C35" s="34" t="str">
        <f>IFERROR(IF('Pré Implantação'!B35="Produção TI",AVERAGE('Pós Implantação'!D35,'Pós Implantação'!E35,'Pós Implantação'!L35,'Pós Implantação'!H35),AVERAGE('Pré Implantação'!E35,'Pré Implantação'!H35)),"")</f>
        <v/>
      </c>
      <c r="D35" s="34" t="str">
        <f>IFERROR(IF('Pós Implantação'!B35="CSC Service Desk",AVERAGE('Pós Implantação'!D35,'Pós Implantação'!L35,'Pós Implantação'!F35),AVERAGE('Pós Implantação'!F35)),"")</f>
        <v/>
      </c>
      <c r="E35" s="34" t="str">
        <f>IFERROR(IF('Pós Implantação'!B35="CSC NOC",AVERAGE('Pós Implantação'!D35,'Pós Implantação'!L35,'Pós Implantação'!G35),AVERAGE('Pós Implantação'!G35)),"")</f>
        <v/>
      </c>
      <c r="F35" s="34" t="str">
        <f>IFERROR(IF('Pós Implantação'!B35="CSE Gravadores",AVERAGE('Pós Implantação'!D35,'Pós Implantação'!L35,'Pós Implantação'!I35),AVERAGE('Pós Implantação'!I35)),"")</f>
        <v/>
      </c>
      <c r="G35" s="34" t="str">
        <f>IFERROR(IF('Pós Implantação'!B35="CSC",AVERAGE('Pós Implantação'!D35,'Pós Implantação'!L35,'Pós Implantação'!J35),AVERAGE('Pós Implantação'!J35)),"")</f>
        <v/>
      </c>
      <c r="H35" s="34" t="str">
        <f>IFERROR(IF('Pós Implantação'!B35="Operações \ Negócio",AVERAGE('Pós Implantação'!D35,'Pós Implantação'!L35,'Pós Implantação'!K35),AVERAGE('Pós Implantação'!K35)),"")</f>
        <v/>
      </c>
      <c r="I35" s="34" t="str">
        <f>IFERROR(IF('Pós Implantação'!B35="Projetos",AVERAGE('Pós Implantação'!D35,'Pós Implantação'!L35,'Pós Implantação'!M35),AVERAGE('Pós Implantação'!M35)),"")</f>
        <v/>
      </c>
      <c r="J35" s="34" t="str">
        <f>IFERROR(IF('Pós Implantação'!B35="Engenharia",AVERAGE('Pós Implantação'!D35,'Pós Implantação'!L35,'Pós Implantação'!N35),AVERAGE('Pós Implantação'!N35)),"")</f>
        <v/>
      </c>
      <c r="K35" s="34" t="str">
        <f>IFERROR(IF('Pós Implantação'!B35="URA",AVERAGE('Pós Implantação'!D35,'Pós Implantação'!L35),""),"")</f>
        <v/>
      </c>
      <c r="L35" s="34" t="str">
        <f>IFERROR(IF('Pós Implantação'!B35="CSE Microsoft",AVERAGE('Pós Implantação'!D35,'Pós Implantação'!L35),""),"")</f>
        <v/>
      </c>
      <c r="M35" s="34" t="str">
        <f>IFERROR(IF('Pós Implantação'!B35="CSE Telecom",AVERAGE('Pós Implantação'!D35,'Pós Implantação'!L35),""),"")</f>
        <v/>
      </c>
      <c r="N35" s="34" t="str">
        <f>IFERROR(IF('Pós Implantação'!B35="Site Suporte de Campo",AVERAGE('Pós Implantação'!D35,'Pós Implantação'!L35),""),"")</f>
        <v/>
      </c>
      <c r="O35" s="49" t="str">
        <f>IFERROR(IF('Pós Implantação'!B35="Infraestrutura",AVERAGE('Pós Implantação'!D35,'Pós Implantação'!L35),""),"")</f>
        <v/>
      </c>
    </row>
    <row r="36" spans="1:15" x14ac:dyDescent="0.3">
      <c r="A36" s="33">
        <f>'Pré Implantação'!A36</f>
        <v>0</v>
      </c>
      <c r="B36" s="36" t="str">
        <f>'Pós Implantação'!C36</f>
        <v>0</v>
      </c>
      <c r="C36" s="34" t="str">
        <f>IFERROR(IF('Pré Implantação'!B36="Produção TI",AVERAGE('Pós Implantação'!D36,'Pós Implantação'!E36,'Pós Implantação'!L36,'Pós Implantação'!H36),AVERAGE('Pré Implantação'!E36,'Pré Implantação'!H36)),"")</f>
        <v/>
      </c>
      <c r="D36" s="34" t="str">
        <f>IFERROR(IF('Pós Implantação'!B36="CSC Service Desk",AVERAGE('Pós Implantação'!D36,'Pós Implantação'!L36,'Pós Implantação'!F36),AVERAGE('Pós Implantação'!F36)),"")</f>
        <v/>
      </c>
      <c r="E36" s="34" t="str">
        <f>IFERROR(IF('Pós Implantação'!B36="CSC NOC",AVERAGE('Pós Implantação'!D36,'Pós Implantação'!L36,'Pós Implantação'!G36),AVERAGE('Pós Implantação'!G36)),"")</f>
        <v/>
      </c>
      <c r="F36" s="34" t="str">
        <f>IFERROR(IF('Pós Implantação'!B36="CSE Gravadores",AVERAGE('Pós Implantação'!D36,'Pós Implantação'!L36,'Pós Implantação'!I36),AVERAGE('Pós Implantação'!I36)),"")</f>
        <v/>
      </c>
      <c r="G36" s="34" t="str">
        <f>IFERROR(IF('Pós Implantação'!B36="CSC",AVERAGE('Pós Implantação'!D36,'Pós Implantação'!L36,'Pós Implantação'!J36),AVERAGE('Pós Implantação'!J36)),"")</f>
        <v/>
      </c>
      <c r="H36" s="34" t="str">
        <f>IFERROR(IF('Pós Implantação'!B36="Operações \ Negócio",AVERAGE('Pós Implantação'!D36,'Pós Implantação'!L36,'Pós Implantação'!K36),AVERAGE('Pós Implantação'!K36)),"")</f>
        <v/>
      </c>
      <c r="I36" s="34" t="str">
        <f>IFERROR(IF('Pós Implantação'!B36="Projetos",AVERAGE('Pós Implantação'!D36,'Pós Implantação'!L36,'Pós Implantação'!M36),AVERAGE('Pós Implantação'!M36)),"")</f>
        <v/>
      </c>
      <c r="J36" s="34" t="str">
        <f>IFERROR(IF('Pós Implantação'!B36="Engenharia",AVERAGE('Pós Implantação'!D36,'Pós Implantação'!L36,'Pós Implantação'!N36),AVERAGE('Pós Implantação'!N36)),"")</f>
        <v/>
      </c>
      <c r="K36" s="34" t="str">
        <f>IFERROR(IF('Pós Implantação'!B36="URA",AVERAGE('Pós Implantação'!D36,'Pós Implantação'!L36),""),"")</f>
        <v/>
      </c>
      <c r="L36" s="34" t="str">
        <f>IFERROR(IF('Pós Implantação'!B36="CSE Microsoft",AVERAGE('Pós Implantação'!D36,'Pós Implantação'!L36),""),"")</f>
        <v/>
      </c>
      <c r="M36" s="34" t="str">
        <f>IFERROR(IF('Pós Implantação'!B36="CSE Telecom",AVERAGE('Pós Implantação'!D36,'Pós Implantação'!L36),""),"")</f>
        <v/>
      </c>
      <c r="N36" s="34" t="str">
        <f>IFERROR(IF('Pós Implantação'!B36="Site Suporte de Campo",AVERAGE('Pós Implantação'!D36,'Pós Implantação'!L36),""),"")</f>
        <v/>
      </c>
      <c r="O36" s="49" t="str">
        <f>IFERROR(IF('Pós Implantação'!B36="Infraestrutura",AVERAGE('Pós Implantação'!D36,'Pós Implantação'!L36),""),"")</f>
        <v/>
      </c>
    </row>
    <row r="37" spans="1:15" x14ac:dyDescent="0.3">
      <c r="A37" s="33">
        <f>'Pré Implantação'!A37</f>
        <v>0</v>
      </c>
      <c r="B37" s="36" t="str">
        <f>'Pós Implantação'!C37</f>
        <v>0</v>
      </c>
      <c r="C37" s="34" t="str">
        <f>IFERROR(IF('Pré Implantação'!B37="Produção TI",AVERAGE('Pós Implantação'!D37,'Pós Implantação'!E37,'Pós Implantação'!L37,'Pós Implantação'!H37),AVERAGE('Pré Implantação'!E37,'Pré Implantação'!H37)),"")</f>
        <v/>
      </c>
      <c r="D37" s="34" t="str">
        <f>IFERROR(IF('Pós Implantação'!B37="CSC Service Desk",AVERAGE('Pós Implantação'!D37,'Pós Implantação'!L37,'Pós Implantação'!F37),AVERAGE('Pós Implantação'!F37)),"")</f>
        <v/>
      </c>
      <c r="E37" s="34" t="str">
        <f>IFERROR(IF('Pós Implantação'!B37="CSC NOC",AVERAGE('Pós Implantação'!D37,'Pós Implantação'!L37,'Pós Implantação'!G37),AVERAGE('Pós Implantação'!G37)),"")</f>
        <v/>
      </c>
      <c r="F37" s="34" t="str">
        <f>IFERROR(IF('Pós Implantação'!B37="CSE Gravadores",AVERAGE('Pós Implantação'!D37,'Pós Implantação'!L37,'Pós Implantação'!I37),AVERAGE('Pós Implantação'!I37)),"")</f>
        <v/>
      </c>
      <c r="G37" s="34" t="str">
        <f>IFERROR(IF('Pós Implantação'!B37="CSC",AVERAGE('Pós Implantação'!D37,'Pós Implantação'!L37,'Pós Implantação'!J37),AVERAGE('Pós Implantação'!J37)),"")</f>
        <v/>
      </c>
      <c r="H37" s="34" t="str">
        <f>IFERROR(IF('Pós Implantação'!B37="Operações \ Negócio",AVERAGE('Pós Implantação'!D37,'Pós Implantação'!L37,'Pós Implantação'!K37),AVERAGE('Pós Implantação'!K37)),"")</f>
        <v/>
      </c>
      <c r="I37" s="34" t="str">
        <f>IFERROR(IF('Pós Implantação'!B37="Projetos",AVERAGE('Pós Implantação'!D37,'Pós Implantação'!L37,'Pós Implantação'!M37),AVERAGE('Pós Implantação'!M37)),"")</f>
        <v/>
      </c>
      <c r="J37" s="34" t="str">
        <f>IFERROR(IF('Pós Implantação'!B37="Engenharia",AVERAGE('Pós Implantação'!D37,'Pós Implantação'!L37,'Pós Implantação'!N37),AVERAGE('Pós Implantação'!N37)),"")</f>
        <v/>
      </c>
      <c r="K37" s="34" t="str">
        <f>IFERROR(IF('Pós Implantação'!B37="URA",AVERAGE('Pós Implantação'!D37,'Pós Implantação'!L37),""),"")</f>
        <v/>
      </c>
      <c r="L37" s="34" t="str">
        <f>IFERROR(IF('Pós Implantação'!B37="CSE Microsoft",AVERAGE('Pós Implantação'!D37,'Pós Implantação'!L37),""),"")</f>
        <v/>
      </c>
      <c r="M37" s="34" t="str">
        <f>IFERROR(IF('Pós Implantação'!B37="CSE Telecom",AVERAGE('Pós Implantação'!D37,'Pós Implantação'!L37),""),"")</f>
        <v/>
      </c>
      <c r="N37" s="34" t="str">
        <f>IFERROR(IF('Pós Implantação'!B37="Site Suporte de Campo",AVERAGE('Pós Implantação'!D37,'Pós Implantação'!L37),""),"")</f>
        <v/>
      </c>
      <c r="O37" s="49" t="str">
        <f>IFERROR(IF('Pós Implantação'!B37="Infraestrutura",AVERAGE('Pós Implantação'!D37,'Pós Implantação'!L37),""),"")</f>
        <v/>
      </c>
    </row>
    <row r="38" spans="1:15" x14ac:dyDescent="0.3">
      <c r="A38" s="33">
        <f>'Pré Implantação'!A38</f>
        <v>0</v>
      </c>
      <c r="B38" s="36" t="str">
        <f>'Pós Implantação'!C38</f>
        <v>0</v>
      </c>
      <c r="C38" s="34" t="str">
        <f>IFERROR(IF('Pré Implantação'!B38="Produção TI",AVERAGE('Pós Implantação'!D38,'Pós Implantação'!E38,'Pós Implantação'!L38,'Pós Implantação'!H38),AVERAGE('Pré Implantação'!E38,'Pré Implantação'!H38)),"")</f>
        <v/>
      </c>
      <c r="D38" s="34" t="str">
        <f>IFERROR(IF('Pós Implantação'!B38="CSC Service Desk",AVERAGE('Pós Implantação'!D38,'Pós Implantação'!L38,'Pós Implantação'!F38),AVERAGE('Pós Implantação'!F38)),"")</f>
        <v/>
      </c>
      <c r="E38" s="34" t="str">
        <f>IFERROR(IF('Pós Implantação'!B38="CSC NOC",AVERAGE('Pós Implantação'!D38,'Pós Implantação'!L38,'Pós Implantação'!G38),AVERAGE('Pós Implantação'!G38)),"")</f>
        <v/>
      </c>
      <c r="F38" s="34" t="str">
        <f>IFERROR(IF('Pós Implantação'!B38="CSE Gravadores",AVERAGE('Pós Implantação'!D38,'Pós Implantação'!L38,'Pós Implantação'!I38),AVERAGE('Pós Implantação'!I38)),"")</f>
        <v/>
      </c>
      <c r="G38" s="34" t="str">
        <f>IFERROR(IF('Pós Implantação'!B38="CSC",AVERAGE('Pós Implantação'!D38,'Pós Implantação'!L38,'Pós Implantação'!J38),AVERAGE('Pós Implantação'!J38)),"")</f>
        <v/>
      </c>
      <c r="H38" s="34" t="str">
        <f>IFERROR(IF('Pós Implantação'!B38="Operações \ Negócio",AVERAGE('Pós Implantação'!D38,'Pós Implantação'!L38,'Pós Implantação'!K38),AVERAGE('Pós Implantação'!K38)),"")</f>
        <v/>
      </c>
      <c r="I38" s="34" t="str">
        <f>IFERROR(IF('Pós Implantação'!B38="Projetos",AVERAGE('Pós Implantação'!D38,'Pós Implantação'!L38,'Pós Implantação'!M38),AVERAGE('Pós Implantação'!M38)),"")</f>
        <v/>
      </c>
      <c r="J38" s="34" t="str">
        <f>IFERROR(IF('Pós Implantação'!B38="Engenharia",AVERAGE('Pós Implantação'!D38,'Pós Implantação'!L38,'Pós Implantação'!N38),AVERAGE('Pós Implantação'!N38)),"")</f>
        <v/>
      </c>
      <c r="K38" s="34" t="str">
        <f>IFERROR(IF('Pós Implantação'!B38="URA",AVERAGE('Pós Implantação'!D38,'Pós Implantação'!L38),""),"")</f>
        <v/>
      </c>
      <c r="L38" s="34" t="str">
        <f>IFERROR(IF('Pós Implantação'!B38="CSE Microsoft",AVERAGE('Pós Implantação'!D38,'Pós Implantação'!L38),""),"")</f>
        <v/>
      </c>
      <c r="M38" s="34" t="str">
        <f>IFERROR(IF('Pós Implantação'!B38="CSE Telecom",AVERAGE('Pós Implantação'!D38,'Pós Implantação'!L38),""),"")</f>
        <v/>
      </c>
      <c r="N38" s="34" t="str">
        <f>IFERROR(IF('Pós Implantação'!B38="Site Suporte de Campo",AVERAGE('Pós Implantação'!D38,'Pós Implantação'!L38),""),"")</f>
        <v/>
      </c>
      <c r="O38" s="49" t="str">
        <f>IFERROR(IF('Pós Implantação'!B38="Infraestrutura",AVERAGE('Pós Implantação'!D38,'Pós Implantação'!L38),""),"")</f>
        <v/>
      </c>
    </row>
    <row r="39" spans="1:15" x14ac:dyDescent="0.3">
      <c r="A39" s="33">
        <f>'Pré Implantação'!A39</f>
        <v>0</v>
      </c>
      <c r="B39" s="36" t="str">
        <f>'Pós Implantação'!C39</f>
        <v>0</v>
      </c>
      <c r="C39" s="34" t="str">
        <f>IFERROR(IF('Pré Implantação'!B39="Produção TI",AVERAGE('Pós Implantação'!D39,'Pós Implantação'!E39,'Pós Implantação'!L39,'Pós Implantação'!H39),AVERAGE('Pré Implantação'!E39,'Pré Implantação'!H39)),"")</f>
        <v/>
      </c>
      <c r="D39" s="34" t="str">
        <f>IFERROR(IF('Pós Implantação'!B39="CSC Service Desk",AVERAGE('Pós Implantação'!D39,'Pós Implantação'!L39,'Pós Implantação'!F39),AVERAGE('Pós Implantação'!F39)),"")</f>
        <v/>
      </c>
      <c r="E39" s="34" t="str">
        <f>IFERROR(IF('Pós Implantação'!B39="CSC NOC",AVERAGE('Pós Implantação'!D39,'Pós Implantação'!L39,'Pós Implantação'!G39),AVERAGE('Pós Implantação'!G39)),"")</f>
        <v/>
      </c>
      <c r="F39" s="34" t="str">
        <f>IFERROR(IF('Pós Implantação'!B39="CSE Gravadores",AVERAGE('Pós Implantação'!D39,'Pós Implantação'!L39,'Pós Implantação'!I39),AVERAGE('Pós Implantação'!I39)),"")</f>
        <v/>
      </c>
      <c r="G39" s="34" t="str">
        <f>IFERROR(IF('Pós Implantação'!B39="CSC",AVERAGE('Pós Implantação'!D39,'Pós Implantação'!L39,'Pós Implantação'!J39),AVERAGE('Pós Implantação'!J39)),"")</f>
        <v/>
      </c>
      <c r="H39" s="34" t="str">
        <f>IFERROR(IF('Pós Implantação'!B39="Operações \ Negócio",AVERAGE('Pós Implantação'!D39,'Pós Implantação'!L39,'Pós Implantação'!K39),AVERAGE('Pós Implantação'!K39)),"")</f>
        <v/>
      </c>
      <c r="I39" s="34" t="str">
        <f>IFERROR(IF('Pós Implantação'!B39="Projetos",AVERAGE('Pós Implantação'!D39,'Pós Implantação'!L39,'Pós Implantação'!M39),AVERAGE('Pós Implantação'!M39)),"")</f>
        <v/>
      </c>
      <c r="J39" s="34" t="str">
        <f>IFERROR(IF('Pós Implantação'!B39="Engenharia",AVERAGE('Pós Implantação'!D39,'Pós Implantação'!L39,'Pós Implantação'!N39),AVERAGE('Pós Implantação'!N39)),"")</f>
        <v/>
      </c>
      <c r="K39" s="34" t="str">
        <f>IFERROR(IF('Pós Implantação'!B39="URA",AVERAGE('Pós Implantação'!D39,'Pós Implantação'!L39),""),"")</f>
        <v/>
      </c>
      <c r="L39" s="34" t="str">
        <f>IFERROR(IF('Pós Implantação'!B39="CSE Microsoft",AVERAGE('Pós Implantação'!D39,'Pós Implantação'!L39),""),"")</f>
        <v/>
      </c>
      <c r="M39" s="34" t="str">
        <f>IFERROR(IF('Pós Implantação'!B39="CSE Telecom",AVERAGE('Pós Implantação'!D39,'Pós Implantação'!L39),""),"")</f>
        <v/>
      </c>
      <c r="N39" s="34" t="str">
        <f>IFERROR(IF('Pós Implantação'!B39="Site Suporte de Campo",AVERAGE('Pós Implantação'!D39,'Pós Implantação'!L39),""),"")</f>
        <v/>
      </c>
      <c r="O39" s="49" t="str">
        <f>IFERROR(IF('Pós Implantação'!B39="Infraestrutura",AVERAGE('Pós Implantação'!D39,'Pós Implantação'!L39),""),"")</f>
        <v/>
      </c>
    </row>
    <row r="40" spans="1:15" x14ac:dyDescent="0.3">
      <c r="A40" s="33">
        <f>'Pré Implantação'!A40</f>
        <v>0</v>
      </c>
      <c r="B40" s="36" t="str">
        <f>'Pós Implantação'!C40</f>
        <v>0</v>
      </c>
      <c r="C40" s="34" t="str">
        <f>IFERROR(IF('Pré Implantação'!B40="Produção TI",AVERAGE('Pós Implantação'!D40,'Pós Implantação'!E40,'Pós Implantação'!L40,'Pós Implantação'!H40),AVERAGE('Pré Implantação'!E40,'Pré Implantação'!H40)),"")</f>
        <v/>
      </c>
      <c r="D40" s="34" t="str">
        <f>IFERROR(IF('Pós Implantação'!B40="CSC Service Desk",AVERAGE('Pós Implantação'!D40,'Pós Implantação'!L40,'Pós Implantação'!F40),AVERAGE('Pós Implantação'!F40)),"")</f>
        <v/>
      </c>
      <c r="E40" s="34" t="str">
        <f>IFERROR(IF('Pós Implantação'!B40="CSC NOC",AVERAGE('Pós Implantação'!D40,'Pós Implantação'!L40,'Pós Implantação'!G40),AVERAGE('Pós Implantação'!G40)),"")</f>
        <v/>
      </c>
      <c r="F40" s="34" t="str">
        <f>IFERROR(IF('Pós Implantação'!B40="CSE Gravadores",AVERAGE('Pós Implantação'!D40,'Pós Implantação'!L40,'Pós Implantação'!I40),AVERAGE('Pós Implantação'!I40)),"")</f>
        <v/>
      </c>
      <c r="G40" s="34" t="str">
        <f>IFERROR(IF('Pós Implantação'!B40="CSC",AVERAGE('Pós Implantação'!D40,'Pós Implantação'!L40,'Pós Implantação'!J40),AVERAGE('Pós Implantação'!J40)),"")</f>
        <v/>
      </c>
      <c r="H40" s="34" t="str">
        <f>IFERROR(IF('Pós Implantação'!B40="Operações \ Negócio",AVERAGE('Pós Implantação'!D40,'Pós Implantação'!L40,'Pós Implantação'!K40),AVERAGE('Pós Implantação'!K40)),"")</f>
        <v/>
      </c>
      <c r="I40" s="34" t="str">
        <f>IFERROR(IF('Pós Implantação'!B40="Projetos",AVERAGE('Pós Implantação'!D40,'Pós Implantação'!L40,'Pós Implantação'!M40),AVERAGE('Pós Implantação'!M40)),"")</f>
        <v/>
      </c>
      <c r="J40" s="34" t="str">
        <f>IFERROR(IF('Pós Implantação'!B40="Engenharia",AVERAGE('Pós Implantação'!D40,'Pós Implantação'!L40,'Pós Implantação'!N40),AVERAGE('Pós Implantação'!N40)),"")</f>
        <v/>
      </c>
      <c r="K40" s="34" t="str">
        <f>IFERROR(IF('Pós Implantação'!B40="URA",AVERAGE('Pós Implantação'!D40,'Pós Implantação'!L40),""),"")</f>
        <v/>
      </c>
      <c r="L40" s="34" t="str">
        <f>IFERROR(IF('Pós Implantação'!B40="CSE Microsoft",AVERAGE('Pós Implantação'!D40,'Pós Implantação'!L40),""),"")</f>
        <v/>
      </c>
      <c r="M40" s="34" t="str">
        <f>IFERROR(IF('Pós Implantação'!B40="CSE Telecom",AVERAGE('Pós Implantação'!D40,'Pós Implantação'!L40),""),"")</f>
        <v/>
      </c>
      <c r="N40" s="34" t="str">
        <f>IFERROR(IF('Pós Implantação'!B40="Site Suporte de Campo",AVERAGE('Pós Implantação'!D40,'Pós Implantação'!L40),""),"")</f>
        <v/>
      </c>
      <c r="O40" s="49" t="str">
        <f>IFERROR(IF('Pós Implantação'!B40="Infraestrutura",AVERAGE('Pós Implantação'!D40,'Pós Implantação'!L40),""),"")</f>
        <v/>
      </c>
    </row>
    <row r="41" spans="1:15" x14ac:dyDescent="0.3">
      <c r="A41" s="33">
        <f>'Pré Implantação'!A41</f>
        <v>0</v>
      </c>
      <c r="B41" s="36" t="str">
        <f>'Pós Implantação'!C41</f>
        <v>0</v>
      </c>
      <c r="C41" s="34" t="str">
        <f>IFERROR(IF('Pré Implantação'!B41="Produção TI",AVERAGE('Pós Implantação'!D41,'Pós Implantação'!E41,'Pós Implantação'!L41,'Pós Implantação'!H41),AVERAGE('Pré Implantação'!E41,'Pré Implantação'!H41)),"")</f>
        <v/>
      </c>
      <c r="D41" s="34" t="str">
        <f>IFERROR(IF('Pós Implantação'!B41="CSC Service Desk",AVERAGE('Pós Implantação'!D41,'Pós Implantação'!L41,'Pós Implantação'!F41),AVERAGE('Pós Implantação'!F41)),"")</f>
        <v/>
      </c>
      <c r="E41" s="34" t="str">
        <f>IFERROR(IF('Pós Implantação'!B41="CSC NOC",AVERAGE('Pós Implantação'!D41,'Pós Implantação'!L41,'Pós Implantação'!G41),AVERAGE('Pós Implantação'!G41)),"")</f>
        <v/>
      </c>
      <c r="F41" s="34" t="str">
        <f>IFERROR(IF('Pós Implantação'!B41="CSE Gravadores",AVERAGE('Pós Implantação'!D41,'Pós Implantação'!L41,'Pós Implantação'!I41),AVERAGE('Pós Implantação'!I41)),"")</f>
        <v/>
      </c>
      <c r="G41" s="34" t="str">
        <f>IFERROR(IF('Pós Implantação'!B41="CSC",AVERAGE('Pós Implantação'!D41,'Pós Implantação'!L41,'Pós Implantação'!J41),AVERAGE('Pós Implantação'!J41)),"")</f>
        <v/>
      </c>
      <c r="H41" s="34" t="str">
        <f>IFERROR(IF('Pós Implantação'!B41="Operações \ Negócio",AVERAGE('Pós Implantação'!D41,'Pós Implantação'!L41,'Pós Implantação'!K41),AVERAGE('Pós Implantação'!K41)),"")</f>
        <v/>
      </c>
      <c r="I41" s="34" t="str">
        <f>IFERROR(IF('Pós Implantação'!B41="Projetos",AVERAGE('Pós Implantação'!D41,'Pós Implantação'!L41,'Pós Implantação'!M41),AVERAGE('Pós Implantação'!M41)),"")</f>
        <v/>
      </c>
      <c r="J41" s="34" t="str">
        <f>IFERROR(IF('Pós Implantação'!B41="Engenharia",AVERAGE('Pós Implantação'!D41,'Pós Implantação'!L41,'Pós Implantação'!N41),AVERAGE('Pós Implantação'!N41)),"")</f>
        <v/>
      </c>
      <c r="K41" s="34" t="str">
        <f>IFERROR(IF('Pós Implantação'!B41="URA",AVERAGE('Pós Implantação'!D41,'Pós Implantação'!L41),""),"")</f>
        <v/>
      </c>
      <c r="L41" s="34" t="str">
        <f>IFERROR(IF('Pós Implantação'!B41="CSE Microsoft",AVERAGE('Pós Implantação'!D41,'Pós Implantação'!L41),""),"")</f>
        <v/>
      </c>
      <c r="M41" s="34" t="str">
        <f>IFERROR(IF('Pós Implantação'!B41="CSE Telecom",AVERAGE('Pós Implantação'!D41,'Pós Implantação'!L41),""),"")</f>
        <v/>
      </c>
      <c r="N41" s="34" t="str">
        <f>IFERROR(IF('Pós Implantação'!B41="Site Suporte de Campo",AVERAGE('Pós Implantação'!D41,'Pós Implantação'!L41),""),"")</f>
        <v/>
      </c>
      <c r="O41" s="49" t="str">
        <f>IFERROR(IF('Pós Implantação'!B41="Infraestrutura",AVERAGE('Pós Implantação'!D41,'Pós Implantação'!L41),""),"")</f>
        <v/>
      </c>
    </row>
    <row r="42" spans="1:15" x14ac:dyDescent="0.3">
      <c r="A42" s="33">
        <f>'Pré Implantação'!A42</f>
        <v>0</v>
      </c>
      <c r="B42" s="36" t="str">
        <f>'Pós Implantação'!C42</f>
        <v>0</v>
      </c>
      <c r="C42" s="34" t="str">
        <f>IFERROR(IF('Pré Implantação'!B42="Produção TI",AVERAGE('Pós Implantação'!D42,'Pós Implantação'!E42,'Pós Implantação'!L42,'Pós Implantação'!H42),AVERAGE('Pré Implantação'!E42,'Pré Implantação'!H42)),"")</f>
        <v/>
      </c>
      <c r="D42" s="34" t="str">
        <f>IFERROR(IF('Pós Implantação'!B42="CSC Service Desk",AVERAGE('Pós Implantação'!D42,'Pós Implantação'!L42,'Pós Implantação'!F42),AVERAGE('Pós Implantação'!F42)),"")</f>
        <v/>
      </c>
      <c r="E42" s="34" t="str">
        <f>IFERROR(IF('Pós Implantação'!B42="CSC NOC",AVERAGE('Pós Implantação'!D42,'Pós Implantação'!L42,'Pós Implantação'!G42),AVERAGE('Pós Implantação'!G42)),"")</f>
        <v/>
      </c>
      <c r="F42" s="34" t="str">
        <f>IFERROR(IF('Pós Implantação'!B42="CSE Gravadores",AVERAGE('Pós Implantação'!D42,'Pós Implantação'!L42,'Pós Implantação'!I42),AVERAGE('Pós Implantação'!I42)),"")</f>
        <v/>
      </c>
      <c r="G42" s="34" t="str">
        <f>IFERROR(IF('Pós Implantação'!B42="CSC",AVERAGE('Pós Implantação'!D42,'Pós Implantação'!L42,'Pós Implantação'!J42),AVERAGE('Pós Implantação'!J42)),"")</f>
        <v/>
      </c>
      <c r="H42" s="34" t="str">
        <f>IFERROR(IF('Pós Implantação'!B42="Operações \ Negócio",AVERAGE('Pós Implantação'!D42,'Pós Implantação'!L42,'Pós Implantação'!K42),AVERAGE('Pós Implantação'!K42)),"")</f>
        <v/>
      </c>
      <c r="I42" s="34" t="str">
        <f>IFERROR(IF('Pós Implantação'!B42="Projetos",AVERAGE('Pós Implantação'!D42,'Pós Implantação'!L42,'Pós Implantação'!M42),AVERAGE('Pós Implantação'!M42)),"")</f>
        <v/>
      </c>
      <c r="J42" s="34" t="str">
        <f>IFERROR(IF('Pós Implantação'!B42="Engenharia",AVERAGE('Pós Implantação'!D42,'Pós Implantação'!L42,'Pós Implantação'!N42),AVERAGE('Pós Implantação'!N42)),"")</f>
        <v/>
      </c>
      <c r="K42" s="34" t="str">
        <f>IFERROR(IF('Pós Implantação'!B42="URA",AVERAGE('Pós Implantação'!D42,'Pós Implantação'!L42),""),"")</f>
        <v/>
      </c>
      <c r="L42" s="34" t="str">
        <f>IFERROR(IF('Pós Implantação'!B42="CSE Microsoft",AVERAGE('Pós Implantação'!D42,'Pós Implantação'!L42),""),"")</f>
        <v/>
      </c>
      <c r="M42" s="34" t="str">
        <f>IFERROR(IF('Pós Implantação'!B42="CSE Telecom",AVERAGE('Pós Implantação'!D42,'Pós Implantação'!L42),""),"")</f>
        <v/>
      </c>
      <c r="N42" s="34" t="str">
        <f>IFERROR(IF('Pós Implantação'!B42="Site Suporte de Campo",AVERAGE('Pós Implantação'!D42,'Pós Implantação'!L42),""),"")</f>
        <v/>
      </c>
      <c r="O42" s="49" t="str">
        <f>IFERROR(IF('Pós Implantação'!B42="Infraestrutura",AVERAGE('Pós Implantação'!D42,'Pós Implantação'!L42),""),"")</f>
        <v/>
      </c>
    </row>
    <row r="43" spans="1:15" x14ac:dyDescent="0.3">
      <c r="A43" s="33">
        <f>'Pré Implantação'!A43</f>
        <v>0</v>
      </c>
      <c r="B43" s="36" t="str">
        <f>'Pós Implantação'!C43</f>
        <v>0</v>
      </c>
      <c r="C43" s="34" t="str">
        <f>IFERROR(IF('Pré Implantação'!B43="Produção TI",AVERAGE('Pós Implantação'!D43,'Pós Implantação'!E43,'Pós Implantação'!L43,'Pós Implantação'!H43),AVERAGE('Pré Implantação'!E43,'Pré Implantação'!H43)),"")</f>
        <v/>
      </c>
      <c r="D43" s="34" t="str">
        <f>IFERROR(IF('Pós Implantação'!B43="CSC Service Desk",AVERAGE('Pós Implantação'!D43,'Pós Implantação'!L43,'Pós Implantação'!F43),AVERAGE('Pós Implantação'!F43)),"")</f>
        <v/>
      </c>
      <c r="E43" s="34" t="str">
        <f>IFERROR(IF('Pós Implantação'!B43="CSC NOC",AVERAGE('Pós Implantação'!D43,'Pós Implantação'!L43,'Pós Implantação'!G43),AVERAGE('Pós Implantação'!G43)),"")</f>
        <v/>
      </c>
      <c r="F43" s="34" t="str">
        <f>IFERROR(IF('Pós Implantação'!B43="CSE Gravadores",AVERAGE('Pós Implantação'!D43,'Pós Implantação'!L43,'Pós Implantação'!I43),AVERAGE('Pós Implantação'!I43)),"")</f>
        <v/>
      </c>
      <c r="G43" s="34" t="str">
        <f>IFERROR(IF('Pós Implantação'!B43="CSC",AVERAGE('Pós Implantação'!D43,'Pós Implantação'!L43,'Pós Implantação'!J43),AVERAGE('Pós Implantação'!J43)),"")</f>
        <v/>
      </c>
      <c r="H43" s="34" t="str">
        <f>IFERROR(IF('Pós Implantação'!B43="Operações \ Negócio",AVERAGE('Pós Implantação'!D43,'Pós Implantação'!L43,'Pós Implantação'!K43),AVERAGE('Pós Implantação'!K43)),"")</f>
        <v/>
      </c>
      <c r="I43" s="34" t="str">
        <f>IFERROR(IF('Pós Implantação'!B43="Projetos",AVERAGE('Pós Implantação'!D43,'Pós Implantação'!L43,'Pós Implantação'!M43),AVERAGE('Pós Implantação'!M43)),"")</f>
        <v/>
      </c>
      <c r="J43" s="34" t="str">
        <f>IFERROR(IF('Pós Implantação'!B43="Engenharia",AVERAGE('Pós Implantação'!D43,'Pós Implantação'!L43,'Pós Implantação'!N43),AVERAGE('Pós Implantação'!N43)),"")</f>
        <v/>
      </c>
      <c r="K43" s="34" t="str">
        <f>IFERROR(IF('Pós Implantação'!B43="URA",AVERAGE('Pós Implantação'!D43,'Pós Implantação'!L43),""),"")</f>
        <v/>
      </c>
      <c r="L43" s="34" t="str">
        <f>IFERROR(IF('Pós Implantação'!B43="CSE Microsoft",AVERAGE('Pós Implantação'!D43,'Pós Implantação'!L43),""),"")</f>
        <v/>
      </c>
      <c r="M43" s="34" t="str">
        <f>IFERROR(IF('Pós Implantação'!B43="CSE Telecom",AVERAGE('Pós Implantação'!D43,'Pós Implantação'!L43),""),"")</f>
        <v/>
      </c>
      <c r="N43" s="34" t="str">
        <f>IFERROR(IF('Pós Implantação'!B43="Site Suporte de Campo",AVERAGE('Pós Implantação'!D43,'Pós Implantação'!L43),""),"")</f>
        <v/>
      </c>
      <c r="O43" s="49" t="str">
        <f>IFERROR(IF('Pós Implantação'!B43="Infraestrutura",AVERAGE('Pós Implantação'!D43,'Pós Implantação'!L43),""),"")</f>
        <v/>
      </c>
    </row>
    <row r="44" spans="1:15" x14ac:dyDescent="0.3">
      <c r="A44" s="33">
        <f>'Pré Implantação'!A44</f>
        <v>0</v>
      </c>
      <c r="B44" s="36" t="str">
        <f>'Pós Implantação'!C44</f>
        <v>0</v>
      </c>
      <c r="C44" s="34" t="str">
        <f>IFERROR(IF('Pré Implantação'!B44="Produção TI",AVERAGE('Pós Implantação'!D44,'Pós Implantação'!E44,'Pós Implantação'!L44,'Pós Implantação'!H44),AVERAGE('Pré Implantação'!E44,'Pré Implantação'!H44)),"")</f>
        <v/>
      </c>
      <c r="D44" s="34" t="str">
        <f>IFERROR(IF('Pós Implantação'!B44="CSC Service Desk",AVERAGE('Pós Implantação'!D44,'Pós Implantação'!L44,'Pós Implantação'!F44),AVERAGE('Pós Implantação'!F44)),"")</f>
        <v/>
      </c>
      <c r="E44" s="34" t="str">
        <f>IFERROR(IF('Pós Implantação'!B44="CSC NOC",AVERAGE('Pós Implantação'!D44,'Pós Implantação'!L44,'Pós Implantação'!G44),AVERAGE('Pós Implantação'!G44)),"")</f>
        <v/>
      </c>
      <c r="F44" s="34" t="str">
        <f>IFERROR(IF('Pós Implantação'!B44="CSE Gravadores",AVERAGE('Pós Implantação'!D44,'Pós Implantação'!L44,'Pós Implantação'!I44),AVERAGE('Pós Implantação'!I44)),"")</f>
        <v/>
      </c>
      <c r="G44" s="34" t="str">
        <f>IFERROR(IF('Pós Implantação'!B44="CSC",AVERAGE('Pós Implantação'!D44,'Pós Implantação'!L44,'Pós Implantação'!J44),AVERAGE('Pós Implantação'!J44)),"")</f>
        <v/>
      </c>
      <c r="H44" s="34" t="str">
        <f>IFERROR(IF('Pós Implantação'!B44="Operações \ Negócio",AVERAGE('Pós Implantação'!D44,'Pós Implantação'!L44,'Pós Implantação'!K44),AVERAGE('Pós Implantação'!K44)),"")</f>
        <v/>
      </c>
      <c r="I44" s="34" t="str">
        <f>IFERROR(IF('Pós Implantação'!B44="Projetos",AVERAGE('Pós Implantação'!D44,'Pós Implantação'!L44,'Pós Implantação'!M44),AVERAGE('Pós Implantação'!M44)),"")</f>
        <v/>
      </c>
      <c r="J44" s="34" t="str">
        <f>IFERROR(IF('Pós Implantação'!B44="Engenharia",AVERAGE('Pós Implantação'!D44,'Pós Implantação'!L44,'Pós Implantação'!N44),AVERAGE('Pós Implantação'!N44)),"")</f>
        <v/>
      </c>
      <c r="K44" s="34" t="str">
        <f>IFERROR(IF('Pós Implantação'!B44="URA",AVERAGE('Pós Implantação'!D44,'Pós Implantação'!L44),""),"")</f>
        <v/>
      </c>
      <c r="L44" s="34" t="str">
        <f>IFERROR(IF('Pós Implantação'!B44="CSE Microsoft",AVERAGE('Pós Implantação'!D44,'Pós Implantação'!L44),""),"")</f>
        <v/>
      </c>
      <c r="M44" s="34" t="str">
        <f>IFERROR(IF('Pós Implantação'!B44="CSE Telecom",AVERAGE('Pós Implantação'!D44,'Pós Implantação'!L44),""),"")</f>
        <v/>
      </c>
      <c r="N44" s="34" t="str">
        <f>IFERROR(IF('Pós Implantação'!B44="Site Suporte de Campo",AVERAGE('Pós Implantação'!D44,'Pós Implantação'!L44),""),"")</f>
        <v/>
      </c>
      <c r="O44" s="49" t="str">
        <f>IFERROR(IF('Pós Implantação'!B44="Infraestrutura",AVERAGE('Pós Implantação'!D44,'Pós Implantação'!L44),""),"")</f>
        <v/>
      </c>
    </row>
    <row r="45" spans="1:15" x14ac:dyDescent="0.3">
      <c r="A45" s="33">
        <f>'Pré Implantação'!A45</f>
        <v>0</v>
      </c>
      <c r="B45" s="36" t="str">
        <f>'Pós Implantação'!C45</f>
        <v>0</v>
      </c>
      <c r="C45" s="34" t="str">
        <f>IFERROR(IF('Pré Implantação'!B45="Produção TI",AVERAGE('Pós Implantação'!D45,'Pós Implantação'!E45,'Pós Implantação'!L45,'Pós Implantação'!H45),AVERAGE('Pré Implantação'!E45,'Pré Implantação'!H45)),"")</f>
        <v/>
      </c>
      <c r="D45" s="34" t="str">
        <f>IFERROR(IF('Pós Implantação'!B45="CSC Service Desk",AVERAGE('Pós Implantação'!D45,'Pós Implantação'!L45,'Pós Implantação'!F45),AVERAGE('Pós Implantação'!F45)),"")</f>
        <v/>
      </c>
      <c r="E45" s="34" t="str">
        <f>IFERROR(IF('Pós Implantação'!B45="CSC NOC",AVERAGE('Pós Implantação'!D45,'Pós Implantação'!L45,'Pós Implantação'!G45),AVERAGE('Pós Implantação'!G45)),"")</f>
        <v/>
      </c>
      <c r="F45" s="34" t="str">
        <f>IFERROR(IF('Pós Implantação'!B45="CSE Gravadores",AVERAGE('Pós Implantação'!D45,'Pós Implantação'!L45,'Pós Implantação'!I45),AVERAGE('Pós Implantação'!I45)),"")</f>
        <v/>
      </c>
      <c r="G45" s="34" t="str">
        <f>IFERROR(IF('Pós Implantação'!B45="CSC",AVERAGE('Pós Implantação'!D45,'Pós Implantação'!L45,'Pós Implantação'!J45),AVERAGE('Pós Implantação'!J45)),"")</f>
        <v/>
      </c>
      <c r="H45" s="34" t="str">
        <f>IFERROR(IF('Pós Implantação'!B45="Operações \ Negócio",AVERAGE('Pós Implantação'!D45,'Pós Implantação'!L45,'Pós Implantação'!K45),AVERAGE('Pós Implantação'!K45)),"")</f>
        <v/>
      </c>
      <c r="I45" s="34" t="str">
        <f>IFERROR(IF('Pós Implantação'!B45="Projetos",AVERAGE('Pós Implantação'!D45,'Pós Implantação'!L45,'Pós Implantação'!M45),AVERAGE('Pós Implantação'!M45)),"")</f>
        <v/>
      </c>
      <c r="J45" s="34" t="str">
        <f>IFERROR(IF('Pós Implantação'!B45="Engenharia",AVERAGE('Pós Implantação'!D45,'Pós Implantação'!L45,'Pós Implantação'!N45),AVERAGE('Pós Implantação'!N45)),"")</f>
        <v/>
      </c>
      <c r="K45" s="34" t="str">
        <f>IFERROR(IF('Pós Implantação'!B45="URA",AVERAGE('Pós Implantação'!D45,'Pós Implantação'!L45),""),"")</f>
        <v/>
      </c>
      <c r="L45" s="34" t="str">
        <f>IFERROR(IF('Pós Implantação'!B45="CSE Microsoft",AVERAGE('Pós Implantação'!D45,'Pós Implantação'!L45),""),"")</f>
        <v/>
      </c>
      <c r="M45" s="34" t="str">
        <f>IFERROR(IF('Pós Implantação'!B45="CSE Telecom",AVERAGE('Pós Implantação'!D45,'Pós Implantação'!L45),""),"")</f>
        <v/>
      </c>
      <c r="N45" s="34" t="str">
        <f>IFERROR(IF('Pós Implantação'!B45="Site Suporte de Campo",AVERAGE('Pós Implantação'!D45,'Pós Implantação'!L45),""),"")</f>
        <v/>
      </c>
      <c r="O45" s="49" t="str">
        <f>IFERROR(IF('Pós Implantação'!B45="Infraestrutura",AVERAGE('Pós Implantação'!D45,'Pós Implantação'!L45),""),"")</f>
        <v/>
      </c>
    </row>
    <row r="46" spans="1:15" x14ac:dyDescent="0.3">
      <c r="A46" s="33">
        <f>'Pré Implantação'!A46</f>
        <v>0</v>
      </c>
      <c r="B46" s="36" t="str">
        <f>'Pós Implantação'!C46</f>
        <v>0</v>
      </c>
      <c r="C46" s="34" t="str">
        <f>IFERROR(IF('Pré Implantação'!B46="Produção TI",AVERAGE('Pós Implantação'!D46,'Pós Implantação'!E46,'Pós Implantação'!L46,'Pós Implantação'!H46),AVERAGE('Pré Implantação'!E46,'Pré Implantação'!H46)),"")</f>
        <v/>
      </c>
      <c r="D46" s="34" t="str">
        <f>IFERROR(IF('Pós Implantação'!B46="CSC Service Desk",AVERAGE('Pós Implantação'!D46,'Pós Implantação'!L46,'Pós Implantação'!F46),AVERAGE('Pós Implantação'!F46)),"")</f>
        <v/>
      </c>
      <c r="E46" s="34" t="str">
        <f>IFERROR(IF('Pós Implantação'!B46="CSC NOC",AVERAGE('Pós Implantação'!D46,'Pós Implantação'!L46,'Pós Implantação'!G46),AVERAGE('Pós Implantação'!G46)),"")</f>
        <v/>
      </c>
      <c r="F46" s="34" t="str">
        <f>IFERROR(IF('Pós Implantação'!B46="CSE Gravadores",AVERAGE('Pós Implantação'!D46,'Pós Implantação'!L46,'Pós Implantação'!I46),AVERAGE('Pós Implantação'!I46)),"")</f>
        <v/>
      </c>
      <c r="G46" s="34" t="str">
        <f>IFERROR(IF('Pós Implantação'!B46="CSC",AVERAGE('Pós Implantação'!D46,'Pós Implantação'!L46,'Pós Implantação'!J46),AVERAGE('Pós Implantação'!J46)),"")</f>
        <v/>
      </c>
      <c r="H46" s="34" t="str">
        <f>IFERROR(IF('Pós Implantação'!B46="Operações \ Negócio",AVERAGE('Pós Implantação'!D46,'Pós Implantação'!L46,'Pós Implantação'!K46),AVERAGE('Pós Implantação'!K46)),"")</f>
        <v/>
      </c>
      <c r="I46" s="34" t="str">
        <f>IFERROR(IF('Pós Implantação'!B46="Projetos",AVERAGE('Pós Implantação'!D46,'Pós Implantação'!L46,'Pós Implantação'!M46),AVERAGE('Pós Implantação'!M46)),"")</f>
        <v/>
      </c>
      <c r="J46" s="34" t="str">
        <f>IFERROR(IF('Pós Implantação'!B46="Engenharia",AVERAGE('Pós Implantação'!D46,'Pós Implantação'!L46,'Pós Implantação'!N46),AVERAGE('Pós Implantação'!N46)),"")</f>
        <v/>
      </c>
      <c r="K46" s="34" t="str">
        <f>IFERROR(IF('Pós Implantação'!B46="URA",AVERAGE('Pós Implantação'!D46,'Pós Implantação'!L46),""),"")</f>
        <v/>
      </c>
      <c r="L46" s="34" t="str">
        <f>IFERROR(IF('Pós Implantação'!B46="CSE Microsoft",AVERAGE('Pós Implantação'!D46,'Pós Implantação'!L46),""),"")</f>
        <v/>
      </c>
      <c r="M46" s="34" t="str">
        <f>IFERROR(IF('Pós Implantação'!B46="CSE Telecom",AVERAGE('Pós Implantação'!D46,'Pós Implantação'!L46),""),"")</f>
        <v/>
      </c>
      <c r="N46" s="34" t="str">
        <f>IFERROR(IF('Pós Implantação'!B46="Site Suporte de Campo",AVERAGE('Pós Implantação'!D46,'Pós Implantação'!L46),""),"")</f>
        <v/>
      </c>
      <c r="O46" s="49" t="str">
        <f>IFERROR(IF('Pós Implantação'!B46="Infraestrutura",AVERAGE('Pós Implantação'!D46,'Pós Implantação'!L46),""),"")</f>
        <v/>
      </c>
    </row>
    <row r="47" spans="1:15" x14ac:dyDescent="0.3">
      <c r="A47" s="33">
        <f>'Pré Implantação'!A47</f>
        <v>0</v>
      </c>
      <c r="B47" s="36" t="str">
        <f>'Pós Implantação'!C47</f>
        <v>0</v>
      </c>
      <c r="C47" s="34" t="str">
        <f>IFERROR(IF('Pré Implantação'!B47="Produção TI",AVERAGE('Pós Implantação'!D47,'Pós Implantação'!E47,'Pós Implantação'!L47,'Pós Implantação'!H47),AVERAGE('Pré Implantação'!E47,'Pré Implantação'!H47)),"")</f>
        <v/>
      </c>
      <c r="D47" s="34" t="str">
        <f>IFERROR(IF('Pós Implantação'!B47="CSC Service Desk",AVERAGE('Pós Implantação'!D47,'Pós Implantação'!L47,'Pós Implantação'!F47),AVERAGE('Pós Implantação'!F47)),"")</f>
        <v/>
      </c>
      <c r="E47" s="34" t="str">
        <f>IFERROR(IF('Pós Implantação'!B47="CSC NOC",AVERAGE('Pós Implantação'!D47,'Pós Implantação'!L47,'Pós Implantação'!G47),AVERAGE('Pós Implantação'!G47)),"")</f>
        <v/>
      </c>
      <c r="F47" s="34" t="str">
        <f>IFERROR(IF('Pós Implantação'!B47="CSE Gravadores",AVERAGE('Pós Implantação'!D47,'Pós Implantação'!L47,'Pós Implantação'!I47),AVERAGE('Pós Implantação'!I47)),"")</f>
        <v/>
      </c>
      <c r="G47" s="34" t="str">
        <f>IFERROR(IF('Pós Implantação'!B47="CSC",AVERAGE('Pós Implantação'!D47,'Pós Implantação'!L47,'Pós Implantação'!J47),AVERAGE('Pós Implantação'!J47)),"")</f>
        <v/>
      </c>
      <c r="H47" s="34" t="str">
        <f>IFERROR(IF('Pós Implantação'!B47="Operações \ Negócio",AVERAGE('Pós Implantação'!D47,'Pós Implantação'!L47,'Pós Implantação'!K47),AVERAGE('Pós Implantação'!K47)),"")</f>
        <v/>
      </c>
      <c r="I47" s="34" t="str">
        <f>IFERROR(IF('Pós Implantação'!B47="Projetos",AVERAGE('Pós Implantação'!D47,'Pós Implantação'!L47,'Pós Implantação'!M47),AVERAGE('Pós Implantação'!M47)),"")</f>
        <v/>
      </c>
      <c r="J47" s="34" t="str">
        <f>IFERROR(IF('Pós Implantação'!B47="Engenharia",AVERAGE('Pós Implantação'!D47,'Pós Implantação'!L47,'Pós Implantação'!N47),AVERAGE('Pós Implantação'!N47)),"")</f>
        <v/>
      </c>
      <c r="K47" s="34" t="str">
        <f>IFERROR(IF('Pós Implantação'!B47="URA",AVERAGE('Pós Implantação'!D47,'Pós Implantação'!L47),""),"")</f>
        <v/>
      </c>
      <c r="L47" s="34" t="str">
        <f>IFERROR(IF('Pós Implantação'!B47="CSE Microsoft",AVERAGE('Pós Implantação'!D47,'Pós Implantação'!L47),""),"")</f>
        <v/>
      </c>
      <c r="M47" s="34" t="str">
        <f>IFERROR(IF('Pós Implantação'!B47="CSE Telecom",AVERAGE('Pós Implantação'!D47,'Pós Implantação'!L47),""),"")</f>
        <v/>
      </c>
      <c r="N47" s="34" t="str">
        <f>IFERROR(IF('Pós Implantação'!B47="Site Suporte de Campo",AVERAGE('Pós Implantação'!D47,'Pós Implantação'!L47),""),"")</f>
        <v/>
      </c>
      <c r="O47" s="49" t="str">
        <f>IFERROR(IF('Pós Implantação'!B47="Infraestrutura",AVERAGE('Pós Implantação'!D47,'Pós Implantação'!L47),""),"")</f>
        <v/>
      </c>
    </row>
    <row r="48" spans="1:15" x14ac:dyDescent="0.3">
      <c r="A48" s="33">
        <f>'Pré Implantação'!A48</f>
        <v>0</v>
      </c>
      <c r="B48" s="36" t="str">
        <f>'Pós Implantação'!C48</f>
        <v>0</v>
      </c>
      <c r="C48" s="34" t="str">
        <f>IFERROR(IF('Pré Implantação'!B48="Produção TI",AVERAGE('Pós Implantação'!D48,'Pós Implantação'!E48,'Pós Implantação'!L48,'Pós Implantação'!H48),AVERAGE('Pré Implantação'!E48,'Pré Implantação'!H48)),"")</f>
        <v/>
      </c>
      <c r="D48" s="34" t="str">
        <f>IFERROR(IF('Pós Implantação'!B48="CSC Service Desk",AVERAGE('Pós Implantação'!D48,'Pós Implantação'!L48,'Pós Implantação'!F48),AVERAGE('Pós Implantação'!F48)),"")</f>
        <v/>
      </c>
      <c r="E48" s="34" t="str">
        <f>IFERROR(IF('Pós Implantação'!B48="CSC NOC",AVERAGE('Pós Implantação'!D48,'Pós Implantação'!L48,'Pós Implantação'!G48),AVERAGE('Pós Implantação'!G48)),"")</f>
        <v/>
      </c>
      <c r="F48" s="34" t="str">
        <f>IFERROR(IF('Pós Implantação'!B48="CSE Gravadores",AVERAGE('Pós Implantação'!D48,'Pós Implantação'!L48,'Pós Implantação'!I48),AVERAGE('Pós Implantação'!I48)),"")</f>
        <v/>
      </c>
      <c r="G48" s="34" t="str">
        <f>IFERROR(IF('Pós Implantação'!B48="CSC",AVERAGE('Pós Implantação'!D48,'Pós Implantação'!L48,'Pós Implantação'!J48),AVERAGE('Pós Implantação'!J48)),"")</f>
        <v/>
      </c>
      <c r="H48" s="34" t="str">
        <f>IFERROR(IF('Pós Implantação'!B48="Operações \ Negócio",AVERAGE('Pós Implantação'!D48,'Pós Implantação'!L48,'Pós Implantação'!K48),AVERAGE('Pós Implantação'!K48)),"")</f>
        <v/>
      </c>
      <c r="I48" s="34" t="str">
        <f>IFERROR(IF('Pós Implantação'!B48="Projetos",AVERAGE('Pós Implantação'!D48,'Pós Implantação'!L48,'Pós Implantação'!M48),AVERAGE('Pós Implantação'!M48)),"")</f>
        <v/>
      </c>
      <c r="J48" s="34" t="str">
        <f>IFERROR(IF('Pós Implantação'!B48="Engenharia",AVERAGE('Pós Implantação'!D48,'Pós Implantação'!L48,'Pós Implantação'!N48),AVERAGE('Pós Implantação'!N48)),"")</f>
        <v/>
      </c>
      <c r="K48" s="34" t="str">
        <f>IFERROR(IF('Pós Implantação'!B48="URA",AVERAGE('Pós Implantação'!D48,'Pós Implantação'!L48),""),"")</f>
        <v/>
      </c>
      <c r="L48" s="34" t="str">
        <f>IFERROR(IF('Pós Implantação'!B48="CSE Microsoft",AVERAGE('Pós Implantação'!D48,'Pós Implantação'!L48),""),"")</f>
        <v/>
      </c>
      <c r="M48" s="34" t="str">
        <f>IFERROR(IF('Pós Implantação'!B48="CSE Telecom",AVERAGE('Pós Implantação'!D48,'Pós Implantação'!L48),""),"")</f>
        <v/>
      </c>
      <c r="N48" s="34" t="str">
        <f>IFERROR(IF('Pós Implantação'!B48="Site Suporte de Campo",AVERAGE('Pós Implantação'!D48,'Pós Implantação'!L48),""),"")</f>
        <v/>
      </c>
      <c r="O48" s="49" t="str">
        <f>IFERROR(IF('Pós Implantação'!B48="Infraestrutura",AVERAGE('Pós Implantação'!D48,'Pós Implantação'!L48),""),"")</f>
        <v/>
      </c>
    </row>
    <row r="49" spans="1:15" x14ac:dyDescent="0.3">
      <c r="A49" s="33">
        <f>'Pré Implantação'!A49</f>
        <v>0</v>
      </c>
      <c r="B49" s="36" t="str">
        <f>'Pós Implantação'!C49</f>
        <v>0</v>
      </c>
      <c r="C49" s="34" t="str">
        <f>IFERROR(IF('Pré Implantação'!B49="Produção TI",AVERAGE('Pós Implantação'!D49,'Pós Implantação'!E49,'Pós Implantação'!L49,'Pós Implantação'!H49),AVERAGE('Pré Implantação'!E49,'Pré Implantação'!H49)),"")</f>
        <v/>
      </c>
      <c r="D49" s="34" t="str">
        <f>IFERROR(IF('Pós Implantação'!B49="CSC Service Desk",AVERAGE('Pós Implantação'!D49,'Pós Implantação'!L49,'Pós Implantação'!F49),AVERAGE('Pós Implantação'!F49)),"")</f>
        <v/>
      </c>
      <c r="E49" s="34" t="str">
        <f>IFERROR(IF('Pós Implantação'!B49="CSC NOC",AVERAGE('Pós Implantação'!D49,'Pós Implantação'!L49,'Pós Implantação'!G49),AVERAGE('Pós Implantação'!G49)),"")</f>
        <v/>
      </c>
      <c r="F49" s="34" t="str">
        <f>IFERROR(IF('Pós Implantação'!B49="CSE Gravadores",AVERAGE('Pós Implantação'!D49,'Pós Implantação'!L49,'Pós Implantação'!I49),AVERAGE('Pós Implantação'!I49)),"")</f>
        <v/>
      </c>
      <c r="G49" s="34" t="str">
        <f>IFERROR(IF('Pós Implantação'!B49="CSC",AVERAGE('Pós Implantação'!D49,'Pós Implantação'!L49,'Pós Implantação'!J49),AVERAGE('Pós Implantação'!J49)),"")</f>
        <v/>
      </c>
      <c r="H49" s="34" t="str">
        <f>IFERROR(IF('Pós Implantação'!B49="Operações \ Negócio",AVERAGE('Pós Implantação'!D49,'Pós Implantação'!L49,'Pós Implantação'!K49),AVERAGE('Pós Implantação'!K49)),"")</f>
        <v/>
      </c>
      <c r="I49" s="34" t="str">
        <f>IFERROR(IF('Pós Implantação'!B49="Projetos",AVERAGE('Pós Implantação'!D49,'Pós Implantação'!L49,'Pós Implantação'!M49),AVERAGE('Pós Implantação'!M49)),"")</f>
        <v/>
      </c>
      <c r="J49" s="34" t="str">
        <f>IFERROR(IF('Pós Implantação'!B49="Engenharia",AVERAGE('Pós Implantação'!D49,'Pós Implantação'!L49,'Pós Implantação'!N49),AVERAGE('Pós Implantação'!N49)),"")</f>
        <v/>
      </c>
      <c r="K49" s="34" t="str">
        <f>IFERROR(IF('Pós Implantação'!B49="URA",AVERAGE('Pós Implantação'!D49,'Pós Implantação'!L49),""),"")</f>
        <v/>
      </c>
      <c r="L49" s="34" t="str">
        <f>IFERROR(IF('Pós Implantação'!B49="CSE Microsoft",AVERAGE('Pós Implantação'!D49,'Pós Implantação'!L49),""),"")</f>
        <v/>
      </c>
      <c r="M49" s="34" t="str">
        <f>IFERROR(IF('Pós Implantação'!B49="CSE Telecom",AVERAGE('Pós Implantação'!D49,'Pós Implantação'!L49),""),"")</f>
        <v/>
      </c>
      <c r="N49" s="34" t="str">
        <f>IFERROR(IF('Pós Implantação'!B49="Site Suporte de Campo",AVERAGE('Pós Implantação'!D49,'Pós Implantação'!L49),""),"")</f>
        <v/>
      </c>
      <c r="O49" s="49" t="str">
        <f>IFERROR(IF('Pós Implantação'!B49="Infraestrutura",AVERAGE('Pós Implantação'!D49,'Pós Implantação'!L49),""),"")</f>
        <v/>
      </c>
    </row>
    <row r="50" spans="1:15" x14ac:dyDescent="0.3">
      <c r="A50" s="33">
        <f>'Pré Implantação'!A50</f>
        <v>0</v>
      </c>
      <c r="B50" s="36" t="str">
        <f>'Pós Implantação'!C50</f>
        <v>0</v>
      </c>
      <c r="C50" s="34" t="str">
        <f>IFERROR(IF('Pré Implantação'!B50="Produção TI",AVERAGE('Pós Implantação'!D50,'Pós Implantação'!E50,'Pós Implantação'!L50,'Pós Implantação'!H50),AVERAGE('Pré Implantação'!E50,'Pré Implantação'!H50)),"")</f>
        <v/>
      </c>
      <c r="D50" s="34" t="str">
        <f>IFERROR(IF('Pós Implantação'!B50="CSC Service Desk",AVERAGE('Pós Implantação'!D50,'Pós Implantação'!L50,'Pós Implantação'!F50),AVERAGE('Pós Implantação'!F50)),"")</f>
        <v/>
      </c>
      <c r="E50" s="34" t="str">
        <f>IFERROR(IF('Pós Implantação'!B50="CSC NOC",AVERAGE('Pós Implantação'!D50,'Pós Implantação'!L50,'Pós Implantação'!G50),AVERAGE('Pós Implantação'!G50)),"")</f>
        <v/>
      </c>
      <c r="F50" s="34" t="str">
        <f>IFERROR(IF('Pós Implantação'!B50="CSE Gravadores",AVERAGE('Pós Implantação'!D50,'Pós Implantação'!L50,'Pós Implantação'!I50),AVERAGE('Pós Implantação'!I50)),"")</f>
        <v/>
      </c>
      <c r="G50" s="34" t="str">
        <f>IFERROR(IF('Pós Implantação'!B50="CSC",AVERAGE('Pós Implantação'!D50,'Pós Implantação'!L50,'Pós Implantação'!J50),AVERAGE('Pós Implantação'!J50)),"")</f>
        <v/>
      </c>
      <c r="H50" s="34" t="str">
        <f>IFERROR(IF('Pós Implantação'!B50="Operações \ Negócio",AVERAGE('Pós Implantação'!D50,'Pós Implantação'!L50,'Pós Implantação'!K50),AVERAGE('Pós Implantação'!K50)),"")</f>
        <v/>
      </c>
      <c r="I50" s="34" t="str">
        <f>IFERROR(IF('Pós Implantação'!B50="Projetos",AVERAGE('Pós Implantação'!D50,'Pós Implantação'!L50,'Pós Implantação'!M50),AVERAGE('Pós Implantação'!M50)),"")</f>
        <v/>
      </c>
      <c r="J50" s="34" t="str">
        <f>IFERROR(IF('Pós Implantação'!B50="Engenharia",AVERAGE('Pós Implantação'!D50,'Pós Implantação'!L50,'Pós Implantação'!N50),AVERAGE('Pós Implantação'!N50)),"")</f>
        <v/>
      </c>
      <c r="K50" s="34" t="str">
        <f>IFERROR(IF('Pós Implantação'!B50="URA",AVERAGE('Pós Implantação'!D50,'Pós Implantação'!L50),""),"")</f>
        <v/>
      </c>
      <c r="L50" s="34" t="str">
        <f>IFERROR(IF('Pós Implantação'!B50="CSE Microsoft",AVERAGE('Pós Implantação'!D50,'Pós Implantação'!L50),""),"")</f>
        <v/>
      </c>
      <c r="M50" s="34" t="str">
        <f>IFERROR(IF('Pós Implantação'!B50="CSE Telecom",AVERAGE('Pós Implantação'!D50,'Pós Implantação'!L50),""),"")</f>
        <v/>
      </c>
      <c r="N50" s="34" t="str">
        <f>IFERROR(IF('Pós Implantação'!B50="Site Suporte de Campo",AVERAGE('Pós Implantação'!D50,'Pós Implantação'!L50),""),"")</f>
        <v/>
      </c>
      <c r="O50" s="49" t="str">
        <f>IFERROR(IF('Pós Implantação'!B50="Infraestrutura",AVERAGE('Pós Implantação'!D50,'Pós Implantação'!L50),""),"")</f>
        <v/>
      </c>
    </row>
    <row r="51" spans="1:15" x14ac:dyDescent="0.3">
      <c r="A51" s="33">
        <f>'Pré Implantação'!A51</f>
        <v>0</v>
      </c>
      <c r="B51" s="36" t="str">
        <f>'Pós Implantação'!C51</f>
        <v>0</v>
      </c>
      <c r="C51" s="34" t="str">
        <f>IFERROR(IF('Pré Implantação'!B51="Produção TI",AVERAGE('Pós Implantação'!D51,'Pós Implantação'!E51,'Pós Implantação'!L51,'Pós Implantação'!H51),AVERAGE('Pré Implantação'!E51,'Pré Implantação'!H51)),"")</f>
        <v/>
      </c>
      <c r="D51" s="34" t="str">
        <f>IFERROR(IF('Pós Implantação'!B51="CSC Service Desk",AVERAGE('Pós Implantação'!D51,'Pós Implantação'!L51,'Pós Implantação'!F51),AVERAGE('Pós Implantação'!F51)),"")</f>
        <v/>
      </c>
      <c r="E51" s="34" t="str">
        <f>IFERROR(IF('Pós Implantação'!B51="CSC NOC",AVERAGE('Pós Implantação'!D51,'Pós Implantação'!L51,'Pós Implantação'!G51),AVERAGE('Pós Implantação'!G51)),"")</f>
        <v/>
      </c>
      <c r="F51" s="34" t="str">
        <f>IFERROR(IF('Pós Implantação'!B51="CSE Gravadores",AVERAGE('Pós Implantação'!D51,'Pós Implantação'!L51,'Pós Implantação'!I51),AVERAGE('Pós Implantação'!I51)),"")</f>
        <v/>
      </c>
      <c r="G51" s="34" t="str">
        <f>IFERROR(IF('Pós Implantação'!B51="CSC",AVERAGE('Pós Implantação'!D51,'Pós Implantação'!L51,'Pós Implantação'!J51),AVERAGE('Pós Implantação'!J51)),"")</f>
        <v/>
      </c>
      <c r="H51" s="34" t="str">
        <f>IFERROR(IF('Pós Implantação'!B51="Operações \ Negócio",AVERAGE('Pós Implantação'!D51,'Pós Implantação'!L51,'Pós Implantação'!K51),AVERAGE('Pós Implantação'!K51)),"")</f>
        <v/>
      </c>
      <c r="I51" s="34" t="str">
        <f>IFERROR(IF('Pós Implantação'!B51="Projetos",AVERAGE('Pós Implantação'!D51,'Pós Implantação'!L51,'Pós Implantação'!M51),AVERAGE('Pós Implantação'!M51)),"")</f>
        <v/>
      </c>
      <c r="J51" s="34" t="str">
        <f>IFERROR(IF('Pós Implantação'!B51="Engenharia",AVERAGE('Pós Implantação'!D51,'Pós Implantação'!L51,'Pós Implantação'!N51),AVERAGE('Pós Implantação'!N51)),"")</f>
        <v/>
      </c>
      <c r="K51" s="34" t="str">
        <f>IFERROR(IF('Pós Implantação'!B51="URA",AVERAGE('Pós Implantação'!D51,'Pós Implantação'!L51),""),"")</f>
        <v/>
      </c>
      <c r="L51" s="34" t="str">
        <f>IFERROR(IF('Pós Implantação'!B51="CSE Microsoft",AVERAGE('Pós Implantação'!D51,'Pós Implantação'!L51),""),"")</f>
        <v/>
      </c>
      <c r="M51" s="34" t="str">
        <f>IFERROR(IF('Pós Implantação'!B51="CSE Telecom",AVERAGE('Pós Implantação'!D51,'Pós Implantação'!L51),""),"")</f>
        <v/>
      </c>
      <c r="N51" s="34" t="str">
        <f>IFERROR(IF('Pós Implantação'!B51="Site Suporte de Campo",AVERAGE('Pós Implantação'!D51,'Pós Implantação'!L51),""),"")</f>
        <v/>
      </c>
      <c r="O51" s="49" t="str">
        <f>IFERROR(IF('Pós Implantação'!B51="Infraestrutura",AVERAGE('Pós Implantação'!D51,'Pós Implantação'!L51),""),"")</f>
        <v/>
      </c>
    </row>
    <row r="52" spans="1:15" x14ac:dyDescent="0.3">
      <c r="A52" s="33">
        <f>'Pré Implantação'!A52</f>
        <v>0</v>
      </c>
      <c r="B52" s="36" t="str">
        <f>'Pós Implantação'!C52</f>
        <v>0</v>
      </c>
      <c r="C52" s="34" t="str">
        <f>IFERROR(IF('Pré Implantação'!B52="Produção TI",AVERAGE('Pós Implantação'!D52,'Pós Implantação'!E52,'Pós Implantação'!L52,'Pós Implantação'!H52),AVERAGE('Pré Implantação'!E52,'Pré Implantação'!H52)),"")</f>
        <v/>
      </c>
      <c r="D52" s="34" t="str">
        <f>IFERROR(IF('Pós Implantação'!B52="CSC Service Desk",AVERAGE('Pós Implantação'!D52,'Pós Implantação'!L52,'Pós Implantação'!F52),AVERAGE('Pós Implantação'!F52)),"")</f>
        <v/>
      </c>
      <c r="E52" s="34" t="str">
        <f>IFERROR(IF('Pós Implantação'!B52="CSC NOC",AVERAGE('Pós Implantação'!D52,'Pós Implantação'!L52,'Pós Implantação'!G52),AVERAGE('Pós Implantação'!G52)),"")</f>
        <v/>
      </c>
      <c r="F52" s="34" t="str">
        <f>IFERROR(IF('Pós Implantação'!B52="CSE Gravadores",AVERAGE('Pós Implantação'!D52,'Pós Implantação'!L52,'Pós Implantação'!I52),AVERAGE('Pós Implantação'!I52)),"")</f>
        <v/>
      </c>
      <c r="G52" s="34" t="str">
        <f>IFERROR(IF('Pós Implantação'!B52="CSC",AVERAGE('Pós Implantação'!D52,'Pós Implantação'!L52,'Pós Implantação'!J52),AVERAGE('Pós Implantação'!J52)),"")</f>
        <v/>
      </c>
      <c r="H52" s="34" t="str">
        <f>IFERROR(IF('Pós Implantação'!B52="Operações \ Negócio",AVERAGE('Pós Implantação'!D52,'Pós Implantação'!L52,'Pós Implantação'!K52),AVERAGE('Pós Implantação'!K52)),"")</f>
        <v/>
      </c>
      <c r="I52" s="34" t="str">
        <f>IFERROR(IF('Pós Implantação'!B52="Projetos",AVERAGE('Pós Implantação'!D52,'Pós Implantação'!L52,'Pós Implantação'!M52),AVERAGE('Pós Implantação'!M52)),"")</f>
        <v/>
      </c>
      <c r="J52" s="34" t="str">
        <f>IFERROR(IF('Pós Implantação'!B52="Engenharia",AVERAGE('Pós Implantação'!D52,'Pós Implantação'!L52,'Pós Implantação'!N52),AVERAGE('Pós Implantação'!N52)),"")</f>
        <v/>
      </c>
      <c r="K52" s="34" t="str">
        <f>IFERROR(IF('Pós Implantação'!B52="URA",AVERAGE('Pós Implantação'!D52,'Pós Implantação'!L52),""),"")</f>
        <v/>
      </c>
      <c r="L52" s="34" t="str">
        <f>IFERROR(IF('Pós Implantação'!B52="CSE Microsoft",AVERAGE('Pós Implantação'!D52,'Pós Implantação'!L52),""),"")</f>
        <v/>
      </c>
      <c r="M52" s="34" t="str">
        <f>IFERROR(IF('Pós Implantação'!B52="CSE Telecom",AVERAGE('Pós Implantação'!D52,'Pós Implantação'!L52),""),"")</f>
        <v/>
      </c>
      <c r="N52" s="34" t="str">
        <f>IFERROR(IF('Pós Implantação'!B52="Site Suporte de Campo",AVERAGE('Pós Implantação'!D52,'Pós Implantação'!L52),""),"")</f>
        <v/>
      </c>
      <c r="O52" s="49" t="str">
        <f>IFERROR(IF('Pós Implantação'!B52="Infraestrutura",AVERAGE('Pós Implantação'!D52,'Pós Implantação'!L52),""),"")</f>
        <v/>
      </c>
    </row>
    <row r="53" spans="1:15" x14ac:dyDescent="0.3">
      <c r="A53" s="33">
        <f>'Pré Implantação'!A53</f>
        <v>0</v>
      </c>
      <c r="B53" s="36" t="str">
        <f>'Pós Implantação'!C53</f>
        <v>0</v>
      </c>
      <c r="C53" s="34" t="str">
        <f>IFERROR(IF('Pré Implantação'!B53="Produção TI",AVERAGE('Pós Implantação'!D53,'Pós Implantação'!E53,'Pós Implantação'!L53,'Pós Implantação'!H53),AVERAGE('Pré Implantação'!E53,'Pré Implantação'!H53)),"")</f>
        <v/>
      </c>
      <c r="D53" s="34" t="str">
        <f>IFERROR(IF('Pós Implantação'!B53="CSC Service Desk",AVERAGE('Pós Implantação'!D53,'Pós Implantação'!L53,'Pós Implantação'!F53),AVERAGE('Pós Implantação'!F53)),"")</f>
        <v/>
      </c>
      <c r="E53" s="34" t="str">
        <f>IFERROR(IF('Pós Implantação'!B53="CSC NOC",AVERAGE('Pós Implantação'!D53,'Pós Implantação'!L53,'Pós Implantação'!G53),AVERAGE('Pós Implantação'!G53)),"")</f>
        <v/>
      </c>
      <c r="F53" s="34" t="str">
        <f>IFERROR(IF('Pós Implantação'!B53="CSE Gravadores",AVERAGE('Pós Implantação'!D53,'Pós Implantação'!L53,'Pós Implantação'!I53),AVERAGE('Pós Implantação'!I53)),"")</f>
        <v/>
      </c>
      <c r="G53" s="34" t="str">
        <f>IFERROR(IF('Pós Implantação'!B53="CSC",AVERAGE('Pós Implantação'!D53,'Pós Implantação'!L53,'Pós Implantação'!J53),AVERAGE('Pós Implantação'!J53)),"")</f>
        <v/>
      </c>
      <c r="H53" s="34" t="str">
        <f>IFERROR(IF('Pós Implantação'!B53="Operações \ Negócio",AVERAGE('Pós Implantação'!D53,'Pós Implantação'!L53,'Pós Implantação'!K53),AVERAGE('Pós Implantação'!K53)),"")</f>
        <v/>
      </c>
      <c r="I53" s="34" t="str">
        <f>IFERROR(IF('Pós Implantação'!B53="Projetos",AVERAGE('Pós Implantação'!D53,'Pós Implantação'!L53,'Pós Implantação'!M53),AVERAGE('Pós Implantação'!M53)),"")</f>
        <v/>
      </c>
      <c r="J53" s="34" t="str">
        <f>IFERROR(IF('Pós Implantação'!B53="Engenharia",AVERAGE('Pós Implantação'!D53,'Pós Implantação'!L53,'Pós Implantação'!N53),AVERAGE('Pós Implantação'!N53)),"")</f>
        <v/>
      </c>
      <c r="K53" s="34" t="str">
        <f>IFERROR(IF('Pós Implantação'!B53="URA",AVERAGE('Pós Implantação'!D53,'Pós Implantação'!L53),""),"")</f>
        <v/>
      </c>
      <c r="L53" s="34" t="str">
        <f>IFERROR(IF('Pós Implantação'!B53="CSE Microsoft",AVERAGE('Pós Implantação'!D53,'Pós Implantação'!L53),""),"")</f>
        <v/>
      </c>
      <c r="M53" s="34" t="str">
        <f>IFERROR(IF('Pós Implantação'!B53="CSE Telecom",AVERAGE('Pós Implantação'!D53,'Pós Implantação'!L53),""),"")</f>
        <v/>
      </c>
      <c r="N53" s="34" t="str">
        <f>IFERROR(IF('Pós Implantação'!B53="Site Suporte de Campo",AVERAGE('Pós Implantação'!D53,'Pós Implantação'!L53),""),"")</f>
        <v/>
      </c>
      <c r="O53" s="49" t="str">
        <f>IFERROR(IF('Pós Implantação'!B53="Infraestrutura",AVERAGE('Pós Implantação'!D53,'Pós Implantação'!L53),""),"")</f>
        <v/>
      </c>
    </row>
    <row r="54" spans="1:15" x14ac:dyDescent="0.3">
      <c r="A54" s="33">
        <f>'Pré Implantação'!A54</f>
        <v>0</v>
      </c>
      <c r="B54" s="36" t="str">
        <f>'Pós Implantação'!C54</f>
        <v>0</v>
      </c>
      <c r="C54" s="34" t="str">
        <f>IFERROR(IF('Pré Implantação'!B54="Produção TI",AVERAGE('Pós Implantação'!D54,'Pós Implantação'!E54,'Pós Implantação'!L54,'Pós Implantação'!H54),AVERAGE('Pré Implantação'!E54,'Pré Implantação'!H54)),"")</f>
        <v/>
      </c>
      <c r="D54" s="34" t="str">
        <f>IFERROR(IF('Pós Implantação'!B54="CSC Service Desk",AVERAGE('Pós Implantação'!D54,'Pós Implantação'!L54,'Pós Implantação'!F54),AVERAGE('Pós Implantação'!F54)),"")</f>
        <v/>
      </c>
      <c r="E54" s="34" t="str">
        <f>IFERROR(IF('Pós Implantação'!B54="CSC NOC",AVERAGE('Pós Implantação'!D54,'Pós Implantação'!L54,'Pós Implantação'!G54),AVERAGE('Pós Implantação'!G54)),"")</f>
        <v/>
      </c>
      <c r="F54" s="34" t="str">
        <f>IFERROR(IF('Pós Implantação'!B54="CSE Gravadores",AVERAGE('Pós Implantação'!D54,'Pós Implantação'!L54,'Pós Implantação'!I54),AVERAGE('Pós Implantação'!I54)),"")</f>
        <v/>
      </c>
      <c r="G54" s="34" t="str">
        <f>IFERROR(IF('Pós Implantação'!B54="CSC",AVERAGE('Pós Implantação'!D54,'Pós Implantação'!L54,'Pós Implantação'!J54),AVERAGE('Pós Implantação'!J54)),"")</f>
        <v/>
      </c>
      <c r="H54" s="34" t="str">
        <f>IFERROR(IF('Pós Implantação'!B54="Operações \ Negócio",AVERAGE('Pós Implantação'!D54,'Pós Implantação'!L54,'Pós Implantação'!K54),AVERAGE('Pós Implantação'!K54)),"")</f>
        <v/>
      </c>
      <c r="I54" s="34" t="str">
        <f>IFERROR(IF('Pós Implantação'!B54="Projetos",AVERAGE('Pós Implantação'!D54,'Pós Implantação'!L54,'Pós Implantação'!M54),AVERAGE('Pós Implantação'!M54)),"")</f>
        <v/>
      </c>
      <c r="J54" s="34" t="str">
        <f>IFERROR(IF('Pós Implantação'!B54="Engenharia",AVERAGE('Pós Implantação'!D54,'Pós Implantação'!L54,'Pós Implantação'!N54),AVERAGE('Pós Implantação'!N54)),"")</f>
        <v/>
      </c>
      <c r="K54" s="34" t="str">
        <f>IFERROR(IF('Pós Implantação'!B54="URA",AVERAGE('Pós Implantação'!D54,'Pós Implantação'!L54),""),"")</f>
        <v/>
      </c>
      <c r="L54" s="34" t="str">
        <f>IFERROR(IF('Pós Implantação'!B54="CSE Microsoft",AVERAGE('Pós Implantação'!D54,'Pós Implantação'!L54),""),"")</f>
        <v/>
      </c>
      <c r="M54" s="34" t="str">
        <f>IFERROR(IF('Pós Implantação'!B54="CSE Telecom",AVERAGE('Pós Implantação'!D54,'Pós Implantação'!L54),""),"")</f>
        <v/>
      </c>
      <c r="N54" s="34" t="str">
        <f>IFERROR(IF('Pós Implantação'!B54="Site Suporte de Campo",AVERAGE('Pós Implantação'!D54,'Pós Implantação'!L54),""),"")</f>
        <v/>
      </c>
      <c r="O54" s="49" t="str">
        <f>IFERROR(IF('Pós Implantação'!B54="Infraestrutura",AVERAGE('Pós Implantação'!D54,'Pós Implantação'!L54),""),"")</f>
        <v/>
      </c>
    </row>
    <row r="55" spans="1:15" x14ac:dyDescent="0.3">
      <c r="A55" s="33">
        <f>'Pré Implantação'!A55</f>
        <v>0</v>
      </c>
      <c r="B55" s="36" t="str">
        <f>'Pós Implantação'!C55</f>
        <v>0</v>
      </c>
      <c r="C55" s="34" t="str">
        <f>IFERROR(IF('Pré Implantação'!B55="Produção TI",AVERAGE('Pós Implantação'!D55,'Pós Implantação'!E55,'Pós Implantação'!L55,'Pós Implantação'!H55),AVERAGE('Pré Implantação'!E55,'Pré Implantação'!H55)),"")</f>
        <v/>
      </c>
      <c r="D55" s="34" t="str">
        <f>IFERROR(IF('Pós Implantação'!B55="CSC Service Desk",AVERAGE('Pós Implantação'!D55,'Pós Implantação'!L55,'Pós Implantação'!F55),AVERAGE('Pós Implantação'!F55)),"")</f>
        <v/>
      </c>
      <c r="E55" s="34" t="str">
        <f>IFERROR(IF('Pós Implantação'!B55="CSC NOC",AVERAGE('Pós Implantação'!D55,'Pós Implantação'!L55,'Pós Implantação'!G55),AVERAGE('Pós Implantação'!G55)),"")</f>
        <v/>
      </c>
      <c r="F55" s="34" t="str">
        <f>IFERROR(IF('Pós Implantação'!B55="CSE Gravadores",AVERAGE('Pós Implantação'!D55,'Pós Implantação'!L55,'Pós Implantação'!I55),AVERAGE('Pós Implantação'!I55)),"")</f>
        <v/>
      </c>
      <c r="G55" s="34" t="str">
        <f>IFERROR(IF('Pós Implantação'!B55="CSC",AVERAGE('Pós Implantação'!D55,'Pós Implantação'!L55,'Pós Implantação'!J55),AVERAGE('Pós Implantação'!J55)),"")</f>
        <v/>
      </c>
      <c r="H55" s="34" t="str">
        <f>IFERROR(IF('Pós Implantação'!B55="Operações \ Negócio",AVERAGE('Pós Implantação'!D55,'Pós Implantação'!L55,'Pós Implantação'!K55),AVERAGE('Pós Implantação'!K55)),"")</f>
        <v/>
      </c>
      <c r="I55" s="34" t="str">
        <f>IFERROR(IF('Pós Implantação'!B55="Projetos",AVERAGE('Pós Implantação'!D55,'Pós Implantação'!L55,'Pós Implantação'!M55),AVERAGE('Pós Implantação'!M55)),"")</f>
        <v/>
      </c>
      <c r="J55" s="34" t="str">
        <f>IFERROR(IF('Pós Implantação'!B55="Engenharia",AVERAGE('Pós Implantação'!D55,'Pós Implantação'!L55,'Pós Implantação'!N55),AVERAGE('Pós Implantação'!N55)),"")</f>
        <v/>
      </c>
      <c r="K55" s="34" t="str">
        <f>IFERROR(IF('Pós Implantação'!B55="URA",AVERAGE('Pós Implantação'!D55,'Pós Implantação'!L55),""),"")</f>
        <v/>
      </c>
      <c r="L55" s="34" t="str">
        <f>IFERROR(IF('Pós Implantação'!B55="CSE Microsoft",AVERAGE('Pós Implantação'!D55,'Pós Implantação'!L55),""),"")</f>
        <v/>
      </c>
      <c r="M55" s="34" t="str">
        <f>IFERROR(IF('Pós Implantação'!B55="CSE Telecom",AVERAGE('Pós Implantação'!D55,'Pós Implantação'!L55),""),"")</f>
        <v/>
      </c>
      <c r="N55" s="34" t="str">
        <f>IFERROR(IF('Pós Implantação'!B55="Site Suporte de Campo",AVERAGE('Pós Implantação'!D55,'Pós Implantação'!L55),""),"")</f>
        <v/>
      </c>
      <c r="O55" s="49" t="str">
        <f>IFERROR(IF('Pós Implantação'!B55="Infraestrutura",AVERAGE('Pós Implantação'!D55,'Pós Implantação'!L55),""),"")</f>
        <v/>
      </c>
    </row>
    <row r="56" spans="1:15" x14ac:dyDescent="0.3">
      <c r="A56" s="33">
        <f>'Pré Implantação'!A56</f>
        <v>0</v>
      </c>
      <c r="B56" s="36" t="str">
        <f>'Pós Implantação'!C56</f>
        <v>0</v>
      </c>
      <c r="C56" s="34" t="str">
        <f>IFERROR(IF('Pré Implantação'!B56="Produção TI",AVERAGE('Pós Implantação'!D56,'Pós Implantação'!E56,'Pós Implantação'!L56,'Pós Implantação'!H56),AVERAGE('Pré Implantação'!E56,'Pré Implantação'!H56)),"")</f>
        <v/>
      </c>
      <c r="D56" s="34" t="str">
        <f>IFERROR(IF('Pós Implantação'!B56="CSC Service Desk",AVERAGE('Pós Implantação'!D56,'Pós Implantação'!L56,'Pós Implantação'!F56),AVERAGE('Pós Implantação'!F56)),"")</f>
        <v/>
      </c>
      <c r="E56" s="34" t="str">
        <f>IFERROR(IF('Pós Implantação'!B56="CSC NOC",AVERAGE('Pós Implantação'!D56,'Pós Implantação'!L56,'Pós Implantação'!G56),AVERAGE('Pós Implantação'!G56)),"")</f>
        <v/>
      </c>
      <c r="F56" s="34" t="str">
        <f>IFERROR(IF('Pós Implantação'!B56="CSE Gravadores",AVERAGE('Pós Implantação'!D56,'Pós Implantação'!L56,'Pós Implantação'!I56),AVERAGE('Pós Implantação'!I56)),"")</f>
        <v/>
      </c>
      <c r="G56" s="34" t="str">
        <f>IFERROR(IF('Pós Implantação'!B56="CSC",AVERAGE('Pós Implantação'!D56,'Pós Implantação'!L56,'Pós Implantação'!J56),AVERAGE('Pós Implantação'!J56)),"")</f>
        <v/>
      </c>
      <c r="H56" s="34" t="str">
        <f>IFERROR(IF('Pós Implantação'!B56="Operações \ Negócio",AVERAGE('Pós Implantação'!D56,'Pós Implantação'!L56,'Pós Implantação'!K56),AVERAGE('Pós Implantação'!K56)),"")</f>
        <v/>
      </c>
      <c r="I56" s="34" t="str">
        <f>IFERROR(IF('Pós Implantação'!B56="Projetos",AVERAGE('Pós Implantação'!D56,'Pós Implantação'!L56,'Pós Implantação'!M56),AVERAGE('Pós Implantação'!M56)),"")</f>
        <v/>
      </c>
      <c r="J56" s="34" t="str">
        <f>IFERROR(IF('Pós Implantação'!B56="Engenharia",AVERAGE('Pós Implantação'!D56,'Pós Implantação'!L56,'Pós Implantação'!N56),AVERAGE('Pós Implantação'!N56)),"")</f>
        <v/>
      </c>
      <c r="K56" s="34" t="str">
        <f>IFERROR(IF('Pós Implantação'!B56="URA",AVERAGE('Pós Implantação'!D56,'Pós Implantação'!L56),""),"")</f>
        <v/>
      </c>
      <c r="L56" s="34" t="str">
        <f>IFERROR(IF('Pós Implantação'!B56="CSE Microsoft",AVERAGE('Pós Implantação'!D56,'Pós Implantação'!L56),""),"")</f>
        <v/>
      </c>
      <c r="M56" s="34" t="str">
        <f>IFERROR(IF('Pós Implantação'!B56="CSE Telecom",AVERAGE('Pós Implantação'!D56,'Pós Implantação'!L56),""),"")</f>
        <v/>
      </c>
      <c r="N56" s="34" t="str">
        <f>IFERROR(IF('Pós Implantação'!B56="Site Suporte de Campo",AVERAGE('Pós Implantação'!D56,'Pós Implantação'!L56),""),"")</f>
        <v/>
      </c>
      <c r="O56" s="49" t="str">
        <f>IFERROR(IF('Pós Implantação'!B56="Infraestrutura",AVERAGE('Pós Implantação'!D56,'Pós Implantação'!L56),""),"")</f>
        <v/>
      </c>
    </row>
    <row r="57" spans="1:15" x14ac:dyDescent="0.3">
      <c r="A57" s="33">
        <f>'Pré Implantação'!A57</f>
        <v>0</v>
      </c>
      <c r="B57" s="36" t="str">
        <f>'Pós Implantação'!C57</f>
        <v>0</v>
      </c>
      <c r="C57" s="34" t="str">
        <f>IFERROR(IF('Pré Implantação'!B57="Produção TI",AVERAGE('Pós Implantação'!D57,'Pós Implantação'!E57,'Pós Implantação'!L57,'Pós Implantação'!H57),AVERAGE('Pré Implantação'!E57,'Pré Implantação'!H57)),"")</f>
        <v/>
      </c>
      <c r="D57" s="34" t="str">
        <f>IFERROR(IF('Pós Implantação'!B57="CSC Service Desk",AVERAGE('Pós Implantação'!D57,'Pós Implantação'!L57,'Pós Implantação'!F57),AVERAGE('Pós Implantação'!F57)),"")</f>
        <v/>
      </c>
      <c r="E57" s="34" t="str">
        <f>IFERROR(IF('Pós Implantação'!B57="CSC NOC",AVERAGE('Pós Implantação'!D57,'Pós Implantação'!L57,'Pós Implantação'!G57),AVERAGE('Pós Implantação'!G57)),"")</f>
        <v/>
      </c>
      <c r="F57" s="34" t="str">
        <f>IFERROR(IF('Pós Implantação'!B57="CSE Gravadores",AVERAGE('Pós Implantação'!D57,'Pós Implantação'!L57,'Pós Implantação'!I57),AVERAGE('Pós Implantação'!I57)),"")</f>
        <v/>
      </c>
      <c r="G57" s="34" t="str">
        <f>IFERROR(IF('Pós Implantação'!B57="CSC",AVERAGE('Pós Implantação'!D57,'Pós Implantação'!L57,'Pós Implantação'!J57),AVERAGE('Pós Implantação'!J57)),"")</f>
        <v/>
      </c>
      <c r="H57" s="34" t="str">
        <f>IFERROR(IF('Pós Implantação'!B57="Operações \ Negócio",AVERAGE('Pós Implantação'!D57,'Pós Implantação'!L57,'Pós Implantação'!K57),AVERAGE('Pós Implantação'!K57)),"")</f>
        <v/>
      </c>
      <c r="I57" s="34" t="str">
        <f>IFERROR(IF('Pós Implantação'!B57="Projetos",AVERAGE('Pós Implantação'!D57,'Pós Implantação'!L57,'Pós Implantação'!M57),AVERAGE('Pós Implantação'!M57)),"")</f>
        <v/>
      </c>
      <c r="J57" s="34" t="str">
        <f>IFERROR(IF('Pós Implantação'!B57="Engenharia",AVERAGE('Pós Implantação'!D57,'Pós Implantação'!L57,'Pós Implantação'!N57),AVERAGE('Pós Implantação'!N57)),"")</f>
        <v/>
      </c>
      <c r="K57" s="34" t="str">
        <f>IFERROR(IF('Pós Implantação'!B57="URA",AVERAGE('Pós Implantação'!D57,'Pós Implantação'!L57),""),"")</f>
        <v/>
      </c>
      <c r="L57" s="34" t="str">
        <f>IFERROR(IF('Pós Implantação'!B57="CSE Microsoft",AVERAGE('Pós Implantação'!D57,'Pós Implantação'!L57),""),"")</f>
        <v/>
      </c>
      <c r="M57" s="34" t="str">
        <f>IFERROR(IF('Pós Implantação'!B57="CSE Telecom",AVERAGE('Pós Implantação'!D57,'Pós Implantação'!L57),""),"")</f>
        <v/>
      </c>
      <c r="N57" s="34" t="str">
        <f>IFERROR(IF('Pós Implantação'!B57="Site Suporte de Campo",AVERAGE('Pós Implantação'!D57,'Pós Implantação'!L57),""),"")</f>
        <v/>
      </c>
      <c r="O57" s="49" t="str">
        <f>IFERROR(IF('Pós Implantação'!B57="Infraestrutura",AVERAGE('Pós Implantação'!D57,'Pós Implantação'!L57),""),"")</f>
        <v/>
      </c>
    </row>
    <row r="58" spans="1:15" x14ac:dyDescent="0.3">
      <c r="A58" s="33">
        <f>'Pré Implantação'!A58</f>
        <v>0</v>
      </c>
      <c r="B58" s="36" t="str">
        <f>'Pós Implantação'!C58</f>
        <v>0</v>
      </c>
      <c r="C58" s="34" t="str">
        <f>IFERROR(IF('Pré Implantação'!B58="Produção TI",AVERAGE('Pós Implantação'!D58,'Pós Implantação'!E58,'Pós Implantação'!L58,'Pós Implantação'!H58),AVERAGE('Pré Implantação'!E58,'Pré Implantação'!H58)),"")</f>
        <v/>
      </c>
      <c r="D58" s="34" t="str">
        <f>IFERROR(IF('Pós Implantação'!B58="CSC Service Desk",AVERAGE('Pós Implantação'!D58,'Pós Implantação'!L58,'Pós Implantação'!F58),AVERAGE('Pós Implantação'!F58)),"")</f>
        <v/>
      </c>
      <c r="E58" s="34" t="str">
        <f>IFERROR(IF('Pós Implantação'!B58="CSC NOC",AVERAGE('Pós Implantação'!D58,'Pós Implantação'!L58,'Pós Implantação'!G58),AVERAGE('Pós Implantação'!G58)),"")</f>
        <v/>
      </c>
      <c r="F58" s="34" t="str">
        <f>IFERROR(IF('Pós Implantação'!B58="CSE Gravadores",AVERAGE('Pós Implantação'!D58,'Pós Implantação'!L58,'Pós Implantação'!I58),AVERAGE('Pós Implantação'!I58)),"")</f>
        <v/>
      </c>
      <c r="G58" s="34" t="str">
        <f>IFERROR(IF('Pós Implantação'!B58="CSC",AVERAGE('Pós Implantação'!D58,'Pós Implantação'!L58,'Pós Implantação'!J58),AVERAGE('Pós Implantação'!J58)),"")</f>
        <v/>
      </c>
      <c r="H58" s="34" t="str">
        <f>IFERROR(IF('Pós Implantação'!B58="Operações \ Negócio",AVERAGE('Pós Implantação'!D58,'Pós Implantação'!L58,'Pós Implantação'!K58),AVERAGE('Pós Implantação'!K58)),"")</f>
        <v/>
      </c>
      <c r="I58" s="34" t="str">
        <f>IFERROR(IF('Pós Implantação'!B58="Projetos",AVERAGE('Pós Implantação'!D58,'Pós Implantação'!L58,'Pós Implantação'!M58),AVERAGE('Pós Implantação'!M58)),"")</f>
        <v/>
      </c>
      <c r="J58" s="34" t="str">
        <f>IFERROR(IF('Pós Implantação'!B58="Engenharia",AVERAGE('Pós Implantação'!D58,'Pós Implantação'!L58,'Pós Implantação'!N58),AVERAGE('Pós Implantação'!N58)),"")</f>
        <v/>
      </c>
      <c r="K58" s="34" t="str">
        <f>IFERROR(IF('Pós Implantação'!B58="URA",AVERAGE('Pós Implantação'!D58,'Pós Implantação'!L58),""),"")</f>
        <v/>
      </c>
      <c r="L58" s="34" t="str">
        <f>IFERROR(IF('Pós Implantação'!B58="CSE Microsoft",AVERAGE('Pós Implantação'!D58,'Pós Implantação'!L58),""),"")</f>
        <v/>
      </c>
      <c r="M58" s="34" t="str">
        <f>IFERROR(IF('Pós Implantação'!B58="CSE Telecom",AVERAGE('Pós Implantação'!D58,'Pós Implantação'!L58),""),"")</f>
        <v/>
      </c>
      <c r="N58" s="34" t="str">
        <f>IFERROR(IF('Pós Implantação'!B58="Site Suporte de Campo",AVERAGE('Pós Implantação'!D58,'Pós Implantação'!L58),""),"")</f>
        <v/>
      </c>
      <c r="O58" s="49" t="str">
        <f>IFERROR(IF('Pós Implantação'!B58="Infraestrutura",AVERAGE('Pós Implantação'!D58,'Pós Implantação'!L58),""),"")</f>
        <v/>
      </c>
    </row>
    <row r="59" spans="1:15" x14ac:dyDescent="0.3">
      <c r="A59" s="33">
        <f>'Pré Implantação'!A59</f>
        <v>0</v>
      </c>
      <c r="B59" s="36" t="str">
        <f>'Pós Implantação'!C59</f>
        <v>0</v>
      </c>
      <c r="C59" s="34" t="str">
        <f>IFERROR(IF('Pré Implantação'!B59="Produção TI",AVERAGE('Pós Implantação'!D59,'Pós Implantação'!E59,'Pós Implantação'!L59,'Pós Implantação'!H59),AVERAGE('Pré Implantação'!E59,'Pré Implantação'!H59)),"")</f>
        <v/>
      </c>
      <c r="D59" s="34" t="str">
        <f>IFERROR(IF('Pós Implantação'!B59="CSC Service Desk",AVERAGE('Pós Implantação'!D59,'Pós Implantação'!L59,'Pós Implantação'!F59),AVERAGE('Pós Implantação'!F59)),"")</f>
        <v/>
      </c>
      <c r="E59" s="34" t="str">
        <f>IFERROR(IF('Pós Implantação'!B59="CSC NOC",AVERAGE('Pós Implantação'!D59,'Pós Implantação'!L59,'Pós Implantação'!G59),AVERAGE('Pós Implantação'!G59)),"")</f>
        <v/>
      </c>
      <c r="F59" s="34" t="str">
        <f>IFERROR(IF('Pós Implantação'!B59="CSE Gravadores",AVERAGE('Pós Implantação'!D59,'Pós Implantação'!L59,'Pós Implantação'!I59),AVERAGE('Pós Implantação'!I59)),"")</f>
        <v/>
      </c>
      <c r="G59" s="34" t="str">
        <f>IFERROR(IF('Pós Implantação'!B59="CSC",AVERAGE('Pós Implantação'!D59,'Pós Implantação'!L59,'Pós Implantação'!J59),AVERAGE('Pós Implantação'!J59)),"")</f>
        <v/>
      </c>
      <c r="H59" s="34" t="str">
        <f>IFERROR(IF('Pós Implantação'!B59="Operações \ Negócio",AVERAGE('Pós Implantação'!D59,'Pós Implantação'!L59,'Pós Implantação'!K59),AVERAGE('Pós Implantação'!K59)),"")</f>
        <v/>
      </c>
      <c r="I59" s="34" t="str">
        <f>IFERROR(IF('Pós Implantação'!B59="Projetos",AVERAGE('Pós Implantação'!D59,'Pós Implantação'!L59,'Pós Implantação'!M59),AVERAGE('Pós Implantação'!M59)),"")</f>
        <v/>
      </c>
      <c r="J59" s="34" t="str">
        <f>IFERROR(IF('Pós Implantação'!B59="Engenharia",AVERAGE('Pós Implantação'!D59,'Pós Implantação'!L59,'Pós Implantação'!N59),AVERAGE('Pós Implantação'!N59)),"")</f>
        <v/>
      </c>
      <c r="K59" s="34" t="str">
        <f>IFERROR(IF('Pós Implantação'!B59="URA",AVERAGE('Pós Implantação'!D59,'Pós Implantação'!L59),""),"")</f>
        <v/>
      </c>
      <c r="L59" s="34" t="str">
        <f>IFERROR(IF('Pós Implantação'!B59="CSE Microsoft",AVERAGE('Pós Implantação'!D59,'Pós Implantação'!L59),""),"")</f>
        <v/>
      </c>
      <c r="M59" s="34" t="str">
        <f>IFERROR(IF('Pós Implantação'!B59="CSE Telecom",AVERAGE('Pós Implantação'!D59,'Pós Implantação'!L59),""),"")</f>
        <v/>
      </c>
      <c r="N59" s="34" t="str">
        <f>IFERROR(IF('Pós Implantação'!B59="Site Suporte de Campo",AVERAGE('Pós Implantação'!D59,'Pós Implantação'!L59),""),"")</f>
        <v/>
      </c>
      <c r="O59" s="49" t="str">
        <f>IFERROR(IF('Pós Implantação'!B59="Infraestrutura",AVERAGE('Pós Implantação'!D59,'Pós Implantação'!L59),""),"")</f>
        <v/>
      </c>
    </row>
    <row r="60" spans="1:15" x14ac:dyDescent="0.3">
      <c r="A60" s="33">
        <f>'Pré Implantação'!A60</f>
        <v>0</v>
      </c>
      <c r="B60" s="36" t="str">
        <f>'Pós Implantação'!C60</f>
        <v>0</v>
      </c>
      <c r="C60" s="34" t="str">
        <f>IFERROR(IF('Pré Implantação'!B60="Produção TI",AVERAGE('Pós Implantação'!D60,'Pós Implantação'!E60,'Pós Implantação'!L60,'Pós Implantação'!H60),AVERAGE('Pré Implantação'!E60,'Pré Implantação'!H60)),"")</f>
        <v/>
      </c>
      <c r="D60" s="34" t="str">
        <f>IFERROR(IF('Pós Implantação'!B60="CSC Service Desk",AVERAGE('Pós Implantação'!D60,'Pós Implantação'!L60,'Pós Implantação'!F60),AVERAGE('Pós Implantação'!F60)),"")</f>
        <v/>
      </c>
      <c r="E60" s="34" t="str">
        <f>IFERROR(IF('Pós Implantação'!B60="CSC NOC",AVERAGE('Pós Implantação'!D60,'Pós Implantação'!L60,'Pós Implantação'!G60),AVERAGE('Pós Implantação'!G60)),"")</f>
        <v/>
      </c>
      <c r="F60" s="34" t="str">
        <f>IFERROR(IF('Pós Implantação'!B60="CSE Gravadores",AVERAGE('Pós Implantação'!D60,'Pós Implantação'!L60,'Pós Implantação'!I60),AVERAGE('Pós Implantação'!I60)),"")</f>
        <v/>
      </c>
      <c r="G60" s="34" t="str">
        <f>IFERROR(IF('Pós Implantação'!B60="CSC",AVERAGE('Pós Implantação'!D60,'Pós Implantação'!L60,'Pós Implantação'!J60),AVERAGE('Pós Implantação'!J60)),"")</f>
        <v/>
      </c>
      <c r="H60" s="34" t="str">
        <f>IFERROR(IF('Pós Implantação'!B60="Operações \ Negócio",AVERAGE('Pós Implantação'!D60,'Pós Implantação'!L60,'Pós Implantação'!K60),AVERAGE('Pós Implantação'!K60)),"")</f>
        <v/>
      </c>
      <c r="I60" s="34" t="str">
        <f>IFERROR(IF('Pós Implantação'!B60="Projetos",AVERAGE('Pós Implantação'!D60,'Pós Implantação'!L60,'Pós Implantação'!M60),AVERAGE('Pós Implantação'!M60)),"")</f>
        <v/>
      </c>
      <c r="J60" s="34" t="str">
        <f>IFERROR(IF('Pós Implantação'!B60="Engenharia",AVERAGE('Pós Implantação'!D60,'Pós Implantação'!L60,'Pós Implantação'!N60),AVERAGE('Pós Implantação'!N60)),"")</f>
        <v/>
      </c>
      <c r="K60" s="34" t="str">
        <f>IFERROR(IF('Pós Implantação'!B60="URA",AVERAGE('Pós Implantação'!D60,'Pós Implantação'!L60),""),"")</f>
        <v/>
      </c>
      <c r="L60" s="34" t="str">
        <f>IFERROR(IF('Pós Implantação'!B60="CSE Microsoft",AVERAGE('Pós Implantação'!D60,'Pós Implantação'!L60),""),"")</f>
        <v/>
      </c>
      <c r="M60" s="34" t="str">
        <f>IFERROR(IF('Pós Implantação'!B60="CSE Telecom",AVERAGE('Pós Implantação'!D60,'Pós Implantação'!L60),""),"")</f>
        <v/>
      </c>
      <c r="N60" s="34" t="str">
        <f>IFERROR(IF('Pós Implantação'!B60="Site Suporte de Campo",AVERAGE('Pós Implantação'!D60,'Pós Implantação'!L60),""),"")</f>
        <v/>
      </c>
      <c r="O60" s="49" t="str">
        <f>IFERROR(IF('Pós Implantação'!B60="Infraestrutura",AVERAGE('Pós Implantação'!D60,'Pós Implantação'!L60),""),"")</f>
        <v/>
      </c>
    </row>
    <row r="61" spans="1:15" x14ac:dyDescent="0.3">
      <c r="A61" s="33">
        <f>'Pré Implantação'!A61</f>
        <v>0</v>
      </c>
      <c r="B61" s="36" t="str">
        <f>'Pós Implantação'!C61</f>
        <v>0</v>
      </c>
      <c r="C61" s="34" t="str">
        <f>IFERROR(IF('Pré Implantação'!B61="Produção TI",AVERAGE('Pós Implantação'!D61,'Pós Implantação'!E61,'Pós Implantação'!L61,'Pós Implantação'!H61),AVERAGE('Pré Implantação'!E61,'Pré Implantação'!H61)),"")</f>
        <v/>
      </c>
      <c r="D61" s="34" t="str">
        <f>IFERROR(IF('Pós Implantação'!B61="CSC Service Desk",AVERAGE('Pós Implantação'!D61,'Pós Implantação'!L61,'Pós Implantação'!F61),AVERAGE('Pós Implantação'!F61)),"")</f>
        <v/>
      </c>
      <c r="E61" s="34" t="str">
        <f>IFERROR(IF('Pós Implantação'!B61="CSC NOC",AVERAGE('Pós Implantação'!D61,'Pós Implantação'!L61,'Pós Implantação'!G61),AVERAGE('Pós Implantação'!G61)),"")</f>
        <v/>
      </c>
      <c r="F61" s="34" t="str">
        <f>IFERROR(IF('Pós Implantação'!B61="CSE Gravadores",AVERAGE('Pós Implantação'!D61,'Pós Implantação'!L61,'Pós Implantação'!I61),AVERAGE('Pós Implantação'!I61)),"")</f>
        <v/>
      </c>
      <c r="G61" s="34" t="str">
        <f>IFERROR(IF('Pós Implantação'!B61="CSC",AVERAGE('Pós Implantação'!D61,'Pós Implantação'!L61,'Pós Implantação'!J61),AVERAGE('Pós Implantação'!J61)),"")</f>
        <v/>
      </c>
      <c r="H61" s="34" t="str">
        <f>IFERROR(IF('Pós Implantação'!B61="Operações \ Negócio",AVERAGE('Pós Implantação'!D61,'Pós Implantação'!L61,'Pós Implantação'!K61),AVERAGE('Pós Implantação'!K61)),"")</f>
        <v/>
      </c>
      <c r="I61" s="34" t="str">
        <f>IFERROR(IF('Pós Implantação'!B61="Projetos",AVERAGE('Pós Implantação'!D61,'Pós Implantação'!L61,'Pós Implantação'!M61),AVERAGE('Pós Implantação'!M61)),"")</f>
        <v/>
      </c>
      <c r="J61" s="34" t="str">
        <f>IFERROR(IF('Pós Implantação'!B61="Engenharia",AVERAGE('Pós Implantação'!D61,'Pós Implantação'!L61,'Pós Implantação'!N61),AVERAGE('Pós Implantação'!N61)),"")</f>
        <v/>
      </c>
      <c r="K61" s="34" t="str">
        <f>IFERROR(IF('Pós Implantação'!B61="URA",AVERAGE('Pós Implantação'!D61,'Pós Implantação'!L61),""),"")</f>
        <v/>
      </c>
      <c r="L61" s="34" t="str">
        <f>IFERROR(IF('Pós Implantação'!B61="CSE Microsoft",AVERAGE('Pós Implantação'!D61,'Pós Implantação'!L61),""),"")</f>
        <v/>
      </c>
      <c r="M61" s="34" t="str">
        <f>IFERROR(IF('Pós Implantação'!B61="CSE Telecom",AVERAGE('Pós Implantação'!D61,'Pós Implantação'!L61),""),"")</f>
        <v/>
      </c>
      <c r="N61" s="34" t="str">
        <f>IFERROR(IF('Pós Implantação'!B61="Site Suporte de Campo",AVERAGE('Pós Implantação'!D61,'Pós Implantação'!L61),""),"")</f>
        <v/>
      </c>
      <c r="O61" s="49" t="str">
        <f>IFERROR(IF('Pós Implantação'!B61="Infraestrutura",AVERAGE('Pós Implantação'!D61,'Pós Implantação'!L61),""),"")</f>
        <v/>
      </c>
    </row>
    <row r="62" spans="1:15" x14ac:dyDescent="0.3">
      <c r="A62" s="33">
        <f>'Pré Implantação'!A62</f>
        <v>0</v>
      </c>
      <c r="B62" s="36" t="str">
        <f>'Pós Implantação'!C62</f>
        <v>0</v>
      </c>
      <c r="C62" s="34" t="str">
        <f>IFERROR(IF('Pré Implantação'!B62="Produção TI",AVERAGE('Pós Implantação'!D62,'Pós Implantação'!E62,'Pós Implantação'!L62,'Pós Implantação'!H62),AVERAGE('Pré Implantação'!E62,'Pré Implantação'!H62)),"")</f>
        <v/>
      </c>
      <c r="D62" s="34" t="str">
        <f>IFERROR(IF('Pós Implantação'!B62="CSC Service Desk",AVERAGE('Pós Implantação'!D62,'Pós Implantação'!L62,'Pós Implantação'!F62),AVERAGE('Pós Implantação'!F62)),"")</f>
        <v/>
      </c>
      <c r="E62" s="34" t="str">
        <f>IFERROR(IF('Pós Implantação'!B62="CSC NOC",AVERAGE('Pós Implantação'!D62,'Pós Implantação'!L62,'Pós Implantação'!G62),AVERAGE('Pós Implantação'!G62)),"")</f>
        <v/>
      </c>
      <c r="F62" s="34" t="str">
        <f>IFERROR(IF('Pós Implantação'!B62="CSE Gravadores",AVERAGE('Pós Implantação'!D62,'Pós Implantação'!L62,'Pós Implantação'!I62),AVERAGE('Pós Implantação'!I62)),"")</f>
        <v/>
      </c>
      <c r="G62" s="34" t="str">
        <f>IFERROR(IF('Pós Implantação'!B62="CSC",AVERAGE('Pós Implantação'!D62,'Pós Implantação'!L62,'Pós Implantação'!J62),AVERAGE('Pós Implantação'!J62)),"")</f>
        <v/>
      </c>
      <c r="H62" s="34" t="str">
        <f>IFERROR(IF('Pós Implantação'!B62="Operações \ Negócio",AVERAGE('Pós Implantação'!D62,'Pós Implantação'!L62,'Pós Implantação'!K62),AVERAGE('Pós Implantação'!K62)),"")</f>
        <v/>
      </c>
      <c r="I62" s="34" t="str">
        <f>IFERROR(IF('Pós Implantação'!B62="Projetos",AVERAGE('Pós Implantação'!D62,'Pós Implantação'!L62,'Pós Implantação'!M62),AVERAGE('Pós Implantação'!M62)),"")</f>
        <v/>
      </c>
      <c r="J62" s="34" t="str">
        <f>IFERROR(IF('Pós Implantação'!B62="Engenharia",AVERAGE('Pós Implantação'!D62,'Pós Implantação'!L62,'Pós Implantação'!N62),AVERAGE('Pós Implantação'!N62)),"")</f>
        <v/>
      </c>
      <c r="K62" s="34" t="str">
        <f>IFERROR(IF('Pós Implantação'!B62="URA",AVERAGE('Pós Implantação'!D62,'Pós Implantação'!L62),""),"")</f>
        <v/>
      </c>
      <c r="L62" s="34" t="str">
        <f>IFERROR(IF('Pós Implantação'!B62="CSE Microsoft",AVERAGE('Pós Implantação'!D62,'Pós Implantação'!L62),""),"")</f>
        <v/>
      </c>
      <c r="M62" s="34" t="str">
        <f>IFERROR(IF('Pós Implantação'!B62="CSE Telecom",AVERAGE('Pós Implantação'!D62,'Pós Implantação'!L62),""),"")</f>
        <v/>
      </c>
      <c r="N62" s="34" t="str">
        <f>IFERROR(IF('Pós Implantação'!B62="Site Suporte de Campo",AVERAGE('Pós Implantação'!D62,'Pós Implantação'!L62),""),"")</f>
        <v/>
      </c>
      <c r="O62" s="49" t="str">
        <f>IFERROR(IF('Pós Implantação'!B62="Infraestrutura",AVERAGE('Pós Implantação'!D62,'Pós Implantação'!L62),""),"")</f>
        <v/>
      </c>
    </row>
    <row r="63" spans="1:15" x14ac:dyDescent="0.3">
      <c r="A63" s="33">
        <f>'Pré Implantação'!A63</f>
        <v>0</v>
      </c>
      <c r="B63" s="36" t="str">
        <f>'Pós Implantação'!C63</f>
        <v>0</v>
      </c>
      <c r="C63" s="34" t="str">
        <f>IFERROR(IF('Pré Implantação'!B63="Produção TI",AVERAGE('Pós Implantação'!D63,'Pós Implantação'!E63,'Pós Implantação'!L63,'Pós Implantação'!H63),AVERAGE('Pré Implantação'!E63,'Pré Implantação'!H63)),"")</f>
        <v/>
      </c>
      <c r="D63" s="34" t="str">
        <f>IFERROR(IF('Pós Implantação'!B63="CSC Service Desk",AVERAGE('Pós Implantação'!D63,'Pós Implantação'!L63,'Pós Implantação'!F63),AVERAGE('Pós Implantação'!F63)),"")</f>
        <v/>
      </c>
      <c r="E63" s="34" t="str">
        <f>IFERROR(IF('Pós Implantação'!B63="CSC NOC",AVERAGE('Pós Implantação'!D63,'Pós Implantação'!L63,'Pós Implantação'!G63),AVERAGE('Pós Implantação'!G63)),"")</f>
        <v/>
      </c>
      <c r="F63" s="34" t="str">
        <f>IFERROR(IF('Pós Implantação'!B63="CSE Gravadores",AVERAGE('Pós Implantação'!D63,'Pós Implantação'!L63,'Pós Implantação'!I63),AVERAGE('Pós Implantação'!I63)),"")</f>
        <v/>
      </c>
      <c r="G63" s="34" t="str">
        <f>IFERROR(IF('Pós Implantação'!B63="CSC",AVERAGE('Pós Implantação'!D63,'Pós Implantação'!L63,'Pós Implantação'!J63),AVERAGE('Pós Implantação'!J63)),"")</f>
        <v/>
      </c>
      <c r="H63" s="34" t="str">
        <f>IFERROR(IF('Pós Implantação'!B63="Operações \ Negócio",AVERAGE('Pós Implantação'!D63,'Pós Implantação'!L63,'Pós Implantação'!K63),AVERAGE('Pós Implantação'!K63)),"")</f>
        <v/>
      </c>
      <c r="I63" s="34" t="str">
        <f>IFERROR(IF('Pós Implantação'!B63="Projetos",AVERAGE('Pós Implantação'!D63,'Pós Implantação'!L63,'Pós Implantação'!M63),AVERAGE('Pós Implantação'!M63)),"")</f>
        <v/>
      </c>
      <c r="J63" s="34" t="str">
        <f>IFERROR(IF('Pós Implantação'!B63="Engenharia",AVERAGE('Pós Implantação'!D63,'Pós Implantação'!L63,'Pós Implantação'!N63),AVERAGE('Pós Implantação'!N63)),"")</f>
        <v/>
      </c>
      <c r="K63" s="34" t="str">
        <f>IFERROR(IF('Pós Implantação'!B63="URA",AVERAGE('Pós Implantação'!D63,'Pós Implantação'!L63),""),"")</f>
        <v/>
      </c>
      <c r="L63" s="34" t="str">
        <f>IFERROR(IF('Pós Implantação'!B63="CSE Microsoft",AVERAGE('Pós Implantação'!D63,'Pós Implantação'!L63),""),"")</f>
        <v/>
      </c>
      <c r="M63" s="34" t="str">
        <f>IFERROR(IF('Pós Implantação'!B63="CSE Telecom",AVERAGE('Pós Implantação'!D63,'Pós Implantação'!L63),""),"")</f>
        <v/>
      </c>
      <c r="N63" s="34" t="str">
        <f>IFERROR(IF('Pós Implantação'!B63="Site Suporte de Campo",AVERAGE('Pós Implantação'!D63,'Pós Implantação'!L63),""),"")</f>
        <v/>
      </c>
      <c r="O63" s="49" t="str">
        <f>IFERROR(IF('Pós Implantação'!B63="Infraestrutura",AVERAGE('Pós Implantação'!D63,'Pós Implantação'!L63),""),"")</f>
        <v/>
      </c>
    </row>
    <row r="64" spans="1:15" x14ac:dyDescent="0.3">
      <c r="A64" s="33">
        <f>'Pré Implantação'!A64</f>
        <v>0</v>
      </c>
      <c r="B64" s="36" t="str">
        <f>'Pós Implantação'!C64</f>
        <v>0</v>
      </c>
      <c r="C64" s="34" t="str">
        <f>IFERROR(IF('Pré Implantação'!B64="Produção TI",AVERAGE('Pós Implantação'!D64,'Pós Implantação'!E64,'Pós Implantação'!L64,'Pós Implantação'!H64),AVERAGE('Pré Implantação'!E64,'Pré Implantação'!H64)),"")</f>
        <v/>
      </c>
      <c r="D64" s="34" t="str">
        <f>IFERROR(IF('Pós Implantação'!B64="CSC Service Desk",AVERAGE('Pós Implantação'!D64,'Pós Implantação'!L64,'Pós Implantação'!F64),AVERAGE('Pós Implantação'!F64)),"")</f>
        <v/>
      </c>
      <c r="E64" s="34" t="str">
        <f>IFERROR(IF('Pós Implantação'!B64="CSC NOC",AVERAGE('Pós Implantação'!D64,'Pós Implantação'!L64,'Pós Implantação'!G64),AVERAGE('Pós Implantação'!G64)),"")</f>
        <v/>
      </c>
      <c r="F64" s="34" t="str">
        <f>IFERROR(IF('Pós Implantação'!B64="CSE Gravadores",AVERAGE('Pós Implantação'!D64,'Pós Implantação'!L64,'Pós Implantação'!I64),AVERAGE('Pós Implantação'!I64)),"")</f>
        <v/>
      </c>
      <c r="G64" s="34" t="str">
        <f>IFERROR(IF('Pós Implantação'!B64="CSC",AVERAGE('Pós Implantação'!D64,'Pós Implantação'!L64,'Pós Implantação'!J64),AVERAGE('Pós Implantação'!J64)),"")</f>
        <v/>
      </c>
      <c r="H64" s="34" t="str">
        <f>IFERROR(IF('Pós Implantação'!B64="Operações \ Negócio",AVERAGE('Pós Implantação'!D64,'Pós Implantação'!L64,'Pós Implantação'!K64),AVERAGE('Pós Implantação'!K64)),"")</f>
        <v/>
      </c>
      <c r="I64" s="34" t="str">
        <f>IFERROR(IF('Pós Implantação'!B64="Projetos",AVERAGE('Pós Implantação'!D64,'Pós Implantação'!L64,'Pós Implantação'!M64),AVERAGE('Pós Implantação'!M64)),"")</f>
        <v/>
      </c>
      <c r="J64" s="34" t="str">
        <f>IFERROR(IF('Pós Implantação'!B64="Engenharia",AVERAGE('Pós Implantação'!D64,'Pós Implantação'!L64,'Pós Implantação'!N64),AVERAGE('Pós Implantação'!N64)),"")</f>
        <v/>
      </c>
      <c r="K64" s="34" t="str">
        <f>IFERROR(IF('Pós Implantação'!B64="URA",AVERAGE('Pós Implantação'!D64,'Pós Implantação'!L64),""),"")</f>
        <v/>
      </c>
      <c r="L64" s="34" t="str">
        <f>IFERROR(IF('Pós Implantação'!B64="CSE Microsoft",AVERAGE('Pós Implantação'!D64,'Pós Implantação'!L64),""),"")</f>
        <v/>
      </c>
      <c r="M64" s="34" t="str">
        <f>IFERROR(IF('Pós Implantação'!B64="CSE Telecom",AVERAGE('Pós Implantação'!D64,'Pós Implantação'!L64),""),"")</f>
        <v/>
      </c>
      <c r="N64" s="34" t="str">
        <f>IFERROR(IF('Pós Implantação'!B64="Site Suporte de Campo",AVERAGE('Pós Implantação'!D64,'Pós Implantação'!L64),""),"")</f>
        <v/>
      </c>
      <c r="O64" s="49" t="str">
        <f>IFERROR(IF('Pós Implantação'!B64="Infraestrutura",AVERAGE('Pós Implantação'!D64,'Pós Implantação'!L64),""),"")</f>
        <v/>
      </c>
    </row>
    <row r="65" spans="1:15" x14ac:dyDescent="0.3">
      <c r="A65" s="33">
        <f>'Pré Implantação'!A65</f>
        <v>0</v>
      </c>
      <c r="B65" s="36" t="str">
        <f>'Pós Implantação'!C65</f>
        <v>0</v>
      </c>
      <c r="C65" s="34" t="str">
        <f>IFERROR(IF('Pré Implantação'!B65="Produção TI",AVERAGE('Pós Implantação'!D65,'Pós Implantação'!E65,'Pós Implantação'!L65,'Pós Implantação'!H65),AVERAGE('Pré Implantação'!E65,'Pré Implantação'!H65)),"")</f>
        <v/>
      </c>
      <c r="D65" s="34" t="str">
        <f>IFERROR(IF('Pós Implantação'!B65="CSC Service Desk",AVERAGE('Pós Implantação'!D65,'Pós Implantação'!L65,'Pós Implantação'!F65),AVERAGE('Pós Implantação'!F65)),"")</f>
        <v/>
      </c>
      <c r="E65" s="34" t="str">
        <f>IFERROR(IF('Pós Implantação'!B65="CSC NOC",AVERAGE('Pós Implantação'!D65,'Pós Implantação'!L65,'Pós Implantação'!G65),AVERAGE('Pós Implantação'!G65)),"")</f>
        <v/>
      </c>
      <c r="F65" s="34" t="str">
        <f>IFERROR(IF('Pós Implantação'!B65="CSE Gravadores",AVERAGE('Pós Implantação'!D65,'Pós Implantação'!L65,'Pós Implantação'!I65),AVERAGE('Pós Implantação'!I65)),"")</f>
        <v/>
      </c>
      <c r="G65" s="34" t="str">
        <f>IFERROR(IF('Pós Implantação'!B65="CSC",AVERAGE('Pós Implantação'!D65,'Pós Implantação'!L65,'Pós Implantação'!J65),AVERAGE('Pós Implantação'!J65)),"")</f>
        <v/>
      </c>
      <c r="H65" s="34" t="str">
        <f>IFERROR(IF('Pós Implantação'!B65="Operações \ Negócio",AVERAGE('Pós Implantação'!D65,'Pós Implantação'!L65,'Pós Implantação'!K65),AVERAGE('Pós Implantação'!K65)),"")</f>
        <v/>
      </c>
      <c r="I65" s="34" t="str">
        <f>IFERROR(IF('Pós Implantação'!B65="Projetos",AVERAGE('Pós Implantação'!D65,'Pós Implantação'!L65,'Pós Implantação'!M65),AVERAGE('Pós Implantação'!M65)),"")</f>
        <v/>
      </c>
      <c r="J65" s="34" t="str">
        <f>IFERROR(IF('Pós Implantação'!B65="Engenharia",AVERAGE('Pós Implantação'!D65,'Pós Implantação'!L65,'Pós Implantação'!N65),AVERAGE('Pós Implantação'!N65)),"")</f>
        <v/>
      </c>
      <c r="K65" s="34" t="str">
        <f>IFERROR(IF('Pós Implantação'!B65="URA",AVERAGE('Pós Implantação'!D65,'Pós Implantação'!L65),""),"")</f>
        <v/>
      </c>
      <c r="L65" s="34" t="str">
        <f>IFERROR(IF('Pós Implantação'!B65="CSE Microsoft",AVERAGE('Pós Implantação'!D65,'Pós Implantação'!L65),""),"")</f>
        <v/>
      </c>
      <c r="M65" s="34" t="str">
        <f>IFERROR(IF('Pós Implantação'!B65="CSE Telecom",AVERAGE('Pós Implantação'!D65,'Pós Implantação'!L65),""),"")</f>
        <v/>
      </c>
      <c r="N65" s="34" t="str">
        <f>IFERROR(IF('Pós Implantação'!B65="Site Suporte de Campo",AVERAGE('Pós Implantação'!D65,'Pós Implantação'!L65),""),"")</f>
        <v/>
      </c>
      <c r="O65" s="49" t="str">
        <f>IFERROR(IF('Pós Implantação'!B65="Infraestrutura",AVERAGE('Pós Implantação'!D65,'Pós Implantação'!L65),""),"")</f>
        <v/>
      </c>
    </row>
    <row r="66" spans="1:15" x14ac:dyDescent="0.3">
      <c r="A66" s="33">
        <f>'Pré Implantação'!A66</f>
        <v>0</v>
      </c>
      <c r="B66" s="36" t="str">
        <f>'Pós Implantação'!C66</f>
        <v>0</v>
      </c>
      <c r="C66" s="34" t="str">
        <f>IFERROR(IF('Pré Implantação'!B66="Produção TI",AVERAGE('Pós Implantação'!D66,'Pós Implantação'!E66,'Pós Implantação'!L66,'Pós Implantação'!H66),AVERAGE('Pré Implantação'!E66,'Pré Implantação'!H66)),"")</f>
        <v/>
      </c>
      <c r="D66" s="34" t="str">
        <f>IFERROR(IF('Pós Implantação'!B66="CSC Service Desk",AVERAGE('Pós Implantação'!D66,'Pós Implantação'!L66,'Pós Implantação'!F66),AVERAGE('Pós Implantação'!F66)),"")</f>
        <v/>
      </c>
      <c r="E66" s="34" t="str">
        <f>IFERROR(IF('Pós Implantação'!B66="CSC NOC",AVERAGE('Pós Implantação'!D66,'Pós Implantação'!L66,'Pós Implantação'!G66),AVERAGE('Pós Implantação'!G66)),"")</f>
        <v/>
      </c>
      <c r="F66" s="34" t="str">
        <f>IFERROR(IF('Pós Implantação'!B66="CSE Gravadores",AVERAGE('Pós Implantação'!D66,'Pós Implantação'!L66,'Pós Implantação'!I66),AVERAGE('Pós Implantação'!I66)),"")</f>
        <v/>
      </c>
      <c r="G66" s="34" t="str">
        <f>IFERROR(IF('Pós Implantação'!B66="CSC",AVERAGE('Pós Implantação'!D66,'Pós Implantação'!L66,'Pós Implantação'!J66),AVERAGE('Pós Implantação'!J66)),"")</f>
        <v/>
      </c>
      <c r="H66" s="34" t="str">
        <f>IFERROR(IF('Pós Implantação'!B66="Operações \ Negócio",AVERAGE('Pós Implantação'!D66,'Pós Implantação'!L66,'Pós Implantação'!K66),AVERAGE('Pós Implantação'!K66)),"")</f>
        <v/>
      </c>
      <c r="I66" s="34" t="str">
        <f>IFERROR(IF('Pós Implantação'!B66="Projetos",AVERAGE('Pós Implantação'!D66,'Pós Implantação'!L66,'Pós Implantação'!M66),AVERAGE('Pós Implantação'!M66)),"")</f>
        <v/>
      </c>
      <c r="J66" s="34" t="str">
        <f>IFERROR(IF('Pós Implantação'!B66="Engenharia",AVERAGE('Pós Implantação'!D66,'Pós Implantação'!L66,'Pós Implantação'!N66),AVERAGE('Pós Implantação'!N66)),"")</f>
        <v/>
      </c>
      <c r="K66" s="34" t="str">
        <f>IFERROR(IF('Pós Implantação'!B66="URA",AVERAGE('Pós Implantação'!D66,'Pós Implantação'!L66),""),"")</f>
        <v/>
      </c>
      <c r="L66" s="34" t="str">
        <f>IFERROR(IF('Pós Implantação'!B66="CSE Microsoft",AVERAGE('Pós Implantação'!D66,'Pós Implantação'!L66),""),"")</f>
        <v/>
      </c>
      <c r="M66" s="34" t="str">
        <f>IFERROR(IF('Pós Implantação'!B66="CSE Telecom",AVERAGE('Pós Implantação'!D66,'Pós Implantação'!L66),""),"")</f>
        <v/>
      </c>
      <c r="N66" s="34" t="str">
        <f>IFERROR(IF('Pós Implantação'!B66="Site Suporte de Campo",AVERAGE('Pós Implantação'!D66,'Pós Implantação'!L66),""),"")</f>
        <v/>
      </c>
      <c r="O66" s="49" t="str">
        <f>IFERROR(IF('Pós Implantação'!B66="Infraestrutura",AVERAGE('Pós Implantação'!D66,'Pós Implantação'!L66),""),"")</f>
        <v/>
      </c>
    </row>
    <row r="67" spans="1:15" x14ac:dyDescent="0.3">
      <c r="A67" s="33">
        <f>'Pré Implantação'!A67</f>
        <v>0</v>
      </c>
      <c r="B67" s="36" t="str">
        <f>'Pós Implantação'!C67</f>
        <v>0</v>
      </c>
      <c r="C67" s="34" t="str">
        <f>IFERROR(IF('Pré Implantação'!B67="Produção TI",AVERAGE('Pós Implantação'!D67,'Pós Implantação'!E67,'Pós Implantação'!L67,'Pós Implantação'!H67),AVERAGE('Pré Implantação'!E67,'Pré Implantação'!H67)),"")</f>
        <v/>
      </c>
      <c r="D67" s="34" t="str">
        <f>IFERROR(IF('Pós Implantação'!B67="CSC Service Desk",AVERAGE('Pós Implantação'!D67,'Pós Implantação'!L67,'Pós Implantação'!F67),AVERAGE('Pós Implantação'!F67)),"")</f>
        <v/>
      </c>
      <c r="E67" s="34" t="str">
        <f>IFERROR(IF('Pós Implantação'!B67="CSC NOC",AVERAGE('Pós Implantação'!D67,'Pós Implantação'!L67,'Pós Implantação'!G67),AVERAGE('Pós Implantação'!G67)),"")</f>
        <v/>
      </c>
      <c r="F67" s="34" t="str">
        <f>IFERROR(IF('Pós Implantação'!B67="CSE Gravadores",AVERAGE('Pós Implantação'!D67,'Pós Implantação'!L67,'Pós Implantação'!I67),AVERAGE('Pós Implantação'!I67)),"")</f>
        <v/>
      </c>
      <c r="G67" s="34" t="str">
        <f>IFERROR(IF('Pós Implantação'!B67="CSC",AVERAGE('Pós Implantação'!D67,'Pós Implantação'!L67,'Pós Implantação'!J67),AVERAGE('Pós Implantação'!J67)),"")</f>
        <v/>
      </c>
      <c r="H67" s="34" t="str">
        <f>IFERROR(IF('Pós Implantação'!B67="Operações \ Negócio",AVERAGE('Pós Implantação'!D67,'Pós Implantação'!L67,'Pós Implantação'!K67),AVERAGE('Pós Implantação'!K67)),"")</f>
        <v/>
      </c>
      <c r="I67" s="34" t="str">
        <f>IFERROR(IF('Pós Implantação'!B67="Projetos",AVERAGE('Pós Implantação'!D67,'Pós Implantação'!L67,'Pós Implantação'!M67),AVERAGE('Pós Implantação'!M67)),"")</f>
        <v/>
      </c>
      <c r="J67" s="34" t="str">
        <f>IFERROR(IF('Pós Implantação'!B67="Engenharia",AVERAGE('Pós Implantação'!D67,'Pós Implantação'!L67,'Pós Implantação'!N67),AVERAGE('Pós Implantação'!N67)),"")</f>
        <v/>
      </c>
      <c r="K67" s="34" t="str">
        <f>IFERROR(IF('Pós Implantação'!B67="URA",AVERAGE('Pós Implantação'!D67,'Pós Implantação'!L67),""),"")</f>
        <v/>
      </c>
      <c r="L67" s="34" t="str">
        <f>IFERROR(IF('Pós Implantação'!B67="CSE Microsoft",AVERAGE('Pós Implantação'!D67,'Pós Implantação'!L67),""),"")</f>
        <v/>
      </c>
      <c r="M67" s="34" t="str">
        <f>IFERROR(IF('Pós Implantação'!B67="CSE Telecom",AVERAGE('Pós Implantação'!D67,'Pós Implantação'!L67),""),"")</f>
        <v/>
      </c>
      <c r="N67" s="34" t="str">
        <f>IFERROR(IF('Pós Implantação'!B67="Site Suporte de Campo",AVERAGE('Pós Implantação'!D67,'Pós Implantação'!L67),""),"")</f>
        <v/>
      </c>
      <c r="O67" s="49" t="str">
        <f>IFERROR(IF('Pós Implantação'!B67="Infraestrutura",AVERAGE('Pós Implantação'!D67,'Pós Implantação'!L67),""),"")</f>
        <v/>
      </c>
    </row>
    <row r="68" spans="1:15" x14ac:dyDescent="0.3">
      <c r="A68" s="33">
        <f>'Pré Implantação'!A68</f>
        <v>0</v>
      </c>
      <c r="B68" s="36" t="str">
        <f>'Pós Implantação'!C68</f>
        <v>0</v>
      </c>
      <c r="C68" s="34" t="str">
        <f>IFERROR(IF('Pré Implantação'!B68="Produção TI",AVERAGE('Pós Implantação'!D68,'Pós Implantação'!E68,'Pós Implantação'!L68,'Pós Implantação'!H68),AVERAGE('Pré Implantação'!E68,'Pré Implantação'!H68)),"")</f>
        <v/>
      </c>
      <c r="D68" s="34" t="str">
        <f>IFERROR(IF('Pós Implantação'!B68="CSC Service Desk",AVERAGE('Pós Implantação'!D68,'Pós Implantação'!L68,'Pós Implantação'!F68),AVERAGE('Pós Implantação'!F68)),"")</f>
        <v/>
      </c>
      <c r="E68" s="34" t="str">
        <f>IFERROR(IF('Pós Implantação'!B68="CSC NOC",AVERAGE('Pós Implantação'!D68,'Pós Implantação'!L68,'Pós Implantação'!G68),AVERAGE('Pós Implantação'!G68)),"")</f>
        <v/>
      </c>
      <c r="F68" s="34" t="str">
        <f>IFERROR(IF('Pós Implantação'!B68="CSE Gravadores",AVERAGE('Pós Implantação'!D68,'Pós Implantação'!L68,'Pós Implantação'!I68),AVERAGE('Pós Implantação'!I68)),"")</f>
        <v/>
      </c>
      <c r="G68" s="34" t="str">
        <f>IFERROR(IF('Pós Implantação'!B68="CSC",AVERAGE('Pós Implantação'!D68,'Pós Implantação'!L68,'Pós Implantação'!J68),AVERAGE('Pós Implantação'!J68)),"")</f>
        <v/>
      </c>
      <c r="H68" s="34" t="str">
        <f>IFERROR(IF('Pós Implantação'!B68="Operações \ Negócio",AVERAGE('Pós Implantação'!D68,'Pós Implantação'!L68,'Pós Implantação'!K68),AVERAGE('Pós Implantação'!K68)),"")</f>
        <v/>
      </c>
      <c r="I68" s="34" t="str">
        <f>IFERROR(IF('Pós Implantação'!B68="Projetos",AVERAGE('Pós Implantação'!D68,'Pós Implantação'!L68,'Pós Implantação'!M68),AVERAGE('Pós Implantação'!M68)),"")</f>
        <v/>
      </c>
      <c r="J68" s="34" t="str">
        <f>IFERROR(IF('Pós Implantação'!B68="Engenharia",AVERAGE('Pós Implantação'!D68,'Pós Implantação'!L68,'Pós Implantação'!N68),AVERAGE('Pós Implantação'!N68)),"")</f>
        <v/>
      </c>
      <c r="K68" s="34" t="str">
        <f>IFERROR(IF('Pós Implantação'!B68="URA",AVERAGE('Pós Implantação'!D68,'Pós Implantação'!L68),""),"")</f>
        <v/>
      </c>
      <c r="L68" s="34" t="str">
        <f>IFERROR(IF('Pós Implantação'!B68="CSE Microsoft",AVERAGE('Pós Implantação'!D68,'Pós Implantação'!L68),""),"")</f>
        <v/>
      </c>
      <c r="M68" s="34" t="str">
        <f>IFERROR(IF('Pós Implantação'!B68="CSE Telecom",AVERAGE('Pós Implantação'!D68,'Pós Implantação'!L68),""),"")</f>
        <v/>
      </c>
      <c r="N68" s="34" t="str">
        <f>IFERROR(IF('Pós Implantação'!B68="Site Suporte de Campo",AVERAGE('Pós Implantação'!D68,'Pós Implantação'!L68),""),"")</f>
        <v/>
      </c>
      <c r="O68" s="49" t="str">
        <f>IFERROR(IF('Pós Implantação'!B68="Infraestrutura",AVERAGE('Pós Implantação'!D68,'Pós Implantação'!L68),""),"")</f>
        <v/>
      </c>
    </row>
    <row r="69" spans="1:15" x14ac:dyDescent="0.3">
      <c r="A69" s="33">
        <f>'Pré Implantação'!A69</f>
        <v>0</v>
      </c>
      <c r="B69" s="36" t="str">
        <f>'Pós Implantação'!C69</f>
        <v>0</v>
      </c>
      <c r="C69" s="34" t="str">
        <f>IFERROR(IF('Pré Implantação'!B69="Produção TI",AVERAGE('Pós Implantação'!D69,'Pós Implantação'!E69,'Pós Implantação'!L69,'Pós Implantação'!H69),AVERAGE('Pré Implantação'!E69,'Pré Implantação'!H69)),"")</f>
        <v/>
      </c>
      <c r="D69" s="34" t="str">
        <f>IFERROR(IF('Pós Implantação'!B69="CSC Service Desk",AVERAGE('Pós Implantação'!D69,'Pós Implantação'!L69,'Pós Implantação'!F69),AVERAGE('Pós Implantação'!F69)),"")</f>
        <v/>
      </c>
      <c r="E69" s="34" t="str">
        <f>IFERROR(IF('Pós Implantação'!B69="CSC NOC",AVERAGE('Pós Implantação'!D69,'Pós Implantação'!L69,'Pós Implantação'!G69),AVERAGE('Pós Implantação'!G69)),"")</f>
        <v/>
      </c>
      <c r="F69" s="34" t="str">
        <f>IFERROR(IF('Pós Implantação'!B69="CSE Gravadores",AVERAGE('Pós Implantação'!D69,'Pós Implantação'!L69,'Pós Implantação'!I69),AVERAGE('Pós Implantação'!I69)),"")</f>
        <v/>
      </c>
      <c r="G69" s="34" t="str">
        <f>IFERROR(IF('Pós Implantação'!B69="CSC",AVERAGE('Pós Implantação'!D69,'Pós Implantação'!L69,'Pós Implantação'!J69),AVERAGE('Pós Implantação'!J69)),"")</f>
        <v/>
      </c>
      <c r="H69" s="34" t="str">
        <f>IFERROR(IF('Pós Implantação'!B69="Operações \ Negócio",AVERAGE('Pós Implantação'!D69,'Pós Implantação'!L69,'Pós Implantação'!K69),AVERAGE('Pós Implantação'!K69)),"")</f>
        <v/>
      </c>
      <c r="I69" s="34" t="str">
        <f>IFERROR(IF('Pós Implantação'!B69="Projetos",AVERAGE('Pós Implantação'!D69,'Pós Implantação'!L69,'Pós Implantação'!M69),AVERAGE('Pós Implantação'!M69)),"")</f>
        <v/>
      </c>
      <c r="J69" s="34" t="str">
        <f>IFERROR(IF('Pós Implantação'!B69="Engenharia",AVERAGE('Pós Implantação'!D69,'Pós Implantação'!L69,'Pós Implantação'!N69),AVERAGE('Pós Implantação'!N69)),"")</f>
        <v/>
      </c>
      <c r="K69" s="34" t="str">
        <f>IFERROR(IF('Pós Implantação'!B69="URA",AVERAGE('Pós Implantação'!D69,'Pós Implantação'!L69),""),"")</f>
        <v/>
      </c>
      <c r="L69" s="34" t="str">
        <f>IFERROR(IF('Pós Implantação'!B69="CSE Microsoft",AVERAGE('Pós Implantação'!D69,'Pós Implantação'!L69),""),"")</f>
        <v/>
      </c>
      <c r="M69" s="34" t="str">
        <f>IFERROR(IF('Pós Implantação'!B69="CSE Telecom",AVERAGE('Pós Implantação'!D69,'Pós Implantação'!L69),""),"")</f>
        <v/>
      </c>
      <c r="N69" s="34" t="str">
        <f>IFERROR(IF('Pós Implantação'!B69="Site Suporte de Campo",AVERAGE('Pós Implantação'!D69,'Pós Implantação'!L69),""),"")</f>
        <v/>
      </c>
      <c r="O69" s="49" t="str">
        <f>IFERROR(IF('Pós Implantação'!B69="Infraestrutura",AVERAGE('Pós Implantação'!D69,'Pós Implantação'!L69),""),"")</f>
        <v/>
      </c>
    </row>
    <row r="70" spans="1:15" x14ac:dyDescent="0.3">
      <c r="A70" s="33">
        <f>'Pré Implantação'!A70</f>
        <v>0</v>
      </c>
      <c r="B70" s="36" t="str">
        <f>'Pós Implantação'!C70</f>
        <v>0</v>
      </c>
      <c r="C70" s="34" t="str">
        <f>IFERROR(IF('Pré Implantação'!B70="Produção TI",AVERAGE('Pós Implantação'!D70,'Pós Implantação'!E70,'Pós Implantação'!L70,'Pós Implantação'!H70),AVERAGE('Pré Implantação'!E70,'Pré Implantação'!H70)),"")</f>
        <v/>
      </c>
      <c r="D70" s="34" t="str">
        <f>IFERROR(IF('Pós Implantação'!B70="CSC Service Desk",AVERAGE('Pós Implantação'!D70,'Pós Implantação'!L70,'Pós Implantação'!F70),AVERAGE('Pós Implantação'!F70)),"")</f>
        <v/>
      </c>
      <c r="E70" s="34" t="str">
        <f>IFERROR(IF('Pós Implantação'!B70="CSC NOC",AVERAGE('Pós Implantação'!D70,'Pós Implantação'!L70,'Pós Implantação'!G70),AVERAGE('Pós Implantação'!G70)),"")</f>
        <v/>
      </c>
      <c r="F70" s="34" t="str">
        <f>IFERROR(IF('Pós Implantação'!B70="CSE Gravadores",AVERAGE('Pós Implantação'!D70,'Pós Implantação'!L70,'Pós Implantação'!I70),AVERAGE('Pós Implantação'!I70)),"")</f>
        <v/>
      </c>
      <c r="G70" s="34" t="str">
        <f>IFERROR(IF('Pós Implantação'!B70="CSC",AVERAGE('Pós Implantação'!D70,'Pós Implantação'!L70,'Pós Implantação'!J70),AVERAGE('Pós Implantação'!J70)),"")</f>
        <v/>
      </c>
      <c r="H70" s="34" t="str">
        <f>IFERROR(IF('Pós Implantação'!B70="Operações \ Negócio",AVERAGE('Pós Implantação'!D70,'Pós Implantação'!L70,'Pós Implantação'!K70),AVERAGE('Pós Implantação'!K70)),"")</f>
        <v/>
      </c>
      <c r="I70" s="34" t="str">
        <f>IFERROR(IF('Pós Implantação'!B70="Projetos",AVERAGE('Pós Implantação'!D70,'Pós Implantação'!L70,'Pós Implantação'!M70),AVERAGE('Pós Implantação'!M70)),"")</f>
        <v/>
      </c>
      <c r="J70" s="34" t="str">
        <f>IFERROR(IF('Pós Implantação'!B70="Engenharia",AVERAGE('Pós Implantação'!D70,'Pós Implantação'!L70,'Pós Implantação'!N70),AVERAGE('Pós Implantação'!N70)),"")</f>
        <v/>
      </c>
      <c r="K70" s="34" t="str">
        <f>IFERROR(IF('Pós Implantação'!B70="URA",AVERAGE('Pós Implantação'!D70,'Pós Implantação'!L70),""),"")</f>
        <v/>
      </c>
      <c r="L70" s="34" t="str">
        <f>IFERROR(IF('Pós Implantação'!B70="CSE Microsoft",AVERAGE('Pós Implantação'!D70,'Pós Implantação'!L70),""),"")</f>
        <v/>
      </c>
      <c r="M70" s="34" t="str">
        <f>IFERROR(IF('Pós Implantação'!B70="CSE Telecom",AVERAGE('Pós Implantação'!D70,'Pós Implantação'!L70),""),"")</f>
        <v/>
      </c>
      <c r="N70" s="34" t="str">
        <f>IFERROR(IF('Pós Implantação'!B70="Site Suporte de Campo",AVERAGE('Pós Implantação'!D70,'Pós Implantação'!L70),""),"")</f>
        <v/>
      </c>
      <c r="O70" s="49" t="str">
        <f>IFERROR(IF('Pós Implantação'!B70="Infraestrutura",AVERAGE('Pós Implantação'!D70,'Pós Implantação'!L70),""),"")</f>
        <v/>
      </c>
    </row>
    <row r="71" spans="1:15" x14ac:dyDescent="0.3">
      <c r="A71" s="33">
        <f>'Pré Implantação'!A71</f>
        <v>0</v>
      </c>
      <c r="B71" s="36" t="str">
        <f>'Pós Implantação'!C71</f>
        <v>0</v>
      </c>
      <c r="C71" s="34" t="str">
        <f>IFERROR(IF('Pré Implantação'!B71="Produção TI",AVERAGE('Pós Implantação'!D71,'Pós Implantação'!E71,'Pós Implantação'!L71,'Pós Implantação'!H71),AVERAGE('Pré Implantação'!E71,'Pré Implantação'!H71)),"")</f>
        <v/>
      </c>
      <c r="D71" s="34" t="str">
        <f>IFERROR(IF('Pós Implantação'!B71="CSC Service Desk",AVERAGE('Pós Implantação'!D71,'Pós Implantação'!L71,'Pós Implantação'!F71),AVERAGE('Pós Implantação'!F71)),"")</f>
        <v/>
      </c>
      <c r="E71" s="34" t="str">
        <f>IFERROR(IF('Pós Implantação'!B71="CSC NOC",AVERAGE('Pós Implantação'!D71,'Pós Implantação'!L71,'Pós Implantação'!G71),AVERAGE('Pós Implantação'!G71)),"")</f>
        <v/>
      </c>
      <c r="F71" s="34" t="str">
        <f>IFERROR(IF('Pós Implantação'!B71="CSE Gravadores",AVERAGE('Pós Implantação'!D71,'Pós Implantação'!L71,'Pós Implantação'!I71),AVERAGE('Pós Implantação'!I71)),"")</f>
        <v/>
      </c>
      <c r="G71" s="34" t="str">
        <f>IFERROR(IF('Pós Implantação'!B71="CSC",AVERAGE('Pós Implantação'!D71,'Pós Implantação'!L71,'Pós Implantação'!J71),AVERAGE('Pós Implantação'!J71)),"")</f>
        <v/>
      </c>
      <c r="H71" s="34" t="str">
        <f>IFERROR(IF('Pós Implantação'!B71="Operações \ Negócio",AVERAGE('Pós Implantação'!D71,'Pós Implantação'!L71,'Pós Implantação'!K71),AVERAGE('Pós Implantação'!K71)),"")</f>
        <v/>
      </c>
      <c r="I71" s="34" t="str">
        <f>IFERROR(IF('Pós Implantação'!B71="Projetos",AVERAGE('Pós Implantação'!D71,'Pós Implantação'!L71,'Pós Implantação'!M71),AVERAGE('Pós Implantação'!M71)),"")</f>
        <v/>
      </c>
      <c r="J71" s="34" t="str">
        <f>IFERROR(IF('Pós Implantação'!B71="Engenharia",AVERAGE('Pós Implantação'!D71,'Pós Implantação'!L71,'Pós Implantação'!N71),AVERAGE('Pós Implantação'!N71)),"")</f>
        <v/>
      </c>
      <c r="K71" s="34" t="str">
        <f>IFERROR(IF('Pós Implantação'!B71="URA",AVERAGE('Pós Implantação'!D71,'Pós Implantação'!L71),""),"")</f>
        <v/>
      </c>
      <c r="L71" s="34" t="str">
        <f>IFERROR(IF('Pós Implantação'!B71="CSE Microsoft",AVERAGE('Pós Implantação'!D71,'Pós Implantação'!L71),""),"")</f>
        <v/>
      </c>
      <c r="M71" s="34" t="str">
        <f>IFERROR(IF('Pós Implantação'!B71="CSE Telecom",AVERAGE('Pós Implantação'!D71,'Pós Implantação'!L71),""),"")</f>
        <v/>
      </c>
      <c r="N71" s="34" t="str">
        <f>IFERROR(IF('Pós Implantação'!B71="Site Suporte de Campo",AVERAGE('Pós Implantação'!D71,'Pós Implantação'!L71),""),"")</f>
        <v/>
      </c>
      <c r="O71" s="49" t="str">
        <f>IFERROR(IF('Pós Implantação'!B71="Infraestrutura",AVERAGE('Pós Implantação'!D71,'Pós Implantação'!L71),""),"")</f>
        <v/>
      </c>
    </row>
    <row r="72" spans="1:15" x14ac:dyDescent="0.3">
      <c r="A72" s="33">
        <f>'Pré Implantação'!A72</f>
        <v>0</v>
      </c>
      <c r="B72" s="36" t="str">
        <f>'Pós Implantação'!C72</f>
        <v>0</v>
      </c>
      <c r="C72" s="34" t="str">
        <f>IFERROR(IF('Pré Implantação'!B72="Produção TI",AVERAGE('Pós Implantação'!D72,'Pós Implantação'!E72,'Pós Implantação'!L72,'Pós Implantação'!H72),AVERAGE('Pré Implantação'!E72,'Pré Implantação'!H72)),"")</f>
        <v/>
      </c>
      <c r="D72" s="34" t="str">
        <f>IFERROR(IF('Pós Implantação'!B72="CSC Service Desk",AVERAGE('Pós Implantação'!D72,'Pós Implantação'!L72,'Pós Implantação'!F72),AVERAGE('Pós Implantação'!F72)),"")</f>
        <v/>
      </c>
      <c r="E72" s="34" t="str">
        <f>IFERROR(IF('Pós Implantação'!B72="CSC NOC",AVERAGE('Pós Implantação'!D72,'Pós Implantação'!L72,'Pós Implantação'!G72),AVERAGE('Pós Implantação'!G72)),"")</f>
        <v/>
      </c>
      <c r="F72" s="34" t="str">
        <f>IFERROR(IF('Pós Implantação'!B72="CSE Gravadores",AVERAGE('Pós Implantação'!D72,'Pós Implantação'!L72,'Pós Implantação'!I72),AVERAGE('Pós Implantação'!I72)),"")</f>
        <v/>
      </c>
      <c r="G72" s="34" t="str">
        <f>IFERROR(IF('Pós Implantação'!B72="CSC",AVERAGE('Pós Implantação'!D72,'Pós Implantação'!L72,'Pós Implantação'!J72),AVERAGE('Pós Implantação'!J72)),"")</f>
        <v/>
      </c>
      <c r="H72" s="34" t="str">
        <f>IFERROR(IF('Pós Implantação'!B72="Operações \ Negócio",AVERAGE('Pós Implantação'!D72,'Pós Implantação'!L72,'Pós Implantação'!K72),AVERAGE('Pós Implantação'!K72)),"")</f>
        <v/>
      </c>
      <c r="I72" s="34" t="str">
        <f>IFERROR(IF('Pós Implantação'!B72="Projetos",AVERAGE('Pós Implantação'!D72,'Pós Implantação'!L72,'Pós Implantação'!M72),AVERAGE('Pós Implantação'!M72)),"")</f>
        <v/>
      </c>
      <c r="J72" s="34" t="str">
        <f>IFERROR(IF('Pós Implantação'!B72="Engenharia",AVERAGE('Pós Implantação'!D72,'Pós Implantação'!L72,'Pós Implantação'!N72),AVERAGE('Pós Implantação'!N72)),"")</f>
        <v/>
      </c>
      <c r="K72" s="34" t="str">
        <f>IFERROR(IF('Pós Implantação'!B72="URA",AVERAGE('Pós Implantação'!D72,'Pós Implantação'!L72),""),"")</f>
        <v/>
      </c>
      <c r="L72" s="34" t="str">
        <f>IFERROR(IF('Pós Implantação'!B72="CSE Microsoft",AVERAGE('Pós Implantação'!D72,'Pós Implantação'!L72),""),"")</f>
        <v/>
      </c>
      <c r="M72" s="34" t="str">
        <f>IFERROR(IF('Pós Implantação'!B72="CSE Telecom",AVERAGE('Pós Implantação'!D72,'Pós Implantação'!L72),""),"")</f>
        <v/>
      </c>
      <c r="N72" s="34" t="str">
        <f>IFERROR(IF('Pós Implantação'!B72="Site Suporte de Campo",AVERAGE('Pós Implantação'!D72,'Pós Implantação'!L72),""),"")</f>
        <v/>
      </c>
      <c r="O72" s="49" t="str">
        <f>IFERROR(IF('Pós Implantação'!B72="Infraestrutura",AVERAGE('Pós Implantação'!D72,'Pós Implantação'!L72),""),"")</f>
        <v/>
      </c>
    </row>
    <row r="73" spans="1:15" x14ac:dyDescent="0.3">
      <c r="A73" s="33">
        <f>'Pré Implantação'!A73</f>
        <v>0</v>
      </c>
      <c r="B73" s="36" t="str">
        <f>'Pós Implantação'!C73</f>
        <v>0</v>
      </c>
      <c r="C73" s="34" t="str">
        <f>IFERROR(IF('Pré Implantação'!B73="Produção TI",AVERAGE('Pós Implantação'!D73,'Pós Implantação'!E73,'Pós Implantação'!L73,'Pós Implantação'!H73),AVERAGE('Pré Implantação'!E73,'Pré Implantação'!H73)),"")</f>
        <v/>
      </c>
      <c r="D73" s="34" t="str">
        <f>IFERROR(IF('Pós Implantação'!B73="CSC Service Desk",AVERAGE('Pós Implantação'!D73,'Pós Implantação'!L73,'Pós Implantação'!F73),AVERAGE('Pós Implantação'!F73)),"")</f>
        <v/>
      </c>
      <c r="E73" s="34" t="str">
        <f>IFERROR(IF('Pós Implantação'!B73="CSC NOC",AVERAGE('Pós Implantação'!D73,'Pós Implantação'!L73,'Pós Implantação'!G73),AVERAGE('Pós Implantação'!G73)),"")</f>
        <v/>
      </c>
      <c r="F73" s="34" t="str">
        <f>IFERROR(IF('Pós Implantação'!B73="CSE Gravadores",AVERAGE('Pós Implantação'!D73,'Pós Implantação'!L73,'Pós Implantação'!I73),AVERAGE('Pós Implantação'!I73)),"")</f>
        <v/>
      </c>
      <c r="G73" s="34" t="str">
        <f>IFERROR(IF('Pós Implantação'!B73="CSC",AVERAGE('Pós Implantação'!D73,'Pós Implantação'!L73,'Pós Implantação'!J73),AVERAGE('Pós Implantação'!J73)),"")</f>
        <v/>
      </c>
      <c r="H73" s="34" t="str">
        <f>IFERROR(IF('Pós Implantação'!B73="Operações \ Negócio",AVERAGE('Pós Implantação'!D73,'Pós Implantação'!L73,'Pós Implantação'!K73),AVERAGE('Pós Implantação'!K73)),"")</f>
        <v/>
      </c>
      <c r="I73" s="34" t="str">
        <f>IFERROR(IF('Pós Implantação'!B73="Projetos",AVERAGE('Pós Implantação'!D73,'Pós Implantação'!L73,'Pós Implantação'!M73),AVERAGE('Pós Implantação'!M73)),"")</f>
        <v/>
      </c>
      <c r="J73" s="34" t="str">
        <f>IFERROR(IF('Pós Implantação'!B73="Engenharia",AVERAGE('Pós Implantação'!D73,'Pós Implantação'!L73,'Pós Implantação'!N73),AVERAGE('Pós Implantação'!N73)),"")</f>
        <v/>
      </c>
      <c r="K73" s="34" t="str">
        <f>IFERROR(IF('Pós Implantação'!B73="URA",AVERAGE('Pós Implantação'!D73,'Pós Implantação'!L73),""),"")</f>
        <v/>
      </c>
      <c r="L73" s="34" t="str">
        <f>IFERROR(IF('Pós Implantação'!B73="CSE Microsoft",AVERAGE('Pós Implantação'!D73,'Pós Implantação'!L73),""),"")</f>
        <v/>
      </c>
      <c r="M73" s="34" t="str">
        <f>IFERROR(IF('Pós Implantação'!B73="CSE Telecom",AVERAGE('Pós Implantação'!D73,'Pós Implantação'!L73),""),"")</f>
        <v/>
      </c>
      <c r="N73" s="34" t="str">
        <f>IFERROR(IF('Pós Implantação'!B73="Site Suporte de Campo",AVERAGE('Pós Implantação'!D73,'Pós Implantação'!L73),""),"")</f>
        <v/>
      </c>
      <c r="O73" s="49" t="str">
        <f>IFERROR(IF('Pós Implantação'!B73="Infraestrutura",AVERAGE('Pós Implantação'!D73,'Pós Implantação'!L73),""),"")</f>
        <v/>
      </c>
    </row>
    <row r="74" spans="1:15" x14ac:dyDescent="0.3">
      <c r="A74" s="33">
        <f>'Pré Implantação'!A74</f>
        <v>0</v>
      </c>
      <c r="B74" s="36" t="str">
        <f>'Pós Implantação'!C74</f>
        <v>0</v>
      </c>
      <c r="C74" s="34" t="str">
        <f>IFERROR(IF('Pré Implantação'!B74="Produção TI",AVERAGE('Pós Implantação'!D74,'Pós Implantação'!E74,'Pós Implantação'!L74,'Pós Implantação'!H74),AVERAGE('Pré Implantação'!E74,'Pré Implantação'!H74)),"")</f>
        <v/>
      </c>
      <c r="D74" s="34" t="str">
        <f>IFERROR(IF('Pós Implantação'!B74="CSC Service Desk",AVERAGE('Pós Implantação'!D74,'Pós Implantação'!L74,'Pós Implantação'!F74),AVERAGE('Pós Implantação'!F74)),"")</f>
        <v/>
      </c>
      <c r="E74" s="34" t="str">
        <f>IFERROR(IF('Pós Implantação'!B74="CSC NOC",AVERAGE('Pós Implantação'!D74,'Pós Implantação'!L74,'Pós Implantação'!G74),AVERAGE('Pós Implantação'!G74)),"")</f>
        <v/>
      </c>
      <c r="F74" s="34" t="str">
        <f>IFERROR(IF('Pós Implantação'!B74="CSE Gravadores",AVERAGE('Pós Implantação'!D74,'Pós Implantação'!L74,'Pós Implantação'!I74),AVERAGE('Pós Implantação'!I74)),"")</f>
        <v/>
      </c>
      <c r="G74" s="34" t="str">
        <f>IFERROR(IF('Pós Implantação'!B74="CSC",AVERAGE('Pós Implantação'!D74,'Pós Implantação'!L74,'Pós Implantação'!J74),AVERAGE('Pós Implantação'!J74)),"")</f>
        <v/>
      </c>
      <c r="H74" s="34" t="str">
        <f>IFERROR(IF('Pós Implantação'!B74="Operações \ Negócio",AVERAGE('Pós Implantação'!D74,'Pós Implantação'!L74,'Pós Implantação'!K74),AVERAGE('Pós Implantação'!K74)),"")</f>
        <v/>
      </c>
      <c r="I74" s="34" t="str">
        <f>IFERROR(IF('Pós Implantação'!B74="Projetos",AVERAGE('Pós Implantação'!D74,'Pós Implantação'!L74,'Pós Implantação'!M74),AVERAGE('Pós Implantação'!M74)),"")</f>
        <v/>
      </c>
      <c r="J74" s="34" t="str">
        <f>IFERROR(IF('Pós Implantação'!B74="Engenharia",AVERAGE('Pós Implantação'!D74,'Pós Implantação'!L74,'Pós Implantação'!N74),AVERAGE('Pós Implantação'!N74)),"")</f>
        <v/>
      </c>
      <c r="K74" s="34" t="str">
        <f>IFERROR(IF('Pós Implantação'!B74="URA",AVERAGE('Pós Implantação'!D74,'Pós Implantação'!L74),""),"")</f>
        <v/>
      </c>
      <c r="L74" s="34" t="str">
        <f>IFERROR(IF('Pós Implantação'!B74="CSE Microsoft",AVERAGE('Pós Implantação'!D74,'Pós Implantação'!L74),""),"")</f>
        <v/>
      </c>
      <c r="M74" s="34" t="str">
        <f>IFERROR(IF('Pós Implantação'!B74="CSE Telecom",AVERAGE('Pós Implantação'!D74,'Pós Implantação'!L74),""),"")</f>
        <v/>
      </c>
      <c r="N74" s="34" t="str">
        <f>IFERROR(IF('Pós Implantação'!B74="Site Suporte de Campo",AVERAGE('Pós Implantação'!D74,'Pós Implantação'!L74),""),"")</f>
        <v/>
      </c>
      <c r="O74" s="49" t="str">
        <f>IFERROR(IF('Pós Implantação'!B74="Infraestrutura",AVERAGE('Pós Implantação'!D74,'Pós Implantação'!L74),""),"")</f>
        <v/>
      </c>
    </row>
    <row r="75" spans="1:15" x14ac:dyDescent="0.3">
      <c r="A75" s="33">
        <f>'Pré Implantação'!A75</f>
        <v>0</v>
      </c>
      <c r="B75" s="36" t="str">
        <f>'Pós Implantação'!C75</f>
        <v>0</v>
      </c>
      <c r="C75" s="34" t="str">
        <f>IFERROR(IF('Pré Implantação'!B75="Produção TI",AVERAGE('Pós Implantação'!D75,'Pós Implantação'!E75,'Pós Implantação'!L75,'Pós Implantação'!H75),AVERAGE('Pré Implantação'!E75,'Pré Implantação'!H75)),"")</f>
        <v/>
      </c>
      <c r="D75" s="34" t="str">
        <f>IFERROR(IF('Pós Implantação'!B75="CSC Service Desk",AVERAGE('Pós Implantação'!D75,'Pós Implantação'!L75,'Pós Implantação'!F75),AVERAGE('Pós Implantação'!F75)),"")</f>
        <v/>
      </c>
      <c r="E75" s="34" t="str">
        <f>IFERROR(IF('Pós Implantação'!B75="CSC NOC",AVERAGE('Pós Implantação'!D75,'Pós Implantação'!L75,'Pós Implantação'!G75),AVERAGE('Pós Implantação'!G75)),"")</f>
        <v/>
      </c>
      <c r="F75" s="34" t="str">
        <f>IFERROR(IF('Pós Implantação'!B75="CSE Gravadores",AVERAGE('Pós Implantação'!D75,'Pós Implantação'!L75,'Pós Implantação'!I75),AVERAGE('Pós Implantação'!I75)),"")</f>
        <v/>
      </c>
      <c r="G75" s="34" t="str">
        <f>IFERROR(IF('Pós Implantação'!B75="CSC",AVERAGE('Pós Implantação'!D75,'Pós Implantação'!L75,'Pós Implantação'!J75),AVERAGE('Pós Implantação'!J75)),"")</f>
        <v/>
      </c>
      <c r="H75" s="34" t="str">
        <f>IFERROR(IF('Pós Implantação'!B75="Operações \ Negócio",AVERAGE('Pós Implantação'!D75,'Pós Implantação'!L75,'Pós Implantação'!K75),AVERAGE('Pós Implantação'!K75)),"")</f>
        <v/>
      </c>
      <c r="I75" s="34" t="str">
        <f>IFERROR(IF('Pós Implantação'!B75="Projetos",AVERAGE('Pós Implantação'!D75,'Pós Implantação'!L75,'Pós Implantação'!M75),AVERAGE('Pós Implantação'!M75)),"")</f>
        <v/>
      </c>
      <c r="J75" s="34" t="str">
        <f>IFERROR(IF('Pós Implantação'!B75="Engenharia",AVERAGE('Pós Implantação'!D75,'Pós Implantação'!L75,'Pós Implantação'!N75),AVERAGE('Pós Implantação'!N75)),"")</f>
        <v/>
      </c>
      <c r="K75" s="34" t="str">
        <f>IFERROR(IF('Pós Implantação'!B75="URA",AVERAGE('Pós Implantação'!D75,'Pós Implantação'!L75),""),"")</f>
        <v/>
      </c>
      <c r="L75" s="34" t="str">
        <f>IFERROR(IF('Pós Implantação'!B75="CSE Microsoft",AVERAGE('Pós Implantação'!D75,'Pós Implantação'!L75),""),"")</f>
        <v/>
      </c>
      <c r="M75" s="34" t="str">
        <f>IFERROR(IF('Pós Implantação'!B75="CSE Telecom",AVERAGE('Pós Implantação'!D75,'Pós Implantação'!L75),""),"")</f>
        <v/>
      </c>
      <c r="N75" s="34" t="str">
        <f>IFERROR(IF('Pós Implantação'!B75="Site Suporte de Campo",AVERAGE('Pós Implantação'!D75,'Pós Implantação'!L75),""),"")</f>
        <v/>
      </c>
      <c r="O75" s="49" t="str">
        <f>IFERROR(IF('Pós Implantação'!B75="Infraestrutura",AVERAGE('Pós Implantação'!D75,'Pós Implantação'!L75),""),"")</f>
        <v/>
      </c>
    </row>
    <row r="76" spans="1:15" x14ac:dyDescent="0.3">
      <c r="A76" s="33">
        <f>'Pré Implantação'!A76</f>
        <v>0</v>
      </c>
      <c r="B76" s="36" t="str">
        <f>'Pós Implantação'!C76</f>
        <v>0</v>
      </c>
      <c r="C76" s="34" t="str">
        <f>IFERROR(IF('Pré Implantação'!B76="Produção TI",AVERAGE('Pós Implantação'!D76,'Pós Implantação'!E76,'Pós Implantação'!L76,'Pós Implantação'!H76),AVERAGE('Pré Implantação'!E76,'Pré Implantação'!H76)),"")</f>
        <v/>
      </c>
      <c r="D76" s="34" t="str">
        <f>IFERROR(IF('Pós Implantação'!B76="CSC Service Desk",AVERAGE('Pós Implantação'!D76,'Pós Implantação'!L76,'Pós Implantação'!F76),AVERAGE('Pós Implantação'!F76)),"")</f>
        <v/>
      </c>
      <c r="E76" s="34" t="str">
        <f>IFERROR(IF('Pós Implantação'!B76="CSC NOC",AVERAGE('Pós Implantação'!D76,'Pós Implantação'!L76,'Pós Implantação'!G76),AVERAGE('Pós Implantação'!G76)),"")</f>
        <v/>
      </c>
      <c r="F76" s="34" t="str">
        <f>IFERROR(IF('Pós Implantação'!B76="CSE Gravadores",AVERAGE('Pós Implantação'!D76,'Pós Implantação'!L76,'Pós Implantação'!I76),AVERAGE('Pós Implantação'!I76)),"")</f>
        <v/>
      </c>
      <c r="G76" s="34" t="str">
        <f>IFERROR(IF('Pós Implantação'!B76="CSC",AVERAGE('Pós Implantação'!D76,'Pós Implantação'!L76,'Pós Implantação'!J76),AVERAGE('Pós Implantação'!J76)),"")</f>
        <v/>
      </c>
      <c r="H76" s="34" t="str">
        <f>IFERROR(IF('Pós Implantação'!B76="Operações \ Negócio",AVERAGE('Pós Implantação'!D76,'Pós Implantação'!L76,'Pós Implantação'!K76),AVERAGE('Pós Implantação'!K76)),"")</f>
        <v/>
      </c>
      <c r="I76" s="34" t="str">
        <f>IFERROR(IF('Pós Implantação'!B76="Projetos",AVERAGE('Pós Implantação'!D76,'Pós Implantação'!L76,'Pós Implantação'!M76),AVERAGE('Pós Implantação'!M76)),"")</f>
        <v/>
      </c>
      <c r="J76" s="34" t="str">
        <f>IFERROR(IF('Pós Implantação'!B76="Engenharia",AVERAGE('Pós Implantação'!D76,'Pós Implantação'!L76,'Pós Implantação'!N76),AVERAGE('Pós Implantação'!N76)),"")</f>
        <v/>
      </c>
      <c r="K76" s="34" t="str">
        <f>IFERROR(IF('Pós Implantação'!B76="URA",AVERAGE('Pós Implantação'!D76,'Pós Implantação'!L76),""),"")</f>
        <v/>
      </c>
      <c r="L76" s="34" t="str">
        <f>IFERROR(IF('Pós Implantação'!B76="CSE Microsoft",AVERAGE('Pós Implantação'!D76,'Pós Implantação'!L76),""),"")</f>
        <v/>
      </c>
      <c r="M76" s="34" t="str">
        <f>IFERROR(IF('Pós Implantação'!B76="CSE Telecom",AVERAGE('Pós Implantação'!D76,'Pós Implantação'!L76),""),"")</f>
        <v/>
      </c>
      <c r="N76" s="34" t="str">
        <f>IFERROR(IF('Pós Implantação'!B76="Site Suporte de Campo",AVERAGE('Pós Implantação'!D76,'Pós Implantação'!L76),""),"")</f>
        <v/>
      </c>
      <c r="O76" s="49" t="str">
        <f>IFERROR(IF('Pós Implantação'!B76="Infraestrutura",AVERAGE('Pós Implantação'!D76,'Pós Implantação'!L76),""),"")</f>
        <v/>
      </c>
    </row>
    <row r="77" spans="1:15" x14ac:dyDescent="0.3">
      <c r="A77" s="33">
        <f>'Pré Implantação'!A77</f>
        <v>0</v>
      </c>
      <c r="B77" s="36" t="str">
        <f>'Pós Implantação'!C77</f>
        <v>0</v>
      </c>
      <c r="C77" s="34" t="str">
        <f>IFERROR(IF('Pré Implantação'!B77="Produção TI",AVERAGE('Pós Implantação'!D77,'Pós Implantação'!E77,'Pós Implantação'!L77,'Pós Implantação'!H77),AVERAGE('Pré Implantação'!E77,'Pré Implantação'!H77)),"")</f>
        <v/>
      </c>
      <c r="D77" s="34" t="str">
        <f>IFERROR(IF('Pós Implantação'!B77="CSC Service Desk",AVERAGE('Pós Implantação'!D77,'Pós Implantação'!L77,'Pós Implantação'!F77),AVERAGE('Pós Implantação'!F77)),"")</f>
        <v/>
      </c>
      <c r="E77" s="34" t="str">
        <f>IFERROR(IF('Pós Implantação'!B77="CSC NOC",AVERAGE('Pós Implantação'!D77,'Pós Implantação'!L77,'Pós Implantação'!G77),AVERAGE('Pós Implantação'!G77)),"")</f>
        <v/>
      </c>
      <c r="F77" s="34" t="str">
        <f>IFERROR(IF('Pós Implantação'!B77="CSE Gravadores",AVERAGE('Pós Implantação'!D77,'Pós Implantação'!L77,'Pós Implantação'!I77),AVERAGE('Pós Implantação'!I77)),"")</f>
        <v/>
      </c>
      <c r="G77" s="34" t="str">
        <f>IFERROR(IF('Pós Implantação'!B77="CSC",AVERAGE('Pós Implantação'!D77,'Pós Implantação'!L77,'Pós Implantação'!J77),AVERAGE('Pós Implantação'!J77)),"")</f>
        <v/>
      </c>
      <c r="H77" s="34" t="str">
        <f>IFERROR(IF('Pós Implantação'!B77="Operações \ Negócio",AVERAGE('Pós Implantação'!D77,'Pós Implantação'!L77,'Pós Implantação'!K77),AVERAGE('Pós Implantação'!K77)),"")</f>
        <v/>
      </c>
      <c r="I77" s="34" t="str">
        <f>IFERROR(IF('Pós Implantação'!B77="Projetos",AVERAGE('Pós Implantação'!D77,'Pós Implantação'!L77,'Pós Implantação'!M77),AVERAGE('Pós Implantação'!M77)),"")</f>
        <v/>
      </c>
      <c r="J77" s="34" t="str">
        <f>IFERROR(IF('Pós Implantação'!B77="Engenharia",AVERAGE('Pós Implantação'!D77,'Pós Implantação'!L77,'Pós Implantação'!N77),AVERAGE('Pós Implantação'!N77)),"")</f>
        <v/>
      </c>
      <c r="K77" s="34" t="str">
        <f>IFERROR(IF('Pós Implantação'!B77="URA",AVERAGE('Pós Implantação'!D77,'Pós Implantação'!L77),""),"")</f>
        <v/>
      </c>
      <c r="L77" s="34" t="str">
        <f>IFERROR(IF('Pós Implantação'!B77="CSE Microsoft",AVERAGE('Pós Implantação'!D77,'Pós Implantação'!L77),""),"")</f>
        <v/>
      </c>
      <c r="M77" s="34" t="str">
        <f>IFERROR(IF('Pós Implantação'!B77="CSE Telecom",AVERAGE('Pós Implantação'!D77,'Pós Implantação'!L77),""),"")</f>
        <v/>
      </c>
      <c r="N77" s="34" t="str">
        <f>IFERROR(IF('Pós Implantação'!B77="Site Suporte de Campo",AVERAGE('Pós Implantação'!D77,'Pós Implantação'!L77),""),"")</f>
        <v/>
      </c>
      <c r="O77" s="49" t="str">
        <f>IFERROR(IF('Pós Implantação'!B77="Infraestrutura",AVERAGE('Pós Implantação'!D77,'Pós Implantação'!L77),""),"")</f>
        <v/>
      </c>
    </row>
    <row r="78" spans="1:15" x14ac:dyDescent="0.3">
      <c r="A78" s="33">
        <f>'Pré Implantação'!A78</f>
        <v>0</v>
      </c>
      <c r="B78" s="36" t="str">
        <f>'Pós Implantação'!C78</f>
        <v>0</v>
      </c>
      <c r="C78" s="34" t="str">
        <f>IFERROR(IF('Pré Implantação'!B78="Produção TI",AVERAGE('Pós Implantação'!D78,'Pós Implantação'!E78,'Pós Implantação'!L78,'Pós Implantação'!H78),AVERAGE('Pré Implantação'!E78,'Pré Implantação'!H78)),"")</f>
        <v/>
      </c>
      <c r="D78" s="34" t="str">
        <f>IFERROR(IF('Pós Implantação'!B78="CSC Service Desk",AVERAGE('Pós Implantação'!D78,'Pós Implantação'!L78,'Pós Implantação'!F78),AVERAGE('Pós Implantação'!F78)),"")</f>
        <v/>
      </c>
      <c r="E78" s="34" t="str">
        <f>IFERROR(IF('Pós Implantação'!B78="CSC NOC",AVERAGE('Pós Implantação'!D78,'Pós Implantação'!L78,'Pós Implantação'!G78),AVERAGE('Pós Implantação'!G78)),"")</f>
        <v/>
      </c>
      <c r="F78" s="34" t="str">
        <f>IFERROR(IF('Pós Implantação'!B78="CSE Gravadores",AVERAGE('Pós Implantação'!D78,'Pós Implantação'!L78,'Pós Implantação'!I78),AVERAGE('Pós Implantação'!I78)),"")</f>
        <v/>
      </c>
      <c r="G78" s="34" t="str">
        <f>IFERROR(IF('Pós Implantação'!B78="CSC",AVERAGE('Pós Implantação'!D78,'Pós Implantação'!L78,'Pós Implantação'!J78),AVERAGE('Pós Implantação'!J78)),"")</f>
        <v/>
      </c>
      <c r="H78" s="34" t="str">
        <f>IFERROR(IF('Pós Implantação'!B78="Operações \ Negócio",AVERAGE('Pós Implantação'!D78,'Pós Implantação'!L78,'Pós Implantação'!K78),AVERAGE('Pós Implantação'!K78)),"")</f>
        <v/>
      </c>
      <c r="I78" s="34" t="str">
        <f>IFERROR(IF('Pós Implantação'!B78="Projetos",AVERAGE('Pós Implantação'!D78,'Pós Implantação'!L78,'Pós Implantação'!M78),AVERAGE('Pós Implantação'!M78)),"")</f>
        <v/>
      </c>
      <c r="J78" s="34" t="str">
        <f>IFERROR(IF('Pós Implantação'!B78="Engenharia",AVERAGE('Pós Implantação'!D78,'Pós Implantação'!L78,'Pós Implantação'!N78),AVERAGE('Pós Implantação'!N78)),"")</f>
        <v/>
      </c>
      <c r="K78" s="34" t="str">
        <f>IFERROR(IF('Pós Implantação'!B78="URA",AVERAGE('Pós Implantação'!D78,'Pós Implantação'!L78),""),"")</f>
        <v/>
      </c>
      <c r="L78" s="34" t="str">
        <f>IFERROR(IF('Pós Implantação'!B78="CSE Microsoft",AVERAGE('Pós Implantação'!D78,'Pós Implantação'!L78),""),"")</f>
        <v/>
      </c>
      <c r="M78" s="34" t="str">
        <f>IFERROR(IF('Pós Implantação'!B78="CSE Telecom",AVERAGE('Pós Implantação'!D78,'Pós Implantação'!L78),""),"")</f>
        <v/>
      </c>
      <c r="N78" s="34" t="str">
        <f>IFERROR(IF('Pós Implantação'!B78="Site Suporte de Campo",AVERAGE('Pós Implantação'!D78,'Pós Implantação'!L78),""),"")</f>
        <v/>
      </c>
      <c r="O78" s="49" t="str">
        <f>IFERROR(IF('Pós Implantação'!B78="Infraestrutura",AVERAGE('Pós Implantação'!D78,'Pós Implantação'!L78),""),"")</f>
        <v/>
      </c>
    </row>
    <row r="79" spans="1:15" x14ac:dyDescent="0.3">
      <c r="A79" s="33">
        <f>'Pré Implantação'!A79</f>
        <v>0</v>
      </c>
      <c r="B79" s="36" t="str">
        <f>'Pós Implantação'!C79</f>
        <v>0</v>
      </c>
      <c r="C79" s="34" t="str">
        <f>IFERROR(IF('Pré Implantação'!B79="Produção TI",AVERAGE('Pós Implantação'!D79,'Pós Implantação'!E79,'Pós Implantação'!L79,'Pós Implantação'!H79),AVERAGE('Pré Implantação'!E79,'Pré Implantação'!H79)),"")</f>
        <v/>
      </c>
      <c r="D79" s="34" t="str">
        <f>IFERROR(IF('Pós Implantação'!B79="CSC Service Desk",AVERAGE('Pós Implantação'!D79,'Pós Implantação'!L79,'Pós Implantação'!F79),AVERAGE('Pós Implantação'!F79)),"")</f>
        <v/>
      </c>
      <c r="E79" s="34" t="str">
        <f>IFERROR(IF('Pós Implantação'!B79="CSC NOC",AVERAGE('Pós Implantação'!D79,'Pós Implantação'!L79,'Pós Implantação'!G79),AVERAGE('Pós Implantação'!G79)),"")</f>
        <v/>
      </c>
      <c r="F79" s="34" t="str">
        <f>IFERROR(IF('Pós Implantação'!B79="CSE Gravadores",AVERAGE('Pós Implantação'!D79,'Pós Implantação'!L79,'Pós Implantação'!I79),AVERAGE('Pós Implantação'!I79)),"")</f>
        <v/>
      </c>
      <c r="G79" s="34" t="str">
        <f>IFERROR(IF('Pós Implantação'!B79="CSC",AVERAGE('Pós Implantação'!D79,'Pós Implantação'!L79,'Pós Implantação'!J79),AVERAGE('Pós Implantação'!J79)),"")</f>
        <v/>
      </c>
      <c r="H79" s="34" t="str">
        <f>IFERROR(IF('Pós Implantação'!B79="Operações \ Negócio",AVERAGE('Pós Implantação'!D79,'Pós Implantação'!L79,'Pós Implantação'!K79),AVERAGE('Pós Implantação'!K79)),"")</f>
        <v/>
      </c>
      <c r="I79" s="34" t="str">
        <f>IFERROR(IF('Pós Implantação'!B79="Projetos",AVERAGE('Pós Implantação'!D79,'Pós Implantação'!L79,'Pós Implantação'!M79),AVERAGE('Pós Implantação'!M79)),"")</f>
        <v/>
      </c>
      <c r="J79" s="34" t="str">
        <f>IFERROR(IF('Pós Implantação'!B79="Engenharia",AVERAGE('Pós Implantação'!D79,'Pós Implantação'!L79,'Pós Implantação'!N79),AVERAGE('Pós Implantação'!N79)),"")</f>
        <v/>
      </c>
      <c r="K79" s="34" t="str">
        <f>IFERROR(IF('Pós Implantação'!B79="URA",AVERAGE('Pós Implantação'!D79,'Pós Implantação'!L79),""),"")</f>
        <v/>
      </c>
      <c r="L79" s="34" t="str">
        <f>IFERROR(IF('Pós Implantação'!B79="CSE Microsoft",AVERAGE('Pós Implantação'!D79,'Pós Implantação'!L79),""),"")</f>
        <v/>
      </c>
      <c r="M79" s="34" t="str">
        <f>IFERROR(IF('Pós Implantação'!B79="CSE Telecom",AVERAGE('Pós Implantação'!D79,'Pós Implantação'!L79),""),"")</f>
        <v/>
      </c>
      <c r="N79" s="34" t="str">
        <f>IFERROR(IF('Pós Implantação'!B79="Site Suporte de Campo",AVERAGE('Pós Implantação'!D79,'Pós Implantação'!L79),""),"")</f>
        <v/>
      </c>
      <c r="O79" s="49" t="str">
        <f>IFERROR(IF('Pós Implantação'!B79="Infraestrutura",AVERAGE('Pós Implantação'!D79,'Pós Implantação'!L79),""),"")</f>
        <v/>
      </c>
    </row>
    <row r="80" spans="1:15" x14ac:dyDescent="0.3">
      <c r="A80" s="33">
        <f>'Pré Implantação'!A80</f>
        <v>0</v>
      </c>
      <c r="B80" s="36" t="str">
        <f>'Pós Implantação'!C80</f>
        <v>0</v>
      </c>
      <c r="C80" s="34" t="str">
        <f>IFERROR(IF('Pré Implantação'!B80="Produção TI",AVERAGE('Pós Implantação'!D80,'Pós Implantação'!E80,'Pós Implantação'!L80,'Pós Implantação'!H80),AVERAGE('Pré Implantação'!E80,'Pré Implantação'!H80)),"")</f>
        <v/>
      </c>
      <c r="D80" s="34" t="str">
        <f>IFERROR(IF('Pós Implantação'!B80="CSC Service Desk",AVERAGE('Pós Implantação'!D80,'Pós Implantação'!L80,'Pós Implantação'!F80),AVERAGE('Pós Implantação'!F80)),"")</f>
        <v/>
      </c>
      <c r="E80" s="34" t="str">
        <f>IFERROR(IF('Pós Implantação'!B80="CSC NOC",AVERAGE('Pós Implantação'!D80,'Pós Implantação'!L80,'Pós Implantação'!G80),AVERAGE('Pós Implantação'!G80)),"")</f>
        <v/>
      </c>
      <c r="F80" s="34" t="str">
        <f>IFERROR(IF('Pós Implantação'!B80="CSE Gravadores",AVERAGE('Pós Implantação'!D80,'Pós Implantação'!L80,'Pós Implantação'!I80),AVERAGE('Pós Implantação'!I80)),"")</f>
        <v/>
      </c>
      <c r="G80" s="34" t="str">
        <f>IFERROR(IF('Pós Implantação'!B80="CSC",AVERAGE('Pós Implantação'!D80,'Pós Implantação'!L80,'Pós Implantação'!J80),AVERAGE('Pós Implantação'!J80)),"")</f>
        <v/>
      </c>
      <c r="H80" s="34" t="str">
        <f>IFERROR(IF('Pós Implantação'!B80="Operações \ Negócio",AVERAGE('Pós Implantação'!D80,'Pós Implantação'!L80,'Pós Implantação'!K80),AVERAGE('Pós Implantação'!K80)),"")</f>
        <v/>
      </c>
      <c r="I80" s="34" t="str">
        <f>IFERROR(IF('Pós Implantação'!B80="Projetos",AVERAGE('Pós Implantação'!D80,'Pós Implantação'!L80,'Pós Implantação'!M80),AVERAGE('Pós Implantação'!M80)),"")</f>
        <v/>
      </c>
      <c r="J80" s="34" t="str">
        <f>IFERROR(IF('Pós Implantação'!B80="Engenharia",AVERAGE('Pós Implantação'!D80,'Pós Implantação'!L80,'Pós Implantação'!N80),AVERAGE('Pós Implantação'!N80)),"")</f>
        <v/>
      </c>
      <c r="K80" s="34" t="str">
        <f>IFERROR(IF('Pós Implantação'!B80="URA",AVERAGE('Pós Implantação'!D80,'Pós Implantação'!L80),""),"")</f>
        <v/>
      </c>
      <c r="L80" s="34" t="str">
        <f>IFERROR(IF('Pós Implantação'!B80="CSE Microsoft",AVERAGE('Pós Implantação'!D80,'Pós Implantação'!L80),""),"")</f>
        <v/>
      </c>
      <c r="M80" s="34" t="str">
        <f>IFERROR(IF('Pós Implantação'!B80="CSE Telecom",AVERAGE('Pós Implantação'!D80,'Pós Implantação'!L80),""),"")</f>
        <v/>
      </c>
      <c r="N80" s="34" t="str">
        <f>IFERROR(IF('Pós Implantação'!B80="Site Suporte de Campo",AVERAGE('Pós Implantação'!D80,'Pós Implantação'!L80),""),"")</f>
        <v/>
      </c>
      <c r="O80" s="49" t="str">
        <f>IFERROR(IF('Pós Implantação'!B80="Infraestrutura",AVERAGE('Pós Implantação'!D80,'Pós Implantação'!L80),""),"")</f>
        <v/>
      </c>
    </row>
    <row r="81" spans="1:15" x14ac:dyDescent="0.3">
      <c r="A81" s="33">
        <f>'Pré Implantação'!A81</f>
        <v>0</v>
      </c>
      <c r="B81" s="36" t="str">
        <f>'Pós Implantação'!C81</f>
        <v>0</v>
      </c>
      <c r="C81" s="34" t="str">
        <f>IFERROR(IF('Pré Implantação'!B81="Produção TI",AVERAGE('Pós Implantação'!D81,'Pós Implantação'!E81,'Pós Implantação'!L81,'Pós Implantação'!H81),AVERAGE('Pré Implantação'!E81,'Pré Implantação'!H81)),"")</f>
        <v/>
      </c>
      <c r="D81" s="34" t="str">
        <f>IFERROR(IF('Pós Implantação'!B81="CSC Service Desk",AVERAGE('Pós Implantação'!D81,'Pós Implantação'!L81,'Pós Implantação'!F81),AVERAGE('Pós Implantação'!F81)),"")</f>
        <v/>
      </c>
      <c r="E81" s="34" t="str">
        <f>IFERROR(IF('Pós Implantação'!B81="CSC NOC",AVERAGE('Pós Implantação'!D81,'Pós Implantação'!L81,'Pós Implantação'!G81),AVERAGE('Pós Implantação'!G81)),"")</f>
        <v/>
      </c>
      <c r="F81" s="34" t="str">
        <f>IFERROR(IF('Pós Implantação'!B81="CSE Gravadores",AVERAGE('Pós Implantação'!D81,'Pós Implantação'!L81,'Pós Implantação'!I81),AVERAGE('Pós Implantação'!I81)),"")</f>
        <v/>
      </c>
      <c r="G81" s="34" t="str">
        <f>IFERROR(IF('Pós Implantação'!B81="CSC",AVERAGE('Pós Implantação'!D81,'Pós Implantação'!L81,'Pós Implantação'!J81),AVERAGE('Pós Implantação'!J81)),"")</f>
        <v/>
      </c>
      <c r="H81" s="34" t="str">
        <f>IFERROR(IF('Pós Implantação'!B81="Operações \ Negócio",AVERAGE('Pós Implantação'!D81,'Pós Implantação'!L81,'Pós Implantação'!K81),AVERAGE('Pós Implantação'!K81)),"")</f>
        <v/>
      </c>
      <c r="I81" s="34" t="str">
        <f>IFERROR(IF('Pós Implantação'!B81="Projetos",AVERAGE('Pós Implantação'!D81,'Pós Implantação'!L81,'Pós Implantação'!M81),AVERAGE('Pós Implantação'!M81)),"")</f>
        <v/>
      </c>
      <c r="J81" s="34" t="str">
        <f>IFERROR(IF('Pós Implantação'!B81="Engenharia",AVERAGE('Pós Implantação'!D81,'Pós Implantação'!L81,'Pós Implantação'!N81),AVERAGE('Pós Implantação'!N81)),"")</f>
        <v/>
      </c>
      <c r="K81" s="34" t="str">
        <f>IFERROR(IF('Pós Implantação'!B81="URA",AVERAGE('Pós Implantação'!D81,'Pós Implantação'!L81),""),"")</f>
        <v/>
      </c>
      <c r="L81" s="34" t="str">
        <f>IFERROR(IF('Pós Implantação'!B81="CSE Microsoft",AVERAGE('Pós Implantação'!D81,'Pós Implantação'!L81),""),"")</f>
        <v/>
      </c>
      <c r="M81" s="34" t="str">
        <f>IFERROR(IF('Pós Implantação'!B81="CSE Telecom",AVERAGE('Pós Implantação'!D81,'Pós Implantação'!L81),""),"")</f>
        <v/>
      </c>
      <c r="N81" s="34" t="str">
        <f>IFERROR(IF('Pós Implantação'!B81="Site Suporte de Campo",AVERAGE('Pós Implantação'!D81,'Pós Implantação'!L81),""),"")</f>
        <v/>
      </c>
      <c r="O81" s="49" t="str">
        <f>IFERROR(IF('Pós Implantação'!B81="Infraestrutura",AVERAGE('Pós Implantação'!D81,'Pós Implantação'!L81),""),"")</f>
        <v/>
      </c>
    </row>
    <row r="82" spans="1:15" x14ac:dyDescent="0.3">
      <c r="A82" s="33">
        <f>'Pré Implantação'!A82</f>
        <v>0</v>
      </c>
      <c r="B82" s="36" t="str">
        <f>'Pós Implantação'!C82</f>
        <v>0</v>
      </c>
      <c r="C82" s="34" t="str">
        <f>IFERROR(IF('Pré Implantação'!B82="Produção TI",AVERAGE('Pós Implantação'!D82,'Pós Implantação'!E82,'Pós Implantação'!L82,'Pós Implantação'!H82),AVERAGE('Pré Implantação'!E82,'Pré Implantação'!H82)),"")</f>
        <v/>
      </c>
      <c r="D82" s="34" t="str">
        <f>IFERROR(IF('Pós Implantação'!B82="CSC Service Desk",AVERAGE('Pós Implantação'!D82,'Pós Implantação'!L82,'Pós Implantação'!F82),AVERAGE('Pós Implantação'!F82)),"")</f>
        <v/>
      </c>
      <c r="E82" s="34" t="str">
        <f>IFERROR(IF('Pós Implantação'!B82="CSC NOC",AVERAGE('Pós Implantação'!D82,'Pós Implantação'!L82,'Pós Implantação'!G82),AVERAGE('Pós Implantação'!G82)),"")</f>
        <v/>
      </c>
      <c r="F82" s="34" t="str">
        <f>IFERROR(IF('Pós Implantação'!B82="CSE Gravadores",AVERAGE('Pós Implantação'!D82,'Pós Implantação'!L82,'Pós Implantação'!I82),AVERAGE('Pós Implantação'!I82)),"")</f>
        <v/>
      </c>
      <c r="G82" s="34" t="str">
        <f>IFERROR(IF('Pós Implantação'!B82="CSC",AVERAGE('Pós Implantação'!D82,'Pós Implantação'!L82,'Pós Implantação'!J82),AVERAGE('Pós Implantação'!J82)),"")</f>
        <v/>
      </c>
      <c r="H82" s="34" t="str">
        <f>IFERROR(IF('Pós Implantação'!B82="Operações \ Negócio",AVERAGE('Pós Implantação'!D82,'Pós Implantação'!L82,'Pós Implantação'!K82),AVERAGE('Pós Implantação'!K82)),"")</f>
        <v/>
      </c>
      <c r="I82" s="34" t="str">
        <f>IFERROR(IF('Pós Implantação'!B82="Projetos",AVERAGE('Pós Implantação'!D82,'Pós Implantação'!L82,'Pós Implantação'!M82),AVERAGE('Pós Implantação'!M82)),"")</f>
        <v/>
      </c>
      <c r="J82" s="34" t="str">
        <f>IFERROR(IF('Pós Implantação'!B82="Engenharia",AVERAGE('Pós Implantação'!D82,'Pós Implantação'!L82,'Pós Implantação'!N82),AVERAGE('Pós Implantação'!N82)),"")</f>
        <v/>
      </c>
      <c r="K82" s="34" t="str">
        <f>IFERROR(IF('Pós Implantação'!B82="URA",AVERAGE('Pós Implantação'!D82,'Pós Implantação'!L82),""),"")</f>
        <v/>
      </c>
      <c r="L82" s="34" t="str">
        <f>IFERROR(IF('Pós Implantação'!B82="CSE Microsoft",AVERAGE('Pós Implantação'!D82,'Pós Implantação'!L82),""),"")</f>
        <v/>
      </c>
      <c r="M82" s="34" t="str">
        <f>IFERROR(IF('Pós Implantação'!B82="CSE Telecom",AVERAGE('Pós Implantação'!D82,'Pós Implantação'!L82),""),"")</f>
        <v/>
      </c>
      <c r="N82" s="34" t="str">
        <f>IFERROR(IF('Pós Implantação'!B82="Site Suporte de Campo",AVERAGE('Pós Implantação'!D82,'Pós Implantação'!L82),""),"")</f>
        <v/>
      </c>
      <c r="O82" s="49" t="str">
        <f>IFERROR(IF('Pós Implantação'!B82="Infraestrutura",AVERAGE('Pós Implantação'!D82,'Pós Implantação'!L82),""),"")</f>
        <v/>
      </c>
    </row>
    <row r="83" spans="1:15" x14ac:dyDescent="0.3">
      <c r="A83" s="33">
        <f>'Pré Implantação'!A83</f>
        <v>0</v>
      </c>
      <c r="B83" s="36" t="str">
        <f>'Pós Implantação'!C83</f>
        <v>0</v>
      </c>
      <c r="C83" s="34" t="str">
        <f>IFERROR(IF('Pré Implantação'!B83="Produção TI",AVERAGE('Pós Implantação'!D83,'Pós Implantação'!E83,'Pós Implantação'!L83,'Pós Implantação'!H83),AVERAGE('Pré Implantação'!E83,'Pré Implantação'!H83)),"")</f>
        <v/>
      </c>
      <c r="D83" s="34" t="str">
        <f>IFERROR(IF('Pós Implantação'!B83="CSC Service Desk",AVERAGE('Pós Implantação'!D83,'Pós Implantação'!L83,'Pós Implantação'!F83),AVERAGE('Pós Implantação'!F83)),"")</f>
        <v/>
      </c>
      <c r="E83" s="34" t="str">
        <f>IFERROR(IF('Pós Implantação'!B83="CSC NOC",AVERAGE('Pós Implantação'!D83,'Pós Implantação'!L83,'Pós Implantação'!G83),AVERAGE('Pós Implantação'!G83)),"")</f>
        <v/>
      </c>
      <c r="F83" s="34" t="str">
        <f>IFERROR(IF('Pós Implantação'!B83="CSE Gravadores",AVERAGE('Pós Implantação'!D83,'Pós Implantação'!L83,'Pós Implantação'!I83),AVERAGE('Pós Implantação'!I83)),"")</f>
        <v/>
      </c>
      <c r="G83" s="34" t="str">
        <f>IFERROR(IF('Pós Implantação'!B83="CSC",AVERAGE('Pós Implantação'!D83,'Pós Implantação'!L83,'Pós Implantação'!J83),AVERAGE('Pós Implantação'!J83)),"")</f>
        <v/>
      </c>
      <c r="H83" s="34" t="str">
        <f>IFERROR(IF('Pós Implantação'!B83="Operações \ Negócio",AVERAGE('Pós Implantação'!D83,'Pós Implantação'!L83,'Pós Implantação'!K83),AVERAGE('Pós Implantação'!K83)),"")</f>
        <v/>
      </c>
      <c r="I83" s="34" t="str">
        <f>IFERROR(IF('Pós Implantação'!B83="Projetos",AVERAGE('Pós Implantação'!D83,'Pós Implantação'!L83,'Pós Implantação'!M83),AVERAGE('Pós Implantação'!M83)),"")</f>
        <v/>
      </c>
      <c r="J83" s="34" t="str">
        <f>IFERROR(IF('Pós Implantação'!B83="Engenharia",AVERAGE('Pós Implantação'!D83,'Pós Implantação'!L83,'Pós Implantação'!N83),AVERAGE('Pós Implantação'!N83)),"")</f>
        <v/>
      </c>
      <c r="K83" s="34" t="str">
        <f>IFERROR(IF('Pós Implantação'!B83="URA",AVERAGE('Pós Implantação'!D83,'Pós Implantação'!L83),""),"")</f>
        <v/>
      </c>
      <c r="L83" s="34" t="str">
        <f>IFERROR(IF('Pós Implantação'!B83="CSE Microsoft",AVERAGE('Pós Implantação'!D83,'Pós Implantação'!L83),""),"")</f>
        <v/>
      </c>
      <c r="M83" s="34" t="str">
        <f>IFERROR(IF('Pós Implantação'!B83="CSE Telecom",AVERAGE('Pós Implantação'!D83,'Pós Implantação'!L83),""),"")</f>
        <v/>
      </c>
      <c r="N83" s="34" t="str">
        <f>IFERROR(IF('Pós Implantação'!B83="Site Suporte de Campo",AVERAGE('Pós Implantação'!D83,'Pós Implantação'!L83),""),"")</f>
        <v/>
      </c>
      <c r="O83" s="49" t="str">
        <f>IFERROR(IF('Pós Implantação'!B83="Infraestrutura",AVERAGE('Pós Implantação'!D83,'Pós Implantação'!L83),""),"")</f>
        <v/>
      </c>
    </row>
    <row r="84" spans="1:15" x14ac:dyDescent="0.3">
      <c r="A84" s="33">
        <f>'Pré Implantação'!A84</f>
        <v>0</v>
      </c>
      <c r="B84" s="36" t="str">
        <f>'Pós Implantação'!C84</f>
        <v>0</v>
      </c>
      <c r="C84" s="34" t="str">
        <f>IFERROR(IF('Pré Implantação'!B84="Produção TI",AVERAGE('Pós Implantação'!D84,'Pós Implantação'!E84,'Pós Implantação'!L84,'Pós Implantação'!H84),AVERAGE('Pré Implantação'!E84,'Pré Implantação'!H84)),"")</f>
        <v/>
      </c>
      <c r="D84" s="34" t="str">
        <f>IFERROR(IF('Pós Implantação'!B84="CSC Service Desk",AVERAGE('Pós Implantação'!D84,'Pós Implantação'!L84,'Pós Implantação'!F84),AVERAGE('Pós Implantação'!F84)),"")</f>
        <v/>
      </c>
      <c r="E84" s="34" t="str">
        <f>IFERROR(IF('Pós Implantação'!B84="CSC NOC",AVERAGE('Pós Implantação'!D84,'Pós Implantação'!L84,'Pós Implantação'!G84),AVERAGE('Pós Implantação'!G84)),"")</f>
        <v/>
      </c>
      <c r="F84" s="34" t="str">
        <f>IFERROR(IF('Pós Implantação'!B84="CSE Gravadores",AVERAGE('Pós Implantação'!D84,'Pós Implantação'!L84,'Pós Implantação'!I84),AVERAGE('Pós Implantação'!I84)),"")</f>
        <v/>
      </c>
      <c r="G84" s="34" t="str">
        <f>IFERROR(IF('Pós Implantação'!B84="CSC",AVERAGE('Pós Implantação'!D84,'Pós Implantação'!L84,'Pós Implantação'!J84),AVERAGE('Pós Implantação'!J84)),"")</f>
        <v/>
      </c>
      <c r="H84" s="34" t="str">
        <f>IFERROR(IF('Pós Implantação'!B84="Operações \ Negócio",AVERAGE('Pós Implantação'!D84,'Pós Implantação'!L84,'Pós Implantação'!K84),AVERAGE('Pós Implantação'!K84)),"")</f>
        <v/>
      </c>
      <c r="I84" s="34" t="str">
        <f>IFERROR(IF('Pós Implantação'!B84="Projetos",AVERAGE('Pós Implantação'!D84,'Pós Implantação'!L84,'Pós Implantação'!M84),AVERAGE('Pós Implantação'!M84)),"")</f>
        <v/>
      </c>
      <c r="J84" s="34" t="str">
        <f>IFERROR(IF('Pós Implantação'!B84="Engenharia",AVERAGE('Pós Implantação'!D84,'Pós Implantação'!L84,'Pós Implantação'!N84),AVERAGE('Pós Implantação'!N84)),"")</f>
        <v/>
      </c>
      <c r="K84" s="34" t="str">
        <f>IFERROR(IF('Pós Implantação'!B84="URA",AVERAGE('Pós Implantação'!D84,'Pós Implantação'!L84),""),"")</f>
        <v/>
      </c>
      <c r="L84" s="34" t="str">
        <f>IFERROR(IF('Pós Implantação'!B84="CSE Microsoft",AVERAGE('Pós Implantação'!D84,'Pós Implantação'!L84),""),"")</f>
        <v/>
      </c>
      <c r="M84" s="34" t="str">
        <f>IFERROR(IF('Pós Implantação'!B84="CSE Telecom",AVERAGE('Pós Implantação'!D84,'Pós Implantação'!L84),""),"")</f>
        <v/>
      </c>
      <c r="N84" s="34" t="str">
        <f>IFERROR(IF('Pós Implantação'!B84="Site Suporte de Campo",AVERAGE('Pós Implantação'!D84,'Pós Implantação'!L84),""),"")</f>
        <v/>
      </c>
      <c r="O84" s="49" t="str">
        <f>IFERROR(IF('Pós Implantação'!B84="Infraestrutura",AVERAGE('Pós Implantação'!D84,'Pós Implantação'!L84),""),"")</f>
        <v/>
      </c>
    </row>
    <row r="85" spans="1:15" x14ac:dyDescent="0.3">
      <c r="A85" s="33">
        <f>'Pré Implantação'!A85</f>
        <v>0</v>
      </c>
      <c r="B85" s="36" t="str">
        <f>'Pós Implantação'!C85</f>
        <v>0</v>
      </c>
      <c r="C85" s="34" t="str">
        <f>IFERROR(IF('Pré Implantação'!B85="Produção TI",AVERAGE('Pós Implantação'!D85,'Pós Implantação'!E85,'Pós Implantação'!L85,'Pós Implantação'!H85),AVERAGE('Pré Implantação'!E85,'Pré Implantação'!H85)),"")</f>
        <v/>
      </c>
      <c r="D85" s="34" t="str">
        <f>IFERROR(IF('Pós Implantação'!B85="CSC Service Desk",AVERAGE('Pós Implantação'!D85,'Pós Implantação'!L85,'Pós Implantação'!F85),AVERAGE('Pós Implantação'!F85)),"")</f>
        <v/>
      </c>
      <c r="E85" s="34" t="str">
        <f>IFERROR(IF('Pós Implantação'!B85="CSC NOC",AVERAGE('Pós Implantação'!D85,'Pós Implantação'!L85,'Pós Implantação'!G85),AVERAGE('Pós Implantação'!G85)),"")</f>
        <v/>
      </c>
      <c r="F85" s="34" t="str">
        <f>IFERROR(IF('Pós Implantação'!B85="CSE Gravadores",AVERAGE('Pós Implantação'!D85,'Pós Implantação'!L85,'Pós Implantação'!I85),AVERAGE('Pós Implantação'!I85)),"")</f>
        <v/>
      </c>
      <c r="G85" s="34" t="str">
        <f>IFERROR(IF('Pós Implantação'!B85="CSC",AVERAGE('Pós Implantação'!D85,'Pós Implantação'!L85,'Pós Implantação'!J85),AVERAGE('Pós Implantação'!J85)),"")</f>
        <v/>
      </c>
      <c r="H85" s="34" t="str">
        <f>IFERROR(IF('Pós Implantação'!B85="Operações \ Negócio",AVERAGE('Pós Implantação'!D85,'Pós Implantação'!L85,'Pós Implantação'!K85),AVERAGE('Pós Implantação'!K85)),"")</f>
        <v/>
      </c>
      <c r="I85" s="34" t="str">
        <f>IFERROR(IF('Pós Implantação'!B85="Projetos",AVERAGE('Pós Implantação'!D85,'Pós Implantação'!L85,'Pós Implantação'!M85),AVERAGE('Pós Implantação'!M85)),"")</f>
        <v/>
      </c>
      <c r="J85" s="34" t="str">
        <f>IFERROR(IF('Pós Implantação'!B85="Engenharia",AVERAGE('Pós Implantação'!D85,'Pós Implantação'!L85,'Pós Implantação'!N85),AVERAGE('Pós Implantação'!N85)),"")</f>
        <v/>
      </c>
      <c r="K85" s="34" t="str">
        <f>IFERROR(IF('Pós Implantação'!B85="URA",AVERAGE('Pós Implantação'!D85,'Pós Implantação'!L85),""),"")</f>
        <v/>
      </c>
      <c r="L85" s="34" t="str">
        <f>IFERROR(IF('Pós Implantação'!B85="CSE Microsoft",AVERAGE('Pós Implantação'!D85,'Pós Implantação'!L85),""),"")</f>
        <v/>
      </c>
      <c r="M85" s="34" t="str">
        <f>IFERROR(IF('Pós Implantação'!B85="CSE Telecom",AVERAGE('Pós Implantação'!D85,'Pós Implantação'!L85),""),"")</f>
        <v/>
      </c>
      <c r="N85" s="34" t="str">
        <f>IFERROR(IF('Pós Implantação'!B85="Site Suporte de Campo",AVERAGE('Pós Implantação'!D85,'Pós Implantação'!L85),""),"")</f>
        <v/>
      </c>
      <c r="O85" s="49" t="str">
        <f>IFERROR(IF('Pós Implantação'!B85="Infraestrutura",AVERAGE('Pós Implantação'!D85,'Pós Implantação'!L85),""),"")</f>
        <v/>
      </c>
    </row>
    <row r="86" spans="1:15" x14ac:dyDescent="0.3">
      <c r="A86" s="33">
        <f>'Pré Implantação'!A86</f>
        <v>0</v>
      </c>
      <c r="B86" s="36" t="str">
        <f>'Pós Implantação'!C86</f>
        <v>0</v>
      </c>
      <c r="C86" s="34" t="str">
        <f>IFERROR(IF('Pré Implantação'!B86="Produção TI",AVERAGE('Pós Implantação'!D86,'Pós Implantação'!E86,'Pós Implantação'!L86,'Pós Implantação'!H86),AVERAGE('Pré Implantação'!E86,'Pré Implantação'!H86)),"")</f>
        <v/>
      </c>
      <c r="D86" s="34" t="str">
        <f>IFERROR(IF('Pós Implantação'!B86="CSC Service Desk",AVERAGE('Pós Implantação'!D86,'Pós Implantação'!L86,'Pós Implantação'!F86),AVERAGE('Pós Implantação'!F86)),"")</f>
        <v/>
      </c>
      <c r="E86" s="34" t="str">
        <f>IFERROR(IF('Pós Implantação'!B86="CSC NOC",AVERAGE('Pós Implantação'!D86,'Pós Implantação'!L86,'Pós Implantação'!G86),AVERAGE('Pós Implantação'!G86)),"")</f>
        <v/>
      </c>
      <c r="F86" s="34" t="str">
        <f>IFERROR(IF('Pós Implantação'!B86="CSE Gravadores",AVERAGE('Pós Implantação'!D86,'Pós Implantação'!L86,'Pós Implantação'!I86),AVERAGE('Pós Implantação'!I86)),"")</f>
        <v/>
      </c>
      <c r="G86" s="34" t="str">
        <f>IFERROR(IF('Pós Implantação'!B86="CSC",AVERAGE('Pós Implantação'!D86,'Pós Implantação'!L86,'Pós Implantação'!J86),AVERAGE('Pós Implantação'!J86)),"")</f>
        <v/>
      </c>
      <c r="H86" s="34" t="str">
        <f>IFERROR(IF('Pós Implantação'!B86="Operações \ Negócio",AVERAGE('Pós Implantação'!D86,'Pós Implantação'!L86,'Pós Implantação'!K86),AVERAGE('Pós Implantação'!K86)),"")</f>
        <v/>
      </c>
      <c r="I86" s="34" t="str">
        <f>IFERROR(IF('Pós Implantação'!B86="Projetos",AVERAGE('Pós Implantação'!D86,'Pós Implantação'!L86,'Pós Implantação'!M86),AVERAGE('Pós Implantação'!M86)),"")</f>
        <v/>
      </c>
      <c r="J86" s="34" t="str">
        <f>IFERROR(IF('Pós Implantação'!B86="Engenharia",AVERAGE('Pós Implantação'!D86,'Pós Implantação'!L86,'Pós Implantação'!N86),AVERAGE('Pós Implantação'!N86)),"")</f>
        <v/>
      </c>
      <c r="K86" s="34" t="str">
        <f>IFERROR(IF('Pós Implantação'!B86="URA",AVERAGE('Pós Implantação'!D86,'Pós Implantação'!L86),""),"")</f>
        <v/>
      </c>
      <c r="L86" s="34" t="str">
        <f>IFERROR(IF('Pós Implantação'!B86="CSE Microsoft",AVERAGE('Pós Implantação'!D86,'Pós Implantação'!L86),""),"")</f>
        <v/>
      </c>
      <c r="M86" s="34" t="str">
        <f>IFERROR(IF('Pós Implantação'!B86="CSE Telecom",AVERAGE('Pós Implantação'!D86,'Pós Implantação'!L86),""),"")</f>
        <v/>
      </c>
      <c r="N86" s="34" t="str">
        <f>IFERROR(IF('Pós Implantação'!B86="Site Suporte de Campo",AVERAGE('Pós Implantação'!D86,'Pós Implantação'!L86),""),"")</f>
        <v/>
      </c>
      <c r="O86" s="49" t="str">
        <f>IFERROR(IF('Pós Implantação'!B86="Infraestrutura",AVERAGE('Pós Implantação'!D86,'Pós Implantação'!L86),""),"")</f>
        <v/>
      </c>
    </row>
    <row r="87" spans="1:15" x14ac:dyDescent="0.3">
      <c r="A87" s="33">
        <f>'Pré Implantação'!A87</f>
        <v>0</v>
      </c>
      <c r="B87" s="36" t="str">
        <f>'Pós Implantação'!C87</f>
        <v>0</v>
      </c>
      <c r="C87" s="34" t="str">
        <f>IFERROR(IF('Pré Implantação'!B87="Produção TI",AVERAGE('Pós Implantação'!D87,'Pós Implantação'!E87,'Pós Implantação'!L87,'Pós Implantação'!H87),AVERAGE('Pré Implantação'!E87,'Pré Implantação'!H87)),"")</f>
        <v/>
      </c>
      <c r="D87" s="34" t="str">
        <f>IFERROR(IF('Pós Implantação'!B87="CSC Service Desk",AVERAGE('Pós Implantação'!D87,'Pós Implantação'!L87,'Pós Implantação'!F87),AVERAGE('Pós Implantação'!F87)),"")</f>
        <v/>
      </c>
      <c r="E87" s="34" t="str">
        <f>IFERROR(IF('Pós Implantação'!B87="CSC NOC",AVERAGE('Pós Implantação'!D87,'Pós Implantação'!L87,'Pós Implantação'!G87),AVERAGE('Pós Implantação'!G87)),"")</f>
        <v/>
      </c>
      <c r="F87" s="34" t="str">
        <f>IFERROR(IF('Pós Implantação'!B87="CSE Gravadores",AVERAGE('Pós Implantação'!D87,'Pós Implantação'!L87,'Pós Implantação'!I87),AVERAGE('Pós Implantação'!I87)),"")</f>
        <v/>
      </c>
      <c r="G87" s="34" t="str">
        <f>IFERROR(IF('Pós Implantação'!B87="CSC",AVERAGE('Pós Implantação'!D87,'Pós Implantação'!L87,'Pós Implantação'!J87),AVERAGE('Pós Implantação'!J87)),"")</f>
        <v/>
      </c>
      <c r="H87" s="34" t="str">
        <f>IFERROR(IF('Pós Implantação'!B87="Operações \ Negócio",AVERAGE('Pós Implantação'!D87,'Pós Implantação'!L87,'Pós Implantação'!K87),AVERAGE('Pós Implantação'!K87)),"")</f>
        <v/>
      </c>
      <c r="I87" s="34" t="str">
        <f>IFERROR(IF('Pós Implantação'!B87="Projetos",AVERAGE('Pós Implantação'!D87,'Pós Implantação'!L87,'Pós Implantação'!M87),AVERAGE('Pós Implantação'!M87)),"")</f>
        <v/>
      </c>
      <c r="J87" s="34" t="str">
        <f>IFERROR(IF('Pós Implantação'!B87="Engenharia",AVERAGE('Pós Implantação'!D87,'Pós Implantação'!L87,'Pós Implantação'!N87),AVERAGE('Pós Implantação'!N87)),"")</f>
        <v/>
      </c>
      <c r="K87" s="34" t="str">
        <f>IFERROR(IF('Pós Implantação'!B87="URA",AVERAGE('Pós Implantação'!D87,'Pós Implantação'!L87),""),"")</f>
        <v/>
      </c>
      <c r="L87" s="34" t="str">
        <f>IFERROR(IF('Pós Implantação'!B87="CSE Microsoft",AVERAGE('Pós Implantação'!D87,'Pós Implantação'!L87),""),"")</f>
        <v/>
      </c>
      <c r="M87" s="34" t="str">
        <f>IFERROR(IF('Pós Implantação'!B87="CSE Telecom",AVERAGE('Pós Implantação'!D87,'Pós Implantação'!L87),""),"")</f>
        <v/>
      </c>
      <c r="N87" s="34" t="str">
        <f>IFERROR(IF('Pós Implantação'!B87="Site Suporte de Campo",AVERAGE('Pós Implantação'!D87,'Pós Implantação'!L87),""),"")</f>
        <v/>
      </c>
      <c r="O87" s="49" t="str">
        <f>IFERROR(IF('Pós Implantação'!B87="Infraestrutura",AVERAGE('Pós Implantação'!D87,'Pós Implantação'!L87),""),"")</f>
        <v/>
      </c>
    </row>
    <row r="88" spans="1:15" x14ac:dyDescent="0.3">
      <c r="A88" s="33">
        <f>'Pré Implantação'!A88</f>
        <v>0</v>
      </c>
      <c r="B88" s="36" t="str">
        <f>'Pós Implantação'!C88</f>
        <v>0</v>
      </c>
      <c r="C88" s="34" t="str">
        <f>IFERROR(IF('Pré Implantação'!B88="Produção TI",AVERAGE('Pós Implantação'!D88,'Pós Implantação'!E88,'Pós Implantação'!L88,'Pós Implantação'!H88),AVERAGE('Pré Implantação'!E88,'Pré Implantação'!H88)),"")</f>
        <v/>
      </c>
      <c r="D88" s="34" t="str">
        <f>IFERROR(IF('Pós Implantação'!B88="CSC Service Desk",AVERAGE('Pós Implantação'!D88,'Pós Implantação'!L88,'Pós Implantação'!F88),AVERAGE('Pós Implantação'!F88)),"")</f>
        <v/>
      </c>
      <c r="E88" s="34" t="str">
        <f>IFERROR(IF('Pós Implantação'!B88="CSC NOC",AVERAGE('Pós Implantação'!D88,'Pós Implantação'!L88,'Pós Implantação'!G88),AVERAGE('Pós Implantação'!G88)),"")</f>
        <v/>
      </c>
      <c r="F88" s="34" t="str">
        <f>IFERROR(IF('Pós Implantação'!B88="CSE Gravadores",AVERAGE('Pós Implantação'!D88,'Pós Implantação'!L88,'Pós Implantação'!I88),AVERAGE('Pós Implantação'!I88)),"")</f>
        <v/>
      </c>
      <c r="G88" s="34" t="str">
        <f>IFERROR(IF('Pós Implantação'!B88="CSC",AVERAGE('Pós Implantação'!D88,'Pós Implantação'!L88,'Pós Implantação'!J88),AVERAGE('Pós Implantação'!J88)),"")</f>
        <v/>
      </c>
      <c r="H88" s="34" t="str">
        <f>IFERROR(IF('Pós Implantação'!B88="Operações \ Negócio",AVERAGE('Pós Implantação'!D88,'Pós Implantação'!L88,'Pós Implantação'!K88),AVERAGE('Pós Implantação'!K88)),"")</f>
        <v/>
      </c>
      <c r="I88" s="34" t="str">
        <f>IFERROR(IF('Pós Implantação'!B88="Projetos",AVERAGE('Pós Implantação'!D88,'Pós Implantação'!L88,'Pós Implantação'!M88),AVERAGE('Pós Implantação'!M88)),"")</f>
        <v/>
      </c>
      <c r="J88" s="34" t="str">
        <f>IFERROR(IF('Pós Implantação'!B88="Engenharia",AVERAGE('Pós Implantação'!D88,'Pós Implantação'!L88,'Pós Implantação'!N88),AVERAGE('Pós Implantação'!N88)),"")</f>
        <v/>
      </c>
      <c r="K88" s="34" t="str">
        <f>IFERROR(IF('Pós Implantação'!B88="URA",AVERAGE('Pós Implantação'!D88,'Pós Implantação'!L88),""),"")</f>
        <v/>
      </c>
      <c r="L88" s="34" t="str">
        <f>IFERROR(IF('Pós Implantação'!B88="CSE Microsoft",AVERAGE('Pós Implantação'!D88,'Pós Implantação'!L88),""),"")</f>
        <v/>
      </c>
      <c r="M88" s="34" t="str">
        <f>IFERROR(IF('Pós Implantação'!B88="CSE Telecom",AVERAGE('Pós Implantação'!D88,'Pós Implantação'!L88),""),"")</f>
        <v/>
      </c>
      <c r="N88" s="34" t="str">
        <f>IFERROR(IF('Pós Implantação'!B88="Site Suporte de Campo",AVERAGE('Pós Implantação'!D88,'Pós Implantação'!L88),""),"")</f>
        <v/>
      </c>
      <c r="O88" s="49" t="str">
        <f>IFERROR(IF('Pós Implantação'!B88="Infraestrutura",AVERAGE('Pós Implantação'!D88,'Pós Implantação'!L88),""),"")</f>
        <v/>
      </c>
    </row>
    <row r="89" spans="1:15" x14ac:dyDescent="0.3">
      <c r="A89" s="33">
        <f>'Pré Implantação'!A89</f>
        <v>0</v>
      </c>
      <c r="B89" s="36" t="str">
        <f>'Pós Implantação'!C89</f>
        <v>0</v>
      </c>
      <c r="C89" s="34" t="str">
        <f>IFERROR(IF('Pré Implantação'!B89="Produção TI",AVERAGE('Pós Implantação'!D89,'Pós Implantação'!E89,'Pós Implantação'!L89,'Pós Implantação'!H89),AVERAGE('Pré Implantação'!E89,'Pré Implantação'!H89)),"")</f>
        <v/>
      </c>
      <c r="D89" s="34" t="str">
        <f>IFERROR(IF('Pós Implantação'!B89="CSC Service Desk",AVERAGE('Pós Implantação'!D89,'Pós Implantação'!L89,'Pós Implantação'!F89),AVERAGE('Pós Implantação'!F89)),"")</f>
        <v/>
      </c>
      <c r="E89" s="34" t="str">
        <f>IFERROR(IF('Pós Implantação'!B89="CSC NOC",AVERAGE('Pós Implantação'!D89,'Pós Implantação'!L89,'Pós Implantação'!G89),AVERAGE('Pós Implantação'!G89)),"")</f>
        <v/>
      </c>
      <c r="F89" s="34" t="str">
        <f>IFERROR(IF('Pós Implantação'!B89="CSE Gravadores",AVERAGE('Pós Implantação'!D89,'Pós Implantação'!L89,'Pós Implantação'!I89),AVERAGE('Pós Implantação'!I89)),"")</f>
        <v/>
      </c>
      <c r="G89" s="34" t="str">
        <f>IFERROR(IF('Pós Implantação'!B89="CSC",AVERAGE('Pós Implantação'!D89,'Pós Implantação'!L89,'Pós Implantação'!J89),AVERAGE('Pós Implantação'!J89)),"")</f>
        <v/>
      </c>
      <c r="H89" s="34" t="str">
        <f>IFERROR(IF('Pós Implantação'!B89="Operações \ Negócio",AVERAGE('Pós Implantação'!D89,'Pós Implantação'!L89,'Pós Implantação'!K89),AVERAGE('Pós Implantação'!K89)),"")</f>
        <v/>
      </c>
      <c r="I89" s="34" t="str">
        <f>IFERROR(IF('Pós Implantação'!B89="Projetos",AVERAGE('Pós Implantação'!D89,'Pós Implantação'!L89,'Pós Implantação'!M89),AVERAGE('Pós Implantação'!M89)),"")</f>
        <v/>
      </c>
      <c r="J89" s="34" t="str">
        <f>IFERROR(IF('Pós Implantação'!B89="Engenharia",AVERAGE('Pós Implantação'!D89,'Pós Implantação'!L89,'Pós Implantação'!N89),AVERAGE('Pós Implantação'!N89)),"")</f>
        <v/>
      </c>
      <c r="K89" s="34" t="str">
        <f>IFERROR(IF('Pós Implantação'!B89="URA",AVERAGE('Pós Implantação'!D89,'Pós Implantação'!L89),""),"")</f>
        <v/>
      </c>
      <c r="L89" s="34" t="str">
        <f>IFERROR(IF('Pós Implantação'!B89="CSE Microsoft",AVERAGE('Pós Implantação'!D89,'Pós Implantação'!L89),""),"")</f>
        <v/>
      </c>
      <c r="M89" s="34" t="str">
        <f>IFERROR(IF('Pós Implantação'!B89="CSE Telecom",AVERAGE('Pós Implantação'!D89,'Pós Implantação'!L89),""),"")</f>
        <v/>
      </c>
      <c r="N89" s="34" t="str">
        <f>IFERROR(IF('Pós Implantação'!B89="Site Suporte de Campo",AVERAGE('Pós Implantação'!D89,'Pós Implantação'!L89),""),"")</f>
        <v/>
      </c>
      <c r="O89" s="49" t="str">
        <f>IFERROR(IF('Pós Implantação'!B89="Infraestrutura",AVERAGE('Pós Implantação'!D89,'Pós Implantação'!L89),""),"")</f>
        <v/>
      </c>
    </row>
    <row r="90" spans="1:15" x14ac:dyDescent="0.3">
      <c r="A90" s="33">
        <f>'Pré Implantação'!A90</f>
        <v>0</v>
      </c>
      <c r="B90" s="36" t="str">
        <f>'Pós Implantação'!C90</f>
        <v>0</v>
      </c>
      <c r="C90" s="34" t="str">
        <f>IFERROR(IF('Pré Implantação'!B90="Produção TI",AVERAGE('Pós Implantação'!D90,'Pós Implantação'!E90,'Pós Implantação'!L90,'Pós Implantação'!H90),AVERAGE('Pré Implantação'!E90,'Pré Implantação'!H90)),"")</f>
        <v/>
      </c>
      <c r="D90" s="34" t="str">
        <f>IFERROR(IF('Pós Implantação'!B90="CSC Service Desk",AVERAGE('Pós Implantação'!D90,'Pós Implantação'!L90,'Pós Implantação'!F90),AVERAGE('Pós Implantação'!F90)),"")</f>
        <v/>
      </c>
      <c r="E90" s="34" t="str">
        <f>IFERROR(IF('Pós Implantação'!B90="CSC NOC",AVERAGE('Pós Implantação'!D90,'Pós Implantação'!L90,'Pós Implantação'!G90),AVERAGE('Pós Implantação'!G90)),"")</f>
        <v/>
      </c>
      <c r="F90" s="34" t="str">
        <f>IFERROR(IF('Pós Implantação'!B90="CSE Gravadores",AVERAGE('Pós Implantação'!D90,'Pós Implantação'!L90,'Pós Implantação'!I90),AVERAGE('Pós Implantação'!I90)),"")</f>
        <v/>
      </c>
      <c r="G90" s="34" t="str">
        <f>IFERROR(IF('Pós Implantação'!B90="CSC",AVERAGE('Pós Implantação'!D90,'Pós Implantação'!L90,'Pós Implantação'!J90),AVERAGE('Pós Implantação'!J90)),"")</f>
        <v/>
      </c>
      <c r="H90" s="34" t="str">
        <f>IFERROR(IF('Pós Implantação'!B90="Operações \ Negócio",AVERAGE('Pós Implantação'!D90,'Pós Implantação'!L90,'Pós Implantação'!K90),AVERAGE('Pós Implantação'!K90)),"")</f>
        <v/>
      </c>
      <c r="I90" s="34" t="str">
        <f>IFERROR(IF('Pós Implantação'!B90="Projetos",AVERAGE('Pós Implantação'!D90,'Pós Implantação'!L90,'Pós Implantação'!M90),AVERAGE('Pós Implantação'!M90)),"")</f>
        <v/>
      </c>
      <c r="J90" s="34" t="str">
        <f>IFERROR(IF('Pós Implantação'!B90="Engenharia",AVERAGE('Pós Implantação'!D90,'Pós Implantação'!L90,'Pós Implantação'!N90),AVERAGE('Pós Implantação'!N90)),"")</f>
        <v/>
      </c>
      <c r="K90" s="34" t="str">
        <f>IFERROR(IF('Pós Implantação'!B90="URA",AVERAGE('Pós Implantação'!D90,'Pós Implantação'!L90),""),"")</f>
        <v/>
      </c>
      <c r="L90" s="34" t="str">
        <f>IFERROR(IF('Pós Implantação'!B90="CSE Microsoft",AVERAGE('Pós Implantação'!D90,'Pós Implantação'!L90),""),"")</f>
        <v/>
      </c>
      <c r="M90" s="34" t="str">
        <f>IFERROR(IF('Pós Implantação'!B90="CSE Telecom",AVERAGE('Pós Implantação'!D90,'Pós Implantação'!L90),""),"")</f>
        <v/>
      </c>
      <c r="N90" s="34" t="str">
        <f>IFERROR(IF('Pós Implantação'!B90="Site Suporte de Campo",AVERAGE('Pós Implantação'!D90,'Pós Implantação'!L90),""),"")</f>
        <v/>
      </c>
      <c r="O90" s="49" t="str">
        <f>IFERROR(IF('Pós Implantação'!B90="Infraestrutura",AVERAGE('Pós Implantação'!D90,'Pós Implantação'!L90),""),"")</f>
        <v/>
      </c>
    </row>
    <row r="91" spans="1:15" x14ac:dyDescent="0.3">
      <c r="A91" s="33">
        <f>'Pré Implantação'!A91</f>
        <v>0</v>
      </c>
      <c r="B91" s="36" t="str">
        <f>'Pós Implantação'!C91</f>
        <v>0</v>
      </c>
      <c r="C91" s="34" t="str">
        <f>IFERROR(IF('Pré Implantação'!B91="Produção TI",AVERAGE('Pós Implantação'!D91,'Pós Implantação'!E91,'Pós Implantação'!L91,'Pós Implantação'!H91),AVERAGE('Pré Implantação'!E91,'Pré Implantação'!H91)),"")</f>
        <v/>
      </c>
      <c r="D91" s="34" t="str">
        <f>IFERROR(IF('Pós Implantação'!B91="CSC Service Desk",AVERAGE('Pós Implantação'!D91,'Pós Implantação'!L91,'Pós Implantação'!F91),AVERAGE('Pós Implantação'!F91)),"")</f>
        <v/>
      </c>
      <c r="E91" s="34" t="str">
        <f>IFERROR(IF('Pós Implantação'!B91="CSC NOC",AVERAGE('Pós Implantação'!D91,'Pós Implantação'!L91,'Pós Implantação'!G91),AVERAGE('Pós Implantação'!G91)),"")</f>
        <v/>
      </c>
      <c r="F91" s="34" t="str">
        <f>IFERROR(IF('Pós Implantação'!B91="CSE Gravadores",AVERAGE('Pós Implantação'!D91,'Pós Implantação'!L91,'Pós Implantação'!I91),AVERAGE('Pós Implantação'!I91)),"")</f>
        <v/>
      </c>
      <c r="G91" s="34" t="str">
        <f>IFERROR(IF('Pós Implantação'!B91="CSC",AVERAGE('Pós Implantação'!D91,'Pós Implantação'!L91,'Pós Implantação'!J91),AVERAGE('Pós Implantação'!J91)),"")</f>
        <v/>
      </c>
      <c r="H91" s="34" t="str">
        <f>IFERROR(IF('Pós Implantação'!B91="Operações \ Negócio",AVERAGE('Pós Implantação'!D91,'Pós Implantação'!L91,'Pós Implantação'!K91),AVERAGE('Pós Implantação'!K91)),"")</f>
        <v/>
      </c>
      <c r="I91" s="34" t="str">
        <f>IFERROR(IF('Pós Implantação'!B91="Projetos",AVERAGE('Pós Implantação'!D91,'Pós Implantação'!L91,'Pós Implantação'!M91),AVERAGE('Pós Implantação'!M91)),"")</f>
        <v/>
      </c>
      <c r="J91" s="34" t="str">
        <f>IFERROR(IF('Pós Implantação'!B91="Engenharia",AVERAGE('Pós Implantação'!D91,'Pós Implantação'!L91,'Pós Implantação'!N91),AVERAGE('Pós Implantação'!N91)),"")</f>
        <v/>
      </c>
      <c r="K91" s="34" t="str">
        <f>IFERROR(IF('Pós Implantação'!B91="URA",AVERAGE('Pós Implantação'!D91,'Pós Implantação'!L91),""),"")</f>
        <v/>
      </c>
      <c r="L91" s="34" t="str">
        <f>IFERROR(IF('Pós Implantação'!B91="CSE Microsoft",AVERAGE('Pós Implantação'!D91,'Pós Implantação'!L91),""),"")</f>
        <v/>
      </c>
      <c r="M91" s="34" t="str">
        <f>IFERROR(IF('Pós Implantação'!B91="CSE Telecom",AVERAGE('Pós Implantação'!D91,'Pós Implantação'!L91),""),"")</f>
        <v/>
      </c>
      <c r="N91" s="34" t="str">
        <f>IFERROR(IF('Pós Implantação'!B91="Site Suporte de Campo",AVERAGE('Pós Implantação'!D91,'Pós Implantação'!L91),""),"")</f>
        <v/>
      </c>
      <c r="O91" s="49" t="str">
        <f>IFERROR(IF('Pós Implantação'!B91="Infraestrutura",AVERAGE('Pós Implantação'!D91,'Pós Implantação'!L91),""),"")</f>
        <v/>
      </c>
    </row>
    <row r="92" spans="1:15" x14ac:dyDescent="0.3">
      <c r="A92" s="33">
        <f>'Pré Implantação'!A92</f>
        <v>0</v>
      </c>
      <c r="B92" s="36" t="str">
        <f>'Pós Implantação'!C92</f>
        <v>0</v>
      </c>
      <c r="C92" s="34" t="str">
        <f>IFERROR(IF('Pré Implantação'!B92="Produção TI",AVERAGE('Pós Implantação'!D92,'Pós Implantação'!E92,'Pós Implantação'!L92,'Pós Implantação'!H92),AVERAGE('Pré Implantação'!E92,'Pré Implantação'!H92)),"")</f>
        <v/>
      </c>
      <c r="D92" s="34" t="str">
        <f>IFERROR(IF('Pós Implantação'!B92="CSC Service Desk",AVERAGE('Pós Implantação'!D92,'Pós Implantação'!L92,'Pós Implantação'!F92),AVERAGE('Pós Implantação'!F92)),"")</f>
        <v/>
      </c>
      <c r="E92" s="34" t="str">
        <f>IFERROR(IF('Pós Implantação'!B92="CSC NOC",AVERAGE('Pós Implantação'!D92,'Pós Implantação'!L92,'Pós Implantação'!G92),AVERAGE('Pós Implantação'!G92)),"")</f>
        <v/>
      </c>
      <c r="F92" s="34" t="str">
        <f>IFERROR(IF('Pós Implantação'!B92="CSE Gravadores",AVERAGE('Pós Implantação'!D92,'Pós Implantação'!L92,'Pós Implantação'!I92),AVERAGE('Pós Implantação'!I92)),"")</f>
        <v/>
      </c>
      <c r="G92" s="34" t="str">
        <f>IFERROR(IF('Pós Implantação'!B92="CSC",AVERAGE('Pós Implantação'!D92,'Pós Implantação'!L92,'Pós Implantação'!J92),AVERAGE('Pós Implantação'!J92)),"")</f>
        <v/>
      </c>
      <c r="H92" s="34" t="str">
        <f>IFERROR(IF('Pós Implantação'!B92="Operações \ Negócio",AVERAGE('Pós Implantação'!D92,'Pós Implantação'!L92,'Pós Implantação'!K92),AVERAGE('Pós Implantação'!K92)),"")</f>
        <v/>
      </c>
      <c r="I92" s="34" t="str">
        <f>IFERROR(IF('Pós Implantação'!B92="Projetos",AVERAGE('Pós Implantação'!D92,'Pós Implantação'!L92,'Pós Implantação'!M92),AVERAGE('Pós Implantação'!M92)),"")</f>
        <v/>
      </c>
      <c r="J92" s="34" t="str">
        <f>IFERROR(IF('Pós Implantação'!B92="Engenharia",AVERAGE('Pós Implantação'!D92,'Pós Implantação'!L92,'Pós Implantação'!N92),AVERAGE('Pós Implantação'!N92)),"")</f>
        <v/>
      </c>
      <c r="K92" s="34" t="str">
        <f>IFERROR(IF('Pós Implantação'!B92="URA",AVERAGE('Pós Implantação'!D92,'Pós Implantação'!L92),""),"")</f>
        <v/>
      </c>
      <c r="L92" s="34" t="str">
        <f>IFERROR(IF('Pós Implantação'!B92="CSE Microsoft",AVERAGE('Pós Implantação'!D92,'Pós Implantação'!L92),""),"")</f>
        <v/>
      </c>
      <c r="M92" s="34" t="str">
        <f>IFERROR(IF('Pós Implantação'!B92="CSE Telecom",AVERAGE('Pós Implantação'!D92,'Pós Implantação'!L92),""),"")</f>
        <v/>
      </c>
      <c r="N92" s="34" t="str">
        <f>IFERROR(IF('Pós Implantação'!B92="Site Suporte de Campo",AVERAGE('Pós Implantação'!D92,'Pós Implantação'!L92),""),"")</f>
        <v/>
      </c>
      <c r="O92" s="49" t="str">
        <f>IFERROR(IF('Pós Implantação'!B92="Infraestrutura",AVERAGE('Pós Implantação'!D92,'Pós Implantação'!L92),""),"")</f>
        <v/>
      </c>
    </row>
    <row r="93" spans="1:15" x14ac:dyDescent="0.3">
      <c r="A93" s="33">
        <f>'Pré Implantação'!A93</f>
        <v>0</v>
      </c>
      <c r="B93" s="36" t="str">
        <f>'Pós Implantação'!C93</f>
        <v>0</v>
      </c>
      <c r="C93" s="34" t="str">
        <f>IFERROR(IF('Pré Implantação'!B93="Produção TI",AVERAGE('Pós Implantação'!D93,'Pós Implantação'!E93,'Pós Implantação'!L93,'Pós Implantação'!H93),AVERAGE('Pré Implantação'!E93,'Pré Implantação'!H93)),"")</f>
        <v/>
      </c>
      <c r="D93" s="34" t="str">
        <f>IFERROR(IF('Pós Implantação'!B93="CSC Service Desk",AVERAGE('Pós Implantação'!D93,'Pós Implantação'!L93,'Pós Implantação'!F93),AVERAGE('Pós Implantação'!F93)),"")</f>
        <v/>
      </c>
      <c r="E93" s="34" t="str">
        <f>IFERROR(IF('Pós Implantação'!B93="CSC NOC",AVERAGE('Pós Implantação'!D93,'Pós Implantação'!L93,'Pós Implantação'!G93),AVERAGE('Pós Implantação'!G93)),"")</f>
        <v/>
      </c>
      <c r="F93" s="34" t="str">
        <f>IFERROR(IF('Pós Implantação'!B93="CSE Gravadores",AVERAGE('Pós Implantação'!D93,'Pós Implantação'!L93,'Pós Implantação'!I93),AVERAGE('Pós Implantação'!I93)),"")</f>
        <v/>
      </c>
      <c r="G93" s="34" t="str">
        <f>IFERROR(IF('Pós Implantação'!B93="CSC",AVERAGE('Pós Implantação'!D93,'Pós Implantação'!L93,'Pós Implantação'!J93),AVERAGE('Pós Implantação'!J93)),"")</f>
        <v/>
      </c>
      <c r="H93" s="34" t="str">
        <f>IFERROR(IF('Pós Implantação'!B93="Operações \ Negócio",AVERAGE('Pós Implantação'!D93,'Pós Implantação'!L93,'Pós Implantação'!K93),AVERAGE('Pós Implantação'!K93)),"")</f>
        <v/>
      </c>
      <c r="I93" s="34" t="str">
        <f>IFERROR(IF('Pós Implantação'!B93="Projetos",AVERAGE('Pós Implantação'!D93,'Pós Implantação'!L93,'Pós Implantação'!M93),AVERAGE('Pós Implantação'!M93)),"")</f>
        <v/>
      </c>
      <c r="J93" s="34" t="str">
        <f>IFERROR(IF('Pós Implantação'!B93="Engenharia",AVERAGE('Pós Implantação'!D93,'Pós Implantação'!L93,'Pós Implantação'!N93),AVERAGE('Pós Implantação'!N93)),"")</f>
        <v/>
      </c>
      <c r="K93" s="34" t="str">
        <f>IFERROR(IF('Pós Implantação'!B93="URA",AVERAGE('Pós Implantação'!D93,'Pós Implantação'!L93),""),"")</f>
        <v/>
      </c>
      <c r="L93" s="34" t="str">
        <f>IFERROR(IF('Pós Implantação'!B93="CSE Microsoft",AVERAGE('Pós Implantação'!D93,'Pós Implantação'!L93),""),"")</f>
        <v/>
      </c>
      <c r="M93" s="34" t="str">
        <f>IFERROR(IF('Pós Implantação'!B93="CSE Telecom",AVERAGE('Pós Implantação'!D93,'Pós Implantação'!L93),""),"")</f>
        <v/>
      </c>
      <c r="N93" s="34" t="str">
        <f>IFERROR(IF('Pós Implantação'!B93="Site Suporte de Campo",AVERAGE('Pós Implantação'!D93,'Pós Implantação'!L93),""),"")</f>
        <v/>
      </c>
      <c r="O93" s="49" t="str">
        <f>IFERROR(IF('Pós Implantação'!B93="Infraestrutura",AVERAGE('Pós Implantação'!D93,'Pós Implantação'!L93),""),"")</f>
        <v/>
      </c>
    </row>
    <row r="94" spans="1:15" x14ac:dyDescent="0.3">
      <c r="A94" s="33">
        <f>'Pré Implantação'!A94</f>
        <v>0</v>
      </c>
      <c r="B94" s="36" t="str">
        <f>'Pós Implantação'!C94</f>
        <v>0</v>
      </c>
      <c r="C94" s="34" t="str">
        <f>IFERROR(IF('Pré Implantação'!B94="Produção TI",AVERAGE('Pós Implantação'!D94,'Pós Implantação'!E94,'Pós Implantação'!L94,'Pós Implantação'!H94),AVERAGE('Pré Implantação'!E94,'Pré Implantação'!H94)),"")</f>
        <v/>
      </c>
      <c r="D94" s="34" t="str">
        <f>IFERROR(IF('Pós Implantação'!B94="CSC Service Desk",AVERAGE('Pós Implantação'!D94,'Pós Implantação'!L94,'Pós Implantação'!F94),AVERAGE('Pós Implantação'!F94)),"")</f>
        <v/>
      </c>
      <c r="E94" s="34" t="str">
        <f>IFERROR(IF('Pós Implantação'!B94="CSC NOC",AVERAGE('Pós Implantação'!D94,'Pós Implantação'!L94,'Pós Implantação'!G94),AVERAGE('Pós Implantação'!G94)),"")</f>
        <v/>
      </c>
      <c r="F94" s="34" t="str">
        <f>IFERROR(IF('Pós Implantação'!B94="CSE Gravadores",AVERAGE('Pós Implantação'!D94,'Pós Implantação'!L94,'Pós Implantação'!I94),AVERAGE('Pós Implantação'!I94)),"")</f>
        <v/>
      </c>
      <c r="G94" s="34" t="str">
        <f>IFERROR(IF('Pós Implantação'!B94="CSC",AVERAGE('Pós Implantação'!D94,'Pós Implantação'!L94,'Pós Implantação'!J94),AVERAGE('Pós Implantação'!J94)),"")</f>
        <v/>
      </c>
      <c r="H94" s="34" t="str">
        <f>IFERROR(IF('Pós Implantação'!B94="Operações \ Negócio",AVERAGE('Pós Implantação'!D94,'Pós Implantação'!L94,'Pós Implantação'!K94),AVERAGE('Pós Implantação'!K94)),"")</f>
        <v/>
      </c>
      <c r="I94" s="34" t="str">
        <f>IFERROR(IF('Pós Implantação'!B94="Projetos",AVERAGE('Pós Implantação'!D94,'Pós Implantação'!L94,'Pós Implantação'!M94),AVERAGE('Pós Implantação'!M94)),"")</f>
        <v/>
      </c>
      <c r="J94" s="34" t="str">
        <f>IFERROR(IF('Pós Implantação'!B94="Engenharia",AVERAGE('Pós Implantação'!D94,'Pós Implantação'!L94,'Pós Implantação'!N94),AVERAGE('Pós Implantação'!N94)),"")</f>
        <v/>
      </c>
      <c r="K94" s="34" t="str">
        <f>IFERROR(IF('Pós Implantação'!B94="URA",AVERAGE('Pós Implantação'!D94,'Pós Implantação'!L94),""),"")</f>
        <v/>
      </c>
      <c r="L94" s="34" t="str">
        <f>IFERROR(IF('Pós Implantação'!B94="CSE Microsoft",AVERAGE('Pós Implantação'!D94,'Pós Implantação'!L94),""),"")</f>
        <v/>
      </c>
      <c r="M94" s="34" t="str">
        <f>IFERROR(IF('Pós Implantação'!B94="CSE Telecom",AVERAGE('Pós Implantação'!D94,'Pós Implantação'!L94),""),"")</f>
        <v/>
      </c>
      <c r="N94" s="34" t="str">
        <f>IFERROR(IF('Pós Implantação'!B94="Site Suporte de Campo",AVERAGE('Pós Implantação'!D94,'Pós Implantação'!L94),""),"")</f>
        <v/>
      </c>
      <c r="O94" s="49" t="str">
        <f>IFERROR(IF('Pós Implantação'!B94="Infraestrutura",AVERAGE('Pós Implantação'!D94,'Pós Implantação'!L94),""),"")</f>
        <v/>
      </c>
    </row>
    <row r="95" spans="1:15" x14ac:dyDescent="0.3">
      <c r="A95" s="33">
        <f>'Pré Implantação'!A95</f>
        <v>0</v>
      </c>
      <c r="B95" s="36" t="str">
        <f>'Pós Implantação'!C95</f>
        <v>0</v>
      </c>
      <c r="C95" s="34" t="str">
        <f>IFERROR(IF('Pré Implantação'!B95="Produção TI",AVERAGE('Pós Implantação'!D95,'Pós Implantação'!E95,'Pós Implantação'!L95,'Pós Implantação'!H95),AVERAGE('Pré Implantação'!E95,'Pré Implantação'!H95)),"")</f>
        <v/>
      </c>
      <c r="D95" s="34" t="str">
        <f>IFERROR(IF('Pós Implantação'!B95="CSC Service Desk",AVERAGE('Pós Implantação'!D95,'Pós Implantação'!L95,'Pós Implantação'!F95),AVERAGE('Pós Implantação'!F95)),"")</f>
        <v/>
      </c>
      <c r="E95" s="34" t="str">
        <f>IFERROR(IF('Pós Implantação'!B95="CSC NOC",AVERAGE('Pós Implantação'!D95,'Pós Implantação'!L95,'Pós Implantação'!G95),AVERAGE('Pós Implantação'!G95)),"")</f>
        <v/>
      </c>
      <c r="F95" s="34" t="str">
        <f>IFERROR(IF('Pós Implantação'!B95="CSE Gravadores",AVERAGE('Pós Implantação'!D95,'Pós Implantação'!L95,'Pós Implantação'!I95),AVERAGE('Pós Implantação'!I95)),"")</f>
        <v/>
      </c>
      <c r="G95" s="34" t="str">
        <f>IFERROR(IF('Pós Implantação'!B95="CSC",AVERAGE('Pós Implantação'!D95,'Pós Implantação'!L95,'Pós Implantação'!J95),AVERAGE('Pós Implantação'!J95)),"")</f>
        <v/>
      </c>
      <c r="H95" s="34" t="str">
        <f>IFERROR(IF('Pós Implantação'!B95="Operações \ Negócio",AVERAGE('Pós Implantação'!D95,'Pós Implantação'!L95,'Pós Implantação'!K95),AVERAGE('Pós Implantação'!K95)),"")</f>
        <v/>
      </c>
      <c r="I95" s="34" t="str">
        <f>IFERROR(IF('Pós Implantação'!B95="Projetos",AVERAGE('Pós Implantação'!D95,'Pós Implantação'!L95,'Pós Implantação'!M95),AVERAGE('Pós Implantação'!M95)),"")</f>
        <v/>
      </c>
      <c r="J95" s="34" t="str">
        <f>IFERROR(IF('Pós Implantação'!B95="Engenharia",AVERAGE('Pós Implantação'!D95,'Pós Implantação'!L95,'Pós Implantação'!N95),AVERAGE('Pós Implantação'!N95)),"")</f>
        <v/>
      </c>
      <c r="K95" s="34" t="str">
        <f>IFERROR(IF('Pós Implantação'!B95="URA",AVERAGE('Pós Implantação'!D95,'Pós Implantação'!L95),""),"")</f>
        <v/>
      </c>
      <c r="L95" s="34" t="str">
        <f>IFERROR(IF('Pós Implantação'!B95="CSE Microsoft",AVERAGE('Pós Implantação'!D95,'Pós Implantação'!L95),""),"")</f>
        <v/>
      </c>
      <c r="M95" s="34" t="str">
        <f>IFERROR(IF('Pós Implantação'!B95="CSE Telecom",AVERAGE('Pós Implantação'!D95,'Pós Implantação'!L95),""),"")</f>
        <v/>
      </c>
      <c r="N95" s="34" t="str">
        <f>IFERROR(IF('Pós Implantação'!B95="Site Suporte de Campo",AVERAGE('Pós Implantação'!D95,'Pós Implantação'!L95),""),"")</f>
        <v/>
      </c>
      <c r="O95" s="49" t="str">
        <f>IFERROR(IF('Pós Implantação'!B95="Infraestrutura",AVERAGE('Pós Implantação'!D95,'Pós Implantação'!L95),""),"")</f>
        <v/>
      </c>
    </row>
    <row r="96" spans="1:15" x14ac:dyDescent="0.3">
      <c r="A96" s="33">
        <f>'Pré Implantação'!A96</f>
        <v>0</v>
      </c>
      <c r="B96" s="36" t="str">
        <f>'Pós Implantação'!C96</f>
        <v>0</v>
      </c>
      <c r="C96" s="34" t="str">
        <f>IFERROR(IF('Pré Implantação'!B96="Produção TI",AVERAGE('Pós Implantação'!D96,'Pós Implantação'!E96,'Pós Implantação'!L96,'Pós Implantação'!H96),AVERAGE('Pré Implantação'!E96,'Pré Implantação'!H96)),"")</f>
        <v/>
      </c>
      <c r="D96" s="34" t="str">
        <f>IFERROR(IF('Pós Implantação'!B96="CSC Service Desk",AVERAGE('Pós Implantação'!D96,'Pós Implantação'!L96,'Pós Implantação'!F96),AVERAGE('Pós Implantação'!F96)),"")</f>
        <v/>
      </c>
      <c r="E96" s="34" t="str">
        <f>IFERROR(IF('Pós Implantação'!B96="CSC NOC",AVERAGE('Pós Implantação'!D96,'Pós Implantação'!L96,'Pós Implantação'!G96),AVERAGE('Pós Implantação'!G96)),"")</f>
        <v/>
      </c>
      <c r="F96" s="34" t="str">
        <f>IFERROR(IF('Pós Implantação'!B96="CSE Gravadores",AVERAGE('Pós Implantação'!D96,'Pós Implantação'!L96,'Pós Implantação'!I96),AVERAGE('Pós Implantação'!I96)),"")</f>
        <v/>
      </c>
      <c r="G96" s="34" t="str">
        <f>IFERROR(IF('Pós Implantação'!B96="CSC",AVERAGE('Pós Implantação'!D96,'Pós Implantação'!L96,'Pós Implantação'!J96),AVERAGE('Pós Implantação'!J96)),"")</f>
        <v/>
      </c>
      <c r="H96" s="34" t="str">
        <f>IFERROR(IF('Pós Implantação'!B96="Operações \ Negócio",AVERAGE('Pós Implantação'!D96,'Pós Implantação'!L96,'Pós Implantação'!K96),AVERAGE('Pós Implantação'!K96)),"")</f>
        <v/>
      </c>
      <c r="I96" s="34" t="str">
        <f>IFERROR(IF('Pós Implantação'!B96="Projetos",AVERAGE('Pós Implantação'!D96,'Pós Implantação'!L96,'Pós Implantação'!M96),AVERAGE('Pós Implantação'!M96)),"")</f>
        <v/>
      </c>
      <c r="J96" s="34" t="str">
        <f>IFERROR(IF('Pós Implantação'!B96="Engenharia",AVERAGE('Pós Implantação'!D96,'Pós Implantação'!L96,'Pós Implantação'!N96),AVERAGE('Pós Implantação'!N96)),"")</f>
        <v/>
      </c>
      <c r="K96" s="34" t="str">
        <f>IFERROR(IF('Pós Implantação'!B96="URA",AVERAGE('Pós Implantação'!D96,'Pós Implantação'!L96),""),"")</f>
        <v/>
      </c>
      <c r="L96" s="34" t="str">
        <f>IFERROR(IF('Pós Implantação'!B96="CSE Microsoft",AVERAGE('Pós Implantação'!D96,'Pós Implantação'!L96),""),"")</f>
        <v/>
      </c>
      <c r="M96" s="34" t="str">
        <f>IFERROR(IF('Pós Implantação'!B96="CSE Telecom",AVERAGE('Pós Implantação'!D96,'Pós Implantação'!L96),""),"")</f>
        <v/>
      </c>
      <c r="N96" s="34" t="str">
        <f>IFERROR(IF('Pós Implantação'!B96="Site Suporte de Campo",AVERAGE('Pós Implantação'!D96,'Pós Implantação'!L96),""),"")</f>
        <v/>
      </c>
      <c r="O96" s="49" t="str">
        <f>IFERROR(IF('Pós Implantação'!B96="Infraestrutura",AVERAGE('Pós Implantação'!D96,'Pós Implantação'!L96),""),"")</f>
        <v/>
      </c>
    </row>
    <row r="97" spans="1:15" x14ac:dyDescent="0.3">
      <c r="A97" s="33">
        <f>'Pré Implantação'!A97</f>
        <v>0</v>
      </c>
      <c r="B97" s="36" t="str">
        <f>'Pós Implantação'!C97</f>
        <v>0</v>
      </c>
      <c r="C97" s="34" t="str">
        <f>IFERROR(IF('Pré Implantação'!B97="Produção TI",AVERAGE('Pós Implantação'!D97,'Pós Implantação'!E97,'Pós Implantação'!L97,'Pós Implantação'!H97),AVERAGE('Pré Implantação'!E97,'Pré Implantação'!H97)),"")</f>
        <v/>
      </c>
      <c r="D97" s="34" t="str">
        <f>IFERROR(IF('Pós Implantação'!B97="CSC Service Desk",AVERAGE('Pós Implantação'!D97,'Pós Implantação'!L97,'Pós Implantação'!F97),AVERAGE('Pós Implantação'!F97)),"")</f>
        <v/>
      </c>
      <c r="E97" s="34" t="str">
        <f>IFERROR(IF('Pós Implantação'!B97="CSC NOC",AVERAGE('Pós Implantação'!D97,'Pós Implantação'!L97,'Pós Implantação'!G97),AVERAGE('Pós Implantação'!G97)),"")</f>
        <v/>
      </c>
      <c r="F97" s="34" t="str">
        <f>IFERROR(IF('Pós Implantação'!B97="CSE Gravadores",AVERAGE('Pós Implantação'!D97,'Pós Implantação'!L97,'Pós Implantação'!I97),AVERAGE('Pós Implantação'!I97)),"")</f>
        <v/>
      </c>
      <c r="G97" s="34" t="str">
        <f>IFERROR(IF('Pós Implantação'!B97="CSC",AVERAGE('Pós Implantação'!D97,'Pós Implantação'!L97,'Pós Implantação'!J97),AVERAGE('Pós Implantação'!J97)),"")</f>
        <v/>
      </c>
      <c r="H97" s="34" t="str">
        <f>IFERROR(IF('Pós Implantação'!B97="Operações \ Negócio",AVERAGE('Pós Implantação'!D97,'Pós Implantação'!L97,'Pós Implantação'!K97),AVERAGE('Pós Implantação'!K97)),"")</f>
        <v/>
      </c>
      <c r="I97" s="34" t="str">
        <f>IFERROR(IF('Pós Implantação'!B97="Projetos",AVERAGE('Pós Implantação'!D97,'Pós Implantação'!L97,'Pós Implantação'!M97),AVERAGE('Pós Implantação'!M97)),"")</f>
        <v/>
      </c>
      <c r="J97" s="34" t="str">
        <f>IFERROR(IF('Pós Implantação'!B97="Engenharia",AVERAGE('Pós Implantação'!D97,'Pós Implantação'!L97,'Pós Implantação'!N97),AVERAGE('Pós Implantação'!N97)),"")</f>
        <v/>
      </c>
      <c r="K97" s="34" t="str">
        <f>IFERROR(IF('Pós Implantação'!B97="URA",AVERAGE('Pós Implantação'!D97,'Pós Implantação'!L97),""),"")</f>
        <v/>
      </c>
      <c r="L97" s="34" t="str">
        <f>IFERROR(IF('Pós Implantação'!B97="CSE Microsoft",AVERAGE('Pós Implantação'!D97,'Pós Implantação'!L97),""),"")</f>
        <v/>
      </c>
      <c r="M97" s="34" t="str">
        <f>IFERROR(IF('Pós Implantação'!B97="CSE Telecom",AVERAGE('Pós Implantação'!D97,'Pós Implantação'!L97),""),"")</f>
        <v/>
      </c>
      <c r="N97" s="34" t="str">
        <f>IFERROR(IF('Pós Implantação'!B97="Site Suporte de Campo",AVERAGE('Pós Implantação'!D97,'Pós Implantação'!L97),""),"")</f>
        <v/>
      </c>
      <c r="O97" s="49" t="str">
        <f>IFERROR(IF('Pós Implantação'!B97="Infraestrutura",AVERAGE('Pós Implantação'!D97,'Pós Implantação'!L97),""),"")</f>
        <v/>
      </c>
    </row>
    <row r="98" spans="1:15" x14ac:dyDescent="0.3">
      <c r="A98" s="33">
        <f>'Pré Implantação'!A98</f>
        <v>0</v>
      </c>
      <c r="B98" s="36" t="str">
        <f>'Pós Implantação'!C98</f>
        <v>0</v>
      </c>
      <c r="C98" s="34" t="str">
        <f>IFERROR(IF('Pré Implantação'!B98="Produção TI",AVERAGE('Pós Implantação'!D98,'Pós Implantação'!E98,'Pós Implantação'!L98,'Pós Implantação'!H98),AVERAGE('Pré Implantação'!E98,'Pré Implantação'!H98)),"")</f>
        <v/>
      </c>
      <c r="D98" s="34" t="str">
        <f>IFERROR(IF('Pós Implantação'!B98="CSC Service Desk",AVERAGE('Pós Implantação'!D98,'Pós Implantação'!L98,'Pós Implantação'!F98),AVERAGE('Pós Implantação'!F98)),"")</f>
        <v/>
      </c>
      <c r="E98" s="34" t="str">
        <f>IFERROR(IF('Pós Implantação'!B98="CSC NOC",AVERAGE('Pós Implantação'!D98,'Pós Implantação'!L98,'Pós Implantação'!G98),AVERAGE('Pós Implantação'!G98)),"")</f>
        <v/>
      </c>
      <c r="F98" s="34" t="str">
        <f>IFERROR(IF('Pós Implantação'!B98="CSE Gravadores",AVERAGE('Pós Implantação'!D98,'Pós Implantação'!L98,'Pós Implantação'!I98),AVERAGE('Pós Implantação'!I98)),"")</f>
        <v/>
      </c>
      <c r="G98" s="34" t="str">
        <f>IFERROR(IF('Pós Implantação'!B98="CSC",AVERAGE('Pós Implantação'!D98,'Pós Implantação'!L98,'Pós Implantação'!J98),AVERAGE('Pós Implantação'!J98)),"")</f>
        <v/>
      </c>
      <c r="H98" s="34" t="str">
        <f>IFERROR(IF('Pós Implantação'!B98="Operações \ Negócio",AVERAGE('Pós Implantação'!D98,'Pós Implantação'!L98,'Pós Implantação'!K98),AVERAGE('Pós Implantação'!K98)),"")</f>
        <v/>
      </c>
      <c r="I98" s="34" t="str">
        <f>IFERROR(IF('Pós Implantação'!B98="Projetos",AVERAGE('Pós Implantação'!D98,'Pós Implantação'!L98,'Pós Implantação'!M98),AVERAGE('Pós Implantação'!M98)),"")</f>
        <v/>
      </c>
      <c r="J98" s="34" t="str">
        <f>IFERROR(IF('Pós Implantação'!B98="Engenharia",AVERAGE('Pós Implantação'!D98,'Pós Implantação'!L98,'Pós Implantação'!N98),AVERAGE('Pós Implantação'!N98)),"")</f>
        <v/>
      </c>
      <c r="K98" s="34" t="str">
        <f>IFERROR(IF('Pós Implantação'!B98="URA",AVERAGE('Pós Implantação'!D98,'Pós Implantação'!L98),""),"")</f>
        <v/>
      </c>
      <c r="L98" s="34" t="str">
        <f>IFERROR(IF('Pós Implantação'!B98="CSE Microsoft",AVERAGE('Pós Implantação'!D98,'Pós Implantação'!L98),""),"")</f>
        <v/>
      </c>
      <c r="M98" s="34" t="str">
        <f>IFERROR(IF('Pós Implantação'!B98="CSE Telecom",AVERAGE('Pós Implantação'!D98,'Pós Implantação'!L98),""),"")</f>
        <v/>
      </c>
      <c r="N98" s="34" t="str">
        <f>IFERROR(IF('Pós Implantação'!B98="Site Suporte de Campo",AVERAGE('Pós Implantação'!D98,'Pós Implantação'!L98),""),"")</f>
        <v/>
      </c>
      <c r="O98" s="49" t="str">
        <f>IFERROR(IF('Pós Implantação'!B98="Infraestrutura",AVERAGE('Pós Implantação'!D98,'Pós Implantação'!L98),""),"")</f>
        <v/>
      </c>
    </row>
    <row r="99" spans="1:15" x14ac:dyDescent="0.3">
      <c r="A99" s="33">
        <f>'Pré Implantação'!A99</f>
        <v>0</v>
      </c>
      <c r="B99" s="36" t="str">
        <f>'Pós Implantação'!C99</f>
        <v>0</v>
      </c>
      <c r="C99" s="34" t="str">
        <f>IFERROR(IF('Pré Implantação'!B99="Produção TI",AVERAGE('Pós Implantação'!D99,'Pós Implantação'!E99,'Pós Implantação'!L99,'Pós Implantação'!H99),AVERAGE('Pré Implantação'!E99,'Pré Implantação'!H99)),"")</f>
        <v/>
      </c>
      <c r="D99" s="34" t="str">
        <f>IFERROR(IF('Pós Implantação'!B99="CSC Service Desk",AVERAGE('Pós Implantação'!D99,'Pós Implantação'!L99,'Pós Implantação'!F99),AVERAGE('Pós Implantação'!F99)),"")</f>
        <v/>
      </c>
      <c r="E99" s="34" t="str">
        <f>IFERROR(IF('Pós Implantação'!B99="CSC NOC",AVERAGE('Pós Implantação'!D99,'Pós Implantação'!L99,'Pós Implantação'!G99),AVERAGE('Pós Implantação'!G99)),"")</f>
        <v/>
      </c>
      <c r="F99" s="34" t="str">
        <f>IFERROR(IF('Pós Implantação'!B99="CSE Gravadores",AVERAGE('Pós Implantação'!D99,'Pós Implantação'!L99,'Pós Implantação'!I99),AVERAGE('Pós Implantação'!I99)),"")</f>
        <v/>
      </c>
      <c r="G99" s="34" t="str">
        <f>IFERROR(IF('Pós Implantação'!B99="CSC",AVERAGE('Pós Implantação'!D99,'Pós Implantação'!L99,'Pós Implantação'!J99),AVERAGE('Pós Implantação'!J99)),"")</f>
        <v/>
      </c>
      <c r="H99" s="34" t="str">
        <f>IFERROR(IF('Pós Implantação'!B99="Operações \ Negócio",AVERAGE('Pós Implantação'!D99,'Pós Implantação'!L99,'Pós Implantação'!K99),AVERAGE('Pós Implantação'!K99)),"")</f>
        <v/>
      </c>
      <c r="I99" s="34" t="str">
        <f>IFERROR(IF('Pós Implantação'!B99="Projetos",AVERAGE('Pós Implantação'!D99,'Pós Implantação'!L99,'Pós Implantação'!M99),AVERAGE('Pós Implantação'!M99)),"")</f>
        <v/>
      </c>
      <c r="J99" s="34" t="str">
        <f>IFERROR(IF('Pós Implantação'!B99="Engenharia",AVERAGE('Pós Implantação'!D99,'Pós Implantação'!L99,'Pós Implantação'!N99),AVERAGE('Pós Implantação'!N99)),"")</f>
        <v/>
      </c>
      <c r="K99" s="34" t="str">
        <f>IFERROR(IF('Pós Implantação'!B99="URA",AVERAGE('Pós Implantação'!D99,'Pós Implantação'!L99),""),"")</f>
        <v/>
      </c>
      <c r="L99" s="34" t="str">
        <f>IFERROR(IF('Pós Implantação'!B99="CSE Microsoft",AVERAGE('Pós Implantação'!D99,'Pós Implantação'!L99),""),"")</f>
        <v/>
      </c>
      <c r="M99" s="34" t="str">
        <f>IFERROR(IF('Pós Implantação'!B99="CSE Telecom",AVERAGE('Pós Implantação'!D99,'Pós Implantação'!L99),""),"")</f>
        <v/>
      </c>
      <c r="N99" s="34" t="str">
        <f>IFERROR(IF('Pós Implantação'!B99="Site Suporte de Campo",AVERAGE('Pós Implantação'!D99,'Pós Implantação'!L99),""),"")</f>
        <v/>
      </c>
      <c r="O99" s="49" t="str">
        <f>IFERROR(IF('Pós Implantação'!B99="Infraestrutura",AVERAGE('Pós Implantação'!D99,'Pós Implantação'!L99),""),"")</f>
        <v/>
      </c>
    </row>
    <row r="100" spans="1:15" x14ac:dyDescent="0.3">
      <c r="A100" s="33">
        <f>'Pré Implantação'!A100</f>
        <v>0</v>
      </c>
      <c r="B100" s="36" t="str">
        <f>'Pós Implantação'!C100</f>
        <v>0</v>
      </c>
      <c r="C100" s="34" t="str">
        <f>IFERROR(IF('Pré Implantação'!B100="Produção TI",AVERAGE('Pós Implantação'!D100,'Pós Implantação'!E100,'Pós Implantação'!L100,'Pós Implantação'!H100),AVERAGE('Pré Implantação'!E100,'Pré Implantação'!H100)),"")</f>
        <v/>
      </c>
      <c r="D100" s="34" t="str">
        <f>IFERROR(IF('Pós Implantação'!B100="CSC Service Desk",AVERAGE('Pós Implantação'!D100,'Pós Implantação'!L100,'Pós Implantação'!F100),AVERAGE('Pós Implantação'!F100)),"")</f>
        <v/>
      </c>
      <c r="E100" s="34" t="str">
        <f>IFERROR(IF('Pós Implantação'!B100="CSC NOC",AVERAGE('Pós Implantação'!D100,'Pós Implantação'!L100,'Pós Implantação'!G100),AVERAGE('Pós Implantação'!G100)),"")</f>
        <v/>
      </c>
      <c r="F100" s="34" t="str">
        <f>IFERROR(IF('Pós Implantação'!B100="CSE Gravadores",AVERAGE('Pós Implantação'!D100,'Pós Implantação'!L100,'Pós Implantação'!I100),AVERAGE('Pós Implantação'!I100)),"")</f>
        <v/>
      </c>
      <c r="G100" s="34" t="str">
        <f>IFERROR(IF('Pós Implantação'!B100="CSC",AVERAGE('Pós Implantação'!D100,'Pós Implantação'!L100,'Pós Implantação'!J100),AVERAGE('Pós Implantação'!J100)),"")</f>
        <v/>
      </c>
      <c r="H100" s="34" t="str">
        <f>IFERROR(IF('Pós Implantação'!B100="Operações \ Negócio",AVERAGE('Pós Implantação'!D100,'Pós Implantação'!L100,'Pós Implantação'!K100),AVERAGE('Pós Implantação'!K100)),"")</f>
        <v/>
      </c>
      <c r="I100" s="34" t="str">
        <f>IFERROR(IF('Pós Implantação'!B100="Projetos",AVERAGE('Pós Implantação'!D100,'Pós Implantação'!L100,'Pós Implantação'!M100),AVERAGE('Pós Implantação'!M100)),"")</f>
        <v/>
      </c>
      <c r="J100" s="34" t="str">
        <f>IFERROR(IF('Pós Implantação'!B100="Engenharia",AVERAGE('Pós Implantação'!D100,'Pós Implantação'!L100,'Pós Implantação'!N100),AVERAGE('Pós Implantação'!N100)),"")</f>
        <v/>
      </c>
      <c r="K100" s="34" t="str">
        <f>IFERROR(IF('Pós Implantação'!B100="URA",AVERAGE('Pós Implantação'!D100,'Pós Implantação'!L100),""),"")</f>
        <v/>
      </c>
      <c r="L100" s="34" t="str">
        <f>IFERROR(IF('Pós Implantação'!B100="CSE Microsoft",AVERAGE('Pós Implantação'!D100,'Pós Implantação'!L100),""),"")</f>
        <v/>
      </c>
      <c r="M100" s="34" t="str">
        <f>IFERROR(IF('Pós Implantação'!B100="CSE Telecom",AVERAGE('Pós Implantação'!D100,'Pós Implantação'!L100),""),"")</f>
        <v/>
      </c>
      <c r="N100" s="34" t="str">
        <f>IFERROR(IF('Pós Implantação'!B100="Site Suporte de Campo",AVERAGE('Pós Implantação'!D100,'Pós Implantação'!L100),""),"")</f>
        <v/>
      </c>
      <c r="O100" s="49" t="str">
        <f>IFERROR(IF('Pós Implantação'!B100="Infraestrutura",AVERAGE('Pós Implantação'!D100,'Pós Implantação'!L100),""),"")</f>
        <v/>
      </c>
    </row>
    <row r="101" spans="1:15" x14ac:dyDescent="0.3">
      <c r="A101" s="33">
        <f>'Pré Implantação'!A101</f>
        <v>0</v>
      </c>
      <c r="B101" s="36" t="str">
        <f>'Pós Implantação'!C101</f>
        <v>0</v>
      </c>
      <c r="C101" s="34" t="str">
        <f>IFERROR(IF('Pré Implantação'!B101="Produção TI",AVERAGE('Pós Implantação'!D101,'Pós Implantação'!E101,'Pós Implantação'!L101,'Pós Implantação'!H101),AVERAGE('Pré Implantação'!E101,'Pré Implantação'!H101)),"")</f>
        <v/>
      </c>
      <c r="D101" s="34" t="str">
        <f>IFERROR(IF('Pós Implantação'!B101="CSC Service Desk",AVERAGE('Pós Implantação'!D101,'Pós Implantação'!L101,'Pós Implantação'!F101),AVERAGE('Pós Implantação'!F101)),"")</f>
        <v/>
      </c>
      <c r="E101" s="34" t="str">
        <f>IFERROR(IF('Pós Implantação'!B101="CSC NOC",AVERAGE('Pós Implantação'!D101,'Pós Implantação'!L101,'Pós Implantação'!G101),AVERAGE('Pós Implantação'!G101)),"")</f>
        <v/>
      </c>
      <c r="F101" s="34" t="str">
        <f>IFERROR(IF('Pós Implantação'!B101="CSE Gravadores",AVERAGE('Pós Implantação'!D101,'Pós Implantação'!L101,'Pós Implantação'!I101),AVERAGE('Pós Implantação'!I101)),"")</f>
        <v/>
      </c>
      <c r="G101" s="34" t="str">
        <f>IFERROR(IF('Pós Implantação'!B101="CSC",AVERAGE('Pós Implantação'!D101,'Pós Implantação'!L101,'Pós Implantação'!J101),AVERAGE('Pós Implantação'!J101)),"")</f>
        <v/>
      </c>
      <c r="H101" s="34" t="str">
        <f>IFERROR(IF('Pós Implantação'!B101="Operações \ Negócio",AVERAGE('Pós Implantação'!D101,'Pós Implantação'!L101,'Pós Implantação'!K101),AVERAGE('Pós Implantação'!K101)),"")</f>
        <v/>
      </c>
      <c r="I101" s="34" t="str">
        <f>IFERROR(IF('Pós Implantação'!B101="Projetos",AVERAGE('Pós Implantação'!D101,'Pós Implantação'!L101,'Pós Implantação'!M101),AVERAGE('Pós Implantação'!M101)),"")</f>
        <v/>
      </c>
      <c r="J101" s="34" t="str">
        <f>IFERROR(IF('Pós Implantação'!B101="Engenharia",AVERAGE('Pós Implantação'!D101,'Pós Implantação'!L101,'Pós Implantação'!N101),AVERAGE('Pós Implantação'!N101)),"")</f>
        <v/>
      </c>
      <c r="K101" s="34" t="str">
        <f>IFERROR(IF('Pós Implantação'!B101="URA",AVERAGE('Pós Implantação'!D101,'Pós Implantação'!L101),""),"")</f>
        <v/>
      </c>
      <c r="L101" s="34" t="str">
        <f>IFERROR(IF('Pós Implantação'!B101="CSE Microsoft",AVERAGE('Pós Implantação'!D101,'Pós Implantação'!L101),""),"")</f>
        <v/>
      </c>
      <c r="M101" s="34" t="str">
        <f>IFERROR(IF('Pós Implantação'!B101="CSE Telecom",AVERAGE('Pós Implantação'!D101,'Pós Implantação'!L101),""),"")</f>
        <v/>
      </c>
      <c r="N101" s="34" t="str">
        <f>IFERROR(IF('Pós Implantação'!B101="Site Suporte de Campo",AVERAGE('Pós Implantação'!D101,'Pós Implantação'!L101),""),"")</f>
        <v/>
      </c>
      <c r="O101" s="49" t="str">
        <f>IFERROR(IF('Pós Implantação'!B101="Infraestrutura",AVERAGE('Pós Implantação'!D101,'Pós Implantação'!L101),""),"")</f>
        <v/>
      </c>
    </row>
    <row r="102" spans="1:15" x14ac:dyDescent="0.3">
      <c r="A102" s="33">
        <f>'Pré Implantação'!A102</f>
        <v>0</v>
      </c>
      <c r="B102" s="36" t="str">
        <f>'Pós Implantação'!C102</f>
        <v>0</v>
      </c>
      <c r="C102" s="34" t="str">
        <f>IFERROR(IF('Pré Implantação'!B102="Produção TI",AVERAGE('Pós Implantação'!D102,'Pós Implantação'!E102,'Pós Implantação'!L102,'Pós Implantação'!H102),AVERAGE('Pré Implantação'!E102,'Pré Implantação'!H102)),"")</f>
        <v/>
      </c>
      <c r="D102" s="34" t="str">
        <f>IFERROR(IF('Pós Implantação'!B102="CSC Service Desk",AVERAGE('Pós Implantação'!D102,'Pós Implantação'!L102,'Pós Implantação'!F102),AVERAGE('Pós Implantação'!F102)),"")</f>
        <v/>
      </c>
      <c r="E102" s="34" t="str">
        <f>IFERROR(IF('Pós Implantação'!B102="CSC NOC",AVERAGE('Pós Implantação'!D102,'Pós Implantação'!L102,'Pós Implantação'!G102),AVERAGE('Pós Implantação'!G102)),"")</f>
        <v/>
      </c>
      <c r="F102" s="34" t="str">
        <f>IFERROR(IF('Pós Implantação'!B102="CSE Gravadores",AVERAGE('Pós Implantação'!D102,'Pós Implantação'!L102,'Pós Implantação'!I102),AVERAGE('Pós Implantação'!I102)),"")</f>
        <v/>
      </c>
      <c r="G102" s="34" t="str">
        <f>IFERROR(IF('Pós Implantação'!B102="CSC",AVERAGE('Pós Implantação'!D102,'Pós Implantação'!L102,'Pós Implantação'!J102),AVERAGE('Pós Implantação'!J102)),"")</f>
        <v/>
      </c>
      <c r="H102" s="34" t="str">
        <f>IFERROR(IF('Pós Implantação'!B102="Operações \ Negócio",AVERAGE('Pós Implantação'!D102,'Pós Implantação'!L102,'Pós Implantação'!K102),AVERAGE('Pós Implantação'!K102)),"")</f>
        <v/>
      </c>
      <c r="I102" s="34" t="str">
        <f>IFERROR(IF('Pós Implantação'!B102="Projetos",AVERAGE('Pós Implantação'!D102,'Pós Implantação'!L102,'Pós Implantação'!M102),AVERAGE('Pós Implantação'!M102)),"")</f>
        <v/>
      </c>
      <c r="J102" s="34" t="str">
        <f>IFERROR(IF('Pós Implantação'!B102="Engenharia",AVERAGE('Pós Implantação'!D102,'Pós Implantação'!L102,'Pós Implantação'!N102),AVERAGE('Pós Implantação'!N102)),"")</f>
        <v/>
      </c>
      <c r="K102" s="34" t="str">
        <f>IFERROR(IF('Pós Implantação'!B102="URA",AVERAGE('Pós Implantação'!D102,'Pós Implantação'!L102),""),"")</f>
        <v/>
      </c>
      <c r="L102" s="34" t="str">
        <f>IFERROR(IF('Pós Implantação'!B102="CSE Microsoft",AVERAGE('Pós Implantação'!D102,'Pós Implantação'!L102),""),"")</f>
        <v/>
      </c>
      <c r="M102" s="34" t="str">
        <f>IFERROR(IF('Pós Implantação'!B102="CSE Telecom",AVERAGE('Pós Implantação'!D102,'Pós Implantação'!L102),""),"")</f>
        <v/>
      </c>
      <c r="N102" s="34" t="str">
        <f>IFERROR(IF('Pós Implantação'!B102="Site Suporte de Campo",AVERAGE('Pós Implantação'!D102,'Pós Implantação'!L102),""),"")</f>
        <v/>
      </c>
      <c r="O102" s="49" t="str">
        <f>IFERROR(IF('Pós Implantação'!B102="Infraestrutura",AVERAGE('Pós Implantação'!D102,'Pós Implantação'!L102),""),"")</f>
        <v/>
      </c>
    </row>
    <row r="103" spans="1:15" x14ac:dyDescent="0.3">
      <c r="A103" s="33">
        <f>'Pré Implantação'!A103</f>
        <v>0</v>
      </c>
      <c r="B103" s="36" t="str">
        <f>'Pós Implantação'!C103</f>
        <v>0</v>
      </c>
      <c r="C103" s="34" t="str">
        <f>IFERROR(IF('Pré Implantação'!B103="Produção TI",AVERAGE('Pós Implantação'!D103,'Pós Implantação'!E103,'Pós Implantação'!L103,'Pós Implantação'!H103),AVERAGE('Pré Implantação'!E103,'Pré Implantação'!H103)),"")</f>
        <v/>
      </c>
      <c r="D103" s="34" t="str">
        <f>IFERROR(IF('Pós Implantação'!B103="CSC Service Desk",AVERAGE('Pós Implantação'!D103,'Pós Implantação'!L103,'Pós Implantação'!F103),AVERAGE('Pós Implantação'!F103)),"")</f>
        <v/>
      </c>
      <c r="E103" s="34" t="str">
        <f>IFERROR(IF('Pós Implantação'!B103="CSC NOC",AVERAGE('Pós Implantação'!D103,'Pós Implantação'!L103,'Pós Implantação'!G103),AVERAGE('Pós Implantação'!G103)),"")</f>
        <v/>
      </c>
      <c r="F103" s="34" t="str">
        <f>IFERROR(IF('Pós Implantação'!B103="CSE Gravadores",AVERAGE('Pós Implantação'!D103,'Pós Implantação'!L103,'Pós Implantação'!I103),AVERAGE('Pós Implantação'!I103)),"")</f>
        <v/>
      </c>
      <c r="G103" s="34" t="str">
        <f>IFERROR(IF('Pós Implantação'!B103="CSC",AVERAGE('Pós Implantação'!D103,'Pós Implantação'!L103,'Pós Implantação'!J103),AVERAGE('Pós Implantação'!J103)),"")</f>
        <v/>
      </c>
      <c r="H103" s="34" t="str">
        <f>IFERROR(IF('Pós Implantação'!B103="Operações \ Negócio",AVERAGE('Pós Implantação'!D103,'Pós Implantação'!L103,'Pós Implantação'!K103),AVERAGE('Pós Implantação'!K103)),"")</f>
        <v/>
      </c>
      <c r="I103" s="34" t="str">
        <f>IFERROR(IF('Pós Implantação'!B103="Projetos",AVERAGE('Pós Implantação'!D103,'Pós Implantação'!L103,'Pós Implantação'!M103),AVERAGE('Pós Implantação'!M103)),"")</f>
        <v/>
      </c>
      <c r="J103" s="34" t="str">
        <f>IFERROR(IF('Pós Implantação'!B103="Engenharia",AVERAGE('Pós Implantação'!D103,'Pós Implantação'!L103,'Pós Implantação'!N103),AVERAGE('Pós Implantação'!N103)),"")</f>
        <v/>
      </c>
      <c r="K103" s="34" t="str">
        <f>IFERROR(IF('Pós Implantação'!B103="URA",AVERAGE('Pós Implantação'!D103,'Pós Implantação'!L103),""),"")</f>
        <v/>
      </c>
      <c r="L103" s="34" t="str">
        <f>IFERROR(IF('Pós Implantação'!B103="CSE Microsoft",AVERAGE('Pós Implantação'!D103,'Pós Implantação'!L103),""),"")</f>
        <v/>
      </c>
      <c r="M103" s="34" t="str">
        <f>IFERROR(IF('Pós Implantação'!B103="CSE Telecom",AVERAGE('Pós Implantação'!D103,'Pós Implantação'!L103),""),"")</f>
        <v/>
      </c>
      <c r="N103" s="34" t="str">
        <f>IFERROR(IF('Pós Implantação'!B103="Site Suporte de Campo",AVERAGE('Pós Implantação'!D103,'Pós Implantação'!L103),""),"")</f>
        <v/>
      </c>
      <c r="O103" s="49" t="str">
        <f>IFERROR(IF('Pós Implantação'!B103="Infraestrutura",AVERAGE('Pós Implantação'!D103,'Pós Implantação'!L103),""),"")</f>
        <v/>
      </c>
    </row>
    <row r="104" spans="1:15" x14ac:dyDescent="0.3">
      <c r="A104" s="33">
        <f>'Pré Implantação'!A104</f>
        <v>0</v>
      </c>
      <c r="B104" s="36" t="str">
        <f>'Pós Implantação'!C104</f>
        <v>0</v>
      </c>
      <c r="C104" s="34" t="str">
        <f>IFERROR(IF('Pré Implantação'!B104="Produção TI",AVERAGE('Pós Implantação'!D104,'Pós Implantação'!E104,'Pós Implantação'!L104,'Pós Implantação'!H104),AVERAGE('Pré Implantação'!E104,'Pré Implantação'!H104)),"")</f>
        <v/>
      </c>
      <c r="D104" s="34" t="str">
        <f>IFERROR(IF('Pós Implantação'!B104="CSC Service Desk",AVERAGE('Pós Implantação'!D104,'Pós Implantação'!L104,'Pós Implantação'!F104),AVERAGE('Pós Implantação'!F104)),"")</f>
        <v/>
      </c>
      <c r="E104" s="34" t="str">
        <f>IFERROR(IF('Pós Implantação'!B104="CSC NOC",AVERAGE('Pós Implantação'!D104,'Pós Implantação'!L104,'Pós Implantação'!G104),AVERAGE('Pós Implantação'!G104)),"")</f>
        <v/>
      </c>
      <c r="F104" s="34" t="str">
        <f>IFERROR(IF('Pós Implantação'!B104="CSE Gravadores",AVERAGE('Pós Implantação'!D104,'Pós Implantação'!L104,'Pós Implantação'!I104),AVERAGE('Pós Implantação'!I104)),"")</f>
        <v/>
      </c>
      <c r="G104" s="34" t="str">
        <f>IFERROR(IF('Pós Implantação'!B104="CSC",AVERAGE('Pós Implantação'!D104,'Pós Implantação'!L104,'Pós Implantação'!J104),AVERAGE('Pós Implantação'!J104)),"")</f>
        <v/>
      </c>
      <c r="H104" s="34" t="str">
        <f>IFERROR(IF('Pós Implantação'!B104="Operações \ Negócio",AVERAGE('Pós Implantação'!D104,'Pós Implantação'!L104,'Pós Implantação'!K104),AVERAGE('Pós Implantação'!K104)),"")</f>
        <v/>
      </c>
      <c r="I104" s="34" t="str">
        <f>IFERROR(IF('Pós Implantação'!B104="Projetos",AVERAGE('Pós Implantação'!D104,'Pós Implantação'!L104,'Pós Implantação'!M104),AVERAGE('Pós Implantação'!M104)),"")</f>
        <v/>
      </c>
      <c r="J104" s="34" t="str">
        <f>IFERROR(IF('Pós Implantação'!B104="Engenharia",AVERAGE('Pós Implantação'!D104,'Pós Implantação'!L104,'Pós Implantação'!N104),AVERAGE('Pós Implantação'!N104)),"")</f>
        <v/>
      </c>
      <c r="K104" s="34" t="str">
        <f>IFERROR(IF('Pós Implantação'!B104="URA",AVERAGE('Pós Implantação'!D104,'Pós Implantação'!L104),""),"")</f>
        <v/>
      </c>
      <c r="L104" s="34" t="str">
        <f>IFERROR(IF('Pós Implantação'!B104="CSE Microsoft",AVERAGE('Pós Implantação'!D104,'Pós Implantação'!L104),""),"")</f>
        <v/>
      </c>
      <c r="M104" s="34" t="str">
        <f>IFERROR(IF('Pós Implantação'!B104="CSE Telecom",AVERAGE('Pós Implantação'!D104,'Pós Implantação'!L104),""),"")</f>
        <v/>
      </c>
      <c r="N104" s="34" t="str">
        <f>IFERROR(IF('Pós Implantação'!B104="Site Suporte de Campo",AVERAGE('Pós Implantação'!D104,'Pós Implantação'!L104),""),"")</f>
        <v/>
      </c>
      <c r="O104" s="49" t="str">
        <f>IFERROR(IF('Pós Implantação'!B104="Infraestrutura",AVERAGE('Pós Implantação'!D104,'Pós Implantação'!L104),""),"")</f>
        <v/>
      </c>
    </row>
    <row r="105" spans="1:15" x14ac:dyDescent="0.3">
      <c r="A105" s="33">
        <f>'Pré Implantação'!A105</f>
        <v>0</v>
      </c>
      <c r="B105" s="36" t="str">
        <f>'Pós Implantação'!C105</f>
        <v>0</v>
      </c>
      <c r="C105" s="34" t="str">
        <f>IFERROR(IF('Pré Implantação'!B105="Produção TI",AVERAGE('Pós Implantação'!D105,'Pós Implantação'!E105,'Pós Implantação'!L105,'Pós Implantação'!H105),AVERAGE('Pré Implantação'!E105,'Pré Implantação'!H105)),"")</f>
        <v/>
      </c>
      <c r="D105" s="34" t="str">
        <f>IFERROR(IF('Pós Implantação'!B105="CSC Service Desk",AVERAGE('Pós Implantação'!D105,'Pós Implantação'!L105,'Pós Implantação'!F105),AVERAGE('Pós Implantação'!F105)),"")</f>
        <v/>
      </c>
      <c r="E105" s="34" t="str">
        <f>IFERROR(IF('Pós Implantação'!B105="CSC NOC",AVERAGE('Pós Implantação'!D105,'Pós Implantação'!L105,'Pós Implantação'!G105),AVERAGE('Pós Implantação'!G105)),"")</f>
        <v/>
      </c>
      <c r="F105" s="34" t="str">
        <f>IFERROR(IF('Pós Implantação'!B105="CSE Gravadores",AVERAGE('Pós Implantação'!D105,'Pós Implantação'!L105,'Pós Implantação'!I105),AVERAGE('Pós Implantação'!I105)),"")</f>
        <v/>
      </c>
      <c r="G105" s="34" t="str">
        <f>IFERROR(IF('Pós Implantação'!B105="CSC",AVERAGE('Pós Implantação'!D105,'Pós Implantação'!L105,'Pós Implantação'!J105),AVERAGE('Pós Implantação'!J105)),"")</f>
        <v/>
      </c>
      <c r="H105" s="34" t="str">
        <f>IFERROR(IF('Pós Implantação'!B105="Operações \ Negócio",AVERAGE('Pós Implantação'!D105,'Pós Implantação'!L105,'Pós Implantação'!K105),AVERAGE('Pós Implantação'!K105)),"")</f>
        <v/>
      </c>
      <c r="I105" s="34" t="str">
        <f>IFERROR(IF('Pós Implantação'!B105="Projetos",AVERAGE('Pós Implantação'!D105,'Pós Implantação'!L105,'Pós Implantação'!M105),AVERAGE('Pós Implantação'!M105)),"")</f>
        <v/>
      </c>
      <c r="J105" s="34" t="str">
        <f>IFERROR(IF('Pós Implantação'!B105="Engenharia",AVERAGE('Pós Implantação'!D105,'Pós Implantação'!L105,'Pós Implantação'!N105),AVERAGE('Pós Implantação'!N105)),"")</f>
        <v/>
      </c>
      <c r="K105" s="34" t="str">
        <f>IFERROR(IF('Pós Implantação'!B105="URA",AVERAGE('Pós Implantação'!D105,'Pós Implantação'!L105),""),"")</f>
        <v/>
      </c>
      <c r="L105" s="34" t="str">
        <f>IFERROR(IF('Pós Implantação'!B105="CSE Microsoft",AVERAGE('Pós Implantação'!D105,'Pós Implantação'!L105),""),"")</f>
        <v/>
      </c>
      <c r="M105" s="34" t="str">
        <f>IFERROR(IF('Pós Implantação'!B105="CSE Telecom",AVERAGE('Pós Implantação'!D105,'Pós Implantação'!L105),""),"")</f>
        <v/>
      </c>
      <c r="N105" s="34" t="str">
        <f>IFERROR(IF('Pós Implantação'!B105="Site Suporte de Campo",AVERAGE('Pós Implantação'!D105,'Pós Implantação'!L105),""),"")</f>
        <v/>
      </c>
      <c r="O105" s="49" t="str">
        <f>IFERROR(IF('Pós Implantação'!B105="Infraestrutura",AVERAGE('Pós Implantação'!D105,'Pós Implantação'!L105),""),"")</f>
        <v/>
      </c>
    </row>
    <row r="106" spans="1:15" x14ac:dyDescent="0.3">
      <c r="A106" s="33">
        <f>'Pré Implantação'!A106</f>
        <v>0</v>
      </c>
      <c r="B106" s="36" t="str">
        <f>'Pós Implantação'!C106</f>
        <v>0</v>
      </c>
      <c r="C106" s="34" t="str">
        <f>IFERROR(IF('Pré Implantação'!B106="Produção TI",AVERAGE('Pós Implantação'!D106,'Pós Implantação'!E106,'Pós Implantação'!L106,'Pós Implantação'!H106),AVERAGE('Pré Implantação'!E106,'Pré Implantação'!H106)),"")</f>
        <v/>
      </c>
      <c r="D106" s="34" t="str">
        <f>IFERROR(IF('Pós Implantação'!B106="CSC Service Desk",AVERAGE('Pós Implantação'!D106,'Pós Implantação'!L106,'Pós Implantação'!F106),AVERAGE('Pós Implantação'!F106)),"")</f>
        <v/>
      </c>
      <c r="E106" s="34" t="str">
        <f>IFERROR(IF('Pós Implantação'!B106="CSC NOC",AVERAGE('Pós Implantação'!D106,'Pós Implantação'!L106,'Pós Implantação'!G106),AVERAGE('Pós Implantação'!G106)),"")</f>
        <v/>
      </c>
      <c r="F106" s="34" t="str">
        <f>IFERROR(IF('Pós Implantação'!B106="CSE Gravadores",AVERAGE('Pós Implantação'!D106,'Pós Implantação'!L106,'Pós Implantação'!I106),AVERAGE('Pós Implantação'!I106)),"")</f>
        <v/>
      </c>
      <c r="G106" s="34" t="str">
        <f>IFERROR(IF('Pós Implantação'!B106="CSC",AVERAGE('Pós Implantação'!D106,'Pós Implantação'!L106,'Pós Implantação'!J106),AVERAGE('Pós Implantação'!J106)),"")</f>
        <v/>
      </c>
      <c r="H106" s="34" t="str">
        <f>IFERROR(IF('Pós Implantação'!B106="Operações \ Negócio",AVERAGE('Pós Implantação'!D106,'Pós Implantação'!L106,'Pós Implantação'!K106),AVERAGE('Pós Implantação'!K106)),"")</f>
        <v/>
      </c>
      <c r="I106" s="34" t="str">
        <f>IFERROR(IF('Pós Implantação'!B106="Projetos",AVERAGE('Pós Implantação'!D106,'Pós Implantação'!L106,'Pós Implantação'!M106),AVERAGE('Pós Implantação'!M106)),"")</f>
        <v/>
      </c>
      <c r="J106" s="34" t="str">
        <f>IFERROR(IF('Pós Implantação'!B106="Engenharia",AVERAGE('Pós Implantação'!D106,'Pós Implantação'!L106,'Pós Implantação'!N106),AVERAGE('Pós Implantação'!N106)),"")</f>
        <v/>
      </c>
      <c r="K106" s="34" t="str">
        <f>IFERROR(IF('Pós Implantação'!B106="URA",AVERAGE('Pós Implantação'!D106,'Pós Implantação'!L106),""),"")</f>
        <v/>
      </c>
      <c r="L106" s="34" t="str">
        <f>IFERROR(IF('Pós Implantação'!B106="CSE Microsoft",AVERAGE('Pós Implantação'!D106,'Pós Implantação'!L106),""),"")</f>
        <v/>
      </c>
      <c r="M106" s="34" t="str">
        <f>IFERROR(IF('Pós Implantação'!B106="CSE Telecom",AVERAGE('Pós Implantação'!D106,'Pós Implantação'!L106),""),"")</f>
        <v/>
      </c>
      <c r="N106" s="34" t="str">
        <f>IFERROR(IF('Pós Implantação'!B106="Site Suporte de Campo",AVERAGE('Pós Implantação'!D106,'Pós Implantação'!L106),""),"")</f>
        <v/>
      </c>
      <c r="O106" s="49" t="str">
        <f>IFERROR(IF('Pós Implantação'!B106="Infraestrutura",AVERAGE('Pós Implantação'!D106,'Pós Implantação'!L106),""),"")</f>
        <v/>
      </c>
    </row>
    <row r="107" spans="1:15" x14ac:dyDescent="0.3">
      <c r="A107" s="33">
        <f>'Pré Implantação'!A107</f>
        <v>0</v>
      </c>
      <c r="B107" s="36" t="str">
        <f>'Pós Implantação'!C107</f>
        <v>0</v>
      </c>
      <c r="C107" s="34" t="str">
        <f>IFERROR(IF('Pré Implantação'!B107="Produção TI",AVERAGE('Pós Implantação'!D107,'Pós Implantação'!E107,'Pós Implantação'!L107,'Pós Implantação'!H107),AVERAGE('Pré Implantação'!E107,'Pré Implantação'!H107)),"")</f>
        <v/>
      </c>
      <c r="D107" s="34" t="str">
        <f>IFERROR(IF('Pós Implantação'!B107="CSC Service Desk",AVERAGE('Pós Implantação'!D107,'Pós Implantação'!L107,'Pós Implantação'!F107),AVERAGE('Pós Implantação'!F107)),"")</f>
        <v/>
      </c>
      <c r="E107" s="34" t="str">
        <f>IFERROR(IF('Pós Implantação'!B107="CSC NOC",AVERAGE('Pós Implantação'!D107,'Pós Implantação'!L107,'Pós Implantação'!G107),AVERAGE('Pós Implantação'!G107)),"")</f>
        <v/>
      </c>
      <c r="F107" s="34" t="str">
        <f>IFERROR(IF('Pós Implantação'!B107="CSE Gravadores",AVERAGE('Pós Implantação'!D107,'Pós Implantação'!L107,'Pós Implantação'!I107),AVERAGE('Pós Implantação'!I107)),"")</f>
        <v/>
      </c>
      <c r="G107" s="34" t="str">
        <f>IFERROR(IF('Pós Implantação'!B107="CSC",AVERAGE('Pós Implantação'!D107,'Pós Implantação'!L107,'Pós Implantação'!J107),AVERAGE('Pós Implantação'!J107)),"")</f>
        <v/>
      </c>
      <c r="H107" s="34" t="str">
        <f>IFERROR(IF('Pós Implantação'!B107="Operações \ Negócio",AVERAGE('Pós Implantação'!D107,'Pós Implantação'!L107,'Pós Implantação'!K107),AVERAGE('Pós Implantação'!K107)),"")</f>
        <v/>
      </c>
      <c r="I107" s="34" t="str">
        <f>IFERROR(IF('Pós Implantação'!B107="Projetos",AVERAGE('Pós Implantação'!D107,'Pós Implantação'!L107,'Pós Implantação'!M107),AVERAGE('Pós Implantação'!M107)),"")</f>
        <v/>
      </c>
      <c r="J107" s="34" t="str">
        <f>IFERROR(IF('Pós Implantação'!B107="Engenharia",AVERAGE('Pós Implantação'!D107,'Pós Implantação'!L107,'Pós Implantação'!N107),AVERAGE('Pós Implantação'!N107)),"")</f>
        <v/>
      </c>
      <c r="K107" s="34" t="str">
        <f>IFERROR(IF('Pós Implantação'!B107="URA",AVERAGE('Pós Implantação'!D107,'Pós Implantação'!L107),""),"")</f>
        <v/>
      </c>
      <c r="L107" s="34" t="str">
        <f>IFERROR(IF('Pós Implantação'!B107="CSE Microsoft",AVERAGE('Pós Implantação'!D107,'Pós Implantação'!L107),""),"")</f>
        <v/>
      </c>
      <c r="M107" s="34" t="str">
        <f>IFERROR(IF('Pós Implantação'!B107="CSE Telecom",AVERAGE('Pós Implantação'!D107,'Pós Implantação'!L107),""),"")</f>
        <v/>
      </c>
      <c r="N107" s="34" t="str">
        <f>IFERROR(IF('Pós Implantação'!B107="Site Suporte de Campo",AVERAGE('Pós Implantação'!D107,'Pós Implantação'!L107),""),"")</f>
        <v/>
      </c>
      <c r="O107" s="49" t="str">
        <f>IFERROR(IF('Pós Implantação'!B107="Infraestrutura",AVERAGE('Pós Implantação'!D107,'Pós Implantação'!L107),""),"")</f>
        <v/>
      </c>
    </row>
    <row r="108" spans="1:15" x14ac:dyDescent="0.3">
      <c r="A108" s="33">
        <f>'Pré Implantação'!A108</f>
        <v>0</v>
      </c>
      <c r="B108" s="36" t="str">
        <f>'Pós Implantação'!C108</f>
        <v>0</v>
      </c>
      <c r="C108" s="34" t="str">
        <f>IFERROR(IF('Pré Implantação'!B108="Produção TI",AVERAGE('Pós Implantação'!D108,'Pós Implantação'!E108,'Pós Implantação'!L108,'Pós Implantação'!H108),AVERAGE('Pré Implantação'!E108,'Pré Implantação'!H108)),"")</f>
        <v/>
      </c>
      <c r="D108" s="34" t="str">
        <f>IFERROR(IF('Pós Implantação'!B108="CSC Service Desk",AVERAGE('Pós Implantação'!D108,'Pós Implantação'!L108,'Pós Implantação'!F108),AVERAGE('Pós Implantação'!F108)),"")</f>
        <v/>
      </c>
      <c r="E108" s="34" t="str">
        <f>IFERROR(IF('Pós Implantação'!B108="CSC NOC",AVERAGE('Pós Implantação'!D108,'Pós Implantação'!L108,'Pós Implantação'!G108),AVERAGE('Pós Implantação'!G108)),"")</f>
        <v/>
      </c>
      <c r="F108" s="34" t="str">
        <f>IFERROR(IF('Pós Implantação'!B108="CSE Gravadores",AVERAGE('Pós Implantação'!D108,'Pós Implantação'!L108,'Pós Implantação'!I108),AVERAGE('Pós Implantação'!I108)),"")</f>
        <v/>
      </c>
      <c r="G108" s="34" t="str">
        <f>IFERROR(IF('Pós Implantação'!B108="CSC",AVERAGE('Pós Implantação'!D108,'Pós Implantação'!L108,'Pós Implantação'!J108),AVERAGE('Pós Implantação'!J108)),"")</f>
        <v/>
      </c>
      <c r="H108" s="34" t="str">
        <f>IFERROR(IF('Pós Implantação'!B108="Operações \ Negócio",AVERAGE('Pós Implantação'!D108,'Pós Implantação'!L108,'Pós Implantação'!K108),AVERAGE('Pós Implantação'!K108)),"")</f>
        <v/>
      </c>
      <c r="I108" s="34" t="str">
        <f>IFERROR(IF('Pós Implantação'!B108="Projetos",AVERAGE('Pós Implantação'!D108,'Pós Implantação'!L108,'Pós Implantação'!M108),AVERAGE('Pós Implantação'!M108)),"")</f>
        <v/>
      </c>
      <c r="J108" s="34" t="str">
        <f>IFERROR(IF('Pós Implantação'!B108="Engenharia",AVERAGE('Pós Implantação'!D108,'Pós Implantação'!L108,'Pós Implantação'!N108),AVERAGE('Pós Implantação'!N108)),"")</f>
        <v/>
      </c>
      <c r="K108" s="34" t="str">
        <f>IFERROR(IF('Pós Implantação'!B108="URA",AVERAGE('Pós Implantação'!D108,'Pós Implantação'!L108),""),"")</f>
        <v/>
      </c>
      <c r="L108" s="34" t="str">
        <f>IFERROR(IF('Pós Implantação'!B108="CSE Microsoft",AVERAGE('Pós Implantação'!D108,'Pós Implantação'!L108),""),"")</f>
        <v/>
      </c>
      <c r="M108" s="34" t="str">
        <f>IFERROR(IF('Pós Implantação'!B108="CSE Telecom",AVERAGE('Pós Implantação'!D108,'Pós Implantação'!L108),""),"")</f>
        <v/>
      </c>
      <c r="N108" s="34" t="str">
        <f>IFERROR(IF('Pós Implantação'!B108="Site Suporte de Campo",AVERAGE('Pós Implantação'!D108,'Pós Implantação'!L108),""),"")</f>
        <v/>
      </c>
      <c r="O108" s="49" t="str">
        <f>IFERROR(IF('Pós Implantação'!B108="Infraestrutura",AVERAGE('Pós Implantação'!D108,'Pós Implantação'!L108),""),"")</f>
        <v/>
      </c>
    </row>
    <row r="109" spans="1:15" x14ac:dyDescent="0.3">
      <c r="A109" s="33">
        <f>'Pré Implantação'!A109</f>
        <v>0</v>
      </c>
      <c r="B109" s="36" t="str">
        <f>'Pós Implantação'!C109</f>
        <v>0</v>
      </c>
      <c r="C109" s="34" t="str">
        <f>IFERROR(IF('Pré Implantação'!B109="Produção TI",AVERAGE('Pós Implantação'!D109,'Pós Implantação'!E109,'Pós Implantação'!L109,'Pós Implantação'!H109),AVERAGE('Pré Implantação'!E109,'Pré Implantação'!H109)),"")</f>
        <v/>
      </c>
      <c r="D109" s="34" t="str">
        <f>IFERROR(IF('Pós Implantação'!B109="CSC Service Desk",AVERAGE('Pós Implantação'!D109,'Pós Implantação'!L109,'Pós Implantação'!F109),AVERAGE('Pós Implantação'!F109)),"")</f>
        <v/>
      </c>
      <c r="E109" s="34" t="str">
        <f>IFERROR(IF('Pós Implantação'!B109="CSC NOC",AVERAGE('Pós Implantação'!D109,'Pós Implantação'!L109,'Pós Implantação'!G109),AVERAGE('Pós Implantação'!G109)),"")</f>
        <v/>
      </c>
      <c r="F109" s="34" t="str">
        <f>IFERROR(IF('Pós Implantação'!B109="CSE Gravadores",AVERAGE('Pós Implantação'!D109,'Pós Implantação'!L109,'Pós Implantação'!I109),AVERAGE('Pós Implantação'!I109)),"")</f>
        <v/>
      </c>
      <c r="G109" s="34" t="str">
        <f>IFERROR(IF('Pós Implantação'!B109="CSC",AVERAGE('Pós Implantação'!D109,'Pós Implantação'!L109,'Pós Implantação'!J109),AVERAGE('Pós Implantação'!J109)),"")</f>
        <v/>
      </c>
      <c r="H109" s="34" t="str">
        <f>IFERROR(IF('Pós Implantação'!B109="Operações \ Negócio",AVERAGE('Pós Implantação'!D109,'Pós Implantação'!L109,'Pós Implantação'!K109),AVERAGE('Pós Implantação'!K109)),"")</f>
        <v/>
      </c>
      <c r="I109" s="34" t="str">
        <f>IFERROR(IF('Pós Implantação'!B109="Projetos",AVERAGE('Pós Implantação'!D109,'Pós Implantação'!L109,'Pós Implantação'!M109),AVERAGE('Pós Implantação'!M109)),"")</f>
        <v/>
      </c>
      <c r="J109" s="34" t="str">
        <f>IFERROR(IF('Pós Implantação'!B109="Engenharia",AVERAGE('Pós Implantação'!D109,'Pós Implantação'!L109,'Pós Implantação'!N109),AVERAGE('Pós Implantação'!N109)),"")</f>
        <v/>
      </c>
      <c r="K109" s="34" t="str">
        <f>IFERROR(IF('Pós Implantação'!B109="URA",AVERAGE('Pós Implantação'!D109,'Pós Implantação'!L109),""),"")</f>
        <v/>
      </c>
      <c r="L109" s="34" t="str">
        <f>IFERROR(IF('Pós Implantação'!B109="CSE Microsoft",AVERAGE('Pós Implantação'!D109,'Pós Implantação'!L109),""),"")</f>
        <v/>
      </c>
      <c r="M109" s="34" t="str">
        <f>IFERROR(IF('Pós Implantação'!B109="CSE Telecom",AVERAGE('Pós Implantação'!D109,'Pós Implantação'!L109),""),"")</f>
        <v/>
      </c>
      <c r="N109" s="34" t="str">
        <f>IFERROR(IF('Pós Implantação'!B109="Site Suporte de Campo",AVERAGE('Pós Implantação'!D109,'Pós Implantação'!L109),""),"")</f>
        <v/>
      </c>
      <c r="O109" s="49" t="str">
        <f>IFERROR(IF('Pós Implantação'!B109="Infraestrutura",AVERAGE('Pós Implantação'!D109,'Pós Implantação'!L109),""),"")</f>
        <v/>
      </c>
    </row>
    <row r="110" spans="1:15" x14ac:dyDescent="0.3">
      <c r="A110" s="33">
        <f>'Pré Implantação'!A110</f>
        <v>0</v>
      </c>
      <c r="B110" s="36" t="str">
        <f>'Pós Implantação'!C110</f>
        <v>0</v>
      </c>
      <c r="C110" s="34" t="str">
        <f>IFERROR(IF('Pré Implantação'!B110="Produção TI",AVERAGE('Pós Implantação'!D110,'Pós Implantação'!E110,'Pós Implantação'!L110,'Pós Implantação'!H110),AVERAGE('Pré Implantação'!E110,'Pré Implantação'!H110)),"")</f>
        <v/>
      </c>
      <c r="D110" s="34" t="str">
        <f>IFERROR(IF('Pós Implantação'!B110="CSC Service Desk",AVERAGE('Pós Implantação'!D110,'Pós Implantação'!L110,'Pós Implantação'!F110),AVERAGE('Pós Implantação'!F110)),"")</f>
        <v/>
      </c>
      <c r="E110" s="34" t="str">
        <f>IFERROR(IF('Pós Implantação'!B110="CSC NOC",AVERAGE('Pós Implantação'!D110,'Pós Implantação'!L110,'Pós Implantação'!G110),AVERAGE('Pós Implantação'!G110)),"")</f>
        <v/>
      </c>
      <c r="F110" s="34" t="str">
        <f>IFERROR(IF('Pós Implantação'!B110="CSE Gravadores",AVERAGE('Pós Implantação'!D110,'Pós Implantação'!L110,'Pós Implantação'!I110),AVERAGE('Pós Implantação'!I110)),"")</f>
        <v/>
      </c>
      <c r="G110" s="34" t="str">
        <f>IFERROR(IF('Pós Implantação'!B110="CSC",AVERAGE('Pós Implantação'!D110,'Pós Implantação'!L110,'Pós Implantação'!J110),AVERAGE('Pós Implantação'!J110)),"")</f>
        <v/>
      </c>
      <c r="H110" s="34" t="str">
        <f>IFERROR(IF('Pós Implantação'!B110="Operações \ Negócio",AVERAGE('Pós Implantação'!D110,'Pós Implantação'!L110,'Pós Implantação'!K110),AVERAGE('Pós Implantação'!K110)),"")</f>
        <v/>
      </c>
      <c r="I110" s="34" t="str">
        <f>IFERROR(IF('Pós Implantação'!B110="Projetos",AVERAGE('Pós Implantação'!D110,'Pós Implantação'!L110,'Pós Implantação'!M110),AVERAGE('Pós Implantação'!M110)),"")</f>
        <v/>
      </c>
      <c r="J110" s="34" t="str">
        <f>IFERROR(IF('Pós Implantação'!B110="Engenharia",AVERAGE('Pós Implantação'!D110,'Pós Implantação'!L110,'Pós Implantação'!N110),AVERAGE('Pós Implantação'!N110)),"")</f>
        <v/>
      </c>
      <c r="K110" s="34" t="str">
        <f>IFERROR(IF('Pós Implantação'!B110="URA",AVERAGE('Pós Implantação'!D110,'Pós Implantação'!L110),""),"")</f>
        <v/>
      </c>
      <c r="L110" s="34" t="str">
        <f>IFERROR(IF('Pós Implantação'!B110="CSE Microsoft",AVERAGE('Pós Implantação'!D110,'Pós Implantação'!L110),""),"")</f>
        <v/>
      </c>
      <c r="M110" s="34" t="str">
        <f>IFERROR(IF('Pós Implantação'!B110="CSE Telecom",AVERAGE('Pós Implantação'!D110,'Pós Implantação'!L110),""),"")</f>
        <v/>
      </c>
      <c r="N110" s="34" t="str">
        <f>IFERROR(IF('Pós Implantação'!B110="Site Suporte de Campo",AVERAGE('Pós Implantação'!D110,'Pós Implantação'!L110),""),"")</f>
        <v/>
      </c>
      <c r="O110" s="49" t="str">
        <f>IFERROR(IF('Pós Implantação'!B110="Infraestrutura",AVERAGE('Pós Implantação'!D110,'Pós Implantação'!L110),""),"")</f>
        <v/>
      </c>
    </row>
    <row r="111" spans="1:15" x14ac:dyDescent="0.3">
      <c r="A111" s="33">
        <f>'Pré Implantação'!A111</f>
        <v>0</v>
      </c>
      <c r="B111" s="36" t="str">
        <f>'Pós Implantação'!C111</f>
        <v>0</v>
      </c>
      <c r="C111" s="34" t="str">
        <f>IFERROR(IF('Pré Implantação'!B111="Produção TI",AVERAGE('Pós Implantação'!D111,'Pós Implantação'!E111,'Pós Implantação'!L111,'Pós Implantação'!H111),AVERAGE('Pré Implantação'!E111,'Pré Implantação'!H111)),"")</f>
        <v/>
      </c>
      <c r="D111" s="34" t="str">
        <f>IFERROR(IF('Pós Implantação'!B111="CSC Service Desk",AVERAGE('Pós Implantação'!D111,'Pós Implantação'!L111,'Pós Implantação'!F111),AVERAGE('Pós Implantação'!F111)),"")</f>
        <v/>
      </c>
      <c r="E111" s="34" t="str">
        <f>IFERROR(IF('Pós Implantação'!B111="CSC NOC",AVERAGE('Pós Implantação'!D111,'Pós Implantação'!L111,'Pós Implantação'!G111),AVERAGE('Pós Implantação'!G111)),"")</f>
        <v/>
      </c>
      <c r="F111" s="34" t="str">
        <f>IFERROR(IF('Pós Implantação'!B111="CSE Gravadores",AVERAGE('Pós Implantação'!D111,'Pós Implantação'!L111,'Pós Implantação'!I111),AVERAGE('Pós Implantação'!I111)),"")</f>
        <v/>
      </c>
      <c r="G111" s="34" t="str">
        <f>IFERROR(IF('Pós Implantação'!B111="CSC",AVERAGE('Pós Implantação'!D111,'Pós Implantação'!L111,'Pós Implantação'!J111),AVERAGE('Pós Implantação'!J111)),"")</f>
        <v/>
      </c>
      <c r="H111" s="34" t="str">
        <f>IFERROR(IF('Pós Implantação'!B111="Operações \ Negócio",AVERAGE('Pós Implantação'!D111,'Pós Implantação'!L111,'Pós Implantação'!K111),AVERAGE('Pós Implantação'!K111)),"")</f>
        <v/>
      </c>
      <c r="I111" s="34" t="str">
        <f>IFERROR(IF('Pós Implantação'!B111="Projetos",AVERAGE('Pós Implantação'!D111,'Pós Implantação'!L111,'Pós Implantação'!M111),AVERAGE('Pós Implantação'!M111)),"")</f>
        <v/>
      </c>
      <c r="J111" s="34" t="str">
        <f>IFERROR(IF('Pós Implantação'!B111="Engenharia",AVERAGE('Pós Implantação'!D111,'Pós Implantação'!L111,'Pós Implantação'!N111),AVERAGE('Pós Implantação'!N111)),"")</f>
        <v/>
      </c>
      <c r="K111" s="34" t="str">
        <f>IFERROR(IF('Pós Implantação'!B111="URA",AVERAGE('Pós Implantação'!D111,'Pós Implantação'!L111),""),"")</f>
        <v/>
      </c>
      <c r="L111" s="34" t="str">
        <f>IFERROR(IF('Pós Implantação'!B111="CSE Microsoft",AVERAGE('Pós Implantação'!D111,'Pós Implantação'!L111),""),"")</f>
        <v/>
      </c>
      <c r="M111" s="34" t="str">
        <f>IFERROR(IF('Pós Implantação'!B111="CSE Telecom",AVERAGE('Pós Implantação'!D111,'Pós Implantação'!L111),""),"")</f>
        <v/>
      </c>
      <c r="N111" s="34" t="str">
        <f>IFERROR(IF('Pós Implantação'!B111="Site Suporte de Campo",AVERAGE('Pós Implantação'!D111,'Pós Implantação'!L111),""),"")</f>
        <v/>
      </c>
      <c r="O111" s="49" t="str">
        <f>IFERROR(IF('Pós Implantação'!B111="Infraestrutura",AVERAGE('Pós Implantação'!D111,'Pós Implantação'!L111),""),"")</f>
        <v/>
      </c>
    </row>
    <row r="112" spans="1:15" x14ac:dyDescent="0.3">
      <c r="A112" s="33">
        <f>'Pré Implantação'!A112</f>
        <v>0</v>
      </c>
      <c r="B112" s="36" t="str">
        <f>'Pós Implantação'!C112</f>
        <v>0</v>
      </c>
      <c r="C112" s="34" t="str">
        <f>IFERROR(IF('Pré Implantação'!B112="Produção TI",AVERAGE('Pós Implantação'!D112,'Pós Implantação'!E112,'Pós Implantação'!L112,'Pós Implantação'!H112),AVERAGE('Pré Implantação'!E112,'Pré Implantação'!H112)),"")</f>
        <v/>
      </c>
      <c r="D112" s="34" t="str">
        <f>IFERROR(IF('Pós Implantação'!B112="CSC Service Desk",AVERAGE('Pós Implantação'!D112,'Pós Implantação'!L112,'Pós Implantação'!F112),AVERAGE('Pós Implantação'!F112)),"")</f>
        <v/>
      </c>
      <c r="E112" s="34" t="str">
        <f>IFERROR(IF('Pós Implantação'!B112="CSC NOC",AVERAGE('Pós Implantação'!D112,'Pós Implantação'!L112,'Pós Implantação'!G112),AVERAGE('Pós Implantação'!G112)),"")</f>
        <v/>
      </c>
      <c r="F112" s="34" t="str">
        <f>IFERROR(IF('Pós Implantação'!B112="CSE Gravadores",AVERAGE('Pós Implantação'!D112,'Pós Implantação'!L112,'Pós Implantação'!I112),AVERAGE('Pós Implantação'!I112)),"")</f>
        <v/>
      </c>
      <c r="G112" s="34" t="str">
        <f>IFERROR(IF('Pós Implantação'!B112="CSC",AVERAGE('Pós Implantação'!D112,'Pós Implantação'!L112,'Pós Implantação'!J112),AVERAGE('Pós Implantação'!J112)),"")</f>
        <v/>
      </c>
      <c r="H112" s="34" t="str">
        <f>IFERROR(IF('Pós Implantação'!B112="Operações \ Negócio",AVERAGE('Pós Implantação'!D112,'Pós Implantação'!L112,'Pós Implantação'!K112),AVERAGE('Pós Implantação'!K112)),"")</f>
        <v/>
      </c>
      <c r="I112" s="34" t="str">
        <f>IFERROR(IF('Pós Implantação'!B112="Projetos",AVERAGE('Pós Implantação'!D112,'Pós Implantação'!L112,'Pós Implantação'!M112),AVERAGE('Pós Implantação'!M112)),"")</f>
        <v/>
      </c>
      <c r="J112" s="34" t="str">
        <f>IFERROR(IF('Pós Implantação'!B112="Engenharia",AVERAGE('Pós Implantação'!D112,'Pós Implantação'!L112,'Pós Implantação'!N112),AVERAGE('Pós Implantação'!N112)),"")</f>
        <v/>
      </c>
      <c r="K112" s="34" t="str">
        <f>IFERROR(IF('Pós Implantação'!B112="URA",AVERAGE('Pós Implantação'!D112,'Pós Implantação'!L112),""),"")</f>
        <v/>
      </c>
      <c r="L112" s="34" t="str">
        <f>IFERROR(IF('Pós Implantação'!B112="CSE Microsoft",AVERAGE('Pós Implantação'!D112,'Pós Implantação'!L112),""),"")</f>
        <v/>
      </c>
      <c r="M112" s="34" t="str">
        <f>IFERROR(IF('Pós Implantação'!B112="CSE Telecom",AVERAGE('Pós Implantação'!D112,'Pós Implantação'!L112),""),"")</f>
        <v/>
      </c>
      <c r="N112" s="34" t="str">
        <f>IFERROR(IF('Pós Implantação'!B112="Site Suporte de Campo",AVERAGE('Pós Implantação'!D112,'Pós Implantação'!L112),""),"")</f>
        <v/>
      </c>
      <c r="O112" s="49" t="str">
        <f>IFERROR(IF('Pós Implantação'!B112="Infraestrutura",AVERAGE('Pós Implantação'!D112,'Pós Implantação'!L112),""),"")</f>
        <v/>
      </c>
    </row>
    <row r="113" spans="1:15" x14ac:dyDescent="0.3">
      <c r="A113" s="33">
        <f>'Pré Implantação'!A113</f>
        <v>0</v>
      </c>
      <c r="B113" s="36" t="str">
        <f>'Pós Implantação'!C113</f>
        <v>0</v>
      </c>
      <c r="C113" s="34" t="str">
        <f>IFERROR(IF('Pré Implantação'!B113="Produção TI",AVERAGE('Pós Implantação'!D113,'Pós Implantação'!E113,'Pós Implantação'!L113,'Pós Implantação'!H113),AVERAGE('Pré Implantação'!E113,'Pré Implantação'!H113)),"")</f>
        <v/>
      </c>
      <c r="D113" s="34" t="str">
        <f>IFERROR(IF('Pós Implantação'!B113="CSC Service Desk",AVERAGE('Pós Implantação'!D113,'Pós Implantação'!L113,'Pós Implantação'!F113),AVERAGE('Pós Implantação'!F113)),"")</f>
        <v/>
      </c>
      <c r="E113" s="34" t="str">
        <f>IFERROR(IF('Pós Implantação'!B113="CSC NOC",AVERAGE('Pós Implantação'!D113,'Pós Implantação'!L113,'Pós Implantação'!G113),AVERAGE('Pós Implantação'!G113)),"")</f>
        <v/>
      </c>
      <c r="F113" s="34" t="str">
        <f>IFERROR(IF('Pós Implantação'!B113="CSE Gravadores",AVERAGE('Pós Implantação'!D113,'Pós Implantação'!L113,'Pós Implantação'!I113),AVERAGE('Pós Implantação'!I113)),"")</f>
        <v/>
      </c>
      <c r="G113" s="34" t="str">
        <f>IFERROR(IF('Pós Implantação'!B113="CSC",AVERAGE('Pós Implantação'!D113,'Pós Implantação'!L113,'Pós Implantação'!J113),AVERAGE('Pós Implantação'!J113)),"")</f>
        <v/>
      </c>
      <c r="H113" s="34" t="str">
        <f>IFERROR(IF('Pós Implantação'!B113="Operações \ Negócio",AVERAGE('Pós Implantação'!D113,'Pós Implantação'!L113,'Pós Implantação'!K113),AVERAGE('Pós Implantação'!K113)),"")</f>
        <v/>
      </c>
      <c r="I113" s="34" t="str">
        <f>IFERROR(IF('Pós Implantação'!B113="Projetos",AVERAGE('Pós Implantação'!D113,'Pós Implantação'!L113,'Pós Implantação'!M113),AVERAGE('Pós Implantação'!M113)),"")</f>
        <v/>
      </c>
      <c r="J113" s="34" t="str">
        <f>IFERROR(IF('Pós Implantação'!B113="Engenharia",AVERAGE('Pós Implantação'!D113,'Pós Implantação'!L113,'Pós Implantação'!N113),AVERAGE('Pós Implantação'!N113)),"")</f>
        <v/>
      </c>
      <c r="K113" s="34" t="str">
        <f>IFERROR(IF('Pós Implantação'!B113="URA",AVERAGE('Pós Implantação'!D113,'Pós Implantação'!L113),""),"")</f>
        <v/>
      </c>
      <c r="L113" s="34" t="str">
        <f>IFERROR(IF('Pós Implantação'!B113="CSE Microsoft",AVERAGE('Pós Implantação'!D113,'Pós Implantação'!L113),""),"")</f>
        <v/>
      </c>
      <c r="M113" s="34" t="str">
        <f>IFERROR(IF('Pós Implantação'!B113="CSE Telecom",AVERAGE('Pós Implantação'!D113,'Pós Implantação'!L113),""),"")</f>
        <v/>
      </c>
      <c r="N113" s="34" t="str">
        <f>IFERROR(IF('Pós Implantação'!B113="Site Suporte de Campo",AVERAGE('Pós Implantação'!D113,'Pós Implantação'!L113),""),"")</f>
        <v/>
      </c>
      <c r="O113" s="49" t="str">
        <f>IFERROR(IF('Pós Implantação'!B113="Infraestrutura",AVERAGE('Pós Implantação'!D113,'Pós Implantação'!L113),""),"")</f>
        <v/>
      </c>
    </row>
    <row r="114" spans="1:15" x14ac:dyDescent="0.3">
      <c r="A114" s="33">
        <f>'Pré Implantação'!A114</f>
        <v>0</v>
      </c>
      <c r="B114" s="36" t="str">
        <f>'Pós Implantação'!C114</f>
        <v>0</v>
      </c>
      <c r="C114" s="34" t="str">
        <f>IFERROR(IF('Pré Implantação'!B114="Produção TI",AVERAGE('Pós Implantação'!D114,'Pós Implantação'!E114,'Pós Implantação'!L114,'Pós Implantação'!H114),AVERAGE('Pré Implantação'!E114,'Pré Implantação'!H114)),"")</f>
        <v/>
      </c>
      <c r="D114" s="34" t="str">
        <f>IFERROR(IF('Pós Implantação'!B114="CSC Service Desk",AVERAGE('Pós Implantação'!D114,'Pós Implantação'!L114,'Pós Implantação'!F114),AVERAGE('Pós Implantação'!F114)),"")</f>
        <v/>
      </c>
      <c r="E114" s="34" t="str">
        <f>IFERROR(IF('Pós Implantação'!B114="CSC NOC",AVERAGE('Pós Implantação'!D114,'Pós Implantação'!L114,'Pós Implantação'!G114),AVERAGE('Pós Implantação'!G114)),"")</f>
        <v/>
      </c>
      <c r="F114" s="34" t="str">
        <f>IFERROR(IF('Pós Implantação'!B114="CSE Gravadores",AVERAGE('Pós Implantação'!D114,'Pós Implantação'!L114,'Pós Implantação'!I114),AVERAGE('Pós Implantação'!I114)),"")</f>
        <v/>
      </c>
      <c r="G114" s="34" t="str">
        <f>IFERROR(IF('Pós Implantação'!B114="CSC",AVERAGE('Pós Implantação'!D114,'Pós Implantação'!L114,'Pós Implantação'!J114),AVERAGE('Pós Implantação'!J114)),"")</f>
        <v/>
      </c>
      <c r="H114" s="34" t="str">
        <f>IFERROR(IF('Pós Implantação'!B114="Operações \ Negócio",AVERAGE('Pós Implantação'!D114,'Pós Implantação'!L114,'Pós Implantação'!K114),AVERAGE('Pós Implantação'!K114)),"")</f>
        <v/>
      </c>
      <c r="I114" s="34" t="str">
        <f>IFERROR(IF('Pós Implantação'!B114="Projetos",AVERAGE('Pós Implantação'!D114,'Pós Implantação'!L114,'Pós Implantação'!M114),AVERAGE('Pós Implantação'!M114)),"")</f>
        <v/>
      </c>
      <c r="J114" s="34" t="str">
        <f>IFERROR(IF('Pós Implantação'!B114="Engenharia",AVERAGE('Pós Implantação'!D114,'Pós Implantação'!L114,'Pós Implantação'!N114),AVERAGE('Pós Implantação'!N114)),"")</f>
        <v/>
      </c>
      <c r="K114" s="34" t="str">
        <f>IFERROR(IF('Pós Implantação'!B114="URA",AVERAGE('Pós Implantação'!D114,'Pós Implantação'!L114),""),"")</f>
        <v/>
      </c>
      <c r="L114" s="34" t="str">
        <f>IFERROR(IF('Pós Implantação'!B114="CSE Microsoft",AVERAGE('Pós Implantação'!D114,'Pós Implantação'!L114),""),"")</f>
        <v/>
      </c>
      <c r="M114" s="34" t="str">
        <f>IFERROR(IF('Pós Implantação'!B114="CSE Telecom",AVERAGE('Pós Implantação'!D114,'Pós Implantação'!L114),""),"")</f>
        <v/>
      </c>
      <c r="N114" s="34" t="str">
        <f>IFERROR(IF('Pós Implantação'!B114="Site Suporte de Campo",AVERAGE('Pós Implantação'!D114,'Pós Implantação'!L114),""),"")</f>
        <v/>
      </c>
      <c r="O114" s="49" t="str">
        <f>IFERROR(IF('Pós Implantação'!B114="Infraestrutura",AVERAGE('Pós Implantação'!D114,'Pós Implantação'!L114),""),"")</f>
        <v/>
      </c>
    </row>
    <row r="115" spans="1:15" x14ac:dyDescent="0.3">
      <c r="A115" s="33">
        <f>'Pré Implantação'!A115</f>
        <v>0</v>
      </c>
      <c r="B115" s="36" t="str">
        <f>'Pós Implantação'!C115</f>
        <v>0</v>
      </c>
      <c r="C115" s="34" t="str">
        <f>IFERROR(IF('Pré Implantação'!B115="Produção TI",AVERAGE('Pós Implantação'!D115,'Pós Implantação'!E115,'Pós Implantação'!L115,'Pós Implantação'!H115),AVERAGE('Pré Implantação'!E115,'Pré Implantação'!H115)),"")</f>
        <v/>
      </c>
      <c r="D115" s="34" t="str">
        <f>IFERROR(IF('Pós Implantação'!B115="CSC Service Desk",AVERAGE('Pós Implantação'!D115,'Pós Implantação'!L115,'Pós Implantação'!F115),AVERAGE('Pós Implantação'!F115)),"")</f>
        <v/>
      </c>
      <c r="E115" s="34" t="str">
        <f>IFERROR(IF('Pós Implantação'!B115="CSC NOC",AVERAGE('Pós Implantação'!D115,'Pós Implantação'!L115,'Pós Implantação'!G115),AVERAGE('Pós Implantação'!G115)),"")</f>
        <v/>
      </c>
      <c r="F115" s="34" t="str">
        <f>IFERROR(IF('Pós Implantação'!B115="CSE Gravadores",AVERAGE('Pós Implantação'!D115,'Pós Implantação'!L115,'Pós Implantação'!I115),AVERAGE('Pós Implantação'!I115)),"")</f>
        <v/>
      </c>
      <c r="G115" s="34" t="str">
        <f>IFERROR(IF('Pós Implantação'!B115="CSC",AVERAGE('Pós Implantação'!D115,'Pós Implantação'!L115,'Pós Implantação'!J115),AVERAGE('Pós Implantação'!J115)),"")</f>
        <v/>
      </c>
      <c r="H115" s="34" t="str">
        <f>IFERROR(IF('Pós Implantação'!B115="Operações \ Negócio",AVERAGE('Pós Implantação'!D115,'Pós Implantação'!L115,'Pós Implantação'!K115),AVERAGE('Pós Implantação'!K115)),"")</f>
        <v/>
      </c>
      <c r="I115" s="34" t="str">
        <f>IFERROR(IF('Pós Implantação'!B115="Projetos",AVERAGE('Pós Implantação'!D115,'Pós Implantação'!L115,'Pós Implantação'!M115),AVERAGE('Pós Implantação'!M115)),"")</f>
        <v/>
      </c>
      <c r="J115" s="34" t="str">
        <f>IFERROR(IF('Pós Implantação'!B115="Engenharia",AVERAGE('Pós Implantação'!D115,'Pós Implantação'!L115,'Pós Implantação'!N115),AVERAGE('Pós Implantação'!N115)),"")</f>
        <v/>
      </c>
      <c r="K115" s="34" t="str">
        <f>IFERROR(IF('Pós Implantação'!B115="URA",AVERAGE('Pós Implantação'!D115,'Pós Implantação'!L115),""),"")</f>
        <v/>
      </c>
      <c r="L115" s="34" t="str">
        <f>IFERROR(IF('Pós Implantação'!B115="CSE Microsoft",AVERAGE('Pós Implantação'!D115,'Pós Implantação'!L115),""),"")</f>
        <v/>
      </c>
      <c r="M115" s="34" t="str">
        <f>IFERROR(IF('Pós Implantação'!B115="CSE Telecom",AVERAGE('Pós Implantação'!D115,'Pós Implantação'!L115),""),"")</f>
        <v/>
      </c>
      <c r="N115" s="34" t="str">
        <f>IFERROR(IF('Pós Implantação'!B115="Site Suporte de Campo",AVERAGE('Pós Implantação'!D115,'Pós Implantação'!L115),""),"")</f>
        <v/>
      </c>
      <c r="O115" s="49" t="str">
        <f>IFERROR(IF('Pós Implantação'!B115="Infraestrutura",AVERAGE('Pós Implantação'!D115,'Pós Implantação'!L115),""),"")</f>
        <v/>
      </c>
    </row>
    <row r="116" spans="1:15" x14ac:dyDescent="0.3">
      <c r="A116" s="33">
        <f>'Pré Implantação'!A116</f>
        <v>0</v>
      </c>
      <c r="B116" s="36" t="str">
        <f>'Pós Implantação'!C116</f>
        <v>0</v>
      </c>
      <c r="C116" s="34" t="str">
        <f>IFERROR(IF('Pré Implantação'!B116="Produção TI",AVERAGE('Pós Implantação'!D116,'Pós Implantação'!E116,'Pós Implantação'!L116,'Pós Implantação'!H116),AVERAGE('Pré Implantação'!E116,'Pré Implantação'!H116)),"")</f>
        <v/>
      </c>
      <c r="D116" s="34" t="str">
        <f>IFERROR(IF('Pós Implantação'!B116="CSC Service Desk",AVERAGE('Pós Implantação'!D116,'Pós Implantação'!L116,'Pós Implantação'!F116),AVERAGE('Pós Implantação'!F116)),"")</f>
        <v/>
      </c>
      <c r="E116" s="34" t="str">
        <f>IFERROR(IF('Pós Implantação'!B116="CSC NOC",AVERAGE('Pós Implantação'!D116,'Pós Implantação'!L116,'Pós Implantação'!G116),AVERAGE('Pós Implantação'!G116)),"")</f>
        <v/>
      </c>
      <c r="F116" s="34" t="str">
        <f>IFERROR(IF('Pós Implantação'!B116="CSE Gravadores",AVERAGE('Pós Implantação'!D116,'Pós Implantação'!L116,'Pós Implantação'!I116),AVERAGE('Pós Implantação'!I116)),"")</f>
        <v/>
      </c>
      <c r="G116" s="34" t="str">
        <f>IFERROR(IF('Pós Implantação'!B116="CSC",AVERAGE('Pós Implantação'!D116,'Pós Implantação'!L116,'Pós Implantação'!J116),AVERAGE('Pós Implantação'!J116)),"")</f>
        <v/>
      </c>
      <c r="H116" s="34" t="str">
        <f>IFERROR(IF('Pós Implantação'!B116="Operações \ Negócio",AVERAGE('Pós Implantação'!D116,'Pós Implantação'!L116,'Pós Implantação'!K116),AVERAGE('Pós Implantação'!K116)),"")</f>
        <v/>
      </c>
      <c r="I116" s="34" t="str">
        <f>IFERROR(IF('Pós Implantação'!B116="Projetos",AVERAGE('Pós Implantação'!D116,'Pós Implantação'!L116,'Pós Implantação'!M116),AVERAGE('Pós Implantação'!M116)),"")</f>
        <v/>
      </c>
      <c r="J116" s="34" t="str">
        <f>IFERROR(IF('Pós Implantação'!B116="Engenharia",AVERAGE('Pós Implantação'!D116,'Pós Implantação'!L116,'Pós Implantação'!N116),AVERAGE('Pós Implantação'!N116)),"")</f>
        <v/>
      </c>
      <c r="K116" s="34" t="str">
        <f>IFERROR(IF('Pós Implantação'!B116="URA",AVERAGE('Pós Implantação'!D116,'Pós Implantação'!L116),""),"")</f>
        <v/>
      </c>
      <c r="L116" s="34" t="str">
        <f>IFERROR(IF('Pós Implantação'!B116="CSE Microsoft",AVERAGE('Pós Implantação'!D116,'Pós Implantação'!L116),""),"")</f>
        <v/>
      </c>
      <c r="M116" s="34" t="str">
        <f>IFERROR(IF('Pós Implantação'!B116="CSE Telecom",AVERAGE('Pós Implantação'!D116,'Pós Implantação'!L116),""),"")</f>
        <v/>
      </c>
      <c r="N116" s="34" t="str">
        <f>IFERROR(IF('Pós Implantação'!B116="Site Suporte de Campo",AVERAGE('Pós Implantação'!D116,'Pós Implantação'!L116),""),"")</f>
        <v/>
      </c>
      <c r="O116" s="49" t="str">
        <f>IFERROR(IF('Pós Implantação'!B116="Infraestrutura",AVERAGE('Pós Implantação'!D116,'Pós Implantação'!L116),""),"")</f>
        <v/>
      </c>
    </row>
    <row r="117" spans="1:15" x14ac:dyDescent="0.3">
      <c r="A117" s="33">
        <f>'Pré Implantação'!A117</f>
        <v>0</v>
      </c>
      <c r="B117" s="36" t="str">
        <f>'Pós Implantação'!C117</f>
        <v>0</v>
      </c>
      <c r="C117" s="34" t="str">
        <f>IFERROR(IF('Pré Implantação'!B117="Produção TI",AVERAGE('Pós Implantação'!D117,'Pós Implantação'!E117,'Pós Implantação'!L117,'Pós Implantação'!H117),AVERAGE('Pré Implantação'!E117,'Pré Implantação'!H117)),"")</f>
        <v/>
      </c>
      <c r="D117" s="34" t="str">
        <f>IFERROR(IF('Pós Implantação'!B117="CSC Service Desk",AVERAGE('Pós Implantação'!D117,'Pós Implantação'!L117,'Pós Implantação'!F117),AVERAGE('Pós Implantação'!F117)),"")</f>
        <v/>
      </c>
      <c r="E117" s="34" t="str">
        <f>IFERROR(IF('Pós Implantação'!B117="CSC NOC",AVERAGE('Pós Implantação'!D117,'Pós Implantação'!L117,'Pós Implantação'!G117),AVERAGE('Pós Implantação'!G117)),"")</f>
        <v/>
      </c>
      <c r="F117" s="34" t="str">
        <f>IFERROR(IF('Pós Implantação'!B117="CSE Gravadores",AVERAGE('Pós Implantação'!D117,'Pós Implantação'!L117,'Pós Implantação'!I117),AVERAGE('Pós Implantação'!I117)),"")</f>
        <v/>
      </c>
      <c r="G117" s="34" t="str">
        <f>IFERROR(IF('Pós Implantação'!B117="CSC",AVERAGE('Pós Implantação'!D117,'Pós Implantação'!L117,'Pós Implantação'!J117),AVERAGE('Pós Implantação'!J117)),"")</f>
        <v/>
      </c>
      <c r="H117" s="34" t="str">
        <f>IFERROR(IF('Pós Implantação'!B117="Operações \ Negócio",AVERAGE('Pós Implantação'!D117,'Pós Implantação'!L117,'Pós Implantação'!K117),AVERAGE('Pós Implantação'!K117)),"")</f>
        <v/>
      </c>
      <c r="I117" s="34" t="str">
        <f>IFERROR(IF('Pós Implantação'!B117="Projetos",AVERAGE('Pós Implantação'!D117,'Pós Implantação'!L117,'Pós Implantação'!M117),AVERAGE('Pós Implantação'!M117)),"")</f>
        <v/>
      </c>
      <c r="J117" s="34" t="str">
        <f>IFERROR(IF('Pós Implantação'!B117="Engenharia",AVERAGE('Pós Implantação'!D117,'Pós Implantação'!L117,'Pós Implantação'!N117),AVERAGE('Pós Implantação'!N117)),"")</f>
        <v/>
      </c>
      <c r="K117" s="34" t="str">
        <f>IFERROR(IF('Pós Implantação'!B117="URA",AVERAGE('Pós Implantação'!D117,'Pós Implantação'!L117),""),"")</f>
        <v/>
      </c>
      <c r="L117" s="34" t="str">
        <f>IFERROR(IF('Pós Implantação'!B117="CSE Microsoft",AVERAGE('Pós Implantação'!D117,'Pós Implantação'!L117),""),"")</f>
        <v/>
      </c>
      <c r="M117" s="34" t="str">
        <f>IFERROR(IF('Pós Implantação'!B117="CSE Telecom",AVERAGE('Pós Implantação'!D117,'Pós Implantação'!L117),""),"")</f>
        <v/>
      </c>
      <c r="N117" s="34" t="str">
        <f>IFERROR(IF('Pós Implantação'!B117="Site Suporte de Campo",AVERAGE('Pós Implantação'!D117,'Pós Implantação'!L117),""),"")</f>
        <v/>
      </c>
      <c r="O117" s="49" t="str">
        <f>IFERROR(IF('Pós Implantação'!B117="Infraestrutura",AVERAGE('Pós Implantação'!D117,'Pós Implantação'!L117),""),"")</f>
        <v/>
      </c>
    </row>
    <row r="118" spans="1:15" x14ac:dyDescent="0.3">
      <c r="A118" s="33">
        <f>'Pré Implantação'!A118</f>
        <v>0</v>
      </c>
      <c r="B118" s="36" t="str">
        <f>'Pós Implantação'!C118</f>
        <v>0</v>
      </c>
      <c r="C118" s="34" t="str">
        <f>IFERROR(IF('Pré Implantação'!B118="Produção TI",AVERAGE('Pós Implantação'!D118,'Pós Implantação'!E118,'Pós Implantação'!L118,'Pós Implantação'!H118),AVERAGE('Pré Implantação'!E118,'Pré Implantação'!H118)),"")</f>
        <v/>
      </c>
      <c r="D118" s="34" t="str">
        <f>IFERROR(IF('Pós Implantação'!B118="CSC Service Desk",AVERAGE('Pós Implantação'!D118,'Pós Implantação'!L118,'Pós Implantação'!F118),AVERAGE('Pós Implantação'!F118)),"")</f>
        <v/>
      </c>
      <c r="E118" s="34" t="str">
        <f>IFERROR(IF('Pós Implantação'!B118="CSC NOC",AVERAGE('Pós Implantação'!D118,'Pós Implantação'!L118,'Pós Implantação'!G118),AVERAGE('Pós Implantação'!G118)),"")</f>
        <v/>
      </c>
      <c r="F118" s="34" t="str">
        <f>IFERROR(IF('Pós Implantação'!B118="CSE Gravadores",AVERAGE('Pós Implantação'!D118,'Pós Implantação'!L118,'Pós Implantação'!I118),AVERAGE('Pós Implantação'!I118)),"")</f>
        <v/>
      </c>
      <c r="G118" s="34" t="str">
        <f>IFERROR(IF('Pós Implantação'!B118="CSC",AVERAGE('Pós Implantação'!D118,'Pós Implantação'!L118,'Pós Implantação'!J118),AVERAGE('Pós Implantação'!J118)),"")</f>
        <v/>
      </c>
      <c r="H118" s="34" t="str">
        <f>IFERROR(IF('Pós Implantação'!B118="Operações \ Negócio",AVERAGE('Pós Implantação'!D118,'Pós Implantação'!L118,'Pós Implantação'!K118),AVERAGE('Pós Implantação'!K118)),"")</f>
        <v/>
      </c>
      <c r="I118" s="34" t="str">
        <f>IFERROR(IF('Pós Implantação'!B118="Projetos",AVERAGE('Pós Implantação'!D118,'Pós Implantação'!L118,'Pós Implantação'!M118),AVERAGE('Pós Implantação'!M118)),"")</f>
        <v/>
      </c>
      <c r="J118" s="34" t="str">
        <f>IFERROR(IF('Pós Implantação'!B118="Engenharia",AVERAGE('Pós Implantação'!D118,'Pós Implantação'!L118,'Pós Implantação'!N118),AVERAGE('Pós Implantação'!N118)),"")</f>
        <v/>
      </c>
      <c r="K118" s="34" t="str">
        <f>IFERROR(IF('Pós Implantação'!B118="URA",AVERAGE('Pós Implantação'!D118,'Pós Implantação'!L118),""),"")</f>
        <v/>
      </c>
      <c r="L118" s="34" t="str">
        <f>IFERROR(IF('Pós Implantação'!B118="CSE Microsoft",AVERAGE('Pós Implantação'!D118,'Pós Implantação'!L118),""),"")</f>
        <v/>
      </c>
      <c r="M118" s="34" t="str">
        <f>IFERROR(IF('Pós Implantação'!B118="CSE Telecom",AVERAGE('Pós Implantação'!D118,'Pós Implantação'!L118),""),"")</f>
        <v/>
      </c>
      <c r="N118" s="34" t="str">
        <f>IFERROR(IF('Pós Implantação'!B118="Site Suporte de Campo",AVERAGE('Pós Implantação'!D118,'Pós Implantação'!L118),""),"")</f>
        <v/>
      </c>
      <c r="O118" s="49" t="str">
        <f>IFERROR(IF('Pós Implantação'!B118="Infraestrutura",AVERAGE('Pós Implantação'!D118,'Pós Implantação'!L118),""),"")</f>
        <v/>
      </c>
    </row>
    <row r="119" spans="1:15" x14ac:dyDescent="0.3">
      <c r="A119" s="33">
        <f>'Pré Implantação'!A119</f>
        <v>0</v>
      </c>
      <c r="B119" s="36" t="str">
        <f>'Pós Implantação'!C119</f>
        <v>0</v>
      </c>
      <c r="C119" s="34" t="str">
        <f>IFERROR(IF('Pré Implantação'!B119="Produção TI",AVERAGE('Pós Implantação'!D119,'Pós Implantação'!E119,'Pós Implantação'!L119,'Pós Implantação'!H119),AVERAGE('Pré Implantação'!E119,'Pré Implantação'!H119)),"")</f>
        <v/>
      </c>
      <c r="D119" s="34" t="str">
        <f>IFERROR(IF('Pós Implantação'!B119="CSC Service Desk",AVERAGE('Pós Implantação'!D119,'Pós Implantação'!L119,'Pós Implantação'!F119),AVERAGE('Pós Implantação'!F119)),"")</f>
        <v/>
      </c>
      <c r="E119" s="34" t="str">
        <f>IFERROR(IF('Pós Implantação'!B119="CSC NOC",AVERAGE('Pós Implantação'!D119,'Pós Implantação'!L119,'Pós Implantação'!G119),AVERAGE('Pós Implantação'!G119)),"")</f>
        <v/>
      </c>
      <c r="F119" s="34" t="str">
        <f>IFERROR(IF('Pós Implantação'!B119="CSE Gravadores",AVERAGE('Pós Implantação'!D119,'Pós Implantação'!L119,'Pós Implantação'!I119),AVERAGE('Pós Implantação'!I119)),"")</f>
        <v/>
      </c>
      <c r="G119" s="34" t="str">
        <f>IFERROR(IF('Pós Implantação'!B119="CSC",AVERAGE('Pós Implantação'!D119,'Pós Implantação'!L119,'Pós Implantação'!J119),AVERAGE('Pós Implantação'!J119)),"")</f>
        <v/>
      </c>
      <c r="H119" s="34" t="str">
        <f>IFERROR(IF('Pós Implantação'!B119="Operações \ Negócio",AVERAGE('Pós Implantação'!D119,'Pós Implantação'!L119,'Pós Implantação'!K119),AVERAGE('Pós Implantação'!K119)),"")</f>
        <v/>
      </c>
      <c r="I119" s="34" t="str">
        <f>IFERROR(IF('Pós Implantação'!B119="Projetos",AVERAGE('Pós Implantação'!D119,'Pós Implantação'!L119,'Pós Implantação'!M119),AVERAGE('Pós Implantação'!M119)),"")</f>
        <v/>
      </c>
      <c r="J119" s="34" t="str">
        <f>IFERROR(IF('Pós Implantação'!B119="Engenharia",AVERAGE('Pós Implantação'!D119,'Pós Implantação'!L119,'Pós Implantação'!N119),AVERAGE('Pós Implantação'!N119)),"")</f>
        <v/>
      </c>
      <c r="K119" s="34" t="str">
        <f>IFERROR(IF('Pós Implantação'!B119="URA",AVERAGE('Pós Implantação'!D119,'Pós Implantação'!L119),""),"")</f>
        <v/>
      </c>
      <c r="L119" s="34" t="str">
        <f>IFERROR(IF('Pós Implantação'!B119="CSE Microsoft",AVERAGE('Pós Implantação'!D119,'Pós Implantação'!L119),""),"")</f>
        <v/>
      </c>
      <c r="M119" s="34" t="str">
        <f>IFERROR(IF('Pós Implantação'!B119="CSE Telecom",AVERAGE('Pós Implantação'!D119,'Pós Implantação'!L119),""),"")</f>
        <v/>
      </c>
      <c r="N119" s="34" t="str">
        <f>IFERROR(IF('Pós Implantação'!B119="Site Suporte de Campo",AVERAGE('Pós Implantação'!D119,'Pós Implantação'!L119),""),"")</f>
        <v/>
      </c>
      <c r="O119" s="49" t="str">
        <f>IFERROR(IF('Pós Implantação'!B119="Infraestrutura",AVERAGE('Pós Implantação'!D119,'Pós Implantação'!L119),""),"")</f>
        <v/>
      </c>
    </row>
    <row r="120" spans="1:15" x14ac:dyDescent="0.3">
      <c r="A120" s="33">
        <f>'Pré Implantação'!A120</f>
        <v>0</v>
      </c>
      <c r="B120" s="36" t="str">
        <f>'Pós Implantação'!C120</f>
        <v>0</v>
      </c>
      <c r="C120" s="34" t="str">
        <f>IFERROR(IF('Pré Implantação'!B120="Produção TI",AVERAGE('Pós Implantação'!D120,'Pós Implantação'!E120,'Pós Implantação'!L120,'Pós Implantação'!H120),AVERAGE('Pré Implantação'!E120,'Pré Implantação'!H120)),"")</f>
        <v/>
      </c>
      <c r="D120" s="34" t="str">
        <f>IFERROR(IF('Pós Implantação'!B120="CSC Service Desk",AVERAGE('Pós Implantação'!D120,'Pós Implantação'!L120,'Pós Implantação'!F120),AVERAGE('Pós Implantação'!F120)),"")</f>
        <v/>
      </c>
      <c r="E120" s="34" t="str">
        <f>IFERROR(IF('Pós Implantação'!B120="CSC NOC",AVERAGE('Pós Implantação'!D120,'Pós Implantação'!L120,'Pós Implantação'!G120),AVERAGE('Pós Implantação'!G120)),"")</f>
        <v/>
      </c>
      <c r="F120" s="34" t="str">
        <f>IFERROR(IF('Pós Implantação'!B120="CSE Gravadores",AVERAGE('Pós Implantação'!D120,'Pós Implantação'!L120,'Pós Implantação'!I120),AVERAGE('Pós Implantação'!I120)),"")</f>
        <v/>
      </c>
      <c r="G120" s="34" t="str">
        <f>IFERROR(IF('Pós Implantação'!B120="CSC",AVERAGE('Pós Implantação'!D120,'Pós Implantação'!L120,'Pós Implantação'!J120),AVERAGE('Pós Implantação'!J120)),"")</f>
        <v/>
      </c>
      <c r="H120" s="34" t="str">
        <f>IFERROR(IF('Pós Implantação'!B120="Operações \ Negócio",AVERAGE('Pós Implantação'!D120,'Pós Implantação'!L120,'Pós Implantação'!K120),AVERAGE('Pós Implantação'!K120)),"")</f>
        <v/>
      </c>
      <c r="I120" s="34" t="str">
        <f>IFERROR(IF('Pós Implantação'!B120="Projetos",AVERAGE('Pós Implantação'!D120,'Pós Implantação'!L120,'Pós Implantação'!M120),AVERAGE('Pós Implantação'!M120)),"")</f>
        <v/>
      </c>
      <c r="J120" s="34" t="str">
        <f>IFERROR(IF('Pós Implantação'!B120="Engenharia",AVERAGE('Pós Implantação'!D120,'Pós Implantação'!L120,'Pós Implantação'!N120),AVERAGE('Pós Implantação'!N120)),"")</f>
        <v/>
      </c>
      <c r="K120" s="34" t="str">
        <f>IFERROR(IF('Pós Implantação'!B120="URA",AVERAGE('Pós Implantação'!D120,'Pós Implantação'!L120),""),"")</f>
        <v/>
      </c>
      <c r="L120" s="34" t="str">
        <f>IFERROR(IF('Pós Implantação'!B120="CSE Microsoft",AVERAGE('Pós Implantação'!D120,'Pós Implantação'!L120),""),"")</f>
        <v/>
      </c>
      <c r="M120" s="34" t="str">
        <f>IFERROR(IF('Pós Implantação'!B120="CSE Telecom",AVERAGE('Pós Implantação'!D120,'Pós Implantação'!L120),""),"")</f>
        <v/>
      </c>
      <c r="N120" s="34" t="str">
        <f>IFERROR(IF('Pós Implantação'!B120="Site Suporte de Campo",AVERAGE('Pós Implantação'!D120,'Pós Implantação'!L120),""),"")</f>
        <v/>
      </c>
      <c r="O120" s="49" t="str">
        <f>IFERROR(IF('Pós Implantação'!B120="Infraestrutura",AVERAGE('Pós Implantação'!D120,'Pós Implantação'!L120),""),"")</f>
        <v/>
      </c>
    </row>
    <row r="121" spans="1:15" x14ac:dyDescent="0.3">
      <c r="A121" s="33">
        <f>'Pré Implantação'!A121</f>
        <v>0</v>
      </c>
      <c r="B121" s="36" t="str">
        <f>'Pós Implantação'!C121</f>
        <v>0</v>
      </c>
      <c r="C121" s="34" t="str">
        <f>IFERROR(IF('Pré Implantação'!B121="Produção TI",AVERAGE('Pós Implantação'!D121,'Pós Implantação'!E121,'Pós Implantação'!L121,'Pós Implantação'!H121),AVERAGE('Pré Implantação'!E121,'Pré Implantação'!H121)),"")</f>
        <v/>
      </c>
      <c r="D121" s="34" t="str">
        <f>IFERROR(IF('Pós Implantação'!B121="CSC Service Desk",AVERAGE('Pós Implantação'!D121,'Pós Implantação'!L121,'Pós Implantação'!F121),AVERAGE('Pós Implantação'!F121)),"")</f>
        <v/>
      </c>
      <c r="E121" s="34" t="str">
        <f>IFERROR(IF('Pós Implantação'!B121="CSC NOC",AVERAGE('Pós Implantação'!D121,'Pós Implantação'!L121,'Pós Implantação'!G121),AVERAGE('Pós Implantação'!G121)),"")</f>
        <v/>
      </c>
      <c r="F121" s="34" t="str">
        <f>IFERROR(IF('Pós Implantação'!B121="CSE Gravadores",AVERAGE('Pós Implantação'!D121,'Pós Implantação'!L121,'Pós Implantação'!I121),AVERAGE('Pós Implantação'!I121)),"")</f>
        <v/>
      </c>
      <c r="G121" s="34" t="str">
        <f>IFERROR(IF('Pós Implantação'!B121="CSC",AVERAGE('Pós Implantação'!D121,'Pós Implantação'!L121,'Pós Implantação'!J121),AVERAGE('Pós Implantação'!J121)),"")</f>
        <v/>
      </c>
      <c r="H121" s="34" t="str">
        <f>IFERROR(IF('Pós Implantação'!B121="Operações \ Negócio",AVERAGE('Pós Implantação'!D121,'Pós Implantação'!L121,'Pós Implantação'!K121),AVERAGE('Pós Implantação'!K121)),"")</f>
        <v/>
      </c>
      <c r="I121" s="34" t="str">
        <f>IFERROR(IF('Pós Implantação'!B121="Projetos",AVERAGE('Pós Implantação'!D121,'Pós Implantação'!L121,'Pós Implantação'!M121),AVERAGE('Pós Implantação'!M121)),"")</f>
        <v/>
      </c>
      <c r="J121" s="34" t="str">
        <f>IFERROR(IF('Pós Implantação'!B121="Engenharia",AVERAGE('Pós Implantação'!D121,'Pós Implantação'!L121,'Pós Implantação'!N121),AVERAGE('Pós Implantação'!N121)),"")</f>
        <v/>
      </c>
      <c r="K121" s="34" t="str">
        <f>IFERROR(IF('Pós Implantação'!B121="URA",AVERAGE('Pós Implantação'!D121,'Pós Implantação'!L121),""),"")</f>
        <v/>
      </c>
      <c r="L121" s="34" t="str">
        <f>IFERROR(IF('Pós Implantação'!B121="CSE Microsoft",AVERAGE('Pós Implantação'!D121,'Pós Implantação'!L121),""),"")</f>
        <v/>
      </c>
      <c r="M121" s="34" t="str">
        <f>IFERROR(IF('Pós Implantação'!B121="CSE Telecom",AVERAGE('Pós Implantação'!D121,'Pós Implantação'!L121),""),"")</f>
        <v/>
      </c>
      <c r="N121" s="34" t="str">
        <f>IFERROR(IF('Pós Implantação'!B121="Site Suporte de Campo",AVERAGE('Pós Implantação'!D121,'Pós Implantação'!L121),""),"")</f>
        <v/>
      </c>
      <c r="O121" s="49" t="str">
        <f>IFERROR(IF('Pós Implantação'!B121="Infraestrutura",AVERAGE('Pós Implantação'!D121,'Pós Implantação'!L121),""),"")</f>
        <v/>
      </c>
    </row>
    <row r="122" spans="1:15" x14ac:dyDescent="0.3">
      <c r="A122" s="33">
        <f>'Pré Implantação'!A122</f>
        <v>0</v>
      </c>
      <c r="B122" s="36" t="str">
        <f>'Pós Implantação'!C122</f>
        <v>0</v>
      </c>
      <c r="C122" s="34" t="str">
        <f>IFERROR(IF('Pré Implantação'!B122="Produção TI",AVERAGE('Pós Implantação'!D122,'Pós Implantação'!E122,'Pós Implantação'!L122,'Pós Implantação'!H122),AVERAGE('Pré Implantação'!E122,'Pré Implantação'!H122)),"")</f>
        <v/>
      </c>
      <c r="D122" s="34" t="str">
        <f>IFERROR(IF('Pós Implantação'!B122="CSC Service Desk",AVERAGE('Pós Implantação'!D122,'Pós Implantação'!L122,'Pós Implantação'!F122),AVERAGE('Pós Implantação'!F122)),"")</f>
        <v/>
      </c>
      <c r="E122" s="34" t="str">
        <f>IFERROR(IF('Pós Implantação'!B122="CSC NOC",AVERAGE('Pós Implantação'!D122,'Pós Implantação'!L122,'Pós Implantação'!G122),AVERAGE('Pós Implantação'!G122)),"")</f>
        <v/>
      </c>
      <c r="F122" s="34" t="str">
        <f>IFERROR(IF('Pós Implantação'!B122="CSE Gravadores",AVERAGE('Pós Implantação'!D122,'Pós Implantação'!L122,'Pós Implantação'!I122),AVERAGE('Pós Implantação'!I122)),"")</f>
        <v/>
      </c>
      <c r="G122" s="34" t="str">
        <f>IFERROR(IF('Pós Implantação'!B122="CSC",AVERAGE('Pós Implantação'!D122,'Pós Implantação'!L122,'Pós Implantação'!J122),AVERAGE('Pós Implantação'!J122)),"")</f>
        <v/>
      </c>
      <c r="H122" s="34" t="str">
        <f>IFERROR(IF('Pós Implantação'!B122="Operações \ Negócio",AVERAGE('Pós Implantação'!D122,'Pós Implantação'!L122,'Pós Implantação'!K122),AVERAGE('Pós Implantação'!K122)),"")</f>
        <v/>
      </c>
      <c r="I122" s="34" t="str">
        <f>IFERROR(IF('Pós Implantação'!B122="Projetos",AVERAGE('Pós Implantação'!D122,'Pós Implantação'!L122,'Pós Implantação'!M122),AVERAGE('Pós Implantação'!M122)),"")</f>
        <v/>
      </c>
      <c r="J122" s="34" t="str">
        <f>IFERROR(IF('Pós Implantação'!B122="Engenharia",AVERAGE('Pós Implantação'!D122,'Pós Implantação'!L122,'Pós Implantação'!N122),AVERAGE('Pós Implantação'!N122)),"")</f>
        <v/>
      </c>
      <c r="K122" s="34" t="str">
        <f>IFERROR(IF('Pós Implantação'!B122="URA",AVERAGE('Pós Implantação'!D122,'Pós Implantação'!L122),""),"")</f>
        <v/>
      </c>
      <c r="L122" s="34" t="str">
        <f>IFERROR(IF('Pós Implantação'!B122="CSE Microsoft",AVERAGE('Pós Implantação'!D122,'Pós Implantação'!L122),""),"")</f>
        <v/>
      </c>
      <c r="M122" s="34" t="str">
        <f>IFERROR(IF('Pós Implantação'!B122="CSE Telecom",AVERAGE('Pós Implantação'!D122,'Pós Implantação'!L122),""),"")</f>
        <v/>
      </c>
      <c r="N122" s="34" t="str">
        <f>IFERROR(IF('Pós Implantação'!B122="Site Suporte de Campo",AVERAGE('Pós Implantação'!D122,'Pós Implantação'!L122),""),"")</f>
        <v/>
      </c>
      <c r="O122" s="49" t="str">
        <f>IFERROR(IF('Pós Implantação'!B122="Infraestrutura",AVERAGE('Pós Implantação'!D122,'Pós Implantação'!L122),""),"")</f>
        <v/>
      </c>
    </row>
    <row r="123" spans="1:15" x14ac:dyDescent="0.3">
      <c r="A123" s="33">
        <f>'Pré Implantação'!A123</f>
        <v>0</v>
      </c>
      <c r="B123" s="36" t="str">
        <f>'Pós Implantação'!C123</f>
        <v>0</v>
      </c>
      <c r="C123" s="34" t="str">
        <f>IFERROR(IF('Pré Implantação'!B123="Produção TI",AVERAGE('Pós Implantação'!D123,'Pós Implantação'!E123,'Pós Implantação'!L123,'Pós Implantação'!H123),AVERAGE('Pré Implantação'!E123,'Pré Implantação'!H123)),"")</f>
        <v/>
      </c>
      <c r="D123" s="34" t="str">
        <f>IFERROR(IF('Pós Implantação'!B123="CSC Service Desk",AVERAGE('Pós Implantação'!D123,'Pós Implantação'!L123,'Pós Implantação'!F123),AVERAGE('Pós Implantação'!F123)),"")</f>
        <v/>
      </c>
      <c r="E123" s="34" t="str">
        <f>IFERROR(IF('Pós Implantação'!B123="CSC NOC",AVERAGE('Pós Implantação'!D123,'Pós Implantação'!L123,'Pós Implantação'!G123),AVERAGE('Pós Implantação'!G123)),"")</f>
        <v/>
      </c>
      <c r="F123" s="34" t="str">
        <f>IFERROR(IF('Pós Implantação'!B123="CSE Gravadores",AVERAGE('Pós Implantação'!D123,'Pós Implantação'!L123,'Pós Implantação'!I123),AVERAGE('Pós Implantação'!I123)),"")</f>
        <v/>
      </c>
      <c r="G123" s="34" t="str">
        <f>IFERROR(IF('Pós Implantação'!B123="CSC",AVERAGE('Pós Implantação'!D123,'Pós Implantação'!L123,'Pós Implantação'!J123),AVERAGE('Pós Implantação'!J123)),"")</f>
        <v/>
      </c>
      <c r="H123" s="34" t="str">
        <f>IFERROR(IF('Pós Implantação'!B123="Operações \ Negócio",AVERAGE('Pós Implantação'!D123,'Pós Implantação'!L123,'Pós Implantação'!K123),AVERAGE('Pós Implantação'!K123)),"")</f>
        <v/>
      </c>
      <c r="I123" s="34" t="str">
        <f>IFERROR(IF('Pós Implantação'!B123="Projetos",AVERAGE('Pós Implantação'!D123,'Pós Implantação'!L123,'Pós Implantação'!M123),AVERAGE('Pós Implantação'!M123)),"")</f>
        <v/>
      </c>
      <c r="J123" s="34" t="str">
        <f>IFERROR(IF('Pós Implantação'!B123="Engenharia",AVERAGE('Pós Implantação'!D123,'Pós Implantação'!L123,'Pós Implantação'!N123),AVERAGE('Pós Implantação'!N123)),"")</f>
        <v/>
      </c>
      <c r="K123" s="34" t="str">
        <f>IFERROR(IF('Pós Implantação'!B123="URA",AVERAGE('Pós Implantação'!D123,'Pós Implantação'!L123),""),"")</f>
        <v/>
      </c>
      <c r="L123" s="34" t="str">
        <f>IFERROR(IF('Pós Implantação'!B123="CSE Microsoft",AVERAGE('Pós Implantação'!D123,'Pós Implantação'!L123),""),"")</f>
        <v/>
      </c>
      <c r="M123" s="34" t="str">
        <f>IFERROR(IF('Pós Implantação'!B123="CSE Telecom",AVERAGE('Pós Implantação'!D123,'Pós Implantação'!L123),""),"")</f>
        <v/>
      </c>
      <c r="N123" s="34" t="str">
        <f>IFERROR(IF('Pós Implantação'!B123="Site Suporte de Campo",AVERAGE('Pós Implantação'!D123,'Pós Implantação'!L123),""),"")</f>
        <v/>
      </c>
      <c r="O123" s="49" t="str">
        <f>IFERROR(IF('Pós Implantação'!B123="Infraestrutura",AVERAGE('Pós Implantação'!D123,'Pós Implantação'!L123),""),"")</f>
        <v/>
      </c>
    </row>
    <row r="124" spans="1:15" x14ac:dyDescent="0.3">
      <c r="A124" s="33">
        <f>'Pré Implantação'!A124</f>
        <v>0</v>
      </c>
      <c r="B124" s="36" t="str">
        <f>'Pós Implantação'!C124</f>
        <v>0</v>
      </c>
      <c r="C124" s="34" t="str">
        <f>IFERROR(IF('Pré Implantação'!B124="Produção TI",AVERAGE('Pós Implantação'!D124,'Pós Implantação'!E124,'Pós Implantação'!L124,'Pós Implantação'!H124),AVERAGE('Pré Implantação'!E124,'Pré Implantação'!H124)),"")</f>
        <v/>
      </c>
      <c r="D124" s="34" t="str">
        <f>IFERROR(IF('Pós Implantação'!B124="CSC Service Desk",AVERAGE('Pós Implantação'!D124,'Pós Implantação'!L124,'Pós Implantação'!F124),AVERAGE('Pós Implantação'!F124)),"")</f>
        <v/>
      </c>
      <c r="E124" s="34" t="str">
        <f>IFERROR(IF('Pós Implantação'!B124="CSC NOC",AVERAGE('Pós Implantação'!D124,'Pós Implantação'!L124,'Pós Implantação'!G124),AVERAGE('Pós Implantação'!G124)),"")</f>
        <v/>
      </c>
      <c r="F124" s="34" t="str">
        <f>IFERROR(IF('Pós Implantação'!B124="CSE Gravadores",AVERAGE('Pós Implantação'!D124,'Pós Implantação'!L124,'Pós Implantação'!I124),AVERAGE('Pós Implantação'!I124)),"")</f>
        <v/>
      </c>
      <c r="G124" s="34" t="str">
        <f>IFERROR(IF('Pós Implantação'!B124="CSC",AVERAGE('Pós Implantação'!D124,'Pós Implantação'!L124,'Pós Implantação'!J124),AVERAGE('Pós Implantação'!J124)),"")</f>
        <v/>
      </c>
      <c r="H124" s="34" t="str">
        <f>IFERROR(IF('Pós Implantação'!B124="Operações \ Negócio",AVERAGE('Pós Implantação'!D124,'Pós Implantação'!L124,'Pós Implantação'!K124),AVERAGE('Pós Implantação'!K124)),"")</f>
        <v/>
      </c>
      <c r="I124" s="34" t="str">
        <f>IFERROR(IF('Pós Implantação'!B124="Projetos",AVERAGE('Pós Implantação'!D124,'Pós Implantação'!L124,'Pós Implantação'!M124),AVERAGE('Pós Implantação'!M124)),"")</f>
        <v/>
      </c>
      <c r="J124" s="34" t="str">
        <f>IFERROR(IF('Pós Implantação'!B124="Engenharia",AVERAGE('Pós Implantação'!D124,'Pós Implantação'!L124,'Pós Implantação'!N124),AVERAGE('Pós Implantação'!N124)),"")</f>
        <v/>
      </c>
      <c r="K124" s="34" t="str">
        <f>IFERROR(IF('Pós Implantação'!B124="URA",AVERAGE('Pós Implantação'!D124,'Pós Implantação'!L124),""),"")</f>
        <v/>
      </c>
      <c r="L124" s="34" t="str">
        <f>IFERROR(IF('Pós Implantação'!B124="CSE Microsoft",AVERAGE('Pós Implantação'!D124,'Pós Implantação'!L124),""),"")</f>
        <v/>
      </c>
      <c r="M124" s="34" t="str">
        <f>IFERROR(IF('Pós Implantação'!B124="CSE Telecom",AVERAGE('Pós Implantação'!D124,'Pós Implantação'!L124),""),"")</f>
        <v/>
      </c>
      <c r="N124" s="34" t="str">
        <f>IFERROR(IF('Pós Implantação'!B124="Site Suporte de Campo",AVERAGE('Pós Implantação'!D124,'Pós Implantação'!L124),""),"")</f>
        <v/>
      </c>
      <c r="O124" s="49" t="str">
        <f>IFERROR(IF('Pós Implantação'!B124="Infraestrutura",AVERAGE('Pós Implantação'!D124,'Pós Implantação'!L124),""),"")</f>
        <v/>
      </c>
    </row>
    <row r="125" spans="1:15" x14ac:dyDescent="0.3">
      <c r="A125" s="33">
        <f>'Pré Implantação'!A125</f>
        <v>0</v>
      </c>
      <c r="B125" s="36" t="str">
        <f>'Pós Implantação'!C125</f>
        <v>0</v>
      </c>
      <c r="C125" s="34" t="str">
        <f>IFERROR(IF('Pré Implantação'!B125="Produção TI",AVERAGE('Pós Implantação'!D125,'Pós Implantação'!E125,'Pós Implantação'!L125,'Pós Implantação'!H125),AVERAGE('Pré Implantação'!E125,'Pré Implantação'!H125)),"")</f>
        <v/>
      </c>
      <c r="D125" s="34" t="str">
        <f>IFERROR(IF('Pós Implantação'!B125="CSC Service Desk",AVERAGE('Pós Implantação'!D125,'Pós Implantação'!L125,'Pós Implantação'!F125),AVERAGE('Pós Implantação'!F125)),"")</f>
        <v/>
      </c>
      <c r="E125" s="34" t="str">
        <f>IFERROR(IF('Pós Implantação'!B125="CSC NOC",AVERAGE('Pós Implantação'!D125,'Pós Implantação'!L125,'Pós Implantação'!G125),AVERAGE('Pós Implantação'!G125)),"")</f>
        <v/>
      </c>
      <c r="F125" s="34" t="str">
        <f>IFERROR(IF('Pós Implantação'!B125="CSE Gravadores",AVERAGE('Pós Implantação'!D125,'Pós Implantação'!L125,'Pós Implantação'!I125),AVERAGE('Pós Implantação'!I125)),"")</f>
        <v/>
      </c>
      <c r="G125" s="34" t="str">
        <f>IFERROR(IF('Pós Implantação'!B125="CSC",AVERAGE('Pós Implantação'!D125,'Pós Implantação'!L125,'Pós Implantação'!J125),AVERAGE('Pós Implantação'!J125)),"")</f>
        <v/>
      </c>
      <c r="H125" s="34" t="str">
        <f>IFERROR(IF('Pós Implantação'!B125="Operações \ Negócio",AVERAGE('Pós Implantação'!D125,'Pós Implantação'!L125,'Pós Implantação'!K125),AVERAGE('Pós Implantação'!K125)),"")</f>
        <v/>
      </c>
      <c r="I125" s="34" t="str">
        <f>IFERROR(IF('Pós Implantação'!B125="Projetos",AVERAGE('Pós Implantação'!D125,'Pós Implantação'!L125,'Pós Implantação'!M125),AVERAGE('Pós Implantação'!M125)),"")</f>
        <v/>
      </c>
      <c r="J125" s="34" t="str">
        <f>IFERROR(IF('Pós Implantação'!B125="Engenharia",AVERAGE('Pós Implantação'!D125,'Pós Implantação'!L125,'Pós Implantação'!N125),AVERAGE('Pós Implantação'!N125)),"")</f>
        <v/>
      </c>
      <c r="K125" s="34" t="str">
        <f>IFERROR(IF('Pós Implantação'!B125="URA",AVERAGE('Pós Implantação'!D125,'Pós Implantação'!L125),""),"")</f>
        <v/>
      </c>
      <c r="L125" s="34" t="str">
        <f>IFERROR(IF('Pós Implantação'!B125="CSE Microsoft",AVERAGE('Pós Implantação'!D125,'Pós Implantação'!L125),""),"")</f>
        <v/>
      </c>
      <c r="M125" s="34" t="str">
        <f>IFERROR(IF('Pós Implantação'!B125="CSE Telecom",AVERAGE('Pós Implantação'!D125,'Pós Implantação'!L125),""),"")</f>
        <v/>
      </c>
      <c r="N125" s="34" t="str">
        <f>IFERROR(IF('Pós Implantação'!B125="Site Suporte de Campo",AVERAGE('Pós Implantação'!D125,'Pós Implantação'!L125),""),"")</f>
        <v/>
      </c>
      <c r="O125" s="49" t="str">
        <f>IFERROR(IF('Pós Implantação'!B125="Infraestrutura",AVERAGE('Pós Implantação'!D125,'Pós Implantação'!L125),""),"")</f>
        <v/>
      </c>
    </row>
    <row r="126" spans="1:15" x14ac:dyDescent="0.3">
      <c r="A126" s="33">
        <f>'Pré Implantação'!A126</f>
        <v>0</v>
      </c>
      <c r="B126" s="36" t="str">
        <f>'Pós Implantação'!C126</f>
        <v>0</v>
      </c>
      <c r="C126" s="34" t="str">
        <f>IFERROR(IF('Pré Implantação'!B126="Produção TI",AVERAGE('Pós Implantação'!D126,'Pós Implantação'!E126,'Pós Implantação'!L126,'Pós Implantação'!H126),AVERAGE('Pré Implantação'!E126,'Pré Implantação'!H126)),"")</f>
        <v/>
      </c>
      <c r="D126" s="34" t="str">
        <f>IFERROR(IF('Pós Implantação'!B126="CSC Service Desk",AVERAGE('Pós Implantação'!D126,'Pós Implantação'!L126,'Pós Implantação'!F126),AVERAGE('Pós Implantação'!F126)),"")</f>
        <v/>
      </c>
      <c r="E126" s="34" t="str">
        <f>IFERROR(IF('Pós Implantação'!B126="CSC NOC",AVERAGE('Pós Implantação'!D126,'Pós Implantação'!L126,'Pós Implantação'!G126),AVERAGE('Pós Implantação'!G126)),"")</f>
        <v/>
      </c>
      <c r="F126" s="34" t="str">
        <f>IFERROR(IF('Pós Implantação'!B126="CSE Gravadores",AVERAGE('Pós Implantação'!D126,'Pós Implantação'!L126,'Pós Implantação'!I126),AVERAGE('Pós Implantação'!I126)),"")</f>
        <v/>
      </c>
      <c r="G126" s="34" t="str">
        <f>IFERROR(IF('Pós Implantação'!B126="CSC",AVERAGE('Pós Implantação'!D126,'Pós Implantação'!L126,'Pós Implantação'!J126),AVERAGE('Pós Implantação'!J126)),"")</f>
        <v/>
      </c>
      <c r="H126" s="34" t="str">
        <f>IFERROR(IF('Pós Implantação'!B126="Operações \ Negócio",AVERAGE('Pós Implantação'!D126,'Pós Implantação'!L126,'Pós Implantação'!K126),AVERAGE('Pós Implantação'!K126)),"")</f>
        <v/>
      </c>
      <c r="I126" s="34" t="str">
        <f>IFERROR(IF('Pós Implantação'!B126="Projetos",AVERAGE('Pós Implantação'!D126,'Pós Implantação'!L126,'Pós Implantação'!M126),AVERAGE('Pós Implantação'!M126)),"")</f>
        <v/>
      </c>
      <c r="J126" s="34" t="str">
        <f>IFERROR(IF('Pós Implantação'!B126="Engenharia",AVERAGE('Pós Implantação'!D126,'Pós Implantação'!L126,'Pós Implantação'!N126),AVERAGE('Pós Implantação'!N126)),"")</f>
        <v/>
      </c>
      <c r="K126" s="34" t="str">
        <f>IFERROR(IF('Pós Implantação'!B126="URA",AVERAGE('Pós Implantação'!D126,'Pós Implantação'!L126),""),"")</f>
        <v/>
      </c>
      <c r="L126" s="34" t="str">
        <f>IFERROR(IF('Pós Implantação'!B126="CSE Microsoft",AVERAGE('Pós Implantação'!D126,'Pós Implantação'!L126),""),"")</f>
        <v/>
      </c>
      <c r="M126" s="34" t="str">
        <f>IFERROR(IF('Pós Implantação'!B126="CSE Telecom",AVERAGE('Pós Implantação'!D126,'Pós Implantação'!L126),""),"")</f>
        <v/>
      </c>
      <c r="N126" s="34" t="str">
        <f>IFERROR(IF('Pós Implantação'!B126="Site Suporte de Campo",AVERAGE('Pós Implantação'!D126,'Pós Implantação'!L126),""),"")</f>
        <v/>
      </c>
      <c r="O126" s="49" t="str">
        <f>IFERROR(IF('Pós Implantação'!B126="Infraestrutura",AVERAGE('Pós Implantação'!D126,'Pós Implantação'!L126),""),"")</f>
        <v/>
      </c>
    </row>
    <row r="127" spans="1:15" x14ac:dyDescent="0.3">
      <c r="A127" s="33">
        <f>'Pré Implantação'!A127</f>
        <v>0</v>
      </c>
      <c r="B127" s="36" t="str">
        <f>'Pós Implantação'!C127</f>
        <v>0</v>
      </c>
      <c r="C127" s="34" t="str">
        <f>IFERROR(IF('Pré Implantação'!B127="Produção TI",AVERAGE('Pós Implantação'!D127,'Pós Implantação'!E127,'Pós Implantação'!L127,'Pós Implantação'!H127),AVERAGE('Pré Implantação'!E127,'Pré Implantação'!H127)),"")</f>
        <v/>
      </c>
      <c r="D127" s="34" t="str">
        <f>IFERROR(IF('Pós Implantação'!B127="CSC Service Desk",AVERAGE('Pós Implantação'!D127,'Pós Implantação'!L127,'Pós Implantação'!F127),AVERAGE('Pós Implantação'!F127)),"")</f>
        <v/>
      </c>
      <c r="E127" s="34" t="str">
        <f>IFERROR(IF('Pós Implantação'!B127="CSC NOC",AVERAGE('Pós Implantação'!D127,'Pós Implantação'!L127,'Pós Implantação'!G127),AVERAGE('Pós Implantação'!G127)),"")</f>
        <v/>
      </c>
      <c r="F127" s="34" t="str">
        <f>IFERROR(IF('Pós Implantação'!B127="CSE Gravadores",AVERAGE('Pós Implantação'!D127,'Pós Implantação'!L127,'Pós Implantação'!I127),AVERAGE('Pós Implantação'!I127)),"")</f>
        <v/>
      </c>
      <c r="G127" s="34" t="str">
        <f>IFERROR(IF('Pós Implantação'!B127="CSC",AVERAGE('Pós Implantação'!D127,'Pós Implantação'!L127,'Pós Implantação'!J127),AVERAGE('Pós Implantação'!J127)),"")</f>
        <v/>
      </c>
      <c r="H127" s="34" t="str">
        <f>IFERROR(IF('Pós Implantação'!B127="Operações \ Negócio",AVERAGE('Pós Implantação'!D127,'Pós Implantação'!L127,'Pós Implantação'!K127),AVERAGE('Pós Implantação'!K127)),"")</f>
        <v/>
      </c>
      <c r="I127" s="34" t="str">
        <f>IFERROR(IF('Pós Implantação'!B127="Projetos",AVERAGE('Pós Implantação'!D127,'Pós Implantação'!L127,'Pós Implantação'!M127),AVERAGE('Pós Implantação'!M127)),"")</f>
        <v/>
      </c>
      <c r="J127" s="34" t="str">
        <f>IFERROR(IF('Pós Implantação'!B127="Engenharia",AVERAGE('Pós Implantação'!D127,'Pós Implantação'!L127,'Pós Implantação'!N127),AVERAGE('Pós Implantação'!N127)),"")</f>
        <v/>
      </c>
      <c r="K127" s="34" t="str">
        <f>IFERROR(IF('Pós Implantação'!B127="URA",AVERAGE('Pós Implantação'!D127,'Pós Implantação'!L127),""),"")</f>
        <v/>
      </c>
      <c r="L127" s="34" t="str">
        <f>IFERROR(IF('Pós Implantação'!B127="CSE Microsoft",AVERAGE('Pós Implantação'!D127,'Pós Implantação'!L127),""),"")</f>
        <v/>
      </c>
      <c r="M127" s="34" t="str">
        <f>IFERROR(IF('Pós Implantação'!B127="CSE Telecom",AVERAGE('Pós Implantação'!D127,'Pós Implantação'!L127),""),"")</f>
        <v/>
      </c>
      <c r="N127" s="34" t="str">
        <f>IFERROR(IF('Pós Implantação'!B127="Site Suporte de Campo",AVERAGE('Pós Implantação'!D127,'Pós Implantação'!L127),""),"")</f>
        <v/>
      </c>
      <c r="O127" s="49" t="str">
        <f>IFERROR(IF('Pós Implantação'!B127="Infraestrutura",AVERAGE('Pós Implantação'!D127,'Pós Implantação'!L127),""),"")</f>
        <v/>
      </c>
    </row>
    <row r="128" spans="1:15" x14ac:dyDescent="0.3">
      <c r="A128" s="33">
        <f>'Pré Implantação'!A128</f>
        <v>0</v>
      </c>
      <c r="B128" s="36" t="str">
        <f>'Pós Implantação'!C128</f>
        <v>0</v>
      </c>
      <c r="C128" s="34" t="str">
        <f>IFERROR(IF('Pré Implantação'!B128="Produção TI",AVERAGE('Pós Implantação'!D128,'Pós Implantação'!E128,'Pós Implantação'!L128,'Pós Implantação'!H128),AVERAGE('Pré Implantação'!E128,'Pré Implantação'!H128)),"")</f>
        <v/>
      </c>
      <c r="D128" s="34" t="str">
        <f>IFERROR(IF('Pós Implantação'!B128="CSC Service Desk",AVERAGE('Pós Implantação'!D128,'Pós Implantação'!L128,'Pós Implantação'!F128),AVERAGE('Pós Implantação'!F128)),"")</f>
        <v/>
      </c>
      <c r="E128" s="34" t="str">
        <f>IFERROR(IF('Pós Implantação'!B128="CSC NOC",AVERAGE('Pós Implantação'!D128,'Pós Implantação'!L128,'Pós Implantação'!G128),AVERAGE('Pós Implantação'!G128)),"")</f>
        <v/>
      </c>
      <c r="F128" s="34" t="str">
        <f>IFERROR(IF('Pós Implantação'!B128="CSE Gravadores",AVERAGE('Pós Implantação'!D128,'Pós Implantação'!L128,'Pós Implantação'!I128),AVERAGE('Pós Implantação'!I128)),"")</f>
        <v/>
      </c>
      <c r="G128" s="34" t="str">
        <f>IFERROR(IF('Pós Implantação'!B128="CSC",AVERAGE('Pós Implantação'!D128,'Pós Implantação'!L128,'Pós Implantação'!J128),AVERAGE('Pós Implantação'!J128)),"")</f>
        <v/>
      </c>
      <c r="H128" s="34" t="str">
        <f>IFERROR(IF('Pós Implantação'!B128="Operações \ Negócio",AVERAGE('Pós Implantação'!D128,'Pós Implantação'!L128,'Pós Implantação'!K128),AVERAGE('Pós Implantação'!K128)),"")</f>
        <v/>
      </c>
      <c r="I128" s="34" t="str">
        <f>IFERROR(IF('Pós Implantação'!B128="Projetos",AVERAGE('Pós Implantação'!D128,'Pós Implantação'!L128,'Pós Implantação'!M128),AVERAGE('Pós Implantação'!M128)),"")</f>
        <v/>
      </c>
      <c r="J128" s="34" t="str">
        <f>IFERROR(IF('Pós Implantação'!B128="Engenharia",AVERAGE('Pós Implantação'!D128,'Pós Implantação'!L128,'Pós Implantação'!N128),AVERAGE('Pós Implantação'!N128)),"")</f>
        <v/>
      </c>
      <c r="K128" s="34" t="str">
        <f>IFERROR(IF('Pós Implantação'!B128="URA",AVERAGE('Pós Implantação'!D128,'Pós Implantação'!L128),""),"")</f>
        <v/>
      </c>
      <c r="L128" s="34" t="str">
        <f>IFERROR(IF('Pós Implantação'!B128="CSE Microsoft",AVERAGE('Pós Implantação'!D128,'Pós Implantação'!L128),""),"")</f>
        <v/>
      </c>
      <c r="M128" s="34" t="str">
        <f>IFERROR(IF('Pós Implantação'!B128="CSE Telecom",AVERAGE('Pós Implantação'!D128,'Pós Implantação'!L128),""),"")</f>
        <v/>
      </c>
      <c r="N128" s="34" t="str">
        <f>IFERROR(IF('Pós Implantação'!B128="Site Suporte de Campo",AVERAGE('Pós Implantação'!D128,'Pós Implantação'!L128),""),"")</f>
        <v/>
      </c>
      <c r="O128" s="49" t="str">
        <f>IFERROR(IF('Pós Implantação'!B128="Infraestrutura",AVERAGE('Pós Implantação'!D128,'Pós Implantação'!L128),""),"")</f>
        <v/>
      </c>
    </row>
    <row r="129" spans="1:15" x14ac:dyDescent="0.3">
      <c r="A129" s="33">
        <f>'Pré Implantação'!A129</f>
        <v>0</v>
      </c>
      <c r="B129" s="36" t="str">
        <f>'Pós Implantação'!C129</f>
        <v>0</v>
      </c>
      <c r="C129" s="34" t="str">
        <f>IFERROR(IF('Pré Implantação'!B129="Produção TI",AVERAGE('Pós Implantação'!D129,'Pós Implantação'!E129,'Pós Implantação'!L129,'Pós Implantação'!H129),AVERAGE('Pré Implantação'!E129,'Pré Implantação'!H129)),"")</f>
        <v/>
      </c>
      <c r="D129" s="34" t="str">
        <f>IFERROR(IF('Pós Implantação'!B129="CSC Service Desk",AVERAGE('Pós Implantação'!D129,'Pós Implantação'!L129,'Pós Implantação'!F129),AVERAGE('Pós Implantação'!F129)),"")</f>
        <v/>
      </c>
      <c r="E129" s="34" t="str">
        <f>IFERROR(IF('Pós Implantação'!B129="CSC NOC",AVERAGE('Pós Implantação'!D129,'Pós Implantação'!L129,'Pós Implantação'!G129),AVERAGE('Pós Implantação'!G129)),"")</f>
        <v/>
      </c>
      <c r="F129" s="34" t="str">
        <f>IFERROR(IF('Pós Implantação'!B129="CSE Gravadores",AVERAGE('Pós Implantação'!D129,'Pós Implantação'!L129,'Pós Implantação'!I129),AVERAGE('Pós Implantação'!I129)),"")</f>
        <v/>
      </c>
      <c r="G129" s="34" t="str">
        <f>IFERROR(IF('Pós Implantação'!B129="CSC",AVERAGE('Pós Implantação'!D129,'Pós Implantação'!L129,'Pós Implantação'!J129),AVERAGE('Pós Implantação'!J129)),"")</f>
        <v/>
      </c>
      <c r="H129" s="34" t="str">
        <f>IFERROR(IF('Pós Implantação'!B129="Operações \ Negócio",AVERAGE('Pós Implantação'!D129,'Pós Implantação'!L129,'Pós Implantação'!K129),AVERAGE('Pós Implantação'!K129)),"")</f>
        <v/>
      </c>
      <c r="I129" s="34" t="str">
        <f>IFERROR(IF('Pós Implantação'!B129="Projetos",AVERAGE('Pós Implantação'!D129,'Pós Implantação'!L129,'Pós Implantação'!M129),AVERAGE('Pós Implantação'!M129)),"")</f>
        <v/>
      </c>
      <c r="J129" s="34" t="str">
        <f>IFERROR(IF('Pós Implantação'!B129="Engenharia",AVERAGE('Pós Implantação'!D129,'Pós Implantação'!L129,'Pós Implantação'!N129),AVERAGE('Pós Implantação'!N129)),"")</f>
        <v/>
      </c>
      <c r="K129" s="34" t="str">
        <f>IFERROR(IF('Pós Implantação'!B129="URA",AVERAGE('Pós Implantação'!D129,'Pós Implantação'!L129),""),"")</f>
        <v/>
      </c>
      <c r="L129" s="34" t="str">
        <f>IFERROR(IF('Pós Implantação'!B129="CSE Microsoft",AVERAGE('Pós Implantação'!D129,'Pós Implantação'!L129),""),"")</f>
        <v/>
      </c>
      <c r="M129" s="34" t="str">
        <f>IFERROR(IF('Pós Implantação'!B129="CSE Telecom",AVERAGE('Pós Implantação'!D129,'Pós Implantação'!L129),""),"")</f>
        <v/>
      </c>
      <c r="N129" s="34" t="str">
        <f>IFERROR(IF('Pós Implantação'!B129="Site Suporte de Campo",AVERAGE('Pós Implantação'!D129,'Pós Implantação'!L129),""),"")</f>
        <v/>
      </c>
      <c r="O129" s="49" t="str">
        <f>IFERROR(IF('Pós Implantação'!B129="Infraestrutura",AVERAGE('Pós Implantação'!D129,'Pós Implantação'!L129),""),"")</f>
        <v/>
      </c>
    </row>
    <row r="130" spans="1:15" x14ac:dyDescent="0.3">
      <c r="A130" s="33">
        <f>'Pré Implantação'!A130</f>
        <v>0</v>
      </c>
      <c r="B130" s="36" t="str">
        <f>'Pós Implantação'!C130</f>
        <v>0</v>
      </c>
      <c r="C130" s="34" t="str">
        <f>IFERROR(IF('Pré Implantação'!B130="Produção TI",AVERAGE('Pós Implantação'!D130,'Pós Implantação'!E130,'Pós Implantação'!L130,'Pós Implantação'!H130),AVERAGE('Pré Implantação'!E130,'Pré Implantação'!H130)),"")</f>
        <v/>
      </c>
      <c r="D130" s="34" t="str">
        <f>IFERROR(IF('Pós Implantação'!B130="CSC Service Desk",AVERAGE('Pós Implantação'!D130,'Pós Implantação'!L130,'Pós Implantação'!F130),AVERAGE('Pós Implantação'!F130)),"")</f>
        <v/>
      </c>
      <c r="E130" s="34" t="str">
        <f>IFERROR(IF('Pós Implantação'!B130="CSC NOC",AVERAGE('Pós Implantação'!D130,'Pós Implantação'!L130,'Pós Implantação'!G130),AVERAGE('Pós Implantação'!G130)),"")</f>
        <v/>
      </c>
      <c r="F130" s="34" t="str">
        <f>IFERROR(IF('Pós Implantação'!B130="CSE Gravadores",AVERAGE('Pós Implantação'!D130,'Pós Implantação'!L130,'Pós Implantação'!I130),AVERAGE('Pós Implantação'!I130)),"")</f>
        <v/>
      </c>
      <c r="G130" s="34" t="str">
        <f>IFERROR(IF('Pós Implantação'!B130="CSC",AVERAGE('Pós Implantação'!D130,'Pós Implantação'!L130,'Pós Implantação'!J130),AVERAGE('Pós Implantação'!J130)),"")</f>
        <v/>
      </c>
      <c r="H130" s="34" t="str">
        <f>IFERROR(IF('Pós Implantação'!B130="Operações \ Negócio",AVERAGE('Pós Implantação'!D130,'Pós Implantação'!L130,'Pós Implantação'!K130),AVERAGE('Pós Implantação'!K130)),"")</f>
        <v/>
      </c>
      <c r="I130" s="34" t="str">
        <f>IFERROR(IF('Pós Implantação'!B130="Projetos",AVERAGE('Pós Implantação'!D130,'Pós Implantação'!L130,'Pós Implantação'!M130),AVERAGE('Pós Implantação'!M130)),"")</f>
        <v/>
      </c>
      <c r="J130" s="34" t="str">
        <f>IFERROR(IF('Pós Implantação'!B130="Engenharia",AVERAGE('Pós Implantação'!D130,'Pós Implantação'!L130,'Pós Implantação'!N130),AVERAGE('Pós Implantação'!N130)),"")</f>
        <v/>
      </c>
      <c r="K130" s="34" t="str">
        <f>IFERROR(IF('Pós Implantação'!B130="URA",AVERAGE('Pós Implantação'!D130,'Pós Implantação'!L130),""),"")</f>
        <v/>
      </c>
      <c r="L130" s="34" t="str">
        <f>IFERROR(IF('Pós Implantação'!B130="CSE Microsoft",AVERAGE('Pós Implantação'!D130,'Pós Implantação'!L130),""),"")</f>
        <v/>
      </c>
      <c r="M130" s="34" t="str">
        <f>IFERROR(IF('Pós Implantação'!B130="CSE Telecom",AVERAGE('Pós Implantação'!D130,'Pós Implantação'!L130),""),"")</f>
        <v/>
      </c>
      <c r="N130" s="34" t="str">
        <f>IFERROR(IF('Pós Implantação'!B130="Site Suporte de Campo",AVERAGE('Pós Implantação'!D130,'Pós Implantação'!L130),""),"")</f>
        <v/>
      </c>
      <c r="O130" s="49" t="str">
        <f>IFERROR(IF('Pós Implantação'!B130="Infraestrutura",AVERAGE('Pós Implantação'!D130,'Pós Implantação'!L130),""),"")</f>
        <v/>
      </c>
    </row>
    <row r="131" spans="1:15" x14ac:dyDescent="0.3">
      <c r="A131" s="33">
        <f>'Pré Implantação'!A131</f>
        <v>0</v>
      </c>
      <c r="B131" s="36" t="str">
        <f>'Pós Implantação'!C131</f>
        <v>0</v>
      </c>
      <c r="C131" s="34" t="str">
        <f>IFERROR(IF('Pré Implantação'!B131="Produção TI",AVERAGE('Pós Implantação'!D131,'Pós Implantação'!E131,'Pós Implantação'!L131,'Pós Implantação'!H131),AVERAGE('Pré Implantação'!E131,'Pré Implantação'!H131)),"")</f>
        <v/>
      </c>
      <c r="D131" s="34" t="str">
        <f>IFERROR(IF('Pós Implantação'!B131="CSC Service Desk",AVERAGE('Pós Implantação'!D131,'Pós Implantação'!L131,'Pós Implantação'!F131),AVERAGE('Pós Implantação'!F131)),"")</f>
        <v/>
      </c>
      <c r="E131" s="34" t="str">
        <f>IFERROR(IF('Pós Implantação'!B131="CSC NOC",AVERAGE('Pós Implantação'!D131,'Pós Implantação'!L131,'Pós Implantação'!G131),AVERAGE('Pós Implantação'!G131)),"")</f>
        <v/>
      </c>
      <c r="F131" s="34" t="str">
        <f>IFERROR(IF('Pós Implantação'!B131="CSE Gravadores",AVERAGE('Pós Implantação'!D131,'Pós Implantação'!L131,'Pós Implantação'!I131),AVERAGE('Pós Implantação'!I131)),"")</f>
        <v/>
      </c>
      <c r="G131" s="34" t="str">
        <f>IFERROR(IF('Pós Implantação'!B131="CSC",AVERAGE('Pós Implantação'!D131,'Pós Implantação'!L131,'Pós Implantação'!J131),AVERAGE('Pós Implantação'!J131)),"")</f>
        <v/>
      </c>
      <c r="H131" s="34" t="str">
        <f>IFERROR(IF('Pós Implantação'!B131="Operações \ Negócio",AVERAGE('Pós Implantação'!D131,'Pós Implantação'!L131,'Pós Implantação'!K131),AVERAGE('Pós Implantação'!K131)),"")</f>
        <v/>
      </c>
      <c r="I131" s="34" t="str">
        <f>IFERROR(IF('Pós Implantação'!B131="Projetos",AVERAGE('Pós Implantação'!D131,'Pós Implantação'!L131,'Pós Implantação'!M131),AVERAGE('Pós Implantação'!M131)),"")</f>
        <v/>
      </c>
      <c r="J131" s="34" t="str">
        <f>IFERROR(IF('Pós Implantação'!B131="Engenharia",AVERAGE('Pós Implantação'!D131,'Pós Implantação'!L131,'Pós Implantação'!N131),AVERAGE('Pós Implantação'!N131)),"")</f>
        <v/>
      </c>
      <c r="K131" s="34" t="str">
        <f>IFERROR(IF('Pós Implantação'!B131="URA",AVERAGE('Pós Implantação'!D131,'Pós Implantação'!L131),""),"")</f>
        <v/>
      </c>
      <c r="L131" s="34" t="str">
        <f>IFERROR(IF('Pós Implantação'!B131="CSE Microsoft",AVERAGE('Pós Implantação'!D131,'Pós Implantação'!L131),""),"")</f>
        <v/>
      </c>
      <c r="M131" s="34" t="str">
        <f>IFERROR(IF('Pós Implantação'!B131="CSE Telecom",AVERAGE('Pós Implantação'!D131,'Pós Implantação'!L131),""),"")</f>
        <v/>
      </c>
      <c r="N131" s="34" t="str">
        <f>IFERROR(IF('Pós Implantação'!B131="Site Suporte de Campo",AVERAGE('Pós Implantação'!D131,'Pós Implantação'!L131),""),"")</f>
        <v/>
      </c>
      <c r="O131" s="49" t="str">
        <f>IFERROR(IF('Pós Implantação'!B131="Infraestrutura",AVERAGE('Pós Implantação'!D131,'Pós Implantação'!L131),""),"")</f>
        <v/>
      </c>
    </row>
    <row r="132" spans="1:15" x14ac:dyDescent="0.3">
      <c r="A132" s="33">
        <f>'Pré Implantação'!A132</f>
        <v>0</v>
      </c>
      <c r="B132" s="36" t="str">
        <f>'Pós Implantação'!C132</f>
        <v>0</v>
      </c>
      <c r="C132" s="34" t="str">
        <f>IFERROR(IF('Pré Implantação'!B132="Produção TI",AVERAGE('Pós Implantação'!D132,'Pós Implantação'!E132,'Pós Implantação'!L132,'Pós Implantação'!H132),AVERAGE('Pré Implantação'!E132,'Pré Implantação'!H132)),"")</f>
        <v/>
      </c>
      <c r="D132" s="34" t="str">
        <f>IFERROR(IF('Pós Implantação'!B132="CSC Service Desk",AVERAGE('Pós Implantação'!D132,'Pós Implantação'!L132,'Pós Implantação'!F132),AVERAGE('Pós Implantação'!F132)),"")</f>
        <v/>
      </c>
      <c r="E132" s="34" t="str">
        <f>IFERROR(IF('Pós Implantação'!B132="CSC NOC",AVERAGE('Pós Implantação'!D132,'Pós Implantação'!L132,'Pós Implantação'!G132),AVERAGE('Pós Implantação'!G132)),"")</f>
        <v/>
      </c>
      <c r="F132" s="34" t="str">
        <f>IFERROR(IF('Pós Implantação'!B132="CSE Gravadores",AVERAGE('Pós Implantação'!D132,'Pós Implantação'!L132,'Pós Implantação'!I132),AVERAGE('Pós Implantação'!I132)),"")</f>
        <v/>
      </c>
      <c r="G132" s="34" t="str">
        <f>IFERROR(IF('Pós Implantação'!B132="CSC",AVERAGE('Pós Implantação'!D132,'Pós Implantação'!L132,'Pós Implantação'!J132),AVERAGE('Pós Implantação'!J132)),"")</f>
        <v/>
      </c>
      <c r="H132" s="34" t="str">
        <f>IFERROR(IF('Pós Implantação'!B132="Operações \ Negócio",AVERAGE('Pós Implantação'!D132,'Pós Implantação'!L132,'Pós Implantação'!K132),AVERAGE('Pós Implantação'!K132)),"")</f>
        <v/>
      </c>
      <c r="I132" s="34" t="str">
        <f>IFERROR(IF('Pós Implantação'!B132="Projetos",AVERAGE('Pós Implantação'!D132,'Pós Implantação'!L132,'Pós Implantação'!M132),AVERAGE('Pós Implantação'!M132)),"")</f>
        <v/>
      </c>
      <c r="J132" s="34" t="str">
        <f>IFERROR(IF('Pós Implantação'!B132="Engenharia",AVERAGE('Pós Implantação'!D132,'Pós Implantação'!L132,'Pós Implantação'!N132),AVERAGE('Pós Implantação'!N132)),"")</f>
        <v/>
      </c>
      <c r="K132" s="34" t="str">
        <f>IFERROR(IF('Pós Implantação'!B132="URA",AVERAGE('Pós Implantação'!D132,'Pós Implantação'!L132),""),"")</f>
        <v/>
      </c>
      <c r="L132" s="34" t="str">
        <f>IFERROR(IF('Pós Implantação'!B132="CSE Microsoft",AVERAGE('Pós Implantação'!D132,'Pós Implantação'!L132),""),"")</f>
        <v/>
      </c>
      <c r="M132" s="34" t="str">
        <f>IFERROR(IF('Pós Implantação'!B132="CSE Telecom",AVERAGE('Pós Implantação'!D132,'Pós Implantação'!L132),""),"")</f>
        <v/>
      </c>
      <c r="N132" s="34" t="str">
        <f>IFERROR(IF('Pós Implantação'!B132="Site Suporte de Campo",AVERAGE('Pós Implantação'!D132,'Pós Implantação'!L132),""),"")</f>
        <v/>
      </c>
      <c r="O132" s="49" t="str">
        <f>IFERROR(IF('Pós Implantação'!B132="Infraestrutura",AVERAGE('Pós Implantação'!D132,'Pós Implantação'!L132),""),"")</f>
        <v/>
      </c>
    </row>
    <row r="133" spans="1:15" x14ac:dyDescent="0.3">
      <c r="A133" s="33">
        <f>'Pré Implantação'!A133</f>
        <v>0</v>
      </c>
      <c r="B133" s="36" t="str">
        <f>'Pós Implantação'!C133</f>
        <v>0</v>
      </c>
      <c r="C133" s="34" t="str">
        <f>IFERROR(IF('Pré Implantação'!B133="Produção TI",AVERAGE('Pós Implantação'!D133,'Pós Implantação'!E133,'Pós Implantação'!L133,'Pós Implantação'!H133),AVERAGE('Pré Implantação'!E133,'Pré Implantação'!H133)),"")</f>
        <v/>
      </c>
      <c r="D133" s="34" t="str">
        <f>IFERROR(IF('Pós Implantação'!B133="CSC Service Desk",AVERAGE('Pós Implantação'!D133,'Pós Implantação'!L133,'Pós Implantação'!F133),AVERAGE('Pós Implantação'!F133)),"")</f>
        <v/>
      </c>
      <c r="E133" s="34" t="str">
        <f>IFERROR(IF('Pós Implantação'!B133="CSC NOC",AVERAGE('Pós Implantação'!D133,'Pós Implantação'!L133,'Pós Implantação'!G133),AVERAGE('Pós Implantação'!G133)),"")</f>
        <v/>
      </c>
      <c r="F133" s="34" t="str">
        <f>IFERROR(IF('Pós Implantação'!B133="CSE Gravadores",AVERAGE('Pós Implantação'!D133,'Pós Implantação'!L133,'Pós Implantação'!I133),AVERAGE('Pós Implantação'!I133)),"")</f>
        <v/>
      </c>
      <c r="G133" s="34" t="str">
        <f>IFERROR(IF('Pós Implantação'!B133="CSC",AVERAGE('Pós Implantação'!D133,'Pós Implantação'!L133,'Pós Implantação'!J133),AVERAGE('Pós Implantação'!J133)),"")</f>
        <v/>
      </c>
      <c r="H133" s="34" t="str">
        <f>IFERROR(IF('Pós Implantação'!B133="Operações \ Negócio",AVERAGE('Pós Implantação'!D133,'Pós Implantação'!L133,'Pós Implantação'!K133),AVERAGE('Pós Implantação'!K133)),"")</f>
        <v/>
      </c>
      <c r="I133" s="34" t="str">
        <f>IFERROR(IF('Pós Implantação'!B133="Projetos",AVERAGE('Pós Implantação'!D133,'Pós Implantação'!L133,'Pós Implantação'!M133),AVERAGE('Pós Implantação'!M133)),"")</f>
        <v/>
      </c>
      <c r="J133" s="34" t="str">
        <f>IFERROR(IF('Pós Implantação'!B133="Engenharia",AVERAGE('Pós Implantação'!D133,'Pós Implantação'!L133,'Pós Implantação'!N133),AVERAGE('Pós Implantação'!N133)),"")</f>
        <v/>
      </c>
      <c r="K133" s="34" t="str">
        <f>IFERROR(IF('Pós Implantação'!B133="URA",AVERAGE('Pós Implantação'!D133,'Pós Implantação'!L133),""),"")</f>
        <v/>
      </c>
      <c r="L133" s="34" t="str">
        <f>IFERROR(IF('Pós Implantação'!B133="CSE Microsoft",AVERAGE('Pós Implantação'!D133,'Pós Implantação'!L133),""),"")</f>
        <v/>
      </c>
      <c r="M133" s="34" t="str">
        <f>IFERROR(IF('Pós Implantação'!B133="CSE Telecom",AVERAGE('Pós Implantação'!D133,'Pós Implantação'!L133),""),"")</f>
        <v/>
      </c>
      <c r="N133" s="34" t="str">
        <f>IFERROR(IF('Pós Implantação'!B133="Site Suporte de Campo",AVERAGE('Pós Implantação'!D133,'Pós Implantação'!L133),""),"")</f>
        <v/>
      </c>
      <c r="O133" s="49" t="str">
        <f>IFERROR(IF('Pós Implantação'!B133="Infraestrutura",AVERAGE('Pós Implantação'!D133,'Pós Implantação'!L133),""),"")</f>
        <v/>
      </c>
    </row>
    <row r="134" spans="1:15" x14ac:dyDescent="0.3">
      <c r="A134" s="33">
        <f>'Pré Implantação'!A134</f>
        <v>0</v>
      </c>
      <c r="B134" s="36" t="str">
        <f>'Pós Implantação'!C134</f>
        <v>0</v>
      </c>
      <c r="C134" s="34" t="str">
        <f>IFERROR(IF('Pré Implantação'!B134="Produção TI",AVERAGE('Pós Implantação'!D134,'Pós Implantação'!E134,'Pós Implantação'!L134,'Pós Implantação'!H134),AVERAGE('Pré Implantação'!E134,'Pré Implantação'!H134)),"")</f>
        <v/>
      </c>
      <c r="D134" s="34" t="str">
        <f>IFERROR(IF('Pós Implantação'!B134="CSC Service Desk",AVERAGE('Pós Implantação'!D134,'Pós Implantação'!L134,'Pós Implantação'!F134),AVERAGE('Pós Implantação'!F134)),"")</f>
        <v/>
      </c>
      <c r="E134" s="34" t="str">
        <f>IFERROR(IF('Pós Implantação'!B134="CSC NOC",AVERAGE('Pós Implantação'!D134,'Pós Implantação'!L134,'Pós Implantação'!G134),AVERAGE('Pós Implantação'!G134)),"")</f>
        <v/>
      </c>
      <c r="F134" s="34" t="str">
        <f>IFERROR(IF('Pós Implantação'!B134="CSE Gravadores",AVERAGE('Pós Implantação'!D134,'Pós Implantação'!L134,'Pós Implantação'!I134),AVERAGE('Pós Implantação'!I134)),"")</f>
        <v/>
      </c>
      <c r="G134" s="34" t="str">
        <f>IFERROR(IF('Pós Implantação'!B134="CSC",AVERAGE('Pós Implantação'!D134,'Pós Implantação'!L134,'Pós Implantação'!J134),AVERAGE('Pós Implantação'!J134)),"")</f>
        <v/>
      </c>
      <c r="H134" s="34" t="str">
        <f>IFERROR(IF('Pós Implantação'!B134="Operações \ Negócio",AVERAGE('Pós Implantação'!D134,'Pós Implantação'!L134,'Pós Implantação'!K134),AVERAGE('Pós Implantação'!K134)),"")</f>
        <v/>
      </c>
      <c r="I134" s="34" t="str">
        <f>IFERROR(IF('Pós Implantação'!B134="Projetos",AVERAGE('Pós Implantação'!D134,'Pós Implantação'!L134,'Pós Implantação'!M134),AVERAGE('Pós Implantação'!M134)),"")</f>
        <v/>
      </c>
      <c r="J134" s="34" t="str">
        <f>IFERROR(IF('Pós Implantação'!B134="Engenharia",AVERAGE('Pós Implantação'!D134,'Pós Implantação'!L134,'Pós Implantação'!N134),AVERAGE('Pós Implantação'!N134)),"")</f>
        <v/>
      </c>
      <c r="K134" s="34" t="str">
        <f>IFERROR(IF('Pós Implantação'!B134="URA",AVERAGE('Pós Implantação'!D134,'Pós Implantação'!L134),""),"")</f>
        <v/>
      </c>
      <c r="L134" s="34" t="str">
        <f>IFERROR(IF('Pós Implantação'!B134="CSE Microsoft",AVERAGE('Pós Implantação'!D134,'Pós Implantação'!L134),""),"")</f>
        <v/>
      </c>
      <c r="M134" s="34" t="str">
        <f>IFERROR(IF('Pós Implantação'!B134="CSE Telecom",AVERAGE('Pós Implantação'!D134,'Pós Implantação'!L134),""),"")</f>
        <v/>
      </c>
      <c r="N134" s="34" t="str">
        <f>IFERROR(IF('Pós Implantação'!B134="Site Suporte de Campo",AVERAGE('Pós Implantação'!D134,'Pós Implantação'!L134),""),"")</f>
        <v/>
      </c>
      <c r="O134" s="49" t="str">
        <f>IFERROR(IF('Pós Implantação'!B134="Infraestrutura",AVERAGE('Pós Implantação'!D134,'Pós Implantação'!L134),""),"")</f>
        <v/>
      </c>
    </row>
    <row r="135" spans="1:15" x14ac:dyDescent="0.3">
      <c r="A135" s="33">
        <f>'Pré Implantação'!A135</f>
        <v>0</v>
      </c>
      <c r="B135" s="36" t="str">
        <f>'Pós Implantação'!C135</f>
        <v>0</v>
      </c>
      <c r="C135" s="34" t="str">
        <f>IFERROR(IF('Pré Implantação'!B135="Produção TI",AVERAGE('Pós Implantação'!D135,'Pós Implantação'!E135,'Pós Implantação'!L135,'Pós Implantação'!H135),AVERAGE('Pré Implantação'!E135,'Pré Implantação'!H135)),"")</f>
        <v/>
      </c>
      <c r="D135" s="34" t="str">
        <f>IFERROR(IF('Pós Implantação'!B135="CSC Service Desk",AVERAGE('Pós Implantação'!D135,'Pós Implantação'!L135,'Pós Implantação'!F135),AVERAGE('Pós Implantação'!F135)),"")</f>
        <v/>
      </c>
      <c r="E135" s="34" t="str">
        <f>IFERROR(IF('Pós Implantação'!B135="CSC NOC",AVERAGE('Pós Implantação'!D135,'Pós Implantação'!L135,'Pós Implantação'!G135),AVERAGE('Pós Implantação'!G135)),"")</f>
        <v/>
      </c>
      <c r="F135" s="34" t="str">
        <f>IFERROR(IF('Pós Implantação'!B135="CSE Gravadores",AVERAGE('Pós Implantação'!D135,'Pós Implantação'!L135,'Pós Implantação'!I135),AVERAGE('Pós Implantação'!I135)),"")</f>
        <v/>
      </c>
      <c r="G135" s="34" t="str">
        <f>IFERROR(IF('Pós Implantação'!B135="CSC",AVERAGE('Pós Implantação'!D135,'Pós Implantação'!L135,'Pós Implantação'!J135),AVERAGE('Pós Implantação'!J135)),"")</f>
        <v/>
      </c>
      <c r="H135" s="34" t="str">
        <f>IFERROR(IF('Pós Implantação'!B135="Operações \ Negócio",AVERAGE('Pós Implantação'!D135,'Pós Implantação'!L135,'Pós Implantação'!K135),AVERAGE('Pós Implantação'!K135)),"")</f>
        <v/>
      </c>
      <c r="I135" s="34" t="str">
        <f>IFERROR(IF('Pós Implantação'!B135="Projetos",AVERAGE('Pós Implantação'!D135,'Pós Implantação'!L135,'Pós Implantação'!M135),AVERAGE('Pós Implantação'!M135)),"")</f>
        <v/>
      </c>
      <c r="J135" s="34" t="str">
        <f>IFERROR(IF('Pós Implantação'!B135="Engenharia",AVERAGE('Pós Implantação'!D135,'Pós Implantação'!L135,'Pós Implantação'!N135),AVERAGE('Pós Implantação'!N135)),"")</f>
        <v/>
      </c>
      <c r="K135" s="34" t="str">
        <f>IFERROR(IF('Pós Implantação'!B135="URA",AVERAGE('Pós Implantação'!D135,'Pós Implantação'!L135),""),"")</f>
        <v/>
      </c>
      <c r="L135" s="34" t="str">
        <f>IFERROR(IF('Pós Implantação'!B135="CSE Microsoft",AVERAGE('Pós Implantação'!D135,'Pós Implantação'!L135),""),"")</f>
        <v/>
      </c>
      <c r="M135" s="34" t="str">
        <f>IFERROR(IF('Pós Implantação'!B135="CSE Telecom",AVERAGE('Pós Implantação'!D135,'Pós Implantação'!L135),""),"")</f>
        <v/>
      </c>
      <c r="N135" s="34" t="str">
        <f>IFERROR(IF('Pós Implantação'!B135="Site Suporte de Campo",AVERAGE('Pós Implantação'!D135,'Pós Implantação'!L135),""),"")</f>
        <v/>
      </c>
      <c r="O135" s="49" t="str">
        <f>IFERROR(IF('Pós Implantação'!B135="Infraestrutura",AVERAGE('Pós Implantação'!D135,'Pós Implantação'!L135),""),"")</f>
        <v/>
      </c>
    </row>
    <row r="136" spans="1:15" x14ac:dyDescent="0.3">
      <c r="A136" s="33">
        <f>'Pré Implantação'!A136</f>
        <v>0</v>
      </c>
      <c r="B136" s="36" t="str">
        <f>'Pós Implantação'!C136</f>
        <v>0</v>
      </c>
      <c r="C136" s="34" t="str">
        <f>IFERROR(IF('Pré Implantação'!B136="Produção TI",AVERAGE('Pós Implantação'!D136,'Pós Implantação'!E136,'Pós Implantação'!L136,'Pós Implantação'!H136),AVERAGE('Pré Implantação'!E136,'Pré Implantação'!H136)),"")</f>
        <v/>
      </c>
      <c r="D136" s="34" t="str">
        <f>IFERROR(IF('Pós Implantação'!B136="CSC Service Desk",AVERAGE('Pós Implantação'!D136,'Pós Implantação'!L136,'Pós Implantação'!F136),AVERAGE('Pós Implantação'!F136)),"")</f>
        <v/>
      </c>
      <c r="E136" s="34" t="str">
        <f>IFERROR(IF('Pós Implantação'!B136="CSC NOC",AVERAGE('Pós Implantação'!D136,'Pós Implantação'!L136,'Pós Implantação'!G136),AVERAGE('Pós Implantação'!G136)),"")</f>
        <v/>
      </c>
      <c r="F136" s="34" t="str">
        <f>IFERROR(IF('Pós Implantação'!B136="CSE Gravadores",AVERAGE('Pós Implantação'!D136,'Pós Implantação'!L136,'Pós Implantação'!I136),AVERAGE('Pós Implantação'!I136)),"")</f>
        <v/>
      </c>
      <c r="G136" s="34" t="str">
        <f>IFERROR(IF('Pós Implantação'!B136="CSC",AVERAGE('Pós Implantação'!D136,'Pós Implantação'!L136,'Pós Implantação'!J136),AVERAGE('Pós Implantação'!J136)),"")</f>
        <v/>
      </c>
      <c r="H136" s="34" t="str">
        <f>IFERROR(IF('Pós Implantação'!B136="Operações \ Negócio",AVERAGE('Pós Implantação'!D136,'Pós Implantação'!L136,'Pós Implantação'!K136),AVERAGE('Pós Implantação'!K136)),"")</f>
        <v/>
      </c>
      <c r="I136" s="34" t="str">
        <f>IFERROR(IF('Pós Implantação'!B136="Projetos",AVERAGE('Pós Implantação'!D136,'Pós Implantação'!L136,'Pós Implantação'!M136),AVERAGE('Pós Implantação'!M136)),"")</f>
        <v/>
      </c>
      <c r="J136" s="34" t="str">
        <f>IFERROR(IF('Pós Implantação'!B136="Engenharia",AVERAGE('Pós Implantação'!D136,'Pós Implantação'!L136,'Pós Implantação'!N136),AVERAGE('Pós Implantação'!N136)),"")</f>
        <v/>
      </c>
      <c r="K136" s="34" t="str">
        <f>IFERROR(IF('Pós Implantação'!B136="URA",AVERAGE('Pós Implantação'!D136,'Pós Implantação'!L136),""),"")</f>
        <v/>
      </c>
      <c r="L136" s="34" t="str">
        <f>IFERROR(IF('Pós Implantação'!B136="CSE Microsoft",AVERAGE('Pós Implantação'!D136,'Pós Implantação'!L136),""),"")</f>
        <v/>
      </c>
      <c r="M136" s="34" t="str">
        <f>IFERROR(IF('Pós Implantação'!B136="CSE Telecom",AVERAGE('Pós Implantação'!D136,'Pós Implantação'!L136),""),"")</f>
        <v/>
      </c>
      <c r="N136" s="34" t="str">
        <f>IFERROR(IF('Pós Implantação'!B136="Site Suporte de Campo",AVERAGE('Pós Implantação'!D136,'Pós Implantação'!L136),""),"")</f>
        <v/>
      </c>
      <c r="O136" s="49" t="str">
        <f>IFERROR(IF('Pós Implantação'!B136="Infraestrutura",AVERAGE('Pós Implantação'!D136,'Pós Implantação'!L136),""),"")</f>
        <v/>
      </c>
    </row>
    <row r="137" spans="1:15" x14ac:dyDescent="0.3">
      <c r="A137" s="33">
        <f>'Pré Implantação'!A137</f>
        <v>0</v>
      </c>
      <c r="B137" s="36" t="str">
        <f>'Pós Implantação'!C137</f>
        <v>0</v>
      </c>
      <c r="C137" s="34" t="str">
        <f>IFERROR(IF('Pré Implantação'!B137="Produção TI",AVERAGE('Pós Implantação'!D137,'Pós Implantação'!E137,'Pós Implantação'!L137,'Pós Implantação'!H137),AVERAGE('Pré Implantação'!E137,'Pré Implantação'!H137)),"")</f>
        <v/>
      </c>
      <c r="D137" s="34" t="str">
        <f>IFERROR(IF('Pós Implantação'!B137="CSC Service Desk",AVERAGE('Pós Implantação'!D137,'Pós Implantação'!L137,'Pós Implantação'!F137),AVERAGE('Pós Implantação'!F137)),"")</f>
        <v/>
      </c>
      <c r="E137" s="34" t="str">
        <f>IFERROR(IF('Pós Implantação'!B137="CSC NOC",AVERAGE('Pós Implantação'!D137,'Pós Implantação'!L137,'Pós Implantação'!G137),AVERAGE('Pós Implantação'!G137)),"")</f>
        <v/>
      </c>
      <c r="F137" s="34" t="str">
        <f>IFERROR(IF('Pós Implantação'!B137="CSE Gravadores",AVERAGE('Pós Implantação'!D137,'Pós Implantação'!L137,'Pós Implantação'!I137),AVERAGE('Pós Implantação'!I137)),"")</f>
        <v/>
      </c>
      <c r="G137" s="34" t="str">
        <f>IFERROR(IF('Pós Implantação'!B137="CSC",AVERAGE('Pós Implantação'!D137,'Pós Implantação'!L137,'Pós Implantação'!J137),AVERAGE('Pós Implantação'!J137)),"")</f>
        <v/>
      </c>
      <c r="H137" s="34" t="str">
        <f>IFERROR(IF('Pós Implantação'!B137="Operações \ Negócio",AVERAGE('Pós Implantação'!D137,'Pós Implantação'!L137,'Pós Implantação'!K137),AVERAGE('Pós Implantação'!K137)),"")</f>
        <v/>
      </c>
      <c r="I137" s="34" t="str">
        <f>IFERROR(IF('Pós Implantação'!B137="Projetos",AVERAGE('Pós Implantação'!D137,'Pós Implantação'!L137,'Pós Implantação'!M137),AVERAGE('Pós Implantação'!M137)),"")</f>
        <v/>
      </c>
      <c r="J137" s="34" t="str">
        <f>IFERROR(IF('Pós Implantação'!B137="Engenharia",AVERAGE('Pós Implantação'!D137,'Pós Implantação'!L137,'Pós Implantação'!N137),AVERAGE('Pós Implantação'!N137)),"")</f>
        <v/>
      </c>
      <c r="K137" s="34" t="str">
        <f>IFERROR(IF('Pós Implantação'!B137="URA",AVERAGE('Pós Implantação'!D137,'Pós Implantação'!L137),""),"")</f>
        <v/>
      </c>
      <c r="L137" s="34" t="str">
        <f>IFERROR(IF('Pós Implantação'!B137="CSE Microsoft",AVERAGE('Pós Implantação'!D137,'Pós Implantação'!L137),""),"")</f>
        <v/>
      </c>
      <c r="M137" s="34" t="str">
        <f>IFERROR(IF('Pós Implantação'!B137="CSE Telecom",AVERAGE('Pós Implantação'!D137,'Pós Implantação'!L137),""),"")</f>
        <v/>
      </c>
      <c r="N137" s="34" t="str">
        <f>IFERROR(IF('Pós Implantação'!B137="Site Suporte de Campo",AVERAGE('Pós Implantação'!D137,'Pós Implantação'!L137),""),"")</f>
        <v/>
      </c>
      <c r="O137" s="49" t="str">
        <f>IFERROR(IF('Pós Implantação'!B137="Infraestrutura",AVERAGE('Pós Implantação'!D137,'Pós Implantação'!L137),""),"")</f>
        <v/>
      </c>
    </row>
    <row r="138" spans="1:15" x14ac:dyDescent="0.3">
      <c r="A138" s="33">
        <f>'Pré Implantação'!A138</f>
        <v>0</v>
      </c>
      <c r="B138" s="36" t="str">
        <f>'Pós Implantação'!C138</f>
        <v>0</v>
      </c>
      <c r="C138" s="34" t="str">
        <f>IFERROR(IF('Pré Implantação'!B138="Produção TI",AVERAGE('Pós Implantação'!D138,'Pós Implantação'!E138,'Pós Implantação'!L138,'Pós Implantação'!H138),AVERAGE('Pré Implantação'!E138,'Pré Implantação'!H138)),"")</f>
        <v/>
      </c>
      <c r="D138" s="34" t="str">
        <f>IFERROR(IF('Pós Implantação'!B138="CSC Service Desk",AVERAGE('Pós Implantação'!D138,'Pós Implantação'!L138,'Pós Implantação'!F138),AVERAGE('Pós Implantação'!F138)),"")</f>
        <v/>
      </c>
      <c r="E138" s="34" t="str">
        <f>IFERROR(IF('Pós Implantação'!B138="CSC NOC",AVERAGE('Pós Implantação'!D138,'Pós Implantação'!L138,'Pós Implantação'!G138),AVERAGE('Pós Implantação'!G138)),"")</f>
        <v/>
      </c>
      <c r="F138" s="34" t="str">
        <f>IFERROR(IF('Pós Implantação'!B138="CSE Gravadores",AVERAGE('Pós Implantação'!D138,'Pós Implantação'!L138,'Pós Implantação'!I138),AVERAGE('Pós Implantação'!I138)),"")</f>
        <v/>
      </c>
      <c r="G138" s="34" t="str">
        <f>IFERROR(IF('Pós Implantação'!B138="CSC",AVERAGE('Pós Implantação'!D138,'Pós Implantação'!L138,'Pós Implantação'!J138),AVERAGE('Pós Implantação'!J138)),"")</f>
        <v/>
      </c>
      <c r="H138" s="34" t="str">
        <f>IFERROR(IF('Pós Implantação'!B138="Operações \ Negócio",AVERAGE('Pós Implantação'!D138,'Pós Implantação'!L138,'Pós Implantação'!K138),AVERAGE('Pós Implantação'!K138)),"")</f>
        <v/>
      </c>
      <c r="I138" s="34" t="str">
        <f>IFERROR(IF('Pós Implantação'!B138="Projetos",AVERAGE('Pós Implantação'!D138,'Pós Implantação'!L138,'Pós Implantação'!M138),AVERAGE('Pós Implantação'!M138)),"")</f>
        <v/>
      </c>
      <c r="J138" s="34" t="str">
        <f>IFERROR(IF('Pós Implantação'!B138="Engenharia",AVERAGE('Pós Implantação'!D138,'Pós Implantação'!L138,'Pós Implantação'!N138),AVERAGE('Pós Implantação'!N138)),"")</f>
        <v/>
      </c>
      <c r="K138" s="34" t="str">
        <f>IFERROR(IF('Pós Implantação'!B138="URA",AVERAGE('Pós Implantação'!D138,'Pós Implantação'!L138),""),"")</f>
        <v/>
      </c>
      <c r="L138" s="34" t="str">
        <f>IFERROR(IF('Pós Implantação'!B138="CSE Microsoft",AVERAGE('Pós Implantação'!D138,'Pós Implantação'!L138),""),"")</f>
        <v/>
      </c>
      <c r="M138" s="34" t="str">
        <f>IFERROR(IF('Pós Implantação'!B138="CSE Telecom",AVERAGE('Pós Implantação'!D138,'Pós Implantação'!L138),""),"")</f>
        <v/>
      </c>
      <c r="N138" s="34" t="str">
        <f>IFERROR(IF('Pós Implantação'!B138="Site Suporte de Campo",AVERAGE('Pós Implantação'!D138,'Pós Implantação'!L138),""),"")</f>
        <v/>
      </c>
      <c r="O138" s="49" t="str">
        <f>IFERROR(IF('Pós Implantação'!B138="Infraestrutura",AVERAGE('Pós Implantação'!D138,'Pós Implantação'!L138),""),"")</f>
        <v/>
      </c>
    </row>
    <row r="139" spans="1:15" x14ac:dyDescent="0.3">
      <c r="A139" s="33">
        <f>'Pré Implantação'!A139</f>
        <v>0</v>
      </c>
      <c r="B139" s="36" t="str">
        <f>'Pós Implantação'!C139</f>
        <v>0</v>
      </c>
      <c r="C139" s="34" t="str">
        <f>IFERROR(IF('Pré Implantação'!B139="Produção TI",AVERAGE('Pós Implantação'!D139,'Pós Implantação'!E139,'Pós Implantação'!L139,'Pós Implantação'!H139),AVERAGE('Pré Implantação'!E139,'Pré Implantação'!H139)),"")</f>
        <v/>
      </c>
      <c r="D139" s="34" t="str">
        <f>IFERROR(IF('Pós Implantação'!B139="CSC Service Desk",AVERAGE('Pós Implantação'!D139,'Pós Implantação'!L139,'Pós Implantação'!F139),AVERAGE('Pós Implantação'!F139)),"")</f>
        <v/>
      </c>
      <c r="E139" s="34" t="str">
        <f>IFERROR(IF('Pós Implantação'!B139="CSC NOC",AVERAGE('Pós Implantação'!D139,'Pós Implantação'!L139,'Pós Implantação'!G139),AVERAGE('Pós Implantação'!G139)),"")</f>
        <v/>
      </c>
      <c r="F139" s="34" t="str">
        <f>IFERROR(IF('Pós Implantação'!B139="CSE Gravadores",AVERAGE('Pós Implantação'!D139,'Pós Implantação'!L139,'Pós Implantação'!I139),AVERAGE('Pós Implantação'!I139)),"")</f>
        <v/>
      </c>
      <c r="G139" s="34" t="str">
        <f>IFERROR(IF('Pós Implantação'!B139="CSC",AVERAGE('Pós Implantação'!D139,'Pós Implantação'!L139,'Pós Implantação'!J139),AVERAGE('Pós Implantação'!J139)),"")</f>
        <v/>
      </c>
      <c r="H139" s="34" t="str">
        <f>IFERROR(IF('Pós Implantação'!B139="Operações \ Negócio",AVERAGE('Pós Implantação'!D139,'Pós Implantação'!L139,'Pós Implantação'!K139),AVERAGE('Pós Implantação'!K139)),"")</f>
        <v/>
      </c>
      <c r="I139" s="34" t="str">
        <f>IFERROR(IF('Pós Implantação'!B139="Projetos",AVERAGE('Pós Implantação'!D139,'Pós Implantação'!L139,'Pós Implantação'!M139),AVERAGE('Pós Implantação'!M139)),"")</f>
        <v/>
      </c>
      <c r="J139" s="34" t="str">
        <f>IFERROR(IF('Pós Implantação'!B139="Engenharia",AVERAGE('Pós Implantação'!D139,'Pós Implantação'!L139,'Pós Implantação'!N139),AVERAGE('Pós Implantação'!N139)),"")</f>
        <v/>
      </c>
      <c r="K139" s="34" t="str">
        <f>IFERROR(IF('Pós Implantação'!B139="URA",AVERAGE('Pós Implantação'!D139,'Pós Implantação'!L139),""),"")</f>
        <v/>
      </c>
      <c r="L139" s="34" t="str">
        <f>IFERROR(IF('Pós Implantação'!B139="CSE Microsoft",AVERAGE('Pós Implantação'!D139,'Pós Implantação'!L139),""),"")</f>
        <v/>
      </c>
      <c r="M139" s="34" t="str">
        <f>IFERROR(IF('Pós Implantação'!B139="CSE Telecom",AVERAGE('Pós Implantação'!D139,'Pós Implantação'!L139),""),"")</f>
        <v/>
      </c>
      <c r="N139" s="34" t="str">
        <f>IFERROR(IF('Pós Implantação'!B139="Site Suporte de Campo",AVERAGE('Pós Implantação'!D139,'Pós Implantação'!L139),""),"")</f>
        <v/>
      </c>
      <c r="O139" s="49" t="str">
        <f>IFERROR(IF('Pós Implantação'!B139="Infraestrutura",AVERAGE('Pós Implantação'!D139,'Pós Implantação'!L139),""),"")</f>
        <v/>
      </c>
    </row>
    <row r="140" spans="1:15" x14ac:dyDescent="0.3">
      <c r="A140" s="33">
        <f>'Pré Implantação'!A140</f>
        <v>0</v>
      </c>
      <c r="B140" s="36" t="str">
        <f>'Pós Implantação'!C140</f>
        <v>0</v>
      </c>
      <c r="C140" s="34" t="str">
        <f>IFERROR(IF('Pré Implantação'!B140="Produção TI",AVERAGE('Pós Implantação'!D140,'Pós Implantação'!E140,'Pós Implantação'!L140,'Pós Implantação'!H140),AVERAGE('Pré Implantação'!E140,'Pré Implantação'!H140)),"")</f>
        <v/>
      </c>
      <c r="D140" s="34" t="str">
        <f>IFERROR(IF('Pós Implantação'!B140="CSC Service Desk",AVERAGE('Pós Implantação'!D140,'Pós Implantação'!L140,'Pós Implantação'!F140),AVERAGE('Pós Implantação'!F140)),"")</f>
        <v/>
      </c>
      <c r="E140" s="34" t="str">
        <f>IFERROR(IF('Pós Implantação'!B140="CSC NOC",AVERAGE('Pós Implantação'!D140,'Pós Implantação'!L140,'Pós Implantação'!G140),AVERAGE('Pós Implantação'!G140)),"")</f>
        <v/>
      </c>
      <c r="F140" s="34" t="str">
        <f>IFERROR(IF('Pós Implantação'!B140="CSE Gravadores",AVERAGE('Pós Implantação'!D140,'Pós Implantação'!L140,'Pós Implantação'!I140),AVERAGE('Pós Implantação'!I140)),"")</f>
        <v/>
      </c>
      <c r="G140" s="34" t="str">
        <f>IFERROR(IF('Pós Implantação'!B140="CSC",AVERAGE('Pós Implantação'!D140,'Pós Implantação'!L140,'Pós Implantação'!J140),AVERAGE('Pós Implantação'!J140)),"")</f>
        <v/>
      </c>
      <c r="H140" s="34" t="str">
        <f>IFERROR(IF('Pós Implantação'!B140="Operações \ Negócio",AVERAGE('Pós Implantação'!D140,'Pós Implantação'!L140,'Pós Implantação'!K140),AVERAGE('Pós Implantação'!K140)),"")</f>
        <v/>
      </c>
      <c r="I140" s="34" t="str">
        <f>IFERROR(IF('Pós Implantação'!B140="Projetos",AVERAGE('Pós Implantação'!D140,'Pós Implantação'!L140,'Pós Implantação'!M140),AVERAGE('Pós Implantação'!M140)),"")</f>
        <v/>
      </c>
      <c r="J140" s="34" t="str">
        <f>IFERROR(IF('Pós Implantação'!B140="Engenharia",AVERAGE('Pós Implantação'!D140,'Pós Implantação'!L140,'Pós Implantação'!N140),AVERAGE('Pós Implantação'!N140)),"")</f>
        <v/>
      </c>
      <c r="K140" s="34" t="str">
        <f>IFERROR(IF('Pós Implantação'!B140="URA",AVERAGE('Pós Implantação'!D140,'Pós Implantação'!L140),""),"")</f>
        <v/>
      </c>
      <c r="L140" s="34" t="str">
        <f>IFERROR(IF('Pós Implantação'!B140="CSE Microsoft",AVERAGE('Pós Implantação'!D140,'Pós Implantação'!L140),""),"")</f>
        <v/>
      </c>
      <c r="M140" s="34" t="str">
        <f>IFERROR(IF('Pós Implantação'!B140="CSE Telecom",AVERAGE('Pós Implantação'!D140,'Pós Implantação'!L140),""),"")</f>
        <v/>
      </c>
      <c r="N140" s="34" t="str">
        <f>IFERROR(IF('Pós Implantação'!B140="Site Suporte de Campo",AVERAGE('Pós Implantação'!D140,'Pós Implantação'!L140),""),"")</f>
        <v/>
      </c>
      <c r="O140" s="49" t="str">
        <f>IFERROR(IF('Pós Implantação'!B140="Infraestrutura",AVERAGE('Pós Implantação'!D140,'Pós Implantação'!L140),""),"")</f>
        <v/>
      </c>
    </row>
    <row r="141" spans="1:15" x14ac:dyDescent="0.3">
      <c r="A141" s="33">
        <f>'Pré Implantação'!A141</f>
        <v>0</v>
      </c>
      <c r="B141" s="36" t="str">
        <f>'Pós Implantação'!C141</f>
        <v>0</v>
      </c>
      <c r="C141" s="34" t="str">
        <f>IFERROR(IF('Pré Implantação'!B141="Produção TI",AVERAGE('Pós Implantação'!D141,'Pós Implantação'!E141,'Pós Implantação'!L141,'Pós Implantação'!H141),AVERAGE('Pré Implantação'!E141,'Pré Implantação'!H141)),"")</f>
        <v/>
      </c>
      <c r="D141" s="34" t="str">
        <f>IFERROR(IF('Pós Implantação'!B141="CSC Service Desk",AVERAGE('Pós Implantação'!D141,'Pós Implantação'!L141,'Pós Implantação'!F141),AVERAGE('Pós Implantação'!F141)),"")</f>
        <v/>
      </c>
      <c r="E141" s="34" t="str">
        <f>IFERROR(IF('Pós Implantação'!B141="CSC NOC",AVERAGE('Pós Implantação'!D141,'Pós Implantação'!L141,'Pós Implantação'!G141),AVERAGE('Pós Implantação'!G141)),"")</f>
        <v/>
      </c>
      <c r="F141" s="34" t="str">
        <f>IFERROR(IF('Pós Implantação'!B141="CSE Gravadores",AVERAGE('Pós Implantação'!D141,'Pós Implantação'!L141,'Pós Implantação'!I141),AVERAGE('Pós Implantação'!I141)),"")</f>
        <v/>
      </c>
      <c r="G141" s="34" t="str">
        <f>IFERROR(IF('Pós Implantação'!B141="CSC",AVERAGE('Pós Implantação'!D141,'Pós Implantação'!L141,'Pós Implantação'!J141),AVERAGE('Pós Implantação'!J141)),"")</f>
        <v/>
      </c>
      <c r="H141" s="34" t="str">
        <f>IFERROR(IF('Pós Implantação'!B141="Operações \ Negócio",AVERAGE('Pós Implantação'!D141,'Pós Implantação'!L141,'Pós Implantação'!K141),AVERAGE('Pós Implantação'!K141)),"")</f>
        <v/>
      </c>
      <c r="I141" s="34" t="str">
        <f>IFERROR(IF('Pós Implantação'!B141="Projetos",AVERAGE('Pós Implantação'!D141,'Pós Implantação'!L141,'Pós Implantação'!M141),AVERAGE('Pós Implantação'!M141)),"")</f>
        <v/>
      </c>
      <c r="J141" s="34" t="str">
        <f>IFERROR(IF('Pós Implantação'!B141="Engenharia",AVERAGE('Pós Implantação'!D141,'Pós Implantação'!L141,'Pós Implantação'!N141),AVERAGE('Pós Implantação'!N141)),"")</f>
        <v/>
      </c>
      <c r="K141" s="34" t="str">
        <f>IFERROR(IF('Pós Implantação'!B141="URA",AVERAGE('Pós Implantação'!D141,'Pós Implantação'!L141),""),"")</f>
        <v/>
      </c>
      <c r="L141" s="34" t="str">
        <f>IFERROR(IF('Pós Implantação'!B141="CSE Microsoft",AVERAGE('Pós Implantação'!D141,'Pós Implantação'!L141),""),"")</f>
        <v/>
      </c>
      <c r="M141" s="34" t="str">
        <f>IFERROR(IF('Pós Implantação'!B141="CSE Telecom",AVERAGE('Pós Implantação'!D141,'Pós Implantação'!L141),""),"")</f>
        <v/>
      </c>
      <c r="N141" s="34" t="str">
        <f>IFERROR(IF('Pós Implantação'!B141="Site Suporte de Campo",AVERAGE('Pós Implantação'!D141,'Pós Implantação'!L141),""),"")</f>
        <v/>
      </c>
      <c r="O141" s="49" t="str">
        <f>IFERROR(IF('Pós Implantação'!B141="Infraestrutura",AVERAGE('Pós Implantação'!D141,'Pós Implantação'!L141),""),"")</f>
        <v/>
      </c>
    </row>
    <row r="142" spans="1:15" x14ac:dyDescent="0.3">
      <c r="A142" s="33">
        <f>'Pré Implantação'!A142</f>
        <v>0</v>
      </c>
      <c r="B142" s="36" t="str">
        <f>'Pós Implantação'!C142</f>
        <v>0</v>
      </c>
      <c r="C142" s="34" t="str">
        <f>IFERROR(IF('Pré Implantação'!B142="Produção TI",AVERAGE('Pós Implantação'!D142,'Pós Implantação'!E142,'Pós Implantação'!L142,'Pós Implantação'!H142),AVERAGE('Pré Implantação'!E142,'Pré Implantação'!H142)),"")</f>
        <v/>
      </c>
      <c r="D142" s="34" t="str">
        <f>IFERROR(IF('Pós Implantação'!B142="CSC Service Desk",AVERAGE('Pós Implantação'!D142,'Pós Implantação'!L142,'Pós Implantação'!F142),AVERAGE('Pós Implantação'!F142)),"")</f>
        <v/>
      </c>
      <c r="E142" s="34" t="str">
        <f>IFERROR(IF('Pós Implantação'!B142="CSC NOC",AVERAGE('Pós Implantação'!D142,'Pós Implantação'!L142,'Pós Implantação'!G142),AVERAGE('Pós Implantação'!G142)),"")</f>
        <v/>
      </c>
      <c r="F142" s="34" t="str">
        <f>IFERROR(IF('Pós Implantação'!B142="CSE Gravadores",AVERAGE('Pós Implantação'!D142,'Pós Implantação'!L142,'Pós Implantação'!I142),AVERAGE('Pós Implantação'!I142)),"")</f>
        <v/>
      </c>
      <c r="G142" s="34" t="str">
        <f>IFERROR(IF('Pós Implantação'!B142="CSC",AVERAGE('Pós Implantação'!D142,'Pós Implantação'!L142,'Pós Implantação'!J142),AVERAGE('Pós Implantação'!J142)),"")</f>
        <v/>
      </c>
      <c r="H142" s="34" t="str">
        <f>IFERROR(IF('Pós Implantação'!B142="Operações \ Negócio",AVERAGE('Pós Implantação'!D142,'Pós Implantação'!L142,'Pós Implantação'!K142),AVERAGE('Pós Implantação'!K142)),"")</f>
        <v/>
      </c>
      <c r="I142" s="34" t="str">
        <f>IFERROR(IF('Pós Implantação'!B142="Projetos",AVERAGE('Pós Implantação'!D142,'Pós Implantação'!L142,'Pós Implantação'!M142),AVERAGE('Pós Implantação'!M142)),"")</f>
        <v/>
      </c>
      <c r="J142" s="34" t="str">
        <f>IFERROR(IF('Pós Implantação'!B142="Engenharia",AVERAGE('Pós Implantação'!D142,'Pós Implantação'!L142,'Pós Implantação'!N142),AVERAGE('Pós Implantação'!N142)),"")</f>
        <v/>
      </c>
      <c r="K142" s="34" t="str">
        <f>IFERROR(IF('Pós Implantação'!B142="URA",AVERAGE('Pós Implantação'!D142,'Pós Implantação'!L142),""),"")</f>
        <v/>
      </c>
      <c r="L142" s="34" t="str">
        <f>IFERROR(IF('Pós Implantação'!B142="CSE Microsoft",AVERAGE('Pós Implantação'!D142,'Pós Implantação'!L142),""),"")</f>
        <v/>
      </c>
      <c r="M142" s="34" t="str">
        <f>IFERROR(IF('Pós Implantação'!B142="CSE Telecom",AVERAGE('Pós Implantação'!D142,'Pós Implantação'!L142),""),"")</f>
        <v/>
      </c>
      <c r="N142" s="34" t="str">
        <f>IFERROR(IF('Pós Implantação'!B142="Site Suporte de Campo",AVERAGE('Pós Implantação'!D142,'Pós Implantação'!L142),""),"")</f>
        <v/>
      </c>
      <c r="O142" s="49" t="str">
        <f>IFERROR(IF('Pós Implantação'!B142="Infraestrutura",AVERAGE('Pós Implantação'!D142,'Pós Implantação'!L142),""),"")</f>
        <v/>
      </c>
    </row>
    <row r="143" spans="1:15" x14ac:dyDescent="0.3">
      <c r="A143" s="33">
        <f>'Pré Implantação'!A143</f>
        <v>0</v>
      </c>
      <c r="B143" s="36" t="str">
        <f>'Pós Implantação'!C143</f>
        <v>0</v>
      </c>
      <c r="C143" s="34" t="str">
        <f>IFERROR(IF('Pré Implantação'!B143="Produção TI",AVERAGE('Pós Implantação'!D143,'Pós Implantação'!E143,'Pós Implantação'!L143,'Pós Implantação'!H143),AVERAGE('Pré Implantação'!E143,'Pré Implantação'!H143)),"")</f>
        <v/>
      </c>
      <c r="D143" s="34" t="str">
        <f>IFERROR(IF('Pós Implantação'!B143="CSC Service Desk",AVERAGE('Pós Implantação'!D143,'Pós Implantação'!L143,'Pós Implantação'!F143),AVERAGE('Pós Implantação'!F143)),"")</f>
        <v/>
      </c>
      <c r="E143" s="34" t="str">
        <f>IFERROR(IF('Pós Implantação'!B143="CSC NOC",AVERAGE('Pós Implantação'!D143,'Pós Implantação'!L143,'Pós Implantação'!G143),AVERAGE('Pós Implantação'!G143)),"")</f>
        <v/>
      </c>
      <c r="F143" s="34" t="str">
        <f>IFERROR(IF('Pós Implantação'!B143="CSE Gravadores",AVERAGE('Pós Implantação'!D143,'Pós Implantação'!L143,'Pós Implantação'!I143),AVERAGE('Pós Implantação'!I143)),"")</f>
        <v/>
      </c>
      <c r="G143" s="34" t="str">
        <f>IFERROR(IF('Pós Implantação'!B143="CSC",AVERAGE('Pós Implantação'!D143,'Pós Implantação'!L143,'Pós Implantação'!J143),AVERAGE('Pós Implantação'!J143)),"")</f>
        <v/>
      </c>
      <c r="H143" s="34" t="str">
        <f>IFERROR(IF('Pós Implantação'!B143="Operações \ Negócio",AVERAGE('Pós Implantação'!D143,'Pós Implantação'!L143,'Pós Implantação'!K143),AVERAGE('Pós Implantação'!K143)),"")</f>
        <v/>
      </c>
      <c r="I143" s="34" t="str">
        <f>IFERROR(IF('Pós Implantação'!B143="Projetos",AVERAGE('Pós Implantação'!D143,'Pós Implantação'!L143,'Pós Implantação'!M143),AVERAGE('Pós Implantação'!M143)),"")</f>
        <v/>
      </c>
      <c r="J143" s="34" t="str">
        <f>IFERROR(IF('Pós Implantação'!B143="Engenharia",AVERAGE('Pós Implantação'!D143,'Pós Implantação'!L143,'Pós Implantação'!N143),AVERAGE('Pós Implantação'!N143)),"")</f>
        <v/>
      </c>
      <c r="K143" s="34" t="str">
        <f>IFERROR(IF('Pós Implantação'!B143="URA",AVERAGE('Pós Implantação'!D143,'Pós Implantação'!L143),""),"")</f>
        <v/>
      </c>
      <c r="L143" s="34" t="str">
        <f>IFERROR(IF('Pós Implantação'!B143="CSE Microsoft",AVERAGE('Pós Implantação'!D143,'Pós Implantação'!L143),""),"")</f>
        <v/>
      </c>
      <c r="M143" s="34" t="str">
        <f>IFERROR(IF('Pós Implantação'!B143="CSE Telecom",AVERAGE('Pós Implantação'!D143,'Pós Implantação'!L143),""),"")</f>
        <v/>
      </c>
      <c r="N143" s="34" t="str">
        <f>IFERROR(IF('Pós Implantação'!B143="Site Suporte de Campo",AVERAGE('Pós Implantação'!D143,'Pós Implantação'!L143),""),"")</f>
        <v/>
      </c>
      <c r="O143" s="49" t="str">
        <f>IFERROR(IF('Pós Implantação'!B143="Infraestrutura",AVERAGE('Pós Implantação'!D143,'Pós Implantação'!L143),""),"")</f>
        <v/>
      </c>
    </row>
    <row r="144" spans="1:15" x14ac:dyDescent="0.3">
      <c r="A144" s="33">
        <f>'Pré Implantação'!A144</f>
        <v>0</v>
      </c>
      <c r="B144" s="36" t="str">
        <f>'Pós Implantação'!C144</f>
        <v>0</v>
      </c>
      <c r="C144" s="34" t="str">
        <f>IFERROR(IF('Pré Implantação'!B144="Produção TI",AVERAGE('Pós Implantação'!D144,'Pós Implantação'!E144,'Pós Implantação'!L144,'Pós Implantação'!H144),AVERAGE('Pré Implantação'!E144,'Pré Implantação'!H144)),"")</f>
        <v/>
      </c>
      <c r="D144" s="34" t="str">
        <f>IFERROR(IF('Pós Implantação'!B144="CSC Service Desk",AVERAGE('Pós Implantação'!D144,'Pós Implantação'!L144,'Pós Implantação'!F144),AVERAGE('Pós Implantação'!F144)),"")</f>
        <v/>
      </c>
      <c r="E144" s="34" t="str">
        <f>IFERROR(IF('Pós Implantação'!B144="CSC NOC",AVERAGE('Pós Implantação'!D144,'Pós Implantação'!L144,'Pós Implantação'!G144),AVERAGE('Pós Implantação'!G144)),"")</f>
        <v/>
      </c>
      <c r="F144" s="34" t="str">
        <f>IFERROR(IF('Pós Implantação'!B144="CSE Gravadores",AVERAGE('Pós Implantação'!D144,'Pós Implantação'!L144,'Pós Implantação'!I144),AVERAGE('Pós Implantação'!I144)),"")</f>
        <v/>
      </c>
      <c r="G144" s="34" t="str">
        <f>IFERROR(IF('Pós Implantação'!B144="CSC",AVERAGE('Pós Implantação'!D144,'Pós Implantação'!L144,'Pós Implantação'!J144),AVERAGE('Pós Implantação'!J144)),"")</f>
        <v/>
      </c>
      <c r="H144" s="34" t="str">
        <f>IFERROR(IF('Pós Implantação'!B144="Operações \ Negócio",AVERAGE('Pós Implantação'!D144,'Pós Implantação'!L144,'Pós Implantação'!K144),AVERAGE('Pós Implantação'!K144)),"")</f>
        <v/>
      </c>
      <c r="I144" s="34" t="str">
        <f>IFERROR(IF('Pós Implantação'!B144="Projetos",AVERAGE('Pós Implantação'!D144,'Pós Implantação'!L144,'Pós Implantação'!M144),AVERAGE('Pós Implantação'!M144)),"")</f>
        <v/>
      </c>
      <c r="J144" s="34" t="str">
        <f>IFERROR(IF('Pós Implantação'!B144="Engenharia",AVERAGE('Pós Implantação'!D144,'Pós Implantação'!L144,'Pós Implantação'!N144),AVERAGE('Pós Implantação'!N144)),"")</f>
        <v/>
      </c>
      <c r="K144" s="34" t="str">
        <f>IFERROR(IF('Pós Implantação'!B144="URA",AVERAGE('Pós Implantação'!D144,'Pós Implantação'!L144),""),"")</f>
        <v/>
      </c>
      <c r="L144" s="34" t="str">
        <f>IFERROR(IF('Pós Implantação'!B144="CSE Microsoft",AVERAGE('Pós Implantação'!D144,'Pós Implantação'!L144),""),"")</f>
        <v/>
      </c>
      <c r="M144" s="34" t="str">
        <f>IFERROR(IF('Pós Implantação'!B144="CSE Telecom",AVERAGE('Pós Implantação'!D144,'Pós Implantação'!L144),""),"")</f>
        <v/>
      </c>
      <c r="N144" s="34" t="str">
        <f>IFERROR(IF('Pós Implantação'!B144="Site Suporte de Campo",AVERAGE('Pós Implantação'!D144,'Pós Implantação'!L144),""),"")</f>
        <v/>
      </c>
      <c r="O144" s="49" t="str">
        <f>IFERROR(IF('Pós Implantação'!B144="Infraestrutura",AVERAGE('Pós Implantação'!D144,'Pós Implantação'!L144),""),"")</f>
        <v/>
      </c>
    </row>
    <row r="145" spans="1:15" x14ac:dyDescent="0.3">
      <c r="A145" s="33">
        <f>'Pré Implantação'!A145</f>
        <v>0</v>
      </c>
      <c r="B145" s="36" t="str">
        <f>'Pós Implantação'!C145</f>
        <v>0</v>
      </c>
      <c r="C145" s="34" t="str">
        <f>IFERROR(IF('Pré Implantação'!B145="Produção TI",AVERAGE('Pós Implantação'!D145,'Pós Implantação'!E145,'Pós Implantação'!L145,'Pós Implantação'!H145),AVERAGE('Pré Implantação'!E145,'Pré Implantação'!H145)),"")</f>
        <v/>
      </c>
      <c r="D145" s="34" t="str">
        <f>IFERROR(IF('Pós Implantação'!B145="CSC Service Desk",AVERAGE('Pós Implantação'!D145,'Pós Implantação'!L145,'Pós Implantação'!F145),AVERAGE('Pós Implantação'!F145)),"")</f>
        <v/>
      </c>
      <c r="E145" s="34" t="str">
        <f>IFERROR(IF('Pós Implantação'!B145="CSC NOC",AVERAGE('Pós Implantação'!D145,'Pós Implantação'!L145,'Pós Implantação'!G145),AVERAGE('Pós Implantação'!G145)),"")</f>
        <v/>
      </c>
      <c r="F145" s="34" t="str">
        <f>IFERROR(IF('Pós Implantação'!B145="CSE Gravadores",AVERAGE('Pós Implantação'!D145,'Pós Implantação'!L145,'Pós Implantação'!I145),AVERAGE('Pós Implantação'!I145)),"")</f>
        <v/>
      </c>
      <c r="G145" s="34" t="str">
        <f>IFERROR(IF('Pós Implantação'!B145="CSC",AVERAGE('Pós Implantação'!D145,'Pós Implantação'!L145,'Pós Implantação'!J145),AVERAGE('Pós Implantação'!J145)),"")</f>
        <v/>
      </c>
      <c r="H145" s="34" t="str">
        <f>IFERROR(IF('Pós Implantação'!B145="Operações \ Negócio",AVERAGE('Pós Implantação'!D145,'Pós Implantação'!L145,'Pós Implantação'!K145),AVERAGE('Pós Implantação'!K145)),"")</f>
        <v/>
      </c>
      <c r="I145" s="34" t="str">
        <f>IFERROR(IF('Pós Implantação'!B145="Projetos",AVERAGE('Pós Implantação'!D145,'Pós Implantação'!L145,'Pós Implantação'!M145),AVERAGE('Pós Implantação'!M145)),"")</f>
        <v/>
      </c>
      <c r="J145" s="34" t="str">
        <f>IFERROR(IF('Pós Implantação'!B145="Engenharia",AVERAGE('Pós Implantação'!D145,'Pós Implantação'!L145,'Pós Implantação'!N145),AVERAGE('Pós Implantação'!N145)),"")</f>
        <v/>
      </c>
      <c r="K145" s="34" t="str">
        <f>IFERROR(IF('Pós Implantação'!B145="URA",AVERAGE('Pós Implantação'!D145,'Pós Implantação'!L145),""),"")</f>
        <v/>
      </c>
      <c r="L145" s="34" t="str">
        <f>IFERROR(IF('Pós Implantação'!B145="CSE Microsoft",AVERAGE('Pós Implantação'!D145,'Pós Implantação'!L145),""),"")</f>
        <v/>
      </c>
      <c r="M145" s="34" t="str">
        <f>IFERROR(IF('Pós Implantação'!B145="CSE Telecom",AVERAGE('Pós Implantação'!D145,'Pós Implantação'!L145),""),"")</f>
        <v/>
      </c>
      <c r="N145" s="34" t="str">
        <f>IFERROR(IF('Pós Implantação'!B145="Site Suporte de Campo",AVERAGE('Pós Implantação'!D145,'Pós Implantação'!L145),""),"")</f>
        <v/>
      </c>
      <c r="O145" s="49" t="str">
        <f>IFERROR(IF('Pós Implantação'!B145="Infraestrutura",AVERAGE('Pós Implantação'!D145,'Pós Implantação'!L145),""),"")</f>
        <v/>
      </c>
    </row>
    <row r="146" spans="1:15" x14ac:dyDescent="0.3">
      <c r="A146" s="33">
        <f>'Pré Implantação'!A146</f>
        <v>0</v>
      </c>
      <c r="B146" s="36" t="str">
        <f>'Pós Implantação'!C146</f>
        <v>0</v>
      </c>
      <c r="C146" s="34" t="str">
        <f>IFERROR(IF('Pré Implantação'!B146="Produção TI",AVERAGE('Pós Implantação'!D146,'Pós Implantação'!E146,'Pós Implantação'!L146,'Pós Implantação'!H146),AVERAGE('Pré Implantação'!E146,'Pré Implantação'!H146)),"")</f>
        <v/>
      </c>
      <c r="D146" s="34" t="str">
        <f>IFERROR(IF('Pós Implantação'!B146="CSC Service Desk",AVERAGE('Pós Implantação'!D146,'Pós Implantação'!L146,'Pós Implantação'!F146),AVERAGE('Pós Implantação'!F146)),"")</f>
        <v/>
      </c>
      <c r="E146" s="34" t="str">
        <f>IFERROR(IF('Pós Implantação'!B146="CSC NOC",AVERAGE('Pós Implantação'!D146,'Pós Implantação'!L146,'Pós Implantação'!G146),AVERAGE('Pós Implantação'!G146)),"")</f>
        <v/>
      </c>
      <c r="F146" s="34" t="str">
        <f>IFERROR(IF('Pós Implantação'!B146="CSE Gravadores",AVERAGE('Pós Implantação'!D146,'Pós Implantação'!L146,'Pós Implantação'!I146),AVERAGE('Pós Implantação'!I146)),"")</f>
        <v/>
      </c>
      <c r="G146" s="34" t="str">
        <f>IFERROR(IF('Pós Implantação'!B146="CSC",AVERAGE('Pós Implantação'!D146,'Pós Implantação'!L146,'Pós Implantação'!J146),AVERAGE('Pós Implantação'!J146)),"")</f>
        <v/>
      </c>
      <c r="H146" s="34" t="str">
        <f>IFERROR(IF('Pós Implantação'!B146="Operações \ Negócio",AVERAGE('Pós Implantação'!D146,'Pós Implantação'!L146,'Pós Implantação'!K146),AVERAGE('Pós Implantação'!K146)),"")</f>
        <v/>
      </c>
      <c r="I146" s="34" t="str">
        <f>IFERROR(IF('Pós Implantação'!B146="Projetos",AVERAGE('Pós Implantação'!D146,'Pós Implantação'!L146,'Pós Implantação'!M146),AVERAGE('Pós Implantação'!M146)),"")</f>
        <v/>
      </c>
      <c r="J146" s="34" t="str">
        <f>IFERROR(IF('Pós Implantação'!B146="Engenharia",AVERAGE('Pós Implantação'!D146,'Pós Implantação'!L146,'Pós Implantação'!N146),AVERAGE('Pós Implantação'!N146)),"")</f>
        <v/>
      </c>
      <c r="K146" s="34" t="str">
        <f>IFERROR(IF('Pós Implantação'!B146="URA",AVERAGE('Pós Implantação'!D146,'Pós Implantação'!L146),""),"")</f>
        <v/>
      </c>
      <c r="L146" s="34" t="str">
        <f>IFERROR(IF('Pós Implantação'!B146="CSE Microsoft",AVERAGE('Pós Implantação'!D146,'Pós Implantação'!L146),""),"")</f>
        <v/>
      </c>
      <c r="M146" s="34" t="str">
        <f>IFERROR(IF('Pós Implantação'!B146="CSE Telecom",AVERAGE('Pós Implantação'!D146,'Pós Implantação'!L146),""),"")</f>
        <v/>
      </c>
      <c r="N146" s="34" t="str">
        <f>IFERROR(IF('Pós Implantação'!B146="Site Suporte de Campo",AVERAGE('Pós Implantação'!D146,'Pós Implantação'!L146),""),"")</f>
        <v/>
      </c>
      <c r="O146" s="49" t="str">
        <f>IFERROR(IF('Pós Implantação'!B146="Infraestrutura",AVERAGE('Pós Implantação'!D146,'Pós Implantação'!L146),""),"")</f>
        <v/>
      </c>
    </row>
    <row r="147" spans="1:15" x14ac:dyDescent="0.3">
      <c r="A147" s="33">
        <f>'Pré Implantação'!A147</f>
        <v>0</v>
      </c>
      <c r="B147" s="36" t="str">
        <f>'Pós Implantação'!C147</f>
        <v>0</v>
      </c>
      <c r="C147" s="34" t="str">
        <f>IFERROR(IF('Pré Implantação'!B147="Produção TI",AVERAGE('Pós Implantação'!D147,'Pós Implantação'!E147,'Pós Implantação'!L147,'Pós Implantação'!H147),AVERAGE('Pré Implantação'!E147,'Pré Implantação'!H147)),"")</f>
        <v/>
      </c>
      <c r="D147" s="34" t="str">
        <f>IFERROR(IF('Pós Implantação'!B147="CSC Service Desk",AVERAGE('Pós Implantação'!D147,'Pós Implantação'!L147,'Pós Implantação'!F147),AVERAGE('Pós Implantação'!F147)),"")</f>
        <v/>
      </c>
      <c r="E147" s="34" t="str">
        <f>IFERROR(IF('Pós Implantação'!B147="CSC NOC",AVERAGE('Pós Implantação'!D147,'Pós Implantação'!L147,'Pós Implantação'!G147),AVERAGE('Pós Implantação'!G147)),"")</f>
        <v/>
      </c>
      <c r="F147" s="34" t="str">
        <f>IFERROR(IF('Pós Implantação'!B147="CSE Gravadores",AVERAGE('Pós Implantação'!D147,'Pós Implantação'!L147,'Pós Implantação'!I147),AVERAGE('Pós Implantação'!I147)),"")</f>
        <v/>
      </c>
      <c r="G147" s="34" t="str">
        <f>IFERROR(IF('Pós Implantação'!B147="CSC",AVERAGE('Pós Implantação'!D147,'Pós Implantação'!L147,'Pós Implantação'!J147),AVERAGE('Pós Implantação'!J147)),"")</f>
        <v/>
      </c>
      <c r="H147" s="34" t="str">
        <f>IFERROR(IF('Pós Implantação'!B147="Operações \ Negócio",AVERAGE('Pós Implantação'!D147,'Pós Implantação'!L147,'Pós Implantação'!K147),AVERAGE('Pós Implantação'!K147)),"")</f>
        <v/>
      </c>
      <c r="I147" s="34" t="str">
        <f>IFERROR(IF('Pós Implantação'!B147="Projetos",AVERAGE('Pós Implantação'!D147,'Pós Implantação'!L147,'Pós Implantação'!M147),AVERAGE('Pós Implantação'!M147)),"")</f>
        <v/>
      </c>
      <c r="J147" s="34" t="str">
        <f>IFERROR(IF('Pós Implantação'!B147="Engenharia",AVERAGE('Pós Implantação'!D147,'Pós Implantação'!L147,'Pós Implantação'!N147),AVERAGE('Pós Implantação'!N147)),"")</f>
        <v/>
      </c>
      <c r="K147" s="34" t="str">
        <f>IFERROR(IF('Pós Implantação'!B147="URA",AVERAGE('Pós Implantação'!D147,'Pós Implantação'!L147),""),"")</f>
        <v/>
      </c>
      <c r="L147" s="34" t="str">
        <f>IFERROR(IF('Pós Implantação'!B147="CSE Microsoft",AVERAGE('Pós Implantação'!D147,'Pós Implantação'!L147),""),"")</f>
        <v/>
      </c>
      <c r="M147" s="34" t="str">
        <f>IFERROR(IF('Pós Implantação'!B147="CSE Telecom",AVERAGE('Pós Implantação'!D147,'Pós Implantação'!L147),""),"")</f>
        <v/>
      </c>
      <c r="N147" s="34" t="str">
        <f>IFERROR(IF('Pós Implantação'!B147="Site Suporte de Campo",AVERAGE('Pós Implantação'!D147,'Pós Implantação'!L147),""),"")</f>
        <v/>
      </c>
      <c r="O147" s="49" t="str">
        <f>IFERROR(IF('Pós Implantação'!B147="Infraestrutura",AVERAGE('Pós Implantação'!D147,'Pós Implantação'!L147),""),"")</f>
        <v/>
      </c>
    </row>
    <row r="148" spans="1:15" x14ac:dyDescent="0.3">
      <c r="A148" s="33">
        <f>'Pré Implantação'!A148</f>
        <v>0</v>
      </c>
      <c r="B148" s="36" t="str">
        <f>'Pós Implantação'!C148</f>
        <v>0</v>
      </c>
      <c r="C148" s="34" t="str">
        <f>IFERROR(IF('Pré Implantação'!B148="Produção TI",AVERAGE('Pós Implantação'!D148,'Pós Implantação'!E148,'Pós Implantação'!L148,'Pós Implantação'!H148),AVERAGE('Pré Implantação'!E148,'Pré Implantação'!H148)),"")</f>
        <v/>
      </c>
      <c r="D148" s="34" t="str">
        <f>IFERROR(IF('Pós Implantação'!B148="CSC Service Desk",AVERAGE('Pós Implantação'!D148,'Pós Implantação'!L148,'Pós Implantação'!F148),AVERAGE('Pós Implantação'!F148)),"")</f>
        <v/>
      </c>
      <c r="E148" s="34" t="str">
        <f>IFERROR(IF('Pós Implantação'!B148="CSC NOC",AVERAGE('Pós Implantação'!D148,'Pós Implantação'!L148,'Pós Implantação'!G148),AVERAGE('Pós Implantação'!G148)),"")</f>
        <v/>
      </c>
      <c r="F148" s="34" t="str">
        <f>IFERROR(IF('Pós Implantação'!B148="CSE Gravadores",AVERAGE('Pós Implantação'!D148,'Pós Implantação'!L148,'Pós Implantação'!I148),AVERAGE('Pós Implantação'!I148)),"")</f>
        <v/>
      </c>
      <c r="G148" s="34" t="str">
        <f>IFERROR(IF('Pós Implantação'!B148="CSC",AVERAGE('Pós Implantação'!D148,'Pós Implantação'!L148,'Pós Implantação'!J148),AVERAGE('Pós Implantação'!J148)),"")</f>
        <v/>
      </c>
      <c r="H148" s="34" t="str">
        <f>IFERROR(IF('Pós Implantação'!B148="Operações \ Negócio",AVERAGE('Pós Implantação'!D148,'Pós Implantação'!L148,'Pós Implantação'!K148),AVERAGE('Pós Implantação'!K148)),"")</f>
        <v/>
      </c>
      <c r="I148" s="34" t="str">
        <f>IFERROR(IF('Pós Implantação'!B148="Projetos",AVERAGE('Pós Implantação'!D148,'Pós Implantação'!L148,'Pós Implantação'!M148),AVERAGE('Pós Implantação'!M148)),"")</f>
        <v/>
      </c>
      <c r="J148" s="34" t="str">
        <f>IFERROR(IF('Pós Implantação'!B148="Engenharia",AVERAGE('Pós Implantação'!D148,'Pós Implantação'!L148,'Pós Implantação'!N148),AVERAGE('Pós Implantação'!N148)),"")</f>
        <v/>
      </c>
      <c r="K148" s="34" t="str">
        <f>IFERROR(IF('Pós Implantação'!B148="URA",AVERAGE('Pós Implantação'!D148,'Pós Implantação'!L148),""),"")</f>
        <v/>
      </c>
      <c r="L148" s="34" t="str">
        <f>IFERROR(IF('Pós Implantação'!B148="CSE Microsoft",AVERAGE('Pós Implantação'!D148,'Pós Implantação'!L148),""),"")</f>
        <v/>
      </c>
      <c r="M148" s="34" t="str">
        <f>IFERROR(IF('Pós Implantação'!B148="CSE Telecom",AVERAGE('Pós Implantação'!D148,'Pós Implantação'!L148),""),"")</f>
        <v/>
      </c>
      <c r="N148" s="34" t="str">
        <f>IFERROR(IF('Pós Implantação'!B148="Site Suporte de Campo",AVERAGE('Pós Implantação'!D148,'Pós Implantação'!L148),""),"")</f>
        <v/>
      </c>
      <c r="O148" s="49" t="str">
        <f>IFERROR(IF('Pós Implantação'!B148="Infraestrutura",AVERAGE('Pós Implantação'!D148,'Pós Implantação'!L148),""),"")</f>
        <v/>
      </c>
    </row>
    <row r="149" spans="1:15" x14ac:dyDescent="0.3">
      <c r="A149" s="33">
        <f>'Pré Implantação'!A149</f>
        <v>0</v>
      </c>
      <c r="B149" s="36" t="str">
        <f>'Pós Implantação'!C149</f>
        <v>0</v>
      </c>
      <c r="C149" s="34" t="str">
        <f>IFERROR(IF('Pré Implantação'!B149="Produção TI",AVERAGE('Pós Implantação'!D149,'Pós Implantação'!E149,'Pós Implantação'!L149,'Pós Implantação'!H149),AVERAGE('Pré Implantação'!E149,'Pré Implantação'!H149)),"")</f>
        <v/>
      </c>
      <c r="D149" s="34" t="str">
        <f>IFERROR(IF('Pós Implantação'!B149="CSC Service Desk",AVERAGE('Pós Implantação'!D149,'Pós Implantação'!L149,'Pós Implantação'!F149),AVERAGE('Pós Implantação'!F149)),"")</f>
        <v/>
      </c>
      <c r="E149" s="34" t="str">
        <f>IFERROR(IF('Pós Implantação'!B149="CSC NOC",AVERAGE('Pós Implantação'!D149,'Pós Implantação'!L149,'Pós Implantação'!G149),AVERAGE('Pós Implantação'!G149)),"")</f>
        <v/>
      </c>
      <c r="F149" s="34" t="str">
        <f>IFERROR(IF('Pós Implantação'!B149="CSE Gravadores",AVERAGE('Pós Implantação'!D149,'Pós Implantação'!L149,'Pós Implantação'!I149),AVERAGE('Pós Implantação'!I149)),"")</f>
        <v/>
      </c>
      <c r="G149" s="34" t="str">
        <f>IFERROR(IF('Pós Implantação'!B149="CSC",AVERAGE('Pós Implantação'!D149,'Pós Implantação'!L149,'Pós Implantação'!J149),AVERAGE('Pós Implantação'!J149)),"")</f>
        <v/>
      </c>
      <c r="H149" s="34" t="str">
        <f>IFERROR(IF('Pós Implantação'!B149="Operações \ Negócio",AVERAGE('Pós Implantação'!D149,'Pós Implantação'!L149,'Pós Implantação'!K149),AVERAGE('Pós Implantação'!K149)),"")</f>
        <v/>
      </c>
      <c r="I149" s="34" t="str">
        <f>IFERROR(IF('Pós Implantação'!B149="Projetos",AVERAGE('Pós Implantação'!D149,'Pós Implantação'!L149,'Pós Implantação'!M149),AVERAGE('Pós Implantação'!M149)),"")</f>
        <v/>
      </c>
      <c r="J149" s="34" t="str">
        <f>IFERROR(IF('Pós Implantação'!B149="Engenharia",AVERAGE('Pós Implantação'!D149,'Pós Implantação'!L149,'Pós Implantação'!N149),AVERAGE('Pós Implantação'!N149)),"")</f>
        <v/>
      </c>
      <c r="K149" s="34" t="str">
        <f>IFERROR(IF('Pós Implantação'!B149="URA",AVERAGE('Pós Implantação'!D149,'Pós Implantação'!L149),""),"")</f>
        <v/>
      </c>
      <c r="L149" s="34" t="str">
        <f>IFERROR(IF('Pós Implantação'!B149="CSE Microsoft",AVERAGE('Pós Implantação'!D149,'Pós Implantação'!L149),""),"")</f>
        <v/>
      </c>
      <c r="M149" s="34" t="str">
        <f>IFERROR(IF('Pós Implantação'!B149="CSE Telecom",AVERAGE('Pós Implantação'!D149,'Pós Implantação'!L149),""),"")</f>
        <v/>
      </c>
      <c r="N149" s="34" t="str">
        <f>IFERROR(IF('Pós Implantação'!B149="Site Suporte de Campo",AVERAGE('Pós Implantação'!D149,'Pós Implantação'!L149),""),"")</f>
        <v/>
      </c>
      <c r="O149" s="49" t="str">
        <f>IFERROR(IF('Pós Implantação'!B149="Infraestrutura",AVERAGE('Pós Implantação'!D149,'Pós Implantação'!L149),""),"")</f>
        <v/>
      </c>
    </row>
    <row r="150" spans="1:15" x14ac:dyDescent="0.3">
      <c r="A150" s="33">
        <f>'Pré Implantação'!A150</f>
        <v>0</v>
      </c>
      <c r="B150" s="36" t="str">
        <f>'Pós Implantação'!C150</f>
        <v>0</v>
      </c>
      <c r="C150" s="34" t="str">
        <f>IFERROR(IF('Pré Implantação'!B150="Produção TI",AVERAGE('Pós Implantação'!D150,'Pós Implantação'!E150,'Pós Implantação'!L150,'Pós Implantação'!H150),AVERAGE('Pré Implantação'!E150,'Pré Implantação'!H150)),"")</f>
        <v/>
      </c>
      <c r="D150" s="34" t="str">
        <f>IFERROR(IF('Pós Implantação'!B150="CSC Service Desk",AVERAGE('Pós Implantação'!D150,'Pós Implantação'!L150,'Pós Implantação'!F150),AVERAGE('Pós Implantação'!F150)),"")</f>
        <v/>
      </c>
      <c r="E150" s="34" t="str">
        <f>IFERROR(IF('Pós Implantação'!B150="CSC NOC",AVERAGE('Pós Implantação'!D150,'Pós Implantação'!L150,'Pós Implantação'!G150),AVERAGE('Pós Implantação'!G150)),"")</f>
        <v/>
      </c>
      <c r="F150" s="34" t="str">
        <f>IFERROR(IF('Pós Implantação'!B150="CSE Gravadores",AVERAGE('Pós Implantação'!D150,'Pós Implantação'!L150,'Pós Implantação'!I150),AVERAGE('Pós Implantação'!I150)),"")</f>
        <v/>
      </c>
      <c r="G150" s="34" t="str">
        <f>IFERROR(IF('Pós Implantação'!B150="CSC",AVERAGE('Pós Implantação'!D150,'Pós Implantação'!L150,'Pós Implantação'!J150),AVERAGE('Pós Implantação'!J150)),"")</f>
        <v/>
      </c>
      <c r="H150" s="34" t="str">
        <f>IFERROR(IF('Pós Implantação'!B150="Operações \ Negócio",AVERAGE('Pós Implantação'!D150,'Pós Implantação'!L150,'Pós Implantação'!K150),AVERAGE('Pós Implantação'!K150)),"")</f>
        <v/>
      </c>
      <c r="I150" s="34" t="str">
        <f>IFERROR(IF('Pós Implantação'!B150="Projetos",AVERAGE('Pós Implantação'!D150,'Pós Implantação'!L150,'Pós Implantação'!M150),AVERAGE('Pós Implantação'!M150)),"")</f>
        <v/>
      </c>
      <c r="J150" s="34" t="str">
        <f>IFERROR(IF('Pós Implantação'!B150="Engenharia",AVERAGE('Pós Implantação'!D150,'Pós Implantação'!L150,'Pós Implantação'!N150),AVERAGE('Pós Implantação'!N150)),"")</f>
        <v/>
      </c>
      <c r="K150" s="34" t="str">
        <f>IFERROR(IF('Pós Implantação'!B150="URA",AVERAGE('Pós Implantação'!D150,'Pós Implantação'!L150),""),"")</f>
        <v/>
      </c>
      <c r="L150" s="34" t="str">
        <f>IFERROR(IF('Pós Implantação'!B150="CSE Microsoft",AVERAGE('Pós Implantação'!D150,'Pós Implantação'!L150),""),"")</f>
        <v/>
      </c>
      <c r="M150" s="34" t="str">
        <f>IFERROR(IF('Pós Implantação'!B150="CSE Telecom",AVERAGE('Pós Implantação'!D150,'Pós Implantação'!L150),""),"")</f>
        <v/>
      </c>
      <c r="N150" s="34" t="str">
        <f>IFERROR(IF('Pós Implantação'!B150="Site Suporte de Campo",AVERAGE('Pós Implantação'!D150,'Pós Implantação'!L150),""),"")</f>
        <v/>
      </c>
      <c r="O150" s="49" t="str">
        <f>IFERROR(IF('Pós Implantação'!B150="Infraestrutura",AVERAGE('Pós Implantação'!D150,'Pós Implantação'!L150),""),"")</f>
        <v/>
      </c>
    </row>
    <row r="151" spans="1:15" x14ac:dyDescent="0.3">
      <c r="A151" s="33">
        <f>'Pré Implantação'!A151</f>
        <v>0</v>
      </c>
      <c r="B151" s="36" t="str">
        <f>'Pós Implantação'!C151</f>
        <v>0</v>
      </c>
      <c r="C151" s="34" t="str">
        <f>IFERROR(IF('Pré Implantação'!B151="Produção TI",AVERAGE('Pós Implantação'!D151,'Pós Implantação'!E151,'Pós Implantação'!L151,'Pós Implantação'!H151),AVERAGE('Pré Implantação'!E151,'Pré Implantação'!H151)),"")</f>
        <v/>
      </c>
      <c r="D151" s="34" t="str">
        <f>IFERROR(IF('Pós Implantação'!B151="CSC Service Desk",AVERAGE('Pós Implantação'!D151,'Pós Implantação'!L151,'Pós Implantação'!F151),AVERAGE('Pós Implantação'!F151)),"")</f>
        <v/>
      </c>
      <c r="E151" s="34" t="str">
        <f>IFERROR(IF('Pós Implantação'!B151="CSC NOC",AVERAGE('Pós Implantação'!D151,'Pós Implantação'!L151,'Pós Implantação'!G151),AVERAGE('Pós Implantação'!G151)),"")</f>
        <v/>
      </c>
      <c r="F151" s="34" t="str">
        <f>IFERROR(IF('Pós Implantação'!B151="CSE Gravadores",AVERAGE('Pós Implantação'!D151,'Pós Implantação'!L151,'Pós Implantação'!I151),AVERAGE('Pós Implantação'!I151)),"")</f>
        <v/>
      </c>
      <c r="G151" s="34" t="str">
        <f>IFERROR(IF('Pós Implantação'!B151="CSC",AVERAGE('Pós Implantação'!D151,'Pós Implantação'!L151,'Pós Implantação'!J151),AVERAGE('Pós Implantação'!J151)),"")</f>
        <v/>
      </c>
      <c r="H151" s="34" t="str">
        <f>IFERROR(IF('Pós Implantação'!B151="Operações \ Negócio",AVERAGE('Pós Implantação'!D151,'Pós Implantação'!L151,'Pós Implantação'!K151),AVERAGE('Pós Implantação'!K151)),"")</f>
        <v/>
      </c>
      <c r="I151" s="34" t="str">
        <f>IFERROR(IF('Pós Implantação'!B151="Projetos",AVERAGE('Pós Implantação'!D151,'Pós Implantação'!L151,'Pós Implantação'!M151),AVERAGE('Pós Implantação'!M151)),"")</f>
        <v/>
      </c>
      <c r="J151" s="34" t="str">
        <f>IFERROR(IF('Pós Implantação'!B151="Engenharia",AVERAGE('Pós Implantação'!D151,'Pós Implantação'!L151,'Pós Implantação'!N151),AVERAGE('Pós Implantação'!N151)),"")</f>
        <v/>
      </c>
      <c r="K151" s="34" t="str">
        <f>IFERROR(IF('Pós Implantação'!B151="URA",AVERAGE('Pós Implantação'!D151,'Pós Implantação'!L151),""),"")</f>
        <v/>
      </c>
      <c r="L151" s="34" t="str">
        <f>IFERROR(IF('Pós Implantação'!B151="CSE Microsoft",AVERAGE('Pós Implantação'!D151,'Pós Implantação'!L151),""),"")</f>
        <v/>
      </c>
      <c r="M151" s="34" t="str">
        <f>IFERROR(IF('Pós Implantação'!B151="CSE Telecom",AVERAGE('Pós Implantação'!D151,'Pós Implantação'!L151),""),"")</f>
        <v/>
      </c>
      <c r="N151" s="34" t="str">
        <f>IFERROR(IF('Pós Implantação'!B151="Site Suporte de Campo",AVERAGE('Pós Implantação'!D151,'Pós Implantação'!L151),""),"")</f>
        <v/>
      </c>
      <c r="O151" s="49" t="str">
        <f>IFERROR(IF('Pós Implantação'!B151="Infraestrutura",AVERAGE('Pós Implantação'!D151,'Pós Implantação'!L151),""),"")</f>
        <v/>
      </c>
    </row>
    <row r="152" spans="1:15" x14ac:dyDescent="0.3">
      <c r="A152" s="33">
        <f>'Pré Implantação'!A152</f>
        <v>0</v>
      </c>
      <c r="B152" s="36" t="str">
        <f>'Pós Implantação'!C152</f>
        <v>0</v>
      </c>
      <c r="C152" s="34" t="str">
        <f>IFERROR(IF('Pré Implantação'!B152="Produção TI",AVERAGE('Pós Implantação'!D152,'Pós Implantação'!E152,'Pós Implantação'!L152,'Pós Implantação'!H152),AVERAGE('Pré Implantação'!E152,'Pré Implantação'!H152)),"")</f>
        <v/>
      </c>
      <c r="D152" s="34" t="str">
        <f>IFERROR(IF('Pós Implantação'!B152="CSC Service Desk",AVERAGE('Pós Implantação'!D152,'Pós Implantação'!L152,'Pós Implantação'!F152),AVERAGE('Pós Implantação'!F152)),"")</f>
        <v/>
      </c>
      <c r="E152" s="34" t="str">
        <f>IFERROR(IF('Pós Implantação'!B152="CSC NOC",AVERAGE('Pós Implantação'!D152,'Pós Implantação'!L152,'Pós Implantação'!G152),AVERAGE('Pós Implantação'!G152)),"")</f>
        <v/>
      </c>
      <c r="F152" s="34" t="str">
        <f>IFERROR(IF('Pós Implantação'!B152="CSE Gravadores",AVERAGE('Pós Implantação'!D152,'Pós Implantação'!L152,'Pós Implantação'!I152),AVERAGE('Pós Implantação'!I152)),"")</f>
        <v/>
      </c>
      <c r="G152" s="34" t="str">
        <f>IFERROR(IF('Pós Implantação'!B152="CSC",AVERAGE('Pós Implantação'!D152,'Pós Implantação'!L152,'Pós Implantação'!J152),AVERAGE('Pós Implantação'!J152)),"")</f>
        <v/>
      </c>
      <c r="H152" s="34" t="str">
        <f>IFERROR(IF('Pós Implantação'!B152="Operações \ Negócio",AVERAGE('Pós Implantação'!D152,'Pós Implantação'!L152,'Pós Implantação'!K152),AVERAGE('Pós Implantação'!K152)),"")</f>
        <v/>
      </c>
      <c r="I152" s="34" t="str">
        <f>IFERROR(IF('Pós Implantação'!B152="Projetos",AVERAGE('Pós Implantação'!D152,'Pós Implantação'!L152,'Pós Implantação'!M152),AVERAGE('Pós Implantação'!M152)),"")</f>
        <v/>
      </c>
      <c r="J152" s="34" t="str">
        <f>IFERROR(IF('Pós Implantação'!B152="Engenharia",AVERAGE('Pós Implantação'!D152,'Pós Implantação'!L152,'Pós Implantação'!N152),AVERAGE('Pós Implantação'!N152)),"")</f>
        <v/>
      </c>
      <c r="K152" s="34" t="str">
        <f>IFERROR(IF('Pós Implantação'!B152="URA",AVERAGE('Pós Implantação'!D152,'Pós Implantação'!L152),""),"")</f>
        <v/>
      </c>
      <c r="L152" s="34" t="str">
        <f>IFERROR(IF('Pós Implantação'!B152="CSE Microsoft",AVERAGE('Pós Implantação'!D152,'Pós Implantação'!L152),""),"")</f>
        <v/>
      </c>
      <c r="M152" s="34" t="str">
        <f>IFERROR(IF('Pós Implantação'!B152="CSE Telecom",AVERAGE('Pós Implantação'!D152,'Pós Implantação'!L152),""),"")</f>
        <v/>
      </c>
      <c r="N152" s="34" t="str">
        <f>IFERROR(IF('Pós Implantação'!B152="Site Suporte de Campo",AVERAGE('Pós Implantação'!D152,'Pós Implantação'!L152),""),"")</f>
        <v/>
      </c>
      <c r="O152" s="49" t="str">
        <f>IFERROR(IF('Pós Implantação'!B152="Infraestrutura",AVERAGE('Pós Implantação'!D152,'Pós Implantação'!L152),""),"")</f>
        <v/>
      </c>
    </row>
    <row r="153" spans="1:15" x14ac:dyDescent="0.3">
      <c r="A153" s="33">
        <f>'Pré Implantação'!A153</f>
        <v>0</v>
      </c>
      <c r="B153" s="36" t="str">
        <f>'Pós Implantação'!C153</f>
        <v>0</v>
      </c>
      <c r="C153" s="34" t="str">
        <f>IFERROR(IF('Pré Implantação'!B153="Produção TI",AVERAGE('Pós Implantação'!D153,'Pós Implantação'!E153,'Pós Implantação'!L153,'Pós Implantação'!H153),AVERAGE('Pré Implantação'!E153,'Pré Implantação'!H153)),"")</f>
        <v/>
      </c>
      <c r="D153" s="34" t="str">
        <f>IFERROR(IF('Pós Implantação'!B153="CSC Service Desk",AVERAGE('Pós Implantação'!D153,'Pós Implantação'!L153,'Pós Implantação'!F153),AVERAGE('Pós Implantação'!F153)),"")</f>
        <v/>
      </c>
      <c r="E153" s="34" t="str">
        <f>IFERROR(IF('Pós Implantação'!B153="CSC NOC",AVERAGE('Pós Implantação'!D153,'Pós Implantação'!L153,'Pós Implantação'!G153),AVERAGE('Pós Implantação'!G153)),"")</f>
        <v/>
      </c>
      <c r="F153" s="34" t="str">
        <f>IFERROR(IF('Pós Implantação'!B153="CSE Gravadores",AVERAGE('Pós Implantação'!D153,'Pós Implantação'!L153,'Pós Implantação'!I153),AVERAGE('Pós Implantação'!I153)),"")</f>
        <v/>
      </c>
      <c r="G153" s="34" t="str">
        <f>IFERROR(IF('Pós Implantação'!B153="CSC",AVERAGE('Pós Implantação'!D153,'Pós Implantação'!L153,'Pós Implantação'!J153),AVERAGE('Pós Implantação'!J153)),"")</f>
        <v/>
      </c>
      <c r="H153" s="34" t="str">
        <f>IFERROR(IF('Pós Implantação'!B153="Operações \ Negócio",AVERAGE('Pós Implantação'!D153,'Pós Implantação'!L153,'Pós Implantação'!K153),AVERAGE('Pós Implantação'!K153)),"")</f>
        <v/>
      </c>
      <c r="I153" s="34" t="str">
        <f>IFERROR(IF('Pós Implantação'!B153="Projetos",AVERAGE('Pós Implantação'!D153,'Pós Implantação'!L153,'Pós Implantação'!M153),AVERAGE('Pós Implantação'!M153)),"")</f>
        <v/>
      </c>
      <c r="J153" s="34" t="str">
        <f>IFERROR(IF('Pós Implantação'!B153="Engenharia",AVERAGE('Pós Implantação'!D153,'Pós Implantação'!L153,'Pós Implantação'!N153),AVERAGE('Pós Implantação'!N153)),"")</f>
        <v/>
      </c>
      <c r="K153" s="34" t="str">
        <f>IFERROR(IF('Pós Implantação'!B153="URA",AVERAGE('Pós Implantação'!D153,'Pós Implantação'!L153),""),"")</f>
        <v/>
      </c>
      <c r="L153" s="34" t="str">
        <f>IFERROR(IF('Pós Implantação'!B153="CSE Microsoft",AVERAGE('Pós Implantação'!D153,'Pós Implantação'!L153),""),"")</f>
        <v/>
      </c>
      <c r="M153" s="34" t="str">
        <f>IFERROR(IF('Pós Implantação'!B153="CSE Telecom",AVERAGE('Pós Implantação'!D153,'Pós Implantação'!L153),""),"")</f>
        <v/>
      </c>
      <c r="N153" s="34" t="str">
        <f>IFERROR(IF('Pós Implantação'!B153="Site Suporte de Campo",AVERAGE('Pós Implantação'!D153,'Pós Implantação'!L153),""),"")</f>
        <v/>
      </c>
      <c r="O153" s="49" t="str">
        <f>IFERROR(IF('Pós Implantação'!B153="Infraestrutura",AVERAGE('Pós Implantação'!D153,'Pós Implantação'!L153),""),"")</f>
        <v/>
      </c>
    </row>
    <row r="154" spans="1:15" x14ac:dyDescent="0.3">
      <c r="A154" s="33">
        <f>'Pré Implantação'!A154</f>
        <v>0</v>
      </c>
      <c r="B154" s="36" t="str">
        <f>'Pós Implantação'!C154</f>
        <v>0</v>
      </c>
      <c r="C154" s="34" t="str">
        <f>IFERROR(IF('Pré Implantação'!B154="Produção TI",AVERAGE('Pós Implantação'!D154,'Pós Implantação'!E154,'Pós Implantação'!L154,'Pós Implantação'!H154),AVERAGE('Pré Implantação'!E154,'Pré Implantação'!H154)),"")</f>
        <v/>
      </c>
      <c r="D154" s="34" t="str">
        <f>IFERROR(IF('Pós Implantação'!B154="CSC Service Desk",AVERAGE('Pós Implantação'!D154,'Pós Implantação'!L154,'Pós Implantação'!F154),AVERAGE('Pós Implantação'!F154)),"")</f>
        <v/>
      </c>
      <c r="E154" s="34" t="str">
        <f>IFERROR(IF('Pós Implantação'!B154="CSC NOC",AVERAGE('Pós Implantação'!D154,'Pós Implantação'!L154,'Pós Implantação'!G154),AVERAGE('Pós Implantação'!G154)),"")</f>
        <v/>
      </c>
      <c r="F154" s="34" t="str">
        <f>IFERROR(IF('Pós Implantação'!B154="CSE Gravadores",AVERAGE('Pós Implantação'!D154,'Pós Implantação'!L154,'Pós Implantação'!I154),AVERAGE('Pós Implantação'!I154)),"")</f>
        <v/>
      </c>
      <c r="G154" s="34" t="str">
        <f>IFERROR(IF('Pós Implantação'!B154="CSC",AVERAGE('Pós Implantação'!D154,'Pós Implantação'!L154,'Pós Implantação'!J154),AVERAGE('Pós Implantação'!J154)),"")</f>
        <v/>
      </c>
      <c r="H154" s="34" t="str">
        <f>IFERROR(IF('Pós Implantação'!B154="Operações \ Negócio",AVERAGE('Pós Implantação'!D154,'Pós Implantação'!L154,'Pós Implantação'!K154),AVERAGE('Pós Implantação'!K154)),"")</f>
        <v/>
      </c>
      <c r="I154" s="34" t="str">
        <f>IFERROR(IF('Pós Implantação'!B154="Projetos",AVERAGE('Pós Implantação'!D154,'Pós Implantação'!L154,'Pós Implantação'!M154),AVERAGE('Pós Implantação'!M154)),"")</f>
        <v/>
      </c>
      <c r="J154" s="34" t="str">
        <f>IFERROR(IF('Pós Implantação'!B154="Engenharia",AVERAGE('Pós Implantação'!D154,'Pós Implantação'!L154,'Pós Implantação'!N154),AVERAGE('Pós Implantação'!N154)),"")</f>
        <v/>
      </c>
      <c r="K154" s="34" t="str">
        <f>IFERROR(IF('Pós Implantação'!B154="URA",AVERAGE('Pós Implantação'!D154,'Pós Implantação'!L154),""),"")</f>
        <v/>
      </c>
      <c r="L154" s="34" t="str">
        <f>IFERROR(IF('Pós Implantação'!B154="CSE Microsoft",AVERAGE('Pós Implantação'!D154,'Pós Implantação'!L154),""),"")</f>
        <v/>
      </c>
      <c r="M154" s="34" t="str">
        <f>IFERROR(IF('Pós Implantação'!B154="CSE Telecom",AVERAGE('Pós Implantação'!D154,'Pós Implantação'!L154),""),"")</f>
        <v/>
      </c>
      <c r="N154" s="34" t="str">
        <f>IFERROR(IF('Pós Implantação'!B154="Site Suporte de Campo",AVERAGE('Pós Implantação'!D154,'Pós Implantação'!L154),""),"")</f>
        <v/>
      </c>
      <c r="O154" s="49" t="str">
        <f>IFERROR(IF('Pós Implantação'!B154="Infraestrutura",AVERAGE('Pós Implantação'!D154,'Pós Implantação'!L154),""),"")</f>
        <v/>
      </c>
    </row>
    <row r="155" spans="1:15" x14ac:dyDescent="0.3">
      <c r="A155" s="33">
        <f>'Pré Implantação'!A155</f>
        <v>0</v>
      </c>
      <c r="B155" s="36" t="str">
        <f>'Pós Implantação'!C155</f>
        <v>0</v>
      </c>
      <c r="C155" s="34" t="str">
        <f>IFERROR(IF('Pré Implantação'!B155="Produção TI",AVERAGE('Pós Implantação'!D155,'Pós Implantação'!E155,'Pós Implantação'!L155,'Pós Implantação'!H155),AVERAGE('Pré Implantação'!E155,'Pré Implantação'!H155)),"")</f>
        <v/>
      </c>
      <c r="D155" s="34" t="str">
        <f>IFERROR(IF('Pós Implantação'!B155="CSC Service Desk",AVERAGE('Pós Implantação'!D155,'Pós Implantação'!L155,'Pós Implantação'!F155),AVERAGE('Pós Implantação'!F155)),"")</f>
        <v/>
      </c>
      <c r="E155" s="34" t="str">
        <f>IFERROR(IF('Pós Implantação'!B155="CSC NOC",AVERAGE('Pós Implantação'!D155,'Pós Implantação'!L155,'Pós Implantação'!G155),AVERAGE('Pós Implantação'!G155)),"")</f>
        <v/>
      </c>
      <c r="F155" s="34" t="str">
        <f>IFERROR(IF('Pós Implantação'!B155="CSE Gravadores",AVERAGE('Pós Implantação'!D155,'Pós Implantação'!L155,'Pós Implantação'!I155),AVERAGE('Pós Implantação'!I155)),"")</f>
        <v/>
      </c>
      <c r="G155" s="34" t="str">
        <f>IFERROR(IF('Pós Implantação'!B155="CSC",AVERAGE('Pós Implantação'!D155,'Pós Implantação'!L155,'Pós Implantação'!J155),AVERAGE('Pós Implantação'!J155)),"")</f>
        <v/>
      </c>
      <c r="H155" s="34" t="str">
        <f>IFERROR(IF('Pós Implantação'!B155="Operações \ Negócio",AVERAGE('Pós Implantação'!D155,'Pós Implantação'!L155,'Pós Implantação'!K155),AVERAGE('Pós Implantação'!K155)),"")</f>
        <v/>
      </c>
      <c r="I155" s="34" t="str">
        <f>IFERROR(IF('Pós Implantação'!B155="Projetos",AVERAGE('Pós Implantação'!D155,'Pós Implantação'!L155,'Pós Implantação'!M155),AVERAGE('Pós Implantação'!M155)),"")</f>
        <v/>
      </c>
      <c r="J155" s="34" t="str">
        <f>IFERROR(IF('Pós Implantação'!B155="Engenharia",AVERAGE('Pós Implantação'!D155,'Pós Implantação'!L155,'Pós Implantação'!N155),AVERAGE('Pós Implantação'!N155)),"")</f>
        <v/>
      </c>
      <c r="K155" s="34" t="str">
        <f>IFERROR(IF('Pós Implantação'!B155="URA",AVERAGE('Pós Implantação'!D155,'Pós Implantação'!L155),""),"")</f>
        <v/>
      </c>
      <c r="L155" s="34" t="str">
        <f>IFERROR(IF('Pós Implantação'!B155="CSE Microsoft",AVERAGE('Pós Implantação'!D155,'Pós Implantação'!L155),""),"")</f>
        <v/>
      </c>
      <c r="M155" s="34" t="str">
        <f>IFERROR(IF('Pós Implantação'!B155="CSE Telecom",AVERAGE('Pós Implantação'!D155,'Pós Implantação'!L155),""),"")</f>
        <v/>
      </c>
      <c r="N155" s="34" t="str">
        <f>IFERROR(IF('Pós Implantação'!B155="Site Suporte de Campo",AVERAGE('Pós Implantação'!D155,'Pós Implantação'!L155),""),"")</f>
        <v/>
      </c>
      <c r="O155" s="49" t="str">
        <f>IFERROR(IF('Pós Implantação'!B155="Infraestrutura",AVERAGE('Pós Implantação'!D155,'Pós Implantação'!L155),""),"")</f>
        <v/>
      </c>
    </row>
    <row r="156" spans="1:15" x14ac:dyDescent="0.3">
      <c r="A156" s="33">
        <f>'Pré Implantação'!A156</f>
        <v>0</v>
      </c>
      <c r="B156" s="36" t="str">
        <f>'Pós Implantação'!C156</f>
        <v>0</v>
      </c>
      <c r="C156" s="34" t="str">
        <f>IFERROR(IF('Pré Implantação'!B156="Produção TI",AVERAGE('Pós Implantação'!D156,'Pós Implantação'!E156,'Pós Implantação'!L156,'Pós Implantação'!H156),AVERAGE('Pré Implantação'!E156,'Pré Implantação'!H156)),"")</f>
        <v/>
      </c>
      <c r="D156" s="34" t="str">
        <f>IFERROR(IF('Pós Implantação'!B156="CSC Service Desk",AVERAGE('Pós Implantação'!D156,'Pós Implantação'!L156,'Pós Implantação'!F156),AVERAGE('Pós Implantação'!F156)),"")</f>
        <v/>
      </c>
      <c r="E156" s="34" t="str">
        <f>IFERROR(IF('Pós Implantação'!B156="CSC NOC",AVERAGE('Pós Implantação'!D156,'Pós Implantação'!L156,'Pós Implantação'!G156),AVERAGE('Pós Implantação'!G156)),"")</f>
        <v/>
      </c>
      <c r="F156" s="34" t="str">
        <f>IFERROR(IF('Pós Implantação'!B156="CSE Gravadores",AVERAGE('Pós Implantação'!D156,'Pós Implantação'!L156,'Pós Implantação'!I156),AVERAGE('Pós Implantação'!I156)),"")</f>
        <v/>
      </c>
      <c r="G156" s="34" t="str">
        <f>IFERROR(IF('Pós Implantação'!B156="CSC",AVERAGE('Pós Implantação'!D156,'Pós Implantação'!L156,'Pós Implantação'!J156),AVERAGE('Pós Implantação'!J156)),"")</f>
        <v/>
      </c>
      <c r="H156" s="34" t="str">
        <f>IFERROR(IF('Pós Implantação'!B156="Operações \ Negócio",AVERAGE('Pós Implantação'!D156,'Pós Implantação'!L156,'Pós Implantação'!K156),AVERAGE('Pós Implantação'!K156)),"")</f>
        <v/>
      </c>
      <c r="I156" s="34" t="str">
        <f>IFERROR(IF('Pós Implantação'!B156="Projetos",AVERAGE('Pós Implantação'!D156,'Pós Implantação'!L156,'Pós Implantação'!M156),AVERAGE('Pós Implantação'!M156)),"")</f>
        <v/>
      </c>
      <c r="J156" s="34" t="str">
        <f>IFERROR(IF('Pós Implantação'!B156="Engenharia",AVERAGE('Pós Implantação'!D156,'Pós Implantação'!L156,'Pós Implantação'!N156),AVERAGE('Pós Implantação'!N156)),"")</f>
        <v/>
      </c>
      <c r="K156" s="34" t="str">
        <f>IFERROR(IF('Pós Implantação'!B156="URA",AVERAGE('Pós Implantação'!D156,'Pós Implantação'!L156),""),"")</f>
        <v/>
      </c>
      <c r="L156" s="34" t="str">
        <f>IFERROR(IF('Pós Implantação'!B156="CSE Microsoft",AVERAGE('Pós Implantação'!D156,'Pós Implantação'!L156),""),"")</f>
        <v/>
      </c>
      <c r="M156" s="34" t="str">
        <f>IFERROR(IF('Pós Implantação'!B156="CSE Telecom",AVERAGE('Pós Implantação'!D156,'Pós Implantação'!L156),""),"")</f>
        <v/>
      </c>
      <c r="N156" s="34" t="str">
        <f>IFERROR(IF('Pós Implantação'!B156="Site Suporte de Campo",AVERAGE('Pós Implantação'!D156,'Pós Implantação'!L156),""),"")</f>
        <v/>
      </c>
      <c r="O156" s="49" t="str">
        <f>IFERROR(IF('Pós Implantação'!B156="Infraestrutura",AVERAGE('Pós Implantação'!D156,'Pós Implantação'!L156),""),"")</f>
        <v/>
      </c>
    </row>
    <row r="157" spans="1:15" x14ac:dyDescent="0.3">
      <c r="A157" s="33">
        <f>'Pré Implantação'!A157</f>
        <v>0</v>
      </c>
      <c r="B157" s="36" t="str">
        <f>'Pós Implantação'!C157</f>
        <v>0</v>
      </c>
      <c r="C157" s="34" t="str">
        <f>IFERROR(IF('Pré Implantação'!B157="Produção TI",AVERAGE('Pós Implantação'!D157,'Pós Implantação'!E157,'Pós Implantação'!L157,'Pós Implantação'!H157),AVERAGE('Pré Implantação'!E157,'Pré Implantação'!H157)),"")</f>
        <v/>
      </c>
      <c r="D157" s="34" t="str">
        <f>IFERROR(IF('Pós Implantação'!B157="CSC Service Desk",AVERAGE('Pós Implantação'!D157,'Pós Implantação'!L157,'Pós Implantação'!F157),AVERAGE('Pós Implantação'!F157)),"")</f>
        <v/>
      </c>
      <c r="E157" s="34" t="str">
        <f>IFERROR(IF('Pós Implantação'!B157="CSC NOC",AVERAGE('Pós Implantação'!D157,'Pós Implantação'!L157,'Pós Implantação'!G157),AVERAGE('Pós Implantação'!G157)),"")</f>
        <v/>
      </c>
      <c r="F157" s="34" t="str">
        <f>IFERROR(IF('Pós Implantação'!B157="CSE Gravadores",AVERAGE('Pós Implantação'!D157,'Pós Implantação'!L157,'Pós Implantação'!I157),AVERAGE('Pós Implantação'!I157)),"")</f>
        <v/>
      </c>
      <c r="G157" s="34" t="str">
        <f>IFERROR(IF('Pós Implantação'!B157="CSC",AVERAGE('Pós Implantação'!D157,'Pós Implantação'!L157,'Pós Implantação'!J157),AVERAGE('Pós Implantação'!J157)),"")</f>
        <v/>
      </c>
      <c r="H157" s="34" t="str">
        <f>IFERROR(IF('Pós Implantação'!B157="Operações \ Negócio",AVERAGE('Pós Implantação'!D157,'Pós Implantação'!L157,'Pós Implantação'!K157),AVERAGE('Pós Implantação'!K157)),"")</f>
        <v/>
      </c>
      <c r="I157" s="34" t="str">
        <f>IFERROR(IF('Pós Implantação'!B157="Projetos",AVERAGE('Pós Implantação'!D157,'Pós Implantação'!L157,'Pós Implantação'!M157),AVERAGE('Pós Implantação'!M157)),"")</f>
        <v/>
      </c>
      <c r="J157" s="34" t="str">
        <f>IFERROR(IF('Pós Implantação'!B157="Engenharia",AVERAGE('Pós Implantação'!D157,'Pós Implantação'!L157,'Pós Implantação'!N157),AVERAGE('Pós Implantação'!N157)),"")</f>
        <v/>
      </c>
      <c r="K157" s="34" t="str">
        <f>IFERROR(IF('Pós Implantação'!B157="URA",AVERAGE('Pós Implantação'!D157,'Pós Implantação'!L157),""),"")</f>
        <v/>
      </c>
      <c r="L157" s="34" t="str">
        <f>IFERROR(IF('Pós Implantação'!B157="CSE Microsoft",AVERAGE('Pós Implantação'!D157,'Pós Implantação'!L157),""),"")</f>
        <v/>
      </c>
      <c r="M157" s="34" t="str">
        <f>IFERROR(IF('Pós Implantação'!B157="CSE Telecom",AVERAGE('Pós Implantação'!D157,'Pós Implantação'!L157),""),"")</f>
        <v/>
      </c>
      <c r="N157" s="34" t="str">
        <f>IFERROR(IF('Pós Implantação'!B157="Site Suporte de Campo",AVERAGE('Pós Implantação'!D157,'Pós Implantação'!L157),""),"")</f>
        <v/>
      </c>
      <c r="O157" s="49" t="str">
        <f>IFERROR(IF('Pós Implantação'!B157="Infraestrutura",AVERAGE('Pós Implantação'!D157,'Pós Implantação'!L157),""),"")</f>
        <v/>
      </c>
    </row>
    <row r="158" spans="1:15" x14ac:dyDescent="0.3">
      <c r="A158" s="33">
        <f>'Pré Implantação'!A158</f>
        <v>0</v>
      </c>
      <c r="B158" s="36" t="str">
        <f>'Pós Implantação'!C158</f>
        <v>0</v>
      </c>
      <c r="C158" s="34" t="str">
        <f>IFERROR(IF('Pré Implantação'!B158="Produção TI",AVERAGE('Pós Implantação'!D158,'Pós Implantação'!E158,'Pós Implantação'!L158,'Pós Implantação'!H158),AVERAGE('Pré Implantação'!E158,'Pré Implantação'!H158)),"")</f>
        <v/>
      </c>
      <c r="D158" s="34" t="str">
        <f>IFERROR(IF('Pós Implantação'!B158="CSC Service Desk",AVERAGE('Pós Implantação'!D158,'Pós Implantação'!L158,'Pós Implantação'!F158),AVERAGE('Pós Implantação'!F158)),"")</f>
        <v/>
      </c>
      <c r="E158" s="34" t="str">
        <f>IFERROR(IF('Pós Implantação'!B158="CSC NOC",AVERAGE('Pós Implantação'!D158,'Pós Implantação'!L158,'Pós Implantação'!G158),AVERAGE('Pós Implantação'!G158)),"")</f>
        <v/>
      </c>
      <c r="F158" s="34" t="str">
        <f>IFERROR(IF('Pós Implantação'!B158="CSE Gravadores",AVERAGE('Pós Implantação'!D158,'Pós Implantação'!L158,'Pós Implantação'!I158),AVERAGE('Pós Implantação'!I158)),"")</f>
        <v/>
      </c>
      <c r="G158" s="34" t="str">
        <f>IFERROR(IF('Pós Implantação'!B158="CSC",AVERAGE('Pós Implantação'!D158,'Pós Implantação'!L158,'Pós Implantação'!J158),AVERAGE('Pós Implantação'!J158)),"")</f>
        <v/>
      </c>
      <c r="H158" s="34" t="str">
        <f>IFERROR(IF('Pós Implantação'!B158="Operações \ Negócio",AVERAGE('Pós Implantação'!D158,'Pós Implantação'!L158,'Pós Implantação'!K158),AVERAGE('Pós Implantação'!K158)),"")</f>
        <v/>
      </c>
      <c r="I158" s="34" t="str">
        <f>IFERROR(IF('Pós Implantação'!B158="Projetos",AVERAGE('Pós Implantação'!D158,'Pós Implantação'!L158,'Pós Implantação'!M158),AVERAGE('Pós Implantação'!M158)),"")</f>
        <v/>
      </c>
      <c r="J158" s="34" t="str">
        <f>IFERROR(IF('Pós Implantação'!B158="Engenharia",AVERAGE('Pós Implantação'!D158,'Pós Implantação'!L158,'Pós Implantação'!N158),AVERAGE('Pós Implantação'!N158)),"")</f>
        <v/>
      </c>
      <c r="K158" s="34" t="str">
        <f>IFERROR(IF('Pós Implantação'!B158="URA",AVERAGE('Pós Implantação'!D158,'Pós Implantação'!L158),""),"")</f>
        <v/>
      </c>
      <c r="L158" s="34" t="str">
        <f>IFERROR(IF('Pós Implantação'!B158="CSE Microsoft",AVERAGE('Pós Implantação'!D158,'Pós Implantação'!L158),""),"")</f>
        <v/>
      </c>
      <c r="M158" s="34" t="str">
        <f>IFERROR(IF('Pós Implantação'!B158="CSE Telecom",AVERAGE('Pós Implantação'!D158,'Pós Implantação'!L158),""),"")</f>
        <v/>
      </c>
      <c r="N158" s="34" t="str">
        <f>IFERROR(IF('Pós Implantação'!B158="Site Suporte de Campo",AVERAGE('Pós Implantação'!D158,'Pós Implantação'!L158),""),"")</f>
        <v/>
      </c>
      <c r="O158" s="49" t="str">
        <f>IFERROR(IF('Pós Implantação'!B158="Infraestrutura",AVERAGE('Pós Implantação'!D158,'Pós Implantação'!L158),""),"")</f>
        <v/>
      </c>
    </row>
    <row r="159" spans="1:15" x14ac:dyDescent="0.3">
      <c r="A159" s="33">
        <f>'Pré Implantação'!A159</f>
        <v>0</v>
      </c>
      <c r="B159" s="36" t="str">
        <f>'Pós Implantação'!C159</f>
        <v>0</v>
      </c>
      <c r="C159" s="34" t="str">
        <f>IFERROR(IF('Pré Implantação'!B159="Produção TI",AVERAGE('Pós Implantação'!D159,'Pós Implantação'!E159,'Pós Implantação'!L159,'Pós Implantação'!H159),AVERAGE('Pré Implantação'!E159,'Pré Implantação'!H159)),"")</f>
        <v/>
      </c>
      <c r="D159" s="34" t="str">
        <f>IFERROR(IF('Pós Implantação'!B159="CSC Service Desk",AVERAGE('Pós Implantação'!D159,'Pós Implantação'!L159,'Pós Implantação'!F159),AVERAGE('Pós Implantação'!F159)),"")</f>
        <v/>
      </c>
      <c r="E159" s="34" t="str">
        <f>IFERROR(IF('Pós Implantação'!B159="CSC NOC",AVERAGE('Pós Implantação'!D159,'Pós Implantação'!L159,'Pós Implantação'!G159),AVERAGE('Pós Implantação'!G159)),"")</f>
        <v/>
      </c>
      <c r="F159" s="34" t="str">
        <f>IFERROR(IF('Pós Implantação'!B159="CSE Gravadores",AVERAGE('Pós Implantação'!D159,'Pós Implantação'!L159,'Pós Implantação'!I159),AVERAGE('Pós Implantação'!I159)),"")</f>
        <v/>
      </c>
      <c r="G159" s="34" t="str">
        <f>IFERROR(IF('Pós Implantação'!B159="CSC",AVERAGE('Pós Implantação'!D159,'Pós Implantação'!L159,'Pós Implantação'!J159),AVERAGE('Pós Implantação'!J159)),"")</f>
        <v/>
      </c>
      <c r="H159" s="34" t="str">
        <f>IFERROR(IF('Pós Implantação'!B159="Operações \ Negócio",AVERAGE('Pós Implantação'!D159,'Pós Implantação'!L159,'Pós Implantação'!K159),AVERAGE('Pós Implantação'!K159)),"")</f>
        <v/>
      </c>
      <c r="I159" s="34" t="str">
        <f>IFERROR(IF('Pós Implantação'!B159="Projetos",AVERAGE('Pós Implantação'!D159,'Pós Implantação'!L159,'Pós Implantação'!M159),AVERAGE('Pós Implantação'!M159)),"")</f>
        <v/>
      </c>
      <c r="J159" s="34" t="str">
        <f>IFERROR(IF('Pós Implantação'!B159="Engenharia",AVERAGE('Pós Implantação'!D159,'Pós Implantação'!L159,'Pós Implantação'!N159),AVERAGE('Pós Implantação'!N159)),"")</f>
        <v/>
      </c>
      <c r="K159" s="34" t="str">
        <f>IFERROR(IF('Pós Implantação'!B159="URA",AVERAGE('Pós Implantação'!D159,'Pós Implantação'!L159),""),"")</f>
        <v/>
      </c>
      <c r="L159" s="34" t="str">
        <f>IFERROR(IF('Pós Implantação'!B159="CSE Microsoft",AVERAGE('Pós Implantação'!D159,'Pós Implantação'!L159),""),"")</f>
        <v/>
      </c>
      <c r="M159" s="34" t="str">
        <f>IFERROR(IF('Pós Implantação'!B159="CSE Telecom",AVERAGE('Pós Implantação'!D159,'Pós Implantação'!L159),""),"")</f>
        <v/>
      </c>
      <c r="N159" s="34" t="str">
        <f>IFERROR(IF('Pós Implantação'!B159="Site Suporte de Campo",AVERAGE('Pós Implantação'!D159,'Pós Implantação'!L159),""),"")</f>
        <v/>
      </c>
      <c r="O159" s="49" t="str">
        <f>IFERROR(IF('Pós Implantação'!B159="Infraestrutura",AVERAGE('Pós Implantação'!D159,'Pós Implantação'!L159),""),"")</f>
        <v/>
      </c>
    </row>
    <row r="160" spans="1:15" x14ac:dyDescent="0.3">
      <c r="A160" s="33">
        <f>'Pré Implantação'!A160</f>
        <v>0</v>
      </c>
      <c r="B160" s="36" t="str">
        <f>'Pós Implantação'!C160</f>
        <v>0</v>
      </c>
      <c r="C160" s="34" t="str">
        <f>IFERROR(IF('Pré Implantação'!B160="Produção TI",AVERAGE('Pós Implantação'!D160,'Pós Implantação'!E160,'Pós Implantação'!L160,'Pós Implantação'!H160),AVERAGE('Pré Implantação'!E160,'Pré Implantação'!H160)),"")</f>
        <v/>
      </c>
      <c r="D160" s="34" t="str">
        <f>IFERROR(IF('Pós Implantação'!B160="CSC Service Desk",AVERAGE('Pós Implantação'!D160,'Pós Implantação'!L160,'Pós Implantação'!F160),AVERAGE('Pós Implantação'!F160)),"")</f>
        <v/>
      </c>
      <c r="E160" s="34" t="str">
        <f>IFERROR(IF('Pós Implantação'!B160="CSC NOC",AVERAGE('Pós Implantação'!D160,'Pós Implantação'!L160,'Pós Implantação'!G160),AVERAGE('Pós Implantação'!G160)),"")</f>
        <v/>
      </c>
      <c r="F160" s="34" t="str">
        <f>IFERROR(IF('Pós Implantação'!B160="CSE Gravadores",AVERAGE('Pós Implantação'!D160,'Pós Implantação'!L160,'Pós Implantação'!I160),AVERAGE('Pós Implantação'!I160)),"")</f>
        <v/>
      </c>
      <c r="G160" s="34" t="str">
        <f>IFERROR(IF('Pós Implantação'!B160="CSC",AVERAGE('Pós Implantação'!D160,'Pós Implantação'!L160,'Pós Implantação'!J160),AVERAGE('Pós Implantação'!J160)),"")</f>
        <v/>
      </c>
      <c r="H160" s="34" t="str">
        <f>IFERROR(IF('Pós Implantação'!B160="Operações \ Negócio",AVERAGE('Pós Implantação'!D160,'Pós Implantação'!L160,'Pós Implantação'!K160),AVERAGE('Pós Implantação'!K160)),"")</f>
        <v/>
      </c>
      <c r="I160" s="34" t="str">
        <f>IFERROR(IF('Pós Implantação'!B160="Projetos",AVERAGE('Pós Implantação'!D160,'Pós Implantação'!L160,'Pós Implantação'!M160),AVERAGE('Pós Implantação'!M160)),"")</f>
        <v/>
      </c>
      <c r="J160" s="34" t="str">
        <f>IFERROR(IF('Pós Implantação'!B160="Engenharia",AVERAGE('Pós Implantação'!D160,'Pós Implantação'!L160,'Pós Implantação'!N160),AVERAGE('Pós Implantação'!N160)),"")</f>
        <v/>
      </c>
      <c r="K160" s="34" t="str">
        <f>IFERROR(IF('Pós Implantação'!B160="URA",AVERAGE('Pós Implantação'!D160,'Pós Implantação'!L160),""),"")</f>
        <v/>
      </c>
      <c r="L160" s="34" t="str">
        <f>IFERROR(IF('Pós Implantação'!B160="CSE Microsoft",AVERAGE('Pós Implantação'!D160,'Pós Implantação'!L160),""),"")</f>
        <v/>
      </c>
      <c r="M160" s="34" t="str">
        <f>IFERROR(IF('Pós Implantação'!B160="CSE Telecom",AVERAGE('Pós Implantação'!D160,'Pós Implantação'!L160),""),"")</f>
        <v/>
      </c>
      <c r="N160" s="34" t="str">
        <f>IFERROR(IF('Pós Implantação'!B160="Site Suporte de Campo",AVERAGE('Pós Implantação'!D160,'Pós Implantação'!L160),""),"")</f>
        <v/>
      </c>
      <c r="O160" s="49" t="str">
        <f>IFERROR(IF('Pós Implantação'!B160="Infraestrutura",AVERAGE('Pós Implantação'!D160,'Pós Implantação'!L160),""),"")</f>
        <v/>
      </c>
    </row>
    <row r="161" spans="1:15" x14ac:dyDescent="0.3">
      <c r="A161" s="33">
        <f>'Pré Implantação'!A161</f>
        <v>0</v>
      </c>
      <c r="B161" s="36" t="str">
        <f>'Pós Implantação'!C161</f>
        <v>0</v>
      </c>
      <c r="C161" s="34" t="str">
        <f>IFERROR(IF('Pré Implantação'!B161="Produção TI",AVERAGE('Pós Implantação'!D161,'Pós Implantação'!E161,'Pós Implantação'!L161,'Pós Implantação'!H161),AVERAGE('Pré Implantação'!E161,'Pré Implantação'!H161)),"")</f>
        <v/>
      </c>
      <c r="D161" s="34" t="str">
        <f>IFERROR(IF('Pós Implantação'!B161="CSC Service Desk",AVERAGE('Pós Implantação'!D161,'Pós Implantação'!L161,'Pós Implantação'!F161),AVERAGE('Pós Implantação'!F161)),"")</f>
        <v/>
      </c>
      <c r="E161" s="34" t="str">
        <f>IFERROR(IF('Pós Implantação'!B161="CSC NOC",AVERAGE('Pós Implantação'!D161,'Pós Implantação'!L161,'Pós Implantação'!G161),AVERAGE('Pós Implantação'!G161)),"")</f>
        <v/>
      </c>
      <c r="F161" s="34" t="str">
        <f>IFERROR(IF('Pós Implantação'!B161="CSE Gravadores",AVERAGE('Pós Implantação'!D161,'Pós Implantação'!L161,'Pós Implantação'!I161),AVERAGE('Pós Implantação'!I161)),"")</f>
        <v/>
      </c>
      <c r="G161" s="34" t="str">
        <f>IFERROR(IF('Pós Implantação'!B161="CSC",AVERAGE('Pós Implantação'!D161,'Pós Implantação'!L161,'Pós Implantação'!J161),AVERAGE('Pós Implantação'!J161)),"")</f>
        <v/>
      </c>
      <c r="H161" s="34" t="str">
        <f>IFERROR(IF('Pós Implantação'!B161="Operações \ Negócio",AVERAGE('Pós Implantação'!D161,'Pós Implantação'!L161,'Pós Implantação'!K161),AVERAGE('Pós Implantação'!K161)),"")</f>
        <v/>
      </c>
      <c r="I161" s="34" t="str">
        <f>IFERROR(IF('Pós Implantação'!B161="Projetos",AVERAGE('Pós Implantação'!D161,'Pós Implantação'!L161,'Pós Implantação'!M161),AVERAGE('Pós Implantação'!M161)),"")</f>
        <v/>
      </c>
      <c r="J161" s="34" t="str">
        <f>IFERROR(IF('Pós Implantação'!B161="Engenharia",AVERAGE('Pós Implantação'!D161,'Pós Implantação'!L161,'Pós Implantação'!N161),AVERAGE('Pós Implantação'!N161)),"")</f>
        <v/>
      </c>
      <c r="K161" s="34" t="str">
        <f>IFERROR(IF('Pós Implantação'!B161="URA",AVERAGE('Pós Implantação'!D161,'Pós Implantação'!L161),""),"")</f>
        <v/>
      </c>
      <c r="L161" s="34" t="str">
        <f>IFERROR(IF('Pós Implantação'!B161="CSE Microsoft",AVERAGE('Pós Implantação'!D161,'Pós Implantação'!L161),""),"")</f>
        <v/>
      </c>
      <c r="M161" s="34" t="str">
        <f>IFERROR(IF('Pós Implantação'!B161="CSE Telecom",AVERAGE('Pós Implantação'!D161,'Pós Implantação'!L161),""),"")</f>
        <v/>
      </c>
      <c r="N161" s="34" t="str">
        <f>IFERROR(IF('Pós Implantação'!B161="Site Suporte de Campo",AVERAGE('Pós Implantação'!D161,'Pós Implantação'!L161),""),"")</f>
        <v/>
      </c>
      <c r="O161" s="49" t="str">
        <f>IFERROR(IF('Pós Implantação'!B161="Infraestrutura",AVERAGE('Pós Implantação'!D161,'Pós Implantação'!L161),""),"")</f>
        <v/>
      </c>
    </row>
    <row r="162" spans="1:15" x14ac:dyDescent="0.3">
      <c r="A162" s="33">
        <f>'Pré Implantação'!A162</f>
        <v>0</v>
      </c>
      <c r="B162" s="36" t="str">
        <f>'Pós Implantação'!C162</f>
        <v>0</v>
      </c>
      <c r="C162" s="34" t="str">
        <f>IFERROR(IF('Pré Implantação'!B162="Produção TI",AVERAGE('Pós Implantação'!D162,'Pós Implantação'!E162,'Pós Implantação'!L162,'Pós Implantação'!H162),AVERAGE('Pré Implantação'!E162,'Pré Implantação'!H162)),"")</f>
        <v/>
      </c>
      <c r="D162" s="34" t="str">
        <f>IFERROR(IF('Pós Implantação'!B162="CSC Service Desk",AVERAGE('Pós Implantação'!D162,'Pós Implantação'!L162,'Pós Implantação'!F162),AVERAGE('Pós Implantação'!F162)),"")</f>
        <v/>
      </c>
      <c r="E162" s="34" t="str">
        <f>IFERROR(IF('Pós Implantação'!B162="CSC NOC",AVERAGE('Pós Implantação'!D162,'Pós Implantação'!L162,'Pós Implantação'!G162),AVERAGE('Pós Implantação'!G162)),"")</f>
        <v/>
      </c>
      <c r="F162" s="34" t="str">
        <f>IFERROR(IF('Pós Implantação'!B162="CSE Gravadores",AVERAGE('Pós Implantação'!D162,'Pós Implantação'!L162,'Pós Implantação'!I162),AVERAGE('Pós Implantação'!I162)),"")</f>
        <v/>
      </c>
      <c r="G162" s="34" t="str">
        <f>IFERROR(IF('Pós Implantação'!B162="CSC",AVERAGE('Pós Implantação'!D162,'Pós Implantação'!L162,'Pós Implantação'!J162),AVERAGE('Pós Implantação'!J162)),"")</f>
        <v/>
      </c>
      <c r="H162" s="34" t="str">
        <f>IFERROR(IF('Pós Implantação'!B162="Operações \ Negócio",AVERAGE('Pós Implantação'!D162,'Pós Implantação'!L162,'Pós Implantação'!K162),AVERAGE('Pós Implantação'!K162)),"")</f>
        <v/>
      </c>
      <c r="I162" s="34" t="str">
        <f>IFERROR(IF('Pós Implantação'!B162="Projetos",AVERAGE('Pós Implantação'!D162,'Pós Implantação'!L162,'Pós Implantação'!M162),AVERAGE('Pós Implantação'!M162)),"")</f>
        <v/>
      </c>
      <c r="J162" s="34" t="str">
        <f>IFERROR(IF('Pós Implantação'!B162="Engenharia",AVERAGE('Pós Implantação'!D162,'Pós Implantação'!L162,'Pós Implantação'!N162),AVERAGE('Pós Implantação'!N162)),"")</f>
        <v/>
      </c>
      <c r="K162" s="34" t="str">
        <f>IFERROR(IF('Pós Implantação'!B162="URA",AVERAGE('Pós Implantação'!D162,'Pós Implantação'!L162),""),"")</f>
        <v/>
      </c>
      <c r="L162" s="34" t="str">
        <f>IFERROR(IF('Pós Implantação'!B162="CSE Microsoft",AVERAGE('Pós Implantação'!D162,'Pós Implantação'!L162),""),"")</f>
        <v/>
      </c>
      <c r="M162" s="34" t="str">
        <f>IFERROR(IF('Pós Implantação'!B162="CSE Telecom",AVERAGE('Pós Implantação'!D162,'Pós Implantação'!L162),""),"")</f>
        <v/>
      </c>
      <c r="N162" s="34" t="str">
        <f>IFERROR(IF('Pós Implantação'!B162="Site Suporte de Campo",AVERAGE('Pós Implantação'!D162,'Pós Implantação'!L162),""),"")</f>
        <v/>
      </c>
      <c r="O162" s="49" t="str">
        <f>IFERROR(IF('Pós Implantação'!B162="Infraestrutura",AVERAGE('Pós Implantação'!D162,'Pós Implantação'!L162),""),"")</f>
        <v/>
      </c>
    </row>
    <row r="163" spans="1:15" x14ac:dyDescent="0.3">
      <c r="A163" s="33">
        <f>'Pré Implantação'!A163</f>
        <v>0</v>
      </c>
      <c r="B163" s="36" t="str">
        <f>'Pós Implantação'!C163</f>
        <v>0</v>
      </c>
      <c r="C163" s="34" t="str">
        <f>IFERROR(IF('Pré Implantação'!B163="Produção TI",AVERAGE('Pós Implantação'!D163,'Pós Implantação'!E163,'Pós Implantação'!L163,'Pós Implantação'!H163),AVERAGE('Pré Implantação'!E163,'Pré Implantação'!H163)),"")</f>
        <v/>
      </c>
      <c r="D163" s="34" t="str">
        <f>IFERROR(IF('Pós Implantação'!B163="CSC Service Desk",AVERAGE('Pós Implantação'!D163,'Pós Implantação'!L163,'Pós Implantação'!F163),AVERAGE('Pós Implantação'!F163)),"")</f>
        <v/>
      </c>
      <c r="E163" s="34" t="str">
        <f>IFERROR(IF('Pós Implantação'!B163="CSC NOC",AVERAGE('Pós Implantação'!D163,'Pós Implantação'!L163,'Pós Implantação'!G163),AVERAGE('Pós Implantação'!G163)),"")</f>
        <v/>
      </c>
      <c r="F163" s="34" t="str">
        <f>IFERROR(IF('Pós Implantação'!B163="CSE Gravadores",AVERAGE('Pós Implantação'!D163,'Pós Implantação'!L163,'Pós Implantação'!I163),AVERAGE('Pós Implantação'!I163)),"")</f>
        <v/>
      </c>
      <c r="G163" s="34" t="str">
        <f>IFERROR(IF('Pós Implantação'!B163="CSC",AVERAGE('Pós Implantação'!D163,'Pós Implantação'!L163,'Pós Implantação'!J163),AVERAGE('Pós Implantação'!J163)),"")</f>
        <v/>
      </c>
      <c r="H163" s="34" t="str">
        <f>IFERROR(IF('Pós Implantação'!B163="Operações \ Negócio",AVERAGE('Pós Implantação'!D163,'Pós Implantação'!L163,'Pós Implantação'!K163),AVERAGE('Pós Implantação'!K163)),"")</f>
        <v/>
      </c>
      <c r="I163" s="34" t="str">
        <f>IFERROR(IF('Pós Implantação'!B163="Projetos",AVERAGE('Pós Implantação'!D163,'Pós Implantação'!L163,'Pós Implantação'!M163),AVERAGE('Pós Implantação'!M163)),"")</f>
        <v/>
      </c>
      <c r="J163" s="34" t="str">
        <f>IFERROR(IF('Pós Implantação'!B163="Engenharia",AVERAGE('Pós Implantação'!D163,'Pós Implantação'!L163,'Pós Implantação'!N163),AVERAGE('Pós Implantação'!N163)),"")</f>
        <v/>
      </c>
      <c r="K163" s="34" t="str">
        <f>IFERROR(IF('Pós Implantação'!B163="URA",AVERAGE('Pós Implantação'!D163,'Pós Implantação'!L163),""),"")</f>
        <v/>
      </c>
      <c r="L163" s="34" t="str">
        <f>IFERROR(IF('Pós Implantação'!B163="CSE Microsoft",AVERAGE('Pós Implantação'!D163,'Pós Implantação'!L163),""),"")</f>
        <v/>
      </c>
      <c r="M163" s="34" t="str">
        <f>IFERROR(IF('Pós Implantação'!B163="CSE Telecom",AVERAGE('Pós Implantação'!D163,'Pós Implantação'!L163),""),"")</f>
        <v/>
      </c>
      <c r="N163" s="34" t="str">
        <f>IFERROR(IF('Pós Implantação'!B163="Site Suporte de Campo",AVERAGE('Pós Implantação'!D163,'Pós Implantação'!L163),""),"")</f>
        <v/>
      </c>
      <c r="O163" s="49" t="str">
        <f>IFERROR(IF('Pós Implantação'!B163="Infraestrutura",AVERAGE('Pós Implantação'!D163,'Pós Implantação'!L163),""),"")</f>
        <v/>
      </c>
    </row>
    <row r="164" spans="1:15" x14ac:dyDescent="0.3">
      <c r="A164" s="33">
        <f>'Pré Implantação'!A164</f>
        <v>0</v>
      </c>
      <c r="B164" s="36" t="str">
        <f>'Pós Implantação'!C164</f>
        <v>0</v>
      </c>
      <c r="C164" s="34" t="str">
        <f>IFERROR(IF('Pré Implantação'!B164="Produção TI",AVERAGE('Pós Implantação'!D164,'Pós Implantação'!E164,'Pós Implantação'!L164,'Pós Implantação'!H164),AVERAGE('Pré Implantação'!E164,'Pré Implantação'!H164)),"")</f>
        <v/>
      </c>
      <c r="D164" s="34" t="str">
        <f>IFERROR(IF('Pós Implantação'!B164="CSC Service Desk",AVERAGE('Pós Implantação'!D164,'Pós Implantação'!L164,'Pós Implantação'!F164),AVERAGE('Pós Implantação'!F164)),"")</f>
        <v/>
      </c>
      <c r="E164" s="34" t="str">
        <f>IFERROR(IF('Pós Implantação'!B164="CSC NOC",AVERAGE('Pós Implantação'!D164,'Pós Implantação'!L164,'Pós Implantação'!G164),AVERAGE('Pós Implantação'!G164)),"")</f>
        <v/>
      </c>
      <c r="F164" s="34" t="str">
        <f>IFERROR(IF('Pós Implantação'!B164="CSE Gravadores",AVERAGE('Pós Implantação'!D164,'Pós Implantação'!L164,'Pós Implantação'!I164),AVERAGE('Pós Implantação'!I164)),"")</f>
        <v/>
      </c>
      <c r="G164" s="34" t="str">
        <f>IFERROR(IF('Pós Implantação'!B164="CSC",AVERAGE('Pós Implantação'!D164,'Pós Implantação'!L164,'Pós Implantação'!J164),AVERAGE('Pós Implantação'!J164)),"")</f>
        <v/>
      </c>
      <c r="H164" s="34" t="str">
        <f>IFERROR(IF('Pós Implantação'!B164="Operações \ Negócio",AVERAGE('Pós Implantação'!D164,'Pós Implantação'!L164,'Pós Implantação'!K164),AVERAGE('Pós Implantação'!K164)),"")</f>
        <v/>
      </c>
      <c r="I164" s="34" t="str">
        <f>IFERROR(IF('Pós Implantação'!B164="Projetos",AVERAGE('Pós Implantação'!D164,'Pós Implantação'!L164,'Pós Implantação'!M164),AVERAGE('Pós Implantação'!M164)),"")</f>
        <v/>
      </c>
      <c r="J164" s="34" t="str">
        <f>IFERROR(IF('Pós Implantação'!B164="Engenharia",AVERAGE('Pós Implantação'!D164,'Pós Implantação'!L164,'Pós Implantação'!N164),AVERAGE('Pós Implantação'!N164)),"")</f>
        <v/>
      </c>
      <c r="K164" s="34" t="str">
        <f>IFERROR(IF('Pós Implantação'!B164="URA",AVERAGE('Pós Implantação'!D164,'Pós Implantação'!L164),""),"")</f>
        <v/>
      </c>
      <c r="L164" s="34" t="str">
        <f>IFERROR(IF('Pós Implantação'!B164="CSE Microsoft",AVERAGE('Pós Implantação'!D164,'Pós Implantação'!L164),""),"")</f>
        <v/>
      </c>
      <c r="M164" s="34" t="str">
        <f>IFERROR(IF('Pós Implantação'!B164="CSE Telecom",AVERAGE('Pós Implantação'!D164,'Pós Implantação'!L164),""),"")</f>
        <v/>
      </c>
      <c r="N164" s="34" t="str">
        <f>IFERROR(IF('Pós Implantação'!B164="Site Suporte de Campo",AVERAGE('Pós Implantação'!D164,'Pós Implantação'!L164),""),"")</f>
        <v/>
      </c>
      <c r="O164" s="49" t="str">
        <f>IFERROR(IF('Pós Implantação'!B164="Infraestrutura",AVERAGE('Pós Implantação'!D164,'Pós Implantação'!L164),""),"")</f>
        <v/>
      </c>
    </row>
    <row r="165" spans="1:15" x14ac:dyDescent="0.3">
      <c r="A165" s="33">
        <f>'Pré Implantação'!A165</f>
        <v>0</v>
      </c>
      <c r="B165" s="36" t="str">
        <f>'Pós Implantação'!C165</f>
        <v>0</v>
      </c>
      <c r="C165" s="34" t="str">
        <f>IFERROR(IF('Pré Implantação'!B165="Produção TI",AVERAGE('Pós Implantação'!D165,'Pós Implantação'!E165,'Pós Implantação'!L165,'Pós Implantação'!H165),AVERAGE('Pré Implantação'!E165,'Pré Implantação'!H165)),"")</f>
        <v/>
      </c>
      <c r="D165" s="34" t="str">
        <f>IFERROR(IF('Pós Implantação'!B165="CSC Service Desk",AVERAGE('Pós Implantação'!D165,'Pós Implantação'!L165,'Pós Implantação'!F165),AVERAGE('Pós Implantação'!F165)),"")</f>
        <v/>
      </c>
      <c r="E165" s="34" t="str">
        <f>IFERROR(IF('Pós Implantação'!B165="CSC NOC",AVERAGE('Pós Implantação'!D165,'Pós Implantação'!L165,'Pós Implantação'!G165),AVERAGE('Pós Implantação'!G165)),"")</f>
        <v/>
      </c>
      <c r="F165" s="34" t="str">
        <f>IFERROR(IF('Pós Implantação'!B165="CSE Gravadores",AVERAGE('Pós Implantação'!D165,'Pós Implantação'!L165,'Pós Implantação'!I165),AVERAGE('Pós Implantação'!I165)),"")</f>
        <v/>
      </c>
      <c r="G165" s="34" t="str">
        <f>IFERROR(IF('Pós Implantação'!B165="CSC",AVERAGE('Pós Implantação'!D165,'Pós Implantação'!L165,'Pós Implantação'!J165),AVERAGE('Pós Implantação'!J165)),"")</f>
        <v/>
      </c>
      <c r="H165" s="34" t="str">
        <f>IFERROR(IF('Pós Implantação'!B165="Operações \ Negócio",AVERAGE('Pós Implantação'!D165,'Pós Implantação'!L165,'Pós Implantação'!K165),AVERAGE('Pós Implantação'!K165)),"")</f>
        <v/>
      </c>
      <c r="I165" s="34" t="str">
        <f>IFERROR(IF('Pós Implantação'!B165="Projetos",AVERAGE('Pós Implantação'!D165,'Pós Implantação'!L165,'Pós Implantação'!M165),AVERAGE('Pós Implantação'!M165)),"")</f>
        <v/>
      </c>
      <c r="J165" s="34" t="str">
        <f>IFERROR(IF('Pós Implantação'!B165="Engenharia",AVERAGE('Pós Implantação'!D165,'Pós Implantação'!L165,'Pós Implantação'!N165),AVERAGE('Pós Implantação'!N165)),"")</f>
        <v/>
      </c>
      <c r="K165" s="34" t="str">
        <f>IFERROR(IF('Pós Implantação'!B165="URA",AVERAGE('Pós Implantação'!D165,'Pós Implantação'!L165),""),"")</f>
        <v/>
      </c>
      <c r="L165" s="34" t="str">
        <f>IFERROR(IF('Pós Implantação'!B165="CSE Microsoft",AVERAGE('Pós Implantação'!D165,'Pós Implantação'!L165),""),"")</f>
        <v/>
      </c>
      <c r="M165" s="34" t="str">
        <f>IFERROR(IF('Pós Implantação'!B165="CSE Telecom",AVERAGE('Pós Implantação'!D165,'Pós Implantação'!L165),""),"")</f>
        <v/>
      </c>
      <c r="N165" s="34" t="str">
        <f>IFERROR(IF('Pós Implantação'!B165="Site Suporte de Campo",AVERAGE('Pós Implantação'!D165,'Pós Implantação'!L165),""),"")</f>
        <v/>
      </c>
      <c r="O165" s="49" t="str">
        <f>IFERROR(IF('Pós Implantação'!B165="Infraestrutura",AVERAGE('Pós Implantação'!D165,'Pós Implantação'!L165),""),"")</f>
        <v/>
      </c>
    </row>
    <row r="166" spans="1:15" x14ac:dyDescent="0.3">
      <c r="A166" s="33">
        <f>'Pré Implantação'!A166</f>
        <v>0</v>
      </c>
      <c r="B166" s="36" t="str">
        <f>'Pós Implantação'!C166</f>
        <v>0</v>
      </c>
      <c r="C166" s="34" t="str">
        <f>IFERROR(IF('Pré Implantação'!B166="Produção TI",AVERAGE('Pós Implantação'!D166,'Pós Implantação'!E166,'Pós Implantação'!L166,'Pós Implantação'!H166),AVERAGE('Pré Implantação'!E166,'Pré Implantação'!H166)),"")</f>
        <v/>
      </c>
      <c r="D166" s="34" t="str">
        <f>IFERROR(IF('Pós Implantação'!B166="CSC Service Desk",AVERAGE('Pós Implantação'!D166,'Pós Implantação'!L166,'Pós Implantação'!F166),AVERAGE('Pós Implantação'!F166)),"")</f>
        <v/>
      </c>
      <c r="E166" s="34" t="str">
        <f>IFERROR(IF('Pós Implantação'!B166="CSC NOC",AVERAGE('Pós Implantação'!D166,'Pós Implantação'!L166,'Pós Implantação'!G166),AVERAGE('Pós Implantação'!G166)),"")</f>
        <v/>
      </c>
      <c r="F166" s="34" t="str">
        <f>IFERROR(IF('Pós Implantação'!B166="CSE Gravadores",AVERAGE('Pós Implantação'!D166,'Pós Implantação'!L166,'Pós Implantação'!I166),AVERAGE('Pós Implantação'!I166)),"")</f>
        <v/>
      </c>
      <c r="G166" s="34" t="str">
        <f>IFERROR(IF('Pós Implantação'!B166="CSC",AVERAGE('Pós Implantação'!D166,'Pós Implantação'!L166,'Pós Implantação'!J166),AVERAGE('Pós Implantação'!J166)),"")</f>
        <v/>
      </c>
      <c r="H166" s="34" t="str">
        <f>IFERROR(IF('Pós Implantação'!B166="Operações \ Negócio",AVERAGE('Pós Implantação'!D166,'Pós Implantação'!L166,'Pós Implantação'!K166),AVERAGE('Pós Implantação'!K166)),"")</f>
        <v/>
      </c>
      <c r="I166" s="34" t="str">
        <f>IFERROR(IF('Pós Implantação'!B166="Projetos",AVERAGE('Pós Implantação'!D166,'Pós Implantação'!L166,'Pós Implantação'!M166),AVERAGE('Pós Implantação'!M166)),"")</f>
        <v/>
      </c>
      <c r="J166" s="34" t="str">
        <f>IFERROR(IF('Pós Implantação'!B166="Engenharia",AVERAGE('Pós Implantação'!D166,'Pós Implantação'!L166,'Pós Implantação'!N166),AVERAGE('Pós Implantação'!N166)),"")</f>
        <v/>
      </c>
      <c r="K166" s="34" t="str">
        <f>IFERROR(IF('Pós Implantação'!B166="URA",AVERAGE('Pós Implantação'!D166,'Pós Implantação'!L166),""),"")</f>
        <v/>
      </c>
      <c r="L166" s="34" t="str">
        <f>IFERROR(IF('Pós Implantação'!B166="CSE Microsoft",AVERAGE('Pós Implantação'!D166,'Pós Implantação'!L166),""),"")</f>
        <v/>
      </c>
      <c r="M166" s="34" t="str">
        <f>IFERROR(IF('Pós Implantação'!B166="CSE Telecom",AVERAGE('Pós Implantação'!D166,'Pós Implantação'!L166),""),"")</f>
        <v/>
      </c>
      <c r="N166" s="34" t="str">
        <f>IFERROR(IF('Pós Implantação'!B166="Site Suporte de Campo",AVERAGE('Pós Implantação'!D166,'Pós Implantação'!L166),""),"")</f>
        <v/>
      </c>
      <c r="O166" s="49" t="str">
        <f>IFERROR(IF('Pós Implantação'!B166="Infraestrutura",AVERAGE('Pós Implantação'!D166,'Pós Implantação'!L166),""),"")</f>
        <v/>
      </c>
    </row>
    <row r="167" spans="1:15" x14ac:dyDescent="0.3">
      <c r="A167" s="33">
        <f>'Pré Implantação'!A167</f>
        <v>0</v>
      </c>
      <c r="B167" s="36" t="str">
        <f>'Pós Implantação'!C167</f>
        <v>0</v>
      </c>
      <c r="C167" s="34" t="str">
        <f>IFERROR(IF('Pré Implantação'!B167="Produção TI",AVERAGE('Pós Implantação'!D167,'Pós Implantação'!E167,'Pós Implantação'!L167,'Pós Implantação'!H167),AVERAGE('Pré Implantação'!E167,'Pré Implantação'!H167)),"")</f>
        <v/>
      </c>
      <c r="D167" s="34" t="str">
        <f>IFERROR(IF('Pós Implantação'!B167="CSC Service Desk",AVERAGE('Pós Implantação'!D167,'Pós Implantação'!L167,'Pós Implantação'!F167),AVERAGE('Pós Implantação'!F167)),"")</f>
        <v/>
      </c>
      <c r="E167" s="34" t="str">
        <f>IFERROR(IF('Pós Implantação'!B167="CSC NOC",AVERAGE('Pós Implantação'!D167,'Pós Implantação'!L167,'Pós Implantação'!G167),AVERAGE('Pós Implantação'!G167)),"")</f>
        <v/>
      </c>
      <c r="F167" s="34" t="str">
        <f>IFERROR(IF('Pós Implantação'!B167="CSE Gravadores",AVERAGE('Pós Implantação'!D167,'Pós Implantação'!L167,'Pós Implantação'!I167),AVERAGE('Pós Implantação'!I167)),"")</f>
        <v/>
      </c>
      <c r="G167" s="34" t="str">
        <f>IFERROR(IF('Pós Implantação'!B167="CSC",AVERAGE('Pós Implantação'!D167,'Pós Implantação'!L167,'Pós Implantação'!J167),AVERAGE('Pós Implantação'!J167)),"")</f>
        <v/>
      </c>
      <c r="H167" s="34" t="str">
        <f>IFERROR(IF('Pós Implantação'!B167="Operações \ Negócio",AVERAGE('Pós Implantação'!D167,'Pós Implantação'!L167,'Pós Implantação'!K167),AVERAGE('Pós Implantação'!K167)),"")</f>
        <v/>
      </c>
      <c r="I167" s="34" t="str">
        <f>IFERROR(IF('Pós Implantação'!B167="Projetos",AVERAGE('Pós Implantação'!D167,'Pós Implantação'!L167,'Pós Implantação'!M167),AVERAGE('Pós Implantação'!M167)),"")</f>
        <v/>
      </c>
      <c r="J167" s="34" t="str">
        <f>IFERROR(IF('Pós Implantação'!B167="Engenharia",AVERAGE('Pós Implantação'!D167,'Pós Implantação'!L167,'Pós Implantação'!N167),AVERAGE('Pós Implantação'!N167)),"")</f>
        <v/>
      </c>
      <c r="K167" s="34" t="str">
        <f>IFERROR(IF('Pós Implantação'!B167="URA",AVERAGE('Pós Implantação'!D167,'Pós Implantação'!L167),""),"")</f>
        <v/>
      </c>
      <c r="L167" s="34" t="str">
        <f>IFERROR(IF('Pós Implantação'!B167="CSE Microsoft",AVERAGE('Pós Implantação'!D167,'Pós Implantação'!L167),""),"")</f>
        <v/>
      </c>
      <c r="M167" s="34" t="str">
        <f>IFERROR(IF('Pós Implantação'!B167="CSE Telecom",AVERAGE('Pós Implantação'!D167,'Pós Implantação'!L167),""),"")</f>
        <v/>
      </c>
      <c r="N167" s="34" t="str">
        <f>IFERROR(IF('Pós Implantação'!B167="Site Suporte de Campo",AVERAGE('Pós Implantação'!D167,'Pós Implantação'!L167),""),"")</f>
        <v/>
      </c>
      <c r="O167" s="49" t="str">
        <f>IFERROR(IF('Pós Implantação'!B167="Infraestrutura",AVERAGE('Pós Implantação'!D167,'Pós Implantação'!L167),""),"")</f>
        <v/>
      </c>
    </row>
    <row r="168" spans="1:15" x14ac:dyDescent="0.3">
      <c r="A168" s="33">
        <f>'Pré Implantação'!A168</f>
        <v>0</v>
      </c>
      <c r="B168" s="36" t="str">
        <f>'Pós Implantação'!C168</f>
        <v>0</v>
      </c>
      <c r="C168" s="34" t="str">
        <f>IFERROR(IF('Pré Implantação'!B168="Produção TI",AVERAGE('Pós Implantação'!D168,'Pós Implantação'!E168,'Pós Implantação'!L168,'Pós Implantação'!H168),AVERAGE('Pré Implantação'!E168,'Pré Implantação'!H168)),"")</f>
        <v/>
      </c>
      <c r="D168" s="34" t="str">
        <f>IFERROR(IF('Pós Implantação'!B168="CSC Service Desk",AVERAGE('Pós Implantação'!D168,'Pós Implantação'!L168,'Pós Implantação'!F168),AVERAGE('Pós Implantação'!F168)),"")</f>
        <v/>
      </c>
      <c r="E168" s="34" t="str">
        <f>IFERROR(IF('Pós Implantação'!B168="CSC NOC",AVERAGE('Pós Implantação'!D168,'Pós Implantação'!L168,'Pós Implantação'!G168),AVERAGE('Pós Implantação'!G168)),"")</f>
        <v/>
      </c>
      <c r="F168" s="34" t="str">
        <f>IFERROR(IF('Pós Implantação'!B168="CSE Gravadores",AVERAGE('Pós Implantação'!D168,'Pós Implantação'!L168,'Pós Implantação'!I168),AVERAGE('Pós Implantação'!I168)),"")</f>
        <v/>
      </c>
      <c r="G168" s="34" t="str">
        <f>IFERROR(IF('Pós Implantação'!B168="CSC",AVERAGE('Pós Implantação'!D168,'Pós Implantação'!L168,'Pós Implantação'!J168),AVERAGE('Pós Implantação'!J168)),"")</f>
        <v/>
      </c>
      <c r="H168" s="34" t="str">
        <f>IFERROR(IF('Pós Implantação'!B168="Operações \ Negócio",AVERAGE('Pós Implantação'!D168,'Pós Implantação'!L168,'Pós Implantação'!K168),AVERAGE('Pós Implantação'!K168)),"")</f>
        <v/>
      </c>
      <c r="I168" s="34" t="str">
        <f>IFERROR(IF('Pós Implantação'!B168="Projetos",AVERAGE('Pós Implantação'!D168,'Pós Implantação'!L168,'Pós Implantação'!M168),AVERAGE('Pós Implantação'!M168)),"")</f>
        <v/>
      </c>
      <c r="J168" s="34" t="str">
        <f>IFERROR(IF('Pós Implantação'!B168="Engenharia",AVERAGE('Pós Implantação'!D168,'Pós Implantação'!L168,'Pós Implantação'!N168),AVERAGE('Pós Implantação'!N168)),"")</f>
        <v/>
      </c>
      <c r="K168" s="34" t="str">
        <f>IFERROR(IF('Pós Implantação'!B168="URA",AVERAGE('Pós Implantação'!D168,'Pós Implantação'!L168),""),"")</f>
        <v/>
      </c>
      <c r="L168" s="34" t="str">
        <f>IFERROR(IF('Pós Implantação'!B168="CSE Microsoft",AVERAGE('Pós Implantação'!D168,'Pós Implantação'!L168),""),"")</f>
        <v/>
      </c>
      <c r="M168" s="34" t="str">
        <f>IFERROR(IF('Pós Implantação'!B168="CSE Telecom",AVERAGE('Pós Implantação'!D168,'Pós Implantação'!L168),""),"")</f>
        <v/>
      </c>
      <c r="N168" s="34" t="str">
        <f>IFERROR(IF('Pós Implantação'!B168="Site Suporte de Campo",AVERAGE('Pós Implantação'!D168,'Pós Implantação'!L168),""),"")</f>
        <v/>
      </c>
      <c r="O168" s="49" t="str">
        <f>IFERROR(IF('Pós Implantação'!B168="Infraestrutura",AVERAGE('Pós Implantação'!D168,'Pós Implantação'!L168),""),"")</f>
        <v/>
      </c>
    </row>
    <row r="169" spans="1:15" x14ac:dyDescent="0.3">
      <c r="A169" s="33">
        <f>'Pré Implantação'!A169</f>
        <v>0</v>
      </c>
      <c r="B169" s="36" t="str">
        <f>'Pós Implantação'!C169</f>
        <v>0</v>
      </c>
      <c r="C169" s="34" t="str">
        <f>IFERROR(IF('Pré Implantação'!B169="Produção TI",AVERAGE('Pós Implantação'!D169,'Pós Implantação'!E169,'Pós Implantação'!L169,'Pós Implantação'!H169),AVERAGE('Pré Implantação'!E169,'Pré Implantação'!H169)),"")</f>
        <v/>
      </c>
      <c r="D169" s="34" t="str">
        <f>IFERROR(IF('Pós Implantação'!B169="CSC Service Desk",AVERAGE('Pós Implantação'!D169,'Pós Implantação'!L169,'Pós Implantação'!F169),AVERAGE('Pós Implantação'!F169)),"")</f>
        <v/>
      </c>
      <c r="E169" s="34" t="str">
        <f>IFERROR(IF('Pós Implantação'!B169="CSC NOC",AVERAGE('Pós Implantação'!D169,'Pós Implantação'!L169,'Pós Implantação'!G169),AVERAGE('Pós Implantação'!G169)),"")</f>
        <v/>
      </c>
      <c r="F169" s="34" t="str">
        <f>IFERROR(IF('Pós Implantação'!B169="CSE Gravadores",AVERAGE('Pós Implantação'!D169,'Pós Implantação'!L169,'Pós Implantação'!I169),AVERAGE('Pós Implantação'!I169)),"")</f>
        <v/>
      </c>
      <c r="G169" s="34" t="str">
        <f>IFERROR(IF('Pós Implantação'!B169="CSC",AVERAGE('Pós Implantação'!D169,'Pós Implantação'!L169,'Pós Implantação'!J169),AVERAGE('Pós Implantação'!J169)),"")</f>
        <v/>
      </c>
      <c r="H169" s="34" t="str">
        <f>IFERROR(IF('Pós Implantação'!B169="Operações \ Negócio",AVERAGE('Pós Implantação'!D169,'Pós Implantação'!L169,'Pós Implantação'!K169),AVERAGE('Pós Implantação'!K169)),"")</f>
        <v/>
      </c>
      <c r="I169" s="34" t="str">
        <f>IFERROR(IF('Pós Implantação'!B169="Projetos",AVERAGE('Pós Implantação'!D169,'Pós Implantação'!L169,'Pós Implantação'!M169),AVERAGE('Pós Implantação'!M169)),"")</f>
        <v/>
      </c>
      <c r="J169" s="34" t="str">
        <f>IFERROR(IF('Pós Implantação'!B169="Engenharia",AVERAGE('Pós Implantação'!D169,'Pós Implantação'!L169,'Pós Implantação'!N169),AVERAGE('Pós Implantação'!N169)),"")</f>
        <v/>
      </c>
      <c r="K169" s="34" t="str">
        <f>IFERROR(IF('Pós Implantação'!B169="URA",AVERAGE('Pós Implantação'!D169,'Pós Implantação'!L169),""),"")</f>
        <v/>
      </c>
      <c r="L169" s="34" t="str">
        <f>IFERROR(IF('Pós Implantação'!B169="CSE Microsoft",AVERAGE('Pós Implantação'!D169,'Pós Implantação'!L169),""),"")</f>
        <v/>
      </c>
      <c r="M169" s="34" t="str">
        <f>IFERROR(IF('Pós Implantação'!B169="CSE Telecom",AVERAGE('Pós Implantação'!D169,'Pós Implantação'!L169),""),"")</f>
        <v/>
      </c>
      <c r="N169" s="34" t="str">
        <f>IFERROR(IF('Pós Implantação'!B169="Site Suporte de Campo",AVERAGE('Pós Implantação'!D169,'Pós Implantação'!L169),""),"")</f>
        <v/>
      </c>
      <c r="O169" s="49" t="str">
        <f>IFERROR(IF('Pós Implantação'!B169="Infraestrutura",AVERAGE('Pós Implantação'!D169,'Pós Implantação'!L169),""),"")</f>
        <v/>
      </c>
    </row>
    <row r="170" spans="1:15" x14ac:dyDescent="0.3">
      <c r="A170" s="33">
        <f>'Pré Implantação'!A170</f>
        <v>0</v>
      </c>
      <c r="B170" s="36" t="str">
        <f>'Pós Implantação'!C170</f>
        <v>0</v>
      </c>
      <c r="C170" s="34" t="str">
        <f>IFERROR(IF('Pré Implantação'!B170="Produção TI",AVERAGE('Pós Implantação'!D170,'Pós Implantação'!E170,'Pós Implantação'!L170,'Pós Implantação'!H170),AVERAGE('Pré Implantação'!E170,'Pré Implantação'!H170)),"")</f>
        <v/>
      </c>
      <c r="D170" s="34" t="str">
        <f>IFERROR(IF('Pós Implantação'!B170="CSC Service Desk",AVERAGE('Pós Implantação'!D170,'Pós Implantação'!L170,'Pós Implantação'!F170),AVERAGE('Pós Implantação'!F170)),"")</f>
        <v/>
      </c>
      <c r="E170" s="34" t="str">
        <f>IFERROR(IF('Pós Implantação'!B170="CSC NOC",AVERAGE('Pós Implantação'!D170,'Pós Implantação'!L170,'Pós Implantação'!G170),AVERAGE('Pós Implantação'!G170)),"")</f>
        <v/>
      </c>
      <c r="F170" s="34" t="str">
        <f>IFERROR(IF('Pós Implantação'!B170="CSE Gravadores",AVERAGE('Pós Implantação'!D170,'Pós Implantação'!L170,'Pós Implantação'!I170),AVERAGE('Pós Implantação'!I170)),"")</f>
        <v/>
      </c>
      <c r="G170" s="34" t="str">
        <f>IFERROR(IF('Pós Implantação'!B170="CSC",AVERAGE('Pós Implantação'!D170,'Pós Implantação'!L170,'Pós Implantação'!J170),AVERAGE('Pós Implantação'!J170)),"")</f>
        <v/>
      </c>
      <c r="H170" s="34" t="str">
        <f>IFERROR(IF('Pós Implantação'!B170="Operações \ Negócio",AVERAGE('Pós Implantação'!D170,'Pós Implantação'!L170,'Pós Implantação'!K170),AVERAGE('Pós Implantação'!K170)),"")</f>
        <v/>
      </c>
      <c r="I170" s="34" t="str">
        <f>IFERROR(IF('Pós Implantação'!B170="Projetos",AVERAGE('Pós Implantação'!D170,'Pós Implantação'!L170,'Pós Implantação'!M170),AVERAGE('Pós Implantação'!M170)),"")</f>
        <v/>
      </c>
      <c r="J170" s="34" t="str">
        <f>IFERROR(IF('Pós Implantação'!B170="Engenharia",AVERAGE('Pós Implantação'!D170,'Pós Implantação'!L170,'Pós Implantação'!N170),AVERAGE('Pós Implantação'!N170)),"")</f>
        <v/>
      </c>
      <c r="K170" s="34" t="str">
        <f>IFERROR(IF('Pós Implantação'!B170="URA",AVERAGE('Pós Implantação'!D170,'Pós Implantação'!L170),""),"")</f>
        <v/>
      </c>
      <c r="L170" s="34" t="str">
        <f>IFERROR(IF('Pós Implantação'!B170="CSE Microsoft",AVERAGE('Pós Implantação'!D170,'Pós Implantação'!L170),""),"")</f>
        <v/>
      </c>
      <c r="M170" s="34" t="str">
        <f>IFERROR(IF('Pós Implantação'!B170="CSE Telecom",AVERAGE('Pós Implantação'!D170,'Pós Implantação'!L170),""),"")</f>
        <v/>
      </c>
      <c r="N170" s="34" t="str">
        <f>IFERROR(IF('Pós Implantação'!B170="Site Suporte de Campo",AVERAGE('Pós Implantação'!D170,'Pós Implantação'!L170),""),"")</f>
        <v/>
      </c>
      <c r="O170" s="49" t="str">
        <f>IFERROR(IF('Pós Implantação'!B170="Infraestrutura",AVERAGE('Pós Implantação'!D170,'Pós Implantação'!L170),""),"")</f>
        <v/>
      </c>
    </row>
    <row r="171" spans="1:15" x14ac:dyDescent="0.3">
      <c r="A171" s="33">
        <f>'Pré Implantação'!A171</f>
        <v>0</v>
      </c>
      <c r="B171" s="36" t="str">
        <f>'Pós Implantação'!C171</f>
        <v>0</v>
      </c>
      <c r="C171" s="34" t="str">
        <f>IFERROR(IF('Pré Implantação'!B171="Produção TI",AVERAGE('Pós Implantação'!D171,'Pós Implantação'!E171,'Pós Implantação'!L171,'Pós Implantação'!H171),AVERAGE('Pré Implantação'!E171,'Pré Implantação'!H171)),"")</f>
        <v/>
      </c>
      <c r="D171" s="34" t="str">
        <f>IFERROR(IF('Pós Implantação'!B171="CSC Service Desk",AVERAGE('Pós Implantação'!D171,'Pós Implantação'!L171,'Pós Implantação'!F171),AVERAGE('Pós Implantação'!F171)),"")</f>
        <v/>
      </c>
      <c r="E171" s="34" t="str">
        <f>IFERROR(IF('Pós Implantação'!B171="CSC NOC",AVERAGE('Pós Implantação'!D171,'Pós Implantação'!L171,'Pós Implantação'!G171),AVERAGE('Pós Implantação'!G171)),"")</f>
        <v/>
      </c>
      <c r="F171" s="34" t="str">
        <f>IFERROR(IF('Pós Implantação'!B171="CSE Gravadores",AVERAGE('Pós Implantação'!D171,'Pós Implantação'!L171,'Pós Implantação'!I171),AVERAGE('Pós Implantação'!I171)),"")</f>
        <v/>
      </c>
      <c r="G171" s="34" t="str">
        <f>IFERROR(IF('Pós Implantação'!B171="CSC",AVERAGE('Pós Implantação'!D171,'Pós Implantação'!L171,'Pós Implantação'!J171),AVERAGE('Pós Implantação'!J171)),"")</f>
        <v/>
      </c>
      <c r="H171" s="34" t="str">
        <f>IFERROR(IF('Pós Implantação'!B171="Operações \ Negócio",AVERAGE('Pós Implantação'!D171,'Pós Implantação'!L171,'Pós Implantação'!K171),AVERAGE('Pós Implantação'!K171)),"")</f>
        <v/>
      </c>
      <c r="I171" s="34" t="str">
        <f>IFERROR(IF('Pós Implantação'!B171="Projetos",AVERAGE('Pós Implantação'!D171,'Pós Implantação'!L171,'Pós Implantação'!M171),AVERAGE('Pós Implantação'!M171)),"")</f>
        <v/>
      </c>
      <c r="J171" s="34" t="str">
        <f>IFERROR(IF('Pós Implantação'!B171="Engenharia",AVERAGE('Pós Implantação'!D171,'Pós Implantação'!L171,'Pós Implantação'!N171),AVERAGE('Pós Implantação'!N171)),"")</f>
        <v/>
      </c>
      <c r="K171" s="34" t="str">
        <f>IFERROR(IF('Pós Implantação'!B171="URA",AVERAGE('Pós Implantação'!D171,'Pós Implantação'!L171),""),"")</f>
        <v/>
      </c>
      <c r="L171" s="34" t="str">
        <f>IFERROR(IF('Pós Implantação'!B171="CSE Microsoft",AVERAGE('Pós Implantação'!D171,'Pós Implantação'!L171),""),"")</f>
        <v/>
      </c>
      <c r="M171" s="34" t="str">
        <f>IFERROR(IF('Pós Implantação'!B171="CSE Telecom",AVERAGE('Pós Implantação'!D171,'Pós Implantação'!L171),""),"")</f>
        <v/>
      </c>
      <c r="N171" s="34" t="str">
        <f>IFERROR(IF('Pós Implantação'!B171="Site Suporte de Campo",AVERAGE('Pós Implantação'!D171,'Pós Implantação'!L171),""),"")</f>
        <v/>
      </c>
      <c r="O171" s="49" t="str">
        <f>IFERROR(IF('Pós Implantação'!B171="Infraestrutura",AVERAGE('Pós Implantação'!D171,'Pós Implantação'!L171),""),"")</f>
        <v/>
      </c>
    </row>
    <row r="172" spans="1:15" x14ac:dyDescent="0.3">
      <c r="A172" s="33">
        <f>'Pré Implantação'!A172</f>
        <v>0</v>
      </c>
      <c r="B172" s="36" t="str">
        <f>'Pós Implantação'!C172</f>
        <v>0</v>
      </c>
      <c r="C172" s="34" t="str">
        <f>IFERROR(IF('Pré Implantação'!B172="Produção TI",AVERAGE('Pós Implantação'!D172,'Pós Implantação'!E172,'Pós Implantação'!L172,'Pós Implantação'!H172),AVERAGE('Pré Implantação'!E172,'Pré Implantação'!H172)),"")</f>
        <v/>
      </c>
      <c r="D172" s="34" t="str">
        <f>IFERROR(IF('Pós Implantação'!B172="CSC Service Desk",AVERAGE('Pós Implantação'!D172,'Pós Implantação'!L172,'Pós Implantação'!F172),AVERAGE('Pós Implantação'!F172)),"")</f>
        <v/>
      </c>
      <c r="E172" s="34" t="str">
        <f>IFERROR(IF('Pós Implantação'!B172="CSC NOC",AVERAGE('Pós Implantação'!D172,'Pós Implantação'!L172,'Pós Implantação'!G172),AVERAGE('Pós Implantação'!G172)),"")</f>
        <v/>
      </c>
      <c r="F172" s="34" t="str">
        <f>IFERROR(IF('Pós Implantação'!B172="CSE Gravadores",AVERAGE('Pós Implantação'!D172,'Pós Implantação'!L172,'Pós Implantação'!I172),AVERAGE('Pós Implantação'!I172)),"")</f>
        <v/>
      </c>
      <c r="G172" s="34" t="str">
        <f>IFERROR(IF('Pós Implantação'!B172="CSC",AVERAGE('Pós Implantação'!D172,'Pós Implantação'!L172,'Pós Implantação'!J172),AVERAGE('Pós Implantação'!J172)),"")</f>
        <v/>
      </c>
      <c r="H172" s="34" t="str">
        <f>IFERROR(IF('Pós Implantação'!B172="Operações \ Negócio",AVERAGE('Pós Implantação'!D172,'Pós Implantação'!L172,'Pós Implantação'!K172),AVERAGE('Pós Implantação'!K172)),"")</f>
        <v/>
      </c>
      <c r="I172" s="34" t="str">
        <f>IFERROR(IF('Pós Implantação'!B172="Projetos",AVERAGE('Pós Implantação'!D172,'Pós Implantação'!L172,'Pós Implantação'!M172),AVERAGE('Pós Implantação'!M172)),"")</f>
        <v/>
      </c>
      <c r="J172" s="34" t="str">
        <f>IFERROR(IF('Pós Implantação'!B172="Engenharia",AVERAGE('Pós Implantação'!D172,'Pós Implantação'!L172,'Pós Implantação'!N172),AVERAGE('Pós Implantação'!N172)),"")</f>
        <v/>
      </c>
      <c r="K172" s="34" t="str">
        <f>IFERROR(IF('Pós Implantação'!B172="URA",AVERAGE('Pós Implantação'!D172,'Pós Implantação'!L172),""),"")</f>
        <v/>
      </c>
      <c r="L172" s="34" t="str">
        <f>IFERROR(IF('Pós Implantação'!B172="CSE Microsoft",AVERAGE('Pós Implantação'!D172,'Pós Implantação'!L172),""),"")</f>
        <v/>
      </c>
      <c r="M172" s="34" t="str">
        <f>IFERROR(IF('Pós Implantação'!B172="CSE Telecom",AVERAGE('Pós Implantação'!D172,'Pós Implantação'!L172),""),"")</f>
        <v/>
      </c>
      <c r="N172" s="34" t="str">
        <f>IFERROR(IF('Pós Implantação'!B172="Site Suporte de Campo",AVERAGE('Pós Implantação'!D172,'Pós Implantação'!L172),""),"")</f>
        <v/>
      </c>
      <c r="O172" s="49" t="str">
        <f>IFERROR(IF('Pós Implantação'!B172="Infraestrutura",AVERAGE('Pós Implantação'!D172,'Pós Implantação'!L172),""),"")</f>
        <v/>
      </c>
    </row>
    <row r="173" spans="1:15" x14ac:dyDescent="0.3">
      <c r="A173" s="33">
        <f>'Pré Implantação'!A173</f>
        <v>0</v>
      </c>
      <c r="B173" s="36" t="str">
        <f>'Pós Implantação'!C173</f>
        <v>0</v>
      </c>
      <c r="C173" s="34" t="str">
        <f>IFERROR(IF('Pré Implantação'!B173="Produção TI",AVERAGE('Pós Implantação'!D173,'Pós Implantação'!E173,'Pós Implantação'!L173,'Pós Implantação'!H173),AVERAGE('Pré Implantação'!E173,'Pré Implantação'!H173)),"")</f>
        <v/>
      </c>
      <c r="D173" s="34" t="str">
        <f>IFERROR(IF('Pós Implantação'!B173="CSC Service Desk",AVERAGE('Pós Implantação'!D173,'Pós Implantação'!L173,'Pós Implantação'!F173),AVERAGE('Pós Implantação'!F173)),"")</f>
        <v/>
      </c>
      <c r="E173" s="34" t="str">
        <f>IFERROR(IF('Pós Implantação'!B173="CSC NOC",AVERAGE('Pós Implantação'!D173,'Pós Implantação'!L173,'Pós Implantação'!G173),AVERAGE('Pós Implantação'!G173)),"")</f>
        <v/>
      </c>
      <c r="F173" s="34" t="str">
        <f>IFERROR(IF('Pós Implantação'!B173="CSE Gravadores",AVERAGE('Pós Implantação'!D173,'Pós Implantação'!L173,'Pós Implantação'!I173),AVERAGE('Pós Implantação'!I173)),"")</f>
        <v/>
      </c>
      <c r="G173" s="34" t="str">
        <f>IFERROR(IF('Pós Implantação'!B173="CSC",AVERAGE('Pós Implantação'!D173,'Pós Implantação'!L173,'Pós Implantação'!J173),AVERAGE('Pós Implantação'!J173)),"")</f>
        <v/>
      </c>
      <c r="H173" s="34" t="str">
        <f>IFERROR(IF('Pós Implantação'!B173="Operações \ Negócio",AVERAGE('Pós Implantação'!D173,'Pós Implantação'!L173,'Pós Implantação'!K173),AVERAGE('Pós Implantação'!K173)),"")</f>
        <v/>
      </c>
      <c r="I173" s="34" t="str">
        <f>IFERROR(IF('Pós Implantação'!B173="Projetos",AVERAGE('Pós Implantação'!D173,'Pós Implantação'!L173,'Pós Implantação'!M173),AVERAGE('Pós Implantação'!M173)),"")</f>
        <v/>
      </c>
      <c r="J173" s="34" t="str">
        <f>IFERROR(IF('Pós Implantação'!B173="Engenharia",AVERAGE('Pós Implantação'!D173,'Pós Implantação'!L173,'Pós Implantação'!N173),AVERAGE('Pós Implantação'!N173)),"")</f>
        <v/>
      </c>
      <c r="K173" s="34" t="str">
        <f>IFERROR(IF('Pós Implantação'!B173="URA",AVERAGE('Pós Implantação'!D173,'Pós Implantação'!L173),""),"")</f>
        <v/>
      </c>
      <c r="L173" s="34" t="str">
        <f>IFERROR(IF('Pós Implantação'!B173="CSE Microsoft",AVERAGE('Pós Implantação'!D173,'Pós Implantação'!L173),""),"")</f>
        <v/>
      </c>
      <c r="M173" s="34" t="str">
        <f>IFERROR(IF('Pós Implantação'!B173="CSE Telecom",AVERAGE('Pós Implantação'!D173,'Pós Implantação'!L173),""),"")</f>
        <v/>
      </c>
      <c r="N173" s="34" t="str">
        <f>IFERROR(IF('Pós Implantação'!B173="Site Suporte de Campo",AVERAGE('Pós Implantação'!D173,'Pós Implantação'!L173),""),"")</f>
        <v/>
      </c>
      <c r="O173" s="49" t="str">
        <f>IFERROR(IF('Pós Implantação'!B173="Infraestrutura",AVERAGE('Pós Implantação'!D173,'Pós Implantação'!L173),""),"")</f>
        <v/>
      </c>
    </row>
    <row r="174" spans="1:15" x14ac:dyDescent="0.3">
      <c r="A174" s="33">
        <f>'Pré Implantação'!A174</f>
        <v>0</v>
      </c>
      <c r="B174" s="36" t="str">
        <f>'Pós Implantação'!C174</f>
        <v>0</v>
      </c>
      <c r="C174" s="34" t="str">
        <f>IFERROR(IF('Pré Implantação'!B174="Produção TI",AVERAGE('Pós Implantação'!D174,'Pós Implantação'!E174,'Pós Implantação'!L174,'Pós Implantação'!H174),AVERAGE('Pré Implantação'!E174,'Pré Implantação'!H174)),"")</f>
        <v/>
      </c>
      <c r="D174" s="34" t="str">
        <f>IFERROR(IF('Pós Implantação'!B174="CSC Service Desk",AVERAGE('Pós Implantação'!D174,'Pós Implantação'!L174,'Pós Implantação'!F174),AVERAGE('Pós Implantação'!F174)),"")</f>
        <v/>
      </c>
      <c r="E174" s="34" t="str">
        <f>IFERROR(IF('Pós Implantação'!B174="CSC NOC",AVERAGE('Pós Implantação'!D174,'Pós Implantação'!L174,'Pós Implantação'!G174),AVERAGE('Pós Implantação'!G174)),"")</f>
        <v/>
      </c>
      <c r="F174" s="34" t="str">
        <f>IFERROR(IF('Pós Implantação'!B174="CSE Gravadores",AVERAGE('Pós Implantação'!D174,'Pós Implantação'!L174,'Pós Implantação'!I174),AVERAGE('Pós Implantação'!I174)),"")</f>
        <v/>
      </c>
      <c r="G174" s="34" t="str">
        <f>IFERROR(IF('Pós Implantação'!B174="CSC",AVERAGE('Pós Implantação'!D174,'Pós Implantação'!L174,'Pós Implantação'!J174),AVERAGE('Pós Implantação'!J174)),"")</f>
        <v/>
      </c>
      <c r="H174" s="34" t="str">
        <f>IFERROR(IF('Pós Implantação'!B174="Operações \ Negócio",AVERAGE('Pós Implantação'!D174,'Pós Implantação'!L174,'Pós Implantação'!K174),AVERAGE('Pós Implantação'!K174)),"")</f>
        <v/>
      </c>
      <c r="I174" s="34" t="str">
        <f>IFERROR(IF('Pós Implantação'!B174="Projetos",AVERAGE('Pós Implantação'!D174,'Pós Implantação'!L174,'Pós Implantação'!M174),AVERAGE('Pós Implantação'!M174)),"")</f>
        <v/>
      </c>
      <c r="J174" s="34" t="str">
        <f>IFERROR(IF('Pós Implantação'!B174="Engenharia",AVERAGE('Pós Implantação'!D174,'Pós Implantação'!L174,'Pós Implantação'!N174),AVERAGE('Pós Implantação'!N174)),"")</f>
        <v/>
      </c>
      <c r="K174" s="34" t="str">
        <f>IFERROR(IF('Pós Implantação'!B174="URA",AVERAGE('Pós Implantação'!D174,'Pós Implantação'!L174),""),"")</f>
        <v/>
      </c>
      <c r="L174" s="34" t="str">
        <f>IFERROR(IF('Pós Implantação'!B174="CSE Microsoft",AVERAGE('Pós Implantação'!D174,'Pós Implantação'!L174),""),"")</f>
        <v/>
      </c>
      <c r="M174" s="34" t="str">
        <f>IFERROR(IF('Pós Implantação'!B174="CSE Telecom",AVERAGE('Pós Implantação'!D174,'Pós Implantação'!L174),""),"")</f>
        <v/>
      </c>
      <c r="N174" s="34" t="str">
        <f>IFERROR(IF('Pós Implantação'!B174="Site Suporte de Campo",AVERAGE('Pós Implantação'!D174,'Pós Implantação'!L174),""),"")</f>
        <v/>
      </c>
      <c r="O174" s="49" t="str">
        <f>IFERROR(IF('Pós Implantação'!B174="Infraestrutura",AVERAGE('Pós Implantação'!D174,'Pós Implantação'!L174),""),"")</f>
        <v/>
      </c>
    </row>
    <row r="175" spans="1:15" x14ac:dyDescent="0.3">
      <c r="A175" s="33">
        <f>'Pré Implantação'!A175</f>
        <v>0</v>
      </c>
      <c r="B175" s="36" t="str">
        <f>'Pós Implantação'!C175</f>
        <v>0</v>
      </c>
      <c r="C175" s="34" t="str">
        <f>IFERROR(IF('Pré Implantação'!B175="Produção TI",AVERAGE('Pós Implantação'!D175,'Pós Implantação'!E175,'Pós Implantação'!L175,'Pós Implantação'!H175),AVERAGE('Pré Implantação'!E175,'Pré Implantação'!H175)),"")</f>
        <v/>
      </c>
      <c r="D175" s="34" t="str">
        <f>IFERROR(IF('Pós Implantação'!B175="CSC Service Desk",AVERAGE('Pós Implantação'!D175,'Pós Implantação'!L175,'Pós Implantação'!F175),AVERAGE('Pós Implantação'!F175)),"")</f>
        <v/>
      </c>
      <c r="E175" s="34" t="str">
        <f>IFERROR(IF('Pós Implantação'!B175="CSC NOC",AVERAGE('Pós Implantação'!D175,'Pós Implantação'!L175,'Pós Implantação'!G175),AVERAGE('Pós Implantação'!G175)),"")</f>
        <v/>
      </c>
      <c r="F175" s="34" t="str">
        <f>IFERROR(IF('Pós Implantação'!B175="CSE Gravadores",AVERAGE('Pós Implantação'!D175,'Pós Implantação'!L175,'Pós Implantação'!I175),AVERAGE('Pós Implantação'!I175)),"")</f>
        <v/>
      </c>
      <c r="G175" s="34" t="str">
        <f>IFERROR(IF('Pós Implantação'!B175="CSC",AVERAGE('Pós Implantação'!D175,'Pós Implantação'!L175,'Pós Implantação'!J175),AVERAGE('Pós Implantação'!J175)),"")</f>
        <v/>
      </c>
      <c r="H175" s="34" t="str">
        <f>IFERROR(IF('Pós Implantação'!B175="Operações \ Negócio",AVERAGE('Pós Implantação'!D175,'Pós Implantação'!L175,'Pós Implantação'!K175),AVERAGE('Pós Implantação'!K175)),"")</f>
        <v/>
      </c>
      <c r="I175" s="34" t="str">
        <f>IFERROR(IF('Pós Implantação'!B175="Projetos",AVERAGE('Pós Implantação'!D175,'Pós Implantação'!L175,'Pós Implantação'!M175),AVERAGE('Pós Implantação'!M175)),"")</f>
        <v/>
      </c>
      <c r="J175" s="34" t="str">
        <f>IFERROR(IF('Pós Implantação'!B175="Engenharia",AVERAGE('Pós Implantação'!D175,'Pós Implantação'!L175,'Pós Implantação'!N175),AVERAGE('Pós Implantação'!N175)),"")</f>
        <v/>
      </c>
      <c r="K175" s="34" t="str">
        <f>IFERROR(IF('Pós Implantação'!B175="URA",AVERAGE('Pós Implantação'!D175,'Pós Implantação'!L175),""),"")</f>
        <v/>
      </c>
      <c r="L175" s="34" t="str">
        <f>IFERROR(IF('Pós Implantação'!B175="CSE Microsoft",AVERAGE('Pós Implantação'!D175,'Pós Implantação'!L175),""),"")</f>
        <v/>
      </c>
      <c r="M175" s="34" t="str">
        <f>IFERROR(IF('Pós Implantação'!B175="CSE Telecom",AVERAGE('Pós Implantação'!D175,'Pós Implantação'!L175),""),"")</f>
        <v/>
      </c>
      <c r="N175" s="34" t="str">
        <f>IFERROR(IF('Pós Implantação'!B175="Site Suporte de Campo",AVERAGE('Pós Implantação'!D175,'Pós Implantação'!L175),""),"")</f>
        <v/>
      </c>
      <c r="O175" s="49" t="str">
        <f>IFERROR(IF('Pós Implantação'!B175="Infraestrutura",AVERAGE('Pós Implantação'!D175,'Pós Implantação'!L175),""),"")</f>
        <v/>
      </c>
    </row>
    <row r="176" spans="1:15" x14ac:dyDescent="0.3">
      <c r="A176" s="33">
        <f>'Pré Implantação'!A176</f>
        <v>0</v>
      </c>
      <c r="B176" s="36" t="str">
        <f>'Pós Implantação'!C176</f>
        <v>0</v>
      </c>
      <c r="C176" s="34" t="str">
        <f>IFERROR(IF('Pré Implantação'!B176="Produção TI",AVERAGE('Pós Implantação'!D176,'Pós Implantação'!E176,'Pós Implantação'!L176,'Pós Implantação'!H176),AVERAGE('Pré Implantação'!E176,'Pré Implantação'!H176)),"")</f>
        <v/>
      </c>
      <c r="D176" s="34" t="str">
        <f>IFERROR(IF('Pós Implantação'!B176="CSC Service Desk",AVERAGE('Pós Implantação'!D176,'Pós Implantação'!L176,'Pós Implantação'!F176),AVERAGE('Pós Implantação'!F176)),"")</f>
        <v/>
      </c>
      <c r="E176" s="34" t="str">
        <f>IFERROR(IF('Pós Implantação'!B176="CSC NOC",AVERAGE('Pós Implantação'!D176,'Pós Implantação'!L176,'Pós Implantação'!G176),AVERAGE('Pós Implantação'!G176)),"")</f>
        <v/>
      </c>
      <c r="F176" s="34" t="str">
        <f>IFERROR(IF('Pós Implantação'!B176="CSE Gravadores",AVERAGE('Pós Implantação'!D176,'Pós Implantação'!L176,'Pós Implantação'!I176),AVERAGE('Pós Implantação'!I176)),"")</f>
        <v/>
      </c>
      <c r="G176" s="34" t="str">
        <f>IFERROR(IF('Pós Implantação'!B176="CSC",AVERAGE('Pós Implantação'!D176,'Pós Implantação'!L176,'Pós Implantação'!J176),AVERAGE('Pós Implantação'!J176)),"")</f>
        <v/>
      </c>
      <c r="H176" s="34" t="str">
        <f>IFERROR(IF('Pós Implantação'!B176="Operações \ Negócio",AVERAGE('Pós Implantação'!D176,'Pós Implantação'!L176,'Pós Implantação'!K176),AVERAGE('Pós Implantação'!K176)),"")</f>
        <v/>
      </c>
      <c r="I176" s="34" t="str">
        <f>IFERROR(IF('Pós Implantação'!B176="Projetos",AVERAGE('Pós Implantação'!D176,'Pós Implantação'!L176,'Pós Implantação'!M176),AVERAGE('Pós Implantação'!M176)),"")</f>
        <v/>
      </c>
      <c r="J176" s="34" t="str">
        <f>IFERROR(IF('Pós Implantação'!B176="Engenharia",AVERAGE('Pós Implantação'!D176,'Pós Implantação'!L176,'Pós Implantação'!N176),AVERAGE('Pós Implantação'!N176)),"")</f>
        <v/>
      </c>
      <c r="K176" s="34" t="str">
        <f>IFERROR(IF('Pós Implantação'!B176="URA",AVERAGE('Pós Implantação'!D176,'Pós Implantação'!L176),""),"")</f>
        <v/>
      </c>
      <c r="L176" s="34" t="str">
        <f>IFERROR(IF('Pós Implantação'!B176="CSE Microsoft",AVERAGE('Pós Implantação'!D176,'Pós Implantação'!L176),""),"")</f>
        <v/>
      </c>
      <c r="M176" s="34" t="str">
        <f>IFERROR(IF('Pós Implantação'!B176="CSE Telecom",AVERAGE('Pós Implantação'!D176,'Pós Implantação'!L176),""),"")</f>
        <v/>
      </c>
      <c r="N176" s="34" t="str">
        <f>IFERROR(IF('Pós Implantação'!B176="Site Suporte de Campo",AVERAGE('Pós Implantação'!D176,'Pós Implantação'!L176),""),"")</f>
        <v/>
      </c>
      <c r="O176" s="49" t="str">
        <f>IFERROR(IF('Pós Implantação'!B176="Infraestrutura",AVERAGE('Pós Implantação'!D176,'Pós Implantação'!L176),""),"")</f>
        <v/>
      </c>
    </row>
    <row r="177" spans="1:15" x14ac:dyDescent="0.3">
      <c r="A177" s="33">
        <f>'Pré Implantação'!A177</f>
        <v>0</v>
      </c>
      <c r="B177" s="36" t="str">
        <f>'Pós Implantação'!C177</f>
        <v>0</v>
      </c>
      <c r="C177" s="34" t="str">
        <f>IFERROR(IF('Pré Implantação'!B177="Produção TI",AVERAGE('Pós Implantação'!D177,'Pós Implantação'!E177,'Pós Implantação'!L177,'Pós Implantação'!H177),AVERAGE('Pré Implantação'!E177,'Pré Implantação'!H177)),"")</f>
        <v/>
      </c>
      <c r="D177" s="34" t="str">
        <f>IFERROR(IF('Pós Implantação'!B177="CSC Service Desk",AVERAGE('Pós Implantação'!D177,'Pós Implantação'!L177,'Pós Implantação'!F177),AVERAGE('Pós Implantação'!F177)),"")</f>
        <v/>
      </c>
      <c r="E177" s="34" t="str">
        <f>IFERROR(IF('Pós Implantação'!B177="CSC NOC",AVERAGE('Pós Implantação'!D177,'Pós Implantação'!L177,'Pós Implantação'!G177),AVERAGE('Pós Implantação'!G177)),"")</f>
        <v/>
      </c>
      <c r="F177" s="34" t="str">
        <f>IFERROR(IF('Pós Implantação'!B177="CSE Gravadores",AVERAGE('Pós Implantação'!D177,'Pós Implantação'!L177,'Pós Implantação'!I177),AVERAGE('Pós Implantação'!I177)),"")</f>
        <v/>
      </c>
      <c r="G177" s="34" t="str">
        <f>IFERROR(IF('Pós Implantação'!B177="CSC",AVERAGE('Pós Implantação'!D177,'Pós Implantação'!L177,'Pós Implantação'!J177),AVERAGE('Pós Implantação'!J177)),"")</f>
        <v/>
      </c>
      <c r="H177" s="34" t="str">
        <f>IFERROR(IF('Pós Implantação'!B177="Operações \ Negócio",AVERAGE('Pós Implantação'!D177,'Pós Implantação'!L177,'Pós Implantação'!K177),AVERAGE('Pós Implantação'!K177)),"")</f>
        <v/>
      </c>
      <c r="I177" s="34" t="str">
        <f>IFERROR(IF('Pós Implantação'!B177="Projetos",AVERAGE('Pós Implantação'!D177,'Pós Implantação'!L177,'Pós Implantação'!M177),AVERAGE('Pós Implantação'!M177)),"")</f>
        <v/>
      </c>
      <c r="J177" s="34" t="str">
        <f>IFERROR(IF('Pós Implantação'!B177="Engenharia",AVERAGE('Pós Implantação'!D177,'Pós Implantação'!L177,'Pós Implantação'!N177),AVERAGE('Pós Implantação'!N177)),"")</f>
        <v/>
      </c>
      <c r="K177" s="34" t="str">
        <f>IFERROR(IF('Pós Implantação'!B177="URA",AVERAGE('Pós Implantação'!D177,'Pós Implantação'!L177),""),"")</f>
        <v/>
      </c>
      <c r="L177" s="34" t="str">
        <f>IFERROR(IF('Pós Implantação'!B177="CSE Microsoft",AVERAGE('Pós Implantação'!D177,'Pós Implantação'!L177),""),"")</f>
        <v/>
      </c>
      <c r="M177" s="34" t="str">
        <f>IFERROR(IF('Pós Implantação'!B177="CSE Telecom",AVERAGE('Pós Implantação'!D177,'Pós Implantação'!L177),""),"")</f>
        <v/>
      </c>
      <c r="N177" s="34" t="str">
        <f>IFERROR(IF('Pós Implantação'!B177="Site Suporte de Campo",AVERAGE('Pós Implantação'!D177,'Pós Implantação'!L177),""),"")</f>
        <v/>
      </c>
      <c r="O177" s="49" t="str">
        <f>IFERROR(IF('Pós Implantação'!B177="Infraestrutura",AVERAGE('Pós Implantação'!D177,'Pós Implantação'!L177),""),"")</f>
        <v/>
      </c>
    </row>
    <row r="178" spans="1:15" x14ac:dyDescent="0.3">
      <c r="A178" s="33">
        <f>'Pré Implantação'!A178</f>
        <v>0</v>
      </c>
      <c r="B178" s="36" t="str">
        <f>'Pós Implantação'!C178</f>
        <v>0</v>
      </c>
      <c r="C178" s="34" t="str">
        <f>IFERROR(IF('Pré Implantação'!B178="Produção TI",AVERAGE('Pós Implantação'!D178,'Pós Implantação'!E178,'Pós Implantação'!L178,'Pós Implantação'!H178),AVERAGE('Pré Implantação'!E178,'Pré Implantação'!H178)),"")</f>
        <v/>
      </c>
      <c r="D178" s="34" t="str">
        <f>IFERROR(IF('Pós Implantação'!B178="CSC Service Desk",AVERAGE('Pós Implantação'!D178,'Pós Implantação'!L178,'Pós Implantação'!F178),AVERAGE('Pós Implantação'!F178)),"")</f>
        <v/>
      </c>
      <c r="E178" s="34" t="str">
        <f>IFERROR(IF('Pós Implantação'!B178="CSC NOC",AVERAGE('Pós Implantação'!D178,'Pós Implantação'!L178,'Pós Implantação'!G178),AVERAGE('Pós Implantação'!G178)),"")</f>
        <v/>
      </c>
      <c r="F178" s="34" t="str">
        <f>IFERROR(IF('Pós Implantação'!B178="CSE Gravadores",AVERAGE('Pós Implantação'!D178,'Pós Implantação'!L178,'Pós Implantação'!I178),AVERAGE('Pós Implantação'!I178)),"")</f>
        <v/>
      </c>
      <c r="G178" s="34" t="str">
        <f>IFERROR(IF('Pós Implantação'!B178="CSC",AVERAGE('Pós Implantação'!D178,'Pós Implantação'!L178,'Pós Implantação'!J178),AVERAGE('Pós Implantação'!J178)),"")</f>
        <v/>
      </c>
      <c r="H178" s="34" t="str">
        <f>IFERROR(IF('Pós Implantação'!B178="Operações \ Negócio",AVERAGE('Pós Implantação'!D178,'Pós Implantação'!L178,'Pós Implantação'!K178),AVERAGE('Pós Implantação'!K178)),"")</f>
        <v/>
      </c>
      <c r="I178" s="34" t="str">
        <f>IFERROR(IF('Pós Implantação'!B178="Projetos",AVERAGE('Pós Implantação'!D178,'Pós Implantação'!L178,'Pós Implantação'!M178),AVERAGE('Pós Implantação'!M178)),"")</f>
        <v/>
      </c>
      <c r="J178" s="34" t="str">
        <f>IFERROR(IF('Pós Implantação'!B178="Engenharia",AVERAGE('Pós Implantação'!D178,'Pós Implantação'!L178,'Pós Implantação'!N178),AVERAGE('Pós Implantação'!N178)),"")</f>
        <v/>
      </c>
      <c r="K178" s="34" t="str">
        <f>IFERROR(IF('Pós Implantação'!B178="URA",AVERAGE('Pós Implantação'!D178,'Pós Implantação'!L178),""),"")</f>
        <v/>
      </c>
      <c r="L178" s="34" t="str">
        <f>IFERROR(IF('Pós Implantação'!B178="CSE Microsoft",AVERAGE('Pós Implantação'!D178,'Pós Implantação'!L178),""),"")</f>
        <v/>
      </c>
      <c r="M178" s="34" t="str">
        <f>IFERROR(IF('Pós Implantação'!B178="CSE Telecom",AVERAGE('Pós Implantação'!D178,'Pós Implantação'!L178),""),"")</f>
        <v/>
      </c>
      <c r="N178" s="34" t="str">
        <f>IFERROR(IF('Pós Implantação'!B178="Site Suporte de Campo",AVERAGE('Pós Implantação'!D178,'Pós Implantação'!L178),""),"")</f>
        <v/>
      </c>
      <c r="O178" s="49" t="str">
        <f>IFERROR(IF('Pós Implantação'!B178="Infraestrutura",AVERAGE('Pós Implantação'!D178,'Pós Implantação'!L178),""),"")</f>
        <v/>
      </c>
    </row>
    <row r="179" spans="1:15" x14ac:dyDescent="0.3">
      <c r="A179" s="33">
        <f>'Pré Implantação'!A179</f>
        <v>0</v>
      </c>
      <c r="B179" s="36" t="str">
        <f>'Pós Implantação'!C179</f>
        <v>0</v>
      </c>
      <c r="C179" s="34" t="str">
        <f>IFERROR(IF('Pré Implantação'!B179="Produção TI",AVERAGE('Pós Implantação'!D179,'Pós Implantação'!E179,'Pós Implantação'!L179,'Pós Implantação'!H179),AVERAGE('Pré Implantação'!E179,'Pré Implantação'!H179)),"")</f>
        <v/>
      </c>
      <c r="D179" s="34" t="str">
        <f>IFERROR(IF('Pós Implantação'!B179="CSC Service Desk",AVERAGE('Pós Implantação'!D179,'Pós Implantação'!L179,'Pós Implantação'!F179),AVERAGE('Pós Implantação'!F179)),"")</f>
        <v/>
      </c>
      <c r="E179" s="34" t="str">
        <f>IFERROR(IF('Pós Implantação'!B179="CSC NOC",AVERAGE('Pós Implantação'!D179,'Pós Implantação'!L179,'Pós Implantação'!G179),AVERAGE('Pós Implantação'!G179)),"")</f>
        <v/>
      </c>
      <c r="F179" s="34" t="str">
        <f>IFERROR(IF('Pós Implantação'!B179="CSE Gravadores",AVERAGE('Pós Implantação'!D179,'Pós Implantação'!L179,'Pós Implantação'!I179),AVERAGE('Pós Implantação'!I179)),"")</f>
        <v/>
      </c>
      <c r="G179" s="34" t="str">
        <f>IFERROR(IF('Pós Implantação'!B179="CSC",AVERAGE('Pós Implantação'!D179,'Pós Implantação'!L179,'Pós Implantação'!J179),AVERAGE('Pós Implantação'!J179)),"")</f>
        <v/>
      </c>
      <c r="H179" s="34" t="str">
        <f>IFERROR(IF('Pós Implantação'!B179="Operações \ Negócio",AVERAGE('Pós Implantação'!D179,'Pós Implantação'!L179,'Pós Implantação'!K179),AVERAGE('Pós Implantação'!K179)),"")</f>
        <v/>
      </c>
      <c r="I179" s="34" t="str">
        <f>IFERROR(IF('Pós Implantação'!B179="Projetos",AVERAGE('Pós Implantação'!D179,'Pós Implantação'!L179,'Pós Implantação'!M179),AVERAGE('Pós Implantação'!M179)),"")</f>
        <v/>
      </c>
      <c r="J179" s="34" t="str">
        <f>IFERROR(IF('Pós Implantação'!B179="Engenharia",AVERAGE('Pós Implantação'!D179,'Pós Implantação'!L179,'Pós Implantação'!N179),AVERAGE('Pós Implantação'!N179)),"")</f>
        <v/>
      </c>
      <c r="K179" s="34" t="str">
        <f>IFERROR(IF('Pós Implantação'!B179="URA",AVERAGE('Pós Implantação'!D179,'Pós Implantação'!L179),""),"")</f>
        <v/>
      </c>
      <c r="L179" s="34" t="str">
        <f>IFERROR(IF('Pós Implantação'!B179="CSE Microsoft",AVERAGE('Pós Implantação'!D179,'Pós Implantação'!L179),""),"")</f>
        <v/>
      </c>
      <c r="M179" s="34" t="str">
        <f>IFERROR(IF('Pós Implantação'!B179="CSE Telecom",AVERAGE('Pós Implantação'!D179,'Pós Implantação'!L179),""),"")</f>
        <v/>
      </c>
      <c r="N179" s="34" t="str">
        <f>IFERROR(IF('Pós Implantação'!B179="Site Suporte de Campo",AVERAGE('Pós Implantação'!D179,'Pós Implantação'!L179),""),"")</f>
        <v/>
      </c>
      <c r="O179" s="49" t="str">
        <f>IFERROR(IF('Pós Implantação'!B179="Infraestrutura",AVERAGE('Pós Implantação'!D179,'Pós Implantação'!L179),""),"")</f>
        <v/>
      </c>
    </row>
    <row r="180" spans="1:15" x14ac:dyDescent="0.3">
      <c r="A180" s="33">
        <f>'Pré Implantação'!A180</f>
        <v>0</v>
      </c>
      <c r="B180" s="36" t="str">
        <f>'Pós Implantação'!C180</f>
        <v>0</v>
      </c>
      <c r="C180" s="34" t="str">
        <f>IFERROR(IF('Pré Implantação'!B180="Produção TI",AVERAGE('Pós Implantação'!D180,'Pós Implantação'!E180,'Pós Implantação'!L180,'Pós Implantação'!H180),AVERAGE('Pré Implantação'!E180,'Pré Implantação'!H180)),"")</f>
        <v/>
      </c>
      <c r="D180" s="34" t="str">
        <f>IFERROR(IF('Pós Implantação'!B180="CSC Service Desk",AVERAGE('Pós Implantação'!D180,'Pós Implantação'!L180,'Pós Implantação'!F180),AVERAGE('Pós Implantação'!F180)),"")</f>
        <v/>
      </c>
      <c r="E180" s="34" t="str">
        <f>IFERROR(IF('Pós Implantação'!B180="CSC NOC",AVERAGE('Pós Implantação'!D180,'Pós Implantação'!L180,'Pós Implantação'!G180),AVERAGE('Pós Implantação'!G180)),"")</f>
        <v/>
      </c>
      <c r="F180" s="34" t="str">
        <f>IFERROR(IF('Pós Implantação'!B180="CSE Gravadores",AVERAGE('Pós Implantação'!D180,'Pós Implantação'!L180,'Pós Implantação'!I180),AVERAGE('Pós Implantação'!I180)),"")</f>
        <v/>
      </c>
      <c r="G180" s="34" t="str">
        <f>IFERROR(IF('Pós Implantação'!B180="CSC",AVERAGE('Pós Implantação'!D180,'Pós Implantação'!L180,'Pós Implantação'!J180),AVERAGE('Pós Implantação'!J180)),"")</f>
        <v/>
      </c>
      <c r="H180" s="34" t="str">
        <f>IFERROR(IF('Pós Implantação'!B180="Operações \ Negócio",AVERAGE('Pós Implantação'!D180,'Pós Implantação'!L180,'Pós Implantação'!K180),AVERAGE('Pós Implantação'!K180)),"")</f>
        <v/>
      </c>
      <c r="I180" s="34" t="str">
        <f>IFERROR(IF('Pós Implantação'!B180="Projetos",AVERAGE('Pós Implantação'!D180,'Pós Implantação'!L180,'Pós Implantação'!M180),AVERAGE('Pós Implantação'!M180)),"")</f>
        <v/>
      </c>
      <c r="J180" s="34" t="str">
        <f>IFERROR(IF('Pós Implantação'!B180="Engenharia",AVERAGE('Pós Implantação'!D180,'Pós Implantação'!L180,'Pós Implantação'!N180),AVERAGE('Pós Implantação'!N180)),"")</f>
        <v/>
      </c>
      <c r="K180" s="34" t="str">
        <f>IFERROR(IF('Pós Implantação'!B180="URA",AVERAGE('Pós Implantação'!D180,'Pós Implantação'!L180),""),"")</f>
        <v/>
      </c>
      <c r="L180" s="34" t="str">
        <f>IFERROR(IF('Pós Implantação'!B180="CSE Microsoft",AVERAGE('Pós Implantação'!D180,'Pós Implantação'!L180),""),"")</f>
        <v/>
      </c>
      <c r="M180" s="34" t="str">
        <f>IFERROR(IF('Pós Implantação'!B180="CSE Telecom",AVERAGE('Pós Implantação'!D180,'Pós Implantação'!L180),""),"")</f>
        <v/>
      </c>
      <c r="N180" s="34" t="str">
        <f>IFERROR(IF('Pós Implantação'!B180="Site Suporte de Campo",AVERAGE('Pós Implantação'!D180,'Pós Implantação'!L180),""),"")</f>
        <v/>
      </c>
      <c r="O180" s="49" t="str">
        <f>IFERROR(IF('Pós Implantação'!B180="Infraestrutura",AVERAGE('Pós Implantação'!D180,'Pós Implantação'!L180),""),"")</f>
        <v/>
      </c>
    </row>
    <row r="181" spans="1:15" x14ac:dyDescent="0.3">
      <c r="A181" s="33">
        <f>'Pré Implantação'!A181</f>
        <v>0</v>
      </c>
      <c r="B181" s="36" t="str">
        <f>'Pós Implantação'!C181</f>
        <v>0</v>
      </c>
      <c r="C181" s="34" t="str">
        <f>IFERROR(IF('Pré Implantação'!B181="Produção TI",AVERAGE('Pós Implantação'!D181,'Pós Implantação'!E181,'Pós Implantação'!L181,'Pós Implantação'!H181),AVERAGE('Pré Implantação'!E181,'Pré Implantação'!H181)),"")</f>
        <v/>
      </c>
      <c r="D181" s="34" t="str">
        <f>IFERROR(IF('Pós Implantação'!B181="CSC Service Desk",AVERAGE('Pós Implantação'!D181,'Pós Implantação'!L181,'Pós Implantação'!F181),AVERAGE('Pós Implantação'!F181)),"")</f>
        <v/>
      </c>
      <c r="E181" s="34" t="str">
        <f>IFERROR(IF('Pós Implantação'!B181="CSC NOC",AVERAGE('Pós Implantação'!D181,'Pós Implantação'!L181,'Pós Implantação'!G181),AVERAGE('Pós Implantação'!G181)),"")</f>
        <v/>
      </c>
      <c r="F181" s="34" t="str">
        <f>IFERROR(IF('Pós Implantação'!B181="CSE Gravadores",AVERAGE('Pós Implantação'!D181,'Pós Implantação'!L181,'Pós Implantação'!I181),AVERAGE('Pós Implantação'!I181)),"")</f>
        <v/>
      </c>
      <c r="G181" s="34" t="str">
        <f>IFERROR(IF('Pós Implantação'!B181="CSC",AVERAGE('Pós Implantação'!D181,'Pós Implantação'!L181,'Pós Implantação'!J181),AVERAGE('Pós Implantação'!J181)),"")</f>
        <v/>
      </c>
      <c r="H181" s="34" t="str">
        <f>IFERROR(IF('Pós Implantação'!B181="Operações \ Negócio",AVERAGE('Pós Implantação'!D181,'Pós Implantação'!L181,'Pós Implantação'!K181),AVERAGE('Pós Implantação'!K181)),"")</f>
        <v/>
      </c>
      <c r="I181" s="34" t="str">
        <f>IFERROR(IF('Pós Implantação'!B181="Projetos",AVERAGE('Pós Implantação'!D181,'Pós Implantação'!L181,'Pós Implantação'!M181),AVERAGE('Pós Implantação'!M181)),"")</f>
        <v/>
      </c>
      <c r="J181" s="34" t="str">
        <f>IFERROR(IF('Pós Implantação'!B181="Engenharia",AVERAGE('Pós Implantação'!D181,'Pós Implantação'!L181,'Pós Implantação'!N181),AVERAGE('Pós Implantação'!N181)),"")</f>
        <v/>
      </c>
      <c r="K181" s="34" t="str">
        <f>IFERROR(IF('Pós Implantação'!B181="URA",AVERAGE('Pós Implantação'!D181,'Pós Implantação'!L181),""),"")</f>
        <v/>
      </c>
      <c r="L181" s="34" t="str">
        <f>IFERROR(IF('Pós Implantação'!B181="CSE Microsoft",AVERAGE('Pós Implantação'!D181,'Pós Implantação'!L181),""),"")</f>
        <v/>
      </c>
      <c r="M181" s="34" t="str">
        <f>IFERROR(IF('Pós Implantação'!B181="CSE Telecom",AVERAGE('Pós Implantação'!D181,'Pós Implantação'!L181),""),"")</f>
        <v/>
      </c>
      <c r="N181" s="34" t="str">
        <f>IFERROR(IF('Pós Implantação'!B181="Site Suporte de Campo",AVERAGE('Pós Implantação'!D181,'Pós Implantação'!L181),""),"")</f>
        <v/>
      </c>
      <c r="O181" s="49" t="str">
        <f>IFERROR(IF('Pós Implantação'!B181="Infraestrutura",AVERAGE('Pós Implantação'!D181,'Pós Implantação'!L181),""),"")</f>
        <v/>
      </c>
    </row>
    <row r="182" spans="1:15" x14ac:dyDescent="0.3">
      <c r="A182" s="33">
        <f>'Pré Implantação'!A182</f>
        <v>0</v>
      </c>
      <c r="B182" s="36" t="str">
        <f>'Pós Implantação'!C182</f>
        <v>0</v>
      </c>
      <c r="C182" s="34" t="str">
        <f>IFERROR(IF('Pré Implantação'!B182="Produção TI",AVERAGE('Pós Implantação'!D182,'Pós Implantação'!E182,'Pós Implantação'!L182,'Pós Implantação'!H182),AVERAGE('Pré Implantação'!E182,'Pré Implantação'!H182)),"")</f>
        <v/>
      </c>
      <c r="D182" s="34" t="str">
        <f>IFERROR(IF('Pós Implantação'!B182="CSC Service Desk",AVERAGE('Pós Implantação'!D182,'Pós Implantação'!L182,'Pós Implantação'!F182),AVERAGE('Pós Implantação'!F182)),"")</f>
        <v/>
      </c>
      <c r="E182" s="34" t="str">
        <f>IFERROR(IF('Pós Implantação'!B182="CSC NOC",AVERAGE('Pós Implantação'!D182,'Pós Implantação'!L182,'Pós Implantação'!G182),AVERAGE('Pós Implantação'!G182)),"")</f>
        <v/>
      </c>
      <c r="F182" s="34" t="str">
        <f>IFERROR(IF('Pós Implantação'!B182="CSE Gravadores",AVERAGE('Pós Implantação'!D182,'Pós Implantação'!L182,'Pós Implantação'!I182),AVERAGE('Pós Implantação'!I182)),"")</f>
        <v/>
      </c>
      <c r="G182" s="34" t="str">
        <f>IFERROR(IF('Pós Implantação'!B182="CSC",AVERAGE('Pós Implantação'!D182,'Pós Implantação'!L182,'Pós Implantação'!J182),AVERAGE('Pós Implantação'!J182)),"")</f>
        <v/>
      </c>
      <c r="H182" s="34" t="str">
        <f>IFERROR(IF('Pós Implantação'!B182="Operações \ Negócio",AVERAGE('Pós Implantação'!D182,'Pós Implantação'!L182,'Pós Implantação'!K182),AVERAGE('Pós Implantação'!K182)),"")</f>
        <v/>
      </c>
      <c r="I182" s="34" t="str">
        <f>IFERROR(IF('Pós Implantação'!B182="Projetos",AVERAGE('Pós Implantação'!D182,'Pós Implantação'!L182,'Pós Implantação'!M182),AVERAGE('Pós Implantação'!M182)),"")</f>
        <v/>
      </c>
      <c r="J182" s="34" t="str">
        <f>IFERROR(IF('Pós Implantação'!B182="Engenharia",AVERAGE('Pós Implantação'!D182,'Pós Implantação'!L182,'Pós Implantação'!N182),AVERAGE('Pós Implantação'!N182)),"")</f>
        <v/>
      </c>
      <c r="K182" s="34" t="str">
        <f>IFERROR(IF('Pós Implantação'!B182="URA",AVERAGE('Pós Implantação'!D182,'Pós Implantação'!L182),""),"")</f>
        <v/>
      </c>
      <c r="L182" s="34" t="str">
        <f>IFERROR(IF('Pós Implantação'!B182="CSE Microsoft",AVERAGE('Pós Implantação'!D182,'Pós Implantação'!L182),""),"")</f>
        <v/>
      </c>
      <c r="M182" s="34" t="str">
        <f>IFERROR(IF('Pós Implantação'!B182="CSE Telecom",AVERAGE('Pós Implantação'!D182,'Pós Implantação'!L182),""),"")</f>
        <v/>
      </c>
      <c r="N182" s="34" t="str">
        <f>IFERROR(IF('Pós Implantação'!B182="Site Suporte de Campo",AVERAGE('Pós Implantação'!D182,'Pós Implantação'!L182),""),"")</f>
        <v/>
      </c>
      <c r="O182" s="49" t="str">
        <f>IFERROR(IF('Pós Implantação'!B182="Infraestrutura",AVERAGE('Pós Implantação'!D182,'Pós Implantação'!L182),""),"")</f>
        <v/>
      </c>
    </row>
    <row r="183" spans="1:15" x14ac:dyDescent="0.3">
      <c r="A183" s="33">
        <f>'Pré Implantação'!A183</f>
        <v>0</v>
      </c>
      <c r="B183" s="36" t="str">
        <f>'Pós Implantação'!C183</f>
        <v>0</v>
      </c>
      <c r="C183" s="34" t="str">
        <f>IFERROR(IF('Pré Implantação'!B183="Produção TI",AVERAGE('Pós Implantação'!D183,'Pós Implantação'!E183,'Pós Implantação'!L183,'Pós Implantação'!H183),AVERAGE('Pré Implantação'!E183,'Pré Implantação'!H183)),"")</f>
        <v/>
      </c>
      <c r="D183" s="34" t="str">
        <f>IFERROR(IF('Pós Implantação'!B183="CSC Service Desk",AVERAGE('Pós Implantação'!D183,'Pós Implantação'!L183,'Pós Implantação'!F183),AVERAGE('Pós Implantação'!F183)),"")</f>
        <v/>
      </c>
      <c r="E183" s="34" t="str">
        <f>IFERROR(IF('Pós Implantação'!B183="CSC NOC",AVERAGE('Pós Implantação'!D183,'Pós Implantação'!L183,'Pós Implantação'!G183),AVERAGE('Pós Implantação'!G183)),"")</f>
        <v/>
      </c>
      <c r="F183" s="34" t="str">
        <f>IFERROR(IF('Pós Implantação'!B183="CSE Gravadores",AVERAGE('Pós Implantação'!D183,'Pós Implantação'!L183,'Pós Implantação'!I183),AVERAGE('Pós Implantação'!I183)),"")</f>
        <v/>
      </c>
      <c r="G183" s="34" t="str">
        <f>IFERROR(IF('Pós Implantação'!B183="CSC",AVERAGE('Pós Implantação'!D183,'Pós Implantação'!L183,'Pós Implantação'!J183),AVERAGE('Pós Implantação'!J183)),"")</f>
        <v/>
      </c>
      <c r="H183" s="34" t="str">
        <f>IFERROR(IF('Pós Implantação'!B183="Operações \ Negócio",AVERAGE('Pós Implantação'!D183,'Pós Implantação'!L183,'Pós Implantação'!K183),AVERAGE('Pós Implantação'!K183)),"")</f>
        <v/>
      </c>
      <c r="I183" s="34" t="str">
        <f>IFERROR(IF('Pós Implantação'!B183="Projetos",AVERAGE('Pós Implantação'!D183,'Pós Implantação'!L183,'Pós Implantação'!M183),AVERAGE('Pós Implantação'!M183)),"")</f>
        <v/>
      </c>
      <c r="J183" s="34" t="str">
        <f>IFERROR(IF('Pós Implantação'!B183="Engenharia",AVERAGE('Pós Implantação'!D183,'Pós Implantação'!L183,'Pós Implantação'!N183),AVERAGE('Pós Implantação'!N183)),"")</f>
        <v/>
      </c>
      <c r="K183" s="34" t="str">
        <f>IFERROR(IF('Pós Implantação'!B183="URA",AVERAGE('Pós Implantação'!D183,'Pós Implantação'!L183),""),"")</f>
        <v/>
      </c>
      <c r="L183" s="34" t="str">
        <f>IFERROR(IF('Pós Implantação'!B183="CSE Microsoft",AVERAGE('Pós Implantação'!D183,'Pós Implantação'!L183),""),"")</f>
        <v/>
      </c>
      <c r="M183" s="34" t="str">
        <f>IFERROR(IF('Pós Implantação'!B183="CSE Telecom",AVERAGE('Pós Implantação'!D183,'Pós Implantação'!L183),""),"")</f>
        <v/>
      </c>
      <c r="N183" s="34" t="str">
        <f>IFERROR(IF('Pós Implantação'!B183="Site Suporte de Campo",AVERAGE('Pós Implantação'!D183,'Pós Implantação'!L183),""),"")</f>
        <v/>
      </c>
      <c r="O183" s="49" t="str">
        <f>IFERROR(IF('Pós Implantação'!B183="Infraestrutura",AVERAGE('Pós Implantação'!D183,'Pós Implantação'!L183),""),"")</f>
        <v/>
      </c>
    </row>
    <row r="184" spans="1:15" x14ac:dyDescent="0.3">
      <c r="A184" s="33">
        <f>'Pré Implantação'!A184</f>
        <v>0</v>
      </c>
      <c r="B184" s="36" t="str">
        <f>'Pós Implantação'!C184</f>
        <v>0</v>
      </c>
      <c r="C184" s="34" t="str">
        <f>IFERROR(IF('Pré Implantação'!B184="Produção TI",AVERAGE('Pós Implantação'!D184,'Pós Implantação'!E184,'Pós Implantação'!L184,'Pós Implantação'!H184),AVERAGE('Pré Implantação'!E184,'Pré Implantação'!H184)),"")</f>
        <v/>
      </c>
      <c r="D184" s="34" t="str">
        <f>IFERROR(IF('Pós Implantação'!B184="CSC Service Desk",AVERAGE('Pós Implantação'!D184,'Pós Implantação'!L184,'Pós Implantação'!F184),AVERAGE('Pós Implantação'!F184)),"")</f>
        <v/>
      </c>
      <c r="E184" s="34" t="str">
        <f>IFERROR(IF('Pós Implantação'!B184="CSC NOC",AVERAGE('Pós Implantação'!D184,'Pós Implantação'!L184,'Pós Implantação'!G184),AVERAGE('Pós Implantação'!G184)),"")</f>
        <v/>
      </c>
      <c r="F184" s="34" t="str">
        <f>IFERROR(IF('Pós Implantação'!B184="CSE Gravadores",AVERAGE('Pós Implantação'!D184,'Pós Implantação'!L184,'Pós Implantação'!I184),AVERAGE('Pós Implantação'!I184)),"")</f>
        <v/>
      </c>
      <c r="G184" s="34" t="str">
        <f>IFERROR(IF('Pós Implantação'!B184="CSC",AVERAGE('Pós Implantação'!D184,'Pós Implantação'!L184,'Pós Implantação'!J184),AVERAGE('Pós Implantação'!J184)),"")</f>
        <v/>
      </c>
      <c r="H184" s="34" t="str">
        <f>IFERROR(IF('Pós Implantação'!B184="Operações \ Negócio",AVERAGE('Pós Implantação'!D184,'Pós Implantação'!L184,'Pós Implantação'!K184),AVERAGE('Pós Implantação'!K184)),"")</f>
        <v/>
      </c>
      <c r="I184" s="34" t="str">
        <f>IFERROR(IF('Pós Implantação'!B184="Projetos",AVERAGE('Pós Implantação'!D184,'Pós Implantação'!L184,'Pós Implantação'!M184),AVERAGE('Pós Implantação'!M184)),"")</f>
        <v/>
      </c>
      <c r="J184" s="34" t="str">
        <f>IFERROR(IF('Pós Implantação'!B184="Engenharia",AVERAGE('Pós Implantação'!D184,'Pós Implantação'!L184,'Pós Implantação'!N184),AVERAGE('Pós Implantação'!N184)),"")</f>
        <v/>
      </c>
      <c r="K184" s="34" t="str">
        <f>IFERROR(IF('Pós Implantação'!B184="URA",AVERAGE('Pós Implantação'!D184,'Pós Implantação'!L184),""),"")</f>
        <v/>
      </c>
      <c r="L184" s="34" t="str">
        <f>IFERROR(IF('Pós Implantação'!B184="CSE Microsoft",AVERAGE('Pós Implantação'!D184,'Pós Implantação'!L184),""),"")</f>
        <v/>
      </c>
      <c r="M184" s="34" t="str">
        <f>IFERROR(IF('Pós Implantação'!B184="CSE Telecom",AVERAGE('Pós Implantação'!D184,'Pós Implantação'!L184),""),"")</f>
        <v/>
      </c>
      <c r="N184" s="34" t="str">
        <f>IFERROR(IF('Pós Implantação'!B184="Site Suporte de Campo",AVERAGE('Pós Implantação'!D184,'Pós Implantação'!L184),""),"")</f>
        <v/>
      </c>
      <c r="O184" s="49" t="str">
        <f>IFERROR(IF('Pós Implantação'!B184="Infraestrutura",AVERAGE('Pós Implantação'!D184,'Pós Implantação'!L184),""),"")</f>
        <v/>
      </c>
    </row>
    <row r="185" spans="1:15" x14ac:dyDescent="0.3">
      <c r="A185" s="33">
        <f>'Pré Implantação'!A185</f>
        <v>0</v>
      </c>
      <c r="B185" s="36" t="str">
        <f>'Pós Implantação'!C185</f>
        <v>0</v>
      </c>
      <c r="C185" s="34" t="str">
        <f>IFERROR(IF('Pré Implantação'!B185="Produção TI",AVERAGE('Pós Implantação'!D185,'Pós Implantação'!E185,'Pós Implantação'!L185,'Pós Implantação'!H185),AVERAGE('Pré Implantação'!E185,'Pré Implantação'!H185)),"")</f>
        <v/>
      </c>
      <c r="D185" s="34" t="str">
        <f>IFERROR(IF('Pós Implantação'!B185="CSC Service Desk",AVERAGE('Pós Implantação'!D185,'Pós Implantação'!L185,'Pós Implantação'!F185),AVERAGE('Pós Implantação'!F185)),"")</f>
        <v/>
      </c>
      <c r="E185" s="34" t="str">
        <f>IFERROR(IF('Pós Implantação'!B185="CSC NOC",AVERAGE('Pós Implantação'!D185,'Pós Implantação'!L185,'Pós Implantação'!G185),AVERAGE('Pós Implantação'!G185)),"")</f>
        <v/>
      </c>
      <c r="F185" s="34" t="str">
        <f>IFERROR(IF('Pós Implantação'!B185="CSE Gravadores",AVERAGE('Pós Implantação'!D185,'Pós Implantação'!L185,'Pós Implantação'!I185),AVERAGE('Pós Implantação'!I185)),"")</f>
        <v/>
      </c>
      <c r="G185" s="34" t="str">
        <f>IFERROR(IF('Pós Implantação'!B185="CSC",AVERAGE('Pós Implantação'!D185,'Pós Implantação'!L185,'Pós Implantação'!J185),AVERAGE('Pós Implantação'!J185)),"")</f>
        <v/>
      </c>
      <c r="H185" s="34" t="str">
        <f>IFERROR(IF('Pós Implantação'!B185="Operações \ Negócio",AVERAGE('Pós Implantação'!D185,'Pós Implantação'!L185,'Pós Implantação'!K185),AVERAGE('Pós Implantação'!K185)),"")</f>
        <v/>
      </c>
      <c r="I185" s="34" t="str">
        <f>IFERROR(IF('Pós Implantação'!B185="Projetos",AVERAGE('Pós Implantação'!D185,'Pós Implantação'!L185,'Pós Implantação'!M185),AVERAGE('Pós Implantação'!M185)),"")</f>
        <v/>
      </c>
      <c r="J185" s="34" t="str">
        <f>IFERROR(IF('Pós Implantação'!B185="Engenharia",AVERAGE('Pós Implantação'!D185,'Pós Implantação'!L185,'Pós Implantação'!N185),AVERAGE('Pós Implantação'!N185)),"")</f>
        <v/>
      </c>
      <c r="K185" s="34" t="str">
        <f>IFERROR(IF('Pós Implantação'!B185="URA",AVERAGE('Pós Implantação'!D185,'Pós Implantação'!L185),""),"")</f>
        <v/>
      </c>
      <c r="L185" s="34" t="str">
        <f>IFERROR(IF('Pós Implantação'!B185="CSE Microsoft",AVERAGE('Pós Implantação'!D185,'Pós Implantação'!L185),""),"")</f>
        <v/>
      </c>
      <c r="M185" s="34" t="str">
        <f>IFERROR(IF('Pós Implantação'!B185="CSE Telecom",AVERAGE('Pós Implantação'!D185,'Pós Implantação'!L185),""),"")</f>
        <v/>
      </c>
      <c r="N185" s="34" t="str">
        <f>IFERROR(IF('Pós Implantação'!B185="Site Suporte de Campo",AVERAGE('Pós Implantação'!D185,'Pós Implantação'!L185),""),"")</f>
        <v/>
      </c>
      <c r="O185" s="49" t="str">
        <f>IFERROR(IF('Pós Implantação'!B185="Infraestrutura",AVERAGE('Pós Implantação'!D185,'Pós Implantação'!L185),""),"")</f>
        <v/>
      </c>
    </row>
    <row r="186" spans="1:15" x14ac:dyDescent="0.3">
      <c r="A186" s="33">
        <f>'Pré Implantação'!A186</f>
        <v>0</v>
      </c>
      <c r="B186" s="36" t="str">
        <f>'Pós Implantação'!C186</f>
        <v>0</v>
      </c>
      <c r="C186" s="34" t="str">
        <f>IFERROR(IF('Pré Implantação'!B186="Produção TI",AVERAGE('Pós Implantação'!D186,'Pós Implantação'!E186,'Pós Implantação'!L186,'Pós Implantação'!H186),AVERAGE('Pré Implantação'!E186,'Pré Implantação'!H186)),"")</f>
        <v/>
      </c>
      <c r="D186" s="34" t="str">
        <f>IFERROR(IF('Pós Implantação'!B186="CSC Service Desk",AVERAGE('Pós Implantação'!D186,'Pós Implantação'!L186,'Pós Implantação'!F186),AVERAGE('Pós Implantação'!F186)),"")</f>
        <v/>
      </c>
      <c r="E186" s="34" t="str">
        <f>IFERROR(IF('Pós Implantação'!B186="CSC NOC",AVERAGE('Pós Implantação'!D186,'Pós Implantação'!L186,'Pós Implantação'!G186),AVERAGE('Pós Implantação'!G186)),"")</f>
        <v/>
      </c>
      <c r="F186" s="34" t="str">
        <f>IFERROR(IF('Pós Implantação'!B186="CSE Gravadores",AVERAGE('Pós Implantação'!D186,'Pós Implantação'!L186,'Pós Implantação'!I186),AVERAGE('Pós Implantação'!I186)),"")</f>
        <v/>
      </c>
      <c r="G186" s="34" t="str">
        <f>IFERROR(IF('Pós Implantação'!B186="CSC",AVERAGE('Pós Implantação'!D186,'Pós Implantação'!L186,'Pós Implantação'!J186),AVERAGE('Pós Implantação'!J186)),"")</f>
        <v/>
      </c>
      <c r="H186" s="34" t="str">
        <f>IFERROR(IF('Pós Implantação'!B186="Operações \ Negócio",AVERAGE('Pós Implantação'!D186,'Pós Implantação'!L186,'Pós Implantação'!K186),AVERAGE('Pós Implantação'!K186)),"")</f>
        <v/>
      </c>
      <c r="I186" s="34" t="str">
        <f>IFERROR(IF('Pós Implantação'!B186="Projetos",AVERAGE('Pós Implantação'!D186,'Pós Implantação'!L186,'Pós Implantação'!M186),AVERAGE('Pós Implantação'!M186)),"")</f>
        <v/>
      </c>
      <c r="J186" s="34" t="str">
        <f>IFERROR(IF('Pós Implantação'!B186="Engenharia",AVERAGE('Pós Implantação'!D186,'Pós Implantação'!L186,'Pós Implantação'!N186),AVERAGE('Pós Implantação'!N186)),"")</f>
        <v/>
      </c>
      <c r="K186" s="34" t="str">
        <f>IFERROR(IF('Pós Implantação'!B186="URA",AVERAGE('Pós Implantação'!D186,'Pós Implantação'!L186),""),"")</f>
        <v/>
      </c>
      <c r="L186" s="34" t="str">
        <f>IFERROR(IF('Pós Implantação'!B186="CSE Microsoft",AVERAGE('Pós Implantação'!D186,'Pós Implantação'!L186),""),"")</f>
        <v/>
      </c>
      <c r="M186" s="34" t="str">
        <f>IFERROR(IF('Pós Implantação'!B186="CSE Telecom",AVERAGE('Pós Implantação'!D186,'Pós Implantação'!L186),""),"")</f>
        <v/>
      </c>
      <c r="N186" s="34" t="str">
        <f>IFERROR(IF('Pós Implantação'!B186="Site Suporte de Campo",AVERAGE('Pós Implantação'!D186,'Pós Implantação'!L186),""),"")</f>
        <v/>
      </c>
      <c r="O186" s="49" t="str">
        <f>IFERROR(IF('Pós Implantação'!B186="Infraestrutura",AVERAGE('Pós Implantação'!D186,'Pós Implantação'!L186),""),"")</f>
        <v/>
      </c>
    </row>
    <row r="187" spans="1:15" x14ac:dyDescent="0.3">
      <c r="A187" s="33">
        <f>'Pré Implantação'!A187</f>
        <v>0</v>
      </c>
      <c r="B187" s="36" t="str">
        <f>'Pós Implantação'!C187</f>
        <v>0</v>
      </c>
      <c r="C187" s="34" t="str">
        <f>IFERROR(IF('Pré Implantação'!B187="Produção TI",AVERAGE('Pós Implantação'!D187,'Pós Implantação'!E187,'Pós Implantação'!L187,'Pós Implantação'!H187),AVERAGE('Pré Implantação'!E187,'Pré Implantação'!H187)),"")</f>
        <v/>
      </c>
      <c r="D187" s="34" t="str">
        <f>IFERROR(IF('Pós Implantação'!B187="CSC Service Desk",AVERAGE('Pós Implantação'!D187,'Pós Implantação'!L187,'Pós Implantação'!F187),AVERAGE('Pós Implantação'!F187)),"")</f>
        <v/>
      </c>
      <c r="E187" s="34" t="str">
        <f>IFERROR(IF('Pós Implantação'!B187="CSC NOC",AVERAGE('Pós Implantação'!D187,'Pós Implantação'!L187,'Pós Implantação'!G187),AVERAGE('Pós Implantação'!G187)),"")</f>
        <v/>
      </c>
      <c r="F187" s="34" t="str">
        <f>IFERROR(IF('Pós Implantação'!B187="CSE Gravadores",AVERAGE('Pós Implantação'!D187,'Pós Implantação'!L187,'Pós Implantação'!I187),AVERAGE('Pós Implantação'!I187)),"")</f>
        <v/>
      </c>
      <c r="G187" s="34" t="str">
        <f>IFERROR(IF('Pós Implantação'!B187="CSC",AVERAGE('Pós Implantação'!D187,'Pós Implantação'!L187,'Pós Implantação'!J187),AVERAGE('Pós Implantação'!J187)),"")</f>
        <v/>
      </c>
      <c r="H187" s="34" t="str">
        <f>IFERROR(IF('Pós Implantação'!B187="Operações \ Negócio",AVERAGE('Pós Implantação'!D187,'Pós Implantação'!L187,'Pós Implantação'!K187),AVERAGE('Pós Implantação'!K187)),"")</f>
        <v/>
      </c>
      <c r="I187" s="34" t="str">
        <f>IFERROR(IF('Pós Implantação'!B187="Projetos",AVERAGE('Pós Implantação'!D187,'Pós Implantação'!L187,'Pós Implantação'!M187),AVERAGE('Pós Implantação'!M187)),"")</f>
        <v/>
      </c>
      <c r="J187" s="34" t="str">
        <f>IFERROR(IF('Pós Implantação'!B187="Engenharia",AVERAGE('Pós Implantação'!D187,'Pós Implantação'!L187,'Pós Implantação'!N187),AVERAGE('Pós Implantação'!N187)),"")</f>
        <v/>
      </c>
      <c r="K187" s="34" t="str">
        <f>IFERROR(IF('Pós Implantação'!B187="URA",AVERAGE('Pós Implantação'!D187,'Pós Implantação'!L187),""),"")</f>
        <v/>
      </c>
      <c r="L187" s="34" t="str">
        <f>IFERROR(IF('Pós Implantação'!B187="CSE Microsoft",AVERAGE('Pós Implantação'!D187,'Pós Implantação'!L187),""),"")</f>
        <v/>
      </c>
      <c r="M187" s="34" t="str">
        <f>IFERROR(IF('Pós Implantação'!B187="CSE Telecom",AVERAGE('Pós Implantação'!D187,'Pós Implantação'!L187),""),"")</f>
        <v/>
      </c>
      <c r="N187" s="34" t="str">
        <f>IFERROR(IF('Pós Implantação'!B187="Site Suporte de Campo",AVERAGE('Pós Implantação'!D187,'Pós Implantação'!L187),""),"")</f>
        <v/>
      </c>
      <c r="O187" s="49" t="str">
        <f>IFERROR(IF('Pós Implantação'!B187="Infraestrutura",AVERAGE('Pós Implantação'!D187,'Pós Implantação'!L187),""),"")</f>
        <v/>
      </c>
    </row>
    <row r="188" spans="1:15" x14ac:dyDescent="0.3">
      <c r="A188" s="33">
        <f>'Pré Implantação'!A188</f>
        <v>0</v>
      </c>
      <c r="B188" s="36" t="str">
        <f>'Pós Implantação'!C188</f>
        <v>0</v>
      </c>
      <c r="C188" s="34" t="str">
        <f>IFERROR(IF('Pré Implantação'!B188="Produção TI",AVERAGE('Pós Implantação'!D188,'Pós Implantação'!E188,'Pós Implantação'!L188,'Pós Implantação'!H188),AVERAGE('Pré Implantação'!E188,'Pré Implantação'!H188)),"")</f>
        <v/>
      </c>
      <c r="D188" s="34" t="str">
        <f>IFERROR(IF('Pós Implantação'!B188="CSC Service Desk",AVERAGE('Pós Implantação'!D188,'Pós Implantação'!L188,'Pós Implantação'!F188),AVERAGE('Pós Implantação'!F188)),"")</f>
        <v/>
      </c>
      <c r="E188" s="34" t="str">
        <f>IFERROR(IF('Pós Implantação'!B188="CSC NOC",AVERAGE('Pós Implantação'!D188,'Pós Implantação'!L188,'Pós Implantação'!G188),AVERAGE('Pós Implantação'!G188)),"")</f>
        <v/>
      </c>
      <c r="F188" s="34" t="str">
        <f>IFERROR(IF('Pós Implantação'!B188="CSE Gravadores",AVERAGE('Pós Implantação'!D188,'Pós Implantação'!L188,'Pós Implantação'!I188),AVERAGE('Pós Implantação'!I188)),"")</f>
        <v/>
      </c>
      <c r="G188" s="34" t="str">
        <f>IFERROR(IF('Pós Implantação'!B188="CSC",AVERAGE('Pós Implantação'!D188,'Pós Implantação'!L188,'Pós Implantação'!J188),AVERAGE('Pós Implantação'!J188)),"")</f>
        <v/>
      </c>
      <c r="H188" s="34" t="str">
        <f>IFERROR(IF('Pós Implantação'!B188="Operações \ Negócio",AVERAGE('Pós Implantação'!D188,'Pós Implantação'!L188,'Pós Implantação'!K188),AVERAGE('Pós Implantação'!K188)),"")</f>
        <v/>
      </c>
      <c r="I188" s="34" t="str">
        <f>IFERROR(IF('Pós Implantação'!B188="Projetos",AVERAGE('Pós Implantação'!D188,'Pós Implantação'!L188,'Pós Implantação'!M188),AVERAGE('Pós Implantação'!M188)),"")</f>
        <v/>
      </c>
      <c r="J188" s="34" t="str">
        <f>IFERROR(IF('Pós Implantação'!B188="Engenharia",AVERAGE('Pós Implantação'!D188,'Pós Implantação'!L188,'Pós Implantação'!N188),AVERAGE('Pós Implantação'!N188)),"")</f>
        <v/>
      </c>
      <c r="K188" s="34" t="str">
        <f>IFERROR(IF('Pós Implantação'!B188="URA",AVERAGE('Pós Implantação'!D188,'Pós Implantação'!L188),""),"")</f>
        <v/>
      </c>
      <c r="L188" s="34" t="str">
        <f>IFERROR(IF('Pós Implantação'!B188="CSE Microsoft",AVERAGE('Pós Implantação'!D188,'Pós Implantação'!L188),""),"")</f>
        <v/>
      </c>
      <c r="M188" s="34" t="str">
        <f>IFERROR(IF('Pós Implantação'!B188="CSE Telecom",AVERAGE('Pós Implantação'!D188,'Pós Implantação'!L188),""),"")</f>
        <v/>
      </c>
      <c r="N188" s="34" t="str">
        <f>IFERROR(IF('Pós Implantação'!B188="Site Suporte de Campo",AVERAGE('Pós Implantação'!D188,'Pós Implantação'!L188),""),"")</f>
        <v/>
      </c>
      <c r="O188" s="49" t="str">
        <f>IFERROR(IF('Pós Implantação'!B188="Infraestrutura",AVERAGE('Pós Implantação'!D188,'Pós Implantação'!L188),""),"")</f>
        <v/>
      </c>
    </row>
    <row r="189" spans="1:15" x14ac:dyDescent="0.3">
      <c r="A189" s="33">
        <f>'Pré Implantação'!A189</f>
        <v>0</v>
      </c>
      <c r="B189" s="36" t="str">
        <f>'Pós Implantação'!C189</f>
        <v>0</v>
      </c>
      <c r="C189" s="34" t="str">
        <f>IFERROR(IF('Pré Implantação'!B189="Produção TI",AVERAGE('Pós Implantação'!D189,'Pós Implantação'!E189,'Pós Implantação'!L189,'Pós Implantação'!H189),AVERAGE('Pré Implantação'!E189,'Pré Implantação'!H189)),"")</f>
        <v/>
      </c>
      <c r="D189" s="34" t="str">
        <f>IFERROR(IF('Pós Implantação'!B189="CSC Service Desk",AVERAGE('Pós Implantação'!D189,'Pós Implantação'!L189,'Pós Implantação'!F189),AVERAGE('Pós Implantação'!F189)),"")</f>
        <v/>
      </c>
      <c r="E189" s="34" t="str">
        <f>IFERROR(IF('Pós Implantação'!B189="CSC NOC",AVERAGE('Pós Implantação'!D189,'Pós Implantação'!L189,'Pós Implantação'!G189),AVERAGE('Pós Implantação'!G189)),"")</f>
        <v/>
      </c>
      <c r="F189" s="34" t="str">
        <f>IFERROR(IF('Pós Implantação'!B189="CSE Gravadores",AVERAGE('Pós Implantação'!D189,'Pós Implantação'!L189,'Pós Implantação'!I189),AVERAGE('Pós Implantação'!I189)),"")</f>
        <v/>
      </c>
      <c r="G189" s="34" t="str">
        <f>IFERROR(IF('Pós Implantação'!B189="CSC",AVERAGE('Pós Implantação'!D189,'Pós Implantação'!L189,'Pós Implantação'!J189),AVERAGE('Pós Implantação'!J189)),"")</f>
        <v/>
      </c>
      <c r="H189" s="34" t="str">
        <f>IFERROR(IF('Pós Implantação'!B189="Operações \ Negócio",AVERAGE('Pós Implantação'!D189,'Pós Implantação'!L189,'Pós Implantação'!K189),AVERAGE('Pós Implantação'!K189)),"")</f>
        <v/>
      </c>
      <c r="I189" s="34" t="str">
        <f>IFERROR(IF('Pós Implantação'!B189="Projetos",AVERAGE('Pós Implantação'!D189,'Pós Implantação'!L189,'Pós Implantação'!M189),AVERAGE('Pós Implantação'!M189)),"")</f>
        <v/>
      </c>
      <c r="J189" s="34" t="str">
        <f>IFERROR(IF('Pós Implantação'!B189="Engenharia",AVERAGE('Pós Implantação'!D189,'Pós Implantação'!L189,'Pós Implantação'!N189),AVERAGE('Pós Implantação'!N189)),"")</f>
        <v/>
      </c>
      <c r="K189" s="34" t="str">
        <f>IFERROR(IF('Pós Implantação'!B189="URA",AVERAGE('Pós Implantação'!D189,'Pós Implantação'!L189),""),"")</f>
        <v/>
      </c>
      <c r="L189" s="34" t="str">
        <f>IFERROR(IF('Pós Implantação'!B189="CSE Microsoft",AVERAGE('Pós Implantação'!D189,'Pós Implantação'!L189),""),"")</f>
        <v/>
      </c>
      <c r="M189" s="34" t="str">
        <f>IFERROR(IF('Pós Implantação'!B189="CSE Telecom",AVERAGE('Pós Implantação'!D189,'Pós Implantação'!L189),""),"")</f>
        <v/>
      </c>
      <c r="N189" s="34" t="str">
        <f>IFERROR(IF('Pós Implantação'!B189="Site Suporte de Campo",AVERAGE('Pós Implantação'!D189,'Pós Implantação'!L189),""),"")</f>
        <v/>
      </c>
      <c r="O189" s="49" t="str">
        <f>IFERROR(IF('Pós Implantação'!B189="Infraestrutura",AVERAGE('Pós Implantação'!D189,'Pós Implantação'!L189),""),"")</f>
        <v/>
      </c>
    </row>
    <row r="190" spans="1:15" x14ac:dyDescent="0.3">
      <c r="A190" s="33">
        <f>'Pré Implantação'!A190</f>
        <v>0</v>
      </c>
      <c r="B190" s="36" t="str">
        <f>'Pós Implantação'!C190</f>
        <v>0</v>
      </c>
      <c r="C190" s="34" t="str">
        <f>IFERROR(IF('Pré Implantação'!B190="Produção TI",AVERAGE('Pós Implantação'!D190,'Pós Implantação'!E190,'Pós Implantação'!L190,'Pós Implantação'!H190),AVERAGE('Pré Implantação'!E190,'Pré Implantação'!H190)),"")</f>
        <v/>
      </c>
      <c r="D190" s="34" t="str">
        <f>IFERROR(IF('Pós Implantação'!B190="CSC Service Desk",AVERAGE('Pós Implantação'!D190,'Pós Implantação'!L190,'Pós Implantação'!F190),AVERAGE('Pós Implantação'!F190)),"")</f>
        <v/>
      </c>
      <c r="E190" s="34" t="str">
        <f>IFERROR(IF('Pós Implantação'!B190="CSC NOC",AVERAGE('Pós Implantação'!D190,'Pós Implantação'!L190,'Pós Implantação'!G190),AVERAGE('Pós Implantação'!G190)),"")</f>
        <v/>
      </c>
      <c r="F190" s="34" t="str">
        <f>IFERROR(IF('Pós Implantação'!B190="CSE Gravadores",AVERAGE('Pós Implantação'!D190,'Pós Implantação'!L190,'Pós Implantação'!I190),AVERAGE('Pós Implantação'!I190)),"")</f>
        <v/>
      </c>
      <c r="G190" s="34" t="str">
        <f>IFERROR(IF('Pós Implantação'!B190="CSC",AVERAGE('Pós Implantação'!D190,'Pós Implantação'!L190,'Pós Implantação'!J190),AVERAGE('Pós Implantação'!J190)),"")</f>
        <v/>
      </c>
      <c r="H190" s="34" t="str">
        <f>IFERROR(IF('Pós Implantação'!B190="Operações \ Negócio",AVERAGE('Pós Implantação'!D190,'Pós Implantação'!L190,'Pós Implantação'!K190),AVERAGE('Pós Implantação'!K190)),"")</f>
        <v/>
      </c>
      <c r="I190" s="34" t="str">
        <f>IFERROR(IF('Pós Implantação'!B190="Projetos",AVERAGE('Pós Implantação'!D190,'Pós Implantação'!L190,'Pós Implantação'!M190),AVERAGE('Pós Implantação'!M190)),"")</f>
        <v/>
      </c>
      <c r="J190" s="34" t="str">
        <f>IFERROR(IF('Pós Implantação'!B190="Engenharia",AVERAGE('Pós Implantação'!D190,'Pós Implantação'!L190,'Pós Implantação'!N190),AVERAGE('Pós Implantação'!N190)),"")</f>
        <v/>
      </c>
      <c r="K190" s="34" t="str">
        <f>IFERROR(IF('Pós Implantação'!B190="URA",AVERAGE('Pós Implantação'!D190,'Pós Implantação'!L190),""),"")</f>
        <v/>
      </c>
      <c r="L190" s="34" t="str">
        <f>IFERROR(IF('Pós Implantação'!B190="CSE Microsoft",AVERAGE('Pós Implantação'!D190,'Pós Implantação'!L190),""),"")</f>
        <v/>
      </c>
      <c r="M190" s="34" t="str">
        <f>IFERROR(IF('Pós Implantação'!B190="CSE Telecom",AVERAGE('Pós Implantação'!D190,'Pós Implantação'!L190),""),"")</f>
        <v/>
      </c>
      <c r="N190" s="34" t="str">
        <f>IFERROR(IF('Pós Implantação'!B190="Site Suporte de Campo",AVERAGE('Pós Implantação'!D190,'Pós Implantação'!L190),""),"")</f>
        <v/>
      </c>
      <c r="O190" s="49" t="str">
        <f>IFERROR(IF('Pós Implantação'!B190="Infraestrutura",AVERAGE('Pós Implantação'!D190,'Pós Implantação'!L190),""),"")</f>
        <v/>
      </c>
    </row>
    <row r="191" spans="1:15" x14ac:dyDescent="0.3">
      <c r="A191" s="33">
        <f>'Pré Implantação'!A191</f>
        <v>0</v>
      </c>
      <c r="B191" s="36" t="str">
        <f>'Pós Implantação'!C191</f>
        <v>0</v>
      </c>
      <c r="C191" s="34" t="str">
        <f>IFERROR(IF('Pré Implantação'!B191="Produção TI",AVERAGE('Pós Implantação'!D191,'Pós Implantação'!E191,'Pós Implantação'!L191,'Pós Implantação'!H191),AVERAGE('Pré Implantação'!E191,'Pré Implantação'!H191)),"")</f>
        <v/>
      </c>
      <c r="D191" s="34" t="str">
        <f>IFERROR(IF('Pós Implantação'!B191="CSC Service Desk",AVERAGE('Pós Implantação'!D191,'Pós Implantação'!L191,'Pós Implantação'!F191),AVERAGE('Pós Implantação'!F191)),"")</f>
        <v/>
      </c>
      <c r="E191" s="34" t="str">
        <f>IFERROR(IF('Pós Implantação'!B191="CSC NOC",AVERAGE('Pós Implantação'!D191,'Pós Implantação'!L191,'Pós Implantação'!G191),AVERAGE('Pós Implantação'!G191)),"")</f>
        <v/>
      </c>
      <c r="F191" s="34" t="str">
        <f>IFERROR(IF('Pós Implantação'!B191="CSE Gravadores",AVERAGE('Pós Implantação'!D191,'Pós Implantação'!L191,'Pós Implantação'!I191),AVERAGE('Pós Implantação'!I191)),"")</f>
        <v/>
      </c>
      <c r="G191" s="34" t="str">
        <f>IFERROR(IF('Pós Implantação'!B191="CSC",AVERAGE('Pós Implantação'!D191,'Pós Implantação'!L191,'Pós Implantação'!J191),AVERAGE('Pós Implantação'!J191)),"")</f>
        <v/>
      </c>
      <c r="H191" s="34" t="str">
        <f>IFERROR(IF('Pós Implantação'!B191="Operações \ Negócio",AVERAGE('Pós Implantação'!D191,'Pós Implantação'!L191,'Pós Implantação'!K191),AVERAGE('Pós Implantação'!K191)),"")</f>
        <v/>
      </c>
      <c r="I191" s="34" t="str">
        <f>IFERROR(IF('Pós Implantação'!B191="Projetos",AVERAGE('Pós Implantação'!D191,'Pós Implantação'!L191,'Pós Implantação'!M191),AVERAGE('Pós Implantação'!M191)),"")</f>
        <v/>
      </c>
      <c r="J191" s="34" t="str">
        <f>IFERROR(IF('Pós Implantação'!B191="Engenharia",AVERAGE('Pós Implantação'!D191,'Pós Implantação'!L191,'Pós Implantação'!N191),AVERAGE('Pós Implantação'!N191)),"")</f>
        <v/>
      </c>
      <c r="K191" s="34" t="str">
        <f>IFERROR(IF('Pós Implantação'!B191="URA",AVERAGE('Pós Implantação'!D191,'Pós Implantação'!L191),""),"")</f>
        <v/>
      </c>
      <c r="L191" s="34" t="str">
        <f>IFERROR(IF('Pós Implantação'!B191="CSE Microsoft",AVERAGE('Pós Implantação'!D191,'Pós Implantação'!L191),""),"")</f>
        <v/>
      </c>
      <c r="M191" s="34" t="str">
        <f>IFERROR(IF('Pós Implantação'!B191="CSE Telecom",AVERAGE('Pós Implantação'!D191,'Pós Implantação'!L191),""),"")</f>
        <v/>
      </c>
      <c r="N191" s="34" t="str">
        <f>IFERROR(IF('Pós Implantação'!B191="Site Suporte de Campo",AVERAGE('Pós Implantação'!D191,'Pós Implantação'!L191),""),"")</f>
        <v/>
      </c>
      <c r="O191" s="49" t="str">
        <f>IFERROR(IF('Pós Implantação'!B191="Infraestrutura",AVERAGE('Pós Implantação'!D191,'Pós Implantação'!L191),""),"")</f>
        <v/>
      </c>
    </row>
    <row r="192" spans="1:15" x14ac:dyDescent="0.3">
      <c r="A192" s="33">
        <f>'Pré Implantação'!A192</f>
        <v>0</v>
      </c>
      <c r="B192" s="36" t="str">
        <f>'Pós Implantação'!C192</f>
        <v>0</v>
      </c>
      <c r="C192" s="34" t="str">
        <f>IFERROR(IF('Pré Implantação'!B192="Produção TI",AVERAGE('Pós Implantação'!D192,'Pós Implantação'!E192,'Pós Implantação'!L192,'Pós Implantação'!H192),AVERAGE('Pré Implantação'!E192,'Pré Implantação'!H192)),"")</f>
        <v/>
      </c>
      <c r="D192" s="34" t="str">
        <f>IFERROR(IF('Pós Implantação'!B192="CSC Service Desk",AVERAGE('Pós Implantação'!D192,'Pós Implantação'!L192,'Pós Implantação'!F192),AVERAGE('Pós Implantação'!F192)),"")</f>
        <v/>
      </c>
      <c r="E192" s="34" t="str">
        <f>IFERROR(IF('Pós Implantação'!B192="CSC NOC",AVERAGE('Pós Implantação'!D192,'Pós Implantação'!L192,'Pós Implantação'!G192),AVERAGE('Pós Implantação'!G192)),"")</f>
        <v/>
      </c>
      <c r="F192" s="34" t="str">
        <f>IFERROR(IF('Pós Implantação'!B192="CSE Gravadores",AVERAGE('Pós Implantação'!D192,'Pós Implantação'!L192,'Pós Implantação'!I192),AVERAGE('Pós Implantação'!I192)),"")</f>
        <v/>
      </c>
      <c r="G192" s="34" t="str">
        <f>IFERROR(IF('Pós Implantação'!B192="CSC",AVERAGE('Pós Implantação'!D192,'Pós Implantação'!L192,'Pós Implantação'!J192),AVERAGE('Pós Implantação'!J192)),"")</f>
        <v/>
      </c>
      <c r="H192" s="34" t="str">
        <f>IFERROR(IF('Pós Implantação'!B192="Operações \ Negócio",AVERAGE('Pós Implantação'!D192,'Pós Implantação'!L192,'Pós Implantação'!K192),AVERAGE('Pós Implantação'!K192)),"")</f>
        <v/>
      </c>
      <c r="I192" s="34" t="str">
        <f>IFERROR(IF('Pós Implantação'!B192="Projetos",AVERAGE('Pós Implantação'!D192,'Pós Implantação'!L192,'Pós Implantação'!M192),AVERAGE('Pós Implantação'!M192)),"")</f>
        <v/>
      </c>
      <c r="J192" s="34" t="str">
        <f>IFERROR(IF('Pós Implantação'!B192="Engenharia",AVERAGE('Pós Implantação'!D192,'Pós Implantação'!L192,'Pós Implantação'!N192),AVERAGE('Pós Implantação'!N192)),"")</f>
        <v/>
      </c>
      <c r="K192" s="34" t="str">
        <f>IFERROR(IF('Pós Implantação'!B192="URA",AVERAGE('Pós Implantação'!D192,'Pós Implantação'!L192),""),"")</f>
        <v/>
      </c>
      <c r="L192" s="34" t="str">
        <f>IFERROR(IF('Pós Implantação'!B192="CSE Microsoft",AVERAGE('Pós Implantação'!D192,'Pós Implantação'!L192),""),"")</f>
        <v/>
      </c>
      <c r="M192" s="34" t="str">
        <f>IFERROR(IF('Pós Implantação'!B192="CSE Telecom",AVERAGE('Pós Implantação'!D192,'Pós Implantação'!L192),""),"")</f>
        <v/>
      </c>
      <c r="N192" s="34" t="str">
        <f>IFERROR(IF('Pós Implantação'!B192="Site Suporte de Campo",AVERAGE('Pós Implantação'!D192,'Pós Implantação'!L192),""),"")</f>
        <v/>
      </c>
      <c r="O192" s="49" t="str">
        <f>IFERROR(IF('Pós Implantação'!B192="Infraestrutura",AVERAGE('Pós Implantação'!D192,'Pós Implantação'!L192),""),"")</f>
        <v/>
      </c>
    </row>
    <row r="193" spans="1:15" x14ac:dyDescent="0.3">
      <c r="A193" s="33">
        <f>'Pré Implantação'!A193</f>
        <v>0</v>
      </c>
      <c r="B193" s="36" t="str">
        <f>'Pós Implantação'!C193</f>
        <v>0</v>
      </c>
      <c r="C193" s="34" t="str">
        <f>IFERROR(IF('Pré Implantação'!B193="Produção TI",AVERAGE('Pós Implantação'!D193,'Pós Implantação'!E193,'Pós Implantação'!L193,'Pós Implantação'!H193),AVERAGE('Pré Implantação'!E193,'Pré Implantação'!H193)),"")</f>
        <v/>
      </c>
      <c r="D193" s="34" t="str">
        <f>IFERROR(IF('Pós Implantação'!B193="CSC Service Desk",AVERAGE('Pós Implantação'!D193,'Pós Implantação'!L193,'Pós Implantação'!F193),AVERAGE('Pós Implantação'!F193)),"")</f>
        <v/>
      </c>
      <c r="E193" s="34" t="str">
        <f>IFERROR(IF('Pós Implantação'!B193="CSC NOC",AVERAGE('Pós Implantação'!D193,'Pós Implantação'!L193,'Pós Implantação'!G193),AVERAGE('Pós Implantação'!G193)),"")</f>
        <v/>
      </c>
      <c r="F193" s="34" t="str">
        <f>IFERROR(IF('Pós Implantação'!B193="CSE Gravadores",AVERAGE('Pós Implantação'!D193,'Pós Implantação'!L193,'Pós Implantação'!I193),AVERAGE('Pós Implantação'!I193)),"")</f>
        <v/>
      </c>
      <c r="G193" s="34" t="str">
        <f>IFERROR(IF('Pós Implantação'!B193="CSC",AVERAGE('Pós Implantação'!D193,'Pós Implantação'!L193,'Pós Implantação'!J193),AVERAGE('Pós Implantação'!J193)),"")</f>
        <v/>
      </c>
      <c r="H193" s="34" t="str">
        <f>IFERROR(IF('Pós Implantação'!B193="Operações \ Negócio",AVERAGE('Pós Implantação'!D193,'Pós Implantação'!L193,'Pós Implantação'!K193),AVERAGE('Pós Implantação'!K193)),"")</f>
        <v/>
      </c>
      <c r="I193" s="34" t="str">
        <f>IFERROR(IF('Pós Implantação'!B193="Projetos",AVERAGE('Pós Implantação'!D193,'Pós Implantação'!L193,'Pós Implantação'!M193),AVERAGE('Pós Implantação'!M193)),"")</f>
        <v/>
      </c>
      <c r="J193" s="34" t="str">
        <f>IFERROR(IF('Pós Implantação'!B193="Engenharia",AVERAGE('Pós Implantação'!D193,'Pós Implantação'!L193,'Pós Implantação'!N193),AVERAGE('Pós Implantação'!N193)),"")</f>
        <v/>
      </c>
      <c r="K193" s="34" t="str">
        <f>IFERROR(IF('Pós Implantação'!B193="URA",AVERAGE('Pós Implantação'!D193,'Pós Implantação'!L193),""),"")</f>
        <v/>
      </c>
      <c r="L193" s="34" t="str">
        <f>IFERROR(IF('Pós Implantação'!B193="CSE Microsoft",AVERAGE('Pós Implantação'!D193,'Pós Implantação'!L193),""),"")</f>
        <v/>
      </c>
      <c r="M193" s="34" t="str">
        <f>IFERROR(IF('Pós Implantação'!B193="CSE Telecom",AVERAGE('Pós Implantação'!D193,'Pós Implantação'!L193),""),"")</f>
        <v/>
      </c>
      <c r="N193" s="34" t="str">
        <f>IFERROR(IF('Pós Implantação'!B193="Site Suporte de Campo",AVERAGE('Pós Implantação'!D193,'Pós Implantação'!L193),""),"")</f>
        <v/>
      </c>
      <c r="O193" s="49" t="str">
        <f>IFERROR(IF('Pós Implantação'!B193="Infraestrutura",AVERAGE('Pós Implantação'!D193,'Pós Implantação'!L193),""),"")</f>
        <v/>
      </c>
    </row>
    <row r="194" spans="1:15" x14ac:dyDescent="0.3">
      <c r="A194" s="33">
        <f>'Pré Implantação'!A194</f>
        <v>0</v>
      </c>
      <c r="B194" s="36" t="str">
        <f>'Pós Implantação'!C194</f>
        <v>0</v>
      </c>
      <c r="C194" s="34" t="str">
        <f>IFERROR(IF('Pré Implantação'!B194="Produção TI",AVERAGE('Pós Implantação'!D194,'Pós Implantação'!E194,'Pós Implantação'!L194,'Pós Implantação'!H194),AVERAGE('Pré Implantação'!E194,'Pré Implantação'!H194)),"")</f>
        <v/>
      </c>
      <c r="D194" s="34" t="str">
        <f>IFERROR(IF('Pós Implantação'!B194="CSC Service Desk",AVERAGE('Pós Implantação'!D194,'Pós Implantação'!L194,'Pós Implantação'!F194),AVERAGE('Pós Implantação'!F194)),"")</f>
        <v/>
      </c>
      <c r="E194" s="34" t="str">
        <f>IFERROR(IF('Pós Implantação'!B194="CSC NOC",AVERAGE('Pós Implantação'!D194,'Pós Implantação'!L194,'Pós Implantação'!G194),AVERAGE('Pós Implantação'!G194)),"")</f>
        <v/>
      </c>
      <c r="F194" s="34" t="str">
        <f>IFERROR(IF('Pós Implantação'!B194="CSE Gravadores",AVERAGE('Pós Implantação'!D194,'Pós Implantação'!L194,'Pós Implantação'!I194),AVERAGE('Pós Implantação'!I194)),"")</f>
        <v/>
      </c>
      <c r="G194" s="34" t="str">
        <f>IFERROR(IF('Pós Implantação'!B194="CSC",AVERAGE('Pós Implantação'!D194,'Pós Implantação'!L194,'Pós Implantação'!J194),AVERAGE('Pós Implantação'!J194)),"")</f>
        <v/>
      </c>
      <c r="H194" s="34" t="str">
        <f>IFERROR(IF('Pós Implantação'!B194="Operações \ Negócio",AVERAGE('Pós Implantação'!D194,'Pós Implantação'!L194,'Pós Implantação'!K194),AVERAGE('Pós Implantação'!K194)),"")</f>
        <v/>
      </c>
      <c r="I194" s="34" t="str">
        <f>IFERROR(IF('Pós Implantação'!B194="Projetos",AVERAGE('Pós Implantação'!D194,'Pós Implantação'!L194,'Pós Implantação'!M194),AVERAGE('Pós Implantação'!M194)),"")</f>
        <v/>
      </c>
      <c r="J194" s="34" t="str">
        <f>IFERROR(IF('Pós Implantação'!B194="Engenharia",AVERAGE('Pós Implantação'!D194,'Pós Implantação'!L194,'Pós Implantação'!N194),AVERAGE('Pós Implantação'!N194)),"")</f>
        <v/>
      </c>
      <c r="K194" s="34" t="str">
        <f>IFERROR(IF('Pós Implantação'!B194="URA",AVERAGE('Pós Implantação'!D194,'Pós Implantação'!L194),""),"")</f>
        <v/>
      </c>
      <c r="L194" s="34" t="str">
        <f>IFERROR(IF('Pós Implantação'!B194="CSE Microsoft",AVERAGE('Pós Implantação'!D194,'Pós Implantação'!L194),""),"")</f>
        <v/>
      </c>
      <c r="M194" s="34" t="str">
        <f>IFERROR(IF('Pós Implantação'!B194="CSE Telecom",AVERAGE('Pós Implantação'!D194,'Pós Implantação'!L194),""),"")</f>
        <v/>
      </c>
      <c r="N194" s="34" t="str">
        <f>IFERROR(IF('Pós Implantação'!B194="Site Suporte de Campo",AVERAGE('Pós Implantação'!D194,'Pós Implantação'!L194),""),"")</f>
        <v/>
      </c>
      <c r="O194" s="49" t="str">
        <f>IFERROR(IF('Pós Implantação'!B194="Infraestrutura",AVERAGE('Pós Implantação'!D194,'Pós Implantação'!L194),""),"")</f>
        <v/>
      </c>
    </row>
    <row r="195" spans="1:15" x14ac:dyDescent="0.3">
      <c r="A195" s="33">
        <f>'Pré Implantação'!A195</f>
        <v>0</v>
      </c>
      <c r="B195" s="36" t="str">
        <f>'Pós Implantação'!C195</f>
        <v>0</v>
      </c>
      <c r="C195" s="34" t="str">
        <f>IFERROR(IF('Pré Implantação'!B195="Produção TI",AVERAGE('Pós Implantação'!D195,'Pós Implantação'!E195,'Pós Implantação'!L195,'Pós Implantação'!H195),AVERAGE('Pré Implantação'!E195,'Pré Implantação'!H195)),"")</f>
        <v/>
      </c>
      <c r="D195" s="34" t="str">
        <f>IFERROR(IF('Pós Implantação'!B195="CSC Service Desk",AVERAGE('Pós Implantação'!D195,'Pós Implantação'!L195,'Pós Implantação'!F195),AVERAGE('Pós Implantação'!F195)),"")</f>
        <v/>
      </c>
      <c r="E195" s="34" t="str">
        <f>IFERROR(IF('Pós Implantação'!B195="CSC NOC",AVERAGE('Pós Implantação'!D195,'Pós Implantação'!L195,'Pós Implantação'!G195),AVERAGE('Pós Implantação'!G195)),"")</f>
        <v/>
      </c>
      <c r="F195" s="34" t="str">
        <f>IFERROR(IF('Pós Implantação'!B195="CSE Gravadores",AVERAGE('Pós Implantação'!D195,'Pós Implantação'!L195,'Pós Implantação'!I195),AVERAGE('Pós Implantação'!I195)),"")</f>
        <v/>
      </c>
      <c r="G195" s="34" t="str">
        <f>IFERROR(IF('Pós Implantação'!B195="CSC",AVERAGE('Pós Implantação'!D195,'Pós Implantação'!L195,'Pós Implantação'!J195),AVERAGE('Pós Implantação'!J195)),"")</f>
        <v/>
      </c>
      <c r="H195" s="34" t="str">
        <f>IFERROR(IF('Pós Implantação'!B195="Operações \ Negócio",AVERAGE('Pós Implantação'!D195,'Pós Implantação'!L195,'Pós Implantação'!K195),AVERAGE('Pós Implantação'!K195)),"")</f>
        <v/>
      </c>
      <c r="I195" s="34" t="str">
        <f>IFERROR(IF('Pós Implantação'!B195="Projetos",AVERAGE('Pós Implantação'!D195,'Pós Implantação'!L195,'Pós Implantação'!M195),AVERAGE('Pós Implantação'!M195)),"")</f>
        <v/>
      </c>
      <c r="J195" s="34" t="str">
        <f>IFERROR(IF('Pós Implantação'!B195="Engenharia",AVERAGE('Pós Implantação'!D195,'Pós Implantação'!L195,'Pós Implantação'!N195),AVERAGE('Pós Implantação'!N195)),"")</f>
        <v/>
      </c>
      <c r="K195" s="34" t="str">
        <f>IFERROR(IF('Pós Implantação'!B195="URA",AVERAGE('Pós Implantação'!D195,'Pós Implantação'!L195),""),"")</f>
        <v/>
      </c>
      <c r="L195" s="34" t="str">
        <f>IFERROR(IF('Pós Implantação'!B195="CSE Microsoft",AVERAGE('Pós Implantação'!D195,'Pós Implantação'!L195),""),"")</f>
        <v/>
      </c>
      <c r="M195" s="34" t="str">
        <f>IFERROR(IF('Pós Implantação'!B195="CSE Telecom",AVERAGE('Pós Implantação'!D195,'Pós Implantação'!L195),""),"")</f>
        <v/>
      </c>
      <c r="N195" s="34" t="str">
        <f>IFERROR(IF('Pós Implantação'!B195="Site Suporte de Campo",AVERAGE('Pós Implantação'!D195,'Pós Implantação'!L195),""),"")</f>
        <v/>
      </c>
      <c r="O195" s="49" t="str">
        <f>IFERROR(IF('Pós Implantação'!B195="Infraestrutura",AVERAGE('Pós Implantação'!D195,'Pós Implantação'!L195),""),"")</f>
        <v/>
      </c>
    </row>
    <row r="196" spans="1:15" x14ac:dyDescent="0.3">
      <c r="A196" s="33">
        <f>'Pré Implantação'!A196</f>
        <v>0</v>
      </c>
      <c r="B196" s="36" t="str">
        <f>'Pós Implantação'!C196</f>
        <v>0</v>
      </c>
      <c r="C196" s="34" t="str">
        <f>IFERROR(IF('Pré Implantação'!B196="Produção TI",AVERAGE('Pós Implantação'!D196,'Pós Implantação'!E196,'Pós Implantação'!L196,'Pós Implantação'!H196),AVERAGE('Pré Implantação'!E196,'Pré Implantação'!H196)),"")</f>
        <v/>
      </c>
      <c r="D196" s="34" t="str">
        <f>IFERROR(IF('Pós Implantação'!B196="CSC Service Desk",AVERAGE('Pós Implantação'!D196,'Pós Implantação'!L196,'Pós Implantação'!F196),AVERAGE('Pós Implantação'!F196)),"")</f>
        <v/>
      </c>
      <c r="E196" s="34" t="str">
        <f>IFERROR(IF('Pós Implantação'!B196="CSC NOC",AVERAGE('Pós Implantação'!D196,'Pós Implantação'!L196,'Pós Implantação'!G196),AVERAGE('Pós Implantação'!G196)),"")</f>
        <v/>
      </c>
      <c r="F196" s="34" t="str">
        <f>IFERROR(IF('Pós Implantação'!B196="CSE Gravadores",AVERAGE('Pós Implantação'!D196,'Pós Implantação'!L196,'Pós Implantação'!I196),AVERAGE('Pós Implantação'!I196)),"")</f>
        <v/>
      </c>
      <c r="G196" s="34" t="str">
        <f>IFERROR(IF('Pós Implantação'!B196="CSC",AVERAGE('Pós Implantação'!D196,'Pós Implantação'!L196,'Pós Implantação'!J196),AVERAGE('Pós Implantação'!J196)),"")</f>
        <v/>
      </c>
      <c r="H196" s="34" t="str">
        <f>IFERROR(IF('Pós Implantação'!B196="Operações \ Negócio",AVERAGE('Pós Implantação'!D196,'Pós Implantação'!L196,'Pós Implantação'!K196),AVERAGE('Pós Implantação'!K196)),"")</f>
        <v/>
      </c>
      <c r="I196" s="34" t="str">
        <f>IFERROR(IF('Pós Implantação'!B196="Projetos",AVERAGE('Pós Implantação'!D196,'Pós Implantação'!L196,'Pós Implantação'!M196),AVERAGE('Pós Implantação'!M196)),"")</f>
        <v/>
      </c>
      <c r="J196" s="34" t="str">
        <f>IFERROR(IF('Pós Implantação'!B196="Engenharia",AVERAGE('Pós Implantação'!D196,'Pós Implantação'!L196,'Pós Implantação'!N196),AVERAGE('Pós Implantação'!N196)),"")</f>
        <v/>
      </c>
      <c r="K196" s="34" t="str">
        <f>IFERROR(IF('Pós Implantação'!B196="URA",AVERAGE('Pós Implantação'!D196,'Pós Implantação'!L196),""),"")</f>
        <v/>
      </c>
      <c r="L196" s="34" t="str">
        <f>IFERROR(IF('Pós Implantação'!B196="CSE Microsoft",AVERAGE('Pós Implantação'!D196,'Pós Implantação'!L196),""),"")</f>
        <v/>
      </c>
      <c r="M196" s="34" t="str">
        <f>IFERROR(IF('Pós Implantação'!B196="CSE Telecom",AVERAGE('Pós Implantação'!D196,'Pós Implantação'!L196),""),"")</f>
        <v/>
      </c>
      <c r="N196" s="34" t="str">
        <f>IFERROR(IF('Pós Implantação'!B196="Site Suporte de Campo",AVERAGE('Pós Implantação'!D196,'Pós Implantação'!L196),""),"")</f>
        <v/>
      </c>
      <c r="O196" s="49" t="str">
        <f>IFERROR(IF('Pós Implantação'!B196="Infraestrutura",AVERAGE('Pós Implantação'!D196,'Pós Implantação'!L196),""),"")</f>
        <v/>
      </c>
    </row>
    <row r="197" spans="1:15" x14ac:dyDescent="0.3">
      <c r="A197" s="33">
        <f>'Pré Implantação'!A197</f>
        <v>0</v>
      </c>
      <c r="B197" s="36" t="str">
        <f>'Pós Implantação'!C197</f>
        <v>0</v>
      </c>
      <c r="C197" s="34" t="str">
        <f>IFERROR(IF('Pré Implantação'!B197="Produção TI",AVERAGE('Pós Implantação'!D197,'Pós Implantação'!E197,'Pós Implantação'!L197,'Pós Implantação'!H197),AVERAGE('Pré Implantação'!E197,'Pré Implantação'!H197)),"")</f>
        <v/>
      </c>
      <c r="D197" s="34" t="str">
        <f>IFERROR(IF('Pós Implantação'!B197="CSC Service Desk",AVERAGE('Pós Implantação'!D197,'Pós Implantação'!L197,'Pós Implantação'!F197),AVERAGE('Pós Implantação'!F197)),"")</f>
        <v/>
      </c>
      <c r="E197" s="34" t="str">
        <f>IFERROR(IF('Pós Implantação'!B197="CSC NOC",AVERAGE('Pós Implantação'!D197,'Pós Implantação'!L197,'Pós Implantação'!G197),AVERAGE('Pós Implantação'!G197)),"")</f>
        <v/>
      </c>
      <c r="F197" s="34" t="str">
        <f>IFERROR(IF('Pós Implantação'!B197="CSE Gravadores",AVERAGE('Pós Implantação'!D197,'Pós Implantação'!L197,'Pós Implantação'!I197),AVERAGE('Pós Implantação'!I197)),"")</f>
        <v/>
      </c>
      <c r="G197" s="34" t="str">
        <f>IFERROR(IF('Pós Implantação'!B197="CSC",AVERAGE('Pós Implantação'!D197,'Pós Implantação'!L197,'Pós Implantação'!J197),AVERAGE('Pós Implantação'!J197)),"")</f>
        <v/>
      </c>
      <c r="H197" s="34" t="str">
        <f>IFERROR(IF('Pós Implantação'!B197="Operações \ Negócio",AVERAGE('Pós Implantação'!D197,'Pós Implantação'!L197,'Pós Implantação'!K197),AVERAGE('Pós Implantação'!K197)),"")</f>
        <v/>
      </c>
      <c r="I197" s="34" t="str">
        <f>IFERROR(IF('Pós Implantação'!B197="Projetos",AVERAGE('Pós Implantação'!D197,'Pós Implantação'!L197,'Pós Implantação'!M197),AVERAGE('Pós Implantação'!M197)),"")</f>
        <v/>
      </c>
      <c r="J197" s="34" t="str">
        <f>IFERROR(IF('Pós Implantação'!B197="Engenharia",AVERAGE('Pós Implantação'!D197,'Pós Implantação'!L197,'Pós Implantação'!N197),AVERAGE('Pós Implantação'!N197)),"")</f>
        <v/>
      </c>
      <c r="K197" s="34" t="str">
        <f>IFERROR(IF('Pós Implantação'!B197="URA",AVERAGE('Pós Implantação'!D197,'Pós Implantação'!L197),""),"")</f>
        <v/>
      </c>
      <c r="L197" s="34" t="str">
        <f>IFERROR(IF('Pós Implantação'!B197="CSE Microsoft",AVERAGE('Pós Implantação'!D197,'Pós Implantação'!L197),""),"")</f>
        <v/>
      </c>
      <c r="M197" s="34" t="str">
        <f>IFERROR(IF('Pós Implantação'!B197="CSE Telecom",AVERAGE('Pós Implantação'!D197,'Pós Implantação'!L197),""),"")</f>
        <v/>
      </c>
      <c r="N197" s="34" t="str">
        <f>IFERROR(IF('Pós Implantação'!B197="Site Suporte de Campo",AVERAGE('Pós Implantação'!D197,'Pós Implantação'!L197),""),"")</f>
        <v/>
      </c>
      <c r="O197" s="49" t="str">
        <f>IFERROR(IF('Pós Implantação'!B197="Infraestrutura",AVERAGE('Pós Implantação'!D197,'Pós Implantação'!L197),""),"")</f>
        <v/>
      </c>
    </row>
    <row r="198" spans="1:15" x14ac:dyDescent="0.3">
      <c r="A198" s="33">
        <f>'Pré Implantação'!A198</f>
        <v>0</v>
      </c>
      <c r="B198" s="36" t="str">
        <f>'Pós Implantação'!C198</f>
        <v>0</v>
      </c>
      <c r="C198" s="34" t="str">
        <f>IFERROR(IF('Pré Implantação'!B198="Produção TI",AVERAGE('Pós Implantação'!D198,'Pós Implantação'!E198,'Pós Implantação'!L198,'Pós Implantação'!H198),AVERAGE('Pré Implantação'!E198,'Pré Implantação'!H198)),"")</f>
        <v/>
      </c>
      <c r="D198" s="34" t="str">
        <f>IFERROR(IF('Pós Implantação'!B198="CSC Service Desk",AVERAGE('Pós Implantação'!D198,'Pós Implantação'!L198,'Pós Implantação'!F198),AVERAGE('Pós Implantação'!F198)),"")</f>
        <v/>
      </c>
      <c r="E198" s="34" t="str">
        <f>IFERROR(IF('Pós Implantação'!B198="CSC NOC",AVERAGE('Pós Implantação'!D198,'Pós Implantação'!L198,'Pós Implantação'!G198),AVERAGE('Pós Implantação'!G198)),"")</f>
        <v/>
      </c>
      <c r="F198" s="34" t="str">
        <f>IFERROR(IF('Pós Implantação'!B198="CSE Gravadores",AVERAGE('Pós Implantação'!D198,'Pós Implantação'!L198,'Pós Implantação'!I198),AVERAGE('Pós Implantação'!I198)),"")</f>
        <v/>
      </c>
      <c r="G198" s="34" t="str">
        <f>IFERROR(IF('Pós Implantação'!B198="CSC",AVERAGE('Pós Implantação'!D198,'Pós Implantação'!L198,'Pós Implantação'!J198),AVERAGE('Pós Implantação'!J198)),"")</f>
        <v/>
      </c>
      <c r="H198" s="34" t="str">
        <f>IFERROR(IF('Pós Implantação'!B198="Operações \ Negócio",AVERAGE('Pós Implantação'!D198,'Pós Implantação'!L198,'Pós Implantação'!K198),AVERAGE('Pós Implantação'!K198)),"")</f>
        <v/>
      </c>
      <c r="I198" s="34" t="str">
        <f>IFERROR(IF('Pós Implantação'!B198="Projetos",AVERAGE('Pós Implantação'!D198,'Pós Implantação'!L198,'Pós Implantação'!M198),AVERAGE('Pós Implantação'!M198)),"")</f>
        <v/>
      </c>
      <c r="J198" s="34" t="str">
        <f>IFERROR(IF('Pós Implantação'!B198="Engenharia",AVERAGE('Pós Implantação'!D198,'Pós Implantação'!L198,'Pós Implantação'!N198),AVERAGE('Pós Implantação'!N198)),"")</f>
        <v/>
      </c>
      <c r="K198" s="34" t="str">
        <f>IFERROR(IF('Pós Implantação'!B198="URA",AVERAGE('Pós Implantação'!D198,'Pós Implantação'!L198),""),"")</f>
        <v/>
      </c>
      <c r="L198" s="34" t="str">
        <f>IFERROR(IF('Pós Implantação'!B198="CSE Microsoft",AVERAGE('Pós Implantação'!D198,'Pós Implantação'!L198),""),"")</f>
        <v/>
      </c>
      <c r="M198" s="34" t="str">
        <f>IFERROR(IF('Pós Implantação'!B198="CSE Telecom",AVERAGE('Pós Implantação'!D198,'Pós Implantação'!L198),""),"")</f>
        <v/>
      </c>
      <c r="N198" s="34" t="str">
        <f>IFERROR(IF('Pós Implantação'!B198="Site Suporte de Campo",AVERAGE('Pós Implantação'!D198,'Pós Implantação'!L198),""),"")</f>
        <v/>
      </c>
      <c r="O198" s="49" t="str">
        <f>IFERROR(IF('Pós Implantação'!B198="Infraestrutura",AVERAGE('Pós Implantação'!D198,'Pós Implantação'!L198),""),"")</f>
        <v/>
      </c>
    </row>
    <row r="199" spans="1:15" x14ac:dyDescent="0.3">
      <c r="A199" s="33">
        <f>'Pré Implantação'!A199</f>
        <v>0</v>
      </c>
      <c r="B199" s="36" t="str">
        <f>'Pós Implantação'!C199</f>
        <v>0</v>
      </c>
      <c r="C199" s="34" t="str">
        <f>IFERROR(IF('Pré Implantação'!B199="Produção TI",AVERAGE('Pós Implantação'!D199,'Pós Implantação'!E199,'Pós Implantação'!L199,'Pós Implantação'!H199),AVERAGE('Pré Implantação'!E199,'Pré Implantação'!H199)),"")</f>
        <v/>
      </c>
      <c r="D199" s="34" t="str">
        <f>IFERROR(IF('Pós Implantação'!B199="CSC Service Desk",AVERAGE('Pós Implantação'!D199,'Pós Implantação'!L199,'Pós Implantação'!F199),AVERAGE('Pós Implantação'!F199)),"")</f>
        <v/>
      </c>
      <c r="E199" s="34" t="str">
        <f>IFERROR(IF('Pós Implantação'!B199="CSC NOC",AVERAGE('Pós Implantação'!D199,'Pós Implantação'!L199,'Pós Implantação'!G199),AVERAGE('Pós Implantação'!G199)),"")</f>
        <v/>
      </c>
      <c r="F199" s="34" t="str">
        <f>IFERROR(IF('Pós Implantação'!B199="CSE Gravadores",AVERAGE('Pós Implantação'!D199,'Pós Implantação'!L199,'Pós Implantação'!I199),AVERAGE('Pós Implantação'!I199)),"")</f>
        <v/>
      </c>
      <c r="G199" s="34" t="str">
        <f>IFERROR(IF('Pós Implantação'!B199="CSC",AVERAGE('Pós Implantação'!D199,'Pós Implantação'!L199,'Pós Implantação'!J199),AVERAGE('Pós Implantação'!J199)),"")</f>
        <v/>
      </c>
      <c r="H199" s="34" t="str">
        <f>IFERROR(IF('Pós Implantação'!B199="Operações \ Negócio",AVERAGE('Pós Implantação'!D199,'Pós Implantação'!L199,'Pós Implantação'!K199),AVERAGE('Pós Implantação'!K199)),"")</f>
        <v/>
      </c>
      <c r="I199" s="34" t="str">
        <f>IFERROR(IF('Pós Implantação'!B199="Projetos",AVERAGE('Pós Implantação'!D199,'Pós Implantação'!L199,'Pós Implantação'!M199),AVERAGE('Pós Implantação'!M199)),"")</f>
        <v/>
      </c>
      <c r="J199" s="34" t="str">
        <f>IFERROR(IF('Pós Implantação'!B199="Engenharia",AVERAGE('Pós Implantação'!D199,'Pós Implantação'!L199,'Pós Implantação'!N199),AVERAGE('Pós Implantação'!N199)),"")</f>
        <v/>
      </c>
      <c r="K199" s="34" t="str">
        <f>IFERROR(IF('Pós Implantação'!B199="URA",AVERAGE('Pós Implantação'!D199,'Pós Implantação'!L199),""),"")</f>
        <v/>
      </c>
      <c r="L199" s="34" t="str">
        <f>IFERROR(IF('Pós Implantação'!B199="CSE Microsoft",AVERAGE('Pós Implantação'!D199,'Pós Implantação'!L199),""),"")</f>
        <v/>
      </c>
      <c r="M199" s="34" t="str">
        <f>IFERROR(IF('Pós Implantação'!B199="CSE Telecom",AVERAGE('Pós Implantação'!D199,'Pós Implantação'!L199),""),"")</f>
        <v/>
      </c>
      <c r="N199" s="34" t="str">
        <f>IFERROR(IF('Pós Implantação'!B199="Site Suporte de Campo",AVERAGE('Pós Implantação'!D199,'Pós Implantação'!L199),""),"")</f>
        <v/>
      </c>
      <c r="O199" s="49" t="str">
        <f>IFERROR(IF('Pós Implantação'!B199="Infraestrutura",AVERAGE('Pós Implantação'!D199,'Pós Implantação'!L199),""),"")</f>
        <v/>
      </c>
    </row>
    <row r="200" spans="1:15" x14ac:dyDescent="0.3">
      <c r="A200" s="33">
        <f>'Pré Implantação'!A200</f>
        <v>0</v>
      </c>
      <c r="B200" s="36" t="str">
        <f>'Pós Implantação'!C200</f>
        <v>0</v>
      </c>
      <c r="C200" s="34" t="str">
        <f>IFERROR(IF('Pré Implantação'!B200="Produção TI",AVERAGE('Pós Implantação'!D200,'Pós Implantação'!E200,'Pós Implantação'!L200,'Pós Implantação'!H200),AVERAGE('Pré Implantação'!E200,'Pré Implantação'!H200)),"")</f>
        <v/>
      </c>
      <c r="D200" s="34" t="str">
        <f>IFERROR(IF('Pós Implantação'!B200="CSC Service Desk",AVERAGE('Pós Implantação'!D200,'Pós Implantação'!L200,'Pós Implantação'!F200),AVERAGE('Pós Implantação'!F200)),"")</f>
        <v/>
      </c>
      <c r="E200" s="34" t="str">
        <f>IFERROR(IF('Pós Implantação'!B200="CSC NOC",AVERAGE('Pós Implantação'!D200,'Pós Implantação'!L200,'Pós Implantação'!G200),AVERAGE('Pós Implantação'!G200)),"")</f>
        <v/>
      </c>
      <c r="F200" s="34" t="str">
        <f>IFERROR(IF('Pós Implantação'!B200="CSE Gravadores",AVERAGE('Pós Implantação'!D200,'Pós Implantação'!L200,'Pós Implantação'!I200),AVERAGE('Pós Implantação'!I200)),"")</f>
        <v/>
      </c>
      <c r="G200" s="34" t="str">
        <f>IFERROR(IF('Pós Implantação'!B200="CSC",AVERAGE('Pós Implantação'!D200,'Pós Implantação'!L200,'Pós Implantação'!J200),AVERAGE('Pós Implantação'!J200)),"")</f>
        <v/>
      </c>
      <c r="H200" s="34" t="str">
        <f>IFERROR(IF('Pós Implantação'!B200="Operações \ Negócio",AVERAGE('Pós Implantação'!D200,'Pós Implantação'!L200,'Pós Implantação'!K200),AVERAGE('Pós Implantação'!K200)),"")</f>
        <v/>
      </c>
      <c r="I200" s="34" t="str">
        <f>IFERROR(IF('Pós Implantação'!B200="Projetos",AVERAGE('Pós Implantação'!D200,'Pós Implantação'!L200,'Pós Implantação'!M200),AVERAGE('Pós Implantação'!M200)),"")</f>
        <v/>
      </c>
      <c r="J200" s="34" t="str">
        <f>IFERROR(IF('Pós Implantação'!B200="Engenharia",AVERAGE('Pós Implantação'!D200,'Pós Implantação'!L200,'Pós Implantação'!N200),AVERAGE('Pós Implantação'!N200)),"")</f>
        <v/>
      </c>
      <c r="K200" s="34" t="str">
        <f>IFERROR(IF('Pós Implantação'!B200="URA",AVERAGE('Pós Implantação'!D200,'Pós Implantação'!L200),""),"")</f>
        <v/>
      </c>
      <c r="L200" s="34" t="str">
        <f>IFERROR(IF('Pós Implantação'!B200="CSE Microsoft",AVERAGE('Pós Implantação'!D200,'Pós Implantação'!L200),""),"")</f>
        <v/>
      </c>
      <c r="M200" s="34" t="str">
        <f>IFERROR(IF('Pós Implantação'!B200="CSE Telecom",AVERAGE('Pós Implantação'!D200,'Pós Implantação'!L200),""),"")</f>
        <v/>
      </c>
      <c r="N200" s="34" t="str">
        <f>IFERROR(IF('Pós Implantação'!B200="Site Suporte de Campo",AVERAGE('Pós Implantação'!D200,'Pós Implantação'!L200),""),"")</f>
        <v/>
      </c>
      <c r="O200" s="49" t="str">
        <f>IFERROR(IF('Pós Implantação'!B200="Infraestrutura",AVERAGE('Pós Implantação'!D200,'Pós Implantação'!L200),""),"")</f>
        <v/>
      </c>
    </row>
    <row r="201" spans="1:15" x14ac:dyDescent="0.3">
      <c r="A201" s="33">
        <f>'Pré Implantação'!A201</f>
        <v>0</v>
      </c>
      <c r="B201" s="36" t="str">
        <f>'Pós Implantação'!C201</f>
        <v>0</v>
      </c>
      <c r="C201" s="34" t="str">
        <f>IFERROR(IF('Pré Implantação'!B201="Produção TI",AVERAGE('Pós Implantação'!D201,'Pós Implantação'!E201,'Pós Implantação'!L201,'Pós Implantação'!H201),AVERAGE('Pré Implantação'!E201,'Pré Implantação'!H201)),"")</f>
        <v/>
      </c>
      <c r="D201" s="34" t="str">
        <f>IFERROR(IF('Pós Implantação'!B201="CSC Service Desk",AVERAGE('Pós Implantação'!D201,'Pós Implantação'!L201,'Pós Implantação'!F201),AVERAGE('Pós Implantação'!F201)),"")</f>
        <v/>
      </c>
      <c r="E201" s="34" t="str">
        <f>IFERROR(IF('Pós Implantação'!B201="CSC NOC",AVERAGE('Pós Implantação'!D201,'Pós Implantação'!L201,'Pós Implantação'!G201),AVERAGE('Pós Implantação'!G201)),"")</f>
        <v/>
      </c>
      <c r="F201" s="34" t="str">
        <f>IFERROR(IF('Pós Implantação'!B201="CSE Gravadores",AVERAGE('Pós Implantação'!D201,'Pós Implantação'!L201,'Pós Implantação'!I201),AVERAGE('Pós Implantação'!I201)),"")</f>
        <v/>
      </c>
      <c r="G201" s="34" t="str">
        <f>IFERROR(IF('Pós Implantação'!B201="CSC",AVERAGE('Pós Implantação'!D201,'Pós Implantação'!L201,'Pós Implantação'!J201),AVERAGE('Pós Implantação'!J201)),"")</f>
        <v/>
      </c>
      <c r="H201" s="34" t="str">
        <f>IFERROR(IF('Pós Implantação'!B201="Operações \ Negócio",AVERAGE('Pós Implantação'!D201,'Pós Implantação'!L201,'Pós Implantação'!K201),AVERAGE('Pós Implantação'!K201)),"")</f>
        <v/>
      </c>
      <c r="I201" s="34" t="str">
        <f>IFERROR(IF('Pós Implantação'!B201="Projetos",AVERAGE('Pós Implantação'!D201,'Pós Implantação'!L201,'Pós Implantação'!M201),AVERAGE('Pós Implantação'!M201)),"")</f>
        <v/>
      </c>
      <c r="J201" s="34" t="str">
        <f>IFERROR(IF('Pós Implantação'!B201="Engenharia",AVERAGE('Pós Implantação'!D201,'Pós Implantação'!L201,'Pós Implantação'!N201),AVERAGE('Pós Implantação'!N201)),"")</f>
        <v/>
      </c>
      <c r="K201" s="34" t="str">
        <f>IFERROR(IF('Pós Implantação'!B201="URA",AVERAGE('Pós Implantação'!D201,'Pós Implantação'!L201),""),"")</f>
        <v/>
      </c>
      <c r="L201" s="34" t="str">
        <f>IFERROR(IF('Pós Implantação'!B201="CSE Microsoft",AVERAGE('Pós Implantação'!D201,'Pós Implantação'!L201),""),"")</f>
        <v/>
      </c>
      <c r="M201" s="34" t="str">
        <f>IFERROR(IF('Pós Implantação'!B201="CSE Telecom",AVERAGE('Pós Implantação'!D201,'Pós Implantação'!L201),""),"")</f>
        <v/>
      </c>
      <c r="N201" s="34" t="str">
        <f>IFERROR(IF('Pós Implantação'!B201="Site Suporte de Campo",AVERAGE('Pós Implantação'!D201,'Pós Implantação'!L201),""),"")</f>
        <v/>
      </c>
      <c r="O201" s="49" t="str">
        <f>IFERROR(IF('Pós Implantação'!B201="Infraestrutura",AVERAGE('Pós Implantação'!D201,'Pós Implantação'!L201),""),"")</f>
        <v/>
      </c>
    </row>
    <row r="202" spans="1:15" x14ac:dyDescent="0.3">
      <c r="A202" s="33">
        <f>'Pré Implantação'!A202</f>
        <v>0</v>
      </c>
      <c r="B202" s="36" t="str">
        <f>'Pós Implantação'!C202</f>
        <v>0</v>
      </c>
      <c r="C202" s="34" t="str">
        <f>IFERROR(IF('Pré Implantação'!B202="Produção TI",AVERAGE('Pós Implantação'!D202,'Pós Implantação'!E202,'Pós Implantação'!L202,'Pós Implantação'!H202),AVERAGE('Pré Implantação'!E202,'Pré Implantação'!H202)),"")</f>
        <v/>
      </c>
      <c r="D202" s="34" t="str">
        <f>IFERROR(IF('Pós Implantação'!B202="CSC Service Desk",AVERAGE('Pós Implantação'!D202,'Pós Implantação'!L202,'Pós Implantação'!F202),AVERAGE('Pós Implantação'!F202)),"")</f>
        <v/>
      </c>
      <c r="E202" s="34" t="str">
        <f>IFERROR(IF('Pós Implantação'!B202="CSC NOC",AVERAGE('Pós Implantação'!D202,'Pós Implantação'!L202,'Pós Implantação'!G202),AVERAGE('Pós Implantação'!G202)),"")</f>
        <v/>
      </c>
      <c r="F202" s="34" t="str">
        <f>IFERROR(IF('Pós Implantação'!B202="CSE Gravadores",AVERAGE('Pós Implantação'!D202,'Pós Implantação'!L202,'Pós Implantação'!I202),AVERAGE('Pós Implantação'!I202)),"")</f>
        <v/>
      </c>
      <c r="G202" s="34" t="str">
        <f>IFERROR(IF('Pós Implantação'!B202="CSC",AVERAGE('Pós Implantação'!D202,'Pós Implantação'!L202,'Pós Implantação'!J202),AVERAGE('Pós Implantação'!J202)),"")</f>
        <v/>
      </c>
      <c r="H202" s="34" t="str">
        <f>IFERROR(IF('Pós Implantação'!B202="Operações \ Negócio",AVERAGE('Pós Implantação'!D202,'Pós Implantação'!L202,'Pós Implantação'!K202),AVERAGE('Pós Implantação'!K202)),"")</f>
        <v/>
      </c>
      <c r="I202" s="34" t="str">
        <f>IFERROR(IF('Pós Implantação'!B202="Projetos",AVERAGE('Pós Implantação'!D202,'Pós Implantação'!L202,'Pós Implantação'!M202),AVERAGE('Pós Implantação'!M202)),"")</f>
        <v/>
      </c>
      <c r="J202" s="34" t="str">
        <f>IFERROR(IF('Pós Implantação'!B202="Engenharia",AVERAGE('Pós Implantação'!D202,'Pós Implantação'!L202,'Pós Implantação'!N202),AVERAGE('Pós Implantação'!N202)),"")</f>
        <v/>
      </c>
      <c r="K202" s="34" t="str">
        <f>IFERROR(IF('Pós Implantação'!B202="URA",AVERAGE('Pós Implantação'!D202,'Pós Implantação'!L202),""),"")</f>
        <v/>
      </c>
      <c r="L202" s="34" t="str">
        <f>IFERROR(IF('Pós Implantação'!B202="CSE Microsoft",AVERAGE('Pós Implantação'!D202,'Pós Implantação'!L202),""),"")</f>
        <v/>
      </c>
      <c r="M202" s="34" t="str">
        <f>IFERROR(IF('Pós Implantação'!B202="CSE Telecom",AVERAGE('Pós Implantação'!D202,'Pós Implantação'!L202),""),"")</f>
        <v/>
      </c>
      <c r="N202" s="34" t="str">
        <f>IFERROR(IF('Pós Implantação'!B202="Site Suporte de Campo",AVERAGE('Pós Implantação'!D202,'Pós Implantação'!L202),""),"")</f>
        <v/>
      </c>
      <c r="O202" s="49" t="str">
        <f>IFERROR(IF('Pós Implantação'!B202="Infraestrutura",AVERAGE('Pós Implantação'!D202,'Pós Implantação'!L202),""),"")</f>
        <v/>
      </c>
    </row>
    <row r="203" spans="1:15" x14ac:dyDescent="0.3">
      <c r="A203" s="33">
        <f>'Pré Implantação'!A203</f>
        <v>0</v>
      </c>
      <c r="B203" s="36" t="str">
        <f>'Pós Implantação'!C203</f>
        <v>0</v>
      </c>
      <c r="C203" s="34" t="str">
        <f>IFERROR(IF('Pré Implantação'!B203="Produção TI",AVERAGE('Pós Implantação'!D203,'Pós Implantação'!E203,'Pós Implantação'!L203,'Pós Implantação'!H203),AVERAGE('Pré Implantação'!E203,'Pré Implantação'!H203)),"")</f>
        <v/>
      </c>
      <c r="D203" s="34" t="str">
        <f>IFERROR(IF('Pós Implantação'!B203="CSC Service Desk",AVERAGE('Pós Implantação'!D203,'Pós Implantação'!L203,'Pós Implantação'!F203),AVERAGE('Pós Implantação'!F203)),"")</f>
        <v/>
      </c>
      <c r="E203" s="34" t="str">
        <f>IFERROR(IF('Pós Implantação'!B203="CSC NOC",AVERAGE('Pós Implantação'!D203,'Pós Implantação'!L203,'Pós Implantação'!G203),AVERAGE('Pós Implantação'!G203)),"")</f>
        <v/>
      </c>
      <c r="F203" s="34" t="str">
        <f>IFERROR(IF('Pós Implantação'!B203="CSE Gravadores",AVERAGE('Pós Implantação'!D203,'Pós Implantação'!L203,'Pós Implantação'!I203),AVERAGE('Pós Implantação'!I203)),"")</f>
        <v/>
      </c>
      <c r="G203" s="34" t="str">
        <f>IFERROR(IF('Pós Implantação'!B203="CSC",AVERAGE('Pós Implantação'!D203,'Pós Implantação'!L203,'Pós Implantação'!J203),AVERAGE('Pós Implantação'!J203)),"")</f>
        <v/>
      </c>
      <c r="H203" s="34" t="str">
        <f>IFERROR(IF('Pós Implantação'!B203="Operações \ Negócio",AVERAGE('Pós Implantação'!D203,'Pós Implantação'!L203,'Pós Implantação'!K203),AVERAGE('Pós Implantação'!K203)),"")</f>
        <v/>
      </c>
      <c r="I203" s="34" t="str">
        <f>IFERROR(IF('Pós Implantação'!B203="Projetos",AVERAGE('Pós Implantação'!D203,'Pós Implantação'!L203,'Pós Implantação'!M203),AVERAGE('Pós Implantação'!M203)),"")</f>
        <v/>
      </c>
      <c r="J203" s="34" t="str">
        <f>IFERROR(IF('Pós Implantação'!B203="Engenharia",AVERAGE('Pós Implantação'!D203,'Pós Implantação'!L203,'Pós Implantação'!N203),AVERAGE('Pós Implantação'!N203)),"")</f>
        <v/>
      </c>
      <c r="K203" s="34" t="str">
        <f>IFERROR(IF('Pós Implantação'!B203="URA",AVERAGE('Pós Implantação'!D203,'Pós Implantação'!L203),""),"")</f>
        <v/>
      </c>
      <c r="L203" s="34" t="str">
        <f>IFERROR(IF('Pós Implantação'!B203="CSE Microsoft",AVERAGE('Pós Implantação'!D203,'Pós Implantação'!L203),""),"")</f>
        <v/>
      </c>
      <c r="M203" s="34" t="str">
        <f>IFERROR(IF('Pós Implantação'!B203="CSE Telecom",AVERAGE('Pós Implantação'!D203,'Pós Implantação'!L203),""),"")</f>
        <v/>
      </c>
      <c r="N203" s="34" t="str">
        <f>IFERROR(IF('Pós Implantação'!B203="Site Suporte de Campo",AVERAGE('Pós Implantação'!D203,'Pós Implantação'!L203),""),"")</f>
        <v/>
      </c>
      <c r="O203" s="49" t="str">
        <f>IFERROR(IF('Pós Implantação'!B203="Infraestrutura",AVERAGE('Pós Implantação'!D203,'Pós Implantação'!L203),""),"")</f>
        <v/>
      </c>
    </row>
    <row r="204" spans="1:15" x14ac:dyDescent="0.3">
      <c r="A204" s="33">
        <f>'Pré Implantação'!A204</f>
        <v>0</v>
      </c>
      <c r="B204" s="36" t="str">
        <f>'Pós Implantação'!C204</f>
        <v>0</v>
      </c>
      <c r="C204" s="34" t="str">
        <f>IFERROR(IF('Pré Implantação'!B204="Produção TI",AVERAGE('Pós Implantação'!D204,'Pós Implantação'!E204,'Pós Implantação'!L204,'Pós Implantação'!H204),AVERAGE('Pré Implantação'!E204,'Pré Implantação'!H204)),"")</f>
        <v/>
      </c>
      <c r="D204" s="34" t="str">
        <f>IFERROR(IF('Pós Implantação'!B204="CSC Service Desk",AVERAGE('Pós Implantação'!D204,'Pós Implantação'!L204,'Pós Implantação'!F204),AVERAGE('Pós Implantação'!F204)),"")</f>
        <v/>
      </c>
      <c r="E204" s="34" t="str">
        <f>IFERROR(IF('Pós Implantação'!B204="CSC NOC",AVERAGE('Pós Implantação'!D204,'Pós Implantação'!L204,'Pós Implantação'!G204),AVERAGE('Pós Implantação'!G204)),"")</f>
        <v/>
      </c>
      <c r="F204" s="34" t="str">
        <f>IFERROR(IF('Pós Implantação'!B204="CSE Gravadores",AVERAGE('Pós Implantação'!D204,'Pós Implantação'!L204,'Pós Implantação'!I204),AVERAGE('Pós Implantação'!I204)),"")</f>
        <v/>
      </c>
      <c r="G204" s="34" t="str">
        <f>IFERROR(IF('Pós Implantação'!B204="CSC",AVERAGE('Pós Implantação'!D204,'Pós Implantação'!L204,'Pós Implantação'!J204),AVERAGE('Pós Implantação'!J204)),"")</f>
        <v/>
      </c>
      <c r="H204" s="34" t="str">
        <f>IFERROR(IF('Pós Implantação'!B204="Operações \ Negócio",AVERAGE('Pós Implantação'!D204,'Pós Implantação'!L204,'Pós Implantação'!K204),AVERAGE('Pós Implantação'!K204)),"")</f>
        <v/>
      </c>
      <c r="I204" s="34" t="str">
        <f>IFERROR(IF('Pós Implantação'!B204="Projetos",AVERAGE('Pós Implantação'!D204,'Pós Implantação'!L204,'Pós Implantação'!M204),AVERAGE('Pós Implantação'!M204)),"")</f>
        <v/>
      </c>
      <c r="J204" s="34" t="str">
        <f>IFERROR(IF('Pós Implantação'!B204="Engenharia",AVERAGE('Pós Implantação'!D204,'Pós Implantação'!L204,'Pós Implantação'!N204),AVERAGE('Pós Implantação'!N204)),"")</f>
        <v/>
      </c>
      <c r="K204" s="34" t="str">
        <f>IFERROR(IF('Pós Implantação'!B204="URA",AVERAGE('Pós Implantação'!D204,'Pós Implantação'!L204),""),"")</f>
        <v/>
      </c>
      <c r="L204" s="34" t="str">
        <f>IFERROR(IF('Pós Implantação'!B204="CSE Microsoft",AVERAGE('Pós Implantação'!D204,'Pós Implantação'!L204),""),"")</f>
        <v/>
      </c>
      <c r="M204" s="34" t="str">
        <f>IFERROR(IF('Pós Implantação'!B204="CSE Telecom",AVERAGE('Pós Implantação'!D204,'Pós Implantação'!L204),""),"")</f>
        <v/>
      </c>
      <c r="N204" s="34" t="str">
        <f>IFERROR(IF('Pós Implantação'!B204="Site Suporte de Campo",AVERAGE('Pós Implantação'!D204,'Pós Implantação'!L204),""),"")</f>
        <v/>
      </c>
      <c r="O204" s="49" t="str">
        <f>IFERROR(IF('Pós Implantação'!B204="Infraestrutura",AVERAGE('Pós Implantação'!D204,'Pós Implantação'!L204),""),"")</f>
        <v/>
      </c>
    </row>
    <row r="205" spans="1:15" x14ac:dyDescent="0.3">
      <c r="A205" s="33">
        <f>'Pré Implantação'!A205</f>
        <v>0</v>
      </c>
      <c r="B205" s="36" t="str">
        <f>'Pós Implantação'!C205</f>
        <v>0</v>
      </c>
      <c r="C205" s="34" t="str">
        <f>IFERROR(IF('Pré Implantação'!B205="Produção TI",AVERAGE('Pós Implantação'!D205,'Pós Implantação'!E205,'Pós Implantação'!L205,'Pós Implantação'!H205),AVERAGE('Pré Implantação'!E205,'Pré Implantação'!H205)),"")</f>
        <v/>
      </c>
      <c r="D205" s="34" t="str">
        <f>IFERROR(IF('Pós Implantação'!B205="CSC Service Desk",AVERAGE('Pós Implantação'!D205,'Pós Implantação'!L205,'Pós Implantação'!F205),AVERAGE('Pós Implantação'!F205)),"")</f>
        <v/>
      </c>
      <c r="E205" s="34" t="str">
        <f>IFERROR(IF('Pós Implantação'!B205="CSC NOC",AVERAGE('Pós Implantação'!D205,'Pós Implantação'!L205,'Pós Implantação'!G205),AVERAGE('Pós Implantação'!G205)),"")</f>
        <v/>
      </c>
      <c r="F205" s="34" t="str">
        <f>IFERROR(IF('Pós Implantação'!B205="CSE Gravadores",AVERAGE('Pós Implantação'!D205,'Pós Implantação'!L205,'Pós Implantação'!I205),AVERAGE('Pós Implantação'!I205)),"")</f>
        <v/>
      </c>
      <c r="G205" s="34" t="str">
        <f>IFERROR(IF('Pós Implantação'!B205="CSC",AVERAGE('Pós Implantação'!D205,'Pós Implantação'!L205,'Pós Implantação'!J205),AVERAGE('Pós Implantação'!J205)),"")</f>
        <v/>
      </c>
      <c r="H205" s="34" t="str">
        <f>IFERROR(IF('Pós Implantação'!B205="Operações \ Negócio",AVERAGE('Pós Implantação'!D205,'Pós Implantação'!L205,'Pós Implantação'!K205),AVERAGE('Pós Implantação'!K205)),"")</f>
        <v/>
      </c>
      <c r="I205" s="34" t="str">
        <f>IFERROR(IF('Pós Implantação'!B205="Projetos",AVERAGE('Pós Implantação'!D205,'Pós Implantação'!L205,'Pós Implantação'!M205),AVERAGE('Pós Implantação'!M205)),"")</f>
        <v/>
      </c>
      <c r="J205" s="34" t="str">
        <f>IFERROR(IF('Pós Implantação'!B205="Engenharia",AVERAGE('Pós Implantação'!D205,'Pós Implantação'!L205,'Pós Implantação'!N205),AVERAGE('Pós Implantação'!N205)),"")</f>
        <v/>
      </c>
      <c r="K205" s="34" t="str">
        <f>IFERROR(IF('Pós Implantação'!B205="URA",AVERAGE('Pós Implantação'!D205,'Pós Implantação'!L205),""),"")</f>
        <v/>
      </c>
      <c r="L205" s="34" t="str">
        <f>IFERROR(IF('Pós Implantação'!B205="CSE Microsoft",AVERAGE('Pós Implantação'!D205,'Pós Implantação'!L205),""),"")</f>
        <v/>
      </c>
      <c r="M205" s="34" t="str">
        <f>IFERROR(IF('Pós Implantação'!B205="CSE Telecom",AVERAGE('Pós Implantação'!D205,'Pós Implantação'!L205),""),"")</f>
        <v/>
      </c>
      <c r="N205" s="34" t="str">
        <f>IFERROR(IF('Pós Implantação'!B205="Site Suporte de Campo",AVERAGE('Pós Implantação'!D205,'Pós Implantação'!L205),""),"")</f>
        <v/>
      </c>
      <c r="O205" s="49" t="str">
        <f>IFERROR(IF('Pós Implantação'!B205="Infraestrutura",AVERAGE('Pós Implantação'!D205,'Pós Implantação'!L205),""),"")</f>
        <v/>
      </c>
    </row>
    <row r="206" spans="1:15" x14ac:dyDescent="0.3">
      <c r="A206" s="33">
        <f>'Pré Implantação'!A206</f>
        <v>0</v>
      </c>
      <c r="B206" s="36" t="str">
        <f>'Pós Implantação'!C206</f>
        <v>0</v>
      </c>
      <c r="C206" s="34" t="str">
        <f>IFERROR(IF('Pré Implantação'!B206="Produção TI",AVERAGE('Pós Implantação'!D206,'Pós Implantação'!E206,'Pós Implantação'!L206,'Pós Implantação'!H206),AVERAGE('Pré Implantação'!E206,'Pré Implantação'!H206)),"")</f>
        <v/>
      </c>
      <c r="D206" s="34" t="str">
        <f>IFERROR(IF('Pós Implantação'!B206="CSC Service Desk",AVERAGE('Pós Implantação'!D206,'Pós Implantação'!L206,'Pós Implantação'!F206),AVERAGE('Pós Implantação'!F206)),"")</f>
        <v/>
      </c>
      <c r="E206" s="34" t="str">
        <f>IFERROR(IF('Pós Implantação'!B206="CSC NOC",AVERAGE('Pós Implantação'!D206,'Pós Implantação'!L206,'Pós Implantação'!G206),AVERAGE('Pós Implantação'!G206)),"")</f>
        <v/>
      </c>
      <c r="F206" s="34" t="str">
        <f>IFERROR(IF('Pós Implantação'!B206="CSE Gravadores",AVERAGE('Pós Implantação'!D206,'Pós Implantação'!L206,'Pós Implantação'!I206),AVERAGE('Pós Implantação'!I206)),"")</f>
        <v/>
      </c>
      <c r="G206" s="34" t="str">
        <f>IFERROR(IF('Pós Implantação'!B206="CSC",AVERAGE('Pós Implantação'!D206,'Pós Implantação'!L206,'Pós Implantação'!J206),AVERAGE('Pós Implantação'!J206)),"")</f>
        <v/>
      </c>
      <c r="H206" s="34" t="str">
        <f>IFERROR(IF('Pós Implantação'!B206="Operações \ Negócio",AVERAGE('Pós Implantação'!D206,'Pós Implantação'!L206,'Pós Implantação'!K206),AVERAGE('Pós Implantação'!K206)),"")</f>
        <v/>
      </c>
      <c r="I206" s="34" t="str">
        <f>IFERROR(IF('Pós Implantação'!B206="Projetos",AVERAGE('Pós Implantação'!D206,'Pós Implantação'!L206,'Pós Implantação'!M206),AVERAGE('Pós Implantação'!M206)),"")</f>
        <v/>
      </c>
      <c r="J206" s="34" t="str">
        <f>IFERROR(IF('Pós Implantação'!B206="Engenharia",AVERAGE('Pós Implantação'!D206,'Pós Implantação'!L206,'Pós Implantação'!N206),AVERAGE('Pós Implantação'!N206)),"")</f>
        <v/>
      </c>
      <c r="K206" s="34" t="str">
        <f>IFERROR(IF('Pós Implantação'!B206="URA",AVERAGE('Pós Implantação'!D206,'Pós Implantação'!L206),""),"")</f>
        <v/>
      </c>
      <c r="L206" s="34" t="str">
        <f>IFERROR(IF('Pós Implantação'!B206="CSE Microsoft",AVERAGE('Pós Implantação'!D206,'Pós Implantação'!L206),""),"")</f>
        <v/>
      </c>
      <c r="M206" s="34" t="str">
        <f>IFERROR(IF('Pós Implantação'!B206="CSE Telecom",AVERAGE('Pós Implantação'!D206,'Pós Implantação'!L206),""),"")</f>
        <v/>
      </c>
      <c r="N206" s="34" t="str">
        <f>IFERROR(IF('Pós Implantação'!B206="Site Suporte de Campo",AVERAGE('Pós Implantação'!D206,'Pós Implantação'!L206),""),"")</f>
        <v/>
      </c>
      <c r="O206" s="49" t="str">
        <f>IFERROR(IF('Pós Implantação'!B206="Infraestrutura",AVERAGE('Pós Implantação'!D206,'Pós Implantação'!L206),""),"")</f>
        <v/>
      </c>
    </row>
    <row r="207" spans="1:15" x14ac:dyDescent="0.3">
      <c r="A207" s="33">
        <f>'Pré Implantação'!A207</f>
        <v>0</v>
      </c>
      <c r="B207" s="36" t="str">
        <f>'Pós Implantação'!C207</f>
        <v>0</v>
      </c>
      <c r="C207" s="34" t="str">
        <f>IFERROR(IF('Pré Implantação'!B207="Produção TI",AVERAGE('Pós Implantação'!D207,'Pós Implantação'!E207,'Pós Implantação'!L207,'Pós Implantação'!H207),AVERAGE('Pré Implantação'!E207,'Pré Implantação'!H207)),"")</f>
        <v/>
      </c>
      <c r="D207" s="34" t="str">
        <f>IFERROR(IF('Pós Implantação'!B207="CSC Service Desk",AVERAGE('Pós Implantação'!D207,'Pós Implantação'!L207,'Pós Implantação'!F207),AVERAGE('Pós Implantação'!F207)),"")</f>
        <v/>
      </c>
      <c r="E207" s="34" t="str">
        <f>IFERROR(IF('Pós Implantação'!B207="CSC NOC",AVERAGE('Pós Implantação'!D207,'Pós Implantação'!L207,'Pós Implantação'!G207),AVERAGE('Pós Implantação'!G207)),"")</f>
        <v/>
      </c>
      <c r="F207" s="34" t="str">
        <f>IFERROR(IF('Pós Implantação'!B207="CSE Gravadores",AVERAGE('Pós Implantação'!D207,'Pós Implantação'!L207,'Pós Implantação'!I207),AVERAGE('Pós Implantação'!I207)),"")</f>
        <v/>
      </c>
      <c r="G207" s="34" t="str">
        <f>IFERROR(IF('Pós Implantação'!B207="CSC",AVERAGE('Pós Implantação'!D207,'Pós Implantação'!L207,'Pós Implantação'!J207),AVERAGE('Pós Implantação'!J207)),"")</f>
        <v/>
      </c>
      <c r="H207" s="34" t="str">
        <f>IFERROR(IF('Pós Implantação'!B207="Operações \ Negócio",AVERAGE('Pós Implantação'!D207,'Pós Implantação'!L207,'Pós Implantação'!K207),AVERAGE('Pós Implantação'!K207)),"")</f>
        <v/>
      </c>
      <c r="I207" s="34" t="str">
        <f>IFERROR(IF('Pós Implantação'!B207="Projetos",AVERAGE('Pós Implantação'!D207,'Pós Implantação'!L207,'Pós Implantação'!M207),AVERAGE('Pós Implantação'!M207)),"")</f>
        <v/>
      </c>
      <c r="J207" s="34" t="str">
        <f>IFERROR(IF('Pós Implantação'!B207="Engenharia",AVERAGE('Pós Implantação'!D207,'Pós Implantação'!L207,'Pós Implantação'!N207),AVERAGE('Pós Implantação'!N207)),"")</f>
        <v/>
      </c>
      <c r="K207" s="34" t="str">
        <f>IFERROR(IF('Pós Implantação'!B207="URA",AVERAGE('Pós Implantação'!D207,'Pós Implantação'!L207),""),"")</f>
        <v/>
      </c>
      <c r="L207" s="34" t="str">
        <f>IFERROR(IF('Pós Implantação'!B207="CSE Microsoft",AVERAGE('Pós Implantação'!D207,'Pós Implantação'!L207),""),"")</f>
        <v/>
      </c>
      <c r="M207" s="34" t="str">
        <f>IFERROR(IF('Pós Implantação'!B207="CSE Telecom",AVERAGE('Pós Implantação'!D207,'Pós Implantação'!L207),""),"")</f>
        <v/>
      </c>
      <c r="N207" s="34" t="str">
        <f>IFERROR(IF('Pós Implantação'!B207="Site Suporte de Campo",AVERAGE('Pós Implantação'!D207,'Pós Implantação'!L207),""),"")</f>
        <v/>
      </c>
      <c r="O207" s="49" t="str">
        <f>IFERROR(IF('Pós Implantação'!B207="Infraestrutura",AVERAGE('Pós Implantação'!D207,'Pós Implantação'!L207),""),"")</f>
        <v/>
      </c>
    </row>
    <row r="208" spans="1:15" x14ac:dyDescent="0.3">
      <c r="A208" s="33">
        <f>'Pré Implantação'!A208</f>
        <v>0</v>
      </c>
      <c r="B208" s="36" t="str">
        <f>'Pós Implantação'!C208</f>
        <v>0</v>
      </c>
      <c r="C208" s="34" t="str">
        <f>IFERROR(IF('Pré Implantação'!B208="Produção TI",AVERAGE('Pós Implantação'!D208,'Pós Implantação'!E208,'Pós Implantação'!L208,'Pós Implantação'!H208),AVERAGE('Pré Implantação'!E208,'Pré Implantação'!H208)),"")</f>
        <v/>
      </c>
      <c r="D208" s="34" t="str">
        <f>IFERROR(IF('Pós Implantação'!B208="CSC Service Desk",AVERAGE('Pós Implantação'!D208,'Pós Implantação'!L208,'Pós Implantação'!F208),AVERAGE('Pós Implantação'!F208)),"")</f>
        <v/>
      </c>
      <c r="E208" s="34" t="str">
        <f>IFERROR(IF('Pós Implantação'!B208="CSC NOC",AVERAGE('Pós Implantação'!D208,'Pós Implantação'!L208,'Pós Implantação'!G208),AVERAGE('Pós Implantação'!G208)),"")</f>
        <v/>
      </c>
      <c r="F208" s="34" t="str">
        <f>IFERROR(IF('Pós Implantação'!B208="CSE Gravadores",AVERAGE('Pós Implantação'!D208,'Pós Implantação'!L208,'Pós Implantação'!I208),AVERAGE('Pós Implantação'!I208)),"")</f>
        <v/>
      </c>
      <c r="G208" s="34" t="str">
        <f>IFERROR(IF('Pós Implantação'!B208="CSC",AVERAGE('Pós Implantação'!D208,'Pós Implantação'!L208,'Pós Implantação'!J208),AVERAGE('Pós Implantação'!J208)),"")</f>
        <v/>
      </c>
      <c r="H208" s="34" t="str">
        <f>IFERROR(IF('Pós Implantação'!B208="Operações \ Negócio",AVERAGE('Pós Implantação'!D208,'Pós Implantação'!L208,'Pós Implantação'!K208),AVERAGE('Pós Implantação'!K208)),"")</f>
        <v/>
      </c>
      <c r="I208" s="34" t="str">
        <f>IFERROR(IF('Pós Implantação'!B208="Projetos",AVERAGE('Pós Implantação'!D208,'Pós Implantação'!L208,'Pós Implantação'!M208),AVERAGE('Pós Implantação'!M208)),"")</f>
        <v/>
      </c>
      <c r="J208" s="34" t="str">
        <f>IFERROR(IF('Pós Implantação'!B208="Engenharia",AVERAGE('Pós Implantação'!D208,'Pós Implantação'!L208,'Pós Implantação'!N208),AVERAGE('Pós Implantação'!N208)),"")</f>
        <v/>
      </c>
      <c r="K208" s="34" t="str">
        <f>IFERROR(IF('Pós Implantação'!B208="URA",AVERAGE('Pós Implantação'!D208,'Pós Implantação'!L208),""),"")</f>
        <v/>
      </c>
      <c r="L208" s="34" t="str">
        <f>IFERROR(IF('Pós Implantação'!B208="CSE Microsoft",AVERAGE('Pós Implantação'!D208,'Pós Implantação'!L208),""),"")</f>
        <v/>
      </c>
      <c r="M208" s="34" t="str">
        <f>IFERROR(IF('Pós Implantação'!B208="CSE Telecom",AVERAGE('Pós Implantação'!D208,'Pós Implantação'!L208),""),"")</f>
        <v/>
      </c>
      <c r="N208" s="34" t="str">
        <f>IFERROR(IF('Pós Implantação'!B208="Site Suporte de Campo",AVERAGE('Pós Implantação'!D208,'Pós Implantação'!L208),""),"")</f>
        <v/>
      </c>
      <c r="O208" s="49" t="str">
        <f>IFERROR(IF('Pós Implantação'!B208="Infraestrutura",AVERAGE('Pós Implantação'!D208,'Pós Implantação'!L208),""),"")</f>
        <v/>
      </c>
    </row>
    <row r="209" spans="1:15" x14ac:dyDescent="0.3">
      <c r="A209" s="33">
        <f>'Pré Implantação'!A209</f>
        <v>0</v>
      </c>
      <c r="B209" s="36" t="str">
        <f>'Pós Implantação'!C209</f>
        <v>0</v>
      </c>
      <c r="C209" s="34" t="str">
        <f>IFERROR(IF('Pré Implantação'!B209="Produção TI",AVERAGE('Pós Implantação'!D209,'Pós Implantação'!E209,'Pós Implantação'!L209,'Pós Implantação'!H209),AVERAGE('Pré Implantação'!E209,'Pré Implantação'!H209)),"")</f>
        <v/>
      </c>
      <c r="D209" s="34" t="str">
        <f>IFERROR(IF('Pós Implantação'!B209="CSC Service Desk",AVERAGE('Pós Implantação'!D209,'Pós Implantação'!L209,'Pós Implantação'!F209),AVERAGE('Pós Implantação'!F209)),"")</f>
        <v/>
      </c>
      <c r="E209" s="34" t="str">
        <f>IFERROR(IF('Pós Implantação'!B209="CSC NOC",AVERAGE('Pós Implantação'!D209,'Pós Implantação'!L209,'Pós Implantação'!G209),AVERAGE('Pós Implantação'!G209)),"")</f>
        <v/>
      </c>
      <c r="F209" s="34" t="str">
        <f>IFERROR(IF('Pós Implantação'!B209="CSE Gravadores",AVERAGE('Pós Implantação'!D209,'Pós Implantação'!L209,'Pós Implantação'!I209),AVERAGE('Pós Implantação'!I209)),"")</f>
        <v/>
      </c>
      <c r="G209" s="34" t="str">
        <f>IFERROR(IF('Pós Implantação'!B209="CSC",AVERAGE('Pós Implantação'!D209,'Pós Implantação'!L209,'Pós Implantação'!J209),AVERAGE('Pós Implantação'!J209)),"")</f>
        <v/>
      </c>
      <c r="H209" s="34" t="str">
        <f>IFERROR(IF('Pós Implantação'!B209="Operações \ Negócio",AVERAGE('Pós Implantação'!D209,'Pós Implantação'!L209,'Pós Implantação'!K209),AVERAGE('Pós Implantação'!K209)),"")</f>
        <v/>
      </c>
      <c r="I209" s="34" t="str">
        <f>IFERROR(IF('Pós Implantação'!B209="Projetos",AVERAGE('Pós Implantação'!D209,'Pós Implantação'!L209,'Pós Implantação'!M209),AVERAGE('Pós Implantação'!M209)),"")</f>
        <v/>
      </c>
      <c r="J209" s="34" t="str">
        <f>IFERROR(IF('Pós Implantação'!B209="Engenharia",AVERAGE('Pós Implantação'!D209,'Pós Implantação'!L209,'Pós Implantação'!N209),AVERAGE('Pós Implantação'!N209)),"")</f>
        <v/>
      </c>
      <c r="K209" s="34" t="str">
        <f>IFERROR(IF('Pós Implantação'!B209="URA",AVERAGE('Pós Implantação'!D209,'Pós Implantação'!L209),""),"")</f>
        <v/>
      </c>
      <c r="L209" s="34" t="str">
        <f>IFERROR(IF('Pós Implantação'!B209="CSE Microsoft",AVERAGE('Pós Implantação'!D209,'Pós Implantação'!L209),""),"")</f>
        <v/>
      </c>
      <c r="M209" s="34" t="str">
        <f>IFERROR(IF('Pós Implantação'!B209="CSE Telecom",AVERAGE('Pós Implantação'!D209,'Pós Implantação'!L209),""),"")</f>
        <v/>
      </c>
      <c r="N209" s="34" t="str">
        <f>IFERROR(IF('Pós Implantação'!B209="Site Suporte de Campo",AVERAGE('Pós Implantação'!D209,'Pós Implantação'!L209),""),"")</f>
        <v/>
      </c>
      <c r="O209" s="49" t="str">
        <f>IFERROR(IF('Pós Implantação'!B209="Infraestrutura",AVERAGE('Pós Implantação'!D209,'Pós Implantação'!L209),""),"")</f>
        <v/>
      </c>
    </row>
    <row r="210" spans="1:15" x14ac:dyDescent="0.3">
      <c r="A210" s="33">
        <f>'Pré Implantação'!A210</f>
        <v>0</v>
      </c>
      <c r="B210" s="36" t="str">
        <f>'Pós Implantação'!C210</f>
        <v>0</v>
      </c>
      <c r="C210" s="34" t="str">
        <f>IFERROR(IF('Pré Implantação'!B210="Produção TI",AVERAGE('Pós Implantação'!D210,'Pós Implantação'!E210,'Pós Implantação'!L210,'Pós Implantação'!H210),AVERAGE('Pré Implantação'!E210,'Pré Implantação'!H210)),"")</f>
        <v/>
      </c>
      <c r="D210" s="34" t="str">
        <f>IFERROR(IF('Pós Implantação'!B210="CSC Service Desk",AVERAGE('Pós Implantação'!D210,'Pós Implantação'!L210,'Pós Implantação'!F210),AVERAGE('Pós Implantação'!F210)),"")</f>
        <v/>
      </c>
      <c r="E210" s="34" t="str">
        <f>IFERROR(IF('Pós Implantação'!B210="CSC NOC",AVERAGE('Pós Implantação'!D210,'Pós Implantação'!L210,'Pós Implantação'!G210),AVERAGE('Pós Implantação'!G210)),"")</f>
        <v/>
      </c>
      <c r="F210" s="34" t="str">
        <f>IFERROR(IF('Pós Implantação'!B210="CSE Gravadores",AVERAGE('Pós Implantação'!D210,'Pós Implantação'!L210,'Pós Implantação'!I210),AVERAGE('Pós Implantação'!I210)),"")</f>
        <v/>
      </c>
      <c r="G210" s="34" t="str">
        <f>IFERROR(IF('Pós Implantação'!B210="CSC",AVERAGE('Pós Implantação'!D210,'Pós Implantação'!L210,'Pós Implantação'!J210),AVERAGE('Pós Implantação'!J210)),"")</f>
        <v/>
      </c>
      <c r="H210" s="34" t="str">
        <f>IFERROR(IF('Pós Implantação'!B210="Operações \ Negócio",AVERAGE('Pós Implantação'!D210,'Pós Implantação'!L210,'Pós Implantação'!K210),AVERAGE('Pós Implantação'!K210)),"")</f>
        <v/>
      </c>
      <c r="I210" s="34" t="str">
        <f>IFERROR(IF('Pós Implantação'!B210="Projetos",AVERAGE('Pós Implantação'!D210,'Pós Implantação'!L210,'Pós Implantação'!M210),AVERAGE('Pós Implantação'!M210)),"")</f>
        <v/>
      </c>
      <c r="J210" s="34" t="str">
        <f>IFERROR(IF('Pós Implantação'!B210="Engenharia",AVERAGE('Pós Implantação'!D210,'Pós Implantação'!L210,'Pós Implantação'!N210),AVERAGE('Pós Implantação'!N210)),"")</f>
        <v/>
      </c>
      <c r="K210" s="34" t="str">
        <f>IFERROR(IF('Pós Implantação'!B210="URA",AVERAGE('Pós Implantação'!D210,'Pós Implantação'!L210),""),"")</f>
        <v/>
      </c>
      <c r="L210" s="34" t="str">
        <f>IFERROR(IF('Pós Implantação'!B210="CSE Microsoft",AVERAGE('Pós Implantação'!D210,'Pós Implantação'!L210),""),"")</f>
        <v/>
      </c>
      <c r="M210" s="34" t="str">
        <f>IFERROR(IF('Pós Implantação'!B210="CSE Telecom",AVERAGE('Pós Implantação'!D210,'Pós Implantação'!L210),""),"")</f>
        <v/>
      </c>
      <c r="N210" s="34" t="str">
        <f>IFERROR(IF('Pós Implantação'!B210="Site Suporte de Campo",AVERAGE('Pós Implantação'!D210,'Pós Implantação'!L210),""),"")</f>
        <v/>
      </c>
      <c r="O210" s="49" t="str">
        <f>IFERROR(IF('Pós Implantação'!B210="Infraestrutura",AVERAGE('Pós Implantação'!D210,'Pós Implantação'!L210),""),"")</f>
        <v/>
      </c>
    </row>
    <row r="211" spans="1:15" x14ac:dyDescent="0.3">
      <c r="A211" s="33">
        <f>'Pré Implantação'!A211</f>
        <v>0</v>
      </c>
      <c r="B211" s="36" t="str">
        <f>'Pós Implantação'!C211</f>
        <v>0</v>
      </c>
      <c r="C211" s="34" t="str">
        <f>IFERROR(IF('Pré Implantação'!B211="Produção TI",AVERAGE('Pós Implantação'!D211,'Pós Implantação'!E211,'Pós Implantação'!L211,'Pós Implantação'!H211),AVERAGE('Pré Implantação'!E211,'Pré Implantação'!H211)),"")</f>
        <v/>
      </c>
      <c r="D211" s="34" t="str">
        <f>IFERROR(IF('Pós Implantação'!B211="CSC Service Desk",AVERAGE('Pós Implantação'!D211,'Pós Implantação'!L211,'Pós Implantação'!F211),AVERAGE('Pós Implantação'!F211)),"")</f>
        <v/>
      </c>
      <c r="E211" s="34" t="str">
        <f>IFERROR(IF('Pós Implantação'!B211="CSC NOC",AVERAGE('Pós Implantação'!D211,'Pós Implantação'!L211,'Pós Implantação'!G211),AVERAGE('Pós Implantação'!G211)),"")</f>
        <v/>
      </c>
      <c r="F211" s="34" t="str">
        <f>IFERROR(IF('Pós Implantação'!B211="CSE Gravadores",AVERAGE('Pós Implantação'!D211,'Pós Implantação'!L211,'Pós Implantação'!I211),AVERAGE('Pós Implantação'!I211)),"")</f>
        <v/>
      </c>
      <c r="G211" s="34" t="str">
        <f>IFERROR(IF('Pós Implantação'!B211="CSC",AVERAGE('Pós Implantação'!D211,'Pós Implantação'!L211,'Pós Implantação'!J211),AVERAGE('Pós Implantação'!J211)),"")</f>
        <v/>
      </c>
      <c r="H211" s="34" t="str">
        <f>IFERROR(IF('Pós Implantação'!B211="Operações \ Negócio",AVERAGE('Pós Implantação'!D211,'Pós Implantação'!L211,'Pós Implantação'!K211),AVERAGE('Pós Implantação'!K211)),"")</f>
        <v/>
      </c>
      <c r="I211" s="34" t="str">
        <f>IFERROR(IF('Pós Implantação'!B211="Projetos",AVERAGE('Pós Implantação'!D211,'Pós Implantação'!L211,'Pós Implantação'!M211),AVERAGE('Pós Implantação'!M211)),"")</f>
        <v/>
      </c>
      <c r="J211" s="34" t="str">
        <f>IFERROR(IF('Pós Implantação'!B211="Engenharia",AVERAGE('Pós Implantação'!D211,'Pós Implantação'!L211,'Pós Implantação'!N211),AVERAGE('Pós Implantação'!N211)),"")</f>
        <v/>
      </c>
      <c r="K211" s="34" t="str">
        <f>IFERROR(IF('Pós Implantação'!B211="URA",AVERAGE('Pós Implantação'!D211,'Pós Implantação'!L211),""),"")</f>
        <v/>
      </c>
      <c r="L211" s="34" t="str">
        <f>IFERROR(IF('Pós Implantação'!B211="CSE Microsoft",AVERAGE('Pós Implantação'!D211,'Pós Implantação'!L211),""),"")</f>
        <v/>
      </c>
      <c r="M211" s="34" t="str">
        <f>IFERROR(IF('Pós Implantação'!B211="CSE Telecom",AVERAGE('Pós Implantação'!D211,'Pós Implantação'!L211),""),"")</f>
        <v/>
      </c>
      <c r="N211" s="34" t="str">
        <f>IFERROR(IF('Pós Implantação'!B211="Site Suporte de Campo",AVERAGE('Pós Implantação'!D211,'Pós Implantação'!L211),""),"")</f>
        <v/>
      </c>
      <c r="O211" s="49" t="str">
        <f>IFERROR(IF('Pós Implantação'!B211="Infraestrutura",AVERAGE('Pós Implantação'!D211,'Pós Implantação'!L211),""),"")</f>
        <v/>
      </c>
    </row>
    <row r="212" spans="1:15" x14ac:dyDescent="0.3">
      <c r="A212" s="33">
        <f>'Pré Implantação'!A212</f>
        <v>0</v>
      </c>
      <c r="B212" s="36" t="str">
        <f>'Pós Implantação'!C212</f>
        <v>0</v>
      </c>
      <c r="C212" s="34" t="str">
        <f>IFERROR(IF('Pré Implantação'!B212="Produção TI",AVERAGE('Pós Implantação'!D212,'Pós Implantação'!E212,'Pós Implantação'!L212,'Pós Implantação'!H212),AVERAGE('Pré Implantação'!E212,'Pré Implantação'!H212)),"")</f>
        <v/>
      </c>
      <c r="D212" s="34" t="str">
        <f>IFERROR(IF('Pós Implantação'!B212="CSC Service Desk",AVERAGE('Pós Implantação'!D212,'Pós Implantação'!L212,'Pós Implantação'!F212),AVERAGE('Pós Implantação'!F212)),"")</f>
        <v/>
      </c>
      <c r="E212" s="34" t="str">
        <f>IFERROR(IF('Pós Implantação'!B212="CSC NOC",AVERAGE('Pós Implantação'!D212,'Pós Implantação'!L212,'Pós Implantação'!G212),AVERAGE('Pós Implantação'!G212)),"")</f>
        <v/>
      </c>
      <c r="F212" s="34" t="str">
        <f>IFERROR(IF('Pós Implantação'!B212="CSE Gravadores",AVERAGE('Pós Implantação'!D212,'Pós Implantação'!L212,'Pós Implantação'!I212),AVERAGE('Pós Implantação'!I212)),"")</f>
        <v/>
      </c>
      <c r="G212" s="34" t="str">
        <f>IFERROR(IF('Pós Implantação'!B212="CSC",AVERAGE('Pós Implantação'!D212,'Pós Implantação'!L212,'Pós Implantação'!J212),AVERAGE('Pós Implantação'!J212)),"")</f>
        <v/>
      </c>
      <c r="H212" s="34" t="str">
        <f>IFERROR(IF('Pós Implantação'!B212="Operações \ Negócio",AVERAGE('Pós Implantação'!D212,'Pós Implantação'!L212,'Pós Implantação'!K212),AVERAGE('Pós Implantação'!K212)),"")</f>
        <v/>
      </c>
      <c r="I212" s="34" t="str">
        <f>IFERROR(IF('Pós Implantação'!B212="Projetos",AVERAGE('Pós Implantação'!D212,'Pós Implantação'!L212,'Pós Implantação'!M212),AVERAGE('Pós Implantação'!M212)),"")</f>
        <v/>
      </c>
      <c r="J212" s="34" t="str">
        <f>IFERROR(IF('Pós Implantação'!B212="Engenharia",AVERAGE('Pós Implantação'!D212,'Pós Implantação'!L212,'Pós Implantação'!N212),AVERAGE('Pós Implantação'!N212)),"")</f>
        <v/>
      </c>
      <c r="K212" s="34" t="str">
        <f>IFERROR(IF('Pós Implantação'!B212="URA",AVERAGE('Pós Implantação'!D212,'Pós Implantação'!L212),""),"")</f>
        <v/>
      </c>
      <c r="L212" s="34" t="str">
        <f>IFERROR(IF('Pós Implantação'!B212="CSE Microsoft",AVERAGE('Pós Implantação'!D212,'Pós Implantação'!L212),""),"")</f>
        <v/>
      </c>
      <c r="M212" s="34" t="str">
        <f>IFERROR(IF('Pós Implantação'!B212="CSE Telecom",AVERAGE('Pós Implantação'!D212,'Pós Implantação'!L212),""),"")</f>
        <v/>
      </c>
      <c r="N212" s="34" t="str">
        <f>IFERROR(IF('Pós Implantação'!B212="Site Suporte de Campo",AVERAGE('Pós Implantação'!D212,'Pós Implantação'!L212),""),"")</f>
        <v/>
      </c>
      <c r="O212" s="49" t="str">
        <f>IFERROR(IF('Pós Implantação'!B212="Infraestrutura",AVERAGE('Pós Implantação'!D212,'Pós Implantação'!L212),""),"")</f>
        <v/>
      </c>
    </row>
    <row r="213" spans="1:15" x14ac:dyDescent="0.3">
      <c r="A213" s="33">
        <f>'Pré Implantação'!A213</f>
        <v>0</v>
      </c>
      <c r="B213" s="36" t="str">
        <f>'Pós Implantação'!C213</f>
        <v>0</v>
      </c>
      <c r="C213" s="34" t="str">
        <f>IFERROR(IF('Pré Implantação'!B213="Produção TI",AVERAGE('Pós Implantação'!D213,'Pós Implantação'!E213,'Pós Implantação'!L213,'Pós Implantação'!H213),AVERAGE('Pré Implantação'!E213,'Pré Implantação'!H213)),"")</f>
        <v/>
      </c>
      <c r="D213" s="34" t="str">
        <f>IFERROR(IF('Pós Implantação'!B213="CSC Service Desk",AVERAGE('Pós Implantação'!D213,'Pós Implantação'!L213,'Pós Implantação'!F213),AVERAGE('Pós Implantação'!F213)),"")</f>
        <v/>
      </c>
      <c r="E213" s="34" t="str">
        <f>IFERROR(IF('Pós Implantação'!B213="CSC NOC",AVERAGE('Pós Implantação'!D213,'Pós Implantação'!L213,'Pós Implantação'!G213),AVERAGE('Pós Implantação'!G213)),"")</f>
        <v/>
      </c>
      <c r="F213" s="34" t="str">
        <f>IFERROR(IF('Pós Implantação'!B213="CSE Gravadores",AVERAGE('Pós Implantação'!D213,'Pós Implantação'!L213,'Pós Implantação'!I213),AVERAGE('Pós Implantação'!I213)),"")</f>
        <v/>
      </c>
      <c r="G213" s="34" t="str">
        <f>IFERROR(IF('Pós Implantação'!B213="CSC",AVERAGE('Pós Implantação'!D213,'Pós Implantação'!L213,'Pós Implantação'!J213),AVERAGE('Pós Implantação'!J213)),"")</f>
        <v/>
      </c>
      <c r="H213" s="34" t="str">
        <f>IFERROR(IF('Pós Implantação'!B213="Operações \ Negócio",AVERAGE('Pós Implantação'!D213,'Pós Implantação'!L213,'Pós Implantação'!K213),AVERAGE('Pós Implantação'!K213)),"")</f>
        <v/>
      </c>
      <c r="I213" s="34" t="str">
        <f>IFERROR(IF('Pós Implantação'!B213="Projetos",AVERAGE('Pós Implantação'!D213,'Pós Implantação'!L213,'Pós Implantação'!M213),AVERAGE('Pós Implantação'!M213)),"")</f>
        <v/>
      </c>
      <c r="J213" s="34" t="str">
        <f>IFERROR(IF('Pós Implantação'!B213="Engenharia",AVERAGE('Pós Implantação'!D213,'Pós Implantação'!L213,'Pós Implantação'!N213),AVERAGE('Pós Implantação'!N213)),"")</f>
        <v/>
      </c>
      <c r="K213" s="34" t="str">
        <f>IFERROR(IF('Pós Implantação'!B213="URA",AVERAGE('Pós Implantação'!D213,'Pós Implantação'!L213),""),"")</f>
        <v/>
      </c>
      <c r="L213" s="34" t="str">
        <f>IFERROR(IF('Pós Implantação'!B213="CSE Microsoft",AVERAGE('Pós Implantação'!D213,'Pós Implantação'!L213),""),"")</f>
        <v/>
      </c>
      <c r="M213" s="34" t="str">
        <f>IFERROR(IF('Pós Implantação'!B213="CSE Telecom",AVERAGE('Pós Implantação'!D213,'Pós Implantação'!L213),""),"")</f>
        <v/>
      </c>
      <c r="N213" s="34" t="str">
        <f>IFERROR(IF('Pós Implantação'!B213="Site Suporte de Campo",AVERAGE('Pós Implantação'!D213,'Pós Implantação'!L213),""),"")</f>
        <v/>
      </c>
      <c r="O213" s="49" t="str">
        <f>IFERROR(IF('Pós Implantação'!B213="Infraestrutura",AVERAGE('Pós Implantação'!D213,'Pós Implantação'!L213),""),"")</f>
        <v/>
      </c>
    </row>
    <row r="214" spans="1:15" x14ac:dyDescent="0.3">
      <c r="A214" s="33">
        <f>'Pré Implantação'!A214</f>
        <v>0</v>
      </c>
      <c r="B214" s="36" t="str">
        <f>'Pós Implantação'!C214</f>
        <v>0</v>
      </c>
      <c r="C214" s="34" t="str">
        <f>IFERROR(IF('Pré Implantação'!B214="Produção TI",AVERAGE('Pós Implantação'!D214,'Pós Implantação'!E214,'Pós Implantação'!L214,'Pós Implantação'!H214),AVERAGE('Pré Implantação'!E214,'Pré Implantação'!H214)),"")</f>
        <v/>
      </c>
      <c r="D214" s="34" t="str">
        <f>IFERROR(IF('Pós Implantação'!B214="CSC Service Desk",AVERAGE('Pós Implantação'!D214,'Pós Implantação'!L214,'Pós Implantação'!F214),AVERAGE('Pós Implantação'!F214)),"")</f>
        <v/>
      </c>
      <c r="E214" s="34" t="str">
        <f>IFERROR(IF('Pós Implantação'!B214="CSC NOC",AVERAGE('Pós Implantação'!D214,'Pós Implantação'!L214,'Pós Implantação'!G214),AVERAGE('Pós Implantação'!G214)),"")</f>
        <v/>
      </c>
      <c r="F214" s="34" t="str">
        <f>IFERROR(IF('Pós Implantação'!B214="CSE Gravadores",AVERAGE('Pós Implantação'!D214,'Pós Implantação'!L214,'Pós Implantação'!I214),AVERAGE('Pós Implantação'!I214)),"")</f>
        <v/>
      </c>
      <c r="G214" s="34" t="str">
        <f>IFERROR(IF('Pós Implantação'!B214="CSC",AVERAGE('Pós Implantação'!D214,'Pós Implantação'!L214,'Pós Implantação'!J214),AVERAGE('Pós Implantação'!J214)),"")</f>
        <v/>
      </c>
      <c r="H214" s="34" t="str">
        <f>IFERROR(IF('Pós Implantação'!B214="Operações \ Negócio",AVERAGE('Pós Implantação'!D214,'Pós Implantação'!L214,'Pós Implantação'!K214),AVERAGE('Pós Implantação'!K214)),"")</f>
        <v/>
      </c>
      <c r="I214" s="34" t="str">
        <f>IFERROR(IF('Pós Implantação'!B214="Projetos",AVERAGE('Pós Implantação'!D214,'Pós Implantação'!L214,'Pós Implantação'!M214),AVERAGE('Pós Implantação'!M214)),"")</f>
        <v/>
      </c>
      <c r="J214" s="34" t="str">
        <f>IFERROR(IF('Pós Implantação'!B214="Engenharia",AVERAGE('Pós Implantação'!D214,'Pós Implantação'!L214,'Pós Implantação'!N214),AVERAGE('Pós Implantação'!N214)),"")</f>
        <v/>
      </c>
      <c r="K214" s="34" t="str">
        <f>IFERROR(IF('Pós Implantação'!B214="URA",AVERAGE('Pós Implantação'!D214,'Pós Implantação'!L214),""),"")</f>
        <v/>
      </c>
      <c r="L214" s="34" t="str">
        <f>IFERROR(IF('Pós Implantação'!B214="CSE Microsoft",AVERAGE('Pós Implantação'!D214,'Pós Implantação'!L214),""),"")</f>
        <v/>
      </c>
      <c r="M214" s="34" t="str">
        <f>IFERROR(IF('Pós Implantação'!B214="CSE Telecom",AVERAGE('Pós Implantação'!D214,'Pós Implantação'!L214),""),"")</f>
        <v/>
      </c>
      <c r="N214" s="34" t="str">
        <f>IFERROR(IF('Pós Implantação'!B214="Site Suporte de Campo",AVERAGE('Pós Implantação'!D214,'Pós Implantação'!L214),""),"")</f>
        <v/>
      </c>
      <c r="O214" s="49" t="str">
        <f>IFERROR(IF('Pós Implantação'!B214="Infraestrutura",AVERAGE('Pós Implantação'!D214,'Pós Implantação'!L214),""),"")</f>
        <v/>
      </c>
    </row>
    <row r="215" spans="1:15" x14ac:dyDescent="0.3">
      <c r="A215" s="33">
        <f>'Pré Implantação'!A215</f>
        <v>0</v>
      </c>
      <c r="B215" s="36" t="str">
        <f>'Pós Implantação'!C215</f>
        <v>0</v>
      </c>
      <c r="C215" s="34" t="str">
        <f>IFERROR(IF('Pré Implantação'!B215="Produção TI",AVERAGE('Pós Implantação'!D215,'Pós Implantação'!E215,'Pós Implantação'!L215,'Pós Implantação'!H215),AVERAGE('Pré Implantação'!E215,'Pré Implantação'!H215)),"")</f>
        <v/>
      </c>
      <c r="D215" s="34" t="str">
        <f>IFERROR(IF('Pós Implantação'!B215="CSC Service Desk",AVERAGE('Pós Implantação'!D215,'Pós Implantação'!L215,'Pós Implantação'!F215),AVERAGE('Pós Implantação'!F215)),"")</f>
        <v/>
      </c>
      <c r="E215" s="34" t="str">
        <f>IFERROR(IF('Pós Implantação'!B215="CSC NOC",AVERAGE('Pós Implantação'!D215,'Pós Implantação'!L215,'Pós Implantação'!G215),AVERAGE('Pós Implantação'!G215)),"")</f>
        <v/>
      </c>
      <c r="F215" s="34" t="str">
        <f>IFERROR(IF('Pós Implantação'!B215="CSE Gravadores",AVERAGE('Pós Implantação'!D215,'Pós Implantação'!L215,'Pós Implantação'!I215),AVERAGE('Pós Implantação'!I215)),"")</f>
        <v/>
      </c>
      <c r="G215" s="34" t="str">
        <f>IFERROR(IF('Pós Implantação'!B215="CSC",AVERAGE('Pós Implantação'!D215,'Pós Implantação'!L215,'Pós Implantação'!J215),AVERAGE('Pós Implantação'!J215)),"")</f>
        <v/>
      </c>
      <c r="H215" s="34" t="str">
        <f>IFERROR(IF('Pós Implantação'!B215="Operações \ Negócio",AVERAGE('Pós Implantação'!D215,'Pós Implantação'!L215,'Pós Implantação'!K215),AVERAGE('Pós Implantação'!K215)),"")</f>
        <v/>
      </c>
      <c r="I215" s="34" t="str">
        <f>IFERROR(IF('Pós Implantação'!B215="Projetos",AVERAGE('Pós Implantação'!D215,'Pós Implantação'!L215,'Pós Implantação'!M215),AVERAGE('Pós Implantação'!M215)),"")</f>
        <v/>
      </c>
      <c r="J215" s="34" t="str">
        <f>IFERROR(IF('Pós Implantação'!B215="Engenharia",AVERAGE('Pós Implantação'!D215,'Pós Implantação'!L215,'Pós Implantação'!N215),AVERAGE('Pós Implantação'!N215)),"")</f>
        <v/>
      </c>
      <c r="K215" s="34" t="str">
        <f>IFERROR(IF('Pós Implantação'!B215="URA",AVERAGE('Pós Implantação'!D215,'Pós Implantação'!L215),""),"")</f>
        <v/>
      </c>
      <c r="L215" s="34" t="str">
        <f>IFERROR(IF('Pós Implantação'!B215="CSE Microsoft",AVERAGE('Pós Implantação'!D215,'Pós Implantação'!L215),""),"")</f>
        <v/>
      </c>
      <c r="M215" s="34" t="str">
        <f>IFERROR(IF('Pós Implantação'!B215="CSE Telecom",AVERAGE('Pós Implantação'!D215,'Pós Implantação'!L215),""),"")</f>
        <v/>
      </c>
      <c r="N215" s="34" t="str">
        <f>IFERROR(IF('Pós Implantação'!B215="Site Suporte de Campo",AVERAGE('Pós Implantação'!D215,'Pós Implantação'!L215),""),"")</f>
        <v/>
      </c>
      <c r="O215" s="49" t="str">
        <f>IFERROR(IF('Pós Implantação'!B215="Infraestrutura",AVERAGE('Pós Implantação'!D215,'Pós Implantação'!L215),""),"")</f>
        <v/>
      </c>
    </row>
    <row r="216" spans="1:15" x14ac:dyDescent="0.3">
      <c r="A216" s="33">
        <f>'Pré Implantação'!A216</f>
        <v>0</v>
      </c>
      <c r="B216" s="36" t="str">
        <f>'Pós Implantação'!C216</f>
        <v>0</v>
      </c>
      <c r="C216" s="34" t="str">
        <f>IFERROR(IF('Pré Implantação'!B216="Produção TI",AVERAGE('Pós Implantação'!D216,'Pós Implantação'!E216,'Pós Implantação'!L216,'Pós Implantação'!H216),AVERAGE('Pré Implantação'!E216,'Pré Implantação'!H216)),"")</f>
        <v/>
      </c>
      <c r="D216" s="34" t="str">
        <f>IFERROR(IF('Pós Implantação'!B216="CSC Service Desk",AVERAGE('Pós Implantação'!D216,'Pós Implantação'!L216,'Pós Implantação'!F216),AVERAGE('Pós Implantação'!F216)),"")</f>
        <v/>
      </c>
      <c r="E216" s="34" t="str">
        <f>IFERROR(IF('Pós Implantação'!B216="CSC NOC",AVERAGE('Pós Implantação'!D216,'Pós Implantação'!L216,'Pós Implantação'!G216),AVERAGE('Pós Implantação'!G216)),"")</f>
        <v/>
      </c>
      <c r="F216" s="34" t="str">
        <f>IFERROR(IF('Pós Implantação'!B216="CSE Gravadores",AVERAGE('Pós Implantação'!D216,'Pós Implantação'!L216,'Pós Implantação'!I216),AVERAGE('Pós Implantação'!I216)),"")</f>
        <v/>
      </c>
      <c r="G216" s="34" t="str">
        <f>IFERROR(IF('Pós Implantação'!B216="CSC",AVERAGE('Pós Implantação'!D216,'Pós Implantação'!L216,'Pós Implantação'!J216),AVERAGE('Pós Implantação'!J216)),"")</f>
        <v/>
      </c>
      <c r="H216" s="34" t="str">
        <f>IFERROR(IF('Pós Implantação'!B216="Operações \ Negócio",AVERAGE('Pós Implantação'!D216,'Pós Implantação'!L216,'Pós Implantação'!K216),AVERAGE('Pós Implantação'!K216)),"")</f>
        <v/>
      </c>
      <c r="I216" s="34" t="str">
        <f>IFERROR(IF('Pós Implantação'!B216="Projetos",AVERAGE('Pós Implantação'!D216,'Pós Implantação'!L216,'Pós Implantação'!M216),AVERAGE('Pós Implantação'!M216)),"")</f>
        <v/>
      </c>
      <c r="J216" s="34" t="str">
        <f>IFERROR(IF('Pós Implantação'!B216="Engenharia",AVERAGE('Pós Implantação'!D216,'Pós Implantação'!L216,'Pós Implantação'!N216),AVERAGE('Pós Implantação'!N216)),"")</f>
        <v/>
      </c>
      <c r="K216" s="34" t="str">
        <f>IFERROR(IF('Pós Implantação'!B216="URA",AVERAGE('Pós Implantação'!D216,'Pós Implantação'!L216),""),"")</f>
        <v/>
      </c>
      <c r="L216" s="34" t="str">
        <f>IFERROR(IF('Pós Implantação'!B216="CSE Microsoft",AVERAGE('Pós Implantação'!D216,'Pós Implantação'!L216),""),"")</f>
        <v/>
      </c>
      <c r="M216" s="34" t="str">
        <f>IFERROR(IF('Pós Implantação'!B216="CSE Telecom",AVERAGE('Pós Implantação'!D216,'Pós Implantação'!L216),""),"")</f>
        <v/>
      </c>
      <c r="N216" s="34" t="str">
        <f>IFERROR(IF('Pós Implantação'!B216="Site Suporte de Campo",AVERAGE('Pós Implantação'!D216,'Pós Implantação'!L216),""),"")</f>
        <v/>
      </c>
      <c r="O216" s="49" t="str">
        <f>IFERROR(IF('Pós Implantação'!B216="Infraestrutura",AVERAGE('Pós Implantação'!D216,'Pós Implantação'!L216),""),"")</f>
        <v/>
      </c>
    </row>
    <row r="217" spans="1:15" x14ac:dyDescent="0.3">
      <c r="A217" s="33">
        <f>'Pré Implantação'!A217</f>
        <v>0</v>
      </c>
      <c r="B217" s="36" t="str">
        <f>'Pós Implantação'!C217</f>
        <v>0</v>
      </c>
      <c r="C217" s="34" t="str">
        <f>IFERROR(IF('Pré Implantação'!B217="Produção TI",AVERAGE('Pós Implantação'!D217,'Pós Implantação'!E217,'Pós Implantação'!L217,'Pós Implantação'!H217),AVERAGE('Pré Implantação'!E217,'Pré Implantação'!H217)),"")</f>
        <v/>
      </c>
      <c r="D217" s="34" t="str">
        <f>IFERROR(IF('Pós Implantação'!B217="CSC Service Desk",AVERAGE('Pós Implantação'!D217,'Pós Implantação'!L217,'Pós Implantação'!F217),AVERAGE('Pós Implantação'!F217)),"")</f>
        <v/>
      </c>
      <c r="E217" s="34" t="str">
        <f>IFERROR(IF('Pós Implantação'!B217="CSC NOC",AVERAGE('Pós Implantação'!D217,'Pós Implantação'!L217,'Pós Implantação'!G217),AVERAGE('Pós Implantação'!G217)),"")</f>
        <v/>
      </c>
      <c r="F217" s="34" t="str">
        <f>IFERROR(IF('Pós Implantação'!B217="CSE Gravadores",AVERAGE('Pós Implantação'!D217,'Pós Implantação'!L217,'Pós Implantação'!I217),AVERAGE('Pós Implantação'!I217)),"")</f>
        <v/>
      </c>
      <c r="G217" s="34" t="str">
        <f>IFERROR(IF('Pós Implantação'!B217="CSC",AVERAGE('Pós Implantação'!D217,'Pós Implantação'!L217,'Pós Implantação'!J217),AVERAGE('Pós Implantação'!J217)),"")</f>
        <v/>
      </c>
      <c r="H217" s="34" t="str">
        <f>IFERROR(IF('Pós Implantação'!B217="Operações \ Negócio",AVERAGE('Pós Implantação'!D217,'Pós Implantação'!L217,'Pós Implantação'!K217),AVERAGE('Pós Implantação'!K217)),"")</f>
        <v/>
      </c>
      <c r="I217" s="34" t="str">
        <f>IFERROR(IF('Pós Implantação'!B217="Projetos",AVERAGE('Pós Implantação'!D217,'Pós Implantação'!L217,'Pós Implantação'!M217),AVERAGE('Pós Implantação'!M217)),"")</f>
        <v/>
      </c>
      <c r="J217" s="34" t="str">
        <f>IFERROR(IF('Pós Implantação'!B217="Engenharia",AVERAGE('Pós Implantação'!D217,'Pós Implantação'!L217,'Pós Implantação'!N217),AVERAGE('Pós Implantação'!N217)),"")</f>
        <v/>
      </c>
      <c r="K217" s="34" t="str">
        <f>IFERROR(IF('Pós Implantação'!B217="URA",AVERAGE('Pós Implantação'!D217,'Pós Implantação'!L217),""),"")</f>
        <v/>
      </c>
      <c r="L217" s="34" t="str">
        <f>IFERROR(IF('Pós Implantação'!B217="CSE Microsoft",AVERAGE('Pós Implantação'!D217,'Pós Implantação'!L217),""),"")</f>
        <v/>
      </c>
      <c r="M217" s="34" t="str">
        <f>IFERROR(IF('Pós Implantação'!B217="CSE Telecom",AVERAGE('Pós Implantação'!D217,'Pós Implantação'!L217),""),"")</f>
        <v/>
      </c>
      <c r="N217" s="34" t="str">
        <f>IFERROR(IF('Pós Implantação'!B217="Site Suporte de Campo",AVERAGE('Pós Implantação'!D217,'Pós Implantação'!L217),""),"")</f>
        <v/>
      </c>
      <c r="O217" s="49" t="str">
        <f>IFERROR(IF('Pós Implantação'!B217="Infraestrutura",AVERAGE('Pós Implantação'!D217,'Pós Implantação'!L217),""),"")</f>
        <v/>
      </c>
    </row>
    <row r="218" spans="1:15" x14ac:dyDescent="0.3">
      <c r="A218" s="33">
        <f>'Pré Implantação'!A218</f>
        <v>0</v>
      </c>
      <c r="B218" s="36" t="str">
        <f>'Pós Implantação'!C218</f>
        <v>0</v>
      </c>
      <c r="C218" s="34" t="str">
        <f>IFERROR(IF('Pré Implantação'!B218="Produção TI",AVERAGE('Pós Implantação'!D218,'Pós Implantação'!E218,'Pós Implantação'!L218,'Pós Implantação'!H218),AVERAGE('Pré Implantação'!E218,'Pré Implantação'!H218)),"")</f>
        <v/>
      </c>
      <c r="D218" s="34" t="str">
        <f>IFERROR(IF('Pós Implantação'!B218="CSC Service Desk",AVERAGE('Pós Implantação'!D218,'Pós Implantação'!L218,'Pós Implantação'!F218),AVERAGE('Pós Implantação'!F218)),"")</f>
        <v/>
      </c>
      <c r="E218" s="34" t="str">
        <f>IFERROR(IF('Pós Implantação'!B218="CSC NOC",AVERAGE('Pós Implantação'!D218,'Pós Implantação'!L218,'Pós Implantação'!G218),AVERAGE('Pós Implantação'!G218)),"")</f>
        <v/>
      </c>
      <c r="F218" s="34" t="str">
        <f>IFERROR(IF('Pós Implantação'!B218="CSE Gravadores",AVERAGE('Pós Implantação'!D218,'Pós Implantação'!L218,'Pós Implantação'!I218),AVERAGE('Pós Implantação'!I218)),"")</f>
        <v/>
      </c>
      <c r="G218" s="34" t="str">
        <f>IFERROR(IF('Pós Implantação'!B218="CSC",AVERAGE('Pós Implantação'!D218,'Pós Implantação'!L218,'Pós Implantação'!J218),AVERAGE('Pós Implantação'!J218)),"")</f>
        <v/>
      </c>
      <c r="H218" s="34" t="str">
        <f>IFERROR(IF('Pós Implantação'!B218="Operações \ Negócio",AVERAGE('Pós Implantação'!D218,'Pós Implantação'!L218,'Pós Implantação'!K218),AVERAGE('Pós Implantação'!K218)),"")</f>
        <v/>
      </c>
      <c r="I218" s="34" t="str">
        <f>IFERROR(IF('Pós Implantação'!B218="Projetos",AVERAGE('Pós Implantação'!D218,'Pós Implantação'!L218,'Pós Implantação'!M218),AVERAGE('Pós Implantação'!M218)),"")</f>
        <v/>
      </c>
      <c r="J218" s="34" t="str">
        <f>IFERROR(IF('Pós Implantação'!B218="Engenharia",AVERAGE('Pós Implantação'!D218,'Pós Implantação'!L218,'Pós Implantação'!N218),AVERAGE('Pós Implantação'!N218)),"")</f>
        <v/>
      </c>
      <c r="K218" s="34" t="str">
        <f>IFERROR(IF('Pós Implantação'!B218="URA",AVERAGE('Pós Implantação'!D218,'Pós Implantação'!L218),""),"")</f>
        <v/>
      </c>
      <c r="L218" s="34" t="str">
        <f>IFERROR(IF('Pós Implantação'!B218="CSE Microsoft",AVERAGE('Pós Implantação'!D218,'Pós Implantação'!L218),""),"")</f>
        <v/>
      </c>
      <c r="M218" s="34" t="str">
        <f>IFERROR(IF('Pós Implantação'!B218="CSE Telecom",AVERAGE('Pós Implantação'!D218,'Pós Implantação'!L218),""),"")</f>
        <v/>
      </c>
      <c r="N218" s="34" t="str">
        <f>IFERROR(IF('Pós Implantação'!B218="Site Suporte de Campo",AVERAGE('Pós Implantação'!D218,'Pós Implantação'!L218),""),"")</f>
        <v/>
      </c>
      <c r="O218" s="49" t="str">
        <f>IFERROR(IF('Pós Implantação'!B218="Infraestrutura",AVERAGE('Pós Implantação'!D218,'Pós Implantação'!L218),""),"")</f>
        <v/>
      </c>
    </row>
    <row r="219" spans="1:15" x14ac:dyDescent="0.3">
      <c r="A219" s="33">
        <f>'Pré Implantação'!A219</f>
        <v>0</v>
      </c>
      <c r="B219" s="36" t="str">
        <f>'Pós Implantação'!C219</f>
        <v>0</v>
      </c>
      <c r="C219" s="34" t="str">
        <f>IFERROR(IF('Pré Implantação'!B219="Produção TI",AVERAGE('Pós Implantação'!D219,'Pós Implantação'!E219,'Pós Implantação'!L219,'Pós Implantação'!H219),AVERAGE('Pré Implantação'!E219,'Pré Implantação'!H219)),"")</f>
        <v/>
      </c>
      <c r="D219" s="34" t="str">
        <f>IFERROR(IF('Pós Implantação'!B219="CSC Service Desk",AVERAGE('Pós Implantação'!D219,'Pós Implantação'!L219,'Pós Implantação'!F219),AVERAGE('Pós Implantação'!F219)),"")</f>
        <v/>
      </c>
      <c r="E219" s="34" t="str">
        <f>IFERROR(IF('Pós Implantação'!B219="CSC NOC",AVERAGE('Pós Implantação'!D219,'Pós Implantação'!L219,'Pós Implantação'!G219),AVERAGE('Pós Implantação'!G219)),"")</f>
        <v/>
      </c>
      <c r="F219" s="34" t="str">
        <f>IFERROR(IF('Pós Implantação'!B219="CSE Gravadores",AVERAGE('Pós Implantação'!D219,'Pós Implantação'!L219,'Pós Implantação'!I219),AVERAGE('Pós Implantação'!I219)),"")</f>
        <v/>
      </c>
      <c r="G219" s="34" t="str">
        <f>IFERROR(IF('Pós Implantação'!B219="CSC",AVERAGE('Pós Implantação'!D219,'Pós Implantação'!L219,'Pós Implantação'!J219),AVERAGE('Pós Implantação'!J219)),"")</f>
        <v/>
      </c>
      <c r="H219" s="34" t="str">
        <f>IFERROR(IF('Pós Implantação'!B219="Operações \ Negócio",AVERAGE('Pós Implantação'!D219,'Pós Implantação'!L219,'Pós Implantação'!K219),AVERAGE('Pós Implantação'!K219)),"")</f>
        <v/>
      </c>
      <c r="I219" s="34" t="str">
        <f>IFERROR(IF('Pós Implantação'!B219="Projetos",AVERAGE('Pós Implantação'!D219,'Pós Implantação'!L219,'Pós Implantação'!M219),AVERAGE('Pós Implantação'!M219)),"")</f>
        <v/>
      </c>
      <c r="J219" s="34" t="str">
        <f>IFERROR(IF('Pós Implantação'!B219="Engenharia",AVERAGE('Pós Implantação'!D219,'Pós Implantação'!L219,'Pós Implantação'!N219),AVERAGE('Pós Implantação'!N219)),"")</f>
        <v/>
      </c>
      <c r="K219" s="34" t="str">
        <f>IFERROR(IF('Pós Implantação'!B219="URA",AVERAGE('Pós Implantação'!D219,'Pós Implantação'!L219),""),"")</f>
        <v/>
      </c>
      <c r="L219" s="34" t="str">
        <f>IFERROR(IF('Pós Implantação'!B219="CSE Microsoft",AVERAGE('Pós Implantação'!D219,'Pós Implantação'!L219),""),"")</f>
        <v/>
      </c>
      <c r="M219" s="34" t="str">
        <f>IFERROR(IF('Pós Implantação'!B219="CSE Telecom",AVERAGE('Pós Implantação'!D219,'Pós Implantação'!L219),""),"")</f>
        <v/>
      </c>
      <c r="N219" s="34" t="str">
        <f>IFERROR(IF('Pós Implantação'!B219="Site Suporte de Campo",AVERAGE('Pós Implantação'!D219,'Pós Implantação'!L219),""),"")</f>
        <v/>
      </c>
      <c r="O219" s="49" t="str">
        <f>IFERROR(IF('Pós Implantação'!B219="Infraestrutura",AVERAGE('Pós Implantação'!D219,'Pós Implantação'!L219),""),"")</f>
        <v/>
      </c>
    </row>
    <row r="220" spans="1:15" x14ac:dyDescent="0.3">
      <c r="A220" s="33">
        <f>'Pré Implantação'!A220</f>
        <v>0</v>
      </c>
      <c r="B220" s="36" t="str">
        <f>'Pós Implantação'!C220</f>
        <v>0</v>
      </c>
      <c r="C220" s="34" t="str">
        <f>IFERROR(IF('Pré Implantação'!B220="Produção TI",AVERAGE('Pós Implantação'!D220,'Pós Implantação'!E220,'Pós Implantação'!L220,'Pós Implantação'!H220),AVERAGE('Pré Implantação'!E220,'Pré Implantação'!H220)),"")</f>
        <v/>
      </c>
      <c r="D220" s="34" t="str">
        <f>IFERROR(IF('Pós Implantação'!B220="CSC Service Desk",AVERAGE('Pós Implantação'!D220,'Pós Implantação'!L220,'Pós Implantação'!F220),AVERAGE('Pós Implantação'!F220)),"")</f>
        <v/>
      </c>
      <c r="E220" s="34" t="str">
        <f>IFERROR(IF('Pós Implantação'!B220="CSC NOC",AVERAGE('Pós Implantação'!D220,'Pós Implantação'!L220,'Pós Implantação'!G220),AVERAGE('Pós Implantação'!G220)),"")</f>
        <v/>
      </c>
      <c r="F220" s="34" t="str">
        <f>IFERROR(IF('Pós Implantação'!B220="CSE Gravadores",AVERAGE('Pós Implantação'!D220,'Pós Implantação'!L220,'Pós Implantação'!I220),AVERAGE('Pós Implantação'!I220)),"")</f>
        <v/>
      </c>
      <c r="G220" s="34" t="str">
        <f>IFERROR(IF('Pós Implantação'!B220="CSC",AVERAGE('Pós Implantação'!D220,'Pós Implantação'!L220,'Pós Implantação'!J220),AVERAGE('Pós Implantação'!J220)),"")</f>
        <v/>
      </c>
      <c r="H220" s="34" t="str">
        <f>IFERROR(IF('Pós Implantação'!B220="Operações \ Negócio",AVERAGE('Pós Implantação'!D220,'Pós Implantação'!L220,'Pós Implantação'!K220),AVERAGE('Pós Implantação'!K220)),"")</f>
        <v/>
      </c>
      <c r="I220" s="34" t="str">
        <f>IFERROR(IF('Pós Implantação'!B220="Projetos",AVERAGE('Pós Implantação'!D220,'Pós Implantação'!L220,'Pós Implantação'!M220),AVERAGE('Pós Implantação'!M220)),"")</f>
        <v/>
      </c>
      <c r="J220" s="34" t="str">
        <f>IFERROR(IF('Pós Implantação'!B220="Engenharia",AVERAGE('Pós Implantação'!D220,'Pós Implantação'!L220,'Pós Implantação'!N220),AVERAGE('Pós Implantação'!N220)),"")</f>
        <v/>
      </c>
      <c r="K220" s="34" t="str">
        <f>IFERROR(IF('Pós Implantação'!B220="URA",AVERAGE('Pós Implantação'!D220,'Pós Implantação'!L220),""),"")</f>
        <v/>
      </c>
      <c r="L220" s="34" t="str">
        <f>IFERROR(IF('Pós Implantação'!B220="CSE Microsoft",AVERAGE('Pós Implantação'!D220,'Pós Implantação'!L220),""),"")</f>
        <v/>
      </c>
      <c r="M220" s="34" t="str">
        <f>IFERROR(IF('Pós Implantação'!B220="CSE Telecom",AVERAGE('Pós Implantação'!D220,'Pós Implantação'!L220),""),"")</f>
        <v/>
      </c>
      <c r="N220" s="34" t="str">
        <f>IFERROR(IF('Pós Implantação'!B220="Site Suporte de Campo",AVERAGE('Pós Implantação'!D220,'Pós Implantação'!L220),""),"")</f>
        <v/>
      </c>
      <c r="O220" s="49" t="str">
        <f>IFERROR(IF('Pós Implantação'!B220="Infraestrutura",AVERAGE('Pós Implantação'!D220,'Pós Implantação'!L220),""),"")</f>
        <v/>
      </c>
    </row>
    <row r="221" spans="1:15" x14ac:dyDescent="0.3">
      <c r="A221" s="33">
        <f>'Pré Implantação'!A221</f>
        <v>0</v>
      </c>
      <c r="B221" s="36" t="str">
        <f>'Pós Implantação'!C221</f>
        <v>0</v>
      </c>
      <c r="C221" s="34" t="str">
        <f>IFERROR(IF('Pré Implantação'!B221="Produção TI",AVERAGE('Pós Implantação'!D221,'Pós Implantação'!E221,'Pós Implantação'!L221,'Pós Implantação'!H221),AVERAGE('Pré Implantação'!E221,'Pré Implantação'!H221)),"")</f>
        <v/>
      </c>
      <c r="D221" s="34" t="str">
        <f>IFERROR(IF('Pós Implantação'!B221="CSC Service Desk",AVERAGE('Pós Implantação'!D221,'Pós Implantação'!L221,'Pós Implantação'!F221),AVERAGE('Pós Implantação'!F221)),"")</f>
        <v/>
      </c>
      <c r="E221" s="34" t="str">
        <f>IFERROR(IF('Pós Implantação'!B221="CSC NOC",AVERAGE('Pós Implantação'!D221,'Pós Implantação'!L221,'Pós Implantação'!G221),AVERAGE('Pós Implantação'!G221)),"")</f>
        <v/>
      </c>
      <c r="F221" s="34" t="str">
        <f>IFERROR(IF('Pós Implantação'!B221="CSE Gravadores",AVERAGE('Pós Implantação'!D221,'Pós Implantação'!L221,'Pós Implantação'!I221),AVERAGE('Pós Implantação'!I221)),"")</f>
        <v/>
      </c>
      <c r="G221" s="34" t="str">
        <f>IFERROR(IF('Pós Implantação'!B221="CSC",AVERAGE('Pós Implantação'!D221,'Pós Implantação'!L221,'Pós Implantação'!J221),AVERAGE('Pós Implantação'!J221)),"")</f>
        <v/>
      </c>
      <c r="H221" s="34" t="str">
        <f>IFERROR(IF('Pós Implantação'!B221="Operações \ Negócio",AVERAGE('Pós Implantação'!D221,'Pós Implantação'!L221,'Pós Implantação'!K221),AVERAGE('Pós Implantação'!K221)),"")</f>
        <v/>
      </c>
      <c r="I221" s="34" t="str">
        <f>IFERROR(IF('Pós Implantação'!B221="Projetos",AVERAGE('Pós Implantação'!D221,'Pós Implantação'!L221,'Pós Implantação'!M221),AVERAGE('Pós Implantação'!M221)),"")</f>
        <v/>
      </c>
      <c r="J221" s="34" t="str">
        <f>IFERROR(IF('Pós Implantação'!B221="Engenharia",AVERAGE('Pós Implantação'!D221,'Pós Implantação'!L221,'Pós Implantação'!N221),AVERAGE('Pós Implantação'!N221)),"")</f>
        <v/>
      </c>
      <c r="K221" s="34" t="str">
        <f>IFERROR(IF('Pós Implantação'!B221="URA",AVERAGE('Pós Implantação'!D221,'Pós Implantação'!L221),""),"")</f>
        <v/>
      </c>
      <c r="L221" s="34" t="str">
        <f>IFERROR(IF('Pós Implantação'!B221="CSE Microsoft",AVERAGE('Pós Implantação'!D221,'Pós Implantação'!L221),""),"")</f>
        <v/>
      </c>
      <c r="M221" s="34" t="str">
        <f>IFERROR(IF('Pós Implantação'!B221="CSE Telecom",AVERAGE('Pós Implantação'!D221,'Pós Implantação'!L221),""),"")</f>
        <v/>
      </c>
      <c r="N221" s="34" t="str">
        <f>IFERROR(IF('Pós Implantação'!B221="Site Suporte de Campo",AVERAGE('Pós Implantação'!D221,'Pós Implantação'!L221),""),"")</f>
        <v/>
      </c>
      <c r="O221" s="49" t="str">
        <f>IFERROR(IF('Pós Implantação'!B221="Infraestrutura",AVERAGE('Pós Implantação'!D221,'Pós Implantação'!L221),""),"")</f>
        <v/>
      </c>
    </row>
    <row r="222" spans="1:15" x14ac:dyDescent="0.3">
      <c r="A222" s="33">
        <f>'Pré Implantação'!A222</f>
        <v>0</v>
      </c>
      <c r="B222" s="36" t="str">
        <f>'Pós Implantação'!C222</f>
        <v>0</v>
      </c>
      <c r="C222" s="34" t="str">
        <f>IFERROR(IF('Pré Implantação'!B222="Produção TI",AVERAGE('Pós Implantação'!D222,'Pós Implantação'!E222,'Pós Implantação'!L222,'Pós Implantação'!H222),AVERAGE('Pré Implantação'!E222,'Pré Implantação'!H222)),"")</f>
        <v/>
      </c>
      <c r="D222" s="34" t="str">
        <f>IFERROR(IF('Pós Implantação'!B222="CSC Service Desk",AVERAGE('Pós Implantação'!D222,'Pós Implantação'!L222,'Pós Implantação'!F222),AVERAGE('Pós Implantação'!F222)),"")</f>
        <v/>
      </c>
      <c r="E222" s="34" t="str">
        <f>IFERROR(IF('Pós Implantação'!B222="CSC NOC",AVERAGE('Pós Implantação'!D222,'Pós Implantação'!L222,'Pós Implantação'!G222),AVERAGE('Pós Implantação'!G222)),"")</f>
        <v/>
      </c>
      <c r="F222" s="34" t="str">
        <f>IFERROR(IF('Pós Implantação'!B222="CSE Gravadores",AVERAGE('Pós Implantação'!D222,'Pós Implantação'!L222,'Pós Implantação'!I222),AVERAGE('Pós Implantação'!I222)),"")</f>
        <v/>
      </c>
      <c r="G222" s="34" t="str">
        <f>IFERROR(IF('Pós Implantação'!B222="CSC",AVERAGE('Pós Implantação'!D222,'Pós Implantação'!L222,'Pós Implantação'!J222),AVERAGE('Pós Implantação'!J222)),"")</f>
        <v/>
      </c>
      <c r="H222" s="34" t="str">
        <f>IFERROR(IF('Pós Implantação'!B222="Operações \ Negócio",AVERAGE('Pós Implantação'!D222,'Pós Implantação'!L222,'Pós Implantação'!K222),AVERAGE('Pós Implantação'!K222)),"")</f>
        <v/>
      </c>
      <c r="I222" s="34" t="str">
        <f>IFERROR(IF('Pós Implantação'!B222="Projetos",AVERAGE('Pós Implantação'!D222,'Pós Implantação'!L222,'Pós Implantação'!M222),AVERAGE('Pós Implantação'!M222)),"")</f>
        <v/>
      </c>
      <c r="J222" s="34" t="str">
        <f>IFERROR(IF('Pós Implantação'!B222="Engenharia",AVERAGE('Pós Implantação'!D222,'Pós Implantação'!L222,'Pós Implantação'!N222),AVERAGE('Pós Implantação'!N222)),"")</f>
        <v/>
      </c>
      <c r="K222" s="34" t="str">
        <f>IFERROR(IF('Pós Implantação'!B222="URA",AVERAGE('Pós Implantação'!D222,'Pós Implantação'!L222),""),"")</f>
        <v/>
      </c>
      <c r="L222" s="34" t="str">
        <f>IFERROR(IF('Pós Implantação'!B222="CSE Microsoft",AVERAGE('Pós Implantação'!D222,'Pós Implantação'!L222),""),"")</f>
        <v/>
      </c>
      <c r="M222" s="34" t="str">
        <f>IFERROR(IF('Pós Implantação'!B222="CSE Telecom",AVERAGE('Pós Implantação'!D222,'Pós Implantação'!L222),""),"")</f>
        <v/>
      </c>
      <c r="N222" s="34" t="str">
        <f>IFERROR(IF('Pós Implantação'!B222="Site Suporte de Campo",AVERAGE('Pós Implantação'!D222,'Pós Implantação'!L222),""),"")</f>
        <v/>
      </c>
      <c r="O222" s="49" t="str">
        <f>IFERROR(IF('Pós Implantação'!B222="Infraestrutura",AVERAGE('Pós Implantação'!D222,'Pós Implantação'!L222),""),"")</f>
        <v/>
      </c>
    </row>
    <row r="223" spans="1:15" x14ac:dyDescent="0.3">
      <c r="A223" s="33">
        <f>'Pré Implantação'!A223</f>
        <v>0</v>
      </c>
      <c r="B223" s="36" t="str">
        <f>'Pós Implantação'!C223</f>
        <v>0</v>
      </c>
      <c r="C223" s="34" t="str">
        <f>IFERROR(IF('Pré Implantação'!B223="Produção TI",AVERAGE('Pós Implantação'!D223,'Pós Implantação'!E223,'Pós Implantação'!L223,'Pós Implantação'!H223),AVERAGE('Pré Implantação'!E223,'Pré Implantação'!H223)),"")</f>
        <v/>
      </c>
      <c r="D223" s="34" t="str">
        <f>IFERROR(IF('Pós Implantação'!B223="CSC Service Desk",AVERAGE('Pós Implantação'!D223,'Pós Implantação'!L223,'Pós Implantação'!F223),AVERAGE('Pós Implantação'!F223)),"")</f>
        <v/>
      </c>
      <c r="E223" s="34" t="str">
        <f>IFERROR(IF('Pós Implantação'!B223="CSC NOC",AVERAGE('Pós Implantação'!D223,'Pós Implantação'!L223,'Pós Implantação'!G223),AVERAGE('Pós Implantação'!G223)),"")</f>
        <v/>
      </c>
      <c r="F223" s="34" t="str">
        <f>IFERROR(IF('Pós Implantação'!B223="CSE Gravadores",AVERAGE('Pós Implantação'!D223,'Pós Implantação'!L223,'Pós Implantação'!I223),AVERAGE('Pós Implantação'!I223)),"")</f>
        <v/>
      </c>
      <c r="G223" s="34" t="str">
        <f>IFERROR(IF('Pós Implantação'!B223="CSC",AVERAGE('Pós Implantação'!D223,'Pós Implantação'!L223,'Pós Implantação'!J223),AVERAGE('Pós Implantação'!J223)),"")</f>
        <v/>
      </c>
      <c r="H223" s="34" t="str">
        <f>IFERROR(IF('Pós Implantação'!B223="Operações \ Negócio",AVERAGE('Pós Implantação'!D223,'Pós Implantação'!L223,'Pós Implantação'!K223),AVERAGE('Pós Implantação'!K223)),"")</f>
        <v/>
      </c>
      <c r="I223" s="34" t="str">
        <f>IFERROR(IF('Pós Implantação'!B223="Projetos",AVERAGE('Pós Implantação'!D223,'Pós Implantação'!L223,'Pós Implantação'!M223),AVERAGE('Pós Implantação'!M223)),"")</f>
        <v/>
      </c>
      <c r="J223" s="34" t="str">
        <f>IFERROR(IF('Pós Implantação'!B223="Engenharia",AVERAGE('Pós Implantação'!D223,'Pós Implantação'!L223,'Pós Implantação'!N223),AVERAGE('Pós Implantação'!N223)),"")</f>
        <v/>
      </c>
      <c r="K223" s="34" t="str">
        <f>IFERROR(IF('Pós Implantação'!B223="URA",AVERAGE('Pós Implantação'!D223,'Pós Implantação'!L223),""),"")</f>
        <v/>
      </c>
      <c r="L223" s="34" t="str">
        <f>IFERROR(IF('Pós Implantação'!B223="CSE Microsoft",AVERAGE('Pós Implantação'!D223,'Pós Implantação'!L223),""),"")</f>
        <v/>
      </c>
      <c r="M223" s="34" t="str">
        <f>IFERROR(IF('Pós Implantação'!B223="CSE Telecom",AVERAGE('Pós Implantação'!D223,'Pós Implantação'!L223),""),"")</f>
        <v/>
      </c>
      <c r="N223" s="34" t="str">
        <f>IFERROR(IF('Pós Implantação'!B223="Site Suporte de Campo",AVERAGE('Pós Implantação'!D223,'Pós Implantação'!L223),""),"")</f>
        <v/>
      </c>
      <c r="O223" s="49" t="str">
        <f>IFERROR(IF('Pós Implantação'!B223="Infraestrutura",AVERAGE('Pós Implantação'!D223,'Pós Implantação'!L223),""),"")</f>
        <v/>
      </c>
    </row>
    <row r="224" spans="1:15" x14ac:dyDescent="0.3">
      <c r="A224" s="33">
        <f>'Pré Implantação'!A224</f>
        <v>0</v>
      </c>
      <c r="B224" s="36" t="str">
        <f>'Pós Implantação'!C224</f>
        <v>0</v>
      </c>
      <c r="C224" s="34" t="str">
        <f>IFERROR(IF('Pré Implantação'!B224="Produção TI",AVERAGE('Pós Implantação'!D224,'Pós Implantação'!E224,'Pós Implantação'!L224,'Pós Implantação'!H224),AVERAGE('Pré Implantação'!E224,'Pré Implantação'!H224)),"")</f>
        <v/>
      </c>
      <c r="D224" s="34" t="str">
        <f>IFERROR(IF('Pós Implantação'!B224="CSC Service Desk",AVERAGE('Pós Implantação'!D224,'Pós Implantação'!L224,'Pós Implantação'!F224),AVERAGE('Pós Implantação'!F224)),"")</f>
        <v/>
      </c>
      <c r="E224" s="34" t="str">
        <f>IFERROR(IF('Pós Implantação'!B224="CSC NOC",AVERAGE('Pós Implantação'!D224,'Pós Implantação'!L224,'Pós Implantação'!G224),AVERAGE('Pós Implantação'!G224)),"")</f>
        <v/>
      </c>
      <c r="F224" s="34" t="str">
        <f>IFERROR(IF('Pós Implantação'!B224="CSE Gravadores",AVERAGE('Pós Implantação'!D224,'Pós Implantação'!L224,'Pós Implantação'!I224),AVERAGE('Pós Implantação'!I224)),"")</f>
        <v/>
      </c>
      <c r="G224" s="34" t="str">
        <f>IFERROR(IF('Pós Implantação'!B224="CSC",AVERAGE('Pós Implantação'!D224,'Pós Implantação'!L224,'Pós Implantação'!J224),AVERAGE('Pós Implantação'!J224)),"")</f>
        <v/>
      </c>
      <c r="H224" s="34" t="str">
        <f>IFERROR(IF('Pós Implantação'!B224="Operações \ Negócio",AVERAGE('Pós Implantação'!D224,'Pós Implantação'!L224,'Pós Implantação'!K224),AVERAGE('Pós Implantação'!K224)),"")</f>
        <v/>
      </c>
      <c r="I224" s="34" t="str">
        <f>IFERROR(IF('Pós Implantação'!B224="Projetos",AVERAGE('Pós Implantação'!D224,'Pós Implantação'!L224,'Pós Implantação'!M224),AVERAGE('Pós Implantação'!M224)),"")</f>
        <v/>
      </c>
      <c r="J224" s="34" t="str">
        <f>IFERROR(IF('Pós Implantação'!B224="Engenharia",AVERAGE('Pós Implantação'!D224,'Pós Implantação'!L224,'Pós Implantação'!N224),AVERAGE('Pós Implantação'!N224)),"")</f>
        <v/>
      </c>
      <c r="K224" s="34" t="str">
        <f>IFERROR(IF('Pós Implantação'!B224="URA",AVERAGE('Pós Implantação'!D224,'Pós Implantação'!L224),""),"")</f>
        <v/>
      </c>
      <c r="L224" s="34" t="str">
        <f>IFERROR(IF('Pós Implantação'!B224="CSE Microsoft",AVERAGE('Pós Implantação'!D224,'Pós Implantação'!L224),""),"")</f>
        <v/>
      </c>
      <c r="M224" s="34" t="str">
        <f>IFERROR(IF('Pós Implantação'!B224="CSE Telecom",AVERAGE('Pós Implantação'!D224,'Pós Implantação'!L224),""),"")</f>
        <v/>
      </c>
      <c r="N224" s="34" t="str">
        <f>IFERROR(IF('Pós Implantação'!B224="Site Suporte de Campo",AVERAGE('Pós Implantação'!D224,'Pós Implantação'!L224),""),"")</f>
        <v/>
      </c>
      <c r="O224" s="49" t="str">
        <f>IFERROR(IF('Pós Implantação'!B224="Infraestrutura",AVERAGE('Pós Implantação'!D224,'Pós Implantação'!L224),""),"")</f>
        <v/>
      </c>
    </row>
    <row r="225" spans="1:15" x14ac:dyDescent="0.3">
      <c r="A225" s="33">
        <f>'Pré Implantação'!A225</f>
        <v>0</v>
      </c>
      <c r="B225" s="36" t="str">
        <f>'Pós Implantação'!C225</f>
        <v>0</v>
      </c>
      <c r="C225" s="34" t="str">
        <f>IFERROR(IF('Pré Implantação'!B225="Produção TI",AVERAGE('Pós Implantação'!D225,'Pós Implantação'!E225,'Pós Implantação'!L225,'Pós Implantação'!H225),AVERAGE('Pré Implantação'!E225,'Pré Implantação'!H225)),"")</f>
        <v/>
      </c>
      <c r="D225" s="34" t="str">
        <f>IFERROR(IF('Pós Implantação'!B225="CSC Service Desk",AVERAGE('Pós Implantação'!D225,'Pós Implantação'!L225,'Pós Implantação'!F225),AVERAGE('Pós Implantação'!F225)),"")</f>
        <v/>
      </c>
      <c r="E225" s="34" t="str">
        <f>IFERROR(IF('Pós Implantação'!B225="CSC NOC",AVERAGE('Pós Implantação'!D225,'Pós Implantação'!L225,'Pós Implantação'!G225),AVERAGE('Pós Implantação'!G225)),"")</f>
        <v/>
      </c>
      <c r="F225" s="34" t="str">
        <f>IFERROR(IF('Pós Implantação'!B225="CSE Gravadores",AVERAGE('Pós Implantação'!D225,'Pós Implantação'!L225,'Pós Implantação'!I225),AVERAGE('Pós Implantação'!I225)),"")</f>
        <v/>
      </c>
      <c r="G225" s="34" t="str">
        <f>IFERROR(IF('Pós Implantação'!B225="CSC",AVERAGE('Pós Implantação'!D225,'Pós Implantação'!L225,'Pós Implantação'!J225),AVERAGE('Pós Implantação'!J225)),"")</f>
        <v/>
      </c>
      <c r="H225" s="34" t="str">
        <f>IFERROR(IF('Pós Implantação'!B225="Operações \ Negócio",AVERAGE('Pós Implantação'!D225,'Pós Implantação'!L225,'Pós Implantação'!K225),AVERAGE('Pós Implantação'!K225)),"")</f>
        <v/>
      </c>
      <c r="I225" s="34" t="str">
        <f>IFERROR(IF('Pós Implantação'!B225="Projetos",AVERAGE('Pós Implantação'!D225,'Pós Implantação'!L225,'Pós Implantação'!M225),AVERAGE('Pós Implantação'!M225)),"")</f>
        <v/>
      </c>
      <c r="J225" s="34" t="str">
        <f>IFERROR(IF('Pós Implantação'!B225="Engenharia",AVERAGE('Pós Implantação'!D225,'Pós Implantação'!L225,'Pós Implantação'!N225),AVERAGE('Pós Implantação'!N225)),"")</f>
        <v/>
      </c>
      <c r="K225" s="34" t="str">
        <f>IFERROR(IF('Pós Implantação'!B225="URA",AVERAGE('Pós Implantação'!D225,'Pós Implantação'!L225),""),"")</f>
        <v/>
      </c>
      <c r="L225" s="34" t="str">
        <f>IFERROR(IF('Pós Implantação'!B225="CSE Microsoft",AVERAGE('Pós Implantação'!D225,'Pós Implantação'!L225),""),"")</f>
        <v/>
      </c>
      <c r="M225" s="34" t="str">
        <f>IFERROR(IF('Pós Implantação'!B225="CSE Telecom",AVERAGE('Pós Implantação'!D225,'Pós Implantação'!L225),""),"")</f>
        <v/>
      </c>
      <c r="N225" s="34" t="str">
        <f>IFERROR(IF('Pós Implantação'!B225="Site Suporte de Campo",AVERAGE('Pós Implantação'!D225,'Pós Implantação'!L225),""),"")</f>
        <v/>
      </c>
      <c r="O225" s="49" t="str">
        <f>IFERROR(IF('Pós Implantação'!B225="Infraestrutura",AVERAGE('Pós Implantação'!D225,'Pós Implantação'!L225),""),"")</f>
        <v/>
      </c>
    </row>
    <row r="226" spans="1:15" x14ac:dyDescent="0.3">
      <c r="A226" s="33">
        <f>'Pré Implantação'!A226</f>
        <v>0</v>
      </c>
      <c r="B226" s="36" t="str">
        <f>'Pós Implantação'!C226</f>
        <v>0</v>
      </c>
      <c r="C226" s="34" t="str">
        <f>IFERROR(IF('Pré Implantação'!B226="Produção TI",AVERAGE('Pós Implantação'!D226,'Pós Implantação'!E226,'Pós Implantação'!L226,'Pós Implantação'!H226),AVERAGE('Pré Implantação'!E226,'Pré Implantação'!H226)),"")</f>
        <v/>
      </c>
      <c r="D226" s="34" t="str">
        <f>IFERROR(IF('Pós Implantação'!B226="CSC Service Desk",AVERAGE('Pós Implantação'!D226,'Pós Implantação'!L226,'Pós Implantação'!F226),AVERAGE('Pós Implantação'!F226)),"")</f>
        <v/>
      </c>
      <c r="E226" s="34" t="str">
        <f>IFERROR(IF('Pós Implantação'!B226="CSC NOC",AVERAGE('Pós Implantação'!D226,'Pós Implantação'!L226,'Pós Implantação'!G226),AVERAGE('Pós Implantação'!G226)),"")</f>
        <v/>
      </c>
      <c r="F226" s="34" t="str">
        <f>IFERROR(IF('Pós Implantação'!B226="CSE Gravadores",AVERAGE('Pós Implantação'!D226,'Pós Implantação'!L226,'Pós Implantação'!I226),AVERAGE('Pós Implantação'!I226)),"")</f>
        <v/>
      </c>
      <c r="G226" s="34" t="str">
        <f>IFERROR(IF('Pós Implantação'!B226="CSC",AVERAGE('Pós Implantação'!D226,'Pós Implantação'!L226,'Pós Implantação'!J226),AVERAGE('Pós Implantação'!J226)),"")</f>
        <v/>
      </c>
      <c r="H226" s="34" t="str">
        <f>IFERROR(IF('Pós Implantação'!B226="Operações \ Negócio",AVERAGE('Pós Implantação'!D226,'Pós Implantação'!L226,'Pós Implantação'!K226),AVERAGE('Pós Implantação'!K226)),"")</f>
        <v/>
      </c>
      <c r="I226" s="34" t="str">
        <f>IFERROR(IF('Pós Implantação'!B226="Projetos",AVERAGE('Pós Implantação'!D226,'Pós Implantação'!L226,'Pós Implantação'!M226),AVERAGE('Pós Implantação'!M226)),"")</f>
        <v/>
      </c>
      <c r="J226" s="34" t="str">
        <f>IFERROR(IF('Pós Implantação'!B226="Engenharia",AVERAGE('Pós Implantação'!D226,'Pós Implantação'!L226,'Pós Implantação'!N226),AVERAGE('Pós Implantação'!N226)),"")</f>
        <v/>
      </c>
      <c r="K226" s="34" t="str">
        <f>IFERROR(IF('Pós Implantação'!B226="URA",AVERAGE('Pós Implantação'!D226,'Pós Implantação'!L226),""),"")</f>
        <v/>
      </c>
      <c r="L226" s="34" t="str">
        <f>IFERROR(IF('Pós Implantação'!B226="CSE Microsoft",AVERAGE('Pós Implantação'!D226,'Pós Implantação'!L226),""),"")</f>
        <v/>
      </c>
      <c r="M226" s="34" t="str">
        <f>IFERROR(IF('Pós Implantação'!B226="CSE Telecom",AVERAGE('Pós Implantação'!D226,'Pós Implantação'!L226),""),"")</f>
        <v/>
      </c>
      <c r="N226" s="34" t="str">
        <f>IFERROR(IF('Pós Implantação'!B226="Site Suporte de Campo",AVERAGE('Pós Implantação'!D226,'Pós Implantação'!L226),""),"")</f>
        <v/>
      </c>
      <c r="O226" s="49" t="str">
        <f>IFERROR(IF('Pós Implantação'!B226="Infraestrutura",AVERAGE('Pós Implantação'!D226,'Pós Implantação'!L226),""),"")</f>
        <v/>
      </c>
    </row>
    <row r="227" spans="1:15" x14ac:dyDescent="0.3">
      <c r="A227" s="33">
        <f>'Pré Implantação'!A227</f>
        <v>0</v>
      </c>
      <c r="B227" s="36" t="str">
        <f>'Pós Implantação'!C227</f>
        <v>0</v>
      </c>
      <c r="C227" s="34" t="str">
        <f>IFERROR(IF('Pré Implantação'!B227="Produção TI",AVERAGE('Pós Implantação'!D227,'Pós Implantação'!E227,'Pós Implantação'!L227,'Pós Implantação'!H227),AVERAGE('Pré Implantação'!E227,'Pré Implantação'!H227)),"")</f>
        <v/>
      </c>
      <c r="D227" s="34" t="str">
        <f>IFERROR(IF('Pós Implantação'!B227="CSC Service Desk",AVERAGE('Pós Implantação'!D227,'Pós Implantação'!L227,'Pós Implantação'!F227),AVERAGE('Pós Implantação'!F227)),"")</f>
        <v/>
      </c>
      <c r="E227" s="34" t="str">
        <f>IFERROR(IF('Pós Implantação'!B227="CSC NOC",AVERAGE('Pós Implantação'!D227,'Pós Implantação'!L227,'Pós Implantação'!G227),AVERAGE('Pós Implantação'!G227)),"")</f>
        <v/>
      </c>
      <c r="F227" s="34" t="str">
        <f>IFERROR(IF('Pós Implantação'!B227="CSE Gravadores",AVERAGE('Pós Implantação'!D227,'Pós Implantação'!L227,'Pós Implantação'!I227),AVERAGE('Pós Implantação'!I227)),"")</f>
        <v/>
      </c>
      <c r="G227" s="34" t="str">
        <f>IFERROR(IF('Pós Implantação'!B227="CSC",AVERAGE('Pós Implantação'!D227,'Pós Implantação'!L227,'Pós Implantação'!J227),AVERAGE('Pós Implantação'!J227)),"")</f>
        <v/>
      </c>
      <c r="H227" s="34" t="str">
        <f>IFERROR(IF('Pós Implantação'!B227="Operações \ Negócio",AVERAGE('Pós Implantação'!D227,'Pós Implantação'!L227,'Pós Implantação'!K227),AVERAGE('Pós Implantação'!K227)),"")</f>
        <v/>
      </c>
      <c r="I227" s="34" t="str">
        <f>IFERROR(IF('Pós Implantação'!B227="Projetos",AVERAGE('Pós Implantação'!D227,'Pós Implantação'!L227,'Pós Implantação'!M227),AVERAGE('Pós Implantação'!M227)),"")</f>
        <v/>
      </c>
      <c r="J227" s="34" t="str">
        <f>IFERROR(IF('Pós Implantação'!B227="Engenharia",AVERAGE('Pós Implantação'!D227,'Pós Implantação'!L227,'Pós Implantação'!N227),AVERAGE('Pós Implantação'!N227)),"")</f>
        <v/>
      </c>
      <c r="K227" s="34" t="str">
        <f>IFERROR(IF('Pós Implantação'!B227="URA",AVERAGE('Pós Implantação'!D227,'Pós Implantação'!L227),""),"")</f>
        <v/>
      </c>
      <c r="L227" s="34" t="str">
        <f>IFERROR(IF('Pós Implantação'!B227="CSE Microsoft",AVERAGE('Pós Implantação'!D227,'Pós Implantação'!L227),""),"")</f>
        <v/>
      </c>
      <c r="M227" s="34" t="str">
        <f>IFERROR(IF('Pós Implantação'!B227="CSE Telecom",AVERAGE('Pós Implantação'!D227,'Pós Implantação'!L227),""),"")</f>
        <v/>
      </c>
      <c r="N227" s="34" t="str">
        <f>IFERROR(IF('Pós Implantação'!B227="Site Suporte de Campo",AVERAGE('Pós Implantação'!D227,'Pós Implantação'!L227),""),"")</f>
        <v/>
      </c>
      <c r="O227" s="49" t="str">
        <f>IFERROR(IF('Pós Implantação'!B227="Infraestrutura",AVERAGE('Pós Implantação'!D227,'Pós Implantação'!L227),""),"")</f>
        <v/>
      </c>
    </row>
    <row r="228" spans="1:15" x14ac:dyDescent="0.3">
      <c r="A228" s="33">
        <f>'Pré Implantação'!A228</f>
        <v>0</v>
      </c>
      <c r="B228" s="36" t="str">
        <f>'Pós Implantação'!C228</f>
        <v>0</v>
      </c>
      <c r="C228" s="34" t="str">
        <f>IFERROR(IF('Pré Implantação'!B228="Produção TI",AVERAGE('Pós Implantação'!D228,'Pós Implantação'!E228,'Pós Implantação'!L228,'Pós Implantação'!H228),AVERAGE('Pré Implantação'!E228,'Pré Implantação'!H228)),"")</f>
        <v/>
      </c>
      <c r="D228" s="34" t="str">
        <f>IFERROR(IF('Pós Implantação'!B228="CSC Service Desk",AVERAGE('Pós Implantação'!D228,'Pós Implantação'!L228,'Pós Implantação'!F228),AVERAGE('Pós Implantação'!F228)),"")</f>
        <v/>
      </c>
      <c r="E228" s="34" t="str">
        <f>IFERROR(IF('Pós Implantação'!B228="CSC NOC",AVERAGE('Pós Implantação'!D228,'Pós Implantação'!L228,'Pós Implantação'!G228),AVERAGE('Pós Implantação'!G228)),"")</f>
        <v/>
      </c>
      <c r="F228" s="34" t="str">
        <f>IFERROR(IF('Pós Implantação'!B228="CSE Gravadores",AVERAGE('Pós Implantação'!D228,'Pós Implantação'!L228,'Pós Implantação'!I228),AVERAGE('Pós Implantação'!I228)),"")</f>
        <v/>
      </c>
      <c r="G228" s="34" t="str">
        <f>IFERROR(IF('Pós Implantação'!B228="CSC",AVERAGE('Pós Implantação'!D228,'Pós Implantação'!L228,'Pós Implantação'!J228),AVERAGE('Pós Implantação'!J228)),"")</f>
        <v/>
      </c>
      <c r="H228" s="34" t="str">
        <f>IFERROR(IF('Pós Implantação'!B228="Operações \ Negócio",AVERAGE('Pós Implantação'!D228,'Pós Implantação'!L228,'Pós Implantação'!K228),AVERAGE('Pós Implantação'!K228)),"")</f>
        <v/>
      </c>
      <c r="I228" s="34" t="str">
        <f>IFERROR(IF('Pós Implantação'!B228="Projetos",AVERAGE('Pós Implantação'!D228,'Pós Implantação'!L228,'Pós Implantação'!M228),AVERAGE('Pós Implantação'!M228)),"")</f>
        <v/>
      </c>
      <c r="J228" s="34" t="str">
        <f>IFERROR(IF('Pós Implantação'!B228="Engenharia",AVERAGE('Pós Implantação'!D228,'Pós Implantação'!L228,'Pós Implantação'!N228),AVERAGE('Pós Implantação'!N228)),"")</f>
        <v/>
      </c>
      <c r="K228" s="34" t="str">
        <f>IFERROR(IF('Pós Implantação'!B228="URA",AVERAGE('Pós Implantação'!D228,'Pós Implantação'!L228),""),"")</f>
        <v/>
      </c>
      <c r="L228" s="34" t="str">
        <f>IFERROR(IF('Pós Implantação'!B228="CSE Microsoft",AVERAGE('Pós Implantação'!D228,'Pós Implantação'!L228),""),"")</f>
        <v/>
      </c>
      <c r="M228" s="34" t="str">
        <f>IFERROR(IF('Pós Implantação'!B228="CSE Telecom",AVERAGE('Pós Implantação'!D228,'Pós Implantação'!L228),""),"")</f>
        <v/>
      </c>
      <c r="N228" s="34" t="str">
        <f>IFERROR(IF('Pós Implantação'!B228="Site Suporte de Campo",AVERAGE('Pós Implantação'!D228,'Pós Implantação'!L228),""),"")</f>
        <v/>
      </c>
      <c r="O228" s="49" t="str">
        <f>IFERROR(IF('Pós Implantação'!B228="Infraestrutura",AVERAGE('Pós Implantação'!D228,'Pós Implantação'!L228),""),"")</f>
        <v/>
      </c>
    </row>
    <row r="229" spans="1:15" x14ac:dyDescent="0.3">
      <c r="A229" s="33">
        <f>'Pré Implantação'!A229</f>
        <v>0</v>
      </c>
      <c r="B229" s="36" t="str">
        <f>'Pós Implantação'!C229</f>
        <v>0</v>
      </c>
      <c r="C229" s="34" t="str">
        <f>IFERROR(IF('Pré Implantação'!B229="Produção TI",AVERAGE('Pós Implantação'!D229,'Pós Implantação'!E229,'Pós Implantação'!L229,'Pós Implantação'!H229),AVERAGE('Pré Implantação'!E229,'Pré Implantação'!H229)),"")</f>
        <v/>
      </c>
      <c r="D229" s="34" t="str">
        <f>IFERROR(IF('Pós Implantação'!B229="CSC Service Desk",AVERAGE('Pós Implantação'!D229,'Pós Implantação'!L229,'Pós Implantação'!F229),AVERAGE('Pós Implantação'!F229)),"")</f>
        <v/>
      </c>
      <c r="E229" s="34" t="str">
        <f>IFERROR(IF('Pós Implantação'!B229="CSC NOC",AVERAGE('Pós Implantação'!D229,'Pós Implantação'!L229,'Pós Implantação'!G229),AVERAGE('Pós Implantação'!G229)),"")</f>
        <v/>
      </c>
      <c r="F229" s="34" t="str">
        <f>IFERROR(IF('Pós Implantação'!B229="CSE Gravadores",AVERAGE('Pós Implantação'!D229,'Pós Implantação'!L229,'Pós Implantação'!I229),AVERAGE('Pós Implantação'!I229)),"")</f>
        <v/>
      </c>
      <c r="G229" s="34" t="str">
        <f>IFERROR(IF('Pós Implantação'!B229="CSC",AVERAGE('Pós Implantação'!D229,'Pós Implantação'!L229,'Pós Implantação'!J229),AVERAGE('Pós Implantação'!J229)),"")</f>
        <v/>
      </c>
      <c r="H229" s="34" t="str">
        <f>IFERROR(IF('Pós Implantação'!B229="Operações \ Negócio",AVERAGE('Pós Implantação'!D229,'Pós Implantação'!L229,'Pós Implantação'!K229),AVERAGE('Pós Implantação'!K229)),"")</f>
        <v/>
      </c>
      <c r="I229" s="34" t="str">
        <f>IFERROR(IF('Pós Implantação'!B229="Projetos",AVERAGE('Pós Implantação'!D229,'Pós Implantação'!L229,'Pós Implantação'!M229),AVERAGE('Pós Implantação'!M229)),"")</f>
        <v/>
      </c>
      <c r="J229" s="34" t="str">
        <f>IFERROR(IF('Pós Implantação'!B229="Engenharia",AVERAGE('Pós Implantação'!D229,'Pós Implantação'!L229,'Pós Implantação'!N229),AVERAGE('Pós Implantação'!N229)),"")</f>
        <v/>
      </c>
      <c r="K229" s="34" t="str">
        <f>IFERROR(IF('Pós Implantação'!B229="URA",AVERAGE('Pós Implantação'!D229,'Pós Implantação'!L229),""),"")</f>
        <v/>
      </c>
      <c r="L229" s="34" t="str">
        <f>IFERROR(IF('Pós Implantação'!B229="CSE Microsoft",AVERAGE('Pós Implantação'!D229,'Pós Implantação'!L229),""),"")</f>
        <v/>
      </c>
      <c r="M229" s="34" t="str">
        <f>IFERROR(IF('Pós Implantação'!B229="CSE Telecom",AVERAGE('Pós Implantação'!D229,'Pós Implantação'!L229),""),"")</f>
        <v/>
      </c>
      <c r="N229" s="34" t="str">
        <f>IFERROR(IF('Pós Implantação'!B229="Site Suporte de Campo",AVERAGE('Pós Implantação'!D229,'Pós Implantação'!L229),""),"")</f>
        <v/>
      </c>
      <c r="O229" s="49" t="str">
        <f>IFERROR(IF('Pós Implantação'!B229="Infraestrutura",AVERAGE('Pós Implantação'!D229,'Pós Implantação'!L229),""),"")</f>
        <v/>
      </c>
    </row>
    <row r="230" spans="1:15" x14ac:dyDescent="0.3">
      <c r="A230" s="33">
        <f>'Pré Implantação'!A230</f>
        <v>0</v>
      </c>
      <c r="B230" s="36" t="str">
        <f>'Pós Implantação'!C230</f>
        <v>0</v>
      </c>
      <c r="C230" s="34" t="str">
        <f>IFERROR(IF('Pré Implantação'!B230="Produção TI",AVERAGE('Pós Implantação'!D230,'Pós Implantação'!E230,'Pós Implantação'!L230,'Pós Implantação'!H230),AVERAGE('Pré Implantação'!E230,'Pré Implantação'!H230)),"")</f>
        <v/>
      </c>
      <c r="D230" s="34" t="str">
        <f>IFERROR(IF('Pós Implantação'!B230="CSC Service Desk",AVERAGE('Pós Implantação'!D230,'Pós Implantação'!L230,'Pós Implantação'!F230),AVERAGE('Pós Implantação'!F230)),"")</f>
        <v/>
      </c>
      <c r="E230" s="34" t="str">
        <f>IFERROR(IF('Pós Implantação'!B230="CSC NOC",AVERAGE('Pós Implantação'!D230,'Pós Implantação'!L230,'Pós Implantação'!G230),AVERAGE('Pós Implantação'!G230)),"")</f>
        <v/>
      </c>
      <c r="F230" s="34" t="str">
        <f>IFERROR(IF('Pós Implantação'!B230="CSE Gravadores",AVERAGE('Pós Implantação'!D230,'Pós Implantação'!L230,'Pós Implantação'!I230),AVERAGE('Pós Implantação'!I230)),"")</f>
        <v/>
      </c>
      <c r="G230" s="34" t="str">
        <f>IFERROR(IF('Pós Implantação'!B230="CSC",AVERAGE('Pós Implantação'!D230,'Pós Implantação'!L230,'Pós Implantação'!J230),AVERAGE('Pós Implantação'!J230)),"")</f>
        <v/>
      </c>
      <c r="H230" s="34" t="str">
        <f>IFERROR(IF('Pós Implantação'!B230="Operações \ Negócio",AVERAGE('Pós Implantação'!D230,'Pós Implantação'!L230,'Pós Implantação'!K230),AVERAGE('Pós Implantação'!K230)),"")</f>
        <v/>
      </c>
      <c r="I230" s="34" t="str">
        <f>IFERROR(IF('Pós Implantação'!B230="Projetos",AVERAGE('Pós Implantação'!D230,'Pós Implantação'!L230,'Pós Implantação'!M230),AVERAGE('Pós Implantação'!M230)),"")</f>
        <v/>
      </c>
      <c r="J230" s="34" t="str">
        <f>IFERROR(IF('Pós Implantação'!B230="Engenharia",AVERAGE('Pós Implantação'!D230,'Pós Implantação'!L230,'Pós Implantação'!N230),AVERAGE('Pós Implantação'!N230)),"")</f>
        <v/>
      </c>
      <c r="K230" s="34" t="str">
        <f>IFERROR(IF('Pós Implantação'!B230="URA",AVERAGE('Pós Implantação'!D230,'Pós Implantação'!L230),""),"")</f>
        <v/>
      </c>
      <c r="L230" s="34" t="str">
        <f>IFERROR(IF('Pós Implantação'!B230="CSE Microsoft",AVERAGE('Pós Implantação'!D230,'Pós Implantação'!L230),""),"")</f>
        <v/>
      </c>
      <c r="M230" s="34" t="str">
        <f>IFERROR(IF('Pós Implantação'!B230="CSE Telecom",AVERAGE('Pós Implantação'!D230,'Pós Implantação'!L230),""),"")</f>
        <v/>
      </c>
      <c r="N230" s="34" t="str">
        <f>IFERROR(IF('Pós Implantação'!B230="Site Suporte de Campo",AVERAGE('Pós Implantação'!D230,'Pós Implantação'!L230),""),"")</f>
        <v/>
      </c>
      <c r="O230" s="49" t="str">
        <f>IFERROR(IF('Pós Implantação'!B230="Infraestrutura",AVERAGE('Pós Implantação'!D230,'Pós Implantação'!L230),""),"")</f>
        <v/>
      </c>
    </row>
    <row r="231" spans="1:15" x14ac:dyDescent="0.3">
      <c r="A231" s="33">
        <f>'Pré Implantação'!A231</f>
        <v>0</v>
      </c>
      <c r="B231" s="36" t="str">
        <f>'Pós Implantação'!C231</f>
        <v>0</v>
      </c>
      <c r="C231" s="34" t="str">
        <f>IFERROR(IF('Pré Implantação'!B231="Produção TI",AVERAGE('Pós Implantação'!D231,'Pós Implantação'!E231,'Pós Implantação'!L231,'Pós Implantação'!H231),AVERAGE('Pré Implantação'!E231,'Pré Implantação'!H231)),"")</f>
        <v/>
      </c>
      <c r="D231" s="34" t="str">
        <f>IFERROR(IF('Pós Implantação'!B231="CSC Service Desk",AVERAGE('Pós Implantação'!D231,'Pós Implantação'!L231,'Pós Implantação'!F231),AVERAGE('Pós Implantação'!F231)),"")</f>
        <v/>
      </c>
      <c r="E231" s="34" t="str">
        <f>IFERROR(IF('Pós Implantação'!B231="CSC NOC",AVERAGE('Pós Implantação'!D231,'Pós Implantação'!L231,'Pós Implantação'!G231),AVERAGE('Pós Implantação'!G231)),"")</f>
        <v/>
      </c>
      <c r="F231" s="34" t="str">
        <f>IFERROR(IF('Pós Implantação'!B231="CSE Gravadores",AVERAGE('Pós Implantação'!D231,'Pós Implantação'!L231,'Pós Implantação'!I231),AVERAGE('Pós Implantação'!I231)),"")</f>
        <v/>
      </c>
      <c r="G231" s="34" t="str">
        <f>IFERROR(IF('Pós Implantação'!B231="CSC",AVERAGE('Pós Implantação'!D231,'Pós Implantação'!L231,'Pós Implantação'!J231),AVERAGE('Pós Implantação'!J231)),"")</f>
        <v/>
      </c>
      <c r="H231" s="34" t="str">
        <f>IFERROR(IF('Pós Implantação'!B231="Operações \ Negócio",AVERAGE('Pós Implantação'!D231,'Pós Implantação'!L231,'Pós Implantação'!K231),AVERAGE('Pós Implantação'!K231)),"")</f>
        <v/>
      </c>
      <c r="I231" s="34" t="str">
        <f>IFERROR(IF('Pós Implantação'!B231="Projetos",AVERAGE('Pós Implantação'!D231,'Pós Implantação'!L231,'Pós Implantação'!M231),AVERAGE('Pós Implantação'!M231)),"")</f>
        <v/>
      </c>
      <c r="J231" s="34" t="str">
        <f>IFERROR(IF('Pós Implantação'!B231="Engenharia",AVERAGE('Pós Implantação'!D231,'Pós Implantação'!L231,'Pós Implantação'!N231),AVERAGE('Pós Implantação'!N231)),"")</f>
        <v/>
      </c>
      <c r="K231" s="34" t="str">
        <f>IFERROR(IF('Pós Implantação'!B231="URA",AVERAGE('Pós Implantação'!D231,'Pós Implantação'!L231),""),"")</f>
        <v/>
      </c>
      <c r="L231" s="34" t="str">
        <f>IFERROR(IF('Pós Implantação'!B231="CSE Microsoft",AVERAGE('Pós Implantação'!D231,'Pós Implantação'!L231),""),"")</f>
        <v/>
      </c>
      <c r="M231" s="34" t="str">
        <f>IFERROR(IF('Pós Implantação'!B231="CSE Telecom",AVERAGE('Pós Implantação'!D231,'Pós Implantação'!L231),""),"")</f>
        <v/>
      </c>
      <c r="N231" s="34" t="str">
        <f>IFERROR(IF('Pós Implantação'!B231="Site Suporte de Campo",AVERAGE('Pós Implantação'!D231,'Pós Implantação'!L231),""),"")</f>
        <v/>
      </c>
      <c r="O231" s="49" t="str">
        <f>IFERROR(IF('Pós Implantação'!B231="Infraestrutura",AVERAGE('Pós Implantação'!D231,'Pós Implantação'!L231),""),"")</f>
        <v/>
      </c>
    </row>
    <row r="232" spans="1:15" x14ac:dyDescent="0.3">
      <c r="A232" s="33">
        <f>'Pré Implantação'!A232</f>
        <v>0</v>
      </c>
      <c r="B232" s="36" t="str">
        <f>'Pós Implantação'!C232</f>
        <v>0</v>
      </c>
      <c r="C232" s="34" t="str">
        <f>IFERROR(IF('Pré Implantação'!B232="Produção TI",AVERAGE('Pós Implantação'!D232,'Pós Implantação'!E232,'Pós Implantação'!L232,'Pós Implantação'!H232),AVERAGE('Pré Implantação'!E232,'Pré Implantação'!H232)),"")</f>
        <v/>
      </c>
      <c r="D232" s="34" t="str">
        <f>IFERROR(IF('Pós Implantação'!B232="CSC Service Desk",AVERAGE('Pós Implantação'!D232,'Pós Implantação'!L232,'Pós Implantação'!F232),AVERAGE('Pós Implantação'!F232)),"")</f>
        <v/>
      </c>
      <c r="E232" s="34" t="str">
        <f>IFERROR(IF('Pós Implantação'!B232="CSC NOC",AVERAGE('Pós Implantação'!D232,'Pós Implantação'!L232,'Pós Implantação'!G232),AVERAGE('Pós Implantação'!G232)),"")</f>
        <v/>
      </c>
      <c r="F232" s="34" t="str">
        <f>IFERROR(IF('Pós Implantação'!B232="CSE Gravadores",AVERAGE('Pós Implantação'!D232,'Pós Implantação'!L232,'Pós Implantação'!I232),AVERAGE('Pós Implantação'!I232)),"")</f>
        <v/>
      </c>
      <c r="G232" s="34" t="str">
        <f>IFERROR(IF('Pós Implantação'!B232="CSC",AVERAGE('Pós Implantação'!D232,'Pós Implantação'!L232,'Pós Implantação'!J232),AVERAGE('Pós Implantação'!J232)),"")</f>
        <v/>
      </c>
      <c r="H232" s="34" t="str">
        <f>IFERROR(IF('Pós Implantação'!B232="Operações \ Negócio",AVERAGE('Pós Implantação'!D232,'Pós Implantação'!L232,'Pós Implantação'!K232),AVERAGE('Pós Implantação'!K232)),"")</f>
        <v/>
      </c>
      <c r="I232" s="34" t="str">
        <f>IFERROR(IF('Pós Implantação'!B232="Projetos",AVERAGE('Pós Implantação'!D232,'Pós Implantação'!L232,'Pós Implantação'!M232),AVERAGE('Pós Implantação'!M232)),"")</f>
        <v/>
      </c>
      <c r="J232" s="34" t="str">
        <f>IFERROR(IF('Pós Implantação'!B232="Engenharia",AVERAGE('Pós Implantação'!D232,'Pós Implantação'!L232,'Pós Implantação'!N232),AVERAGE('Pós Implantação'!N232)),"")</f>
        <v/>
      </c>
      <c r="K232" s="34" t="str">
        <f>IFERROR(IF('Pós Implantação'!B232="URA",AVERAGE('Pós Implantação'!D232,'Pós Implantação'!L232),""),"")</f>
        <v/>
      </c>
      <c r="L232" s="34" t="str">
        <f>IFERROR(IF('Pós Implantação'!B232="CSE Microsoft",AVERAGE('Pós Implantação'!D232,'Pós Implantação'!L232),""),"")</f>
        <v/>
      </c>
      <c r="M232" s="34" t="str">
        <f>IFERROR(IF('Pós Implantação'!B232="CSE Telecom",AVERAGE('Pós Implantação'!D232,'Pós Implantação'!L232),""),"")</f>
        <v/>
      </c>
      <c r="N232" s="34" t="str">
        <f>IFERROR(IF('Pós Implantação'!B232="Site Suporte de Campo",AVERAGE('Pós Implantação'!D232,'Pós Implantação'!L232),""),"")</f>
        <v/>
      </c>
      <c r="O232" s="49" t="str">
        <f>IFERROR(IF('Pós Implantação'!B232="Infraestrutura",AVERAGE('Pós Implantação'!D232,'Pós Implantação'!L232),""),"")</f>
        <v/>
      </c>
    </row>
    <row r="233" spans="1:15" x14ac:dyDescent="0.3">
      <c r="A233" s="33">
        <f>'Pré Implantação'!A233</f>
        <v>0</v>
      </c>
      <c r="B233" s="36" t="str">
        <f>'Pós Implantação'!C233</f>
        <v>0</v>
      </c>
      <c r="C233" s="34" t="str">
        <f>IFERROR(IF('Pré Implantação'!B233="Produção TI",AVERAGE('Pós Implantação'!D233,'Pós Implantação'!E233,'Pós Implantação'!L233,'Pós Implantação'!H233),AVERAGE('Pré Implantação'!E233,'Pré Implantação'!H233)),"")</f>
        <v/>
      </c>
      <c r="D233" s="34" t="str">
        <f>IFERROR(IF('Pós Implantação'!B233="CSC Service Desk",AVERAGE('Pós Implantação'!D233,'Pós Implantação'!L233,'Pós Implantação'!F233),AVERAGE('Pós Implantação'!F233)),"")</f>
        <v/>
      </c>
      <c r="E233" s="34" t="str">
        <f>IFERROR(IF('Pós Implantação'!B233="CSC NOC",AVERAGE('Pós Implantação'!D233,'Pós Implantação'!L233,'Pós Implantação'!G233),AVERAGE('Pós Implantação'!G233)),"")</f>
        <v/>
      </c>
      <c r="F233" s="34" t="str">
        <f>IFERROR(IF('Pós Implantação'!B233="CSE Gravadores",AVERAGE('Pós Implantação'!D233,'Pós Implantação'!L233,'Pós Implantação'!I233),AVERAGE('Pós Implantação'!I233)),"")</f>
        <v/>
      </c>
      <c r="G233" s="34" t="str">
        <f>IFERROR(IF('Pós Implantação'!B233="CSC",AVERAGE('Pós Implantação'!D233,'Pós Implantação'!L233,'Pós Implantação'!J233),AVERAGE('Pós Implantação'!J233)),"")</f>
        <v/>
      </c>
      <c r="H233" s="34" t="str">
        <f>IFERROR(IF('Pós Implantação'!B233="Operações \ Negócio",AVERAGE('Pós Implantação'!D233,'Pós Implantação'!L233,'Pós Implantação'!K233),AVERAGE('Pós Implantação'!K233)),"")</f>
        <v/>
      </c>
      <c r="I233" s="34" t="str">
        <f>IFERROR(IF('Pós Implantação'!B233="Projetos",AVERAGE('Pós Implantação'!D233,'Pós Implantação'!L233,'Pós Implantação'!M233),AVERAGE('Pós Implantação'!M233)),"")</f>
        <v/>
      </c>
      <c r="J233" s="34" t="str">
        <f>IFERROR(IF('Pós Implantação'!B233="Engenharia",AVERAGE('Pós Implantação'!D233,'Pós Implantação'!L233,'Pós Implantação'!N233),AVERAGE('Pós Implantação'!N233)),"")</f>
        <v/>
      </c>
      <c r="K233" s="34" t="str">
        <f>IFERROR(IF('Pós Implantação'!B233="URA",AVERAGE('Pós Implantação'!D233,'Pós Implantação'!L233),""),"")</f>
        <v/>
      </c>
      <c r="L233" s="34" t="str">
        <f>IFERROR(IF('Pós Implantação'!B233="CSE Microsoft",AVERAGE('Pós Implantação'!D233,'Pós Implantação'!L233),""),"")</f>
        <v/>
      </c>
      <c r="M233" s="34" t="str">
        <f>IFERROR(IF('Pós Implantação'!B233="CSE Telecom",AVERAGE('Pós Implantação'!D233,'Pós Implantação'!L233),""),"")</f>
        <v/>
      </c>
      <c r="N233" s="34" t="str">
        <f>IFERROR(IF('Pós Implantação'!B233="Site Suporte de Campo",AVERAGE('Pós Implantação'!D233,'Pós Implantação'!L233),""),"")</f>
        <v/>
      </c>
      <c r="O233" s="49" t="str">
        <f>IFERROR(IF('Pós Implantação'!B233="Infraestrutura",AVERAGE('Pós Implantação'!D233,'Pós Implantação'!L233),""),"")</f>
        <v/>
      </c>
    </row>
    <row r="234" spans="1:15" x14ac:dyDescent="0.3">
      <c r="A234" s="33">
        <f>'Pré Implantação'!A234</f>
        <v>0</v>
      </c>
      <c r="B234" s="36" t="str">
        <f>'Pós Implantação'!C234</f>
        <v>0</v>
      </c>
      <c r="C234" s="34" t="str">
        <f>IFERROR(IF('Pré Implantação'!B234="Produção TI",AVERAGE('Pós Implantação'!D234,'Pós Implantação'!E234,'Pós Implantação'!L234,'Pós Implantação'!H234),AVERAGE('Pré Implantação'!E234,'Pré Implantação'!H234)),"")</f>
        <v/>
      </c>
      <c r="D234" s="34" t="str">
        <f>IFERROR(IF('Pós Implantação'!B234="CSC Service Desk",AVERAGE('Pós Implantação'!D234,'Pós Implantação'!L234,'Pós Implantação'!F234),AVERAGE('Pós Implantação'!F234)),"")</f>
        <v/>
      </c>
      <c r="E234" s="34" t="str">
        <f>IFERROR(IF('Pós Implantação'!B234="CSC NOC",AVERAGE('Pós Implantação'!D234,'Pós Implantação'!L234,'Pós Implantação'!G234),AVERAGE('Pós Implantação'!G234)),"")</f>
        <v/>
      </c>
      <c r="F234" s="34" t="str">
        <f>IFERROR(IF('Pós Implantação'!B234="CSE Gravadores",AVERAGE('Pós Implantação'!D234,'Pós Implantação'!L234,'Pós Implantação'!I234),AVERAGE('Pós Implantação'!I234)),"")</f>
        <v/>
      </c>
      <c r="G234" s="34" t="str">
        <f>IFERROR(IF('Pós Implantação'!B234="CSC",AVERAGE('Pós Implantação'!D234,'Pós Implantação'!L234,'Pós Implantação'!J234),AVERAGE('Pós Implantação'!J234)),"")</f>
        <v/>
      </c>
      <c r="H234" s="34" t="str">
        <f>IFERROR(IF('Pós Implantação'!B234="Operações \ Negócio",AVERAGE('Pós Implantação'!D234,'Pós Implantação'!L234,'Pós Implantação'!K234),AVERAGE('Pós Implantação'!K234)),"")</f>
        <v/>
      </c>
      <c r="I234" s="34" t="str">
        <f>IFERROR(IF('Pós Implantação'!B234="Projetos",AVERAGE('Pós Implantação'!D234,'Pós Implantação'!L234,'Pós Implantação'!M234),AVERAGE('Pós Implantação'!M234)),"")</f>
        <v/>
      </c>
      <c r="J234" s="34" t="str">
        <f>IFERROR(IF('Pós Implantação'!B234="Engenharia",AVERAGE('Pós Implantação'!D234,'Pós Implantação'!L234,'Pós Implantação'!N234),AVERAGE('Pós Implantação'!N234)),"")</f>
        <v/>
      </c>
      <c r="K234" s="34" t="str">
        <f>IFERROR(IF('Pós Implantação'!B234="URA",AVERAGE('Pós Implantação'!D234,'Pós Implantação'!L234),""),"")</f>
        <v/>
      </c>
      <c r="L234" s="34" t="str">
        <f>IFERROR(IF('Pós Implantação'!B234="CSE Microsoft",AVERAGE('Pós Implantação'!D234,'Pós Implantação'!L234),""),"")</f>
        <v/>
      </c>
      <c r="M234" s="34" t="str">
        <f>IFERROR(IF('Pós Implantação'!B234="CSE Telecom",AVERAGE('Pós Implantação'!D234,'Pós Implantação'!L234),""),"")</f>
        <v/>
      </c>
      <c r="N234" s="34" t="str">
        <f>IFERROR(IF('Pós Implantação'!B234="Site Suporte de Campo",AVERAGE('Pós Implantação'!D234,'Pós Implantação'!L234),""),"")</f>
        <v/>
      </c>
      <c r="O234" s="49" t="str">
        <f>IFERROR(IF('Pós Implantação'!B234="Infraestrutura",AVERAGE('Pós Implantação'!D234,'Pós Implantação'!L234),""),"")</f>
        <v/>
      </c>
    </row>
    <row r="235" spans="1:15" x14ac:dyDescent="0.3">
      <c r="A235" s="33">
        <f>'Pré Implantação'!A235</f>
        <v>0</v>
      </c>
      <c r="B235" s="36" t="str">
        <f>'Pós Implantação'!C235</f>
        <v>0</v>
      </c>
      <c r="C235" s="34" t="str">
        <f>IFERROR(IF('Pré Implantação'!B235="Produção TI",AVERAGE('Pós Implantação'!D235,'Pós Implantação'!E235,'Pós Implantação'!L235,'Pós Implantação'!H235),AVERAGE('Pré Implantação'!E235,'Pré Implantação'!H235)),"")</f>
        <v/>
      </c>
      <c r="D235" s="34" t="str">
        <f>IFERROR(IF('Pós Implantação'!B235="CSC Service Desk",AVERAGE('Pós Implantação'!D235,'Pós Implantação'!L235,'Pós Implantação'!F235),AVERAGE('Pós Implantação'!F235)),"")</f>
        <v/>
      </c>
      <c r="E235" s="34" t="str">
        <f>IFERROR(IF('Pós Implantação'!B235="CSC NOC",AVERAGE('Pós Implantação'!D235,'Pós Implantação'!L235,'Pós Implantação'!G235),AVERAGE('Pós Implantação'!G235)),"")</f>
        <v/>
      </c>
      <c r="F235" s="34" t="str">
        <f>IFERROR(IF('Pós Implantação'!B235="CSE Gravadores",AVERAGE('Pós Implantação'!D235,'Pós Implantação'!L235,'Pós Implantação'!I235),AVERAGE('Pós Implantação'!I235)),"")</f>
        <v/>
      </c>
      <c r="G235" s="34" t="str">
        <f>IFERROR(IF('Pós Implantação'!B235="CSC",AVERAGE('Pós Implantação'!D235,'Pós Implantação'!L235,'Pós Implantação'!J235),AVERAGE('Pós Implantação'!J235)),"")</f>
        <v/>
      </c>
      <c r="H235" s="34" t="str">
        <f>IFERROR(IF('Pós Implantação'!B235="Operações \ Negócio",AVERAGE('Pós Implantação'!D235,'Pós Implantação'!L235,'Pós Implantação'!K235),AVERAGE('Pós Implantação'!K235)),"")</f>
        <v/>
      </c>
      <c r="I235" s="34" t="str">
        <f>IFERROR(IF('Pós Implantação'!B235="Projetos",AVERAGE('Pós Implantação'!D235,'Pós Implantação'!L235,'Pós Implantação'!M235),AVERAGE('Pós Implantação'!M235)),"")</f>
        <v/>
      </c>
      <c r="J235" s="34" t="str">
        <f>IFERROR(IF('Pós Implantação'!B235="Engenharia",AVERAGE('Pós Implantação'!D235,'Pós Implantação'!L235,'Pós Implantação'!N235),AVERAGE('Pós Implantação'!N235)),"")</f>
        <v/>
      </c>
      <c r="K235" s="34" t="str">
        <f>IFERROR(IF('Pós Implantação'!B235="URA",AVERAGE('Pós Implantação'!D235,'Pós Implantação'!L235),""),"")</f>
        <v/>
      </c>
      <c r="L235" s="34" t="str">
        <f>IFERROR(IF('Pós Implantação'!B235="CSE Microsoft",AVERAGE('Pós Implantação'!D235,'Pós Implantação'!L235),""),"")</f>
        <v/>
      </c>
      <c r="M235" s="34" t="str">
        <f>IFERROR(IF('Pós Implantação'!B235="CSE Telecom",AVERAGE('Pós Implantação'!D235,'Pós Implantação'!L235),""),"")</f>
        <v/>
      </c>
      <c r="N235" s="34" t="str">
        <f>IFERROR(IF('Pós Implantação'!B235="Site Suporte de Campo",AVERAGE('Pós Implantação'!D235,'Pós Implantação'!L235),""),"")</f>
        <v/>
      </c>
      <c r="O235" s="49" t="str">
        <f>IFERROR(IF('Pós Implantação'!B235="Infraestrutura",AVERAGE('Pós Implantação'!D235,'Pós Implantação'!L235),""),"")</f>
        <v/>
      </c>
    </row>
    <row r="236" spans="1:15" x14ac:dyDescent="0.3">
      <c r="A236" s="33">
        <f>'Pré Implantação'!A236</f>
        <v>0</v>
      </c>
      <c r="B236" s="36" t="str">
        <f>'Pós Implantação'!C236</f>
        <v>0</v>
      </c>
      <c r="C236" s="34" t="str">
        <f>IFERROR(IF('Pré Implantação'!B236="Produção TI",AVERAGE('Pós Implantação'!D236,'Pós Implantação'!E236,'Pós Implantação'!L236,'Pós Implantação'!H236),AVERAGE('Pré Implantação'!E236,'Pré Implantação'!H236)),"")</f>
        <v/>
      </c>
      <c r="D236" s="34" t="str">
        <f>IFERROR(IF('Pós Implantação'!B236="CSC Service Desk",AVERAGE('Pós Implantação'!D236,'Pós Implantação'!L236,'Pós Implantação'!F236),AVERAGE('Pós Implantação'!F236)),"")</f>
        <v/>
      </c>
      <c r="E236" s="34" t="str">
        <f>IFERROR(IF('Pós Implantação'!B236="CSC NOC",AVERAGE('Pós Implantação'!D236,'Pós Implantação'!L236,'Pós Implantação'!G236),AVERAGE('Pós Implantação'!G236)),"")</f>
        <v/>
      </c>
      <c r="F236" s="34" t="str">
        <f>IFERROR(IF('Pós Implantação'!B236="CSE Gravadores",AVERAGE('Pós Implantação'!D236,'Pós Implantação'!L236,'Pós Implantação'!I236),AVERAGE('Pós Implantação'!I236)),"")</f>
        <v/>
      </c>
      <c r="G236" s="34" t="str">
        <f>IFERROR(IF('Pós Implantação'!B236="CSC",AVERAGE('Pós Implantação'!D236,'Pós Implantação'!L236,'Pós Implantação'!J236),AVERAGE('Pós Implantação'!J236)),"")</f>
        <v/>
      </c>
      <c r="H236" s="34" t="str">
        <f>IFERROR(IF('Pós Implantação'!B236="Operações \ Negócio",AVERAGE('Pós Implantação'!D236,'Pós Implantação'!L236,'Pós Implantação'!K236),AVERAGE('Pós Implantação'!K236)),"")</f>
        <v/>
      </c>
      <c r="I236" s="34" t="str">
        <f>IFERROR(IF('Pós Implantação'!B236="Projetos",AVERAGE('Pós Implantação'!D236,'Pós Implantação'!L236,'Pós Implantação'!M236),AVERAGE('Pós Implantação'!M236)),"")</f>
        <v/>
      </c>
      <c r="J236" s="34" t="str">
        <f>IFERROR(IF('Pós Implantação'!B236="Engenharia",AVERAGE('Pós Implantação'!D236,'Pós Implantação'!L236,'Pós Implantação'!N236),AVERAGE('Pós Implantação'!N236)),"")</f>
        <v/>
      </c>
      <c r="K236" s="34" t="str">
        <f>IFERROR(IF('Pós Implantação'!B236="URA",AVERAGE('Pós Implantação'!D236,'Pós Implantação'!L236),""),"")</f>
        <v/>
      </c>
      <c r="L236" s="34" t="str">
        <f>IFERROR(IF('Pós Implantação'!B236="CSE Microsoft",AVERAGE('Pós Implantação'!D236,'Pós Implantação'!L236),""),"")</f>
        <v/>
      </c>
      <c r="M236" s="34" t="str">
        <f>IFERROR(IF('Pós Implantação'!B236="CSE Telecom",AVERAGE('Pós Implantação'!D236,'Pós Implantação'!L236),""),"")</f>
        <v/>
      </c>
      <c r="N236" s="34" t="str">
        <f>IFERROR(IF('Pós Implantação'!B236="Site Suporte de Campo",AVERAGE('Pós Implantação'!D236,'Pós Implantação'!L236),""),"")</f>
        <v/>
      </c>
      <c r="O236" s="49" t="str">
        <f>IFERROR(IF('Pós Implantação'!B236="Infraestrutura",AVERAGE('Pós Implantação'!D236,'Pós Implantação'!L236),""),"")</f>
        <v/>
      </c>
    </row>
    <row r="237" spans="1:15" x14ac:dyDescent="0.3">
      <c r="A237" s="33">
        <f>'Pré Implantação'!A237</f>
        <v>0</v>
      </c>
      <c r="B237" s="36" t="str">
        <f>'Pós Implantação'!C237</f>
        <v>0</v>
      </c>
      <c r="C237" s="34" t="str">
        <f>IFERROR(IF('Pré Implantação'!B237="Produção TI",AVERAGE('Pós Implantação'!D237,'Pós Implantação'!E237,'Pós Implantação'!L237,'Pós Implantação'!H237),AVERAGE('Pré Implantação'!E237,'Pré Implantação'!H237)),"")</f>
        <v/>
      </c>
      <c r="D237" s="34" t="str">
        <f>IFERROR(IF('Pós Implantação'!B237="CSC Service Desk",AVERAGE('Pós Implantação'!D237,'Pós Implantação'!L237,'Pós Implantação'!F237),AVERAGE('Pós Implantação'!F237)),"")</f>
        <v/>
      </c>
      <c r="E237" s="34" t="str">
        <f>IFERROR(IF('Pós Implantação'!B237="CSC NOC",AVERAGE('Pós Implantação'!D237,'Pós Implantação'!L237,'Pós Implantação'!G237),AVERAGE('Pós Implantação'!G237)),"")</f>
        <v/>
      </c>
      <c r="F237" s="34" t="str">
        <f>IFERROR(IF('Pós Implantação'!B237="CSE Gravadores",AVERAGE('Pós Implantação'!D237,'Pós Implantação'!L237,'Pós Implantação'!I237),AVERAGE('Pós Implantação'!I237)),"")</f>
        <v/>
      </c>
      <c r="G237" s="34" t="str">
        <f>IFERROR(IF('Pós Implantação'!B237="CSC",AVERAGE('Pós Implantação'!D237,'Pós Implantação'!L237,'Pós Implantação'!J237),AVERAGE('Pós Implantação'!J237)),"")</f>
        <v/>
      </c>
      <c r="H237" s="34" t="str">
        <f>IFERROR(IF('Pós Implantação'!B237="Operações \ Negócio",AVERAGE('Pós Implantação'!D237,'Pós Implantação'!L237,'Pós Implantação'!K237),AVERAGE('Pós Implantação'!K237)),"")</f>
        <v/>
      </c>
      <c r="I237" s="34" t="str">
        <f>IFERROR(IF('Pós Implantação'!B237="Projetos",AVERAGE('Pós Implantação'!D237,'Pós Implantação'!L237,'Pós Implantação'!M237),AVERAGE('Pós Implantação'!M237)),"")</f>
        <v/>
      </c>
      <c r="J237" s="34" t="str">
        <f>IFERROR(IF('Pós Implantação'!B237="Engenharia",AVERAGE('Pós Implantação'!D237,'Pós Implantação'!L237,'Pós Implantação'!N237),AVERAGE('Pós Implantação'!N237)),"")</f>
        <v/>
      </c>
      <c r="K237" s="34" t="str">
        <f>IFERROR(IF('Pós Implantação'!B237="URA",AVERAGE('Pós Implantação'!D237,'Pós Implantação'!L237),""),"")</f>
        <v/>
      </c>
      <c r="L237" s="34" t="str">
        <f>IFERROR(IF('Pós Implantação'!B237="CSE Microsoft",AVERAGE('Pós Implantação'!D237,'Pós Implantação'!L237),""),"")</f>
        <v/>
      </c>
      <c r="M237" s="34" t="str">
        <f>IFERROR(IF('Pós Implantação'!B237="CSE Telecom",AVERAGE('Pós Implantação'!D237,'Pós Implantação'!L237),""),"")</f>
        <v/>
      </c>
      <c r="N237" s="34" t="str">
        <f>IFERROR(IF('Pós Implantação'!B237="Site Suporte de Campo",AVERAGE('Pós Implantação'!D237,'Pós Implantação'!L237),""),"")</f>
        <v/>
      </c>
      <c r="O237" s="49" t="str">
        <f>IFERROR(IF('Pós Implantação'!B237="Infraestrutura",AVERAGE('Pós Implantação'!D237,'Pós Implantação'!L237),""),"")</f>
        <v/>
      </c>
    </row>
    <row r="238" spans="1:15" x14ac:dyDescent="0.3">
      <c r="A238" s="33">
        <f>'Pré Implantação'!A238</f>
        <v>0</v>
      </c>
      <c r="B238" s="36" t="str">
        <f>'Pós Implantação'!C238</f>
        <v>0</v>
      </c>
      <c r="C238" s="34" t="str">
        <f>IFERROR(IF('Pré Implantação'!B238="Produção TI",AVERAGE('Pós Implantação'!D238,'Pós Implantação'!E238,'Pós Implantação'!L238,'Pós Implantação'!H238),AVERAGE('Pré Implantação'!E238,'Pré Implantação'!H238)),"")</f>
        <v/>
      </c>
      <c r="D238" s="34" t="str">
        <f>IFERROR(IF('Pós Implantação'!B238="CSC Service Desk",AVERAGE('Pós Implantação'!D238,'Pós Implantação'!L238,'Pós Implantação'!F238),AVERAGE('Pós Implantação'!F238)),"")</f>
        <v/>
      </c>
      <c r="E238" s="34" t="str">
        <f>IFERROR(IF('Pós Implantação'!B238="CSC NOC",AVERAGE('Pós Implantação'!D238,'Pós Implantação'!L238,'Pós Implantação'!G238),AVERAGE('Pós Implantação'!G238)),"")</f>
        <v/>
      </c>
      <c r="F238" s="34" t="str">
        <f>IFERROR(IF('Pós Implantação'!B238="CSE Gravadores",AVERAGE('Pós Implantação'!D238,'Pós Implantação'!L238,'Pós Implantação'!I238),AVERAGE('Pós Implantação'!I238)),"")</f>
        <v/>
      </c>
      <c r="G238" s="34" t="str">
        <f>IFERROR(IF('Pós Implantação'!B238="CSC",AVERAGE('Pós Implantação'!D238,'Pós Implantação'!L238,'Pós Implantação'!J238),AVERAGE('Pós Implantação'!J238)),"")</f>
        <v/>
      </c>
      <c r="H238" s="34" t="str">
        <f>IFERROR(IF('Pós Implantação'!B238="Operações \ Negócio",AVERAGE('Pós Implantação'!D238,'Pós Implantação'!L238,'Pós Implantação'!K238),AVERAGE('Pós Implantação'!K238)),"")</f>
        <v/>
      </c>
      <c r="I238" s="34" t="str">
        <f>IFERROR(IF('Pós Implantação'!B238="Projetos",AVERAGE('Pós Implantação'!D238,'Pós Implantação'!L238,'Pós Implantação'!M238),AVERAGE('Pós Implantação'!M238)),"")</f>
        <v/>
      </c>
      <c r="J238" s="34" t="str">
        <f>IFERROR(IF('Pós Implantação'!B238="Engenharia",AVERAGE('Pós Implantação'!D238,'Pós Implantação'!L238,'Pós Implantação'!N238),AVERAGE('Pós Implantação'!N238)),"")</f>
        <v/>
      </c>
      <c r="K238" s="34" t="str">
        <f>IFERROR(IF('Pós Implantação'!B238="URA",AVERAGE('Pós Implantação'!D238,'Pós Implantação'!L238),""),"")</f>
        <v/>
      </c>
      <c r="L238" s="34" t="str">
        <f>IFERROR(IF('Pós Implantação'!B238="CSE Microsoft",AVERAGE('Pós Implantação'!D238,'Pós Implantação'!L238),""),"")</f>
        <v/>
      </c>
      <c r="M238" s="34" t="str">
        <f>IFERROR(IF('Pós Implantação'!B238="CSE Telecom",AVERAGE('Pós Implantação'!D238,'Pós Implantação'!L238),""),"")</f>
        <v/>
      </c>
      <c r="N238" s="34" t="str">
        <f>IFERROR(IF('Pós Implantação'!B238="Site Suporte de Campo",AVERAGE('Pós Implantação'!D238,'Pós Implantação'!L238),""),"")</f>
        <v/>
      </c>
      <c r="O238" s="49" t="str">
        <f>IFERROR(IF('Pós Implantação'!B238="Infraestrutura",AVERAGE('Pós Implantação'!D238,'Pós Implantação'!L238),""),"")</f>
        <v/>
      </c>
    </row>
    <row r="239" spans="1:15" x14ac:dyDescent="0.3">
      <c r="A239" s="33">
        <f>'Pré Implantação'!A239</f>
        <v>0</v>
      </c>
      <c r="B239" s="36" t="str">
        <f>'Pós Implantação'!C239</f>
        <v>0</v>
      </c>
      <c r="C239" s="34" t="str">
        <f>IFERROR(IF('Pré Implantação'!B239="Produção TI",AVERAGE('Pós Implantação'!D239,'Pós Implantação'!E239,'Pós Implantação'!L239,'Pós Implantação'!H239),AVERAGE('Pré Implantação'!E239,'Pré Implantação'!H239)),"")</f>
        <v/>
      </c>
      <c r="D239" s="34" t="str">
        <f>IFERROR(IF('Pós Implantação'!B239="CSC Service Desk",AVERAGE('Pós Implantação'!D239,'Pós Implantação'!L239,'Pós Implantação'!F239),AVERAGE('Pós Implantação'!F239)),"")</f>
        <v/>
      </c>
      <c r="E239" s="34" t="str">
        <f>IFERROR(IF('Pós Implantação'!B239="CSC NOC",AVERAGE('Pós Implantação'!D239,'Pós Implantação'!L239,'Pós Implantação'!G239),AVERAGE('Pós Implantação'!G239)),"")</f>
        <v/>
      </c>
      <c r="F239" s="34" t="str">
        <f>IFERROR(IF('Pós Implantação'!B239="CSE Gravadores",AVERAGE('Pós Implantação'!D239,'Pós Implantação'!L239,'Pós Implantação'!I239),AVERAGE('Pós Implantação'!I239)),"")</f>
        <v/>
      </c>
      <c r="G239" s="34" t="str">
        <f>IFERROR(IF('Pós Implantação'!B239="CSC",AVERAGE('Pós Implantação'!D239,'Pós Implantação'!L239,'Pós Implantação'!J239),AVERAGE('Pós Implantação'!J239)),"")</f>
        <v/>
      </c>
      <c r="H239" s="34" t="str">
        <f>IFERROR(IF('Pós Implantação'!B239="Operações \ Negócio",AVERAGE('Pós Implantação'!D239,'Pós Implantação'!L239,'Pós Implantação'!K239),AVERAGE('Pós Implantação'!K239)),"")</f>
        <v/>
      </c>
      <c r="I239" s="34" t="str">
        <f>IFERROR(IF('Pós Implantação'!B239="Projetos",AVERAGE('Pós Implantação'!D239,'Pós Implantação'!L239,'Pós Implantação'!M239),AVERAGE('Pós Implantação'!M239)),"")</f>
        <v/>
      </c>
      <c r="J239" s="34" t="str">
        <f>IFERROR(IF('Pós Implantação'!B239="Engenharia",AVERAGE('Pós Implantação'!D239,'Pós Implantação'!L239,'Pós Implantação'!N239),AVERAGE('Pós Implantação'!N239)),"")</f>
        <v/>
      </c>
      <c r="K239" s="34" t="str">
        <f>IFERROR(IF('Pós Implantação'!B239="URA",AVERAGE('Pós Implantação'!D239,'Pós Implantação'!L239),""),"")</f>
        <v/>
      </c>
      <c r="L239" s="34" t="str">
        <f>IFERROR(IF('Pós Implantação'!B239="CSE Microsoft",AVERAGE('Pós Implantação'!D239,'Pós Implantação'!L239),""),"")</f>
        <v/>
      </c>
      <c r="M239" s="34" t="str">
        <f>IFERROR(IF('Pós Implantação'!B239="CSE Telecom",AVERAGE('Pós Implantação'!D239,'Pós Implantação'!L239),""),"")</f>
        <v/>
      </c>
      <c r="N239" s="34" t="str">
        <f>IFERROR(IF('Pós Implantação'!B239="Site Suporte de Campo",AVERAGE('Pós Implantação'!D239,'Pós Implantação'!L239),""),"")</f>
        <v/>
      </c>
      <c r="O239" s="49" t="str">
        <f>IFERROR(IF('Pós Implantação'!B239="Infraestrutura",AVERAGE('Pós Implantação'!D239,'Pós Implantação'!L239),""),"")</f>
        <v/>
      </c>
    </row>
    <row r="240" spans="1:15" x14ac:dyDescent="0.3">
      <c r="A240" s="33">
        <f>'Pré Implantação'!A240</f>
        <v>0</v>
      </c>
      <c r="B240" s="36" t="str">
        <f>'Pós Implantação'!C240</f>
        <v>0</v>
      </c>
      <c r="C240" s="34" t="str">
        <f>IFERROR(IF('Pré Implantação'!B240="Produção TI",AVERAGE('Pós Implantação'!D240,'Pós Implantação'!E240,'Pós Implantação'!L240,'Pós Implantação'!H240),AVERAGE('Pré Implantação'!E240,'Pré Implantação'!H240)),"")</f>
        <v/>
      </c>
      <c r="D240" s="34" t="str">
        <f>IFERROR(IF('Pós Implantação'!B240="CSC Service Desk",AVERAGE('Pós Implantação'!D240,'Pós Implantação'!L240,'Pós Implantação'!F240),AVERAGE('Pós Implantação'!F240)),"")</f>
        <v/>
      </c>
      <c r="E240" s="34" t="str">
        <f>IFERROR(IF('Pós Implantação'!B240="CSC NOC",AVERAGE('Pós Implantação'!D240,'Pós Implantação'!L240,'Pós Implantação'!G240),AVERAGE('Pós Implantação'!G240)),"")</f>
        <v/>
      </c>
      <c r="F240" s="34" t="str">
        <f>IFERROR(IF('Pós Implantação'!B240="CSE Gravadores",AVERAGE('Pós Implantação'!D240,'Pós Implantação'!L240,'Pós Implantação'!I240),AVERAGE('Pós Implantação'!I240)),"")</f>
        <v/>
      </c>
      <c r="G240" s="34" t="str">
        <f>IFERROR(IF('Pós Implantação'!B240="CSC",AVERAGE('Pós Implantação'!D240,'Pós Implantação'!L240,'Pós Implantação'!J240),AVERAGE('Pós Implantação'!J240)),"")</f>
        <v/>
      </c>
      <c r="H240" s="34" t="str">
        <f>IFERROR(IF('Pós Implantação'!B240="Operações \ Negócio",AVERAGE('Pós Implantação'!D240,'Pós Implantação'!L240,'Pós Implantação'!K240),AVERAGE('Pós Implantação'!K240)),"")</f>
        <v/>
      </c>
      <c r="I240" s="34" t="str">
        <f>IFERROR(IF('Pós Implantação'!B240="Projetos",AVERAGE('Pós Implantação'!D240,'Pós Implantação'!L240,'Pós Implantação'!M240),AVERAGE('Pós Implantação'!M240)),"")</f>
        <v/>
      </c>
      <c r="J240" s="34" t="str">
        <f>IFERROR(IF('Pós Implantação'!B240="Engenharia",AVERAGE('Pós Implantação'!D240,'Pós Implantação'!L240,'Pós Implantação'!N240),AVERAGE('Pós Implantação'!N240)),"")</f>
        <v/>
      </c>
      <c r="K240" s="34" t="str">
        <f>IFERROR(IF('Pós Implantação'!B240="URA",AVERAGE('Pós Implantação'!D240,'Pós Implantação'!L240),""),"")</f>
        <v/>
      </c>
      <c r="L240" s="34" t="str">
        <f>IFERROR(IF('Pós Implantação'!B240="CSE Microsoft",AVERAGE('Pós Implantação'!D240,'Pós Implantação'!L240),""),"")</f>
        <v/>
      </c>
      <c r="M240" s="34" t="str">
        <f>IFERROR(IF('Pós Implantação'!B240="CSE Telecom",AVERAGE('Pós Implantação'!D240,'Pós Implantação'!L240),""),"")</f>
        <v/>
      </c>
      <c r="N240" s="34" t="str">
        <f>IFERROR(IF('Pós Implantação'!B240="Site Suporte de Campo",AVERAGE('Pós Implantação'!D240,'Pós Implantação'!L240),""),"")</f>
        <v/>
      </c>
      <c r="O240" s="49" t="str">
        <f>IFERROR(IF('Pós Implantação'!B240="Infraestrutura",AVERAGE('Pós Implantação'!D240,'Pós Implantação'!L240),""),"")</f>
        <v/>
      </c>
    </row>
    <row r="241" spans="1:15" x14ac:dyDescent="0.3">
      <c r="A241" s="33">
        <f>'Pré Implantação'!A241</f>
        <v>0</v>
      </c>
      <c r="B241" s="36" t="str">
        <f>'Pós Implantação'!C241</f>
        <v>0</v>
      </c>
      <c r="C241" s="34" t="str">
        <f>IFERROR(IF('Pré Implantação'!B241="Produção TI",AVERAGE('Pós Implantação'!D241,'Pós Implantação'!E241,'Pós Implantação'!L241,'Pós Implantação'!H241),AVERAGE('Pré Implantação'!E241,'Pré Implantação'!H241)),"")</f>
        <v/>
      </c>
      <c r="D241" s="34" t="str">
        <f>IFERROR(IF('Pós Implantação'!B241="CSC Service Desk",AVERAGE('Pós Implantação'!D241,'Pós Implantação'!L241,'Pós Implantação'!F241),AVERAGE('Pós Implantação'!F241)),"")</f>
        <v/>
      </c>
      <c r="E241" s="34" t="str">
        <f>IFERROR(IF('Pós Implantação'!B241="CSC NOC",AVERAGE('Pós Implantação'!D241,'Pós Implantação'!L241,'Pós Implantação'!G241),AVERAGE('Pós Implantação'!G241)),"")</f>
        <v/>
      </c>
      <c r="F241" s="34" t="str">
        <f>IFERROR(IF('Pós Implantação'!B241="CSE Gravadores",AVERAGE('Pós Implantação'!D241,'Pós Implantação'!L241,'Pós Implantação'!I241),AVERAGE('Pós Implantação'!I241)),"")</f>
        <v/>
      </c>
      <c r="G241" s="34" t="str">
        <f>IFERROR(IF('Pós Implantação'!B241="CSC",AVERAGE('Pós Implantação'!D241,'Pós Implantação'!L241,'Pós Implantação'!J241),AVERAGE('Pós Implantação'!J241)),"")</f>
        <v/>
      </c>
      <c r="H241" s="34" t="str">
        <f>IFERROR(IF('Pós Implantação'!B241="Operações \ Negócio",AVERAGE('Pós Implantação'!D241,'Pós Implantação'!L241,'Pós Implantação'!K241),AVERAGE('Pós Implantação'!K241)),"")</f>
        <v/>
      </c>
      <c r="I241" s="34" t="str">
        <f>IFERROR(IF('Pós Implantação'!B241="Projetos",AVERAGE('Pós Implantação'!D241,'Pós Implantação'!L241,'Pós Implantação'!M241),AVERAGE('Pós Implantação'!M241)),"")</f>
        <v/>
      </c>
      <c r="J241" s="34" t="str">
        <f>IFERROR(IF('Pós Implantação'!B241="Engenharia",AVERAGE('Pós Implantação'!D241,'Pós Implantação'!L241,'Pós Implantação'!N241),AVERAGE('Pós Implantação'!N241)),"")</f>
        <v/>
      </c>
      <c r="K241" s="34" t="str">
        <f>IFERROR(IF('Pós Implantação'!B241="URA",AVERAGE('Pós Implantação'!D241,'Pós Implantação'!L241),""),"")</f>
        <v/>
      </c>
      <c r="L241" s="34" t="str">
        <f>IFERROR(IF('Pós Implantação'!B241="CSE Microsoft",AVERAGE('Pós Implantação'!D241,'Pós Implantação'!L241),""),"")</f>
        <v/>
      </c>
      <c r="M241" s="34" t="str">
        <f>IFERROR(IF('Pós Implantação'!B241="CSE Telecom",AVERAGE('Pós Implantação'!D241,'Pós Implantação'!L241),""),"")</f>
        <v/>
      </c>
      <c r="N241" s="34" t="str">
        <f>IFERROR(IF('Pós Implantação'!B241="Site Suporte de Campo",AVERAGE('Pós Implantação'!D241,'Pós Implantação'!L241),""),"")</f>
        <v/>
      </c>
      <c r="O241" s="49" t="str">
        <f>IFERROR(IF('Pós Implantação'!B241="Infraestrutura",AVERAGE('Pós Implantação'!D241,'Pós Implantação'!L241),""),"")</f>
        <v/>
      </c>
    </row>
    <row r="242" spans="1:15" x14ac:dyDescent="0.3">
      <c r="A242" s="33">
        <f>'Pré Implantação'!A242</f>
        <v>0</v>
      </c>
      <c r="B242" s="36" t="str">
        <f>'Pós Implantação'!C242</f>
        <v>0</v>
      </c>
      <c r="C242" s="34" t="str">
        <f>IFERROR(IF('Pré Implantação'!B242="Produção TI",AVERAGE('Pós Implantação'!D242,'Pós Implantação'!E242,'Pós Implantação'!L242,'Pós Implantação'!H242),AVERAGE('Pré Implantação'!E242,'Pré Implantação'!H242)),"")</f>
        <v/>
      </c>
      <c r="D242" s="34" t="str">
        <f>IFERROR(IF('Pós Implantação'!B242="CSC Service Desk",AVERAGE('Pós Implantação'!D242,'Pós Implantação'!L242,'Pós Implantação'!F242),AVERAGE('Pós Implantação'!F242)),"")</f>
        <v/>
      </c>
      <c r="E242" s="34" t="str">
        <f>IFERROR(IF('Pós Implantação'!B242="CSC NOC",AVERAGE('Pós Implantação'!D242,'Pós Implantação'!L242,'Pós Implantação'!G242),AVERAGE('Pós Implantação'!G242)),"")</f>
        <v/>
      </c>
      <c r="F242" s="34" t="str">
        <f>IFERROR(IF('Pós Implantação'!B242="CSE Gravadores",AVERAGE('Pós Implantação'!D242,'Pós Implantação'!L242,'Pós Implantação'!I242),AVERAGE('Pós Implantação'!I242)),"")</f>
        <v/>
      </c>
      <c r="G242" s="34" t="str">
        <f>IFERROR(IF('Pós Implantação'!B242="CSC",AVERAGE('Pós Implantação'!D242,'Pós Implantação'!L242,'Pós Implantação'!J242),AVERAGE('Pós Implantação'!J242)),"")</f>
        <v/>
      </c>
      <c r="H242" s="34" t="str">
        <f>IFERROR(IF('Pós Implantação'!B242="Operações \ Negócio",AVERAGE('Pós Implantação'!D242,'Pós Implantação'!L242,'Pós Implantação'!K242),AVERAGE('Pós Implantação'!K242)),"")</f>
        <v/>
      </c>
      <c r="I242" s="34" t="str">
        <f>IFERROR(IF('Pós Implantação'!B242="Projetos",AVERAGE('Pós Implantação'!D242,'Pós Implantação'!L242,'Pós Implantação'!M242),AVERAGE('Pós Implantação'!M242)),"")</f>
        <v/>
      </c>
      <c r="J242" s="34" t="str">
        <f>IFERROR(IF('Pós Implantação'!B242="Engenharia",AVERAGE('Pós Implantação'!D242,'Pós Implantação'!L242,'Pós Implantação'!N242),AVERAGE('Pós Implantação'!N242)),"")</f>
        <v/>
      </c>
      <c r="K242" s="34" t="str">
        <f>IFERROR(IF('Pós Implantação'!B242="URA",AVERAGE('Pós Implantação'!D242,'Pós Implantação'!L242),""),"")</f>
        <v/>
      </c>
      <c r="L242" s="34" t="str">
        <f>IFERROR(IF('Pós Implantação'!B242="CSE Microsoft",AVERAGE('Pós Implantação'!D242,'Pós Implantação'!L242),""),"")</f>
        <v/>
      </c>
      <c r="M242" s="34" t="str">
        <f>IFERROR(IF('Pós Implantação'!B242="CSE Telecom",AVERAGE('Pós Implantação'!D242,'Pós Implantação'!L242),""),"")</f>
        <v/>
      </c>
      <c r="N242" s="34" t="str">
        <f>IFERROR(IF('Pós Implantação'!B242="Site Suporte de Campo",AVERAGE('Pós Implantação'!D242,'Pós Implantação'!L242),""),"")</f>
        <v/>
      </c>
      <c r="O242" s="49" t="str">
        <f>IFERROR(IF('Pós Implantação'!B242="Infraestrutura",AVERAGE('Pós Implantação'!D242,'Pós Implantação'!L242),""),"")</f>
        <v/>
      </c>
    </row>
    <row r="243" spans="1:15" x14ac:dyDescent="0.3">
      <c r="A243" s="33">
        <f>'Pré Implantação'!A243</f>
        <v>0</v>
      </c>
      <c r="B243" s="36" t="str">
        <f>'Pós Implantação'!C243</f>
        <v>0</v>
      </c>
      <c r="C243" s="34" t="str">
        <f>IFERROR(IF('Pré Implantação'!B243="Produção TI",AVERAGE('Pós Implantação'!D243,'Pós Implantação'!E243,'Pós Implantação'!L243,'Pós Implantação'!H243),AVERAGE('Pré Implantação'!E243,'Pré Implantação'!H243)),"")</f>
        <v/>
      </c>
      <c r="D243" s="34" t="str">
        <f>IFERROR(IF('Pós Implantação'!B243="CSC Service Desk",AVERAGE('Pós Implantação'!D243,'Pós Implantação'!L243,'Pós Implantação'!F243),AVERAGE('Pós Implantação'!F243)),"")</f>
        <v/>
      </c>
      <c r="E243" s="34" t="str">
        <f>IFERROR(IF('Pós Implantação'!B243="CSC NOC",AVERAGE('Pós Implantação'!D243,'Pós Implantação'!L243,'Pós Implantação'!G243),AVERAGE('Pós Implantação'!G243)),"")</f>
        <v/>
      </c>
      <c r="F243" s="34" t="str">
        <f>IFERROR(IF('Pós Implantação'!B243="CSE Gravadores",AVERAGE('Pós Implantação'!D243,'Pós Implantação'!L243,'Pós Implantação'!I243),AVERAGE('Pós Implantação'!I243)),"")</f>
        <v/>
      </c>
      <c r="G243" s="34" t="str">
        <f>IFERROR(IF('Pós Implantação'!B243="CSC",AVERAGE('Pós Implantação'!D243,'Pós Implantação'!L243,'Pós Implantação'!J243),AVERAGE('Pós Implantação'!J243)),"")</f>
        <v/>
      </c>
      <c r="H243" s="34" t="str">
        <f>IFERROR(IF('Pós Implantação'!B243="Operações \ Negócio",AVERAGE('Pós Implantação'!D243,'Pós Implantação'!L243,'Pós Implantação'!K243),AVERAGE('Pós Implantação'!K243)),"")</f>
        <v/>
      </c>
      <c r="I243" s="34" t="str">
        <f>IFERROR(IF('Pós Implantação'!B243="Projetos",AVERAGE('Pós Implantação'!D243,'Pós Implantação'!L243,'Pós Implantação'!M243),AVERAGE('Pós Implantação'!M243)),"")</f>
        <v/>
      </c>
      <c r="J243" s="34" t="str">
        <f>IFERROR(IF('Pós Implantação'!B243="Engenharia",AVERAGE('Pós Implantação'!D243,'Pós Implantação'!L243,'Pós Implantação'!N243),AVERAGE('Pós Implantação'!N243)),"")</f>
        <v/>
      </c>
      <c r="K243" s="34" t="str">
        <f>IFERROR(IF('Pós Implantação'!B243="URA",AVERAGE('Pós Implantação'!D243,'Pós Implantação'!L243),""),"")</f>
        <v/>
      </c>
      <c r="L243" s="34" t="str">
        <f>IFERROR(IF('Pós Implantação'!B243="CSE Microsoft",AVERAGE('Pós Implantação'!D243,'Pós Implantação'!L243),""),"")</f>
        <v/>
      </c>
      <c r="M243" s="34" t="str">
        <f>IFERROR(IF('Pós Implantação'!B243="CSE Telecom",AVERAGE('Pós Implantação'!D243,'Pós Implantação'!L243),""),"")</f>
        <v/>
      </c>
      <c r="N243" s="34" t="str">
        <f>IFERROR(IF('Pós Implantação'!B243="Site Suporte de Campo",AVERAGE('Pós Implantação'!D243,'Pós Implantação'!L243),""),"")</f>
        <v/>
      </c>
      <c r="O243" s="49" t="str">
        <f>IFERROR(IF('Pós Implantação'!B243="Infraestrutura",AVERAGE('Pós Implantação'!D243,'Pós Implantação'!L243),""),"")</f>
        <v/>
      </c>
    </row>
    <row r="244" spans="1:15" x14ac:dyDescent="0.3">
      <c r="A244" s="33">
        <f>'Pré Implantação'!A244</f>
        <v>0</v>
      </c>
      <c r="B244" s="36" t="str">
        <f>'Pós Implantação'!C244</f>
        <v>0</v>
      </c>
      <c r="C244" s="34" t="str">
        <f>IFERROR(IF('Pré Implantação'!B244="Produção TI",AVERAGE('Pós Implantação'!D244,'Pós Implantação'!E244,'Pós Implantação'!L244,'Pós Implantação'!H244),AVERAGE('Pré Implantação'!E244,'Pré Implantação'!H244)),"")</f>
        <v/>
      </c>
      <c r="D244" s="34" t="str">
        <f>IFERROR(IF('Pós Implantação'!B244="CSC Service Desk",AVERAGE('Pós Implantação'!D244,'Pós Implantação'!L244,'Pós Implantação'!F244),AVERAGE('Pós Implantação'!F244)),"")</f>
        <v/>
      </c>
      <c r="E244" s="34" t="str">
        <f>IFERROR(IF('Pós Implantação'!B244="CSC NOC",AVERAGE('Pós Implantação'!D244,'Pós Implantação'!L244,'Pós Implantação'!G244),AVERAGE('Pós Implantação'!G244)),"")</f>
        <v/>
      </c>
      <c r="F244" s="34" t="str">
        <f>IFERROR(IF('Pós Implantação'!B244="CSE Gravadores",AVERAGE('Pós Implantação'!D244,'Pós Implantação'!L244,'Pós Implantação'!I244),AVERAGE('Pós Implantação'!I244)),"")</f>
        <v/>
      </c>
      <c r="G244" s="34" t="str">
        <f>IFERROR(IF('Pós Implantação'!B244="CSC",AVERAGE('Pós Implantação'!D244,'Pós Implantação'!L244,'Pós Implantação'!J244),AVERAGE('Pós Implantação'!J244)),"")</f>
        <v/>
      </c>
      <c r="H244" s="34" t="str">
        <f>IFERROR(IF('Pós Implantação'!B244="Operações \ Negócio",AVERAGE('Pós Implantação'!D244,'Pós Implantação'!L244,'Pós Implantação'!K244),AVERAGE('Pós Implantação'!K244)),"")</f>
        <v/>
      </c>
      <c r="I244" s="34" t="str">
        <f>IFERROR(IF('Pós Implantação'!B244="Projetos",AVERAGE('Pós Implantação'!D244,'Pós Implantação'!L244,'Pós Implantação'!M244),AVERAGE('Pós Implantação'!M244)),"")</f>
        <v/>
      </c>
      <c r="J244" s="34" t="str">
        <f>IFERROR(IF('Pós Implantação'!B244="Engenharia",AVERAGE('Pós Implantação'!D244,'Pós Implantação'!L244,'Pós Implantação'!N244),AVERAGE('Pós Implantação'!N244)),"")</f>
        <v/>
      </c>
      <c r="K244" s="34" t="str">
        <f>IFERROR(IF('Pós Implantação'!B244="URA",AVERAGE('Pós Implantação'!D244,'Pós Implantação'!L244),""),"")</f>
        <v/>
      </c>
      <c r="L244" s="34" t="str">
        <f>IFERROR(IF('Pós Implantação'!B244="CSE Microsoft",AVERAGE('Pós Implantação'!D244,'Pós Implantação'!L244),""),"")</f>
        <v/>
      </c>
      <c r="M244" s="34" t="str">
        <f>IFERROR(IF('Pós Implantação'!B244="CSE Telecom",AVERAGE('Pós Implantação'!D244,'Pós Implantação'!L244),""),"")</f>
        <v/>
      </c>
      <c r="N244" s="34" t="str">
        <f>IFERROR(IF('Pós Implantação'!B244="Site Suporte de Campo",AVERAGE('Pós Implantação'!D244,'Pós Implantação'!L244),""),"")</f>
        <v/>
      </c>
      <c r="O244" s="49" t="str">
        <f>IFERROR(IF('Pós Implantação'!B244="Infraestrutura",AVERAGE('Pós Implantação'!D244,'Pós Implantação'!L244),""),"")</f>
        <v/>
      </c>
    </row>
    <row r="245" spans="1:15" x14ac:dyDescent="0.3">
      <c r="A245" s="33">
        <f>'Pré Implantação'!A245</f>
        <v>0</v>
      </c>
      <c r="B245" s="36" t="str">
        <f>'Pós Implantação'!C245</f>
        <v>0</v>
      </c>
      <c r="C245" s="34" t="str">
        <f>IFERROR(IF('Pré Implantação'!B245="Produção TI",AVERAGE('Pós Implantação'!D245,'Pós Implantação'!E245,'Pós Implantação'!L245,'Pós Implantação'!H245),AVERAGE('Pré Implantação'!E245,'Pré Implantação'!H245)),"")</f>
        <v/>
      </c>
      <c r="D245" s="34" t="str">
        <f>IFERROR(IF('Pós Implantação'!B245="CSC Service Desk",AVERAGE('Pós Implantação'!D245,'Pós Implantação'!L245,'Pós Implantação'!F245),AVERAGE('Pós Implantação'!F245)),"")</f>
        <v/>
      </c>
      <c r="E245" s="34" t="str">
        <f>IFERROR(IF('Pós Implantação'!B245="CSC NOC",AVERAGE('Pós Implantação'!D245,'Pós Implantação'!L245,'Pós Implantação'!G245),AVERAGE('Pós Implantação'!G245)),"")</f>
        <v/>
      </c>
      <c r="F245" s="34" t="str">
        <f>IFERROR(IF('Pós Implantação'!B245="CSE Gravadores",AVERAGE('Pós Implantação'!D245,'Pós Implantação'!L245,'Pós Implantação'!I245),AVERAGE('Pós Implantação'!I245)),"")</f>
        <v/>
      </c>
      <c r="G245" s="34" t="str">
        <f>IFERROR(IF('Pós Implantação'!B245="CSC",AVERAGE('Pós Implantação'!D245,'Pós Implantação'!L245,'Pós Implantação'!J245),AVERAGE('Pós Implantação'!J245)),"")</f>
        <v/>
      </c>
      <c r="H245" s="34" t="str">
        <f>IFERROR(IF('Pós Implantação'!B245="Operações \ Negócio",AVERAGE('Pós Implantação'!D245,'Pós Implantação'!L245,'Pós Implantação'!K245),AVERAGE('Pós Implantação'!K245)),"")</f>
        <v/>
      </c>
      <c r="I245" s="34" t="str">
        <f>IFERROR(IF('Pós Implantação'!B245="Projetos",AVERAGE('Pós Implantação'!D245,'Pós Implantação'!L245,'Pós Implantação'!M245),AVERAGE('Pós Implantação'!M245)),"")</f>
        <v/>
      </c>
      <c r="J245" s="34" t="str">
        <f>IFERROR(IF('Pós Implantação'!B245="Engenharia",AVERAGE('Pós Implantação'!D245,'Pós Implantação'!L245,'Pós Implantação'!N245),AVERAGE('Pós Implantação'!N245)),"")</f>
        <v/>
      </c>
      <c r="K245" s="34" t="str">
        <f>IFERROR(IF('Pós Implantação'!B245="URA",AVERAGE('Pós Implantação'!D245,'Pós Implantação'!L245),""),"")</f>
        <v/>
      </c>
      <c r="L245" s="34" t="str">
        <f>IFERROR(IF('Pós Implantação'!B245="CSE Microsoft",AVERAGE('Pós Implantação'!D245,'Pós Implantação'!L245),""),"")</f>
        <v/>
      </c>
      <c r="M245" s="34" t="str">
        <f>IFERROR(IF('Pós Implantação'!B245="CSE Telecom",AVERAGE('Pós Implantação'!D245,'Pós Implantação'!L245),""),"")</f>
        <v/>
      </c>
      <c r="N245" s="34" t="str">
        <f>IFERROR(IF('Pós Implantação'!B245="Site Suporte de Campo",AVERAGE('Pós Implantação'!D245,'Pós Implantação'!L245),""),"")</f>
        <v/>
      </c>
      <c r="O245" s="49" t="str">
        <f>IFERROR(IF('Pós Implantação'!B245="Infraestrutura",AVERAGE('Pós Implantação'!D245,'Pós Implantação'!L245),""),"")</f>
        <v/>
      </c>
    </row>
    <row r="246" spans="1:15" x14ac:dyDescent="0.3">
      <c r="A246" s="33">
        <f>'Pré Implantação'!A246</f>
        <v>0</v>
      </c>
      <c r="B246" s="36" t="str">
        <f>'Pós Implantação'!C246</f>
        <v>0</v>
      </c>
      <c r="C246" s="34" t="str">
        <f>IFERROR(IF('Pré Implantação'!B246="Produção TI",AVERAGE('Pós Implantação'!D246,'Pós Implantação'!E246,'Pós Implantação'!L246,'Pós Implantação'!H246),AVERAGE('Pré Implantação'!E246,'Pré Implantação'!H246)),"")</f>
        <v/>
      </c>
      <c r="D246" s="34" t="str">
        <f>IFERROR(IF('Pós Implantação'!B246="CSC Service Desk",AVERAGE('Pós Implantação'!D246,'Pós Implantação'!L246,'Pós Implantação'!F246),AVERAGE('Pós Implantação'!F246)),"")</f>
        <v/>
      </c>
      <c r="E246" s="34" t="str">
        <f>IFERROR(IF('Pós Implantação'!B246="CSC NOC",AVERAGE('Pós Implantação'!D246,'Pós Implantação'!L246,'Pós Implantação'!G246),AVERAGE('Pós Implantação'!G246)),"")</f>
        <v/>
      </c>
      <c r="F246" s="34" t="str">
        <f>IFERROR(IF('Pós Implantação'!B246="CSE Gravadores",AVERAGE('Pós Implantação'!D246,'Pós Implantação'!L246,'Pós Implantação'!I246),AVERAGE('Pós Implantação'!I246)),"")</f>
        <v/>
      </c>
      <c r="G246" s="34" t="str">
        <f>IFERROR(IF('Pós Implantação'!B246="CSC",AVERAGE('Pós Implantação'!D246,'Pós Implantação'!L246,'Pós Implantação'!J246),AVERAGE('Pós Implantação'!J246)),"")</f>
        <v/>
      </c>
      <c r="H246" s="34" t="str">
        <f>IFERROR(IF('Pós Implantação'!B246="Operações \ Negócio",AVERAGE('Pós Implantação'!D246,'Pós Implantação'!L246,'Pós Implantação'!K246),AVERAGE('Pós Implantação'!K246)),"")</f>
        <v/>
      </c>
      <c r="I246" s="34" t="str">
        <f>IFERROR(IF('Pós Implantação'!B246="Projetos",AVERAGE('Pós Implantação'!D246,'Pós Implantação'!L246,'Pós Implantação'!M246),AVERAGE('Pós Implantação'!M246)),"")</f>
        <v/>
      </c>
      <c r="J246" s="34" t="str">
        <f>IFERROR(IF('Pós Implantação'!B246="Engenharia",AVERAGE('Pós Implantação'!D246,'Pós Implantação'!L246,'Pós Implantação'!N246),AVERAGE('Pós Implantação'!N246)),"")</f>
        <v/>
      </c>
      <c r="K246" s="34" t="str">
        <f>IFERROR(IF('Pós Implantação'!B246="URA",AVERAGE('Pós Implantação'!D246,'Pós Implantação'!L246),""),"")</f>
        <v/>
      </c>
      <c r="L246" s="34" t="str">
        <f>IFERROR(IF('Pós Implantação'!B246="CSE Microsoft",AVERAGE('Pós Implantação'!D246,'Pós Implantação'!L246),""),"")</f>
        <v/>
      </c>
      <c r="M246" s="34" t="str">
        <f>IFERROR(IF('Pós Implantação'!B246="CSE Telecom",AVERAGE('Pós Implantação'!D246,'Pós Implantação'!L246),""),"")</f>
        <v/>
      </c>
      <c r="N246" s="34" t="str">
        <f>IFERROR(IF('Pós Implantação'!B246="Site Suporte de Campo",AVERAGE('Pós Implantação'!D246,'Pós Implantação'!L246),""),"")</f>
        <v/>
      </c>
      <c r="O246" s="49" t="str">
        <f>IFERROR(IF('Pós Implantação'!B246="Infraestrutura",AVERAGE('Pós Implantação'!D246,'Pós Implantação'!L246),""),"")</f>
        <v/>
      </c>
    </row>
    <row r="247" spans="1:15" x14ac:dyDescent="0.3">
      <c r="A247" s="33">
        <f>'Pré Implantação'!A247</f>
        <v>0</v>
      </c>
      <c r="B247" s="36" t="str">
        <f>'Pós Implantação'!C247</f>
        <v>0</v>
      </c>
      <c r="C247" s="34" t="str">
        <f>IFERROR(IF('Pré Implantação'!B247="Produção TI",AVERAGE('Pós Implantação'!D247,'Pós Implantação'!E247,'Pós Implantação'!L247,'Pós Implantação'!H247),AVERAGE('Pré Implantação'!E247,'Pré Implantação'!H247)),"")</f>
        <v/>
      </c>
      <c r="D247" s="34" t="str">
        <f>IFERROR(IF('Pós Implantação'!B247="CSC Service Desk",AVERAGE('Pós Implantação'!D247,'Pós Implantação'!L247,'Pós Implantação'!F247),AVERAGE('Pós Implantação'!F247)),"")</f>
        <v/>
      </c>
      <c r="E247" s="34" t="str">
        <f>IFERROR(IF('Pós Implantação'!B247="CSC NOC",AVERAGE('Pós Implantação'!D247,'Pós Implantação'!L247,'Pós Implantação'!G247),AVERAGE('Pós Implantação'!G247)),"")</f>
        <v/>
      </c>
      <c r="F247" s="34" t="str">
        <f>IFERROR(IF('Pós Implantação'!B247="CSE Gravadores",AVERAGE('Pós Implantação'!D247,'Pós Implantação'!L247,'Pós Implantação'!I247),AVERAGE('Pós Implantação'!I247)),"")</f>
        <v/>
      </c>
      <c r="G247" s="34" t="str">
        <f>IFERROR(IF('Pós Implantação'!B247="CSC",AVERAGE('Pós Implantação'!D247,'Pós Implantação'!L247,'Pós Implantação'!J247),AVERAGE('Pós Implantação'!J247)),"")</f>
        <v/>
      </c>
      <c r="H247" s="34" t="str">
        <f>IFERROR(IF('Pós Implantação'!B247="Operações \ Negócio",AVERAGE('Pós Implantação'!D247,'Pós Implantação'!L247,'Pós Implantação'!K247),AVERAGE('Pós Implantação'!K247)),"")</f>
        <v/>
      </c>
      <c r="I247" s="34" t="str">
        <f>IFERROR(IF('Pós Implantação'!B247="Projetos",AVERAGE('Pós Implantação'!D247,'Pós Implantação'!L247,'Pós Implantação'!M247),AVERAGE('Pós Implantação'!M247)),"")</f>
        <v/>
      </c>
      <c r="J247" s="34" t="str">
        <f>IFERROR(IF('Pós Implantação'!B247="Engenharia",AVERAGE('Pós Implantação'!D247,'Pós Implantação'!L247,'Pós Implantação'!N247),AVERAGE('Pós Implantação'!N247)),"")</f>
        <v/>
      </c>
      <c r="K247" s="34" t="str">
        <f>IFERROR(IF('Pós Implantação'!B247="URA",AVERAGE('Pós Implantação'!D247,'Pós Implantação'!L247),""),"")</f>
        <v/>
      </c>
      <c r="L247" s="34" t="str">
        <f>IFERROR(IF('Pós Implantação'!B247="CSE Microsoft",AVERAGE('Pós Implantação'!D247,'Pós Implantação'!L247),""),"")</f>
        <v/>
      </c>
      <c r="M247" s="34" t="str">
        <f>IFERROR(IF('Pós Implantação'!B247="CSE Telecom",AVERAGE('Pós Implantação'!D247,'Pós Implantação'!L247),""),"")</f>
        <v/>
      </c>
      <c r="N247" s="34" t="str">
        <f>IFERROR(IF('Pós Implantação'!B247="Site Suporte de Campo",AVERAGE('Pós Implantação'!D247,'Pós Implantação'!L247),""),"")</f>
        <v/>
      </c>
      <c r="O247" s="49" t="str">
        <f>IFERROR(IF('Pós Implantação'!B247="Infraestrutura",AVERAGE('Pós Implantação'!D247,'Pós Implantação'!L247),""),"")</f>
        <v/>
      </c>
    </row>
    <row r="248" spans="1:15" x14ac:dyDescent="0.3">
      <c r="A248" s="33">
        <f>'Pré Implantação'!A248</f>
        <v>0</v>
      </c>
      <c r="B248" s="36" t="str">
        <f>'Pós Implantação'!C248</f>
        <v>0</v>
      </c>
      <c r="C248" s="34" t="str">
        <f>IFERROR(IF('Pré Implantação'!B248="Produção TI",AVERAGE('Pós Implantação'!D248,'Pós Implantação'!E248,'Pós Implantação'!L248,'Pós Implantação'!H248),AVERAGE('Pré Implantação'!E248,'Pré Implantação'!H248)),"")</f>
        <v/>
      </c>
      <c r="D248" s="34" t="str">
        <f>IFERROR(IF('Pós Implantação'!B248="CSC Service Desk",AVERAGE('Pós Implantação'!D248,'Pós Implantação'!L248,'Pós Implantação'!F248),AVERAGE('Pós Implantação'!F248)),"")</f>
        <v/>
      </c>
      <c r="E248" s="34" t="str">
        <f>IFERROR(IF('Pós Implantação'!B248="CSC NOC",AVERAGE('Pós Implantação'!D248,'Pós Implantação'!L248,'Pós Implantação'!G248),AVERAGE('Pós Implantação'!G248)),"")</f>
        <v/>
      </c>
      <c r="F248" s="34" t="str">
        <f>IFERROR(IF('Pós Implantação'!B248="CSE Gravadores",AVERAGE('Pós Implantação'!D248,'Pós Implantação'!L248,'Pós Implantação'!I248),AVERAGE('Pós Implantação'!I248)),"")</f>
        <v/>
      </c>
      <c r="G248" s="34" t="str">
        <f>IFERROR(IF('Pós Implantação'!B248="CSC",AVERAGE('Pós Implantação'!D248,'Pós Implantação'!L248,'Pós Implantação'!J248),AVERAGE('Pós Implantação'!J248)),"")</f>
        <v/>
      </c>
      <c r="H248" s="34" t="str">
        <f>IFERROR(IF('Pós Implantação'!B248="Operações \ Negócio",AVERAGE('Pós Implantação'!D248,'Pós Implantação'!L248,'Pós Implantação'!K248),AVERAGE('Pós Implantação'!K248)),"")</f>
        <v/>
      </c>
      <c r="I248" s="34" t="str">
        <f>IFERROR(IF('Pós Implantação'!B248="Projetos",AVERAGE('Pós Implantação'!D248,'Pós Implantação'!L248,'Pós Implantação'!M248),AVERAGE('Pós Implantação'!M248)),"")</f>
        <v/>
      </c>
      <c r="J248" s="34" t="str">
        <f>IFERROR(IF('Pós Implantação'!B248="Engenharia",AVERAGE('Pós Implantação'!D248,'Pós Implantação'!L248,'Pós Implantação'!N248),AVERAGE('Pós Implantação'!N248)),"")</f>
        <v/>
      </c>
      <c r="K248" s="34" t="str">
        <f>IFERROR(IF('Pós Implantação'!B248="URA",AVERAGE('Pós Implantação'!D248,'Pós Implantação'!L248),""),"")</f>
        <v/>
      </c>
      <c r="L248" s="34" t="str">
        <f>IFERROR(IF('Pós Implantação'!B248="CSE Microsoft",AVERAGE('Pós Implantação'!D248,'Pós Implantação'!L248),""),"")</f>
        <v/>
      </c>
      <c r="M248" s="34" t="str">
        <f>IFERROR(IF('Pós Implantação'!B248="CSE Telecom",AVERAGE('Pós Implantação'!D248,'Pós Implantação'!L248),""),"")</f>
        <v/>
      </c>
      <c r="N248" s="34" t="str">
        <f>IFERROR(IF('Pós Implantação'!B248="Site Suporte de Campo",AVERAGE('Pós Implantação'!D248,'Pós Implantação'!L248),""),"")</f>
        <v/>
      </c>
      <c r="O248" s="49" t="str">
        <f>IFERROR(IF('Pós Implantação'!B248="Infraestrutura",AVERAGE('Pós Implantação'!D248,'Pós Implantação'!L248),""),"")</f>
        <v/>
      </c>
    </row>
    <row r="249" spans="1:15" x14ac:dyDescent="0.3">
      <c r="A249" s="33">
        <f>'Pré Implantação'!A249</f>
        <v>0</v>
      </c>
      <c r="B249" s="36" t="str">
        <f>'Pós Implantação'!C249</f>
        <v>0</v>
      </c>
      <c r="C249" s="34" t="str">
        <f>IFERROR(IF('Pré Implantação'!B249="Produção TI",AVERAGE('Pós Implantação'!D249,'Pós Implantação'!E249,'Pós Implantação'!L249,'Pós Implantação'!H249),AVERAGE('Pré Implantação'!E249,'Pré Implantação'!H249)),"")</f>
        <v/>
      </c>
      <c r="D249" s="34" t="str">
        <f>IFERROR(IF('Pós Implantação'!B249="CSC Service Desk",AVERAGE('Pós Implantação'!D249,'Pós Implantação'!L249,'Pós Implantação'!F249),AVERAGE('Pós Implantação'!F249)),"")</f>
        <v/>
      </c>
      <c r="E249" s="34" t="str">
        <f>IFERROR(IF('Pós Implantação'!B249="CSC NOC",AVERAGE('Pós Implantação'!D249,'Pós Implantação'!L249,'Pós Implantação'!G249),AVERAGE('Pós Implantação'!G249)),"")</f>
        <v/>
      </c>
      <c r="F249" s="34" t="str">
        <f>IFERROR(IF('Pós Implantação'!B249="CSE Gravadores",AVERAGE('Pós Implantação'!D249,'Pós Implantação'!L249,'Pós Implantação'!I249),AVERAGE('Pós Implantação'!I249)),"")</f>
        <v/>
      </c>
      <c r="G249" s="34" t="str">
        <f>IFERROR(IF('Pós Implantação'!B249="CSC",AVERAGE('Pós Implantação'!D249,'Pós Implantação'!L249,'Pós Implantação'!J249),AVERAGE('Pós Implantação'!J249)),"")</f>
        <v/>
      </c>
      <c r="H249" s="34" t="str">
        <f>IFERROR(IF('Pós Implantação'!B249="Operações \ Negócio",AVERAGE('Pós Implantação'!D249,'Pós Implantação'!L249,'Pós Implantação'!K249),AVERAGE('Pós Implantação'!K249)),"")</f>
        <v/>
      </c>
      <c r="I249" s="34" t="str">
        <f>IFERROR(IF('Pós Implantação'!B249="Projetos",AVERAGE('Pós Implantação'!D249,'Pós Implantação'!L249,'Pós Implantação'!M249),AVERAGE('Pós Implantação'!M249)),"")</f>
        <v/>
      </c>
      <c r="J249" s="34" t="str">
        <f>IFERROR(IF('Pós Implantação'!B249="Engenharia",AVERAGE('Pós Implantação'!D249,'Pós Implantação'!L249,'Pós Implantação'!N249),AVERAGE('Pós Implantação'!N249)),"")</f>
        <v/>
      </c>
      <c r="K249" s="34" t="str">
        <f>IFERROR(IF('Pós Implantação'!B249="URA",AVERAGE('Pós Implantação'!D249,'Pós Implantação'!L249),""),"")</f>
        <v/>
      </c>
      <c r="L249" s="34" t="str">
        <f>IFERROR(IF('Pós Implantação'!B249="CSE Microsoft",AVERAGE('Pós Implantação'!D249,'Pós Implantação'!L249),""),"")</f>
        <v/>
      </c>
      <c r="M249" s="34" t="str">
        <f>IFERROR(IF('Pós Implantação'!B249="CSE Telecom",AVERAGE('Pós Implantação'!D249,'Pós Implantação'!L249),""),"")</f>
        <v/>
      </c>
      <c r="N249" s="34" t="str">
        <f>IFERROR(IF('Pós Implantação'!B249="Site Suporte de Campo",AVERAGE('Pós Implantação'!D249,'Pós Implantação'!L249),""),"")</f>
        <v/>
      </c>
      <c r="O249" s="49" t="str">
        <f>IFERROR(IF('Pós Implantação'!B249="Infraestrutura",AVERAGE('Pós Implantação'!D249,'Pós Implantação'!L249),""),"")</f>
        <v/>
      </c>
    </row>
    <row r="250" spans="1:15" x14ac:dyDescent="0.3">
      <c r="A250" s="33">
        <f>'Pré Implantação'!A250</f>
        <v>0</v>
      </c>
      <c r="B250" s="36" t="str">
        <f>'Pós Implantação'!C250</f>
        <v>0</v>
      </c>
      <c r="C250" s="34" t="str">
        <f>IFERROR(IF('Pré Implantação'!B250="Produção TI",AVERAGE('Pós Implantação'!D250,'Pós Implantação'!E250,'Pós Implantação'!L250,'Pós Implantação'!H250),AVERAGE('Pré Implantação'!E250,'Pré Implantação'!H250)),"")</f>
        <v/>
      </c>
      <c r="D250" s="34" t="str">
        <f>IFERROR(IF('Pós Implantação'!B250="CSC Service Desk",AVERAGE('Pós Implantação'!D250,'Pós Implantação'!L250,'Pós Implantação'!F250),AVERAGE('Pós Implantação'!F250)),"")</f>
        <v/>
      </c>
      <c r="E250" s="34" t="str">
        <f>IFERROR(IF('Pós Implantação'!B250="CSC NOC",AVERAGE('Pós Implantação'!D250,'Pós Implantação'!L250,'Pós Implantação'!G250),AVERAGE('Pós Implantação'!G250)),"")</f>
        <v/>
      </c>
      <c r="F250" s="34" t="str">
        <f>IFERROR(IF('Pós Implantação'!B250="CSE Gravadores",AVERAGE('Pós Implantação'!D250,'Pós Implantação'!L250,'Pós Implantação'!I250),AVERAGE('Pós Implantação'!I250)),"")</f>
        <v/>
      </c>
      <c r="G250" s="34" t="str">
        <f>IFERROR(IF('Pós Implantação'!B250="CSC",AVERAGE('Pós Implantação'!D250,'Pós Implantação'!L250,'Pós Implantação'!J250),AVERAGE('Pós Implantação'!J250)),"")</f>
        <v/>
      </c>
      <c r="H250" s="34" t="str">
        <f>IFERROR(IF('Pós Implantação'!B250="Operações \ Negócio",AVERAGE('Pós Implantação'!D250,'Pós Implantação'!L250,'Pós Implantação'!K250),AVERAGE('Pós Implantação'!K250)),"")</f>
        <v/>
      </c>
      <c r="I250" s="34" t="str">
        <f>IFERROR(IF('Pós Implantação'!B250="Projetos",AVERAGE('Pós Implantação'!D250,'Pós Implantação'!L250,'Pós Implantação'!M250),AVERAGE('Pós Implantação'!M250)),"")</f>
        <v/>
      </c>
      <c r="J250" s="34" t="str">
        <f>IFERROR(IF('Pós Implantação'!B250="Engenharia",AVERAGE('Pós Implantação'!D250,'Pós Implantação'!L250,'Pós Implantação'!N250),AVERAGE('Pós Implantação'!N250)),"")</f>
        <v/>
      </c>
      <c r="K250" s="34" t="str">
        <f>IFERROR(IF('Pós Implantação'!B250="URA",AVERAGE('Pós Implantação'!D250,'Pós Implantação'!L250),""),"")</f>
        <v/>
      </c>
      <c r="L250" s="34" t="str">
        <f>IFERROR(IF('Pós Implantação'!B250="CSE Microsoft",AVERAGE('Pós Implantação'!D250,'Pós Implantação'!L250),""),"")</f>
        <v/>
      </c>
      <c r="M250" s="34" t="str">
        <f>IFERROR(IF('Pós Implantação'!B250="CSE Telecom",AVERAGE('Pós Implantação'!D250,'Pós Implantação'!L250),""),"")</f>
        <v/>
      </c>
      <c r="N250" s="34" t="str">
        <f>IFERROR(IF('Pós Implantação'!B250="Site Suporte de Campo",AVERAGE('Pós Implantação'!D250,'Pós Implantação'!L250),""),"")</f>
        <v/>
      </c>
      <c r="O250" s="49" t="str">
        <f>IFERROR(IF('Pós Implantação'!B250="Infraestrutura",AVERAGE('Pós Implantação'!D250,'Pós Implantação'!L250),""),"")</f>
        <v/>
      </c>
    </row>
    <row r="251" spans="1:15" x14ac:dyDescent="0.3">
      <c r="A251" s="33">
        <f>'Pré Implantação'!A251</f>
        <v>0</v>
      </c>
      <c r="B251" s="36" t="str">
        <f>'Pós Implantação'!C251</f>
        <v>0</v>
      </c>
      <c r="C251" s="34" t="str">
        <f>IFERROR(IF('Pré Implantação'!B251="Produção TI",AVERAGE('Pós Implantação'!D251,'Pós Implantação'!E251,'Pós Implantação'!L251,'Pós Implantação'!H251),AVERAGE('Pré Implantação'!E251,'Pré Implantação'!H251)),"")</f>
        <v/>
      </c>
      <c r="D251" s="34" t="str">
        <f>IFERROR(IF('Pós Implantação'!B251="CSC Service Desk",AVERAGE('Pós Implantação'!D251,'Pós Implantação'!L251,'Pós Implantação'!F251),AVERAGE('Pós Implantação'!F251)),"")</f>
        <v/>
      </c>
      <c r="E251" s="34" t="str">
        <f>IFERROR(IF('Pós Implantação'!B251="CSC NOC",AVERAGE('Pós Implantação'!D251,'Pós Implantação'!L251,'Pós Implantação'!G251),AVERAGE('Pós Implantação'!G251)),"")</f>
        <v/>
      </c>
      <c r="F251" s="34" t="str">
        <f>IFERROR(IF('Pós Implantação'!B251="CSE Gravadores",AVERAGE('Pós Implantação'!D251,'Pós Implantação'!L251,'Pós Implantação'!I251),AVERAGE('Pós Implantação'!I251)),"")</f>
        <v/>
      </c>
      <c r="G251" s="34" t="str">
        <f>IFERROR(IF('Pós Implantação'!B251="CSC",AVERAGE('Pós Implantação'!D251,'Pós Implantação'!L251,'Pós Implantação'!J251),AVERAGE('Pós Implantação'!J251)),"")</f>
        <v/>
      </c>
      <c r="H251" s="34" t="str">
        <f>IFERROR(IF('Pós Implantação'!B251="Operações \ Negócio",AVERAGE('Pós Implantação'!D251,'Pós Implantação'!L251,'Pós Implantação'!K251),AVERAGE('Pós Implantação'!K251)),"")</f>
        <v/>
      </c>
      <c r="I251" s="34" t="str">
        <f>IFERROR(IF('Pós Implantação'!B251="Projetos",AVERAGE('Pós Implantação'!D251,'Pós Implantação'!L251,'Pós Implantação'!M251),AVERAGE('Pós Implantação'!M251)),"")</f>
        <v/>
      </c>
      <c r="J251" s="34" t="str">
        <f>IFERROR(IF('Pós Implantação'!B251="Engenharia",AVERAGE('Pós Implantação'!D251,'Pós Implantação'!L251,'Pós Implantação'!N251),AVERAGE('Pós Implantação'!N251)),"")</f>
        <v/>
      </c>
      <c r="K251" s="34" t="str">
        <f>IFERROR(IF('Pós Implantação'!B251="URA",AVERAGE('Pós Implantação'!D251,'Pós Implantação'!L251),""),"")</f>
        <v/>
      </c>
      <c r="L251" s="34" t="str">
        <f>IFERROR(IF('Pós Implantação'!B251="CSE Microsoft",AVERAGE('Pós Implantação'!D251,'Pós Implantação'!L251),""),"")</f>
        <v/>
      </c>
      <c r="M251" s="34" t="str">
        <f>IFERROR(IF('Pós Implantação'!B251="CSE Telecom",AVERAGE('Pós Implantação'!D251,'Pós Implantação'!L251),""),"")</f>
        <v/>
      </c>
      <c r="N251" s="34" t="str">
        <f>IFERROR(IF('Pós Implantação'!B251="Site Suporte de Campo",AVERAGE('Pós Implantação'!D251,'Pós Implantação'!L251),""),"")</f>
        <v/>
      </c>
      <c r="O251" s="49" t="str">
        <f>IFERROR(IF('Pós Implantação'!B251="Infraestrutura",AVERAGE('Pós Implantação'!D251,'Pós Implantação'!L251),""),"")</f>
        <v/>
      </c>
    </row>
    <row r="252" spans="1:15" x14ac:dyDescent="0.3">
      <c r="A252" s="33">
        <f>'Pré Implantação'!A252</f>
        <v>0</v>
      </c>
      <c r="B252" s="36" t="str">
        <f>'Pós Implantação'!C252</f>
        <v>0</v>
      </c>
      <c r="C252" s="34" t="str">
        <f>IFERROR(IF('Pré Implantação'!B252="Produção TI",AVERAGE('Pós Implantação'!D252,'Pós Implantação'!E252,'Pós Implantação'!L252,'Pós Implantação'!H252),AVERAGE('Pré Implantação'!E252,'Pré Implantação'!H252)),"")</f>
        <v/>
      </c>
      <c r="D252" s="34" t="str">
        <f>IFERROR(IF('Pós Implantação'!B252="CSC Service Desk",AVERAGE('Pós Implantação'!D252,'Pós Implantação'!L252,'Pós Implantação'!F252),AVERAGE('Pós Implantação'!F252)),"")</f>
        <v/>
      </c>
      <c r="E252" s="34" t="str">
        <f>IFERROR(IF('Pós Implantação'!B252="CSC NOC",AVERAGE('Pós Implantação'!D252,'Pós Implantação'!L252,'Pós Implantação'!G252),AVERAGE('Pós Implantação'!G252)),"")</f>
        <v/>
      </c>
      <c r="F252" s="34" t="str">
        <f>IFERROR(IF('Pós Implantação'!B252="CSE Gravadores",AVERAGE('Pós Implantação'!D252,'Pós Implantação'!L252,'Pós Implantação'!I252),AVERAGE('Pós Implantação'!I252)),"")</f>
        <v/>
      </c>
      <c r="G252" s="34" t="str">
        <f>IFERROR(IF('Pós Implantação'!B252="CSC",AVERAGE('Pós Implantação'!D252,'Pós Implantação'!L252,'Pós Implantação'!J252),AVERAGE('Pós Implantação'!J252)),"")</f>
        <v/>
      </c>
      <c r="H252" s="34" t="str">
        <f>IFERROR(IF('Pós Implantação'!B252="Operações \ Negócio",AVERAGE('Pós Implantação'!D252,'Pós Implantação'!L252,'Pós Implantação'!K252),AVERAGE('Pós Implantação'!K252)),"")</f>
        <v/>
      </c>
      <c r="I252" s="34" t="str">
        <f>IFERROR(IF('Pós Implantação'!B252="Projetos",AVERAGE('Pós Implantação'!D252,'Pós Implantação'!L252,'Pós Implantação'!M252),AVERAGE('Pós Implantação'!M252)),"")</f>
        <v/>
      </c>
      <c r="J252" s="34" t="str">
        <f>IFERROR(IF('Pós Implantação'!B252="Engenharia",AVERAGE('Pós Implantação'!D252,'Pós Implantação'!L252,'Pós Implantação'!N252),AVERAGE('Pós Implantação'!N252)),"")</f>
        <v/>
      </c>
      <c r="K252" s="34" t="str">
        <f>IFERROR(IF('Pós Implantação'!B252="URA",AVERAGE('Pós Implantação'!D252,'Pós Implantação'!L252),""),"")</f>
        <v/>
      </c>
      <c r="L252" s="34" t="str">
        <f>IFERROR(IF('Pós Implantação'!B252="CSE Microsoft",AVERAGE('Pós Implantação'!D252,'Pós Implantação'!L252),""),"")</f>
        <v/>
      </c>
      <c r="M252" s="34" t="str">
        <f>IFERROR(IF('Pós Implantação'!B252="CSE Telecom",AVERAGE('Pós Implantação'!D252,'Pós Implantação'!L252),""),"")</f>
        <v/>
      </c>
      <c r="N252" s="34" t="str">
        <f>IFERROR(IF('Pós Implantação'!B252="Site Suporte de Campo",AVERAGE('Pós Implantação'!D252,'Pós Implantação'!L252),""),"")</f>
        <v/>
      </c>
      <c r="O252" s="49" t="str">
        <f>IFERROR(IF('Pós Implantação'!B252="Infraestrutura",AVERAGE('Pós Implantação'!D252,'Pós Implantação'!L252),""),"")</f>
        <v/>
      </c>
    </row>
    <row r="253" spans="1:15" x14ac:dyDescent="0.3">
      <c r="A253" s="33">
        <f>'Pré Implantação'!A253</f>
        <v>0</v>
      </c>
      <c r="B253" s="36" t="str">
        <f>'Pós Implantação'!C253</f>
        <v>0</v>
      </c>
      <c r="C253" s="34" t="str">
        <f>IFERROR(IF('Pré Implantação'!B253="Produção TI",AVERAGE('Pós Implantação'!D253,'Pós Implantação'!E253,'Pós Implantação'!L253,'Pós Implantação'!H253),AVERAGE('Pré Implantação'!E253,'Pré Implantação'!H253)),"")</f>
        <v/>
      </c>
      <c r="D253" s="34" t="str">
        <f>IFERROR(IF('Pós Implantação'!B253="CSC Service Desk",AVERAGE('Pós Implantação'!D253,'Pós Implantação'!L253,'Pós Implantação'!F253),AVERAGE('Pós Implantação'!F253)),"")</f>
        <v/>
      </c>
      <c r="E253" s="34" t="str">
        <f>IFERROR(IF('Pós Implantação'!B253="CSC NOC",AVERAGE('Pós Implantação'!D253,'Pós Implantação'!L253,'Pós Implantação'!G253),AVERAGE('Pós Implantação'!G253)),"")</f>
        <v/>
      </c>
      <c r="F253" s="34" t="str">
        <f>IFERROR(IF('Pós Implantação'!B253="CSE Gravadores",AVERAGE('Pós Implantação'!D253,'Pós Implantação'!L253,'Pós Implantação'!I253),AVERAGE('Pós Implantação'!I253)),"")</f>
        <v/>
      </c>
      <c r="G253" s="34" t="str">
        <f>IFERROR(IF('Pós Implantação'!B253="CSC",AVERAGE('Pós Implantação'!D253,'Pós Implantação'!L253,'Pós Implantação'!J253),AVERAGE('Pós Implantação'!J253)),"")</f>
        <v/>
      </c>
      <c r="H253" s="34" t="str">
        <f>IFERROR(IF('Pós Implantação'!B253="Operações \ Negócio",AVERAGE('Pós Implantação'!D253,'Pós Implantação'!L253,'Pós Implantação'!K253),AVERAGE('Pós Implantação'!K253)),"")</f>
        <v/>
      </c>
      <c r="I253" s="34" t="str">
        <f>IFERROR(IF('Pós Implantação'!B253="Projetos",AVERAGE('Pós Implantação'!D253,'Pós Implantação'!L253,'Pós Implantação'!M253),AVERAGE('Pós Implantação'!M253)),"")</f>
        <v/>
      </c>
      <c r="J253" s="34" t="str">
        <f>IFERROR(IF('Pós Implantação'!B253="Engenharia",AVERAGE('Pós Implantação'!D253,'Pós Implantação'!L253,'Pós Implantação'!N253),AVERAGE('Pós Implantação'!N253)),"")</f>
        <v/>
      </c>
      <c r="K253" s="34" t="str">
        <f>IFERROR(IF('Pós Implantação'!B253="URA",AVERAGE('Pós Implantação'!D253,'Pós Implantação'!L253),""),"")</f>
        <v/>
      </c>
      <c r="L253" s="34" t="str">
        <f>IFERROR(IF('Pós Implantação'!B253="CSE Microsoft",AVERAGE('Pós Implantação'!D253,'Pós Implantação'!L253),""),"")</f>
        <v/>
      </c>
      <c r="M253" s="34" t="str">
        <f>IFERROR(IF('Pós Implantação'!B253="CSE Telecom",AVERAGE('Pós Implantação'!D253,'Pós Implantação'!L253),""),"")</f>
        <v/>
      </c>
      <c r="N253" s="34" t="str">
        <f>IFERROR(IF('Pós Implantação'!B253="Site Suporte de Campo",AVERAGE('Pós Implantação'!D253,'Pós Implantação'!L253),""),"")</f>
        <v/>
      </c>
      <c r="O253" s="49" t="str">
        <f>IFERROR(IF('Pós Implantação'!B253="Infraestrutura",AVERAGE('Pós Implantação'!D253,'Pós Implantação'!L253),""),"")</f>
        <v/>
      </c>
    </row>
    <row r="254" spans="1:15" x14ac:dyDescent="0.3">
      <c r="A254" s="33">
        <f>'Pré Implantação'!A254</f>
        <v>0</v>
      </c>
      <c r="B254" s="36" t="str">
        <f>'Pós Implantação'!C254</f>
        <v>0</v>
      </c>
      <c r="C254" s="34" t="str">
        <f>IFERROR(IF('Pré Implantação'!B254="Produção TI",AVERAGE('Pós Implantação'!D254,'Pós Implantação'!E254,'Pós Implantação'!L254,'Pós Implantação'!H254),AVERAGE('Pré Implantação'!E254,'Pré Implantação'!H254)),"")</f>
        <v/>
      </c>
      <c r="D254" s="34" t="str">
        <f>IFERROR(IF('Pós Implantação'!B254="CSC Service Desk",AVERAGE('Pós Implantação'!D254,'Pós Implantação'!L254,'Pós Implantação'!F254),AVERAGE('Pós Implantação'!F254)),"")</f>
        <v/>
      </c>
      <c r="E254" s="34" t="str">
        <f>IFERROR(IF('Pós Implantação'!B254="CSC NOC",AVERAGE('Pós Implantação'!D254,'Pós Implantação'!L254,'Pós Implantação'!G254),AVERAGE('Pós Implantação'!G254)),"")</f>
        <v/>
      </c>
      <c r="F254" s="34" t="str">
        <f>IFERROR(IF('Pós Implantação'!B254="CSE Gravadores",AVERAGE('Pós Implantação'!D254,'Pós Implantação'!L254,'Pós Implantação'!I254),AVERAGE('Pós Implantação'!I254)),"")</f>
        <v/>
      </c>
      <c r="G254" s="34" t="str">
        <f>IFERROR(IF('Pós Implantação'!B254="CSC",AVERAGE('Pós Implantação'!D254,'Pós Implantação'!L254,'Pós Implantação'!J254),AVERAGE('Pós Implantação'!J254)),"")</f>
        <v/>
      </c>
      <c r="H254" s="34" t="str">
        <f>IFERROR(IF('Pós Implantação'!B254="Operações \ Negócio",AVERAGE('Pós Implantação'!D254,'Pós Implantação'!L254,'Pós Implantação'!K254),AVERAGE('Pós Implantação'!K254)),"")</f>
        <v/>
      </c>
      <c r="I254" s="34" t="str">
        <f>IFERROR(IF('Pós Implantação'!B254="Projetos",AVERAGE('Pós Implantação'!D254,'Pós Implantação'!L254,'Pós Implantação'!M254),AVERAGE('Pós Implantação'!M254)),"")</f>
        <v/>
      </c>
      <c r="J254" s="34" t="str">
        <f>IFERROR(IF('Pós Implantação'!B254="Engenharia",AVERAGE('Pós Implantação'!D254,'Pós Implantação'!L254,'Pós Implantação'!N254),AVERAGE('Pós Implantação'!N254)),"")</f>
        <v/>
      </c>
      <c r="K254" s="34" t="str">
        <f>IFERROR(IF('Pós Implantação'!B254="URA",AVERAGE('Pós Implantação'!D254,'Pós Implantação'!L254),""),"")</f>
        <v/>
      </c>
      <c r="L254" s="34" t="str">
        <f>IFERROR(IF('Pós Implantação'!B254="CSE Microsoft",AVERAGE('Pós Implantação'!D254,'Pós Implantação'!L254),""),"")</f>
        <v/>
      </c>
      <c r="M254" s="34" t="str">
        <f>IFERROR(IF('Pós Implantação'!B254="CSE Telecom",AVERAGE('Pós Implantação'!D254,'Pós Implantação'!L254),""),"")</f>
        <v/>
      </c>
      <c r="N254" s="34" t="str">
        <f>IFERROR(IF('Pós Implantação'!B254="Site Suporte de Campo",AVERAGE('Pós Implantação'!D254,'Pós Implantação'!L254),""),"")</f>
        <v/>
      </c>
      <c r="O254" s="49" t="str">
        <f>IFERROR(IF('Pós Implantação'!B254="Infraestrutura",AVERAGE('Pós Implantação'!D254,'Pós Implantação'!L254),""),"")</f>
        <v/>
      </c>
    </row>
    <row r="255" spans="1:15" x14ac:dyDescent="0.3">
      <c r="A255" s="33">
        <f>'Pré Implantação'!A255</f>
        <v>0</v>
      </c>
      <c r="B255" s="36" t="str">
        <f>'Pós Implantação'!C255</f>
        <v>0</v>
      </c>
      <c r="C255" s="34" t="str">
        <f>IFERROR(IF('Pré Implantação'!B255="Produção TI",AVERAGE('Pós Implantação'!D255,'Pós Implantação'!E255,'Pós Implantação'!L255,'Pós Implantação'!H255),AVERAGE('Pré Implantação'!E255,'Pré Implantação'!H255)),"")</f>
        <v/>
      </c>
      <c r="D255" s="34" t="str">
        <f>IFERROR(IF('Pós Implantação'!B255="CSC Service Desk",AVERAGE('Pós Implantação'!D255,'Pós Implantação'!L255,'Pós Implantação'!F255),AVERAGE('Pós Implantação'!F255)),"")</f>
        <v/>
      </c>
      <c r="E255" s="34" t="str">
        <f>IFERROR(IF('Pós Implantação'!B255="CSC NOC",AVERAGE('Pós Implantação'!D255,'Pós Implantação'!L255,'Pós Implantação'!G255),AVERAGE('Pós Implantação'!G255)),"")</f>
        <v/>
      </c>
      <c r="F255" s="34" t="str">
        <f>IFERROR(IF('Pós Implantação'!B255="CSE Gravadores",AVERAGE('Pós Implantação'!D255,'Pós Implantação'!L255,'Pós Implantação'!I255),AVERAGE('Pós Implantação'!I255)),"")</f>
        <v/>
      </c>
      <c r="G255" s="34" t="str">
        <f>IFERROR(IF('Pós Implantação'!B255="CSC",AVERAGE('Pós Implantação'!D255,'Pós Implantação'!L255,'Pós Implantação'!J255),AVERAGE('Pós Implantação'!J255)),"")</f>
        <v/>
      </c>
      <c r="H255" s="34" t="str">
        <f>IFERROR(IF('Pós Implantação'!B255="Operações \ Negócio",AVERAGE('Pós Implantação'!D255,'Pós Implantação'!L255,'Pós Implantação'!K255),AVERAGE('Pós Implantação'!K255)),"")</f>
        <v/>
      </c>
      <c r="I255" s="34" t="str">
        <f>IFERROR(IF('Pós Implantação'!B255="Projetos",AVERAGE('Pós Implantação'!D255,'Pós Implantação'!L255,'Pós Implantação'!M255),AVERAGE('Pós Implantação'!M255)),"")</f>
        <v/>
      </c>
      <c r="J255" s="34" t="str">
        <f>IFERROR(IF('Pós Implantação'!B255="Engenharia",AVERAGE('Pós Implantação'!D255,'Pós Implantação'!L255,'Pós Implantação'!N255),AVERAGE('Pós Implantação'!N255)),"")</f>
        <v/>
      </c>
      <c r="K255" s="34" t="str">
        <f>IFERROR(IF('Pós Implantação'!B255="URA",AVERAGE('Pós Implantação'!D255,'Pós Implantação'!L255),""),"")</f>
        <v/>
      </c>
      <c r="L255" s="34" t="str">
        <f>IFERROR(IF('Pós Implantação'!B255="CSE Microsoft",AVERAGE('Pós Implantação'!D255,'Pós Implantação'!L255),""),"")</f>
        <v/>
      </c>
      <c r="M255" s="34" t="str">
        <f>IFERROR(IF('Pós Implantação'!B255="CSE Telecom",AVERAGE('Pós Implantação'!D255,'Pós Implantação'!L255),""),"")</f>
        <v/>
      </c>
      <c r="N255" s="34" t="str">
        <f>IFERROR(IF('Pós Implantação'!B255="Site Suporte de Campo",AVERAGE('Pós Implantação'!D255,'Pós Implantação'!L255),""),"")</f>
        <v/>
      </c>
      <c r="O255" s="49" t="str">
        <f>IFERROR(IF('Pós Implantação'!B255="Infraestrutura",AVERAGE('Pós Implantação'!D255,'Pós Implantação'!L255),""),"")</f>
        <v/>
      </c>
    </row>
    <row r="256" spans="1:15" x14ac:dyDescent="0.3">
      <c r="A256" s="33">
        <f>'Pré Implantação'!A256</f>
        <v>0</v>
      </c>
      <c r="B256" s="36" t="str">
        <f>'Pós Implantação'!C256</f>
        <v>0</v>
      </c>
      <c r="C256" s="34" t="str">
        <f>IFERROR(IF('Pré Implantação'!B256="Produção TI",AVERAGE('Pós Implantação'!D256,'Pós Implantação'!E256,'Pós Implantação'!L256,'Pós Implantação'!H256),AVERAGE('Pré Implantação'!E256,'Pré Implantação'!H256)),"")</f>
        <v/>
      </c>
      <c r="D256" s="34" t="str">
        <f>IFERROR(IF('Pós Implantação'!B256="CSC Service Desk",AVERAGE('Pós Implantação'!D256,'Pós Implantação'!L256,'Pós Implantação'!F256),AVERAGE('Pós Implantação'!F256)),"")</f>
        <v/>
      </c>
      <c r="E256" s="34" t="str">
        <f>IFERROR(IF('Pós Implantação'!B256="CSC NOC",AVERAGE('Pós Implantação'!D256,'Pós Implantação'!L256,'Pós Implantação'!G256),AVERAGE('Pós Implantação'!G256)),"")</f>
        <v/>
      </c>
      <c r="F256" s="34" t="str">
        <f>IFERROR(IF('Pós Implantação'!B256="CSE Gravadores",AVERAGE('Pós Implantação'!D256,'Pós Implantação'!L256,'Pós Implantação'!I256),AVERAGE('Pós Implantação'!I256)),"")</f>
        <v/>
      </c>
      <c r="G256" s="34" t="str">
        <f>IFERROR(IF('Pós Implantação'!B256="CSC",AVERAGE('Pós Implantação'!D256,'Pós Implantação'!L256,'Pós Implantação'!J256),AVERAGE('Pós Implantação'!J256)),"")</f>
        <v/>
      </c>
      <c r="H256" s="34" t="str">
        <f>IFERROR(IF('Pós Implantação'!B256="Operações \ Negócio",AVERAGE('Pós Implantação'!D256,'Pós Implantação'!L256,'Pós Implantação'!K256),AVERAGE('Pós Implantação'!K256)),"")</f>
        <v/>
      </c>
      <c r="I256" s="34" t="str">
        <f>IFERROR(IF('Pós Implantação'!B256="Projetos",AVERAGE('Pós Implantação'!D256,'Pós Implantação'!L256,'Pós Implantação'!M256),AVERAGE('Pós Implantação'!M256)),"")</f>
        <v/>
      </c>
      <c r="J256" s="34" t="str">
        <f>IFERROR(IF('Pós Implantação'!B256="Engenharia",AVERAGE('Pós Implantação'!D256,'Pós Implantação'!L256,'Pós Implantação'!N256),AVERAGE('Pós Implantação'!N256)),"")</f>
        <v/>
      </c>
      <c r="K256" s="34" t="str">
        <f>IFERROR(IF('Pós Implantação'!B256="URA",AVERAGE('Pós Implantação'!D256,'Pós Implantação'!L256),""),"")</f>
        <v/>
      </c>
      <c r="L256" s="34" t="str">
        <f>IFERROR(IF('Pós Implantação'!B256="CSE Microsoft",AVERAGE('Pós Implantação'!D256,'Pós Implantação'!L256),""),"")</f>
        <v/>
      </c>
      <c r="M256" s="34" t="str">
        <f>IFERROR(IF('Pós Implantação'!B256="CSE Telecom",AVERAGE('Pós Implantação'!D256,'Pós Implantação'!L256),""),"")</f>
        <v/>
      </c>
      <c r="N256" s="34" t="str">
        <f>IFERROR(IF('Pós Implantação'!B256="Site Suporte de Campo",AVERAGE('Pós Implantação'!D256,'Pós Implantação'!L256),""),"")</f>
        <v/>
      </c>
      <c r="O256" s="49" t="str">
        <f>IFERROR(IF('Pós Implantação'!B256="Infraestrutura",AVERAGE('Pós Implantação'!D256,'Pós Implantação'!L256),""),"")</f>
        <v/>
      </c>
    </row>
    <row r="257" spans="1:15" x14ac:dyDescent="0.3">
      <c r="A257" s="33">
        <f>'Pré Implantação'!A257</f>
        <v>0</v>
      </c>
      <c r="B257" s="36" t="str">
        <f>'Pós Implantação'!C257</f>
        <v>0</v>
      </c>
      <c r="C257" s="34" t="str">
        <f>IFERROR(IF('Pré Implantação'!B257="Produção TI",AVERAGE('Pós Implantação'!D257,'Pós Implantação'!E257,'Pós Implantação'!L257,'Pós Implantação'!H257),AVERAGE('Pré Implantação'!E257,'Pré Implantação'!H257)),"")</f>
        <v/>
      </c>
      <c r="D257" s="34" t="str">
        <f>IFERROR(IF('Pós Implantação'!B257="CSC Service Desk",AVERAGE('Pós Implantação'!D257,'Pós Implantação'!L257,'Pós Implantação'!F257),AVERAGE('Pós Implantação'!F257)),"")</f>
        <v/>
      </c>
      <c r="E257" s="34" t="str">
        <f>IFERROR(IF('Pós Implantação'!B257="CSC NOC",AVERAGE('Pós Implantação'!D257,'Pós Implantação'!L257,'Pós Implantação'!G257),AVERAGE('Pós Implantação'!G257)),"")</f>
        <v/>
      </c>
      <c r="F257" s="34" t="str">
        <f>IFERROR(IF('Pós Implantação'!B257="CSE Gravadores",AVERAGE('Pós Implantação'!D257,'Pós Implantação'!L257,'Pós Implantação'!I257),AVERAGE('Pós Implantação'!I257)),"")</f>
        <v/>
      </c>
      <c r="G257" s="34" t="str">
        <f>IFERROR(IF('Pós Implantação'!B257="CSC",AVERAGE('Pós Implantação'!D257,'Pós Implantação'!L257,'Pós Implantação'!J257),AVERAGE('Pós Implantação'!J257)),"")</f>
        <v/>
      </c>
      <c r="H257" s="34" t="str">
        <f>IFERROR(IF('Pós Implantação'!B257="Operações \ Negócio",AVERAGE('Pós Implantação'!D257,'Pós Implantação'!L257,'Pós Implantação'!K257),AVERAGE('Pós Implantação'!K257)),"")</f>
        <v/>
      </c>
      <c r="I257" s="34" t="str">
        <f>IFERROR(IF('Pós Implantação'!B257="Projetos",AVERAGE('Pós Implantação'!D257,'Pós Implantação'!L257,'Pós Implantação'!M257),AVERAGE('Pós Implantação'!M257)),"")</f>
        <v/>
      </c>
      <c r="J257" s="34" t="str">
        <f>IFERROR(IF('Pós Implantação'!B257="Engenharia",AVERAGE('Pós Implantação'!D257,'Pós Implantação'!L257,'Pós Implantação'!N257),AVERAGE('Pós Implantação'!N257)),"")</f>
        <v/>
      </c>
      <c r="K257" s="34" t="str">
        <f>IFERROR(IF('Pós Implantação'!B257="URA",AVERAGE('Pós Implantação'!D257,'Pós Implantação'!L257),""),"")</f>
        <v/>
      </c>
      <c r="L257" s="34" t="str">
        <f>IFERROR(IF('Pós Implantação'!B257="CSE Microsoft",AVERAGE('Pós Implantação'!D257,'Pós Implantação'!L257),""),"")</f>
        <v/>
      </c>
      <c r="M257" s="34" t="str">
        <f>IFERROR(IF('Pós Implantação'!B257="CSE Telecom",AVERAGE('Pós Implantação'!D257,'Pós Implantação'!L257),""),"")</f>
        <v/>
      </c>
      <c r="N257" s="34" t="str">
        <f>IFERROR(IF('Pós Implantação'!B257="Site Suporte de Campo",AVERAGE('Pós Implantação'!D257,'Pós Implantação'!L257),""),"")</f>
        <v/>
      </c>
      <c r="O257" s="49" t="str">
        <f>IFERROR(IF('Pós Implantação'!B257="Infraestrutura",AVERAGE('Pós Implantação'!D257,'Pós Implantação'!L257),""),"")</f>
        <v/>
      </c>
    </row>
    <row r="258" spans="1:15" x14ac:dyDescent="0.3">
      <c r="A258" s="33">
        <f>'Pré Implantação'!A258</f>
        <v>0</v>
      </c>
      <c r="B258" s="36" t="str">
        <f>'Pós Implantação'!C258</f>
        <v>0</v>
      </c>
      <c r="C258" s="34" t="str">
        <f>IFERROR(IF('Pré Implantação'!B258="Produção TI",AVERAGE('Pós Implantação'!D258,'Pós Implantação'!E258,'Pós Implantação'!L258,'Pós Implantação'!H258),AVERAGE('Pré Implantação'!E258,'Pré Implantação'!H258)),"")</f>
        <v/>
      </c>
      <c r="D258" s="34" t="str">
        <f>IFERROR(IF('Pós Implantação'!B258="CSC Service Desk",AVERAGE('Pós Implantação'!D258,'Pós Implantação'!L258,'Pós Implantação'!F258),AVERAGE('Pós Implantação'!F258)),"")</f>
        <v/>
      </c>
      <c r="E258" s="34" t="str">
        <f>IFERROR(IF('Pós Implantação'!B258="CSC NOC",AVERAGE('Pós Implantação'!D258,'Pós Implantação'!L258,'Pós Implantação'!G258),AVERAGE('Pós Implantação'!G258)),"")</f>
        <v/>
      </c>
      <c r="F258" s="34" t="str">
        <f>IFERROR(IF('Pós Implantação'!B258="CSE Gravadores",AVERAGE('Pós Implantação'!D258,'Pós Implantação'!L258,'Pós Implantação'!I258),AVERAGE('Pós Implantação'!I258)),"")</f>
        <v/>
      </c>
      <c r="G258" s="34" t="str">
        <f>IFERROR(IF('Pós Implantação'!B258="CSC",AVERAGE('Pós Implantação'!D258,'Pós Implantação'!L258,'Pós Implantação'!J258),AVERAGE('Pós Implantação'!J258)),"")</f>
        <v/>
      </c>
      <c r="H258" s="34" t="str">
        <f>IFERROR(IF('Pós Implantação'!B258="Operações \ Negócio",AVERAGE('Pós Implantação'!D258,'Pós Implantação'!L258,'Pós Implantação'!K258),AVERAGE('Pós Implantação'!K258)),"")</f>
        <v/>
      </c>
      <c r="I258" s="34" t="str">
        <f>IFERROR(IF('Pós Implantação'!B258="Projetos",AVERAGE('Pós Implantação'!D258,'Pós Implantação'!L258,'Pós Implantação'!M258),AVERAGE('Pós Implantação'!M258)),"")</f>
        <v/>
      </c>
      <c r="J258" s="34" t="str">
        <f>IFERROR(IF('Pós Implantação'!B258="Engenharia",AVERAGE('Pós Implantação'!D258,'Pós Implantação'!L258,'Pós Implantação'!N258),AVERAGE('Pós Implantação'!N258)),"")</f>
        <v/>
      </c>
      <c r="K258" s="34" t="str">
        <f>IFERROR(IF('Pós Implantação'!B258="URA",AVERAGE('Pós Implantação'!D258,'Pós Implantação'!L258),""),"")</f>
        <v/>
      </c>
      <c r="L258" s="34" t="str">
        <f>IFERROR(IF('Pós Implantação'!B258="CSE Microsoft",AVERAGE('Pós Implantação'!D258,'Pós Implantação'!L258),""),"")</f>
        <v/>
      </c>
      <c r="M258" s="34" t="str">
        <f>IFERROR(IF('Pós Implantação'!B258="CSE Telecom",AVERAGE('Pós Implantação'!D258,'Pós Implantação'!L258),""),"")</f>
        <v/>
      </c>
      <c r="N258" s="34" t="str">
        <f>IFERROR(IF('Pós Implantação'!B258="Site Suporte de Campo",AVERAGE('Pós Implantação'!D258,'Pós Implantação'!L258),""),"")</f>
        <v/>
      </c>
      <c r="O258" s="49" t="str">
        <f>IFERROR(IF('Pós Implantação'!B258="Infraestrutura",AVERAGE('Pós Implantação'!D258,'Pós Implantação'!L258),""),"")</f>
        <v/>
      </c>
    </row>
    <row r="259" spans="1:15" x14ac:dyDescent="0.3">
      <c r="A259" s="33">
        <f>'Pré Implantação'!A259</f>
        <v>0</v>
      </c>
      <c r="B259" s="36" t="str">
        <f>'Pós Implantação'!C259</f>
        <v>0</v>
      </c>
      <c r="C259" s="34" t="str">
        <f>IFERROR(IF('Pré Implantação'!B259="Produção TI",AVERAGE('Pós Implantação'!D259,'Pós Implantação'!E259,'Pós Implantação'!L259,'Pós Implantação'!H259),AVERAGE('Pré Implantação'!E259,'Pré Implantação'!H259)),"")</f>
        <v/>
      </c>
      <c r="D259" s="34" t="str">
        <f>IFERROR(IF('Pós Implantação'!B259="CSC Service Desk",AVERAGE('Pós Implantação'!D259,'Pós Implantação'!L259,'Pós Implantação'!F259),AVERAGE('Pós Implantação'!F259)),"")</f>
        <v/>
      </c>
      <c r="E259" s="34" t="str">
        <f>IFERROR(IF('Pós Implantação'!B259="CSC NOC",AVERAGE('Pós Implantação'!D259,'Pós Implantação'!L259,'Pós Implantação'!G259),AVERAGE('Pós Implantação'!G259)),"")</f>
        <v/>
      </c>
      <c r="F259" s="34" t="str">
        <f>IFERROR(IF('Pós Implantação'!B259="CSE Gravadores",AVERAGE('Pós Implantação'!D259,'Pós Implantação'!L259,'Pós Implantação'!I259),AVERAGE('Pós Implantação'!I259)),"")</f>
        <v/>
      </c>
      <c r="G259" s="34" t="str">
        <f>IFERROR(IF('Pós Implantação'!B259="CSC",AVERAGE('Pós Implantação'!D259,'Pós Implantação'!L259,'Pós Implantação'!J259),AVERAGE('Pós Implantação'!J259)),"")</f>
        <v/>
      </c>
      <c r="H259" s="34" t="str">
        <f>IFERROR(IF('Pós Implantação'!B259="Operações \ Negócio",AVERAGE('Pós Implantação'!D259,'Pós Implantação'!L259,'Pós Implantação'!K259),AVERAGE('Pós Implantação'!K259)),"")</f>
        <v/>
      </c>
      <c r="I259" s="34" t="str">
        <f>IFERROR(IF('Pós Implantação'!B259="Projetos",AVERAGE('Pós Implantação'!D259,'Pós Implantação'!L259,'Pós Implantação'!M259),AVERAGE('Pós Implantação'!M259)),"")</f>
        <v/>
      </c>
      <c r="J259" s="34" t="str">
        <f>IFERROR(IF('Pós Implantação'!B259="Engenharia",AVERAGE('Pós Implantação'!D259,'Pós Implantação'!L259,'Pós Implantação'!N259),AVERAGE('Pós Implantação'!N259)),"")</f>
        <v/>
      </c>
      <c r="K259" s="34" t="str">
        <f>IFERROR(IF('Pós Implantação'!B259="URA",AVERAGE('Pós Implantação'!D259,'Pós Implantação'!L259),""),"")</f>
        <v/>
      </c>
      <c r="L259" s="34" t="str">
        <f>IFERROR(IF('Pós Implantação'!B259="CSE Microsoft",AVERAGE('Pós Implantação'!D259,'Pós Implantação'!L259),""),"")</f>
        <v/>
      </c>
      <c r="M259" s="34" t="str">
        <f>IFERROR(IF('Pós Implantação'!B259="CSE Telecom",AVERAGE('Pós Implantação'!D259,'Pós Implantação'!L259),""),"")</f>
        <v/>
      </c>
      <c r="N259" s="34" t="str">
        <f>IFERROR(IF('Pós Implantação'!B259="Site Suporte de Campo",AVERAGE('Pós Implantação'!D259,'Pós Implantação'!L259),""),"")</f>
        <v/>
      </c>
      <c r="O259" s="49" t="str">
        <f>IFERROR(IF('Pós Implantação'!B259="Infraestrutura",AVERAGE('Pós Implantação'!D259,'Pós Implantação'!L259),""),"")</f>
        <v/>
      </c>
    </row>
    <row r="260" spans="1:15" x14ac:dyDescent="0.3">
      <c r="A260" s="33">
        <f>'Pré Implantação'!A260</f>
        <v>0</v>
      </c>
      <c r="B260" s="36" t="str">
        <f>'Pós Implantação'!C260</f>
        <v>0</v>
      </c>
      <c r="C260" s="34" t="str">
        <f>IFERROR(IF('Pré Implantação'!B260="Produção TI",AVERAGE('Pós Implantação'!D260,'Pós Implantação'!E260,'Pós Implantação'!L260,'Pós Implantação'!H260),AVERAGE('Pré Implantação'!E260,'Pré Implantação'!H260)),"")</f>
        <v/>
      </c>
      <c r="D260" s="34" t="str">
        <f>IFERROR(IF('Pós Implantação'!B260="CSC Service Desk",AVERAGE('Pós Implantação'!D260,'Pós Implantação'!L260,'Pós Implantação'!F260),AVERAGE('Pós Implantação'!F260)),"")</f>
        <v/>
      </c>
      <c r="E260" s="34" t="str">
        <f>IFERROR(IF('Pós Implantação'!B260="CSC NOC",AVERAGE('Pós Implantação'!D260,'Pós Implantação'!L260,'Pós Implantação'!G260),AVERAGE('Pós Implantação'!G260)),"")</f>
        <v/>
      </c>
      <c r="F260" s="34" t="str">
        <f>IFERROR(IF('Pós Implantação'!B260="CSE Gravadores",AVERAGE('Pós Implantação'!D260,'Pós Implantação'!L260,'Pós Implantação'!I260),AVERAGE('Pós Implantação'!I260)),"")</f>
        <v/>
      </c>
      <c r="G260" s="34" t="str">
        <f>IFERROR(IF('Pós Implantação'!B260="CSC",AVERAGE('Pós Implantação'!D260,'Pós Implantação'!L260,'Pós Implantação'!J260),AVERAGE('Pós Implantação'!J260)),"")</f>
        <v/>
      </c>
      <c r="H260" s="34" t="str">
        <f>IFERROR(IF('Pós Implantação'!B260="Operações \ Negócio",AVERAGE('Pós Implantação'!D260,'Pós Implantação'!L260,'Pós Implantação'!K260),AVERAGE('Pós Implantação'!K260)),"")</f>
        <v/>
      </c>
      <c r="I260" s="34" t="str">
        <f>IFERROR(IF('Pós Implantação'!B260="Projetos",AVERAGE('Pós Implantação'!D260,'Pós Implantação'!L260,'Pós Implantação'!M260),AVERAGE('Pós Implantação'!M260)),"")</f>
        <v/>
      </c>
      <c r="J260" s="34" t="str">
        <f>IFERROR(IF('Pós Implantação'!B260="Engenharia",AVERAGE('Pós Implantação'!D260,'Pós Implantação'!L260,'Pós Implantação'!N260),AVERAGE('Pós Implantação'!N260)),"")</f>
        <v/>
      </c>
      <c r="K260" s="34" t="str">
        <f>IFERROR(IF('Pós Implantação'!B260="URA",AVERAGE('Pós Implantação'!D260,'Pós Implantação'!L260),""),"")</f>
        <v/>
      </c>
      <c r="L260" s="34" t="str">
        <f>IFERROR(IF('Pós Implantação'!B260="CSE Microsoft",AVERAGE('Pós Implantação'!D260,'Pós Implantação'!L260),""),"")</f>
        <v/>
      </c>
      <c r="M260" s="34" t="str">
        <f>IFERROR(IF('Pós Implantação'!B260="CSE Telecom",AVERAGE('Pós Implantação'!D260,'Pós Implantação'!L260),""),"")</f>
        <v/>
      </c>
      <c r="N260" s="34" t="str">
        <f>IFERROR(IF('Pós Implantação'!B260="Site Suporte de Campo",AVERAGE('Pós Implantação'!D260,'Pós Implantação'!L260),""),"")</f>
        <v/>
      </c>
      <c r="O260" s="49" t="str">
        <f>IFERROR(IF('Pós Implantação'!B260="Infraestrutura",AVERAGE('Pós Implantação'!D260,'Pós Implantação'!L260),""),"")</f>
        <v/>
      </c>
    </row>
    <row r="261" spans="1:15" x14ac:dyDescent="0.3">
      <c r="A261" s="33">
        <f>'Pré Implantação'!A261</f>
        <v>0</v>
      </c>
      <c r="B261" s="36" t="str">
        <f>'Pós Implantação'!C261</f>
        <v>0</v>
      </c>
      <c r="C261" s="34" t="str">
        <f>IFERROR(IF('Pré Implantação'!B261="Produção TI",AVERAGE('Pós Implantação'!D261,'Pós Implantação'!E261,'Pós Implantação'!L261,'Pós Implantação'!H261),AVERAGE('Pré Implantação'!E261,'Pré Implantação'!H261)),"")</f>
        <v/>
      </c>
      <c r="D261" s="34" t="str">
        <f>IFERROR(IF('Pós Implantação'!B261="CSC Service Desk",AVERAGE('Pós Implantação'!D261,'Pós Implantação'!L261,'Pós Implantação'!F261),AVERAGE('Pós Implantação'!F261)),"")</f>
        <v/>
      </c>
      <c r="E261" s="34" t="str">
        <f>IFERROR(IF('Pós Implantação'!B261="CSC NOC",AVERAGE('Pós Implantação'!D261,'Pós Implantação'!L261,'Pós Implantação'!G261),AVERAGE('Pós Implantação'!G261)),"")</f>
        <v/>
      </c>
      <c r="F261" s="34" t="str">
        <f>IFERROR(IF('Pós Implantação'!B261="CSE Gravadores",AVERAGE('Pós Implantação'!D261,'Pós Implantação'!L261,'Pós Implantação'!I261),AVERAGE('Pós Implantação'!I261)),"")</f>
        <v/>
      </c>
      <c r="G261" s="34" t="str">
        <f>IFERROR(IF('Pós Implantação'!B261="CSC",AVERAGE('Pós Implantação'!D261,'Pós Implantação'!L261,'Pós Implantação'!J261),AVERAGE('Pós Implantação'!J261)),"")</f>
        <v/>
      </c>
      <c r="H261" s="34" t="str">
        <f>IFERROR(IF('Pós Implantação'!B261="Operações \ Negócio",AVERAGE('Pós Implantação'!D261,'Pós Implantação'!L261,'Pós Implantação'!K261),AVERAGE('Pós Implantação'!K261)),"")</f>
        <v/>
      </c>
      <c r="I261" s="34" t="str">
        <f>IFERROR(IF('Pós Implantação'!B261="Projetos",AVERAGE('Pós Implantação'!D261,'Pós Implantação'!L261,'Pós Implantação'!M261),AVERAGE('Pós Implantação'!M261)),"")</f>
        <v/>
      </c>
      <c r="J261" s="34" t="str">
        <f>IFERROR(IF('Pós Implantação'!B261="Engenharia",AVERAGE('Pós Implantação'!D261,'Pós Implantação'!L261,'Pós Implantação'!N261),AVERAGE('Pós Implantação'!N261)),"")</f>
        <v/>
      </c>
      <c r="K261" s="34" t="str">
        <f>IFERROR(IF('Pós Implantação'!B261="URA",AVERAGE('Pós Implantação'!D261,'Pós Implantação'!L261),""),"")</f>
        <v/>
      </c>
      <c r="L261" s="34" t="str">
        <f>IFERROR(IF('Pós Implantação'!B261="CSE Microsoft",AVERAGE('Pós Implantação'!D261,'Pós Implantação'!L261),""),"")</f>
        <v/>
      </c>
      <c r="M261" s="34" t="str">
        <f>IFERROR(IF('Pós Implantação'!B261="CSE Telecom",AVERAGE('Pós Implantação'!D261,'Pós Implantação'!L261),""),"")</f>
        <v/>
      </c>
      <c r="N261" s="34" t="str">
        <f>IFERROR(IF('Pós Implantação'!B261="Site Suporte de Campo",AVERAGE('Pós Implantação'!D261,'Pós Implantação'!L261),""),"")</f>
        <v/>
      </c>
      <c r="O261" s="49" t="str">
        <f>IFERROR(IF('Pós Implantação'!B261="Infraestrutura",AVERAGE('Pós Implantação'!D261,'Pós Implantação'!L261),""),"")</f>
        <v/>
      </c>
    </row>
    <row r="262" spans="1:15" x14ac:dyDescent="0.3">
      <c r="A262" s="33">
        <f>'Pré Implantação'!A262</f>
        <v>0</v>
      </c>
      <c r="B262" s="36" t="str">
        <f>'Pós Implantação'!C262</f>
        <v>0</v>
      </c>
      <c r="C262" s="34" t="str">
        <f>IFERROR(IF('Pré Implantação'!B262="Produção TI",AVERAGE('Pós Implantação'!D262,'Pós Implantação'!E262,'Pós Implantação'!L262,'Pós Implantação'!H262),AVERAGE('Pré Implantação'!E262,'Pré Implantação'!H262)),"")</f>
        <v/>
      </c>
      <c r="D262" s="34" t="str">
        <f>IFERROR(IF('Pós Implantação'!B262="CSC Service Desk",AVERAGE('Pós Implantação'!D262,'Pós Implantação'!L262,'Pós Implantação'!F262),AVERAGE('Pós Implantação'!F262)),"")</f>
        <v/>
      </c>
      <c r="E262" s="34" t="str">
        <f>IFERROR(IF('Pós Implantação'!B262="CSC NOC",AVERAGE('Pós Implantação'!D262,'Pós Implantação'!L262,'Pós Implantação'!G262),AVERAGE('Pós Implantação'!G262)),"")</f>
        <v/>
      </c>
      <c r="F262" s="34" t="str">
        <f>IFERROR(IF('Pós Implantação'!B262="CSE Gravadores",AVERAGE('Pós Implantação'!D262,'Pós Implantação'!L262,'Pós Implantação'!I262),AVERAGE('Pós Implantação'!I262)),"")</f>
        <v/>
      </c>
      <c r="G262" s="34" t="str">
        <f>IFERROR(IF('Pós Implantação'!B262="CSC",AVERAGE('Pós Implantação'!D262,'Pós Implantação'!L262,'Pós Implantação'!J262),AVERAGE('Pós Implantação'!J262)),"")</f>
        <v/>
      </c>
      <c r="H262" s="34" t="str">
        <f>IFERROR(IF('Pós Implantação'!B262="Operações \ Negócio",AVERAGE('Pós Implantação'!D262,'Pós Implantação'!L262,'Pós Implantação'!K262),AVERAGE('Pós Implantação'!K262)),"")</f>
        <v/>
      </c>
      <c r="I262" s="34" t="str">
        <f>IFERROR(IF('Pós Implantação'!B262="Projetos",AVERAGE('Pós Implantação'!D262,'Pós Implantação'!L262,'Pós Implantação'!M262),AVERAGE('Pós Implantação'!M262)),"")</f>
        <v/>
      </c>
      <c r="J262" s="34" t="str">
        <f>IFERROR(IF('Pós Implantação'!B262="Engenharia",AVERAGE('Pós Implantação'!D262,'Pós Implantação'!L262,'Pós Implantação'!N262),AVERAGE('Pós Implantação'!N262)),"")</f>
        <v/>
      </c>
      <c r="K262" s="34" t="str">
        <f>IFERROR(IF('Pós Implantação'!B262="URA",AVERAGE('Pós Implantação'!D262,'Pós Implantação'!L262),""),"")</f>
        <v/>
      </c>
      <c r="L262" s="34" t="str">
        <f>IFERROR(IF('Pós Implantação'!B262="CSE Microsoft",AVERAGE('Pós Implantação'!D262,'Pós Implantação'!L262),""),"")</f>
        <v/>
      </c>
      <c r="M262" s="34" t="str">
        <f>IFERROR(IF('Pós Implantação'!B262="CSE Telecom",AVERAGE('Pós Implantação'!D262,'Pós Implantação'!L262),""),"")</f>
        <v/>
      </c>
      <c r="N262" s="34" t="str">
        <f>IFERROR(IF('Pós Implantação'!B262="Site Suporte de Campo",AVERAGE('Pós Implantação'!D262,'Pós Implantação'!L262),""),"")</f>
        <v/>
      </c>
      <c r="O262" s="49" t="str">
        <f>IFERROR(IF('Pós Implantação'!B262="Infraestrutura",AVERAGE('Pós Implantação'!D262,'Pós Implantação'!L262),""),"")</f>
        <v/>
      </c>
    </row>
    <row r="263" spans="1:15" x14ac:dyDescent="0.3">
      <c r="A263" s="33">
        <f>'Pré Implantação'!A263</f>
        <v>0</v>
      </c>
      <c r="B263" s="36" t="str">
        <f>'Pós Implantação'!C263</f>
        <v>0</v>
      </c>
      <c r="C263" s="34" t="str">
        <f>IFERROR(IF('Pré Implantação'!B263="Produção TI",AVERAGE('Pós Implantação'!D263,'Pós Implantação'!E263,'Pós Implantação'!L263,'Pós Implantação'!H263),AVERAGE('Pré Implantação'!E263,'Pré Implantação'!H263)),"")</f>
        <v/>
      </c>
      <c r="D263" s="34" t="str">
        <f>IFERROR(IF('Pós Implantação'!B263="CSC Service Desk",AVERAGE('Pós Implantação'!D263,'Pós Implantação'!L263,'Pós Implantação'!F263),AVERAGE('Pós Implantação'!F263)),"")</f>
        <v/>
      </c>
      <c r="E263" s="34" t="str">
        <f>IFERROR(IF('Pós Implantação'!B263="CSC NOC",AVERAGE('Pós Implantação'!D263,'Pós Implantação'!L263,'Pós Implantação'!G263),AVERAGE('Pós Implantação'!G263)),"")</f>
        <v/>
      </c>
      <c r="F263" s="34" t="str">
        <f>IFERROR(IF('Pós Implantação'!B263="CSE Gravadores",AVERAGE('Pós Implantação'!D263,'Pós Implantação'!L263,'Pós Implantação'!I263),AVERAGE('Pós Implantação'!I263)),"")</f>
        <v/>
      </c>
      <c r="G263" s="34" t="str">
        <f>IFERROR(IF('Pós Implantação'!B263="CSC",AVERAGE('Pós Implantação'!D263,'Pós Implantação'!L263,'Pós Implantação'!J263),AVERAGE('Pós Implantação'!J263)),"")</f>
        <v/>
      </c>
      <c r="H263" s="34" t="str">
        <f>IFERROR(IF('Pós Implantação'!B263="Operações \ Negócio",AVERAGE('Pós Implantação'!D263,'Pós Implantação'!L263,'Pós Implantação'!K263),AVERAGE('Pós Implantação'!K263)),"")</f>
        <v/>
      </c>
      <c r="I263" s="34" t="str">
        <f>IFERROR(IF('Pós Implantação'!B263="Projetos",AVERAGE('Pós Implantação'!D263,'Pós Implantação'!L263,'Pós Implantação'!M263),AVERAGE('Pós Implantação'!M263)),"")</f>
        <v/>
      </c>
      <c r="J263" s="34" t="str">
        <f>IFERROR(IF('Pós Implantação'!B263="Engenharia",AVERAGE('Pós Implantação'!D263,'Pós Implantação'!L263,'Pós Implantação'!N263),AVERAGE('Pós Implantação'!N263)),"")</f>
        <v/>
      </c>
      <c r="K263" s="34" t="str">
        <f>IFERROR(IF('Pós Implantação'!B263="URA",AVERAGE('Pós Implantação'!D263,'Pós Implantação'!L263),""),"")</f>
        <v/>
      </c>
      <c r="L263" s="34" t="str">
        <f>IFERROR(IF('Pós Implantação'!B263="CSE Microsoft",AVERAGE('Pós Implantação'!D263,'Pós Implantação'!L263),""),"")</f>
        <v/>
      </c>
      <c r="M263" s="34" t="str">
        <f>IFERROR(IF('Pós Implantação'!B263="CSE Telecom",AVERAGE('Pós Implantação'!D263,'Pós Implantação'!L263),""),"")</f>
        <v/>
      </c>
      <c r="N263" s="34" t="str">
        <f>IFERROR(IF('Pós Implantação'!B263="Site Suporte de Campo",AVERAGE('Pós Implantação'!D263,'Pós Implantação'!L263),""),"")</f>
        <v/>
      </c>
      <c r="O263" s="49" t="str">
        <f>IFERROR(IF('Pós Implantação'!B263="Infraestrutura",AVERAGE('Pós Implantação'!D263,'Pós Implantação'!L263),""),"")</f>
        <v/>
      </c>
    </row>
    <row r="264" spans="1:15" x14ac:dyDescent="0.3">
      <c r="A264" s="33">
        <f>'Pré Implantação'!A264</f>
        <v>0</v>
      </c>
      <c r="B264" s="36" t="str">
        <f>'Pós Implantação'!C264</f>
        <v>0</v>
      </c>
      <c r="C264" s="34" t="str">
        <f>IFERROR(IF('Pré Implantação'!B264="Produção TI",AVERAGE('Pós Implantação'!D264,'Pós Implantação'!E264,'Pós Implantação'!L264,'Pós Implantação'!H264),AVERAGE('Pré Implantação'!E264,'Pré Implantação'!H264)),"")</f>
        <v/>
      </c>
      <c r="D264" s="34" t="str">
        <f>IFERROR(IF('Pós Implantação'!B264="CSC Service Desk",AVERAGE('Pós Implantação'!D264,'Pós Implantação'!L264,'Pós Implantação'!F264),AVERAGE('Pós Implantação'!F264)),"")</f>
        <v/>
      </c>
      <c r="E264" s="34" t="str">
        <f>IFERROR(IF('Pós Implantação'!B264="CSC NOC",AVERAGE('Pós Implantação'!D264,'Pós Implantação'!L264,'Pós Implantação'!G264),AVERAGE('Pós Implantação'!G264)),"")</f>
        <v/>
      </c>
      <c r="F264" s="34" t="str">
        <f>IFERROR(IF('Pós Implantação'!B264="CSE Gravadores",AVERAGE('Pós Implantação'!D264,'Pós Implantação'!L264,'Pós Implantação'!I264),AVERAGE('Pós Implantação'!I264)),"")</f>
        <v/>
      </c>
      <c r="G264" s="34" t="str">
        <f>IFERROR(IF('Pós Implantação'!B264="CSC",AVERAGE('Pós Implantação'!D264,'Pós Implantação'!L264,'Pós Implantação'!J264),AVERAGE('Pós Implantação'!J264)),"")</f>
        <v/>
      </c>
      <c r="H264" s="34" t="str">
        <f>IFERROR(IF('Pós Implantação'!B264="Operações \ Negócio",AVERAGE('Pós Implantação'!D264,'Pós Implantação'!L264,'Pós Implantação'!K264),AVERAGE('Pós Implantação'!K264)),"")</f>
        <v/>
      </c>
      <c r="I264" s="34" t="str">
        <f>IFERROR(IF('Pós Implantação'!B264="Projetos",AVERAGE('Pós Implantação'!D264,'Pós Implantação'!L264,'Pós Implantação'!M264),AVERAGE('Pós Implantação'!M264)),"")</f>
        <v/>
      </c>
      <c r="J264" s="34" t="str">
        <f>IFERROR(IF('Pós Implantação'!B264="Engenharia",AVERAGE('Pós Implantação'!D264,'Pós Implantação'!L264,'Pós Implantação'!N264),AVERAGE('Pós Implantação'!N264)),"")</f>
        <v/>
      </c>
      <c r="K264" s="34" t="str">
        <f>IFERROR(IF('Pós Implantação'!B264="URA",AVERAGE('Pós Implantação'!D264,'Pós Implantação'!L264),""),"")</f>
        <v/>
      </c>
      <c r="L264" s="34" t="str">
        <f>IFERROR(IF('Pós Implantação'!B264="CSE Microsoft",AVERAGE('Pós Implantação'!D264,'Pós Implantação'!L264),""),"")</f>
        <v/>
      </c>
      <c r="M264" s="34" t="str">
        <f>IFERROR(IF('Pós Implantação'!B264="CSE Telecom",AVERAGE('Pós Implantação'!D264,'Pós Implantação'!L264),""),"")</f>
        <v/>
      </c>
      <c r="N264" s="34" t="str">
        <f>IFERROR(IF('Pós Implantação'!B264="Site Suporte de Campo",AVERAGE('Pós Implantação'!D264,'Pós Implantação'!L264),""),"")</f>
        <v/>
      </c>
      <c r="O264" s="49" t="str">
        <f>IFERROR(IF('Pós Implantação'!B264="Infraestrutura",AVERAGE('Pós Implantação'!D264,'Pós Implantação'!L264),""),"")</f>
        <v/>
      </c>
    </row>
    <row r="265" spans="1:15" x14ac:dyDescent="0.3">
      <c r="A265" s="33">
        <f>'Pré Implantação'!A265</f>
        <v>0</v>
      </c>
      <c r="B265" s="36" t="str">
        <f>'Pós Implantação'!C265</f>
        <v>0</v>
      </c>
      <c r="C265" s="34" t="str">
        <f>IFERROR(IF('Pré Implantação'!B265="Produção TI",AVERAGE('Pós Implantação'!D265,'Pós Implantação'!E265,'Pós Implantação'!L265,'Pós Implantação'!H265),AVERAGE('Pré Implantação'!E265,'Pré Implantação'!H265)),"")</f>
        <v/>
      </c>
      <c r="D265" s="34" t="str">
        <f>IFERROR(IF('Pós Implantação'!B265="CSC Service Desk",AVERAGE('Pós Implantação'!D265,'Pós Implantação'!L265,'Pós Implantação'!F265),AVERAGE('Pós Implantação'!F265)),"")</f>
        <v/>
      </c>
      <c r="E265" s="34" t="str">
        <f>IFERROR(IF('Pós Implantação'!B265="CSC NOC",AVERAGE('Pós Implantação'!D265,'Pós Implantação'!L265,'Pós Implantação'!G265),AVERAGE('Pós Implantação'!G265)),"")</f>
        <v/>
      </c>
      <c r="F265" s="34" t="str">
        <f>IFERROR(IF('Pós Implantação'!B265="CSE Gravadores",AVERAGE('Pós Implantação'!D265,'Pós Implantação'!L265,'Pós Implantação'!I265),AVERAGE('Pós Implantação'!I265)),"")</f>
        <v/>
      </c>
      <c r="G265" s="34" t="str">
        <f>IFERROR(IF('Pós Implantação'!B265="CSC",AVERAGE('Pós Implantação'!D265,'Pós Implantação'!L265,'Pós Implantação'!J265),AVERAGE('Pós Implantação'!J265)),"")</f>
        <v/>
      </c>
      <c r="H265" s="34" t="str">
        <f>IFERROR(IF('Pós Implantação'!B265="Operações \ Negócio",AVERAGE('Pós Implantação'!D265,'Pós Implantação'!L265,'Pós Implantação'!K265),AVERAGE('Pós Implantação'!K265)),"")</f>
        <v/>
      </c>
      <c r="I265" s="34" t="str">
        <f>IFERROR(IF('Pós Implantação'!B265="Projetos",AVERAGE('Pós Implantação'!D265,'Pós Implantação'!L265,'Pós Implantação'!M265),AVERAGE('Pós Implantação'!M265)),"")</f>
        <v/>
      </c>
      <c r="J265" s="34" t="str">
        <f>IFERROR(IF('Pós Implantação'!B265="Engenharia",AVERAGE('Pós Implantação'!D265,'Pós Implantação'!L265,'Pós Implantação'!N265),AVERAGE('Pós Implantação'!N265)),"")</f>
        <v/>
      </c>
      <c r="K265" s="34" t="str">
        <f>IFERROR(IF('Pós Implantação'!B265="URA",AVERAGE('Pós Implantação'!D265,'Pós Implantação'!L265),""),"")</f>
        <v/>
      </c>
      <c r="L265" s="34" t="str">
        <f>IFERROR(IF('Pós Implantação'!B265="CSE Microsoft",AVERAGE('Pós Implantação'!D265,'Pós Implantação'!L265),""),"")</f>
        <v/>
      </c>
      <c r="M265" s="34" t="str">
        <f>IFERROR(IF('Pós Implantação'!B265="CSE Telecom",AVERAGE('Pós Implantação'!D265,'Pós Implantação'!L265),""),"")</f>
        <v/>
      </c>
      <c r="N265" s="34" t="str">
        <f>IFERROR(IF('Pós Implantação'!B265="Site Suporte de Campo",AVERAGE('Pós Implantação'!D265,'Pós Implantação'!L265),""),"")</f>
        <v/>
      </c>
      <c r="O265" s="49" t="str">
        <f>IFERROR(IF('Pós Implantação'!B265="Infraestrutura",AVERAGE('Pós Implantação'!D265,'Pós Implantação'!L265),""),"")</f>
        <v/>
      </c>
    </row>
    <row r="266" spans="1:15" x14ac:dyDescent="0.3">
      <c r="A266" s="33">
        <f>'Pré Implantação'!A266</f>
        <v>0</v>
      </c>
      <c r="B266" s="36" t="str">
        <f>'Pós Implantação'!C266</f>
        <v>0</v>
      </c>
      <c r="C266" s="34" t="str">
        <f>IFERROR(IF('Pré Implantação'!B266="Produção TI",AVERAGE('Pós Implantação'!D266,'Pós Implantação'!E266,'Pós Implantação'!L266,'Pós Implantação'!H266),AVERAGE('Pré Implantação'!E266,'Pré Implantação'!H266)),"")</f>
        <v/>
      </c>
      <c r="D266" s="34" t="str">
        <f>IFERROR(IF('Pós Implantação'!B266="CSC Service Desk",AVERAGE('Pós Implantação'!D266,'Pós Implantação'!L266,'Pós Implantação'!F266),AVERAGE('Pós Implantação'!F266)),"")</f>
        <v/>
      </c>
      <c r="E266" s="34" t="str">
        <f>IFERROR(IF('Pós Implantação'!B266="CSC NOC",AVERAGE('Pós Implantação'!D266,'Pós Implantação'!L266,'Pós Implantação'!G266),AVERAGE('Pós Implantação'!G266)),"")</f>
        <v/>
      </c>
      <c r="F266" s="34" t="str">
        <f>IFERROR(IF('Pós Implantação'!B266="CSE Gravadores",AVERAGE('Pós Implantação'!D266,'Pós Implantação'!L266,'Pós Implantação'!I266),AVERAGE('Pós Implantação'!I266)),"")</f>
        <v/>
      </c>
      <c r="G266" s="34" t="str">
        <f>IFERROR(IF('Pós Implantação'!B266="CSC",AVERAGE('Pós Implantação'!D266,'Pós Implantação'!L266,'Pós Implantação'!J266),AVERAGE('Pós Implantação'!J266)),"")</f>
        <v/>
      </c>
      <c r="H266" s="34" t="str">
        <f>IFERROR(IF('Pós Implantação'!B266="Operações \ Negócio",AVERAGE('Pós Implantação'!D266,'Pós Implantação'!L266,'Pós Implantação'!K266),AVERAGE('Pós Implantação'!K266)),"")</f>
        <v/>
      </c>
      <c r="I266" s="34" t="str">
        <f>IFERROR(IF('Pós Implantação'!B266="Projetos",AVERAGE('Pós Implantação'!D266,'Pós Implantação'!L266,'Pós Implantação'!M266),AVERAGE('Pós Implantação'!M266)),"")</f>
        <v/>
      </c>
      <c r="J266" s="34" t="str">
        <f>IFERROR(IF('Pós Implantação'!B266="Engenharia",AVERAGE('Pós Implantação'!D266,'Pós Implantação'!L266,'Pós Implantação'!N266),AVERAGE('Pós Implantação'!N266)),"")</f>
        <v/>
      </c>
      <c r="K266" s="34" t="str">
        <f>IFERROR(IF('Pós Implantação'!B266="URA",AVERAGE('Pós Implantação'!D266,'Pós Implantação'!L266),""),"")</f>
        <v/>
      </c>
      <c r="L266" s="34" t="str">
        <f>IFERROR(IF('Pós Implantação'!B266="CSE Microsoft",AVERAGE('Pós Implantação'!D266,'Pós Implantação'!L266),""),"")</f>
        <v/>
      </c>
      <c r="M266" s="34" t="str">
        <f>IFERROR(IF('Pós Implantação'!B266="CSE Telecom",AVERAGE('Pós Implantação'!D266,'Pós Implantação'!L266),""),"")</f>
        <v/>
      </c>
      <c r="N266" s="34" t="str">
        <f>IFERROR(IF('Pós Implantação'!B266="Site Suporte de Campo",AVERAGE('Pós Implantação'!D266,'Pós Implantação'!L266),""),"")</f>
        <v/>
      </c>
      <c r="O266" s="49" t="str">
        <f>IFERROR(IF('Pós Implantação'!B266="Infraestrutura",AVERAGE('Pós Implantação'!D266,'Pós Implantação'!L266),""),"")</f>
        <v/>
      </c>
    </row>
    <row r="267" spans="1:15" x14ac:dyDescent="0.3">
      <c r="A267" s="33">
        <f>'Pré Implantação'!A267</f>
        <v>0</v>
      </c>
      <c r="B267" s="36" t="str">
        <f>'Pós Implantação'!C267</f>
        <v>0</v>
      </c>
      <c r="C267" s="34" t="str">
        <f>IFERROR(IF('Pré Implantação'!B267="Produção TI",AVERAGE('Pós Implantação'!D267,'Pós Implantação'!E267,'Pós Implantação'!L267,'Pós Implantação'!H267),AVERAGE('Pré Implantação'!E267,'Pré Implantação'!H267)),"")</f>
        <v/>
      </c>
      <c r="D267" s="34" t="str">
        <f>IFERROR(IF('Pós Implantação'!B267="CSC Service Desk",AVERAGE('Pós Implantação'!D267,'Pós Implantação'!L267,'Pós Implantação'!F267),AVERAGE('Pós Implantação'!F267)),"")</f>
        <v/>
      </c>
      <c r="E267" s="34" t="str">
        <f>IFERROR(IF('Pós Implantação'!B267="CSC NOC",AVERAGE('Pós Implantação'!D267,'Pós Implantação'!L267,'Pós Implantação'!G267),AVERAGE('Pós Implantação'!G267)),"")</f>
        <v/>
      </c>
      <c r="F267" s="34" t="str">
        <f>IFERROR(IF('Pós Implantação'!B267="CSE Gravadores",AVERAGE('Pós Implantação'!D267,'Pós Implantação'!L267,'Pós Implantação'!I267),AVERAGE('Pós Implantação'!I267)),"")</f>
        <v/>
      </c>
      <c r="G267" s="34" t="str">
        <f>IFERROR(IF('Pós Implantação'!B267="CSC",AVERAGE('Pós Implantação'!D267,'Pós Implantação'!L267,'Pós Implantação'!J267),AVERAGE('Pós Implantação'!J267)),"")</f>
        <v/>
      </c>
      <c r="H267" s="34" t="str">
        <f>IFERROR(IF('Pós Implantação'!B267="Operações \ Negócio",AVERAGE('Pós Implantação'!D267,'Pós Implantação'!L267,'Pós Implantação'!K267),AVERAGE('Pós Implantação'!K267)),"")</f>
        <v/>
      </c>
      <c r="I267" s="34" t="str">
        <f>IFERROR(IF('Pós Implantação'!B267="Projetos",AVERAGE('Pós Implantação'!D267,'Pós Implantação'!L267,'Pós Implantação'!M267),AVERAGE('Pós Implantação'!M267)),"")</f>
        <v/>
      </c>
      <c r="J267" s="34" t="str">
        <f>IFERROR(IF('Pós Implantação'!B267="Engenharia",AVERAGE('Pós Implantação'!D267,'Pós Implantação'!L267,'Pós Implantação'!N267),AVERAGE('Pós Implantação'!N267)),"")</f>
        <v/>
      </c>
      <c r="K267" s="34" t="str">
        <f>IFERROR(IF('Pós Implantação'!B267="URA",AVERAGE('Pós Implantação'!D267,'Pós Implantação'!L267),""),"")</f>
        <v/>
      </c>
      <c r="L267" s="34" t="str">
        <f>IFERROR(IF('Pós Implantação'!B267="CSE Microsoft",AVERAGE('Pós Implantação'!D267,'Pós Implantação'!L267),""),"")</f>
        <v/>
      </c>
      <c r="M267" s="34" t="str">
        <f>IFERROR(IF('Pós Implantação'!B267="CSE Telecom",AVERAGE('Pós Implantação'!D267,'Pós Implantação'!L267),""),"")</f>
        <v/>
      </c>
      <c r="N267" s="34" t="str">
        <f>IFERROR(IF('Pós Implantação'!B267="Site Suporte de Campo",AVERAGE('Pós Implantação'!D267,'Pós Implantação'!L267),""),"")</f>
        <v/>
      </c>
      <c r="O267" s="49" t="str">
        <f>IFERROR(IF('Pós Implantação'!B267="Infraestrutura",AVERAGE('Pós Implantação'!D267,'Pós Implantação'!L267),""),"")</f>
        <v/>
      </c>
    </row>
    <row r="268" spans="1:15" x14ac:dyDescent="0.3">
      <c r="A268" s="33">
        <f>'Pré Implantação'!A268</f>
        <v>0</v>
      </c>
      <c r="B268" s="36" t="str">
        <f>'Pós Implantação'!C268</f>
        <v>0</v>
      </c>
      <c r="C268" s="34" t="str">
        <f>IFERROR(IF('Pré Implantação'!B268="Produção TI",AVERAGE('Pós Implantação'!D268,'Pós Implantação'!E268,'Pós Implantação'!L268,'Pós Implantação'!H268),AVERAGE('Pré Implantação'!E268,'Pré Implantação'!H268)),"")</f>
        <v/>
      </c>
      <c r="D268" s="34" t="str">
        <f>IFERROR(IF('Pós Implantação'!B268="CSC Service Desk",AVERAGE('Pós Implantação'!D268,'Pós Implantação'!L268,'Pós Implantação'!F268),AVERAGE('Pós Implantação'!F268)),"")</f>
        <v/>
      </c>
      <c r="E268" s="34" t="str">
        <f>IFERROR(IF('Pós Implantação'!B268="CSC NOC",AVERAGE('Pós Implantação'!D268,'Pós Implantação'!L268,'Pós Implantação'!G268),AVERAGE('Pós Implantação'!G268)),"")</f>
        <v/>
      </c>
      <c r="F268" s="34" t="str">
        <f>IFERROR(IF('Pós Implantação'!B268="CSE Gravadores",AVERAGE('Pós Implantação'!D268,'Pós Implantação'!L268,'Pós Implantação'!I268),AVERAGE('Pós Implantação'!I268)),"")</f>
        <v/>
      </c>
      <c r="G268" s="34" t="str">
        <f>IFERROR(IF('Pós Implantação'!B268="CSC",AVERAGE('Pós Implantação'!D268,'Pós Implantação'!L268,'Pós Implantação'!J268),AVERAGE('Pós Implantação'!J268)),"")</f>
        <v/>
      </c>
      <c r="H268" s="34" t="str">
        <f>IFERROR(IF('Pós Implantação'!B268="Operações \ Negócio",AVERAGE('Pós Implantação'!D268,'Pós Implantação'!L268,'Pós Implantação'!K268),AVERAGE('Pós Implantação'!K268)),"")</f>
        <v/>
      </c>
      <c r="I268" s="34" t="str">
        <f>IFERROR(IF('Pós Implantação'!B268="Projetos",AVERAGE('Pós Implantação'!D268,'Pós Implantação'!L268,'Pós Implantação'!M268),AVERAGE('Pós Implantação'!M268)),"")</f>
        <v/>
      </c>
      <c r="J268" s="34" t="str">
        <f>IFERROR(IF('Pós Implantação'!B268="Engenharia",AVERAGE('Pós Implantação'!D268,'Pós Implantação'!L268,'Pós Implantação'!N268),AVERAGE('Pós Implantação'!N268)),"")</f>
        <v/>
      </c>
      <c r="K268" s="34" t="str">
        <f>IFERROR(IF('Pós Implantação'!B268="URA",AVERAGE('Pós Implantação'!D268,'Pós Implantação'!L268),""),"")</f>
        <v/>
      </c>
      <c r="L268" s="34" t="str">
        <f>IFERROR(IF('Pós Implantação'!B268="CSE Microsoft",AVERAGE('Pós Implantação'!D268,'Pós Implantação'!L268),""),"")</f>
        <v/>
      </c>
      <c r="M268" s="34" t="str">
        <f>IFERROR(IF('Pós Implantação'!B268="CSE Telecom",AVERAGE('Pós Implantação'!D268,'Pós Implantação'!L268),""),"")</f>
        <v/>
      </c>
      <c r="N268" s="34" t="str">
        <f>IFERROR(IF('Pós Implantação'!B268="Site Suporte de Campo",AVERAGE('Pós Implantação'!D268,'Pós Implantação'!L268),""),"")</f>
        <v/>
      </c>
      <c r="O268" s="49" t="str">
        <f>IFERROR(IF('Pós Implantação'!B268="Infraestrutura",AVERAGE('Pós Implantação'!D268,'Pós Implantação'!L268),""),"")</f>
        <v/>
      </c>
    </row>
    <row r="269" spans="1:15" x14ac:dyDescent="0.3">
      <c r="A269" s="33">
        <f>'Pré Implantação'!A269</f>
        <v>0</v>
      </c>
      <c r="B269" s="36" t="str">
        <f>'Pós Implantação'!C269</f>
        <v>0</v>
      </c>
      <c r="C269" s="34" t="str">
        <f>IFERROR(IF('Pré Implantação'!B269="Produção TI",AVERAGE('Pós Implantação'!D269,'Pós Implantação'!E269,'Pós Implantação'!L269,'Pós Implantação'!H269),AVERAGE('Pré Implantação'!E269,'Pré Implantação'!H269)),"")</f>
        <v/>
      </c>
      <c r="D269" s="34" t="str">
        <f>IFERROR(IF('Pós Implantação'!B269="CSC Service Desk",AVERAGE('Pós Implantação'!D269,'Pós Implantação'!L269,'Pós Implantação'!F269),AVERAGE('Pós Implantação'!F269)),"")</f>
        <v/>
      </c>
      <c r="E269" s="34" t="str">
        <f>IFERROR(IF('Pós Implantação'!B269="CSC NOC",AVERAGE('Pós Implantação'!D269,'Pós Implantação'!L269,'Pós Implantação'!G269),AVERAGE('Pós Implantação'!G269)),"")</f>
        <v/>
      </c>
      <c r="F269" s="34" t="str">
        <f>IFERROR(IF('Pós Implantação'!B269="CSE Gravadores",AVERAGE('Pós Implantação'!D269,'Pós Implantação'!L269,'Pós Implantação'!I269),AVERAGE('Pós Implantação'!I269)),"")</f>
        <v/>
      </c>
      <c r="G269" s="34" t="str">
        <f>IFERROR(IF('Pós Implantação'!B269="CSC",AVERAGE('Pós Implantação'!D269,'Pós Implantação'!L269,'Pós Implantação'!J269),AVERAGE('Pós Implantação'!J269)),"")</f>
        <v/>
      </c>
      <c r="H269" s="34" t="str">
        <f>IFERROR(IF('Pós Implantação'!B269="Operações \ Negócio",AVERAGE('Pós Implantação'!D269,'Pós Implantação'!L269,'Pós Implantação'!K269),AVERAGE('Pós Implantação'!K269)),"")</f>
        <v/>
      </c>
      <c r="I269" s="34" t="str">
        <f>IFERROR(IF('Pós Implantação'!B269="Projetos",AVERAGE('Pós Implantação'!D269,'Pós Implantação'!L269,'Pós Implantação'!M269),AVERAGE('Pós Implantação'!M269)),"")</f>
        <v/>
      </c>
      <c r="J269" s="34" t="str">
        <f>IFERROR(IF('Pós Implantação'!B269="Engenharia",AVERAGE('Pós Implantação'!D269,'Pós Implantação'!L269,'Pós Implantação'!N269),AVERAGE('Pós Implantação'!N269)),"")</f>
        <v/>
      </c>
      <c r="K269" s="34" t="str">
        <f>IFERROR(IF('Pós Implantação'!B269="URA",AVERAGE('Pós Implantação'!D269,'Pós Implantação'!L269),""),"")</f>
        <v/>
      </c>
      <c r="L269" s="34" t="str">
        <f>IFERROR(IF('Pós Implantação'!B269="CSE Microsoft",AVERAGE('Pós Implantação'!D269,'Pós Implantação'!L269),""),"")</f>
        <v/>
      </c>
      <c r="M269" s="34" t="str">
        <f>IFERROR(IF('Pós Implantação'!B269="CSE Telecom",AVERAGE('Pós Implantação'!D269,'Pós Implantação'!L269),""),"")</f>
        <v/>
      </c>
      <c r="N269" s="34" t="str">
        <f>IFERROR(IF('Pós Implantação'!B269="Site Suporte de Campo",AVERAGE('Pós Implantação'!D269,'Pós Implantação'!L269),""),"")</f>
        <v/>
      </c>
      <c r="O269" s="49" t="str">
        <f>IFERROR(IF('Pós Implantação'!B269="Infraestrutura",AVERAGE('Pós Implantação'!D269,'Pós Implantação'!L269),""),"")</f>
        <v/>
      </c>
    </row>
    <row r="270" spans="1:15" x14ac:dyDescent="0.3">
      <c r="A270" s="33">
        <f>'Pré Implantação'!A270</f>
        <v>0</v>
      </c>
      <c r="B270" s="36" t="str">
        <f>'Pós Implantação'!C270</f>
        <v>0</v>
      </c>
      <c r="C270" s="34" t="str">
        <f>IFERROR(IF('Pré Implantação'!B270="Produção TI",AVERAGE('Pós Implantação'!D270,'Pós Implantação'!E270,'Pós Implantação'!L270,'Pós Implantação'!H270),AVERAGE('Pré Implantação'!E270,'Pré Implantação'!H270)),"")</f>
        <v/>
      </c>
      <c r="D270" s="34" t="str">
        <f>IFERROR(IF('Pós Implantação'!B270="CSC Service Desk",AVERAGE('Pós Implantação'!D270,'Pós Implantação'!L270,'Pós Implantação'!F270),AVERAGE('Pós Implantação'!F270)),"")</f>
        <v/>
      </c>
      <c r="E270" s="34" t="str">
        <f>IFERROR(IF('Pós Implantação'!B270="CSC NOC",AVERAGE('Pós Implantação'!D270,'Pós Implantação'!L270,'Pós Implantação'!G270),AVERAGE('Pós Implantação'!G270)),"")</f>
        <v/>
      </c>
      <c r="F270" s="34" t="str">
        <f>IFERROR(IF('Pós Implantação'!B270="CSE Gravadores",AVERAGE('Pós Implantação'!D270,'Pós Implantação'!L270,'Pós Implantação'!I270),AVERAGE('Pós Implantação'!I270)),"")</f>
        <v/>
      </c>
      <c r="G270" s="34" t="str">
        <f>IFERROR(IF('Pós Implantação'!B270="CSC",AVERAGE('Pós Implantação'!D270,'Pós Implantação'!L270,'Pós Implantação'!J270),AVERAGE('Pós Implantação'!J270)),"")</f>
        <v/>
      </c>
      <c r="H270" s="34" t="str">
        <f>IFERROR(IF('Pós Implantação'!B270="Operações \ Negócio",AVERAGE('Pós Implantação'!D270,'Pós Implantação'!L270,'Pós Implantação'!K270),AVERAGE('Pós Implantação'!K270)),"")</f>
        <v/>
      </c>
      <c r="I270" s="34" t="str">
        <f>IFERROR(IF('Pós Implantação'!B270="Projetos",AVERAGE('Pós Implantação'!D270,'Pós Implantação'!L270,'Pós Implantação'!M270),AVERAGE('Pós Implantação'!M270)),"")</f>
        <v/>
      </c>
      <c r="J270" s="34" t="str">
        <f>IFERROR(IF('Pós Implantação'!B270="Engenharia",AVERAGE('Pós Implantação'!D270,'Pós Implantação'!L270,'Pós Implantação'!N270),AVERAGE('Pós Implantação'!N270)),"")</f>
        <v/>
      </c>
      <c r="K270" s="34" t="str">
        <f>IFERROR(IF('Pós Implantação'!B270="URA",AVERAGE('Pós Implantação'!D270,'Pós Implantação'!L270),""),"")</f>
        <v/>
      </c>
      <c r="L270" s="34" t="str">
        <f>IFERROR(IF('Pós Implantação'!B270="CSE Microsoft",AVERAGE('Pós Implantação'!D270,'Pós Implantação'!L270),""),"")</f>
        <v/>
      </c>
      <c r="M270" s="34" t="str">
        <f>IFERROR(IF('Pós Implantação'!B270="CSE Telecom",AVERAGE('Pós Implantação'!D270,'Pós Implantação'!L270),""),"")</f>
        <v/>
      </c>
      <c r="N270" s="34" t="str">
        <f>IFERROR(IF('Pós Implantação'!B270="Site Suporte de Campo",AVERAGE('Pós Implantação'!D270,'Pós Implantação'!L270),""),"")</f>
        <v/>
      </c>
      <c r="O270" s="49" t="str">
        <f>IFERROR(IF('Pós Implantação'!B270="Infraestrutura",AVERAGE('Pós Implantação'!D270,'Pós Implantação'!L270),""),"")</f>
        <v/>
      </c>
    </row>
    <row r="271" spans="1:15" x14ac:dyDescent="0.3">
      <c r="A271" s="33">
        <f>'Pré Implantação'!A271</f>
        <v>0</v>
      </c>
      <c r="B271" s="36" t="str">
        <f>'Pós Implantação'!C271</f>
        <v>0</v>
      </c>
      <c r="C271" s="34" t="str">
        <f>IFERROR(IF('Pré Implantação'!B271="Produção TI",AVERAGE('Pós Implantação'!D271,'Pós Implantação'!E271,'Pós Implantação'!L271,'Pós Implantação'!H271),AVERAGE('Pré Implantação'!E271,'Pré Implantação'!H271)),"")</f>
        <v/>
      </c>
      <c r="D271" s="34" t="str">
        <f>IFERROR(IF('Pós Implantação'!B271="CSC Service Desk",AVERAGE('Pós Implantação'!D271,'Pós Implantação'!L271,'Pós Implantação'!F271),AVERAGE('Pós Implantação'!F271)),"")</f>
        <v/>
      </c>
      <c r="E271" s="34" t="str">
        <f>IFERROR(IF('Pós Implantação'!B271="CSC NOC",AVERAGE('Pós Implantação'!D271,'Pós Implantação'!L271,'Pós Implantação'!G271),AVERAGE('Pós Implantação'!G271)),"")</f>
        <v/>
      </c>
      <c r="F271" s="34" t="str">
        <f>IFERROR(IF('Pós Implantação'!B271="CSE Gravadores",AVERAGE('Pós Implantação'!D271,'Pós Implantação'!L271,'Pós Implantação'!I271),AVERAGE('Pós Implantação'!I271)),"")</f>
        <v/>
      </c>
      <c r="G271" s="34" t="str">
        <f>IFERROR(IF('Pós Implantação'!B271="CSC",AVERAGE('Pós Implantação'!D271,'Pós Implantação'!L271,'Pós Implantação'!J271),AVERAGE('Pós Implantação'!J271)),"")</f>
        <v/>
      </c>
      <c r="H271" s="34" t="str">
        <f>IFERROR(IF('Pós Implantação'!B271="Operações \ Negócio",AVERAGE('Pós Implantação'!D271,'Pós Implantação'!L271,'Pós Implantação'!K271),AVERAGE('Pós Implantação'!K271)),"")</f>
        <v/>
      </c>
      <c r="I271" s="34" t="str">
        <f>IFERROR(IF('Pós Implantação'!B271="Projetos",AVERAGE('Pós Implantação'!D271,'Pós Implantação'!L271,'Pós Implantação'!M271),AVERAGE('Pós Implantação'!M271)),"")</f>
        <v/>
      </c>
      <c r="J271" s="34" t="str">
        <f>IFERROR(IF('Pós Implantação'!B271="Engenharia",AVERAGE('Pós Implantação'!D271,'Pós Implantação'!L271,'Pós Implantação'!N271),AVERAGE('Pós Implantação'!N271)),"")</f>
        <v/>
      </c>
      <c r="K271" s="34" t="str">
        <f>IFERROR(IF('Pós Implantação'!B271="URA",AVERAGE('Pós Implantação'!D271,'Pós Implantação'!L271),""),"")</f>
        <v/>
      </c>
      <c r="L271" s="34" t="str">
        <f>IFERROR(IF('Pós Implantação'!B271="CSE Microsoft",AVERAGE('Pós Implantação'!D271,'Pós Implantação'!L271),""),"")</f>
        <v/>
      </c>
      <c r="M271" s="34" t="str">
        <f>IFERROR(IF('Pós Implantação'!B271="CSE Telecom",AVERAGE('Pós Implantação'!D271,'Pós Implantação'!L271),""),"")</f>
        <v/>
      </c>
      <c r="N271" s="34" t="str">
        <f>IFERROR(IF('Pós Implantação'!B271="Site Suporte de Campo",AVERAGE('Pós Implantação'!D271,'Pós Implantação'!L271),""),"")</f>
        <v/>
      </c>
      <c r="O271" s="49" t="str">
        <f>IFERROR(IF('Pós Implantação'!B271="Infraestrutura",AVERAGE('Pós Implantação'!D271,'Pós Implantação'!L271),""),"")</f>
        <v/>
      </c>
    </row>
    <row r="272" spans="1:15" x14ac:dyDescent="0.3">
      <c r="A272" s="33">
        <f>'Pré Implantação'!A272</f>
        <v>0</v>
      </c>
      <c r="B272" s="36" t="str">
        <f>'Pós Implantação'!C272</f>
        <v>0</v>
      </c>
      <c r="C272" s="34" t="str">
        <f>IFERROR(IF('Pré Implantação'!B272="Produção TI",AVERAGE('Pós Implantação'!D272,'Pós Implantação'!E272,'Pós Implantação'!L272,'Pós Implantação'!H272),AVERAGE('Pré Implantação'!E272,'Pré Implantação'!H272)),"")</f>
        <v/>
      </c>
      <c r="D272" s="34" t="str">
        <f>IFERROR(IF('Pós Implantação'!B272="CSC Service Desk",AVERAGE('Pós Implantação'!D272,'Pós Implantação'!L272,'Pós Implantação'!F272),AVERAGE('Pós Implantação'!F272)),"")</f>
        <v/>
      </c>
      <c r="E272" s="34" t="str">
        <f>IFERROR(IF('Pós Implantação'!B272="CSC NOC",AVERAGE('Pós Implantação'!D272,'Pós Implantação'!L272,'Pós Implantação'!G272),AVERAGE('Pós Implantação'!G272)),"")</f>
        <v/>
      </c>
      <c r="F272" s="34" t="str">
        <f>IFERROR(IF('Pós Implantação'!B272="CSE Gravadores",AVERAGE('Pós Implantação'!D272,'Pós Implantação'!L272,'Pós Implantação'!I272),AVERAGE('Pós Implantação'!I272)),"")</f>
        <v/>
      </c>
      <c r="G272" s="34" t="str">
        <f>IFERROR(IF('Pós Implantação'!B272="CSC",AVERAGE('Pós Implantação'!D272,'Pós Implantação'!L272,'Pós Implantação'!J272),AVERAGE('Pós Implantação'!J272)),"")</f>
        <v/>
      </c>
      <c r="H272" s="34" t="str">
        <f>IFERROR(IF('Pós Implantação'!B272="Operações \ Negócio",AVERAGE('Pós Implantação'!D272,'Pós Implantação'!L272,'Pós Implantação'!K272),AVERAGE('Pós Implantação'!K272)),"")</f>
        <v/>
      </c>
      <c r="I272" s="34" t="str">
        <f>IFERROR(IF('Pós Implantação'!B272="Projetos",AVERAGE('Pós Implantação'!D272,'Pós Implantação'!L272,'Pós Implantação'!M272),AVERAGE('Pós Implantação'!M272)),"")</f>
        <v/>
      </c>
      <c r="J272" s="34" t="str">
        <f>IFERROR(IF('Pós Implantação'!B272="Engenharia",AVERAGE('Pós Implantação'!D272,'Pós Implantação'!L272,'Pós Implantação'!N272),AVERAGE('Pós Implantação'!N272)),"")</f>
        <v/>
      </c>
      <c r="K272" s="34" t="str">
        <f>IFERROR(IF('Pós Implantação'!B272="URA",AVERAGE('Pós Implantação'!D272,'Pós Implantação'!L272),""),"")</f>
        <v/>
      </c>
      <c r="L272" s="34" t="str">
        <f>IFERROR(IF('Pós Implantação'!B272="CSE Microsoft",AVERAGE('Pós Implantação'!D272,'Pós Implantação'!L272),""),"")</f>
        <v/>
      </c>
      <c r="M272" s="34" t="str">
        <f>IFERROR(IF('Pós Implantação'!B272="CSE Telecom",AVERAGE('Pós Implantação'!D272,'Pós Implantação'!L272),""),"")</f>
        <v/>
      </c>
      <c r="N272" s="34" t="str">
        <f>IFERROR(IF('Pós Implantação'!B272="Site Suporte de Campo",AVERAGE('Pós Implantação'!D272,'Pós Implantação'!L272),""),"")</f>
        <v/>
      </c>
      <c r="O272" s="49" t="str">
        <f>IFERROR(IF('Pós Implantação'!B272="Infraestrutura",AVERAGE('Pós Implantação'!D272,'Pós Implantação'!L272),""),"")</f>
        <v/>
      </c>
    </row>
    <row r="273" spans="1:15" x14ac:dyDescent="0.3">
      <c r="A273" s="33">
        <f>'Pré Implantação'!A273</f>
        <v>0</v>
      </c>
      <c r="B273" s="36" t="str">
        <f>'Pós Implantação'!C273</f>
        <v>0</v>
      </c>
      <c r="C273" s="34" t="str">
        <f>IFERROR(IF('Pré Implantação'!B273="Produção TI",AVERAGE('Pós Implantação'!D273,'Pós Implantação'!E273,'Pós Implantação'!L273,'Pós Implantação'!H273),AVERAGE('Pré Implantação'!E273,'Pré Implantação'!H273)),"")</f>
        <v/>
      </c>
      <c r="D273" s="34" t="str">
        <f>IFERROR(IF('Pós Implantação'!B273="CSC Service Desk",AVERAGE('Pós Implantação'!D273,'Pós Implantação'!L273,'Pós Implantação'!F273),AVERAGE('Pós Implantação'!F273)),"")</f>
        <v/>
      </c>
      <c r="E273" s="34" t="str">
        <f>IFERROR(IF('Pós Implantação'!B273="CSC NOC",AVERAGE('Pós Implantação'!D273,'Pós Implantação'!L273,'Pós Implantação'!G273),AVERAGE('Pós Implantação'!G273)),"")</f>
        <v/>
      </c>
      <c r="F273" s="34" t="str">
        <f>IFERROR(IF('Pós Implantação'!B273="CSE Gravadores",AVERAGE('Pós Implantação'!D273,'Pós Implantação'!L273,'Pós Implantação'!I273),AVERAGE('Pós Implantação'!I273)),"")</f>
        <v/>
      </c>
      <c r="G273" s="34" t="str">
        <f>IFERROR(IF('Pós Implantação'!B273="CSC",AVERAGE('Pós Implantação'!D273,'Pós Implantação'!L273,'Pós Implantação'!J273),AVERAGE('Pós Implantação'!J273)),"")</f>
        <v/>
      </c>
      <c r="H273" s="34" t="str">
        <f>IFERROR(IF('Pós Implantação'!B273="Operações \ Negócio",AVERAGE('Pós Implantação'!D273,'Pós Implantação'!L273,'Pós Implantação'!K273),AVERAGE('Pós Implantação'!K273)),"")</f>
        <v/>
      </c>
      <c r="I273" s="34" t="str">
        <f>IFERROR(IF('Pós Implantação'!B273="Projetos",AVERAGE('Pós Implantação'!D273,'Pós Implantação'!L273,'Pós Implantação'!M273),AVERAGE('Pós Implantação'!M273)),"")</f>
        <v/>
      </c>
      <c r="J273" s="34" t="str">
        <f>IFERROR(IF('Pós Implantação'!B273="Engenharia",AVERAGE('Pós Implantação'!D273,'Pós Implantação'!L273,'Pós Implantação'!N273),AVERAGE('Pós Implantação'!N273)),"")</f>
        <v/>
      </c>
      <c r="K273" s="34" t="str">
        <f>IFERROR(IF('Pós Implantação'!B273="URA",AVERAGE('Pós Implantação'!D273,'Pós Implantação'!L273),""),"")</f>
        <v/>
      </c>
      <c r="L273" s="34" t="str">
        <f>IFERROR(IF('Pós Implantação'!B273="CSE Microsoft",AVERAGE('Pós Implantação'!D273,'Pós Implantação'!L273),""),"")</f>
        <v/>
      </c>
      <c r="M273" s="34" t="str">
        <f>IFERROR(IF('Pós Implantação'!B273="CSE Telecom",AVERAGE('Pós Implantação'!D273,'Pós Implantação'!L273),""),"")</f>
        <v/>
      </c>
      <c r="N273" s="34" t="str">
        <f>IFERROR(IF('Pós Implantação'!B273="Site Suporte de Campo",AVERAGE('Pós Implantação'!D273,'Pós Implantação'!L273),""),"")</f>
        <v/>
      </c>
      <c r="O273" s="49" t="str">
        <f>IFERROR(IF('Pós Implantação'!B273="Infraestrutura",AVERAGE('Pós Implantação'!D273,'Pós Implantação'!L273),""),"")</f>
        <v/>
      </c>
    </row>
    <row r="274" spans="1:15" x14ac:dyDescent="0.3">
      <c r="A274" s="33">
        <f>'Pré Implantação'!A274</f>
        <v>0</v>
      </c>
      <c r="B274" s="36" t="str">
        <f>'Pós Implantação'!C274</f>
        <v>0</v>
      </c>
      <c r="C274" s="34" t="str">
        <f>IFERROR(IF('Pré Implantação'!B274="Produção TI",AVERAGE('Pós Implantação'!D274,'Pós Implantação'!E274,'Pós Implantação'!L274,'Pós Implantação'!H274),AVERAGE('Pré Implantação'!E274,'Pré Implantação'!H274)),"")</f>
        <v/>
      </c>
      <c r="D274" s="34" t="str">
        <f>IFERROR(IF('Pós Implantação'!B274="CSC Service Desk",AVERAGE('Pós Implantação'!D274,'Pós Implantação'!L274,'Pós Implantação'!F274),AVERAGE('Pós Implantação'!F274)),"")</f>
        <v/>
      </c>
      <c r="E274" s="34" t="str">
        <f>IFERROR(IF('Pós Implantação'!B274="CSC NOC",AVERAGE('Pós Implantação'!D274,'Pós Implantação'!L274,'Pós Implantação'!G274),AVERAGE('Pós Implantação'!G274)),"")</f>
        <v/>
      </c>
      <c r="F274" s="34" t="str">
        <f>IFERROR(IF('Pós Implantação'!B274="CSE Gravadores",AVERAGE('Pós Implantação'!D274,'Pós Implantação'!L274,'Pós Implantação'!I274),AVERAGE('Pós Implantação'!I274)),"")</f>
        <v/>
      </c>
      <c r="G274" s="34" t="str">
        <f>IFERROR(IF('Pós Implantação'!B274="CSC",AVERAGE('Pós Implantação'!D274,'Pós Implantação'!L274,'Pós Implantação'!J274),AVERAGE('Pós Implantação'!J274)),"")</f>
        <v/>
      </c>
      <c r="H274" s="34" t="str">
        <f>IFERROR(IF('Pós Implantação'!B274="Operações \ Negócio",AVERAGE('Pós Implantação'!D274,'Pós Implantação'!L274,'Pós Implantação'!K274),AVERAGE('Pós Implantação'!K274)),"")</f>
        <v/>
      </c>
      <c r="I274" s="34" t="str">
        <f>IFERROR(IF('Pós Implantação'!B274="Projetos",AVERAGE('Pós Implantação'!D274,'Pós Implantação'!L274,'Pós Implantação'!M274),AVERAGE('Pós Implantação'!M274)),"")</f>
        <v/>
      </c>
      <c r="J274" s="34" t="str">
        <f>IFERROR(IF('Pós Implantação'!B274="Engenharia",AVERAGE('Pós Implantação'!D274,'Pós Implantação'!L274,'Pós Implantação'!N274),AVERAGE('Pós Implantação'!N274)),"")</f>
        <v/>
      </c>
      <c r="K274" s="34" t="str">
        <f>IFERROR(IF('Pós Implantação'!B274="URA",AVERAGE('Pós Implantação'!D274,'Pós Implantação'!L274),""),"")</f>
        <v/>
      </c>
      <c r="L274" s="34" t="str">
        <f>IFERROR(IF('Pós Implantação'!B274="CSE Microsoft",AVERAGE('Pós Implantação'!D274,'Pós Implantação'!L274),""),"")</f>
        <v/>
      </c>
      <c r="M274" s="34" t="str">
        <f>IFERROR(IF('Pós Implantação'!B274="CSE Telecom",AVERAGE('Pós Implantação'!D274,'Pós Implantação'!L274),""),"")</f>
        <v/>
      </c>
      <c r="N274" s="34" t="str">
        <f>IFERROR(IF('Pós Implantação'!B274="Site Suporte de Campo",AVERAGE('Pós Implantação'!D274,'Pós Implantação'!L274),""),"")</f>
        <v/>
      </c>
      <c r="O274" s="49" t="str">
        <f>IFERROR(IF('Pós Implantação'!B274="Infraestrutura",AVERAGE('Pós Implantação'!D274,'Pós Implantação'!L274),""),"")</f>
        <v/>
      </c>
    </row>
    <row r="275" spans="1:15" x14ac:dyDescent="0.3">
      <c r="A275" s="33">
        <f>'Pré Implantação'!A275</f>
        <v>0</v>
      </c>
      <c r="B275" s="36" t="str">
        <f>'Pós Implantação'!C275</f>
        <v>0</v>
      </c>
      <c r="C275" s="34" t="str">
        <f>IFERROR(IF('Pré Implantação'!B275="Produção TI",AVERAGE('Pós Implantação'!D275,'Pós Implantação'!E275,'Pós Implantação'!L275,'Pós Implantação'!H275),AVERAGE('Pré Implantação'!E275,'Pré Implantação'!H275)),"")</f>
        <v/>
      </c>
      <c r="D275" s="34" t="str">
        <f>IFERROR(IF('Pós Implantação'!B275="CSC Service Desk",AVERAGE('Pós Implantação'!D275,'Pós Implantação'!L275,'Pós Implantação'!F275),AVERAGE('Pós Implantação'!F275)),"")</f>
        <v/>
      </c>
      <c r="E275" s="34" t="str">
        <f>IFERROR(IF('Pós Implantação'!B275="CSC NOC",AVERAGE('Pós Implantação'!D275,'Pós Implantação'!L275,'Pós Implantação'!G275),AVERAGE('Pós Implantação'!G275)),"")</f>
        <v/>
      </c>
      <c r="F275" s="34" t="str">
        <f>IFERROR(IF('Pós Implantação'!B275="CSE Gravadores",AVERAGE('Pós Implantação'!D275,'Pós Implantação'!L275,'Pós Implantação'!I275),AVERAGE('Pós Implantação'!I275)),"")</f>
        <v/>
      </c>
      <c r="G275" s="34" t="str">
        <f>IFERROR(IF('Pós Implantação'!B275="CSC",AVERAGE('Pós Implantação'!D275,'Pós Implantação'!L275,'Pós Implantação'!J275),AVERAGE('Pós Implantação'!J275)),"")</f>
        <v/>
      </c>
      <c r="H275" s="34" t="str">
        <f>IFERROR(IF('Pós Implantação'!B275="Operações \ Negócio",AVERAGE('Pós Implantação'!D275,'Pós Implantação'!L275,'Pós Implantação'!K275),AVERAGE('Pós Implantação'!K275)),"")</f>
        <v/>
      </c>
      <c r="I275" s="34" t="str">
        <f>IFERROR(IF('Pós Implantação'!B275="Projetos",AVERAGE('Pós Implantação'!D275,'Pós Implantação'!L275,'Pós Implantação'!M275),AVERAGE('Pós Implantação'!M275)),"")</f>
        <v/>
      </c>
      <c r="J275" s="34" t="str">
        <f>IFERROR(IF('Pós Implantação'!B275="Engenharia",AVERAGE('Pós Implantação'!D275,'Pós Implantação'!L275,'Pós Implantação'!N275),AVERAGE('Pós Implantação'!N275)),"")</f>
        <v/>
      </c>
      <c r="K275" s="34" t="str">
        <f>IFERROR(IF('Pós Implantação'!B275="URA",AVERAGE('Pós Implantação'!D275,'Pós Implantação'!L275),""),"")</f>
        <v/>
      </c>
      <c r="L275" s="34" t="str">
        <f>IFERROR(IF('Pós Implantação'!B275="CSE Microsoft",AVERAGE('Pós Implantação'!D275,'Pós Implantação'!L275),""),"")</f>
        <v/>
      </c>
      <c r="M275" s="34" t="str">
        <f>IFERROR(IF('Pós Implantação'!B275="CSE Telecom",AVERAGE('Pós Implantação'!D275,'Pós Implantação'!L275),""),"")</f>
        <v/>
      </c>
      <c r="N275" s="34" t="str">
        <f>IFERROR(IF('Pós Implantação'!B275="Site Suporte de Campo",AVERAGE('Pós Implantação'!D275,'Pós Implantação'!L275),""),"")</f>
        <v/>
      </c>
      <c r="O275" s="49" t="str">
        <f>IFERROR(IF('Pós Implantação'!B275="Infraestrutura",AVERAGE('Pós Implantação'!D275,'Pós Implantação'!L275),""),"")</f>
        <v/>
      </c>
    </row>
    <row r="276" spans="1:15" x14ac:dyDescent="0.3">
      <c r="A276" s="33">
        <f>'Pré Implantação'!A276</f>
        <v>0</v>
      </c>
      <c r="B276" s="36" t="str">
        <f>'Pós Implantação'!C276</f>
        <v>0</v>
      </c>
      <c r="C276" s="34" t="str">
        <f>IFERROR(IF('Pré Implantação'!B276="Produção TI",AVERAGE('Pós Implantação'!D276,'Pós Implantação'!E276,'Pós Implantação'!L276,'Pós Implantação'!H276),AVERAGE('Pré Implantação'!E276,'Pré Implantação'!H276)),"")</f>
        <v/>
      </c>
      <c r="D276" s="34" t="str">
        <f>IFERROR(IF('Pós Implantação'!B276="CSC Service Desk",AVERAGE('Pós Implantação'!D276,'Pós Implantação'!L276,'Pós Implantação'!F276),AVERAGE('Pós Implantação'!F276)),"")</f>
        <v/>
      </c>
      <c r="E276" s="34" t="str">
        <f>IFERROR(IF('Pós Implantação'!B276="CSC NOC",AVERAGE('Pós Implantação'!D276,'Pós Implantação'!L276,'Pós Implantação'!G276),AVERAGE('Pós Implantação'!G276)),"")</f>
        <v/>
      </c>
      <c r="F276" s="34" t="str">
        <f>IFERROR(IF('Pós Implantação'!B276="CSE Gravadores",AVERAGE('Pós Implantação'!D276,'Pós Implantação'!L276,'Pós Implantação'!I276),AVERAGE('Pós Implantação'!I276)),"")</f>
        <v/>
      </c>
      <c r="G276" s="34" t="str">
        <f>IFERROR(IF('Pós Implantação'!B276="CSC",AVERAGE('Pós Implantação'!D276,'Pós Implantação'!L276,'Pós Implantação'!J276),AVERAGE('Pós Implantação'!J276)),"")</f>
        <v/>
      </c>
      <c r="H276" s="34" t="str">
        <f>IFERROR(IF('Pós Implantação'!B276="Operações \ Negócio",AVERAGE('Pós Implantação'!D276,'Pós Implantação'!L276,'Pós Implantação'!K276),AVERAGE('Pós Implantação'!K276)),"")</f>
        <v/>
      </c>
      <c r="I276" s="34" t="str">
        <f>IFERROR(IF('Pós Implantação'!B276="Projetos",AVERAGE('Pós Implantação'!D276,'Pós Implantação'!L276,'Pós Implantação'!M276),AVERAGE('Pós Implantação'!M276)),"")</f>
        <v/>
      </c>
      <c r="J276" s="34" t="str">
        <f>IFERROR(IF('Pós Implantação'!B276="Engenharia",AVERAGE('Pós Implantação'!D276,'Pós Implantação'!L276,'Pós Implantação'!N276),AVERAGE('Pós Implantação'!N276)),"")</f>
        <v/>
      </c>
      <c r="K276" s="34" t="str">
        <f>IFERROR(IF('Pós Implantação'!B276="URA",AVERAGE('Pós Implantação'!D276,'Pós Implantação'!L276),""),"")</f>
        <v/>
      </c>
      <c r="L276" s="34" t="str">
        <f>IFERROR(IF('Pós Implantação'!B276="CSE Microsoft",AVERAGE('Pós Implantação'!D276,'Pós Implantação'!L276),""),"")</f>
        <v/>
      </c>
      <c r="M276" s="34" t="str">
        <f>IFERROR(IF('Pós Implantação'!B276="CSE Telecom",AVERAGE('Pós Implantação'!D276,'Pós Implantação'!L276),""),"")</f>
        <v/>
      </c>
      <c r="N276" s="34" t="str">
        <f>IFERROR(IF('Pós Implantação'!B276="Site Suporte de Campo",AVERAGE('Pós Implantação'!D276,'Pós Implantação'!L276),""),"")</f>
        <v/>
      </c>
      <c r="O276" s="49" t="str">
        <f>IFERROR(IF('Pós Implantação'!B276="Infraestrutura",AVERAGE('Pós Implantação'!D276,'Pós Implantação'!L276),""),"")</f>
        <v/>
      </c>
    </row>
    <row r="277" spans="1:15" x14ac:dyDescent="0.3">
      <c r="A277" s="33">
        <f>'Pré Implantação'!A277</f>
        <v>0</v>
      </c>
      <c r="B277" s="36" t="str">
        <f>'Pós Implantação'!C277</f>
        <v>0</v>
      </c>
      <c r="C277" s="34" t="str">
        <f>IFERROR(IF('Pré Implantação'!B277="Produção TI",AVERAGE('Pós Implantação'!D277,'Pós Implantação'!E277,'Pós Implantação'!L277,'Pós Implantação'!H277),AVERAGE('Pré Implantação'!E277,'Pré Implantação'!H277)),"")</f>
        <v/>
      </c>
      <c r="D277" s="34" t="str">
        <f>IFERROR(IF('Pós Implantação'!B277="CSC Service Desk",AVERAGE('Pós Implantação'!D277,'Pós Implantação'!L277,'Pós Implantação'!F277),AVERAGE('Pós Implantação'!F277)),"")</f>
        <v/>
      </c>
      <c r="E277" s="34" t="str">
        <f>IFERROR(IF('Pós Implantação'!B277="CSC NOC",AVERAGE('Pós Implantação'!D277,'Pós Implantação'!L277,'Pós Implantação'!G277),AVERAGE('Pós Implantação'!G277)),"")</f>
        <v/>
      </c>
      <c r="F277" s="34" t="str">
        <f>IFERROR(IF('Pós Implantação'!B277="CSE Gravadores",AVERAGE('Pós Implantação'!D277,'Pós Implantação'!L277,'Pós Implantação'!I277),AVERAGE('Pós Implantação'!I277)),"")</f>
        <v/>
      </c>
      <c r="G277" s="34" t="str">
        <f>IFERROR(IF('Pós Implantação'!B277="CSC",AVERAGE('Pós Implantação'!D277,'Pós Implantação'!L277,'Pós Implantação'!J277),AVERAGE('Pós Implantação'!J277)),"")</f>
        <v/>
      </c>
      <c r="H277" s="34" t="str">
        <f>IFERROR(IF('Pós Implantação'!B277="Operações \ Negócio",AVERAGE('Pós Implantação'!D277,'Pós Implantação'!L277,'Pós Implantação'!K277),AVERAGE('Pós Implantação'!K277)),"")</f>
        <v/>
      </c>
      <c r="I277" s="34" t="str">
        <f>IFERROR(IF('Pós Implantação'!B277="Projetos",AVERAGE('Pós Implantação'!D277,'Pós Implantação'!L277,'Pós Implantação'!M277),AVERAGE('Pós Implantação'!M277)),"")</f>
        <v/>
      </c>
      <c r="J277" s="34" t="str">
        <f>IFERROR(IF('Pós Implantação'!B277="Engenharia",AVERAGE('Pós Implantação'!D277,'Pós Implantação'!L277,'Pós Implantação'!N277),AVERAGE('Pós Implantação'!N277)),"")</f>
        <v/>
      </c>
      <c r="K277" s="34" t="str">
        <f>IFERROR(IF('Pós Implantação'!B277="URA",AVERAGE('Pós Implantação'!D277,'Pós Implantação'!L277),""),"")</f>
        <v/>
      </c>
      <c r="L277" s="34" t="str">
        <f>IFERROR(IF('Pós Implantação'!B277="CSE Microsoft",AVERAGE('Pós Implantação'!D277,'Pós Implantação'!L277),""),"")</f>
        <v/>
      </c>
      <c r="M277" s="34" t="str">
        <f>IFERROR(IF('Pós Implantação'!B277="CSE Telecom",AVERAGE('Pós Implantação'!D277,'Pós Implantação'!L277),""),"")</f>
        <v/>
      </c>
      <c r="N277" s="34" t="str">
        <f>IFERROR(IF('Pós Implantação'!B277="Site Suporte de Campo",AVERAGE('Pós Implantação'!D277,'Pós Implantação'!L277),""),"")</f>
        <v/>
      </c>
      <c r="O277" s="49" t="str">
        <f>IFERROR(IF('Pós Implantação'!B277="Infraestrutura",AVERAGE('Pós Implantação'!D277,'Pós Implantação'!L277),""),"")</f>
        <v/>
      </c>
    </row>
    <row r="278" spans="1:15" x14ac:dyDescent="0.3">
      <c r="A278" s="33">
        <f>'Pré Implantação'!A278</f>
        <v>0</v>
      </c>
      <c r="B278" s="36" t="str">
        <f>'Pós Implantação'!C278</f>
        <v>0</v>
      </c>
      <c r="C278" s="34" t="str">
        <f>IFERROR(IF('Pré Implantação'!B278="Produção TI",AVERAGE('Pós Implantação'!D278,'Pós Implantação'!E278,'Pós Implantação'!L278,'Pós Implantação'!H278),AVERAGE('Pré Implantação'!E278,'Pré Implantação'!H278)),"")</f>
        <v/>
      </c>
      <c r="D278" s="34" t="str">
        <f>IFERROR(IF('Pós Implantação'!B278="CSC Service Desk",AVERAGE('Pós Implantação'!D278,'Pós Implantação'!L278,'Pós Implantação'!F278),AVERAGE('Pós Implantação'!F278)),"")</f>
        <v/>
      </c>
      <c r="E278" s="34" t="str">
        <f>IFERROR(IF('Pós Implantação'!B278="CSC NOC",AVERAGE('Pós Implantação'!D278,'Pós Implantação'!L278,'Pós Implantação'!G278),AVERAGE('Pós Implantação'!G278)),"")</f>
        <v/>
      </c>
      <c r="F278" s="34" t="str">
        <f>IFERROR(IF('Pós Implantação'!B278="CSE Gravadores",AVERAGE('Pós Implantação'!D278,'Pós Implantação'!L278,'Pós Implantação'!I278),AVERAGE('Pós Implantação'!I278)),"")</f>
        <v/>
      </c>
      <c r="G278" s="34" t="str">
        <f>IFERROR(IF('Pós Implantação'!B278="CSC",AVERAGE('Pós Implantação'!D278,'Pós Implantação'!L278,'Pós Implantação'!J278),AVERAGE('Pós Implantação'!J278)),"")</f>
        <v/>
      </c>
      <c r="H278" s="34" t="str">
        <f>IFERROR(IF('Pós Implantação'!B278="Operações \ Negócio",AVERAGE('Pós Implantação'!D278,'Pós Implantação'!L278,'Pós Implantação'!K278),AVERAGE('Pós Implantação'!K278)),"")</f>
        <v/>
      </c>
      <c r="I278" s="34" t="str">
        <f>IFERROR(IF('Pós Implantação'!B278="Projetos",AVERAGE('Pós Implantação'!D278,'Pós Implantação'!L278,'Pós Implantação'!M278),AVERAGE('Pós Implantação'!M278)),"")</f>
        <v/>
      </c>
      <c r="J278" s="34" t="str">
        <f>IFERROR(IF('Pós Implantação'!B278="Engenharia",AVERAGE('Pós Implantação'!D278,'Pós Implantação'!L278,'Pós Implantação'!N278),AVERAGE('Pós Implantação'!N278)),"")</f>
        <v/>
      </c>
      <c r="K278" s="34" t="str">
        <f>IFERROR(IF('Pós Implantação'!B278="URA",AVERAGE('Pós Implantação'!D278,'Pós Implantação'!L278),""),"")</f>
        <v/>
      </c>
      <c r="L278" s="34" t="str">
        <f>IFERROR(IF('Pós Implantação'!B278="CSE Microsoft",AVERAGE('Pós Implantação'!D278,'Pós Implantação'!L278),""),"")</f>
        <v/>
      </c>
      <c r="M278" s="34" t="str">
        <f>IFERROR(IF('Pós Implantação'!B278="CSE Telecom",AVERAGE('Pós Implantação'!D278,'Pós Implantação'!L278),""),"")</f>
        <v/>
      </c>
      <c r="N278" s="34" t="str">
        <f>IFERROR(IF('Pós Implantação'!B278="Site Suporte de Campo",AVERAGE('Pós Implantação'!D278,'Pós Implantação'!L278),""),"")</f>
        <v/>
      </c>
      <c r="O278" s="49" t="str">
        <f>IFERROR(IF('Pós Implantação'!B278="Infraestrutura",AVERAGE('Pós Implantação'!D278,'Pós Implantação'!L278),""),"")</f>
        <v/>
      </c>
    </row>
    <row r="279" spans="1:15" x14ac:dyDescent="0.3">
      <c r="A279" s="33">
        <f>'Pré Implantação'!A279</f>
        <v>0</v>
      </c>
      <c r="B279" s="36" t="str">
        <f>'Pós Implantação'!C279</f>
        <v>0</v>
      </c>
      <c r="C279" s="34" t="str">
        <f>IFERROR(IF('Pré Implantação'!B279="Produção TI",AVERAGE('Pós Implantação'!D279,'Pós Implantação'!E279,'Pós Implantação'!L279,'Pós Implantação'!H279),AVERAGE('Pré Implantação'!E279,'Pré Implantação'!H279)),"")</f>
        <v/>
      </c>
      <c r="D279" s="34" t="str">
        <f>IFERROR(IF('Pós Implantação'!B279="CSC Service Desk",AVERAGE('Pós Implantação'!D279,'Pós Implantação'!L279,'Pós Implantação'!F279),AVERAGE('Pós Implantação'!F279)),"")</f>
        <v/>
      </c>
      <c r="E279" s="34" t="str">
        <f>IFERROR(IF('Pós Implantação'!B279="CSC NOC",AVERAGE('Pós Implantação'!D279,'Pós Implantação'!L279,'Pós Implantação'!G279),AVERAGE('Pós Implantação'!G279)),"")</f>
        <v/>
      </c>
      <c r="F279" s="34" t="str">
        <f>IFERROR(IF('Pós Implantação'!B279="CSE Gravadores",AVERAGE('Pós Implantação'!D279,'Pós Implantação'!L279,'Pós Implantação'!I279),AVERAGE('Pós Implantação'!I279)),"")</f>
        <v/>
      </c>
      <c r="G279" s="34" t="str">
        <f>IFERROR(IF('Pós Implantação'!B279="CSC",AVERAGE('Pós Implantação'!D279,'Pós Implantação'!L279,'Pós Implantação'!J279),AVERAGE('Pós Implantação'!J279)),"")</f>
        <v/>
      </c>
      <c r="H279" s="34" t="str">
        <f>IFERROR(IF('Pós Implantação'!B279="Operações \ Negócio",AVERAGE('Pós Implantação'!D279,'Pós Implantação'!L279,'Pós Implantação'!K279),AVERAGE('Pós Implantação'!K279)),"")</f>
        <v/>
      </c>
      <c r="I279" s="34" t="str">
        <f>IFERROR(IF('Pós Implantação'!B279="Projetos",AVERAGE('Pós Implantação'!D279,'Pós Implantação'!L279,'Pós Implantação'!M279),AVERAGE('Pós Implantação'!M279)),"")</f>
        <v/>
      </c>
      <c r="J279" s="34" t="str">
        <f>IFERROR(IF('Pós Implantação'!B279="Engenharia",AVERAGE('Pós Implantação'!D279,'Pós Implantação'!L279,'Pós Implantação'!N279),AVERAGE('Pós Implantação'!N279)),"")</f>
        <v/>
      </c>
      <c r="K279" s="34" t="str">
        <f>IFERROR(IF('Pós Implantação'!B279="URA",AVERAGE('Pós Implantação'!D279,'Pós Implantação'!L279),""),"")</f>
        <v/>
      </c>
      <c r="L279" s="34" t="str">
        <f>IFERROR(IF('Pós Implantação'!B279="CSE Microsoft",AVERAGE('Pós Implantação'!D279,'Pós Implantação'!L279),""),"")</f>
        <v/>
      </c>
      <c r="M279" s="34" t="str">
        <f>IFERROR(IF('Pós Implantação'!B279="CSE Telecom",AVERAGE('Pós Implantação'!D279,'Pós Implantação'!L279),""),"")</f>
        <v/>
      </c>
      <c r="N279" s="34" t="str">
        <f>IFERROR(IF('Pós Implantação'!B279="Site Suporte de Campo",AVERAGE('Pós Implantação'!D279,'Pós Implantação'!L279),""),"")</f>
        <v/>
      </c>
      <c r="O279" s="49" t="str">
        <f>IFERROR(IF('Pós Implantação'!B279="Infraestrutura",AVERAGE('Pós Implantação'!D279,'Pós Implantação'!L279),""),"")</f>
        <v/>
      </c>
    </row>
    <row r="280" spans="1:15" x14ac:dyDescent="0.3">
      <c r="A280" s="33">
        <f>'Pré Implantação'!A280</f>
        <v>0</v>
      </c>
      <c r="B280" s="36" t="str">
        <f>'Pós Implantação'!C280</f>
        <v>0</v>
      </c>
      <c r="C280" s="34" t="str">
        <f>IFERROR(IF('Pré Implantação'!B280="Produção TI",AVERAGE('Pós Implantação'!D280,'Pós Implantação'!E280,'Pós Implantação'!L280,'Pós Implantação'!H280),AVERAGE('Pré Implantação'!E280,'Pré Implantação'!H280)),"")</f>
        <v/>
      </c>
      <c r="D280" s="34" t="str">
        <f>IFERROR(IF('Pós Implantação'!B280="CSC Service Desk",AVERAGE('Pós Implantação'!D280,'Pós Implantação'!L280,'Pós Implantação'!F280),AVERAGE('Pós Implantação'!F280)),"")</f>
        <v/>
      </c>
      <c r="E280" s="34" t="str">
        <f>IFERROR(IF('Pós Implantação'!B280="CSC NOC",AVERAGE('Pós Implantação'!D280,'Pós Implantação'!L280,'Pós Implantação'!G280),AVERAGE('Pós Implantação'!G280)),"")</f>
        <v/>
      </c>
      <c r="F280" s="34" t="str">
        <f>IFERROR(IF('Pós Implantação'!B280="CSE Gravadores",AVERAGE('Pós Implantação'!D280,'Pós Implantação'!L280,'Pós Implantação'!I280),AVERAGE('Pós Implantação'!I280)),"")</f>
        <v/>
      </c>
      <c r="G280" s="34" t="str">
        <f>IFERROR(IF('Pós Implantação'!B280="CSC",AVERAGE('Pós Implantação'!D280,'Pós Implantação'!L280,'Pós Implantação'!J280),AVERAGE('Pós Implantação'!J280)),"")</f>
        <v/>
      </c>
      <c r="H280" s="34" t="str">
        <f>IFERROR(IF('Pós Implantação'!B280="Operações \ Negócio",AVERAGE('Pós Implantação'!D280,'Pós Implantação'!L280,'Pós Implantação'!K280),AVERAGE('Pós Implantação'!K280)),"")</f>
        <v/>
      </c>
      <c r="I280" s="34" t="str">
        <f>IFERROR(IF('Pós Implantação'!B280="Projetos",AVERAGE('Pós Implantação'!D280,'Pós Implantação'!L280,'Pós Implantação'!M280),AVERAGE('Pós Implantação'!M280)),"")</f>
        <v/>
      </c>
      <c r="J280" s="34" t="str">
        <f>IFERROR(IF('Pós Implantação'!B280="Engenharia",AVERAGE('Pós Implantação'!D280,'Pós Implantação'!L280,'Pós Implantação'!N280),AVERAGE('Pós Implantação'!N280)),"")</f>
        <v/>
      </c>
      <c r="K280" s="34" t="str">
        <f>IFERROR(IF('Pós Implantação'!B280="URA",AVERAGE('Pós Implantação'!D280,'Pós Implantação'!L280),""),"")</f>
        <v/>
      </c>
      <c r="L280" s="34" t="str">
        <f>IFERROR(IF('Pós Implantação'!B280="CSE Microsoft",AVERAGE('Pós Implantação'!D280,'Pós Implantação'!L280),""),"")</f>
        <v/>
      </c>
      <c r="M280" s="34" t="str">
        <f>IFERROR(IF('Pós Implantação'!B280="CSE Telecom",AVERAGE('Pós Implantação'!D280,'Pós Implantação'!L280),""),"")</f>
        <v/>
      </c>
      <c r="N280" s="34" t="str">
        <f>IFERROR(IF('Pós Implantação'!B280="Site Suporte de Campo",AVERAGE('Pós Implantação'!D280,'Pós Implantação'!L280),""),"")</f>
        <v/>
      </c>
      <c r="O280" s="49" t="str">
        <f>IFERROR(IF('Pós Implantação'!B280="Infraestrutura",AVERAGE('Pós Implantação'!D280,'Pós Implantação'!L280),""),"")</f>
        <v/>
      </c>
    </row>
    <row r="281" spans="1:15" x14ac:dyDescent="0.3">
      <c r="A281" s="33">
        <f>'Pré Implantação'!A281</f>
        <v>0</v>
      </c>
      <c r="B281" s="36" t="str">
        <f>'Pós Implantação'!C281</f>
        <v>0</v>
      </c>
      <c r="C281" s="34" t="str">
        <f>IFERROR(IF('Pré Implantação'!B281="Produção TI",AVERAGE('Pós Implantação'!D281,'Pós Implantação'!E281,'Pós Implantação'!L281,'Pós Implantação'!H281),AVERAGE('Pré Implantação'!E281,'Pré Implantação'!H281)),"")</f>
        <v/>
      </c>
      <c r="D281" s="34" t="str">
        <f>IFERROR(IF('Pós Implantação'!B281="CSC Service Desk",AVERAGE('Pós Implantação'!D281,'Pós Implantação'!L281,'Pós Implantação'!F281),AVERAGE('Pós Implantação'!F281)),"")</f>
        <v/>
      </c>
      <c r="E281" s="34" t="str">
        <f>IFERROR(IF('Pós Implantação'!B281="CSC NOC",AVERAGE('Pós Implantação'!D281,'Pós Implantação'!L281,'Pós Implantação'!G281),AVERAGE('Pós Implantação'!G281)),"")</f>
        <v/>
      </c>
      <c r="F281" s="34" t="str">
        <f>IFERROR(IF('Pós Implantação'!B281="CSE Gravadores",AVERAGE('Pós Implantação'!D281,'Pós Implantação'!L281,'Pós Implantação'!I281),AVERAGE('Pós Implantação'!I281)),"")</f>
        <v/>
      </c>
      <c r="G281" s="34" t="str">
        <f>IFERROR(IF('Pós Implantação'!B281="CSC",AVERAGE('Pós Implantação'!D281,'Pós Implantação'!L281,'Pós Implantação'!J281),AVERAGE('Pós Implantação'!J281)),"")</f>
        <v/>
      </c>
      <c r="H281" s="34" t="str">
        <f>IFERROR(IF('Pós Implantação'!B281="Operações \ Negócio",AVERAGE('Pós Implantação'!D281,'Pós Implantação'!L281,'Pós Implantação'!K281),AVERAGE('Pós Implantação'!K281)),"")</f>
        <v/>
      </c>
      <c r="I281" s="34" t="str">
        <f>IFERROR(IF('Pós Implantação'!B281="Projetos",AVERAGE('Pós Implantação'!D281,'Pós Implantação'!L281,'Pós Implantação'!M281),AVERAGE('Pós Implantação'!M281)),"")</f>
        <v/>
      </c>
      <c r="J281" s="34" t="str">
        <f>IFERROR(IF('Pós Implantação'!B281="Engenharia",AVERAGE('Pós Implantação'!D281,'Pós Implantação'!L281,'Pós Implantação'!N281),AVERAGE('Pós Implantação'!N281)),"")</f>
        <v/>
      </c>
      <c r="K281" s="34" t="str">
        <f>IFERROR(IF('Pós Implantação'!B281="URA",AVERAGE('Pós Implantação'!D281,'Pós Implantação'!L281),""),"")</f>
        <v/>
      </c>
      <c r="L281" s="34" t="str">
        <f>IFERROR(IF('Pós Implantação'!B281="CSE Microsoft",AVERAGE('Pós Implantação'!D281,'Pós Implantação'!L281),""),"")</f>
        <v/>
      </c>
      <c r="M281" s="34" t="str">
        <f>IFERROR(IF('Pós Implantação'!B281="CSE Telecom",AVERAGE('Pós Implantação'!D281,'Pós Implantação'!L281),""),"")</f>
        <v/>
      </c>
      <c r="N281" s="34" t="str">
        <f>IFERROR(IF('Pós Implantação'!B281="Site Suporte de Campo",AVERAGE('Pós Implantação'!D281,'Pós Implantação'!L281),""),"")</f>
        <v/>
      </c>
      <c r="O281" s="49" t="str">
        <f>IFERROR(IF('Pós Implantação'!B281="Infraestrutura",AVERAGE('Pós Implantação'!D281,'Pós Implantação'!L281),""),"")</f>
        <v/>
      </c>
    </row>
    <row r="282" spans="1:15" x14ac:dyDescent="0.3">
      <c r="A282" s="33">
        <f>'Pré Implantação'!A282</f>
        <v>0</v>
      </c>
      <c r="B282" s="36" t="str">
        <f>'Pós Implantação'!C282</f>
        <v>0</v>
      </c>
      <c r="C282" s="34" t="str">
        <f>IFERROR(IF('Pré Implantação'!B282="Produção TI",AVERAGE('Pós Implantação'!D282,'Pós Implantação'!E282,'Pós Implantação'!L282,'Pós Implantação'!H282),AVERAGE('Pré Implantação'!E282,'Pré Implantação'!H282)),"")</f>
        <v/>
      </c>
      <c r="D282" s="34" t="str">
        <f>IFERROR(IF('Pós Implantação'!B282="CSC Service Desk",AVERAGE('Pós Implantação'!D282,'Pós Implantação'!L282,'Pós Implantação'!F282),AVERAGE('Pós Implantação'!F282)),"")</f>
        <v/>
      </c>
      <c r="E282" s="34" t="str">
        <f>IFERROR(IF('Pós Implantação'!B282="CSC NOC",AVERAGE('Pós Implantação'!D282,'Pós Implantação'!L282,'Pós Implantação'!G282),AVERAGE('Pós Implantação'!G282)),"")</f>
        <v/>
      </c>
      <c r="F282" s="34" t="str">
        <f>IFERROR(IF('Pós Implantação'!B282="CSE Gravadores",AVERAGE('Pós Implantação'!D282,'Pós Implantação'!L282,'Pós Implantação'!I282),AVERAGE('Pós Implantação'!I282)),"")</f>
        <v/>
      </c>
      <c r="G282" s="34" t="str">
        <f>IFERROR(IF('Pós Implantação'!B282="CSC",AVERAGE('Pós Implantação'!D282,'Pós Implantação'!L282,'Pós Implantação'!J282),AVERAGE('Pós Implantação'!J282)),"")</f>
        <v/>
      </c>
      <c r="H282" s="34" t="str">
        <f>IFERROR(IF('Pós Implantação'!B282="Operações \ Negócio",AVERAGE('Pós Implantação'!D282,'Pós Implantação'!L282,'Pós Implantação'!K282),AVERAGE('Pós Implantação'!K282)),"")</f>
        <v/>
      </c>
      <c r="I282" s="34" t="str">
        <f>IFERROR(IF('Pós Implantação'!B282="Projetos",AVERAGE('Pós Implantação'!D282,'Pós Implantação'!L282,'Pós Implantação'!M282),AVERAGE('Pós Implantação'!M282)),"")</f>
        <v/>
      </c>
      <c r="J282" s="34" t="str">
        <f>IFERROR(IF('Pós Implantação'!B282="Engenharia",AVERAGE('Pós Implantação'!D282,'Pós Implantação'!L282,'Pós Implantação'!N282),AVERAGE('Pós Implantação'!N282)),"")</f>
        <v/>
      </c>
      <c r="K282" s="34" t="str">
        <f>IFERROR(IF('Pós Implantação'!B282="URA",AVERAGE('Pós Implantação'!D282,'Pós Implantação'!L282),""),"")</f>
        <v/>
      </c>
      <c r="L282" s="34" t="str">
        <f>IFERROR(IF('Pós Implantação'!B282="CSE Microsoft",AVERAGE('Pós Implantação'!D282,'Pós Implantação'!L282),""),"")</f>
        <v/>
      </c>
      <c r="M282" s="34" t="str">
        <f>IFERROR(IF('Pós Implantação'!B282="CSE Telecom",AVERAGE('Pós Implantação'!D282,'Pós Implantação'!L282),""),"")</f>
        <v/>
      </c>
      <c r="N282" s="34" t="str">
        <f>IFERROR(IF('Pós Implantação'!B282="Site Suporte de Campo",AVERAGE('Pós Implantação'!D282,'Pós Implantação'!L282),""),"")</f>
        <v/>
      </c>
      <c r="O282" s="49" t="str">
        <f>IFERROR(IF('Pós Implantação'!B282="Infraestrutura",AVERAGE('Pós Implantação'!D282,'Pós Implantação'!L282),""),"")</f>
        <v/>
      </c>
    </row>
    <row r="283" spans="1:15" x14ac:dyDescent="0.3">
      <c r="A283" s="33">
        <f>'Pré Implantação'!A283</f>
        <v>0</v>
      </c>
      <c r="B283" s="36" t="str">
        <f>'Pós Implantação'!C283</f>
        <v>0</v>
      </c>
      <c r="C283" s="34" t="str">
        <f>IFERROR(IF('Pré Implantação'!B283="Produção TI",AVERAGE('Pós Implantação'!D283,'Pós Implantação'!E283,'Pós Implantação'!L283,'Pós Implantação'!H283),AVERAGE('Pré Implantação'!E283,'Pré Implantação'!H283)),"")</f>
        <v/>
      </c>
      <c r="D283" s="34" t="str">
        <f>IFERROR(IF('Pós Implantação'!B283="CSC Service Desk",AVERAGE('Pós Implantação'!D283,'Pós Implantação'!L283,'Pós Implantação'!F283),AVERAGE('Pós Implantação'!F283)),"")</f>
        <v/>
      </c>
      <c r="E283" s="34" t="str">
        <f>IFERROR(IF('Pós Implantação'!B283="CSC NOC",AVERAGE('Pós Implantação'!D283,'Pós Implantação'!L283,'Pós Implantação'!G283),AVERAGE('Pós Implantação'!G283)),"")</f>
        <v/>
      </c>
      <c r="F283" s="34" t="str">
        <f>IFERROR(IF('Pós Implantação'!B283="CSE Gravadores",AVERAGE('Pós Implantação'!D283,'Pós Implantação'!L283,'Pós Implantação'!I283),AVERAGE('Pós Implantação'!I283)),"")</f>
        <v/>
      </c>
      <c r="G283" s="34" t="str">
        <f>IFERROR(IF('Pós Implantação'!B283="CSC",AVERAGE('Pós Implantação'!D283,'Pós Implantação'!L283,'Pós Implantação'!J283),AVERAGE('Pós Implantação'!J283)),"")</f>
        <v/>
      </c>
      <c r="H283" s="34" t="str">
        <f>IFERROR(IF('Pós Implantação'!B283="Operações \ Negócio",AVERAGE('Pós Implantação'!D283,'Pós Implantação'!L283,'Pós Implantação'!K283),AVERAGE('Pós Implantação'!K283)),"")</f>
        <v/>
      </c>
      <c r="I283" s="34" t="str">
        <f>IFERROR(IF('Pós Implantação'!B283="Projetos",AVERAGE('Pós Implantação'!D283,'Pós Implantação'!L283,'Pós Implantação'!M283),AVERAGE('Pós Implantação'!M283)),"")</f>
        <v/>
      </c>
      <c r="J283" s="34" t="str">
        <f>IFERROR(IF('Pós Implantação'!B283="Engenharia",AVERAGE('Pós Implantação'!D283,'Pós Implantação'!L283,'Pós Implantação'!N283),AVERAGE('Pós Implantação'!N283)),"")</f>
        <v/>
      </c>
      <c r="K283" s="34" t="str">
        <f>IFERROR(IF('Pós Implantação'!B283="URA",AVERAGE('Pós Implantação'!D283,'Pós Implantação'!L283),""),"")</f>
        <v/>
      </c>
      <c r="L283" s="34" t="str">
        <f>IFERROR(IF('Pós Implantação'!B283="CSE Microsoft",AVERAGE('Pós Implantação'!D283,'Pós Implantação'!L283),""),"")</f>
        <v/>
      </c>
      <c r="M283" s="34" t="str">
        <f>IFERROR(IF('Pós Implantação'!B283="CSE Telecom",AVERAGE('Pós Implantação'!D283,'Pós Implantação'!L283),""),"")</f>
        <v/>
      </c>
      <c r="N283" s="34" t="str">
        <f>IFERROR(IF('Pós Implantação'!B283="Site Suporte de Campo",AVERAGE('Pós Implantação'!D283,'Pós Implantação'!L283),""),"")</f>
        <v/>
      </c>
      <c r="O283" s="49" t="str">
        <f>IFERROR(IF('Pós Implantação'!B283="Infraestrutura",AVERAGE('Pós Implantação'!D283,'Pós Implantação'!L283),""),"")</f>
        <v/>
      </c>
    </row>
    <row r="284" spans="1:15" x14ac:dyDescent="0.3">
      <c r="A284" s="33">
        <f>'Pré Implantação'!A284</f>
        <v>0</v>
      </c>
      <c r="B284" s="36" t="str">
        <f>'Pós Implantação'!C284</f>
        <v>0</v>
      </c>
      <c r="C284" s="34" t="str">
        <f>IFERROR(IF('Pré Implantação'!B284="Produção TI",AVERAGE('Pós Implantação'!D284,'Pós Implantação'!E284,'Pós Implantação'!L284,'Pós Implantação'!H284),AVERAGE('Pré Implantação'!E284,'Pré Implantação'!H284)),"")</f>
        <v/>
      </c>
      <c r="D284" s="34" t="str">
        <f>IFERROR(IF('Pós Implantação'!B284="CSC Service Desk",AVERAGE('Pós Implantação'!D284,'Pós Implantação'!L284,'Pós Implantação'!F284),AVERAGE('Pós Implantação'!F284)),"")</f>
        <v/>
      </c>
      <c r="E284" s="34" t="str">
        <f>IFERROR(IF('Pós Implantação'!B284="CSC NOC",AVERAGE('Pós Implantação'!D284,'Pós Implantação'!L284,'Pós Implantação'!G284),AVERAGE('Pós Implantação'!G284)),"")</f>
        <v/>
      </c>
      <c r="F284" s="34" t="str">
        <f>IFERROR(IF('Pós Implantação'!B284="CSE Gravadores",AVERAGE('Pós Implantação'!D284,'Pós Implantação'!L284,'Pós Implantação'!I284),AVERAGE('Pós Implantação'!I284)),"")</f>
        <v/>
      </c>
      <c r="G284" s="34" t="str">
        <f>IFERROR(IF('Pós Implantação'!B284="CSC",AVERAGE('Pós Implantação'!D284,'Pós Implantação'!L284,'Pós Implantação'!J284),AVERAGE('Pós Implantação'!J284)),"")</f>
        <v/>
      </c>
      <c r="H284" s="34" t="str">
        <f>IFERROR(IF('Pós Implantação'!B284="Operações \ Negócio",AVERAGE('Pós Implantação'!D284,'Pós Implantação'!L284,'Pós Implantação'!K284),AVERAGE('Pós Implantação'!K284)),"")</f>
        <v/>
      </c>
      <c r="I284" s="34" t="str">
        <f>IFERROR(IF('Pós Implantação'!B284="Projetos",AVERAGE('Pós Implantação'!D284,'Pós Implantação'!L284,'Pós Implantação'!M284),AVERAGE('Pós Implantação'!M284)),"")</f>
        <v/>
      </c>
      <c r="J284" s="34" t="str">
        <f>IFERROR(IF('Pós Implantação'!B284="Engenharia",AVERAGE('Pós Implantação'!D284,'Pós Implantação'!L284,'Pós Implantação'!N284),AVERAGE('Pós Implantação'!N284)),"")</f>
        <v/>
      </c>
      <c r="K284" s="34" t="str">
        <f>IFERROR(IF('Pós Implantação'!B284="URA",AVERAGE('Pós Implantação'!D284,'Pós Implantação'!L284),""),"")</f>
        <v/>
      </c>
      <c r="L284" s="34" t="str">
        <f>IFERROR(IF('Pós Implantação'!B284="CSE Microsoft",AVERAGE('Pós Implantação'!D284,'Pós Implantação'!L284),""),"")</f>
        <v/>
      </c>
      <c r="M284" s="34" t="str">
        <f>IFERROR(IF('Pós Implantação'!B284="CSE Telecom",AVERAGE('Pós Implantação'!D284,'Pós Implantação'!L284),""),"")</f>
        <v/>
      </c>
      <c r="N284" s="34" t="str">
        <f>IFERROR(IF('Pós Implantação'!B284="Site Suporte de Campo",AVERAGE('Pós Implantação'!D284,'Pós Implantação'!L284),""),"")</f>
        <v/>
      </c>
      <c r="O284" s="49" t="str">
        <f>IFERROR(IF('Pós Implantação'!B284="Infraestrutura",AVERAGE('Pós Implantação'!D284,'Pós Implantação'!L284),""),"")</f>
        <v/>
      </c>
    </row>
    <row r="285" spans="1:15" x14ac:dyDescent="0.3">
      <c r="A285" s="33">
        <f>'Pré Implantação'!A285</f>
        <v>0</v>
      </c>
      <c r="B285" s="36" t="str">
        <f>'Pós Implantação'!C285</f>
        <v>0</v>
      </c>
      <c r="C285" s="34" t="str">
        <f>IFERROR(IF('Pré Implantação'!B285="Produção TI",AVERAGE('Pós Implantação'!D285,'Pós Implantação'!E285,'Pós Implantação'!L285,'Pós Implantação'!H285),AVERAGE('Pré Implantação'!E285,'Pré Implantação'!H285)),"")</f>
        <v/>
      </c>
      <c r="D285" s="34" t="str">
        <f>IFERROR(IF('Pós Implantação'!B285="CSC Service Desk",AVERAGE('Pós Implantação'!D285,'Pós Implantação'!L285,'Pós Implantação'!F285),AVERAGE('Pós Implantação'!F285)),"")</f>
        <v/>
      </c>
      <c r="E285" s="34" t="str">
        <f>IFERROR(IF('Pós Implantação'!B285="CSC NOC",AVERAGE('Pós Implantação'!D285,'Pós Implantação'!L285,'Pós Implantação'!G285),AVERAGE('Pós Implantação'!G285)),"")</f>
        <v/>
      </c>
      <c r="F285" s="34" t="str">
        <f>IFERROR(IF('Pós Implantação'!B285="CSE Gravadores",AVERAGE('Pós Implantação'!D285,'Pós Implantação'!L285,'Pós Implantação'!I285),AVERAGE('Pós Implantação'!I285)),"")</f>
        <v/>
      </c>
      <c r="G285" s="34" t="str">
        <f>IFERROR(IF('Pós Implantação'!B285="CSC",AVERAGE('Pós Implantação'!D285,'Pós Implantação'!L285,'Pós Implantação'!J285),AVERAGE('Pós Implantação'!J285)),"")</f>
        <v/>
      </c>
      <c r="H285" s="34" t="str">
        <f>IFERROR(IF('Pós Implantação'!B285="Operações \ Negócio",AVERAGE('Pós Implantação'!D285,'Pós Implantação'!L285,'Pós Implantação'!K285),AVERAGE('Pós Implantação'!K285)),"")</f>
        <v/>
      </c>
      <c r="I285" s="34" t="str">
        <f>IFERROR(IF('Pós Implantação'!B285="Projetos",AVERAGE('Pós Implantação'!D285,'Pós Implantação'!L285,'Pós Implantação'!M285),AVERAGE('Pós Implantação'!M285)),"")</f>
        <v/>
      </c>
      <c r="J285" s="34" t="str">
        <f>IFERROR(IF('Pós Implantação'!B285="Engenharia",AVERAGE('Pós Implantação'!D285,'Pós Implantação'!L285,'Pós Implantação'!N285),AVERAGE('Pós Implantação'!N285)),"")</f>
        <v/>
      </c>
      <c r="K285" s="34" t="str">
        <f>IFERROR(IF('Pós Implantação'!B285="URA",AVERAGE('Pós Implantação'!D285,'Pós Implantação'!L285),""),"")</f>
        <v/>
      </c>
      <c r="L285" s="34" t="str">
        <f>IFERROR(IF('Pós Implantação'!B285="CSE Microsoft",AVERAGE('Pós Implantação'!D285,'Pós Implantação'!L285),""),"")</f>
        <v/>
      </c>
      <c r="M285" s="34" t="str">
        <f>IFERROR(IF('Pós Implantação'!B285="CSE Telecom",AVERAGE('Pós Implantação'!D285,'Pós Implantação'!L285),""),"")</f>
        <v/>
      </c>
      <c r="N285" s="34" t="str">
        <f>IFERROR(IF('Pós Implantação'!B285="Site Suporte de Campo",AVERAGE('Pós Implantação'!D285,'Pós Implantação'!L285),""),"")</f>
        <v/>
      </c>
      <c r="O285" s="49" t="str">
        <f>IFERROR(IF('Pós Implantação'!B285="Infraestrutura",AVERAGE('Pós Implantação'!D285,'Pós Implantação'!L285),""),"")</f>
        <v/>
      </c>
    </row>
    <row r="286" spans="1:15" x14ac:dyDescent="0.3">
      <c r="A286" s="33">
        <f>'Pré Implantação'!A286</f>
        <v>0</v>
      </c>
      <c r="B286" s="36" t="str">
        <f>'Pós Implantação'!C286</f>
        <v>0</v>
      </c>
      <c r="C286" s="34" t="str">
        <f>IFERROR(IF('Pré Implantação'!B286="Produção TI",AVERAGE('Pós Implantação'!D286,'Pós Implantação'!E286,'Pós Implantação'!L286,'Pós Implantação'!H286),AVERAGE('Pré Implantação'!E286,'Pré Implantação'!H286)),"")</f>
        <v/>
      </c>
      <c r="D286" s="34" t="str">
        <f>IFERROR(IF('Pós Implantação'!B286="CSC Service Desk",AVERAGE('Pós Implantação'!D286,'Pós Implantação'!L286,'Pós Implantação'!F286),AVERAGE('Pós Implantação'!F286)),"")</f>
        <v/>
      </c>
      <c r="E286" s="34" t="str">
        <f>IFERROR(IF('Pós Implantação'!B286="CSC NOC",AVERAGE('Pós Implantação'!D286,'Pós Implantação'!L286,'Pós Implantação'!G286),AVERAGE('Pós Implantação'!G286)),"")</f>
        <v/>
      </c>
      <c r="F286" s="34" t="str">
        <f>IFERROR(IF('Pós Implantação'!B286="CSE Gravadores",AVERAGE('Pós Implantação'!D286,'Pós Implantação'!L286,'Pós Implantação'!I286),AVERAGE('Pós Implantação'!I286)),"")</f>
        <v/>
      </c>
      <c r="G286" s="34" t="str">
        <f>IFERROR(IF('Pós Implantação'!B286="CSC",AVERAGE('Pós Implantação'!D286,'Pós Implantação'!L286,'Pós Implantação'!J286),AVERAGE('Pós Implantação'!J286)),"")</f>
        <v/>
      </c>
      <c r="H286" s="34" t="str">
        <f>IFERROR(IF('Pós Implantação'!B286="Operações \ Negócio",AVERAGE('Pós Implantação'!D286,'Pós Implantação'!L286,'Pós Implantação'!K286),AVERAGE('Pós Implantação'!K286)),"")</f>
        <v/>
      </c>
      <c r="I286" s="34" t="str">
        <f>IFERROR(IF('Pós Implantação'!B286="Projetos",AVERAGE('Pós Implantação'!D286,'Pós Implantação'!L286,'Pós Implantação'!M286),AVERAGE('Pós Implantação'!M286)),"")</f>
        <v/>
      </c>
      <c r="J286" s="34" t="str">
        <f>IFERROR(IF('Pós Implantação'!B286="Engenharia",AVERAGE('Pós Implantação'!D286,'Pós Implantação'!L286,'Pós Implantação'!N286),AVERAGE('Pós Implantação'!N286)),"")</f>
        <v/>
      </c>
      <c r="K286" s="34" t="str">
        <f>IFERROR(IF('Pós Implantação'!B286="URA",AVERAGE('Pós Implantação'!D286,'Pós Implantação'!L286),""),"")</f>
        <v/>
      </c>
      <c r="L286" s="34" t="str">
        <f>IFERROR(IF('Pós Implantação'!B286="CSE Microsoft",AVERAGE('Pós Implantação'!D286,'Pós Implantação'!L286),""),"")</f>
        <v/>
      </c>
      <c r="M286" s="34" t="str">
        <f>IFERROR(IF('Pós Implantação'!B286="CSE Telecom",AVERAGE('Pós Implantação'!D286,'Pós Implantação'!L286),""),"")</f>
        <v/>
      </c>
      <c r="N286" s="34" t="str">
        <f>IFERROR(IF('Pós Implantação'!B286="Site Suporte de Campo",AVERAGE('Pós Implantação'!D286,'Pós Implantação'!L286),""),"")</f>
        <v/>
      </c>
      <c r="O286" s="49" t="str">
        <f>IFERROR(IF('Pós Implantação'!B286="Infraestrutura",AVERAGE('Pós Implantação'!D286,'Pós Implantação'!L286),""),"")</f>
        <v/>
      </c>
    </row>
    <row r="287" spans="1:15" x14ac:dyDescent="0.3">
      <c r="A287" s="33">
        <f>'Pré Implantação'!A287</f>
        <v>0</v>
      </c>
      <c r="B287" s="36" t="str">
        <f>'Pós Implantação'!C287</f>
        <v>0</v>
      </c>
      <c r="C287" s="34" t="str">
        <f>IFERROR(IF('Pré Implantação'!B287="Produção TI",AVERAGE('Pós Implantação'!D287,'Pós Implantação'!E287,'Pós Implantação'!L287,'Pós Implantação'!H287),AVERAGE('Pré Implantação'!E287,'Pré Implantação'!H287)),"")</f>
        <v/>
      </c>
      <c r="D287" s="34" t="str">
        <f>IFERROR(IF('Pós Implantação'!B287="CSC Service Desk",AVERAGE('Pós Implantação'!D287,'Pós Implantação'!L287,'Pós Implantação'!F287),AVERAGE('Pós Implantação'!F287)),"")</f>
        <v/>
      </c>
      <c r="E287" s="34" t="str">
        <f>IFERROR(IF('Pós Implantação'!B287="CSC NOC",AVERAGE('Pós Implantação'!D287,'Pós Implantação'!L287,'Pós Implantação'!G287),AVERAGE('Pós Implantação'!G287)),"")</f>
        <v/>
      </c>
      <c r="F287" s="34" t="str">
        <f>IFERROR(IF('Pós Implantação'!B287="CSE Gravadores",AVERAGE('Pós Implantação'!D287,'Pós Implantação'!L287,'Pós Implantação'!I287),AVERAGE('Pós Implantação'!I287)),"")</f>
        <v/>
      </c>
      <c r="G287" s="34" t="str">
        <f>IFERROR(IF('Pós Implantação'!B287="CSC",AVERAGE('Pós Implantação'!D287,'Pós Implantação'!L287,'Pós Implantação'!J287),AVERAGE('Pós Implantação'!J287)),"")</f>
        <v/>
      </c>
      <c r="H287" s="34" t="str">
        <f>IFERROR(IF('Pós Implantação'!B287="Operações \ Negócio",AVERAGE('Pós Implantação'!D287,'Pós Implantação'!L287,'Pós Implantação'!K287),AVERAGE('Pós Implantação'!K287)),"")</f>
        <v/>
      </c>
      <c r="I287" s="34" t="str">
        <f>IFERROR(IF('Pós Implantação'!B287="Projetos",AVERAGE('Pós Implantação'!D287,'Pós Implantação'!L287,'Pós Implantação'!M287),AVERAGE('Pós Implantação'!M287)),"")</f>
        <v/>
      </c>
      <c r="J287" s="34" t="str">
        <f>IFERROR(IF('Pós Implantação'!B287="Engenharia",AVERAGE('Pós Implantação'!D287,'Pós Implantação'!L287,'Pós Implantação'!N287),AVERAGE('Pós Implantação'!N287)),"")</f>
        <v/>
      </c>
      <c r="K287" s="34" t="str">
        <f>IFERROR(IF('Pós Implantação'!B287="URA",AVERAGE('Pós Implantação'!D287,'Pós Implantação'!L287),""),"")</f>
        <v/>
      </c>
      <c r="L287" s="34" t="str">
        <f>IFERROR(IF('Pós Implantação'!B287="CSE Microsoft",AVERAGE('Pós Implantação'!D287,'Pós Implantação'!L287),""),"")</f>
        <v/>
      </c>
      <c r="M287" s="34" t="str">
        <f>IFERROR(IF('Pós Implantação'!B287="CSE Telecom",AVERAGE('Pós Implantação'!D287,'Pós Implantação'!L287),""),"")</f>
        <v/>
      </c>
      <c r="N287" s="34" t="str">
        <f>IFERROR(IF('Pós Implantação'!B287="Site Suporte de Campo",AVERAGE('Pós Implantação'!D287,'Pós Implantação'!L287),""),"")</f>
        <v/>
      </c>
      <c r="O287" s="49" t="str">
        <f>IFERROR(IF('Pós Implantação'!B287="Infraestrutura",AVERAGE('Pós Implantação'!D287,'Pós Implantação'!L287),""),"")</f>
        <v/>
      </c>
    </row>
    <row r="288" spans="1:15" x14ac:dyDescent="0.3">
      <c r="A288" s="33">
        <f>'Pré Implantação'!A288</f>
        <v>0</v>
      </c>
      <c r="B288" s="36" t="str">
        <f>'Pós Implantação'!C288</f>
        <v>0</v>
      </c>
      <c r="C288" s="34" t="str">
        <f>IFERROR(IF('Pré Implantação'!B288="Produção TI",AVERAGE('Pós Implantação'!D288,'Pós Implantação'!E288,'Pós Implantação'!L288,'Pós Implantação'!H288),AVERAGE('Pré Implantação'!E288,'Pré Implantação'!H288)),"")</f>
        <v/>
      </c>
      <c r="D288" s="34" t="str">
        <f>IFERROR(IF('Pós Implantação'!B288="CSC Service Desk",AVERAGE('Pós Implantação'!D288,'Pós Implantação'!L288,'Pós Implantação'!F288),AVERAGE('Pós Implantação'!F288)),"")</f>
        <v/>
      </c>
      <c r="E288" s="34" t="str">
        <f>IFERROR(IF('Pós Implantação'!B288="CSC NOC",AVERAGE('Pós Implantação'!D288,'Pós Implantação'!L288,'Pós Implantação'!G288),AVERAGE('Pós Implantação'!G288)),"")</f>
        <v/>
      </c>
      <c r="F288" s="34" t="str">
        <f>IFERROR(IF('Pós Implantação'!B288="CSE Gravadores",AVERAGE('Pós Implantação'!D288,'Pós Implantação'!L288,'Pós Implantação'!I288),AVERAGE('Pós Implantação'!I288)),"")</f>
        <v/>
      </c>
      <c r="G288" s="34" t="str">
        <f>IFERROR(IF('Pós Implantação'!B288="CSC",AVERAGE('Pós Implantação'!D288,'Pós Implantação'!L288,'Pós Implantação'!J288),AVERAGE('Pós Implantação'!J288)),"")</f>
        <v/>
      </c>
      <c r="H288" s="34" t="str">
        <f>IFERROR(IF('Pós Implantação'!B288="Operações \ Negócio",AVERAGE('Pós Implantação'!D288,'Pós Implantação'!L288,'Pós Implantação'!K288),AVERAGE('Pós Implantação'!K288)),"")</f>
        <v/>
      </c>
      <c r="I288" s="34" t="str">
        <f>IFERROR(IF('Pós Implantação'!B288="Projetos",AVERAGE('Pós Implantação'!D288,'Pós Implantação'!L288,'Pós Implantação'!M288),AVERAGE('Pós Implantação'!M288)),"")</f>
        <v/>
      </c>
      <c r="J288" s="34" t="str">
        <f>IFERROR(IF('Pós Implantação'!B288="Engenharia",AVERAGE('Pós Implantação'!D288,'Pós Implantação'!L288,'Pós Implantação'!N288),AVERAGE('Pós Implantação'!N288)),"")</f>
        <v/>
      </c>
      <c r="K288" s="34" t="str">
        <f>IFERROR(IF('Pós Implantação'!B288="URA",AVERAGE('Pós Implantação'!D288,'Pós Implantação'!L288),""),"")</f>
        <v/>
      </c>
      <c r="L288" s="34" t="str">
        <f>IFERROR(IF('Pós Implantação'!B288="CSE Microsoft",AVERAGE('Pós Implantação'!D288,'Pós Implantação'!L288),""),"")</f>
        <v/>
      </c>
      <c r="M288" s="34" t="str">
        <f>IFERROR(IF('Pós Implantação'!B288="CSE Telecom",AVERAGE('Pós Implantação'!D288,'Pós Implantação'!L288),""),"")</f>
        <v/>
      </c>
      <c r="N288" s="34" t="str">
        <f>IFERROR(IF('Pós Implantação'!B288="Site Suporte de Campo",AVERAGE('Pós Implantação'!D288,'Pós Implantação'!L288),""),"")</f>
        <v/>
      </c>
      <c r="O288" s="49" t="str">
        <f>IFERROR(IF('Pós Implantação'!B288="Infraestrutura",AVERAGE('Pós Implantação'!D288,'Pós Implantação'!L288),""),"")</f>
        <v/>
      </c>
    </row>
    <row r="289" spans="1:15" x14ac:dyDescent="0.3">
      <c r="A289" s="33">
        <f>'Pré Implantação'!A289</f>
        <v>0</v>
      </c>
      <c r="B289" s="36" t="str">
        <f>'Pós Implantação'!C289</f>
        <v>0</v>
      </c>
      <c r="C289" s="34" t="str">
        <f>IFERROR(IF('Pré Implantação'!B289="Produção TI",AVERAGE('Pós Implantação'!D289,'Pós Implantação'!E289,'Pós Implantação'!L289,'Pós Implantação'!H289),AVERAGE('Pré Implantação'!E289,'Pré Implantação'!H289)),"")</f>
        <v/>
      </c>
      <c r="D289" s="34" t="str">
        <f>IFERROR(IF('Pós Implantação'!B289="CSC Service Desk",AVERAGE('Pós Implantação'!D289,'Pós Implantação'!L289,'Pós Implantação'!F289),AVERAGE('Pós Implantação'!F289)),"")</f>
        <v/>
      </c>
      <c r="E289" s="34" t="str">
        <f>IFERROR(IF('Pós Implantação'!B289="CSC NOC",AVERAGE('Pós Implantação'!D289,'Pós Implantação'!L289,'Pós Implantação'!G289),AVERAGE('Pós Implantação'!G289)),"")</f>
        <v/>
      </c>
      <c r="F289" s="34" t="str">
        <f>IFERROR(IF('Pós Implantação'!B289="CSE Gravadores",AVERAGE('Pós Implantação'!D289,'Pós Implantação'!L289,'Pós Implantação'!I289),AVERAGE('Pós Implantação'!I289)),"")</f>
        <v/>
      </c>
      <c r="G289" s="34" t="str">
        <f>IFERROR(IF('Pós Implantação'!B289="CSC",AVERAGE('Pós Implantação'!D289,'Pós Implantação'!L289,'Pós Implantação'!J289),AVERAGE('Pós Implantação'!J289)),"")</f>
        <v/>
      </c>
      <c r="H289" s="34" t="str">
        <f>IFERROR(IF('Pós Implantação'!B289="Operações \ Negócio",AVERAGE('Pós Implantação'!D289,'Pós Implantação'!L289,'Pós Implantação'!K289),AVERAGE('Pós Implantação'!K289)),"")</f>
        <v/>
      </c>
      <c r="I289" s="34" t="str">
        <f>IFERROR(IF('Pós Implantação'!B289="Projetos",AVERAGE('Pós Implantação'!D289,'Pós Implantação'!L289,'Pós Implantação'!M289),AVERAGE('Pós Implantação'!M289)),"")</f>
        <v/>
      </c>
      <c r="J289" s="34" t="str">
        <f>IFERROR(IF('Pós Implantação'!B289="Engenharia",AVERAGE('Pós Implantação'!D289,'Pós Implantação'!L289,'Pós Implantação'!N289),AVERAGE('Pós Implantação'!N289)),"")</f>
        <v/>
      </c>
      <c r="K289" s="34" t="str">
        <f>IFERROR(IF('Pós Implantação'!B289="URA",AVERAGE('Pós Implantação'!D289,'Pós Implantação'!L289),""),"")</f>
        <v/>
      </c>
      <c r="L289" s="34" t="str">
        <f>IFERROR(IF('Pós Implantação'!B289="CSE Microsoft",AVERAGE('Pós Implantação'!D289,'Pós Implantação'!L289),""),"")</f>
        <v/>
      </c>
      <c r="M289" s="34" t="str">
        <f>IFERROR(IF('Pós Implantação'!B289="CSE Telecom",AVERAGE('Pós Implantação'!D289,'Pós Implantação'!L289),""),"")</f>
        <v/>
      </c>
      <c r="N289" s="34" t="str">
        <f>IFERROR(IF('Pós Implantação'!B289="Site Suporte de Campo",AVERAGE('Pós Implantação'!D289,'Pós Implantação'!L289),""),"")</f>
        <v/>
      </c>
      <c r="O289" s="49" t="str">
        <f>IFERROR(IF('Pós Implantação'!B289="Infraestrutura",AVERAGE('Pós Implantação'!D289,'Pós Implantação'!L289),""),"")</f>
        <v/>
      </c>
    </row>
    <row r="290" spans="1:15" x14ac:dyDescent="0.3">
      <c r="A290" s="33">
        <f>'Pré Implantação'!A290</f>
        <v>0</v>
      </c>
      <c r="B290" s="36" t="str">
        <f>'Pós Implantação'!C290</f>
        <v>0</v>
      </c>
      <c r="C290" s="34" t="str">
        <f>IFERROR(IF('Pré Implantação'!B290="Produção TI",AVERAGE('Pós Implantação'!D290,'Pós Implantação'!E290,'Pós Implantação'!L290,'Pós Implantação'!H290),AVERAGE('Pré Implantação'!E290,'Pré Implantação'!H290)),"")</f>
        <v/>
      </c>
      <c r="D290" s="34" t="str">
        <f>IFERROR(IF('Pós Implantação'!B290="CSC Service Desk",AVERAGE('Pós Implantação'!D290,'Pós Implantação'!L290,'Pós Implantação'!F290),AVERAGE('Pós Implantação'!F290)),"")</f>
        <v/>
      </c>
      <c r="E290" s="34" t="str">
        <f>IFERROR(IF('Pós Implantação'!B290="CSC NOC",AVERAGE('Pós Implantação'!D290,'Pós Implantação'!L290,'Pós Implantação'!G290),AVERAGE('Pós Implantação'!G290)),"")</f>
        <v/>
      </c>
      <c r="F290" s="34" t="str">
        <f>IFERROR(IF('Pós Implantação'!B290="CSE Gravadores",AVERAGE('Pós Implantação'!D290,'Pós Implantação'!L290,'Pós Implantação'!I290),AVERAGE('Pós Implantação'!I290)),"")</f>
        <v/>
      </c>
      <c r="G290" s="34" t="str">
        <f>IFERROR(IF('Pós Implantação'!B290="CSC",AVERAGE('Pós Implantação'!D290,'Pós Implantação'!L290,'Pós Implantação'!J290),AVERAGE('Pós Implantação'!J290)),"")</f>
        <v/>
      </c>
      <c r="H290" s="34" t="str">
        <f>IFERROR(IF('Pós Implantação'!B290="Operações \ Negócio",AVERAGE('Pós Implantação'!D290,'Pós Implantação'!L290,'Pós Implantação'!K290),AVERAGE('Pós Implantação'!K290)),"")</f>
        <v/>
      </c>
      <c r="I290" s="34" t="str">
        <f>IFERROR(IF('Pós Implantação'!B290="Projetos",AVERAGE('Pós Implantação'!D290,'Pós Implantação'!L290,'Pós Implantação'!M290),AVERAGE('Pós Implantação'!M290)),"")</f>
        <v/>
      </c>
      <c r="J290" s="34" t="str">
        <f>IFERROR(IF('Pós Implantação'!B290="Engenharia",AVERAGE('Pós Implantação'!D290,'Pós Implantação'!L290,'Pós Implantação'!N290),AVERAGE('Pós Implantação'!N290)),"")</f>
        <v/>
      </c>
      <c r="K290" s="34" t="str">
        <f>IFERROR(IF('Pós Implantação'!B290="URA",AVERAGE('Pós Implantação'!D290,'Pós Implantação'!L290),""),"")</f>
        <v/>
      </c>
      <c r="L290" s="34" t="str">
        <f>IFERROR(IF('Pós Implantação'!B290="CSE Microsoft",AVERAGE('Pós Implantação'!D290,'Pós Implantação'!L290),""),"")</f>
        <v/>
      </c>
      <c r="M290" s="34" t="str">
        <f>IFERROR(IF('Pós Implantação'!B290="CSE Telecom",AVERAGE('Pós Implantação'!D290,'Pós Implantação'!L290),""),"")</f>
        <v/>
      </c>
      <c r="N290" s="34" t="str">
        <f>IFERROR(IF('Pós Implantação'!B290="Site Suporte de Campo",AVERAGE('Pós Implantação'!D290,'Pós Implantação'!L290),""),"")</f>
        <v/>
      </c>
      <c r="O290" s="49" t="str">
        <f>IFERROR(IF('Pós Implantação'!B290="Infraestrutura",AVERAGE('Pós Implantação'!D290,'Pós Implantação'!L290),""),"")</f>
        <v/>
      </c>
    </row>
    <row r="291" spans="1:15" x14ac:dyDescent="0.3">
      <c r="A291" s="33">
        <f>'Pré Implantação'!A291</f>
        <v>0</v>
      </c>
      <c r="B291" s="36" t="str">
        <f>'Pós Implantação'!C291</f>
        <v>0</v>
      </c>
      <c r="C291" s="34" t="str">
        <f>IFERROR(IF('Pré Implantação'!B291="Produção TI",AVERAGE('Pós Implantação'!D291,'Pós Implantação'!E291,'Pós Implantação'!L291,'Pós Implantação'!H291),AVERAGE('Pré Implantação'!E291,'Pré Implantação'!H291)),"")</f>
        <v/>
      </c>
      <c r="D291" s="34" t="str">
        <f>IFERROR(IF('Pós Implantação'!B291="CSC Service Desk",AVERAGE('Pós Implantação'!D291,'Pós Implantação'!L291,'Pós Implantação'!F291),AVERAGE('Pós Implantação'!F291)),"")</f>
        <v/>
      </c>
      <c r="E291" s="34" t="str">
        <f>IFERROR(IF('Pós Implantação'!B291="CSC NOC",AVERAGE('Pós Implantação'!D291,'Pós Implantação'!L291,'Pós Implantação'!G291),AVERAGE('Pós Implantação'!G291)),"")</f>
        <v/>
      </c>
      <c r="F291" s="34" t="str">
        <f>IFERROR(IF('Pós Implantação'!B291="CSE Gravadores",AVERAGE('Pós Implantação'!D291,'Pós Implantação'!L291,'Pós Implantação'!I291),AVERAGE('Pós Implantação'!I291)),"")</f>
        <v/>
      </c>
      <c r="G291" s="34" t="str">
        <f>IFERROR(IF('Pós Implantação'!B291="CSC",AVERAGE('Pós Implantação'!D291,'Pós Implantação'!L291,'Pós Implantação'!J291),AVERAGE('Pós Implantação'!J291)),"")</f>
        <v/>
      </c>
      <c r="H291" s="34" t="str">
        <f>IFERROR(IF('Pós Implantação'!B291="Operações \ Negócio",AVERAGE('Pós Implantação'!D291,'Pós Implantação'!L291,'Pós Implantação'!K291),AVERAGE('Pós Implantação'!K291)),"")</f>
        <v/>
      </c>
      <c r="I291" s="34" t="str">
        <f>IFERROR(IF('Pós Implantação'!B291="Projetos",AVERAGE('Pós Implantação'!D291,'Pós Implantação'!L291,'Pós Implantação'!M291),AVERAGE('Pós Implantação'!M291)),"")</f>
        <v/>
      </c>
      <c r="J291" s="34" t="str">
        <f>IFERROR(IF('Pós Implantação'!B291="Engenharia",AVERAGE('Pós Implantação'!D291,'Pós Implantação'!L291,'Pós Implantação'!N291),AVERAGE('Pós Implantação'!N291)),"")</f>
        <v/>
      </c>
      <c r="K291" s="34" t="str">
        <f>IFERROR(IF('Pós Implantação'!B291="URA",AVERAGE('Pós Implantação'!D291,'Pós Implantação'!L291),""),"")</f>
        <v/>
      </c>
      <c r="L291" s="34" t="str">
        <f>IFERROR(IF('Pós Implantação'!B291="CSE Microsoft",AVERAGE('Pós Implantação'!D291,'Pós Implantação'!L291),""),"")</f>
        <v/>
      </c>
      <c r="M291" s="34" t="str">
        <f>IFERROR(IF('Pós Implantação'!B291="CSE Telecom",AVERAGE('Pós Implantação'!D291,'Pós Implantação'!L291),""),"")</f>
        <v/>
      </c>
      <c r="N291" s="34" t="str">
        <f>IFERROR(IF('Pós Implantação'!B291="Site Suporte de Campo",AVERAGE('Pós Implantação'!D291,'Pós Implantação'!L291),""),"")</f>
        <v/>
      </c>
      <c r="O291" s="49" t="str">
        <f>IFERROR(IF('Pós Implantação'!B291="Infraestrutura",AVERAGE('Pós Implantação'!D291,'Pós Implantação'!L291),""),"")</f>
        <v/>
      </c>
    </row>
    <row r="292" spans="1:15" x14ac:dyDescent="0.3">
      <c r="A292" s="33">
        <f>'Pré Implantação'!A292</f>
        <v>0</v>
      </c>
      <c r="B292" s="36" t="str">
        <f>'Pós Implantação'!C292</f>
        <v>0</v>
      </c>
      <c r="C292" s="34" t="str">
        <f>IFERROR(IF('Pré Implantação'!B292="Produção TI",AVERAGE('Pós Implantação'!D292,'Pós Implantação'!E292,'Pós Implantação'!L292,'Pós Implantação'!H292),AVERAGE('Pré Implantação'!E292,'Pré Implantação'!H292)),"")</f>
        <v/>
      </c>
      <c r="D292" s="34" t="str">
        <f>IFERROR(IF('Pós Implantação'!B292="CSC Service Desk",AVERAGE('Pós Implantação'!D292,'Pós Implantação'!L292,'Pós Implantação'!F292),AVERAGE('Pós Implantação'!F292)),"")</f>
        <v/>
      </c>
      <c r="E292" s="34" t="str">
        <f>IFERROR(IF('Pós Implantação'!B292="CSC NOC",AVERAGE('Pós Implantação'!D292,'Pós Implantação'!L292,'Pós Implantação'!G292),AVERAGE('Pós Implantação'!G292)),"")</f>
        <v/>
      </c>
      <c r="F292" s="34" t="str">
        <f>IFERROR(IF('Pós Implantação'!B292="CSE Gravadores",AVERAGE('Pós Implantação'!D292,'Pós Implantação'!L292,'Pós Implantação'!I292),AVERAGE('Pós Implantação'!I292)),"")</f>
        <v/>
      </c>
      <c r="G292" s="34" t="str">
        <f>IFERROR(IF('Pós Implantação'!B292="CSC",AVERAGE('Pós Implantação'!D292,'Pós Implantação'!L292,'Pós Implantação'!J292),AVERAGE('Pós Implantação'!J292)),"")</f>
        <v/>
      </c>
      <c r="H292" s="34" t="str">
        <f>IFERROR(IF('Pós Implantação'!B292="Operações \ Negócio",AVERAGE('Pós Implantação'!D292,'Pós Implantação'!L292,'Pós Implantação'!K292),AVERAGE('Pós Implantação'!K292)),"")</f>
        <v/>
      </c>
      <c r="I292" s="34" t="str">
        <f>IFERROR(IF('Pós Implantação'!B292="Projetos",AVERAGE('Pós Implantação'!D292,'Pós Implantação'!L292,'Pós Implantação'!M292),AVERAGE('Pós Implantação'!M292)),"")</f>
        <v/>
      </c>
      <c r="J292" s="34" t="str">
        <f>IFERROR(IF('Pós Implantação'!B292="Engenharia",AVERAGE('Pós Implantação'!D292,'Pós Implantação'!L292,'Pós Implantação'!N292),AVERAGE('Pós Implantação'!N292)),"")</f>
        <v/>
      </c>
      <c r="K292" s="34" t="str">
        <f>IFERROR(IF('Pós Implantação'!B292="URA",AVERAGE('Pós Implantação'!D292,'Pós Implantação'!L292),""),"")</f>
        <v/>
      </c>
      <c r="L292" s="34" t="str">
        <f>IFERROR(IF('Pós Implantação'!B292="CSE Microsoft",AVERAGE('Pós Implantação'!D292,'Pós Implantação'!L292),""),"")</f>
        <v/>
      </c>
      <c r="M292" s="34" t="str">
        <f>IFERROR(IF('Pós Implantação'!B292="CSE Telecom",AVERAGE('Pós Implantação'!D292,'Pós Implantação'!L292),""),"")</f>
        <v/>
      </c>
      <c r="N292" s="34" t="str">
        <f>IFERROR(IF('Pós Implantação'!B292="Site Suporte de Campo",AVERAGE('Pós Implantação'!D292,'Pós Implantação'!L292),""),"")</f>
        <v/>
      </c>
      <c r="O292" s="49" t="str">
        <f>IFERROR(IF('Pós Implantação'!B292="Infraestrutura",AVERAGE('Pós Implantação'!D292,'Pós Implantação'!L292),""),"")</f>
        <v/>
      </c>
    </row>
    <row r="293" spans="1:15" x14ac:dyDescent="0.3">
      <c r="A293" s="33">
        <f>'Pré Implantação'!A293</f>
        <v>0</v>
      </c>
      <c r="B293" s="36" t="str">
        <f>'Pós Implantação'!C293</f>
        <v>0</v>
      </c>
      <c r="C293" s="34" t="str">
        <f>IFERROR(IF('Pré Implantação'!B293="Produção TI",AVERAGE('Pós Implantação'!D293,'Pós Implantação'!E293,'Pós Implantação'!L293,'Pós Implantação'!H293),AVERAGE('Pré Implantação'!E293,'Pré Implantação'!H293)),"")</f>
        <v/>
      </c>
      <c r="D293" s="34" t="str">
        <f>IFERROR(IF('Pós Implantação'!B293="CSC Service Desk",AVERAGE('Pós Implantação'!D293,'Pós Implantação'!L293,'Pós Implantação'!F293),AVERAGE('Pós Implantação'!F293)),"")</f>
        <v/>
      </c>
      <c r="E293" s="34" t="str">
        <f>IFERROR(IF('Pós Implantação'!B293="CSC NOC",AVERAGE('Pós Implantação'!D293,'Pós Implantação'!L293,'Pós Implantação'!G293),AVERAGE('Pós Implantação'!G293)),"")</f>
        <v/>
      </c>
      <c r="F293" s="34" t="str">
        <f>IFERROR(IF('Pós Implantação'!B293="CSE Gravadores",AVERAGE('Pós Implantação'!D293,'Pós Implantação'!L293,'Pós Implantação'!I293),AVERAGE('Pós Implantação'!I293)),"")</f>
        <v/>
      </c>
      <c r="G293" s="34" t="str">
        <f>IFERROR(IF('Pós Implantação'!B293="CSC",AVERAGE('Pós Implantação'!D293,'Pós Implantação'!L293,'Pós Implantação'!J293),AVERAGE('Pós Implantação'!J293)),"")</f>
        <v/>
      </c>
      <c r="H293" s="34" t="str">
        <f>IFERROR(IF('Pós Implantação'!B293="Operações \ Negócio",AVERAGE('Pós Implantação'!D293,'Pós Implantação'!L293,'Pós Implantação'!K293),AVERAGE('Pós Implantação'!K293)),"")</f>
        <v/>
      </c>
      <c r="I293" s="34" t="str">
        <f>IFERROR(IF('Pós Implantação'!B293="Projetos",AVERAGE('Pós Implantação'!D293,'Pós Implantação'!L293,'Pós Implantação'!M293),AVERAGE('Pós Implantação'!M293)),"")</f>
        <v/>
      </c>
      <c r="J293" s="34" t="str">
        <f>IFERROR(IF('Pós Implantação'!B293="Engenharia",AVERAGE('Pós Implantação'!D293,'Pós Implantação'!L293,'Pós Implantação'!N293),AVERAGE('Pós Implantação'!N293)),"")</f>
        <v/>
      </c>
      <c r="K293" s="34" t="str">
        <f>IFERROR(IF('Pós Implantação'!B293="URA",AVERAGE('Pós Implantação'!D293,'Pós Implantação'!L293),""),"")</f>
        <v/>
      </c>
      <c r="L293" s="34" t="str">
        <f>IFERROR(IF('Pós Implantação'!B293="CSE Microsoft",AVERAGE('Pós Implantação'!D293,'Pós Implantação'!L293),""),"")</f>
        <v/>
      </c>
      <c r="M293" s="34" t="str">
        <f>IFERROR(IF('Pós Implantação'!B293="CSE Telecom",AVERAGE('Pós Implantação'!D293,'Pós Implantação'!L293),""),"")</f>
        <v/>
      </c>
      <c r="N293" s="34" t="str">
        <f>IFERROR(IF('Pós Implantação'!B293="Site Suporte de Campo",AVERAGE('Pós Implantação'!D293,'Pós Implantação'!L293),""),"")</f>
        <v/>
      </c>
      <c r="O293" s="49" t="str">
        <f>IFERROR(IF('Pós Implantação'!B293="Infraestrutura",AVERAGE('Pós Implantação'!D293,'Pós Implantação'!L293),""),"")</f>
        <v/>
      </c>
    </row>
    <row r="294" spans="1:15" x14ac:dyDescent="0.3">
      <c r="A294" s="33">
        <f>'Pré Implantação'!A294</f>
        <v>0</v>
      </c>
      <c r="B294" s="36" t="str">
        <f>'Pós Implantação'!C294</f>
        <v>0</v>
      </c>
      <c r="C294" s="34" t="str">
        <f>IFERROR(IF('Pré Implantação'!B294="Produção TI",AVERAGE('Pós Implantação'!D294,'Pós Implantação'!E294,'Pós Implantação'!L294,'Pós Implantação'!H294),AVERAGE('Pré Implantação'!E294,'Pré Implantação'!H294)),"")</f>
        <v/>
      </c>
      <c r="D294" s="34" t="str">
        <f>IFERROR(IF('Pós Implantação'!B294="CSC Service Desk",AVERAGE('Pós Implantação'!D294,'Pós Implantação'!L294,'Pós Implantação'!F294),AVERAGE('Pós Implantação'!F294)),"")</f>
        <v/>
      </c>
      <c r="E294" s="34" t="str">
        <f>IFERROR(IF('Pós Implantação'!B294="CSC NOC",AVERAGE('Pós Implantação'!D294,'Pós Implantação'!L294,'Pós Implantação'!G294),AVERAGE('Pós Implantação'!G294)),"")</f>
        <v/>
      </c>
      <c r="F294" s="34" t="str">
        <f>IFERROR(IF('Pós Implantação'!B294="CSE Gravadores",AVERAGE('Pós Implantação'!D294,'Pós Implantação'!L294,'Pós Implantação'!I294),AVERAGE('Pós Implantação'!I294)),"")</f>
        <v/>
      </c>
      <c r="G294" s="34" t="str">
        <f>IFERROR(IF('Pós Implantação'!B294="CSC",AVERAGE('Pós Implantação'!D294,'Pós Implantação'!L294,'Pós Implantação'!J294),AVERAGE('Pós Implantação'!J294)),"")</f>
        <v/>
      </c>
      <c r="H294" s="34" t="str">
        <f>IFERROR(IF('Pós Implantação'!B294="Operações \ Negócio",AVERAGE('Pós Implantação'!D294,'Pós Implantação'!L294,'Pós Implantação'!K294),AVERAGE('Pós Implantação'!K294)),"")</f>
        <v/>
      </c>
      <c r="I294" s="34" t="str">
        <f>IFERROR(IF('Pós Implantação'!B294="Projetos",AVERAGE('Pós Implantação'!D294,'Pós Implantação'!L294,'Pós Implantação'!M294),AVERAGE('Pós Implantação'!M294)),"")</f>
        <v/>
      </c>
      <c r="J294" s="34" t="str">
        <f>IFERROR(IF('Pós Implantação'!B294="Engenharia",AVERAGE('Pós Implantação'!D294,'Pós Implantação'!L294,'Pós Implantação'!N294),AVERAGE('Pós Implantação'!N294)),"")</f>
        <v/>
      </c>
      <c r="K294" s="34" t="str">
        <f>IFERROR(IF('Pós Implantação'!B294="URA",AVERAGE('Pós Implantação'!D294,'Pós Implantação'!L294),""),"")</f>
        <v/>
      </c>
      <c r="L294" s="34" t="str">
        <f>IFERROR(IF('Pós Implantação'!B294="CSE Microsoft",AVERAGE('Pós Implantação'!D294,'Pós Implantação'!L294),""),"")</f>
        <v/>
      </c>
      <c r="M294" s="34" t="str">
        <f>IFERROR(IF('Pós Implantação'!B294="CSE Telecom",AVERAGE('Pós Implantação'!D294,'Pós Implantação'!L294),""),"")</f>
        <v/>
      </c>
      <c r="N294" s="34" t="str">
        <f>IFERROR(IF('Pós Implantação'!B294="Site Suporte de Campo",AVERAGE('Pós Implantação'!D294,'Pós Implantação'!L294),""),"")</f>
        <v/>
      </c>
      <c r="O294" s="49" t="str">
        <f>IFERROR(IF('Pós Implantação'!B294="Infraestrutura",AVERAGE('Pós Implantação'!D294,'Pós Implantação'!L294),""),"")</f>
        <v/>
      </c>
    </row>
    <row r="295" spans="1:15" x14ac:dyDescent="0.3">
      <c r="A295" s="33">
        <f>'Pré Implantação'!A295</f>
        <v>0</v>
      </c>
      <c r="B295" s="36" t="str">
        <f>'Pós Implantação'!C295</f>
        <v>0</v>
      </c>
      <c r="C295" s="34" t="str">
        <f>IFERROR(IF('Pré Implantação'!B295="Produção TI",AVERAGE('Pós Implantação'!D295,'Pós Implantação'!E295,'Pós Implantação'!L295,'Pós Implantação'!H295),AVERAGE('Pré Implantação'!E295,'Pré Implantação'!H295)),"")</f>
        <v/>
      </c>
      <c r="D295" s="34" t="str">
        <f>IFERROR(IF('Pós Implantação'!B295="CSC Service Desk",AVERAGE('Pós Implantação'!D295,'Pós Implantação'!L295,'Pós Implantação'!F295),AVERAGE('Pós Implantação'!F295)),"")</f>
        <v/>
      </c>
      <c r="E295" s="34" t="str">
        <f>IFERROR(IF('Pós Implantação'!B295="CSC NOC",AVERAGE('Pós Implantação'!D295,'Pós Implantação'!L295,'Pós Implantação'!G295),AVERAGE('Pós Implantação'!G295)),"")</f>
        <v/>
      </c>
      <c r="F295" s="34" t="str">
        <f>IFERROR(IF('Pós Implantação'!B295="CSE Gravadores",AVERAGE('Pós Implantação'!D295,'Pós Implantação'!L295,'Pós Implantação'!I295),AVERAGE('Pós Implantação'!I295)),"")</f>
        <v/>
      </c>
      <c r="G295" s="34" t="str">
        <f>IFERROR(IF('Pós Implantação'!B295="CSC",AVERAGE('Pós Implantação'!D295,'Pós Implantação'!L295,'Pós Implantação'!J295),AVERAGE('Pós Implantação'!J295)),"")</f>
        <v/>
      </c>
      <c r="H295" s="34" t="str">
        <f>IFERROR(IF('Pós Implantação'!B295="Operações \ Negócio",AVERAGE('Pós Implantação'!D295,'Pós Implantação'!L295,'Pós Implantação'!K295),AVERAGE('Pós Implantação'!K295)),"")</f>
        <v/>
      </c>
      <c r="I295" s="34" t="str">
        <f>IFERROR(IF('Pós Implantação'!B295="Projetos",AVERAGE('Pós Implantação'!D295,'Pós Implantação'!L295,'Pós Implantação'!M295),AVERAGE('Pós Implantação'!M295)),"")</f>
        <v/>
      </c>
      <c r="J295" s="34" t="str">
        <f>IFERROR(IF('Pós Implantação'!B295="Engenharia",AVERAGE('Pós Implantação'!D295,'Pós Implantação'!L295,'Pós Implantação'!N295),AVERAGE('Pós Implantação'!N295)),"")</f>
        <v/>
      </c>
      <c r="K295" s="34" t="str">
        <f>IFERROR(IF('Pós Implantação'!B295="URA",AVERAGE('Pós Implantação'!D295,'Pós Implantação'!L295),""),"")</f>
        <v/>
      </c>
      <c r="L295" s="34" t="str">
        <f>IFERROR(IF('Pós Implantação'!B295="CSE Microsoft",AVERAGE('Pós Implantação'!D295,'Pós Implantação'!L295),""),"")</f>
        <v/>
      </c>
      <c r="M295" s="34" t="str">
        <f>IFERROR(IF('Pós Implantação'!B295="CSE Telecom",AVERAGE('Pós Implantação'!D295,'Pós Implantação'!L295),""),"")</f>
        <v/>
      </c>
      <c r="N295" s="34" t="str">
        <f>IFERROR(IF('Pós Implantação'!B295="Site Suporte de Campo",AVERAGE('Pós Implantação'!D295,'Pós Implantação'!L295),""),"")</f>
        <v/>
      </c>
      <c r="O295" s="49" t="str">
        <f>IFERROR(IF('Pós Implantação'!B295="Infraestrutura",AVERAGE('Pós Implantação'!D295,'Pós Implantação'!L295),""),"")</f>
        <v/>
      </c>
    </row>
    <row r="296" spans="1:15" x14ac:dyDescent="0.3">
      <c r="A296" s="33">
        <f>'Pré Implantação'!A296</f>
        <v>0</v>
      </c>
      <c r="B296" s="36" t="str">
        <f>'Pós Implantação'!C296</f>
        <v>0</v>
      </c>
      <c r="C296" s="34" t="str">
        <f>IFERROR(IF('Pré Implantação'!B296="Produção TI",AVERAGE('Pós Implantação'!D296,'Pós Implantação'!E296,'Pós Implantação'!L296,'Pós Implantação'!H296),AVERAGE('Pré Implantação'!E296,'Pré Implantação'!H296)),"")</f>
        <v/>
      </c>
      <c r="D296" s="34" t="str">
        <f>IFERROR(IF('Pós Implantação'!B296="CSC Service Desk",AVERAGE('Pós Implantação'!D296,'Pós Implantação'!L296,'Pós Implantação'!F296),AVERAGE('Pós Implantação'!F296)),"")</f>
        <v/>
      </c>
      <c r="E296" s="34" t="str">
        <f>IFERROR(IF('Pós Implantação'!B296="CSC NOC",AVERAGE('Pós Implantação'!D296,'Pós Implantação'!L296,'Pós Implantação'!G296),AVERAGE('Pós Implantação'!G296)),"")</f>
        <v/>
      </c>
      <c r="F296" s="34" t="str">
        <f>IFERROR(IF('Pós Implantação'!B296="CSE Gravadores",AVERAGE('Pós Implantação'!D296,'Pós Implantação'!L296,'Pós Implantação'!I296),AVERAGE('Pós Implantação'!I296)),"")</f>
        <v/>
      </c>
      <c r="G296" s="34" t="str">
        <f>IFERROR(IF('Pós Implantação'!B296="CSC",AVERAGE('Pós Implantação'!D296,'Pós Implantação'!L296,'Pós Implantação'!J296),AVERAGE('Pós Implantação'!J296)),"")</f>
        <v/>
      </c>
      <c r="H296" s="34" t="str">
        <f>IFERROR(IF('Pós Implantação'!B296="Operações \ Negócio",AVERAGE('Pós Implantação'!D296,'Pós Implantação'!L296,'Pós Implantação'!K296),AVERAGE('Pós Implantação'!K296)),"")</f>
        <v/>
      </c>
      <c r="I296" s="34" t="str">
        <f>IFERROR(IF('Pós Implantação'!B296="Projetos",AVERAGE('Pós Implantação'!D296,'Pós Implantação'!L296,'Pós Implantação'!M296),AVERAGE('Pós Implantação'!M296)),"")</f>
        <v/>
      </c>
      <c r="J296" s="34" t="str">
        <f>IFERROR(IF('Pós Implantação'!B296="Engenharia",AVERAGE('Pós Implantação'!D296,'Pós Implantação'!L296,'Pós Implantação'!N296),AVERAGE('Pós Implantação'!N296)),"")</f>
        <v/>
      </c>
      <c r="K296" s="34" t="str">
        <f>IFERROR(IF('Pós Implantação'!B296="URA",AVERAGE('Pós Implantação'!D296,'Pós Implantação'!L296),""),"")</f>
        <v/>
      </c>
      <c r="L296" s="34" t="str">
        <f>IFERROR(IF('Pós Implantação'!B296="CSE Microsoft",AVERAGE('Pós Implantação'!D296,'Pós Implantação'!L296),""),"")</f>
        <v/>
      </c>
      <c r="M296" s="34" t="str">
        <f>IFERROR(IF('Pós Implantação'!B296="CSE Telecom",AVERAGE('Pós Implantação'!D296,'Pós Implantação'!L296),""),"")</f>
        <v/>
      </c>
      <c r="N296" s="34" t="str">
        <f>IFERROR(IF('Pós Implantação'!B296="Site Suporte de Campo",AVERAGE('Pós Implantação'!D296,'Pós Implantação'!L296),""),"")</f>
        <v/>
      </c>
      <c r="O296" s="49" t="str">
        <f>IFERROR(IF('Pós Implantação'!B296="Infraestrutura",AVERAGE('Pós Implantação'!D296,'Pós Implantação'!L296),""),"")</f>
        <v/>
      </c>
    </row>
    <row r="297" spans="1:15" x14ac:dyDescent="0.3">
      <c r="A297" s="33">
        <f>'Pré Implantação'!A297</f>
        <v>0</v>
      </c>
      <c r="B297" s="36" t="str">
        <f>'Pós Implantação'!C297</f>
        <v>0</v>
      </c>
      <c r="C297" s="34" t="str">
        <f>IFERROR(IF('Pré Implantação'!B297="Produção TI",AVERAGE('Pós Implantação'!D297,'Pós Implantação'!E297,'Pós Implantação'!L297,'Pós Implantação'!H297),AVERAGE('Pré Implantação'!E297,'Pré Implantação'!H297)),"")</f>
        <v/>
      </c>
      <c r="D297" s="34" t="str">
        <f>IFERROR(IF('Pós Implantação'!B297="CSC Service Desk",AVERAGE('Pós Implantação'!D297,'Pós Implantação'!L297,'Pós Implantação'!F297),AVERAGE('Pós Implantação'!F297)),"")</f>
        <v/>
      </c>
      <c r="E297" s="34" t="str">
        <f>IFERROR(IF('Pós Implantação'!B297="CSC NOC",AVERAGE('Pós Implantação'!D297,'Pós Implantação'!L297,'Pós Implantação'!G297),AVERAGE('Pós Implantação'!G297)),"")</f>
        <v/>
      </c>
      <c r="F297" s="34" t="str">
        <f>IFERROR(IF('Pós Implantação'!B297="CSE Gravadores",AVERAGE('Pós Implantação'!D297,'Pós Implantação'!L297,'Pós Implantação'!I297),AVERAGE('Pós Implantação'!I297)),"")</f>
        <v/>
      </c>
      <c r="G297" s="34" t="str">
        <f>IFERROR(IF('Pós Implantação'!B297="CSC",AVERAGE('Pós Implantação'!D297,'Pós Implantação'!L297,'Pós Implantação'!J297),AVERAGE('Pós Implantação'!J297)),"")</f>
        <v/>
      </c>
      <c r="H297" s="34" t="str">
        <f>IFERROR(IF('Pós Implantação'!B297="Operações \ Negócio",AVERAGE('Pós Implantação'!D297,'Pós Implantação'!L297,'Pós Implantação'!K297),AVERAGE('Pós Implantação'!K297)),"")</f>
        <v/>
      </c>
      <c r="I297" s="34" t="str">
        <f>IFERROR(IF('Pós Implantação'!B297="Projetos",AVERAGE('Pós Implantação'!D297,'Pós Implantação'!L297,'Pós Implantação'!M297),AVERAGE('Pós Implantação'!M297)),"")</f>
        <v/>
      </c>
      <c r="J297" s="34" t="str">
        <f>IFERROR(IF('Pós Implantação'!B297="Engenharia",AVERAGE('Pós Implantação'!D297,'Pós Implantação'!L297,'Pós Implantação'!N297),AVERAGE('Pós Implantação'!N297)),"")</f>
        <v/>
      </c>
      <c r="K297" s="34" t="str">
        <f>IFERROR(IF('Pós Implantação'!B297="URA",AVERAGE('Pós Implantação'!D297,'Pós Implantação'!L297),""),"")</f>
        <v/>
      </c>
      <c r="L297" s="34" t="str">
        <f>IFERROR(IF('Pós Implantação'!B297="CSE Microsoft",AVERAGE('Pós Implantação'!D297,'Pós Implantação'!L297),""),"")</f>
        <v/>
      </c>
      <c r="M297" s="34" t="str">
        <f>IFERROR(IF('Pós Implantação'!B297="CSE Telecom",AVERAGE('Pós Implantação'!D297,'Pós Implantação'!L297),""),"")</f>
        <v/>
      </c>
      <c r="N297" s="34" t="str">
        <f>IFERROR(IF('Pós Implantação'!B297="Site Suporte de Campo",AVERAGE('Pós Implantação'!D297,'Pós Implantação'!L297),""),"")</f>
        <v/>
      </c>
      <c r="O297" s="49" t="str">
        <f>IFERROR(IF('Pós Implantação'!B297="Infraestrutura",AVERAGE('Pós Implantação'!D297,'Pós Implantação'!L297),""),"")</f>
        <v/>
      </c>
    </row>
    <row r="298" spans="1:15" x14ac:dyDescent="0.3">
      <c r="A298" s="33">
        <f>'Pré Implantação'!A298</f>
        <v>0</v>
      </c>
      <c r="B298" s="36" t="str">
        <f>'Pós Implantação'!C298</f>
        <v>0</v>
      </c>
      <c r="C298" s="34" t="str">
        <f>IFERROR(IF('Pré Implantação'!B298="Produção TI",AVERAGE('Pós Implantação'!D298,'Pós Implantação'!E298,'Pós Implantação'!L298,'Pós Implantação'!H298),AVERAGE('Pré Implantação'!E298,'Pré Implantação'!H298)),"")</f>
        <v/>
      </c>
      <c r="D298" s="34" t="str">
        <f>IFERROR(IF('Pós Implantação'!B298="CSC Service Desk",AVERAGE('Pós Implantação'!D298,'Pós Implantação'!L298,'Pós Implantação'!F298),AVERAGE('Pós Implantação'!F298)),"")</f>
        <v/>
      </c>
      <c r="E298" s="34" t="str">
        <f>IFERROR(IF('Pós Implantação'!B298="CSC NOC",AVERAGE('Pós Implantação'!D298,'Pós Implantação'!L298,'Pós Implantação'!G298),AVERAGE('Pós Implantação'!G298)),"")</f>
        <v/>
      </c>
      <c r="F298" s="34" t="str">
        <f>IFERROR(IF('Pós Implantação'!B298="CSE Gravadores",AVERAGE('Pós Implantação'!D298,'Pós Implantação'!L298,'Pós Implantação'!I298),AVERAGE('Pós Implantação'!I298)),"")</f>
        <v/>
      </c>
      <c r="G298" s="34" t="str">
        <f>IFERROR(IF('Pós Implantação'!B298="CSC",AVERAGE('Pós Implantação'!D298,'Pós Implantação'!L298,'Pós Implantação'!J298),AVERAGE('Pós Implantação'!J298)),"")</f>
        <v/>
      </c>
      <c r="H298" s="34" t="str">
        <f>IFERROR(IF('Pós Implantação'!B298="Operações \ Negócio",AVERAGE('Pós Implantação'!D298,'Pós Implantação'!L298,'Pós Implantação'!K298),AVERAGE('Pós Implantação'!K298)),"")</f>
        <v/>
      </c>
      <c r="I298" s="34" t="str">
        <f>IFERROR(IF('Pós Implantação'!B298="Projetos",AVERAGE('Pós Implantação'!D298,'Pós Implantação'!L298,'Pós Implantação'!M298),AVERAGE('Pós Implantação'!M298)),"")</f>
        <v/>
      </c>
      <c r="J298" s="34" t="str">
        <f>IFERROR(IF('Pós Implantação'!B298="Engenharia",AVERAGE('Pós Implantação'!D298,'Pós Implantação'!L298,'Pós Implantação'!N298),AVERAGE('Pós Implantação'!N298)),"")</f>
        <v/>
      </c>
      <c r="K298" s="34" t="str">
        <f>IFERROR(IF('Pós Implantação'!B298="URA",AVERAGE('Pós Implantação'!D298,'Pós Implantação'!L298),""),"")</f>
        <v/>
      </c>
      <c r="L298" s="34" t="str">
        <f>IFERROR(IF('Pós Implantação'!B298="CSE Microsoft",AVERAGE('Pós Implantação'!D298,'Pós Implantação'!L298),""),"")</f>
        <v/>
      </c>
      <c r="M298" s="34" t="str">
        <f>IFERROR(IF('Pós Implantação'!B298="CSE Telecom",AVERAGE('Pós Implantação'!D298,'Pós Implantação'!L298),""),"")</f>
        <v/>
      </c>
      <c r="N298" s="34" t="str">
        <f>IFERROR(IF('Pós Implantação'!B298="Site Suporte de Campo",AVERAGE('Pós Implantação'!D298,'Pós Implantação'!L298),""),"")</f>
        <v/>
      </c>
      <c r="O298" s="49" t="str">
        <f>IFERROR(IF('Pós Implantação'!B298="Infraestrutura",AVERAGE('Pós Implantação'!D298,'Pós Implantação'!L298),""),"")</f>
        <v/>
      </c>
    </row>
    <row r="299" spans="1:15" x14ac:dyDescent="0.3">
      <c r="A299" s="33">
        <f>'Pré Implantação'!A299</f>
        <v>0</v>
      </c>
      <c r="B299" s="36" t="str">
        <f>'Pós Implantação'!C299</f>
        <v>0</v>
      </c>
      <c r="C299" s="34" t="str">
        <f>IFERROR(IF('Pré Implantação'!B299="Produção TI",AVERAGE('Pós Implantação'!D299,'Pós Implantação'!E299,'Pós Implantação'!L299,'Pós Implantação'!H299),AVERAGE('Pré Implantação'!E299,'Pré Implantação'!H299)),"")</f>
        <v/>
      </c>
      <c r="D299" s="34" t="str">
        <f>IFERROR(IF('Pós Implantação'!B299="CSC Service Desk",AVERAGE('Pós Implantação'!D299,'Pós Implantação'!L299,'Pós Implantação'!F299),AVERAGE('Pós Implantação'!F299)),"")</f>
        <v/>
      </c>
      <c r="E299" s="34" t="str">
        <f>IFERROR(IF('Pós Implantação'!B299="CSC NOC",AVERAGE('Pós Implantação'!D299,'Pós Implantação'!L299,'Pós Implantação'!G299),AVERAGE('Pós Implantação'!G299)),"")</f>
        <v/>
      </c>
      <c r="F299" s="34" t="str">
        <f>IFERROR(IF('Pós Implantação'!B299="CSE Gravadores",AVERAGE('Pós Implantação'!D299,'Pós Implantação'!L299,'Pós Implantação'!I299),AVERAGE('Pós Implantação'!I299)),"")</f>
        <v/>
      </c>
      <c r="G299" s="34" t="str">
        <f>IFERROR(IF('Pós Implantação'!B299="CSC",AVERAGE('Pós Implantação'!D299,'Pós Implantação'!L299,'Pós Implantação'!J299),AVERAGE('Pós Implantação'!J299)),"")</f>
        <v/>
      </c>
      <c r="H299" s="34" t="str">
        <f>IFERROR(IF('Pós Implantação'!B299="Operações \ Negócio",AVERAGE('Pós Implantação'!D299,'Pós Implantação'!L299,'Pós Implantação'!K299),AVERAGE('Pós Implantação'!K299)),"")</f>
        <v/>
      </c>
      <c r="I299" s="34" t="str">
        <f>IFERROR(IF('Pós Implantação'!B299="Projetos",AVERAGE('Pós Implantação'!D299,'Pós Implantação'!L299,'Pós Implantação'!M299),AVERAGE('Pós Implantação'!M299)),"")</f>
        <v/>
      </c>
      <c r="J299" s="34" t="str">
        <f>IFERROR(IF('Pós Implantação'!B299="Engenharia",AVERAGE('Pós Implantação'!D299,'Pós Implantação'!L299,'Pós Implantação'!N299),AVERAGE('Pós Implantação'!N299)),"")</f>
        <v/>
      </c>
      <c r="K299" s="34" t="str">
        <f>IFERROR(IF('Pós Implantação'!B299="URA",AVERAGE('Pós Implantação'!D299,'Pós Implantação'!L299),""),"")</f>
        <v/>
      </c>
      <c r="L299" s="34" t="str">
        <f>IFERROR(IF('Pós Implantação'!B299="CSE Microsoft",AVERAGE('Pós Implantação'!D299,'Pós Implantação'!L299),""),"")</f>
        <v/>
      </c>
      <c r="M299" s="34" t="str">
        <f>IFERROR(IF('Pós Implantação'!B299="CSE Telecom",AVERAGE('Pós Implantação'!D299,'Pós Implantação'!L299),""),"")</f>
        <v/>
      </c>
      <c r="N299" s="34" t="str">
        <f>IFERROR(IF('Pós Implantação'!B299="Site Suporte de Campo",AVERAGE('Pós Implantação'!D299,'Pós Implantação'!L299),""),"")</f>
        <v/>
      </c>
      <c r="O299" s="49" t="str">
        <f>IFERROR(IF('Pós Implantação'!B299="Infraestrutura",AVERAGE('Pós Implantação'!D299,'Pós Implantação'!L299),""),"")</f>
        <v/>
      </c>
    </row>
    <row r="300" spans="1:15" x14ac:dyDescent="0.3">
      <c r="A300" s="33">
        <f>'Pré Implantação'!A300</f>
        <v>0</v>
      </c>
      <c r="B300" s="36" t="str">
        <f>'Pós Implantação'!C300</f>
        <v>0</v>
      </c>
      <c r="C300" s="34" t="str">
        <f>IFERROR(IF('Pré Implantação'!B300="Produção TI",AVERAGE('Pós Implantação'!D300,'Pós Implantação'!E300,'Pós Implantação'!L300,'Pós Implantação'!H300),AVERAGE('Pré Implantação'!E300,'Pré Implantação'!H300)),"")</f>
        <v/>
      </c>
      <c r="D300" s="34" t="str">
        <f>IFERROR(IF('Pós Implantação'!B300="CSC Service Desk",AVERAGE('Pós Implantação'!D300,'Pós Implantação'!L300,'Pós Implantação'!F300),AVERAGE('Pós Implantação'!F300)),"")</f>
        <v/>
      </c>
      <c r="E300" s="34" t="str">
        <f>IFERROR(IF('Pós Implantação'!B300="CSC NOC",AVERAGE('Pós Implantação'!D300,'Pós Implantação'!L300,'Pós Implantação'!G300),AVERAGE('Pós Implantação'!G300)),"")</f>
        <v/>
      </c>
      <c r="F300" s="34" t="str">
        <f>IFERROR(IF('Pós Implantação'!B300="CSE Gravadores",AVERAGE('Pós Implantação'!D300,'Pós Implantação'!L300,'Pós Implantação'!I300),AVERAGE('Pós Implantação'!I300)),"")</f>
        <v/>
      </c>
      <c r="G300" s="34" t="str">
        <f>IFERROR(IF('Pós Implantação'!B300="CSC",AVERAGE('Pós Implantação'!D300,'Pós Implantação'!L300,'Pós Implantação'!J300),AVERAGE('Pós Implantação'!J300)),"")</f>
        <v/>
      </c>
      <c r="H300" s="34" t="str">
        <f>IFERROR(IF('Pós Implantação'!B300="Operações \ Negócio",AVERAGE('Pós Implantação'!D300,'Pós Implantação'!L300,'Pós Implantação'!K300),AVERAGE('Pós Implantação'!K300)),"")</f>
        <v/>
      </c>
      <c r="I300" s="34" t="str">
        <f>IFERROR(IF('Pós Implantação'!B300="Projetos",AVERAGE('Pós Implantação'!D300,'Pós Implantação'!L300,'Pós Implantação'!M300),AVERAGE('Pós Implantação'!M300)),"")</f>
        <v/>
      </c>
      <c r="J300" s="34" t="str">
        <f>IFERROR(IF('Pós Implantação'!B300="Engenharia",AVERAGE('Pós Implantação'!D300,'Pós Implantação'!L300,'Pós Implantação'!N300),AVERAGE('Pós Implantação'!N300)),"")</f>
        <v/>
      </c>
      <c r="K300" s="34" t="str">
        <f>IFERROR(IF('Pós Implantação'!B300="URA",AVERAGE('Pós Implantação'!D300,'Pós Implantação'!L300),""),"")</f>
        <v/>
      </c>
      <c r="L300" s="34" t="str">
        <f>IFERROR(IF('Pós Implantação'!B300="CSE Microsoft",AVERAGE('Pós Implantação'!D300,'Pós Implantação'!L300),""),"")</f>
        <v/>
      </c>
      <c r="M300" s="34" t="str">
        <f>IFERROR(IF('Pós Implantação'!B300="CSE Telecom",AVERAGE('Pós Implantação'!D300,'Pós Implantação'!L300),""),"")</f>
        <v/>
      </c>
      <c r="N300" s="34" t="str">
        <f>IFERROR(IF('Pós Implantação'!B300="Site Suporte de Campo",AVERAGE('Pós Implantação'!D300,'Pós Implantação'!L300),""),"")</f>
        <v/>
      </c>
      <c r="O300" s="49" t="str">
        <f>IFERROR(IF('Pós Implantação'!B300="Infraestrutura",AVERAGE('Pós Implantação'!D300,'Pós Implantação'!L300),""),"")</f>
        <v/>
      </c>
    </row>
    <row r="301" spans="1:15" x14ac:dyDescent="0.3">
      <c r="A301" s="33">
        <f>'Pré Implantação'!A301</f>
        <v>0</v>
      </c>
      <c r="B301" s="36" t="str">
        <f>'Pós Implantação'!C301</f>
        <v>0</v>
      </c>
      <c r="C301" s="34" t="str">
        <f>IFERROR(IF('Pré Implantação'!B301="Produção TI",AVERAGE('Pós Implantação'!D301,'Pós Implantação'!E301,'Pós Implantação'!L301,'Pós Implantação'!H301),AVERAGE('Pré Implantação'!E301,'Pré Implantação'!H301)),"")</f>
        <v/>
      </c>
      <c r="D301" s="34" t="str">
        <f>IFERROR(IF('Pós Implantação'!B301="CSC Service Desk",AVERAGE('Pós Implantação'!D301,'Pós Implantação'!L301,'Pós Implantação'!F301),AVERAGE('Pós Implantação'!F301)),"")</f>
        <v/>
      </c>
      <c r="E301" s="34" t="str">
        <f>IFERROR(IF('Pós Implantação'!B301="CSC NOC",AVERAGE('Pós Implantação'!D301,'Pós Implantação'!L301,'Pós Implantação'!G301),AVERAGE('Pós Implantação'!G301)),"")</f>
        <v/>
      </c>
      <c r="F301" s="34" t="str">
        <f>IFERROR(IF('Pós Implantação'!B301="CSE Gravadores",AVERAGE('Pós Implantação'!D301,'Pós Implantação'!L301,'Pós Implantação'!I301),AVERAGE('Pós Implantação'!I301)),"")</f>
        <v/>
      </c>
      <c r="G301" s="34" t="str">
        <f>IFERROR(IF('Pós Implantação'!B301="CSC",AVERAGE('Pós Implantação'!D301,'Pós Implantação'!L301,'Pós Implantação'!J301),AVERAGE('Pós Implantação'!J301)),"")</f>
        <v/>
      </c>
      <c r="H301" s="34" t="str">
        <f>IFERROR(IF('Pós Implantação'!B301="Operações \ Negócio",AVERAGE('Pós Implantação'!D301,'Pós Implantação'!L301,'Pós Implantação'!K301),AVERAGE('Pós Implantação'!K301)),"")</f>
        <v/>
      </c>
      <c r="I301" s="34" t="str">
        <f>IFERROR(IF('Pós Implantação'!B301="Projetos",AVERAGE('Pós Implantação'!D301,'Pós Implantação'!L301,'Pós Implantação'!M301),AVERAGE('Pós Implantação'!M301)),"")</f>
        <v/>
      </c>
      <c r="J301" s="34" t="str">
        <f>IFERROR(IF('Pós Implantação'!B301="Engenharia",AVERAGE('Pós Implantação'!D301,'Pós Implantação'!L301,'Pós Implantação'!N301),AVERAGE('Pós Implantação'!N301)),"")</f>
        <v/>
      </c>
      <c r="K301" s="34" t="str">
        <f>IFERROR(IF('Pós Implantação'!B301="URA",AVERAGE('Pós Implantação'!D301,'Pós Implantação'!L301),""),"")</f>
        <v/>
      </c>
      <c r="L301" s="34" t="str">
        <f>IFERROR(IF('Pós Implantação'!B301="CSE Microsoft",AVERAGE('Pós Implantação'!D301,'Pós Implantação'!L301),""),"")</f>
        <v/>
      </c>
      <c r="M301" s="34" t="str">
        <f>IFERROR(IF('Pós Implantação'!B301="CSE Telecom",AVERAGE('Pós Implantação'!D301,'Pós Implantação'!L301),""),"")</f>
        <v/>
      </c>
      <c r="N301" s="34" t="str">
        <f>IFERROR(IF('Pós Implantação'!B301="Site Suporte de Campo",AVERAGE('Pós Implantação'!D301,'Pós Implantação'!L301),""),"")</f>
        <v/>
      </c>
      <c r="O301" s="49" t="str">
        <f>IFERROR(IF('Pós Implantação'!B301="Infraestrutura",AVERAGE('Pós Implantação'!D301,'Pós Implantação'!L301),""),"")</f>
        <v/>
      </c>
    </row>
    <row r="302" spans="1:15" x14ac:dyDescent="0.3">
      <c r="A302" s="33">
        <f>'Pré Implantação'!A302</f>
        <v>0</v>
      </c>
      <c r="B302" s="36" t="str">
        <f>'Pós Implantação'!C302</f>
        <v>0</v>
      </c>
      <c r="C302" s="34" t="str">
        <f>IFERROR(IF('Pré Implantação'!B302="Produção TI",AVERAGE('Pós Implantação'!D302,'Pós Implantação'!E302,'Pós Implantação'!L302,'Pós Implantação'!H302),AVERAGE('Pré Implantação'!E302,'Pré Implantação'!H302)),"")</f>
        <v/>
      </c>
      <c r="D302" s="34" t="str">
        <f>IFERROR(IF('Pós Implantação'!B302="CSC Service Desk",AVERAGE('Pós Implantação'!D302,'Pós Implantação'!L302,'Pós Implantação'!F302),AVERAGE('Pós Implantação'!F302)),"")</f>
        <v/>
      </c>
      <c r="E302" s="34" t="str">
        <f>IFERROR(IF('Pós Implantação'!B302="CSC NOC",AVERAGE('Pós Implantação'!D302,'Pós Implantação'!L302,'Pós Implantação'!G302),AVERAGE('Pós Implantação'!G302)),"")</f>
        <v/>
      </c>
      <c r="F302" s="34" t="str">
        <f>IFERROR(IF('Pós Implantação'!B302="CSE Gravadores",AVERAGE('Pós Implantação'!D302,'Pós Implantação'!L302,'Pós Implantação'!I302),AVERAGE('Pós Implantação'!I302)),"")</f>
        <v/>
      </c>
      <c r="G302" s="34" t="str">
        <f>IFERROR(IF('Pós Implantação'!B302="CSC",AVERAGE('Pós Implantação'!D302,'Pós Implantação'!L302,'Pós Implantação'!J302),AVERAGE('Pós Implantação'!J302)),"")</f>
        <v/>
      </c>
      <c r="H302" s="34" t="str">
        <f>IFERROR(IF('Pós Implantação'!B302="Operações \ Negócio",AVERAGE('Pós Implantação'!D302,'Pós Implantação'!L302,'Pós Implantação'!K302),AVERAGE('Pós Implantação'!K302)),"")</f>
        <v/>
      </c>
      <c r="I302" s="34" t="str">
        <f>IFERROR(IF('Pós Implantação'!B302="Projetos",AVERAGE('Pós Implantação'!D302,'Pós Implantação'!L302,'Pós Implantação'!M302),AVERAGE('Pós Implantação'!M302)),"")</f>
        <v/>
      </c>
      <c r="J302" s="34" t="str">
        <f>IFERROR(IF('Pós Implantação'!B302="Engenharia",AVERAGE('Pós Implantação'!D302,'Pós Implantação'!L302,'Pós Implantação'!N302),AVERAGE('Pós Implantação'!N302)),"")</f>
        <v/>
      </c>
      <c r="K302" s="34" t="str">
        <f>IFERROR(IF('Pós Implantação'!B302="URA",AVERAGE('Pós Implantação'!D302,'Pós Implantação'!L302),""),"")</f>
        <v/>
      </c>
      <c r="L302" s="34" t="str">
        <f>IFERROR(IF('Pós Implantação'!B302="CSE Microsoft",AVERAGE('Pós Implantação'!D302,'Pós Implantação'!L302),""),"")</f>
        <v/>
      </c>
      <c r="M302" s="34" t="str">
        <f>IFERROR(IF('Pós Implantação'!B302="CSE Telecom",AVERAGE('Pós Implantação'!D302,'Pós Implantação'!L302),""),"")</f>
        <v/>
      </c>
      <c r="N302" s="34" t="str">
        <f>IFERROR(IF('Pós Implantação'!B302="Site Suporte de Campo",AVERAGE('Pós Implantação'!D302,'Pós Implantação'!L302),""),"")</f>
        <v/>
      </c>
      <c r="O302" s="49" t="str">
        <f>IFERROR(IF('Pós Implantação'!B302="Infraestrutura",AVERAGE('Pós Implantação'!D302,'Pós Implantação'!L302),""),"")</f>
        <v/>
      </c>
    </row>
    <row r="303" spans="1:15" x14ac:dyDescent="0.3">
      <c r="A303" s="33">
        <f>'Pré Implantação'!A303</f>
        <v>0</v>
      </c>
      <c r="B303" s="36" t="str">
        <f>'Pós Implantação'!C303</f>
        <v>0</v>
      </c>
      <c r="C303" s="34" t="str">
        <f>IFERROR(IF('Pré Implantação'!B303="Produção TI",AVERAGE('Pós Implantação'!D303,'Pós Implantação'!E303,'Pós Implantação'!L303,'Pós Implantação'!H303),AVERAGE('Pré Implantação'!E303,'Pré Implantação'!H303)),"")</f>
        <v/>
      </c>
      <c r="D303" s="34" t="str">
        <f>IFERROR(IF('Pós Implantação'!B303="CSC Service Desk",AVERAGE('Pós Implantação'!D303,'Pós Implantação'!L303,'Pós Implantação'!F303),AVERAGE('Pós Implantação'!F303)),"")</f>
        <v/>
      </c>
      <c r="E303" s="34" t="str">
        <f>IFERROR(IF('Pós Implantação'!B303="CSC NOC",AVERAGE('Pós Implantação'!D303,'Pós Implantação'!L303,'Pós Implantação'!G303),AVERAGE('Pós Implantação'!G303)),"")</f>
        <v/>
      </c>
      <c r="F303" s="34" t="str">
        <f>IFERROR(IF('Pós Implantação'!B303="CSE Gravadores",AVERAGE('Pós Implantação'!D303,'Pós Implantação'!L303,'Pós Implantação'!I303),AVERAGE('Pós Implantação'!I303)),"")</f>
        <v/>
      </c>
      <c r="G303" s="34" t="str">
        <f>IFERROR(IF('Pós Implantação'!B303="CSC",AVERAGE('Pós Implantação'!D303,'Pós Implantação'!L303,'Pós Implantação'!J303),AVERAGE('Pós Implantação'!J303)),"")</f>
        <v/>
      </c>
      <c r="H303" s="34" t="str">
        <f>IFERROR(IF('Pós Implantação'!B303="Operações \ Negócio",AVERAGE('Pós Implantação'!D303,'Pós Implantação'!L303,'Pós Implantação'!K303),AVERAGE('Pós Implantação'!K303)),"")</f>
        <v/>
      </c>
      <c r="I303" s="34" t="str">
        <f>IFERROR(IF('Pós Implantação'!B303="Projetos",AVERAGE('Pós Implantação'!D303,'Pós Implantação'!L303,'Pós Implantação'!M303),AVERAGE('Pós Implantação'!M303)),"")</f>
        <v/>
      </c>
      <c r="J303" s="34" t="str">
        <f>IFERROR(IF('Pós Implantação'!B303="Engenharia",AVERAGE('Pós Implantação'!D303,'Pós Implantação'!L303,'Pós Implantação'!N303),AVERAGE('Pós Implantação'!N303)),"")</f>
        <v/>
      </c>
      <c r="K303" s="34" t="str">
        <f>IFERROR(IF('Pós Implantação'!B303="URA",AVERAGE('Pós Implantação'!D303,'Pós Implantação'!L303),""),"")</f>
        <v/>
      </c>
      <c r="L303" s="34" t="str">
        <f>IFERROR(IF('Pós Implantação'!B303="CSE Microsoft",AVERAGE('Pós Implantação'!D303,'Pós Implantação'!L303),""),"")</f>
        <v/>
      </c>
      <c r="M303" s="34" t="str">
        <f>IFERROR(IF('Pós Implantação'!B303="CSE Telecom",AVERAGE('Pós Implantação'!D303,'Pós Implantação'!L303),""),"")</f>
        <v/>
      </c>
      <c r="N303" s="34" t="str">
        <f>IFERROR(IF('Pós Implantação'!B303="Site Suporte de Campo",AVERAGE('Pós Implantação'!D303,'Pós Implantação'!L303),""),"")</f>
        <v/>
      </c>
      <c r="O303" s="49" t="str">
        <f>IFERROR(IF('Pós Implantação'!B303="Infraestrutura",AVERAGE('Pós Implantação'!D303,'Pós Implantação'!L303),""),"")</f>
        <v/>
      </c>
    </row>
    <row r="304" spans="1:15" x14ac:dyDescent="0.3">
      <c r="A304" s="33">
        <f>'Pré Implantação'!A304</f>
        <v>0</v>
      </c>
      <c r="B304" s="36" t="str">
        <f>'Pós Implantação'!C304</f>
        <v>0</v>
      </c>
      <c r="C304" s="34" t="str">
        <f>IFERROR(IF('Pré Implantação'!B304="Produção TI",AVERAGE('Pós Implantação'!D304,'Pós Implantação'!E304,'Pós Implantação'!L304,'Pós Implantação'!H304),AVERAGE('Pré Implantação'!E304,'Pré Implantação'!H304)),"")</f>
        <v/>
      </c>
      <c r="D304" s="34" t="str">
        <f>IFERROR(IF('Pós Implantação'!B304="CSC Service Desk",AVERAGE('Pós Implantação'!D304,'Pós Implantação'!L304,'Pós Implantação'!F304),AVERAGE('Pós Implantação'!F304)),"")</f>
        <v/>
      </c>
      <c r="E304" s="34" t="str">
        <f>IFERROR(IF('Pós Implantação'!B304="CSC NOC",AVERAGE('Pós Implantação'!D304,'Pós Implantação'!L304,'Pós Implantação'!G304),AVERAGE('Pós Implantação'!G304)),"")</f>
        <v/>
      </c>
      <c r="F304" s="34" t="str">
        <f>IFERROR(IF('Pós Implantação'!B304="CSE Gravadores",AVERAGE('Pós Implantação'!D304,'Pós Implantação'!L304,'Pós Implantação'!I304),AVERAGE('Pós Implantação'!I304)),"")</f>
        <v/>
      </c>
      <c r="G304" s="34" t="str">
        <f>IFERROR(IF('Pós Implantação'!B304="CSC",AVERAGE('Pós Implantação'!D304,'Pós Implantação'!L304,'Pós Implantação'!J304),AVERAGE('Pós Implantação'!J304)),"")</f>
        <v/>
      </c>
      <c r="H304" s="34" t="str">
        <f>IFERROR(IF('Pós Implantação'!B304="Operações \ Negócio",AVERAGE('Pós Implantação'!D304,'Pós Implantação'!L304,'Pós Implantação'!K304),AVERAGE('Pós Implantação'!K304)),"")</f>
        <v/>
      </c>
      <c r="I304" s="34" t="str">
        <f>IFERROR(IF('Pós Implantação'!B304="Projetos",AVERAGE('Pós Implantação'!D304,'Pós Implantação'!L304,'Pós Implantação'!M304),AVERAGE('Pós Implantação'!M304)),"")</f>
        <v/>
      </c>
      <c r="J304" s="34" t="str">
        <f>IFERROR(IF('Pós Implantação'!B304="Engenharia",AVERAGE('Pós Implantação'!D304,'Pós Implantação'!L304,'Pós Implantação'!N304),AVERAGE('Pós Implantação'!N304)),"")</f>
        <v/>
      </c>
      <c r="K304" s="34" t="str">
        <f>IFERROR(IF('Pós Implantação'!B304="URA",AVERAGE('Pós Implantação'!D304,'Pós Implantação'!L304),""),"")</f>
        <v/>
      </c>
      <c r="L304" s="34" t="str">
        <f>IFERROR(IF('Pós Implantação'!B304="CSE Microsoft",AVERAGE('Pós Implantação'!D304,'Pós Implantação'!L304),""),"")</f>
        <v/>
      </c>
      <c r="M304" s="34" t="str">
        <f>IFERROR(IF('Pós Implantação'!B304="CSE Telecom",AVERAGE('Pós Implantação'!D304,'Pós Implantação'!L304),""),"")</f>
        <v/>
      </c>
      <c r="N304" s="34" t="str">
        <f>IFERROR(IF('Pós Implantação'!B304="Site Suporte de Campo",AVERAGE('Pós Implantação'!D304,'Pós Implantação'!L304),""),"")</f>
        <v/>
      </c>
      <c r="O304" s="49" t="str">
        <f>IFERROR(IF('Pós Implantação'!B304="Infraestrutura",AVERAGE('Pós Implantação'!D304,'Pós Implantação'!L304),""),"")</f>
        <v/>
      </c>
    </row>
    <row r="305" spans="1:15" x14ac:dyDescent="0.3">
      <c r="A305" s="33">
        <f>'Pré Implantação'!A305</f>
        <v>0</v>
      </c>
      <c r="B305" s="36" t="str">
        <f>'Pós Implantação'!C305</f>
        <v>0</v>
      </c>
      <c r="C305" s="34" t="str">
        <f>IFERROR(IF('Pré Implantação'!B305="Produção TI",AVERAGE('Pós Implantação'!D305,'Pós Implantação'!E305,'Pós Implantação'!L305,'Pós Implantação'!H305),AVERAGE('Pré Implantação'!E305,'Pré Implantação'!H305)),"")</f>
        <v/>
      </c>
      <c r="D305" s="34" t="str">
        <f>IFERROR(IF('Pós Implantação'!B305="CSC Service Desk",AVERAGE('Pós Implantação'!D305,'Pós Implantação'!L305,'Pós Implantação'!F305),AVERAGE('Pós Implantação'!F305)),"")</f>
        <v/>
      </c>
      <c r="E305" s="34" t="str">
        <f>IFERROR(IF('Pós Implantação'!B305="CSC NOC",AVERAGE('Pós Implantação'!D305,'Pós Implantação'!L305,'Pós Implantação'!G305),AVERAGE('Pós Implantação'!G305)),"")</f>
        <v/>
      </c>
      <c r="F305" s="34" t="str">
        <f>IFERROR(IF('Pós Implantação'!B305="CSE Gravadores",AVERAGE('Pós Implantação'!D305,'Pós Implantação'!L305,'Pós Implantação'!I305),AVERAGE('Pós Implantação'!I305)),"")</f>
        <v/>
      </c>
      <c r="G305" s="34" t="str">
        <f>IFERROR(IF('Pós Implantação'!B305="CSC",AVERAGE('Pós Implantação'!D305,'Pós Implantação'!L305,'Pós Implantação'!J305),AVERAGE('Pós Implantação'!J305)),"")</f>
        <v/>
      </c>
      <c r="H305" s="34" t="str">
        <f>IFERROR(IF('Pós Implantação'!B305="Operações \ Negócio",AVERAGE('Pós Implantação'!D305,'Pós Implantação'!L305,'Pós Implantação'!K305),AVERAGE('Pós Implantação'!K305)),"")</f>
        <v/>
      </c>
      <c r="I305" s="34" t="str">
        <f>IFERROR(IF('Pós Implantação'!B305="Projetos",AVERAGE('Pós Implantação'!D305,'Pós Implantação'!L305,'Pós Implantação'!M305),AVERAGE('Pós Implantação'!M305)),"")</f>
        <v/>
      </c>
      <c r="J305" s="34" t="str">
        <f>IFERROR(IF('Pós Implantação'!B305="Engenharia",AVERAGE('Pós Implantação'!D305,'Pós Implantação'!L305,'Pós Implantação'!N305),AVERAGE('Pós Implantação'!N305)),"")</f>
        <v/>
      </c>
      <c r="K305" s="34" t="str">
        <f>IFERROR(IF('Pós Implantação'!B305="URA",AVERAGE('Pós Implantação'!D305,'Pós Implantação'!L305),""),"")</f>
        <v/>
      </c>
      <c r="L305" s="34" t="str">
        <f>IFERROR(IF('Pós Implantação'!B305="CSE Microsoft",AVERAGE('Pós Implantação'!D305,'Pós Implantação'!L305),""),"")</f>
        <v/>
      </c>
      <c r="M305" s="34" t="str">
        <f>IFERROR(IF('Pós Implantação'!B305="CSE Telecom",AVERAGE('Pós Implantação'!D305,'Pós Implantação'!L305),""),"")</f>
        <v/>
      </c>
      <c r="N305" s="34" t="str">
        <f>IFERROR(IF('Pós Implantação'!B305="Site Suporte de Campo",AVERAGE('Pós Implantação'!D305,'Pós Implantação'!L305),""),"")</f>
        <v/>
      </c>
      <c r="O305" s="49" t="str">
        <f>IFERROR(IF('Pós Implantação'!B305="Infraestrutura",AVERAGE('Pós Implantação'!D305,'Pós Implantação'!L305),""),"")</f>
        <v/>
      </c>
    </row>
    <row r="306" spans="1:15" x14ac:dyDescent="0.3">
      <c r="A306" s="33">
        <f>'Pré Implantação'!A306</f>
        <v>0</v>
      </c>
      <c r="B306" s="36" t="str">
        <f>'Pós Implantação'!C306</f>
        <v>0</v>
      </c>
      <c r="C306" s="34" t="str">
        <f>IFERROR(IF('Pré Implantação'!B306="Produção TI",AVERAGE('Pós Implantação'!D306,'Pós Implantação'!E306,'Pós Implantação'!L306,'Pós Implantação'!H306),AVERAGE('Pré Implantação'!E306,'Pré Implantação'!H306)),"")</f>
        <v/>
      </c>
      <c r="D306" s="34" t="str">
        <f>IFERROR(IF('Pós Implantação'!B306="CSC Service Desk",AVERAGE('Pós Implantação'!D306,'Pós Implantação'!L306,'Pós Implantação'!F306),AVERAGE('Pós Implantação'!F306)),"")</f>
        <v/>
      </c>
      <c r="E306" s="34" t="str">
        <f>IFERROR(IF('Pós Implantação'!B306="CSC NOC",AVERAGE('Pós Implantação'!D306,'Pós Implantação'!L306,'Pós Implantação'!G306),AVERAGE('Pós Implantação'!G306)),"")</f>
        <v/>
      </c>
      <c r="F306" s="34" t="str">
        <f>IFERROR(IF('Pós Implantação'!B306="CSE Gravadores",AVERAGE('Pós Implantação'!D306,'Pós Implantação'!L306,'Pós Implantação'!I306),AVERAGE('Pós Implantação'!I306)),"")</f>
        <v/>
      </c>
      <c r="G306" s="34" t="str">
        <f>IFERROR(IF('Pós Implantação'!B306="CSC",AVERAGE('Pós Implantação'!D306,'Pós Implantação'!L306,'Pós Implantação'!J306),AVERAGE('Pós Implantação'!J306)),"")</f>
        <v/>
      </c>
      <c r="H306" s="34" t="str">
        <f>IFERROR(IF('Pós Implantação'!B306="Operações \ Negócio",AVERAGE('Pós Implantação'!D306,'Pós Implantação'!L306,'Pós Implantação'!K306),AVERAGE('Pós Implantação'!K306)),"")</f>
        <v/>
      </c>
      <c r="I306" s="34" t="str">
        <f>IFERROR(IF('Pós Implantação'!B306="Projetos",AVERAGE('Pós Implantação'!D306,'Pós Implantação'!L306,'Pós Implantação'!M306),AVERAGE('Pós Implantação'!M306)),"")</f>
        <v/>
      </c>
      <c r="J306" s="34" t="str">
        <f>IFERROR(IF('Pós Implantação'!B306="Engenharia",AVERAGE('Pós Implantação'!D306,'Pós Implantação'!L306,'Pós Implantação'!N306),AVERAGE('Pós Implantação'!N306)),"")</f>
        <v/>
      </c>
      <c r="K306" s="34" t="str">
        <f>IFERROR(IF('Pós Implantação'!B306="URA",AVERAGE('Pós Implantação'!D306,'Pós Implantação'!L306),""),"")</f>
        <v/>
      </c>
      <c r="L306" s="34" t="str">
        <f>IFERROR(IF('Pós Implantação'!B306="CSE Microsoft",AVERAGE('Pós Implantação'!D306,'Pós Implantação'!L306),""),"")</f>
        <v/>
      </c>
      <c r="M306" s="34" t="str">
        <f>IFERROR(IF('Pós Implantação'!B306="CSE Telecom",AVERAGE('Pós Implantação'!D306,'Pós Implantação'!L306),""),"")</f>
        <v/>
      </c>
      <c r="N306" s="34" t="str">
        <f>IFERROR(IF('Pós Implantação'!B306="Site Suporte de Campo",AVERAGE('Pós Implantação'!D306,'Pós Implantação'!L306),""),"")</f>
        <v/>
      </c>
      <c r="O306" s="49" t="str">
        <f>IFERROR(IF('Pós Implantação'!B306="Infraestrutura",AVERAGE('Pós Implantação'!D306,'Pós Implantação'!L306),""),"")</f>
        <v/>
      </c>
    </row>
    <row r="307" spans="1:15" x14ac:dyDescent="0.3">
      <c r="A307" s="33">
        <f>'Pré Implantação'!A307</f>
        <v>0</v>
      </c>
      <c r="B307" s="36" t="str">
        <f>'Pós Implantação'!C307</f>
        <v>0</v>
      </c>
      <c r="C307" s="34" t="str">
        <f>IFERROR(IF('Pré Implantação'!B307="Produção TI",AVERAGE('Pós Implantação'!D307,'Pós Implantação'!E307,'Pós Implantação'!L307,'Pós Implantação'!H307),AVERAGE('Pré Implantação'!E307,'Pré Implantação'!H307)),"")</f>
        <v/>
      </c>
      <c r="D307" s="34" t="str">
        <f>IFERROR(IF('Pós Implantação'!B307="CSC Service Desk",AVERAGE('Pós Implantação'!D307,'Pós Implantação'!L307,'Pós Implantação'!F307),AVERAGE('Pós Implantação'!F307)),"")</f>
        <v/>
      </c>
      <c r="E307" s="34" t="str">
        <f>IFERROR(IF('Pós Implantação'!B307="CSC NOC",AVERAGE('Pós Implantação'!D307,'Pós Implantação'!L307,'Pós Implantação'!G307),AVERAGE('Pós Implantação'!G307)),"")</f>
        <v/>
      </c>
      <c r="F307" s="34" t="str">
        <f>IFERROR(IF('Pós Implantação'!B307="CSE Gravadores",AVERAGE('Pós Implantação'!D307,'Pós Implantação'!L307,'Pós Implantação'!I307),AVERAGE('Pós Implantação'!I307)),"")</f>
        <v/>
      </c>
      <c r="G307" s="34" t="str">
        <f>IFERROR(IF('Pós Implantação'!B307="CSC",AVERAGE('Pós Implantação'!D307,'Pós Implantação'!L307,'Pós Implantação'!J307),AVERAGE('Pós Implantação'!J307)),"")</f>
        <v/>
      </c>
      <c r="H307" s="34" t="str">
        <f>IFERROR(IF('Pós Implantação'!B307="Operações \ Negócio",AVERAGE('Pós Implantação'!D307,'Pós Implantação'!L307,'Pós Implantação'!K307),AVERAGE('Pós Implantação'!K307)),"")</f>
        <v/>
      </c>
      <c r="I307" s="34" t="str">
        <f>IFERROR(IF('Pós Implantação'!B307="Projetos",AVERAGE('Pós Implantação'!D307,'Pós Implantação'!L307,'Pós Implantação'!M307),AVERAGE('Pós Implantação'!M307)),"")</f>
        <v/>
      </c>
      <c r="J307" s="34" t="str">
        <f>IFERROR(IF('Pós Implantação'!B307="Engenharia",AVERAGE('Pós Implantação'!D307,'Pós Implantação'!L307,'Pós Implantação'!N307),AVERAGE('Pós Implantação'!N307)),"")</f>
        <v/>
      </c>
      <c r="K307" s="34" t="str">
        <f>IFERROR(IF('Pós Implantação'!B307="URA",AVERAGE('Pós Implantação'!D307,'Pós Implantação'!L307),""),"")</f>
        <v/>
      </c>
      <c r="L307" s="34" t="str">
        <f>IFERROR(IF('Pós Implantação'!B307="CSE Microsoft",AVERAGE('Pós Implantação'!D307,'Pós Implantação'!L307),""),"")</f>
        <v/>
      </c>
      <c r="M307" s="34" t="str">
        <f>IFERROR(IF('Pós Implantação'!B307="CSE Telecom",AVERAGE('Pós Implantação'!D307,'Pós Implantação'!L307),""),"")</f>
        <v/>
      </c>
      <c r="N307" s="34" t="str">
        <f>IFERROR(IF('Pós Implantação'!B307="Site Suporte de Campo",AVERAGE('Pós Implantação'!D307,'Pós Implantação'!L307),""),"")</f>
        <v/>
      </c>
      <c r="O307" s="49" t="str">
        <f>IFERROR(IF('Pós Implantação'!B307="Infraestrutura",AVERAGE('Pós Implantação'!D307,'Pós Implantação'!L307),""),"")</f>
        <v/>
      </c>
    </row>
    <row r="308" spans="1:15" x14ac:dyDescent="0.3">
      <c r="A308" s="33">
        <f>'Pré Implantação'!A308</f>
        <v>0</v>
      </c>
      <c r="B308" s="36" t="str">
        <f>'Pós Implantação'!C308</f>
        <v>0</v>
      </c>
      <c r="C308" s="34" t="str">
        <f>IFERROR(IF('Pré Implantação'!B308="Produção TI",AVERAGE('Pós Implantação'!D308,'Pós Implantação'!E308,'Pós Implantação'!L308,'Pós Implantação'!H308),AVERAGE('Pré Implantação'!E308,'Pré Implantação'!H308)),"")</f>
        <v/>
      </c>
      <c r="D308" s="34" t="str">
        <f>IFERROR(IF('Pós Implantação'!B308="CSC Service Desk",AVERAGE('Pós Implantação'!D308,'Pós Implantação'!L308,'Pós Implantação'!F308),AVERAGE('Pós Implantação'!F308)),"")</f>
        <v/>
      </c>
      <c r="E308" s="34" t="str">
        <f>IFERROR(IF('Pós Implantação'!B308="CSC NOC",AVERAGE('Pós Implantação'!D308,'Pós Implantação'!L308,'Pós Implantação'!G308),AVERAGE('Pós Implantação'!G308)),"")</f>
        <v/>
      </c>
      <c r="F308" s="34" t="str">
        <f>IFERROR(IF('Pós Implantação'!B308="CSE Gravadores",AVERAGE('Pós Implantação'!D308,'Pós Implantação'!L308,'Pós Implantação'!I308),AVERAGE('Pós Implantação'!I308)),"")</f>
        <v/>
      </c>
      <c r="G308" s="34" t="str">
        <f>IFERROR(IF('Pós Implantação'!B308="CSC",AVERAGE('Pós Implantação'!D308,'Pós Implantação'!L308,'Pós Implantação'!J308),AVERAGE('Pós Implantação'!J308)),"")</f>
        <v/>
      </c>
      <c r="H308" s="34" t="str">
        <f>IFERROR(IF('Pós Implantação'!B308="Operações \ Negócio",AVERAGE('Pós Implantação'!D308,'Pós Implantação'!L308,'Pós Implantação'!K308),AVERAGE('Pós Implantação'!K308)),"")</f>
        <v/>
      </c>
      <c r="I308" s="34" t="str">
        <f>IFERROR(IF('Pós Implantação'!B308="Projetos",AVERAGE('Pós Implantação'!D308,'Pós Implantação'!L308,'Pós Implantação'!M308),AVERAGE('Pós Implantação'!M308)),"")</f>
        <v/>
      </c>
      <c r="J308" s="34" t="str">
        <f>IFERROR(IF('Pós Implantação'!B308="Engenharia",AVERAGE('Pós Implantação'!D308,'Pós Implantação'!L308,'Pós Implantação'!N308),AVERAGE('Pós Implantação'!N308)),"")</f>
        <v/>
      </c>
      <c r="K308" s="34" t="str">
        <f>IFERROR(IF('Pós Implantação'!B308="URA",AVERAGE('Pós Implantação'!D308,'Pós Implantação'!L308),""),"")</f>
        <v/>
      </c>
      <c r="L308" s="34" t="str">
        <f>IFERROR(IF('Pós Implantação'!B308="CSE Microsoft",AVERAGE('Pós Implantação'!D308,'Pós Implantação'!L308),""),"")</f>
        <v/>
      </c>
      <c r="M308" s="34" t="str">
        <f>IFERROR(IF('Pós Implantação'!B308="CSE Telecom",AVERAGE('Pós Implantação'!D308,'Pós Implantação'!L308),""),"")</f>
        <v/>
      </c>
      <c r="N308" s="34" t="str">
        <f>IFERROR(IF('Pós Implantação'!B308="Site Suporte de Campo",AVERAGE('Pós Implantação'!D308,'Pós Implantação'!L308),""),"")</f>
        <v/>
      </c>
      <c r="O308" s="49" t="str">
        <f>IFERROR(IF('Pós Implantação'!B308="Infraestrutura",AVERAGE('Pós Implantação'!D308,'Pós Implantação'!L308),""),"")</f>
        <v/>
      </c>
    </row>
    <row r="309" spans="1:15" x14ac:dyDescent="0.3">
      <c r="A309" s="33">
        <f>'Pré Implantação'!A309</f>
        <v>0</v>
      </c>
      <c r="B309" s="36" t="str">
        <f>'Pós Implantação'!C309</f>
        <v>0</v>
      </c>
      <c r="C309" s="34" t="str">
        <f>IFERROR(IF('Pré Implantação'!B309="Produção TI",AVERAGE('Pós Implantação'!D309,'Pós Implantação'!E309,'Pós Implantação'!L309,'Pós Implantação'!H309),AVERAGE('Pré Implantação'!E309,'Pré Implantação'!H309)),"")</f>
        <v/>
      </c>
      <c r="D309" s="34" t="str">
        <f>IFERROR(IF('Pós Implantação'!B309="CSC Service Desk",AVERAGE('Pós Implantação'!D309,'Pós Implantação'!L309,'Pós Implantação'!F309),AVERAGE('Pós Implantação'!F309)),"")</f>
        <v/>
      </c>
      <c r="E309" s="34" t="str">
        <f>IFERROR(IF('Pós Implantação'!B309="CSC NOC",AVERAGE('Pós Implantação'!D309,'Pós Implantação'!L309,'Pós Implantação'!G309),AVERAGE('Pós Implantação'!G309)),"")</f>
        <v/>
      </c>
      <c r="F309" s="34" t="str">
        <f>IFERROR(IF('Pós Implantação'!B309="CSE Gravadores",AVERAGE('Pós Implantação'!D309,'Pós Implantação'!L309,'Pós Implantação'!I309),AVERAGE('Pós Implantação'!I309)),"")</f>
        <v/>
      </c>
      <c r="G309" s="34" t="str">
        <f>IFERROR(IF('Pós Implantação'!B309="CSC",AVERAGE('Pós Implantação'!D309,'Pós Implantação'!L309,'Pós Implantação'!J309),AVERAGE('Pós Implantação'!J309)),"")</f>
        <v/>
      </c>
      <c r="H309" s="34" t="str">
        <f>IFERROR(IF('Pós Implantação'!B309="Operações \ Negócio",AVERAGE('Pós Implantação'!D309,'Pós Implantação'!L309,'Pós Implantação'!K309),AVERAGE('Pós Implantação'!K309)),"")</f>
        <v/>
      </c>
      <c r="I309" s="34" t="str">
        <f>IFERROR(IF('Pós Implantação'!B309="Projetos",AVERAGE('Pós Implantação'!D309,'Pós Implantação'!L309,'Pós Implantação'!M309),AVERAGE('Pós Implantação'!M309)),"")</f>
        <v/>
      </c>
      <c r="J309" s="34" t="str">
        <f>IFERROR(IF('Pós Implantação'!B309="Engenharia",AVERAGE('Pós Implantação'!D309,'Pós Implantação'!L309,'Pós Implantação'!N309),AVERAGE('Pós Implantação'!N309)),"")</f>
        <v/>
      </c>
      <c r="K309" s="34" t="str">
        <f>IFERROR(IF('Pós Implantação'!B309="URA",AVERAGE('Pós Implantação'!D309,'Pós Implantação'!L309),""),"")</f>
        <v/>
      </c>
      <c r="L309" s="34" t="str">
        <f>IFERROR(IF('Pós Implantação'!B309="CSE Microsoft",AVERAGE('Pós Implantação'!D309,'Pós Implantação'!L309),""),"")</f>
        <v/>
      </c>
      <c r="M309" s="34" t="str">
        <f>IFERROR(IF('Pós Implantação'!B309="CSE Telecom",AVERAGE('Pós Implantação'!D309,'Pós Implantação'!L309),""),"")</f>
        <v/>
      </c>
      <c r="N309" s="34" t="str">
        <f>IFERROR(IF('Pós Implantação'!B309="Site Suporte de Campo",AVERAGE('Pós Implantação'!D309,'Pós Implantação'!L309),""),"")</f>
        <v/>
      </c>
      <c r="O309" s="49" t="str">
        <f>IFERROR(IF('Pós Implantação'!B309="Infraestrutura",AVERAGE('Pós Implantação'!D309,'Pós Implantação'!L309),""),"")</f>
        <v/>
      </c>
    </row>
    <row r="310" spans="1:15" x14ac:dyDescent="0.3">
      <c r="A310" s="33">
        <f>'Pré Implantação'!A310</f>
        <v>0</v>
      </c>
      <c r="B310" s="36" t="str">
        <f>'Pós Implantação'!C310</f>
        <v>0</v>
      </c>
      <c r="C310" s="34" t="str">
        <f>IFERROR(IF('Pré Implantação'!B310="Produção TI",AVERAGE('Pós Implantação'!D310,'Pós Implantação'!E310,'Pós Implantação'!L310,'Pós Implantação'!H310),AVERAGE('Pré Implantação'!E310,'Pré Implantação'!H310)),"")</f>
        <v/>
      </c>
      <c r="D310" s="34" t="str">
        <f>IFERROR(IF('Pós Implantação'!B310="CSC Service Desk",AVERAGE('Pós Implantação'!D310,'Pós Implantação'!L310,'Pós Implantação'!F310),AVERAGE('Pós Implantação'!F310)),"")</f>
        <v/>
      </c>
      <c r="E310" s="34" t="str">
        <f>IFERROR(IF('Pós Implantação'!B310="CSC NOC",AVERAGE('Pós Implantação'!D310,'Pós Implantação'!L310,'Pós Implantação'!G310),AVERAGE('Pós Implantação'!G310)),"")</f>
        <v/>
      </c>
      <c r="F310" s="34" t="str">
        <f>IFERROR(IF('Pós Implantação'!B310="CSE Gravadores",AVERAGE('Pós Implantação'!D310,'Pós Implantação'!L310,'Pós Implantação'!I310),AVERAGE('Pós Implantação'!I310)),"")</f>
        <v/>
      </c>
      <c r="G310" s="34" t="str">
        <f>IFERROR(IF('Pós Implantação'!B310="CSC",AVERAGE('Pós Implantação'!D310,'Pós Implantação'!L310,'Pós Implantação'!J310),AVERAGE('Pós Implantação'!J310)),"")</f>
        <v/>
      </c>
      <c r="H310" s="34" t="str">
        <f>IFERROR(IF('Pós Implantação'!B310="Operações \ Negócio",AVERAGE('Pós Implantação'!D310,'Pós Implantação'!L310,'Pós Implantação'!K310),AVERAGE('Pós Implantação'!K310)),"")</f>
        <v/>
      </c>
      <c r="I310" s="34" t="str">
        <f>IFERROR(IF('Pós Implantação'!B310="Projetos",AVERAGE('Pós Implantação'!D310,'Pós Implantação'!L310,'Pós Implantação'!M310),AVERAGE('Pós Implantação'!M310)),"")</f>
        <v/>
      </c>
      <c r="J310" s="34" t="str">
        <f>IFERROR(IF('Pós Implantação'!B310="Engenharia",AVERAGE('Pós Implantação'!D310,'Pós Implantação'!L310,'Pós Implantação'!N310),AVERAGE('Pós Implantação'!N310)),"")</f>
        <v/>
      </c>
      <c r="K310" s="34" t="str">
        <f>IFERROR(IF('Pós Implantação'!B310="URA",AVERAGE('Pós Implantação'!D310,'Pós Implantação'!L310),""),"")</f>
        <v/>
      </c>
      <c r="L310" s="34" t="str">
        <f>IFERROR(IF('Pós Implantação'!B310="CSE Microsoft",AVERAGE('Pós Implantação'!D310,'Pós Implantação'!L310),""),"")</f>
        <v/>
      </c>
      <c r="M310" s="34" t="str">
        <f>IFERROR(IF('Pós Implantação'!B310="CSE Telecom",AVERAGE('Pós Implantação'!D310,'Pós Implantação'!L310),""),"")</f>
        <v/>
      </c>
      <c r="N310" s="34" t="str">
        <f>IFERROR(IF('Pós Implantação'!B310="Site Suporte de Campo",AVERAGE('Pós Implantação'!D310,'Pós Implantação'!L310),""),"")</f>
        <v/>
      </c>
      <c r="O310" s="49" t="str">
        <f>IFERROR(IF('Pós Implantação'!B310="Infraestrutura",AVERAGE('Pós Implantação'!D310,'Pós Implantação'!L310),""),"")</f>
        <v/>
      </c>
    </row>
    <row r="311" spans="1:15" x14ac:dyDescent="0.3">
      <c r="A311" s="33">
        <f>'Pré Implantação'!A311</f>
        <v>0</v>
      </c>
      <c r="B311" s="36" t="str">
        <f>'Pós Implantação'!C311</f>
        <v>0</v>
      </c>
      <c r="C311" s="34" t="str">
        <f>IFERROR(IF('Pré Implantação'!B311="Produção TI",AVERAGE('Pós Implantação'!D311,'Pós Implantação'!E311,'Pós Implantação'!L311,'Pós Implantação'!H311),AVERAGE('Pré Implantação'!E311,'Pré Implantação'!H311)),"")</f>
        <v/>
      </c>
      <c r="D311" s="34" t="str">
        <f>IFERROR(IF('Pós Implantação'!B311="CSC Service Desk",AVERAGE('Pós Implantação'!D311,'Pós Implantação'!L311,'Pós Implantação'!F311),AVERAGE('Pós Implantação'!F311)),"")</f>
        <v/>
      </c>
      <c r="E311" s="34" t="str">
        <f>IFERROR(IF('Pós Implantação'!B311="CSC NOC",AVERAGE('Pós Implantação'!D311,'Pós Implantação'!L311,'Pós Implantação'!G311),AVERAGE('Pós Implantação'!G311)),"")</f>
        <v/>
      </c>
      <c r="F311" s="34" t="str">
        <f>IFERROR(IF('Pós Implantação'!B311="CSE Gravadores",AVERAGE('Pós Implantação'!D311,'Pós Implantação'!L311,'Pós Implantação'!I311),AVERAGE('Pós Implantação'!I311)),"")</f>
        <v/>
      </c>
      <c r="G311" s="34" t="str">
        <f>IFERROR(IF('Pós Implantação'!B311="CSC",AVERAGE('Pós Implantação'!D311,'Pós Implantação'!L311,'Pós Implantação'!J311),AVERAGE('Pós Implantação'!J311)),"")</f>
        <v/>
      </c>
      <c r="H311" s="34" t="str">
        <f>IFERROR(IF('Pós Implantação'!B311="Operações \ Negócio",AVERAGE('Pós Implantação'!D311,'Pós Implantação'!L311,'Pós Implantação'!K311),AVERAGE('Pós Implantação'!K311)),"")</f>
        <v/>
      </c>
      <c r="I311" s="34" t="str">
        <f>IFERROR(IF('Pós Implantação'!B311="Projetos",AVERAGE('Pós Implantação'!D311,'Pós Implantação'!L311,'Pós Implantação'!M311),AVERAGE('Pós Implantação'!M311)),"")</f>
        <v/>
      </c>
      <c r="J311" s="34" t="str">
        <f>IFERROR(IF('Pós Implantação'!B311="Engenharia",AVERAGE('Pós Implantação'!D311,'Pós Implantação'!L311,'Pós Implantação'!N311),AVERAGE('Pós Implantação'!N311)),"")</f>
        <v/>
      </c>
      <c r="K311" s="34" t="str">
        <f>IFERROR(IF('Pós Implantação'!B311="URA",AVERAGE('Pós Implantação'!D311,'Pós Implantação'!L311),""),"")</f>
        <v/>
      </c>
      <c r="L311" s="34" t="str">
        <f>IFERROR(IF('Pós Implantação'!B311="CSE Microsoft",AVERAGE('Pós Implantação'!D311,'Pós Implantação'!L311),""),"")</f>
        <v/>
      </c>
      <c r="M311" s="34" t="str">
        <f>IFERROR(IF('Pós Implantação'!B311="CSE Telecom",AVERAGE('Pós Implantação'!D311,'Pós Implantação'!L311),""),"")</f>
        <v/>
      </c>
      <c r="N311" s="34" t="str">
        <f>IFERROR(IF('Pós Implantação'!B311="Site Suporte de Campo",AVERAGE('Pós Implantação'!D311,'Pós Implantação'!L311),""),"")</f>
        <v/>
      </c>
      <c r="O311" s="49" t="str">
        <f>IFERROR(IF('Pós Implantação'!B311="Infraestrutura",AVERAGE('Pós Implantação'!D311,'Pós Implantação'!L311),""),"")</f>
        <v/>
      </c>
    </row>
    <row r="312" spans="1:15" x14ac:dyDescent="0.3">
      <c r="A312" s="33">
        <f>'Pré Implantação'!A312</f>
        <v>0</v>
      </c>
      <c r="B312" s="36" t="str">
        <f>'Pós Implantação'!C312</f>
        <v>0</v>
      </c>
      <c r="C312" s="34" t="str">
        <f>IFERROR(IF('Pré Implantação'!B312="Produção TI",AVERAGE('Pós Implantação'!D312,'Pós Implantação'!E312,'Pós Implantação'!L312,'Pós Implantação'!H312),AVERAGE('Pré Implantação'!E312,'Pré Implantação'!H312)),"")</f>
        <v/>
      </c>
      <c r="D312" s="34" t="str">
        <f>IFERROR(IF('Pós Implantação'!B312="CSC Service Desk",AVERAGE('Pós Implantação'!D312,'Pós Implantação'!L312,'Pós Implantação'!F312),AVERAGE('Pós Implantação'!F312)),"")</f>
        <v/>
      </c>
      <c r="E312" s="34" t="str">
        <f>IFERROR(IF('Pós Implantação'!B312="CSC NOC",AVERAGE('Pós Implantação'!D312,'Pós Implantação'!L312,'Pós Implantação'!G312),AVERAGE('Pós Implantação'!G312)),"")</f>
        <v/>
      </c>
      <c r="F312" s="34" t="str">
        <f>IFERROR(IF('Pós Implantação'!B312="CSE Gravadores",AVERAGE('Pós Implantação'!D312,'Pós Implantação'!L312,'Pós Implantação'!I312),AVERAGE('Pós Implantação'!I312)),"")</f>
        <v/>
      </c>
      <c r="G312" s="34" t="str">
        <f>IFERROR(IF('Pós Implantação'!B312="CSC",AVERAGE('Pós Implantação'!D312,'Pós Implantação'!L312,'Pós Implantação'!J312),AVERAGE('Pós Implantação'!J312)),"")</f>
        <v/>
      </c>
      <c r="H312" s="34" t="str">
        <f>IFERROR(IF('Pós Implantação'!B312="Operações \ Negócio",AVERAGE('Pós Implantação'!D312,'Pós Implantação'!L312,'Pós Implantação'!K312),AVERAGE('Pós Implantação'!K312)),"")</f>
        <v/>
      </c>
      <c r="I312" s="34" t="str">
        <f>IFERROR(IF('Pós Implantação'!B312="Projetos",AVERAGE('Pós Implantação'!D312,'Pós Implantação'!L312,'Pós Implantação'!M312),AVERAGE('Pós Implantação'!M312)),"")</f>
        <v/>
      </c>
      <c r="J312" s="34" t="str">
        <f>IFERROR(IF('Pós Implantação'!B312="Engenharia",AVERAGE('Pós Implantação'!D312,'Pós Implantação'!L312,'Pós Implantação'!N312),AVERAGE('Pós Implantação'!N312)),"")</f>
        <v/>
      </c>
      <c r="K312" s="34" t="str">
        <f>IFERROR(IF('Pós Implantação'!B312="URA",AVERAGE('Pós Implantação'!D312,'Pós Implantação'!L312),""),"")</f>
        <v/>
      </c>
      <c r="L312" s="34" t="str">
        <f>IFERROR(IF('Pós Implantação'!B312="CSE Microsoft",AVERAGE('Pós Implantação'!D312,'Pós Implantação'!L312),""),"")</f>
        <v/>
      </c>
      <c r="M312" s="34" t="str">
        <f>IFERROR(IF('Pós Implantação'!B312="CSE Telecom",AVERAGE('Pós Implantação'!D312,'Pós Implantação'!L312),""),"")</f>
        <v/>
      </c>
      <c r="N312" s="34" t="str">
        <f>IFERROR(IF('Pós Implantação'!B312="Site Suporte de Campo",AVERAGE('Pós Implantação'!D312,'Pós Implantação'!L312),""),"")</f>
        <v/>
      </c>
      <c r="O312" s="49" t="str">
        <f>IFERROR(IF('Pós Implantação'!B312="Infraestrutura",AVERAGE('Pós Implantação'!D312,'Pós Implantação'!L312),""),"")</f>
        <v/>
      </c>
    </row>
    <row r="313" spans="1:15" x14ac:dyDescent="0.3">
      <c r="A313" s="33">
        <f>'Pré Implantação'!A313</f>
        <v>0</v>
      </c>
      <c r="B313" s="36" t="str">
        <f>'Pós Implantação'!C313</f>
        <v>0</v>
      </c>
      <c r="C313" s="34" t="str">
        <f>IFERROR(IF('Pré Implantação'!B313="Produção TI",AVERAGE('Pós Implantação'!D313,'Pós Implantação'!E313,'Pós Implantação'!L313,'Pós Implantação'!H313),AVERAGE('Pré Implantação'!E313,'Pré Implantação'!H313)),"")</f>
        <v/>
      </c>
      <c r="D313" s="34" t="str">
        <f>IFERROR(IF('Pós Implantação'!B313="CSC Service Desk",AVERAGE('Pós Implantação'!D313,'Pós Implantação'!L313,'Pós Implantação'!F313),AVERAGE('Pós Implantação'!F313)),"")</f>
        <v/>
      </c>
      <c r="E313" s="34" t="str">
        <f>IFERROR(IF('Pós Implantação'!B313="CSC NOC",AVERAGE('Pós Implantação'!D313,'Pós Implantação'!L313,'Pós Implantação'!G313),AVERAGE('Pós Implantação'!G313)),"")</f>
        <v/>
      </c>
      <c r="F313" s="34" t="str">
        <f>IFERROR(IF('Pós Implantação'!B313="CSE Gravadores",AVERAGE('Pós Implantação'!D313,'Pós Implantação'!L313,'Pós Implantação'!I313),AVERAGE('Pós Implantação'!I313)),"")</f>
        <v/>
      </c>
      <c r="G313" s="34" t="str">
        <f>IFERROR(IF('Pós Implantação'!B313="CSC",AVERAGE('Pós Implantação'!D313,'Pós Implantação'!L313,'Pós Implantação'!J313),AVERAGE('Pós Implantação'!J313)),"")</f>
        <v/>
      </c>
      <c r="H313" s="34" t="str">
        <f>IFERROR(IF('Pós Implantação'!B313="Operações \ Negócio",AVERAGE('Pós Implantação'!D313,'Pós Implantação'!L313,'Pós Implantação'!K313),AVERAGE('Pós Implantação'!K313)),"")</f>
        <v/>
      </c>
      <c r="I313" s="34" t="str">
        <f>IFERROR(IF('Pós Implantação'!B313="Projetos",AVERAGE('Pós Implantação'!D313,'Pós Implantação'!L313,'Pós Implantação'!M313),AVERAGE('Pós Implantação'!M313)),"")</f>
        <v/>
      </c>
      <c r="J313" s="34" t="str">
        <f>IFERROR(IF('Pós Implantação'!B313="Engenharia",AVERAGE('Pós Implantação'!D313,'Pós Implantação'!L313,'Pós Implantação'!N313),AVERAGE('Pós Implantação'!N313)),"")</f>
        <v/>
      </c>
      <c r="K313" s="34" t="str">
        <f>IFERROR(IF('Pós Implantação'!B313="URA",AVERAGE('Pós Implantação'!D313,'Pós Implantação'!L313),""),"")</f>
        <v/>
      </c>
      <c r="L313" s="34" t="str">
        <f>IFERROR(IF('Pós Implantação'!B313="CSE Microsoft",AVERAGE('Pós Implantação'!D313,'Pós Implantação'!L313),""),"")</f>
        <v/>
      </c>
      <c r="M313" s="34" t="str">
        <f>IFERROR(IF('Pós Implantação'!B313="CSE Telecom",AVERAGE('Pós Implantação'!D313,'Pós Implantação'!L313),""),"")</f>
        <v/>
      </c>
      <c r="N313" s="34" t="str">
        <f>IFERROR(IF('Pós Implantação'!B313="Site Suporte de Campo",AVERAGE('Pós Implantação'!D313,'Pós Implantação'!L313),""),"")</f>
        <v/>
      </c>
      <c r="O313" s="49" t="str">
        <f>IFERROR(IF('Pós Implantação'!B313="Infraestrutura",AVERAGE('Pós Implantação'!D313,'Pós Implantação'!L313),""),"")</f>
        <v/>
      </c>
    </row>
    <row r="314" spans="1:15" x14ac:dyDescent="0.3">
      <c r="A314" s="33">
        <f>'Pré Implantação'!A314</f>
        <v>0</v>
      </c>
      <c r="B314" s="36" t="str">
        <f>'Pós Implantação'!C314</f>
        <v>0</v>
      </c>
      <c r="C314" s="34" t="str">
        <f>IFERROR(IF('Pré Implantação'!B314="Produção TI",AVERAGE('Pós Implantação'!D314,'Pós Implantação'!E314,'Pós Implantação'!L314,'Pós Implantação'!H314),AVERAGE('Pré Implantação'!E314,'Pré Implantação'!H314)),"")</f>
        <v/>
      </c>
      <c r="D314" s="34" t="str">
        <f>IFERROR(IF('Pós Implantação'!B314="CSC Service Desk",AVERAGE('Pós Implantação'!D314,'Pós Implantação'!L314,'Pós Implantação'!F314),AVERAGE('Pós Implantação'!F314)),"")</f>
        <v/>
      </c>
      <c r="E314" s="34" t="str">
        <f>IFERROR(IF('Pós Implantação'!B314="CSC NOC",AVERAGE('Pós Implantação'!D314,'Pós Implantação'!L314,'Pós Implantação'!G314),AVERAGE('Pós Implantação'!G314)),"")</f>
        <v/>
      </c>
      <c r="F314" s="34" t="str">
        <f>IFERROR(IF('Pós Implantação'!B314="CSE Gravadores",AVERAGE('Pós Implantação'!D314,'Pós Implantação'!L314,'Pós Implantação'!I314),AVERAGE('Pós Implantação'!I314)),"")</f>
        <v/>
      </c>
      <c r="G314" s="34" t="str">
        <f>IFERROR(IF('Pós Implantação'!B314="CSC",AVERAGE('Pós Implantação'!D314,'Pós Implantação'!L314,'Pós Implantação'!J314),AVERAGE('Pós Implantação'!J314)),"")</f>
        <v/>
      </c>
      <c r="H314" s="34" t="str">
        <f>IFERROR(IF('Pós Implantação'!B314="Operações \ Negócio",AVERAGE('Pós Implantação'!D314,'Pós Implantação'!L314,'Pós Implantação'!K314),AVERAGE('Pós Implantação'!K314)),"")</f>
        <v/>
      </c>
      <c r="I314" s="34" t="str">
        <f>IFERROR(IF('Pós Implantação'!B314="Projetos",AVERAGE('Pós Implantação'!D314,'Pós Implantação'!L314,'Pós Implantação'!M314),AVERAGE('Pós Implantação'!M314)),"")</f>
        <v/>
      </c>
      <c r="J314" s="34" t="str">
        <f>IFERROR(IF('Pós Implantação'!B314="Engenharia",AVERAGE('Pós Implantação'!D314,'Pós Implantação'!L314,'Pós Implantação'!N314),AVERAGE('Pós Implantação'!N314)),"")</f>
        <v/>
      </c>
      <c r="K314" s="34" t="str">
        <f>IFERROR(IF('Pós Implantação'!B314="URA",AVERAGE('Pós Implantação'!D314,'Pós Implantação'!L314),""),"")</f>
        <v/>
      </c>
      <c r="L314" s="34" t="str">
        <f>IFERROR(IF('Pós Implantação'!B314="CSE Microsoft",AVERAGE('Pós Implantação'!D314,'Pós Implantação'!L314),""),"")</f>
        <v/>
      </c>
      <c r="M314" s="34" t="str">
        <f>IFERROR(IF('Pós Implantação'!B314="CSE Telecom",AVERAGE('Pós Implantação'!D314,'Pós Implantação'!L314),""),"")</f>
        <v/>
      </c>
      <c r="N314" s="34" t="str">
        <f>IFERROR(IF('Pós Implantação'!B314="Site Suporte de Campo",AVERAGE('Pós Implantação'!D314,'Pós Implantação'!L314),""),"")</f>
        <v/>
      </c>
      <c r="O314" s="49" t="str">
        <f>IFERROR(IF('Pós Implantação'!B314="Infraestrutura",AVERAGE('Pós Implantação'!D314,'Pós Implantação'!L314),""),"")</f>
        <v/>
      </c>
    </row>
    <row r="315" spans="1:15" x14ac:dyDescent="0.3">
      <c r="A315" s="33">
        <f>'Pré Implantação'!A315</f>
        <v>0</v>
      </c>
      <c r="B315" s="36" t="str">
        <f>'Pós Implantação'!C315</f>
        <v>0</v>
      </c>
      <c r="C315" s="34" t="str">
        <f>IFERROR(IF('Pré Implantação'!B315="Produção TI",AVERAGE('Pós Implantação'!D315,'Pós Implantação'!E315,'Pós Implantação'!L315,'Pós Implantação'!H315),AVERAGE('Pré Implantação'!E315,'Pré Implantação'!H315)),"")</f>
        <v/>
      </c>
      <c r="D315" s="34" t="str">
        <f>IFERROR(IF('Pós Implantação'!B315="CSC Service Desk",AVERAGE('Pós Implantação'!D315,'Pós Implantação'!L315,'Pós Implantação'!F315),AVERAGE('Pós Implantação'!F315)),"")</f>
        <v/>
      </c>
      <c r="E315" s="34" t="str">
        <f>IFERROR(IF('Pós Implantação'!B315="CSC NOC",AVERAGE('Pós Implantação'!D315,'Pós Implantação'!L315,'Pós Implantação'!G315),AVERAGE('Pós Implantação'!G315)),"")</f>
        <v/>
      </c>
      <c r="F315" s="34" t="str">
        <f>IFERROR(IF('Pós Implantação'!B315="CSE Gravadores",AVERAGE('Pós Implantação'!D315,'Pós Implantação'!L315,'Pós Implantação'!I315),AVERAGE('Pós Implantação'!I315)),"")</f>
        <v/>
      </c>
      <c r="G315" s="34" t="str">
        <f>IFERROR(IF('Pós Implantação'!B315="CSC",AVERAGE('Pós Implantação'!D315,'Pós Implantação'!L315,'Pós Implantação'!J315),AVERAGE('Pós Implantação'!J315)),"")</f>
        <v/>
      </c>
      <c r="H315" s="34" t="str">
        <f>IFERROR(IF('Pós Implantação'!B315="Operações \ Negócio",AVERAGE('Pós Implantação'!D315,'Pós Implantação'!L315,'Pós Implantação'!K315),AVERAGE('Pós Implantação'!K315)),"")</f>
        <v/>
      </c>
      <c r="I315" s="34" t="str">
        <f>IFERROR(IF('Pós Implantação'!B315="Projetos",AVERAGE('Pós Implantação'!D315,'Pós Implantação'!L315,'Pós Implantação'!M315),AVERAGE('Pós Implantação'!M315)),"")</f>
        <v/>
      </c>
      <c r="J315" s="34" t="str">
        <f>IFERROR(IF('Pós Implantação'!B315="Engenharia",AVERAGE('Pós Implantação'!D315,'Pós Implantação'!L315,'Pós Implantação'!N315),AVERAGE('Pós Implantação'!N315)),"")</f>
        <v/>
      </c>
      <c r="K315" s="34" t="str">
        <f>IFERROR(IF('Pós Implantação'!B315="URA",AVERAGE('Pós Implantação'!D315,'Pós Implantação'!L315),""),"")</f>
        <v/>
      </c>
      <c r="L315" s="34" t="str">
        <f>IFERROR(IF('Pós Implantação'!B315="CSE Microsoft",AVERAGE('Pós Implantação'!D315,'Pós Implantação'!L315),""),"")</f>
        <v/>
      </c>
      <c r="M315" s="34" t="str">
        <f>IFERROR(IF('Pós Implantação'!B315="CSE Telecom",AVERAGE('Pós Implantação'!D315,'Pós Implantação'!L315),""),"")</f>
        <v/>
      </c>
      <c r="N315" s="34" t="str">
        <f>IFERROR(IF('Pós Implantação'!B315="Site Suporte de Campo",AVERAGE('Pós Implantação'!D315,'Pós Implantação'!L315),""),"")</f>
        <v/>
      </c>
      <c r="O315" s="49" t="str">
        <f>IFERROR(IF('Pós Implantação'!B315="Infraestrutura",AVERAGE('Pós Implantação'!D315,'Pós Implantação'!L315),""),"")</f>
        <v/>
      </c>
    </row>
    <row r="316" spans="1:15" x14ac:dyDescent="0.3">
      <c r="A316" s="33">
        <f>'Pré Implantação'!A316</f>
        <v>0</v>
      </c>
      <c r="B316" s="36" t="str">
        <f>'Pós Implantação'!C316</f>
        <v>0</v>
      </c>
      <c r="C316" s="34" t="str">
        <f>IFERROR(IF('Pré Implantação'!B316="Produção TI",AVERAGE('Pós Implantação'!D316,'Pós Implantação'!E316,'Pós Implantação'!L316,'Pós Implantação'!H316),AVERAGE('Pré Implantação'!E316,'Pré Implantação'!H316)),"")</f>
        <v/>
      </c>
      <c r="D316" s="34" t="str">
        <f>IFERROR(IF('Pós Implantação'!B316="CSC Service Desk",AVERAGE('Pós Implantação'!D316,'Pós Implantação'!L316,'Pós Implantação'!F316),AVERAGE('Pós Implantação'!F316)),"")</f>
        <v/>
      </c>
      <c r="E316" s="34" t="str">
        <f>IFERROR(IF('Pós Implantação'!B316="CSC NOC",AVERAGE('Pós Implantação'!D316,'Pós Implantação'!L316,'Pós Implantação'!G316),AVERAGE('Pós Implantação'!G316)),"")</f>
        <v/>
      </c>
      <c r="F316" s="34" t="str">
        <f>IFERROR(IF('Pós Implantação'!B316="CSE Gravadores",AVERAGE('Pós Implantação'!D316,'Pós Implantação'!L316,'Pós Implantação'!I316),AVERAGE('Pós Implantação'!I316)),"")</f>
        <v/>
      </c>
      <c r="G316" s="34" t="str">
        <f>IFERROR(IF('Pós Implantação'!B316="CSC",AVERAGE('Pós Implantação'!D316,'Pós Implantação'!L316,'Pós Implantação'!J316),AVERAGE('Pós Implantação'!J316)),"")</f>
        <v/>
      </c>
      <c r="H316" s="34" t="str">
        <f>IFERROR(IF('Pós Implantação'!B316="Operações \ Negócio",AVERAGE('Pós Implantação'!D316,'Pós Implantação'!L316,'Pós Implantação'!K316),AVERAGE('Pós Implantação'!K316)),"")</f>
        <v/>
      </c>
      <c r="I316" s="34" t="str">
        <f>IFERROR(IF('Pós Implantação'!B316="Projetos",AVERAGE('Pós Implantação'!D316,'Pós Implantação'!L316,'Pós Implantação'!M316),AVERAGE('Pós Implantação'!M316)),"")</f>
        <v/>
      </c>
      <c r="J316" s="34" t="str">
        <f>IFERROR(IF('Pós Implantação'!B316="Engenharia",AVERAGE('Pós Implantação'!D316,'Pós Implantação'!L316,'Pós Implantação'!N316),AVERAGE('Pós Implantação'!N316)),"")</f>
        <v/>
      </c>
      <c r="K316" s="34" t="str">
        <f>IFERROR(IF('Pós Implantação'!B316="URA",AVERAGE('Pós Implantação'!D316,'Pós Implantação'!L316),""),"")</f>
        <v/>
      </c>
      <c r="L316" s="34" t="str">
        <f>IFERROR(IF('Pós Implantação'!B316="CSE Microsoft",AVERAGE('Pós Implantação'!D316,'Pós Implantação'!L316),""),"")</f>
        <v/>
      </c>
      <c r="M316" s="34" t="str">
        <f>IFERROR(IF('Pós Implantação'!B316="CSE Telecom",AVERAGE('Pós Implantação'!D316,'Pós Implantação'!L316),""),"")</f>
        <v/>
      </c>
      <c r="N316" s="34" t="str">
        <f>IFERROR(IF('Pós Implantação'!B316="Site Suporte de Campo",AVERAGE('Pós Implantação'!D316,'Pós Implantação'!L316),""),"")</f>
        <v/>
      </c>
      <c r="O316" s="49" t="str">
        <f>IFERROR(IF('Pós Implantação'!B316="Infraestrutura",AVERAGE('Pós Implantação'!D316,'Pós Implantação'!L316),""),"")</f>
        <v/>
      </c>
    </row>
    <row r="317" spans="1:15" x14ac:dyDescent="0.3">
      <c r="A317" s="33">
        <f>'Pré Implantação'!A317</f>
        <v>0</v>
      </c>
      <c r="B317" s="36" t="str">
        <f>'Pós Implantação'!C317</f>
        <v>0</v>
      </c>
      <c r="C317" s="34" t="str">
        <f>IFERROR(IF('Pré Implantação'!B317="Produção TI",AVERAGE('Pós Implantação'!D317,'Pós Implantação'!E317,'Pós Implantação'!L317,'Pós Implantação'!H317),AVERAGE('Pré Implantação'!E317,'Pré Implantação'!H317)),"")</f>
        <v/>
      </c>
      <c r="D317" s="34" t="str">
        <f>IFERROR(IF('Pós Implantação'!B317="CSC Service Desk",AVERAGE('Pós Implantação'!D317,'Pós Implantação'!L317,'Pós Implantação'!F317),AVERAGE('Pós Implantação'!F317)),"")</f>
        <v/>
      </c>
      <c r="E317" s="34" t="str">
        <f>IFERROR(IF('Pós Implantação'!B317="CSC NOC",AVERAGE('Pós Implantação'!D317,'Pós Implantação'!L317,'Pós Implantação'!G317),AVERAGE('Pós Implantação'!G317)),"")</f>
        <v/>
      </c>
      <c r="F317" s="34" t="str">
        <f>IFERROR(IF('Pós Implantação'!B317="CSE Gravadores",AVERAGE('Pós Implantação'!D317,'Pós Implantação'!L317,'Pós Implantação'!I317),AVERAGE('Pós Implantação'!I317)),"")</f>
        <v/>
      </c>
      <c r="G317" s="34" t="str">
        <f>IFERROR(IF('Pós Implantação'!B317="CSC",AVERAGE('Pós Implantação'!D317,'Pós Implantação'!L317,'Pós Implantação'!J317),AVERAGE('Pós Implantação'!J317)),"")</f>
        <v/>
      </c>
      <c r="H317" s="34" t="str">
        <f>IFERROR(IF('Pós Implantação'!B317="Operações \ Negócio",AVERAGE('Pós Implantação'!D317,'Pós Implantação'!L317,'Pós Implantação'!K317),AVERAGE('Pós Implantação'!K317)),"")</f>
        <v/>
      </c>
      <c r="I317" s="34" t="str">
        <f>IFERROR(IF('Pós Implantação'!B317="Projetos",AVERAGE('Pós Implantação'!D317,'Pós Implantação'!L317,'Pós Implantação'!M317),AVERAGE('Pós Implantação'!M317)),"")</f>
        <v/>
      </c>
      <c r="J317" s="34" t="str">
        <f>IFERROR(IF('Pós Implantação'!B317="Engenharia",AVERAGE('Pós Implantação'!D317,'Pós Implantação'!L317,'Pós Implantação'!N317),AVERAGE('Pós Implantação'!N317)),"")</f>
        <v/>
      </c>
      <c r="K317" s="34" t="str">
        <f>IFERROR(IF('Pós Implantação'!B317="URA",AVERAGE('Pós Implantação'!D317,'Pós Implantação'!L317),""),"")</f>
        <v/>
      </c>
      <c r="L317" s="34" t="str">
        <f>IFERROR(IF('Pós Implantação'!B317="CSE Microsoft",AVERAGE('Pós Implantação'!D317,'Pós Implantação'!L317),""),"")</f>
        <v/>
      </c>
      <c r="M317" s="34" t="str">
        <f>IFERROR(IF('Pós Implantação'!B317="CSE Telecom",AVERAGE('Pós Implantação'!D317,'Pós Implantação'!L317),""),"")</f>
        <v/>
      </c>
      <c r="N317" s="34" t="str">
        <f>IFERROR(IF('Pós Implantação'!B317="Site Suporte de Campo",AVERAGE('Pós Implantação'!D317,'Pós Implantação'!L317),""),"")</f>
        <v/>
      </c>
      <c r="O317" s="49" t="str">
        <f>IFERROR(IF('Pós Implantação'!B317="Infraestrutura",AVERAGE('Pós Implantação'!D317,'Pós Implantação'!L317),""),"")</f>
        <v/>
      </c>
    </row>
    <row r="318" spans="1:15" x14ac:dyDescent="0.3">
      <c r="A318" s="33">
        <f>'Pré Implantação'!A318</f>
        <v>0</v>
      </c>
      <c r="B318" s="36" t="str">
        <f>'Pós Implantação'!C318</f>
        <v>0</v>
      </c>
      <c r="C318" s="34" t="str">
        <f>IFERROR(IF('Pré Implantação'!B318="Produção TI",AVERAGE('Pós Implantação'!D318,'Pós Implantação'!E318,'Pós Implantação'!L318,'Pós Implantação'!H318),AVERAGE('Pré Implantação'!E318,'Pré Implantação'!H318)),"")</f>
        <v/>
      </c>
      <c r="D318" s="34" t="str">
        <f>IFERROR(IF('Pós Implantação'!B318="CSC Service Desk",AVERAGE('Pós Implantação'!D318,'Pós Implantação'!L318,'Pós Implantação'!F318),AVERAGE('Pós Implantação'!F318)),"")</f>
        <v/>
      </c>
      <c r="E318" s="34" t="str">
        <f>IFERROR(IF('Pós Implantação'!B318="CSC NOC",AVERAGE('Pós Implantação'!D318,'Pós Implantação'!L318,'Pós Implantação'!G318),AVERAGE('Pós Implantação'!G318)),"")</f>
        <v/>
      </c>
      <c r="F318" s="34" t="str">
        <f>IFERROR(IF('Pós Implantação'!B318="CSE Gravadores",AVERAGE('Pós Implantação'!D318,'Pós Implantação'!L318,'Pós Implantação'!I318),AVERAGE('Pós Implantação'!I318)),"")</f>
        <v/>
      </c>
      <c r="G318" s="34" t="str">
        <f>IFERROR(IF('Pós Implantação'!B318="CSC",AVERAGE('Pós Implantação'!D318,'Pós Implantação'!L318,'Pós Implantação'!J318),AVERAGE('Pós Implantação'!J318)),"")</f>
        <v/>
      </c>
      <c r="H318" s="34" t="str">
        <f>IFERROR(IF('Pós Implantação'!B318="Operações \ Negócio",AVERAGE('Pós Implantação'!D318,'Pós Implantação'!L318,'Pós Implantação'!K318),AVERAGE('Pós Implantação'!K318)),"")</f>
        <v/>
      </c>
      <c r="I318" s="34" t="str">
        <f>IFERROR(IF('Pós Implantação'!B318="Projetos",AVERAGE('Pós Implantação'!D318,'Pós Implantação'!L318,'Pós Implantação'!M318),AVERAGE('Pós Implantação'!M318)),"")</f>
        <v/>
      </c>
      <c r="J318" s="34" t="str">
        <f>IFERROR(IF('Pós Implantação'!B318="Engenharia",AVERAGE('Pós Implantação'!D318,'Pós Implantação'!L318,'Pós Implantação'!N318),AVERAGE('Pós Implantação'!N318)),"")</f>
        <v/>
      </c>
      <c r="K318" s="34" t="str">
        <f>IFERROR(IF('Pós Implantação'!B318="URA",AVERAGE('Pós Implantação'!D318,'Pós Implantação'!L318),""),"")</f>
        <v/>
      </c>
      <c r="L318" s="34" t="str">
        <f>IFERROR(IF('Pós Implantação'!B318="CSE Microsoft",AVERAGE('Pós Implantação'!D318,'Pós Implantação'!L318),""),"")</f>
        <v/>
      </c>
      <c r="M318" s="34" t="str">
        <f>IFERROR(IF('Pós Implantação'!B318="CSE Telecom",AVERAGE('Pós Implantação'!D318,'Pós Implantação'!L318),""),"")</f>
        <v/>
      </c>
      <c r="N318" s="34" t="str">
        <f>IFERROR(IF('Pós Implantação'!B318="Site Suporte de Campo",AVERAGE('Pós Implantação'!D318,'Pós Implantação'!L318),""),"")</f>
        <v/>
      </c>
      <c r="O318" s="49" t="str">
        <f>IFERROR(IF('Pós Implantação'!B318="Infraestrutura",AVERAGE('Pós Implantação'!D318,'Pós Implantação'!L318),""),"")</f>
        <v/>
      </c>
    </row>
    <row r="319" spans="1:15" x14ac:dyDescent="0.3">
      <c r="A319" s="33">
        <f>'Pré Implantação'!A319</f>
        <v>0</v>
      </c>
      <c r="B319" s="36" t="str">
        <f>'Pós Implantação'!C319</f>
        <v>0</v>
      </c>
      <c r="C319" s="34" t="str">
        <f>IFERROR(IF('Pré Implantação'!B319="Produção TI",AVERAGE('Pós Implantação'!D319,'Pós Implantação'!E319,'Pós Implantação'!L319,'Pós Implantação'!H319),AVERAGE('Pré Implantação'!E319,'Pré Implantação'!H319)),"")</f>
        <v/>
      </c>
      <c r="D319" s="34" t="str">
        <f>IFERROR(IF('Pós Implantação'!B319="CSC Service Desk",AVERAGE('Pós Implantação'!D319,'Pós Implantação'!L319,'Pós Implantação'!F319),AVERAGE('Pós Implantação'!F319)),"")</f>
        <v/>
      </c>
      <c r="E319" s="34" t="str">
        <f>IFERROR(IF('Pós Implantação'!B319="CSC NOC",AVERAGE('Pós Implantação'!D319,'Pós Implantação'!L319,'Pós Implantação'!G319),AVERAGE('Pós Implantação'!G319)),"")</f>
        <v/>
      </c>
      <c r="F319" s="34" t="str">
        <f>IFERROR(IF('Pós Implantação'!B319="CSE Gravadores",AVERAGE('Pós Implantação'!D319,'Pós Implantação'!L319,'Pós Implantação'!I319),AVERAGE('Pós Implantação'!I319)),"")</f>
        <v/>
      </c>
      <c r="G319" s="34" t="str">
        <f>IFERROR(IF('Pós Implantação'!B319="CSC",AVERAGE('Pós Implantação'!D319,'Pós Implantação'!L319,'Pós Implantação'!J319),AVERAGE('Pós Implantação'!J319)),"")</f>
        <v/>
      </c>
      <c r="H319" s="34" t="str">
        <f>IFERROR(IF('Pós Implantação'!B319="Operações \ Negócio",AVERAGE('Pós Implantação'!D319,'Pós Implantação'!L319,'Pós Implantação'!K319),AVERAGE('Pós Implantação'!K319)),"")</f>
        <v/>
      </c>
      <c r="I319" s="34" t="str">
        <f>IFERROR(IF('Pós Implantação'!B319="Projetos",AVERAGE('Pós Implantação'!D319,'Pós Implantação'!L319,'Pós Implantação'!M319),AVERAGE('Pós Implantação'!M319)),"")</f>
        <v/>
      </c>
      <c r="J319" s="34" t="str">
        <f>IFERROR(IF('Pós Implantação'!B319="Engenharia",AVERAGE('Pós Implantação'!D319,'Pós Implantação'!L319,'Pós Implantação'!N319),AVERAGE('Pós Implantação'!N319)),"")</f>
        <v/>
      </c>
      <c r="K319" s="34" t="str">
        <f>IFERROR(IF('Pós Implantação'!B319="URA",AVERAGE('Pós Implantação'!D319,'Pós Implantação'!L319),""),"")</f>
        <v/>
      </c>
      <c r="L319" s="34" t="str">
        <f>IFERROR(IF('Pós Implantação'!B319="CSE Microsoft",AVERAGE('Pós Implantação'!D319,'Pós Implantação'!L319),""),"")</f>
        <v/>
      </c>
      <c r="M319" s="34" t="str">
        <f>IFERROR(IF('Pós Implantação'!B319="CSE Telecom",AVERAGE('Pós Implantação'!D319,'Pós Implantação'!L319),""),"")</f>
        <v/>
      </c>
      <c r="N319" s="34" t="str">
        <f>IFERROR(IF('Pós Implantação'!B319="Site Suporte de Campo",AVERAGE('Pós Implantação'!D319,'Pós Implantação'!L319),""),"")</f>
        <v/>
      </c>
      <c r="O319" s="49" t="str">
        <f>IFERROR(IF('Pós Implantação'!B319="Infraestrutura",AVERAGE('Pós Implantação'!D319,'Pós Implantação'!L319),""),"")</f>
        <v/>
      </c>
    </row>
    <row r="320" spans="1:15" x14ac:dyDescent="0.3">
      <c r="A320" s="33">
        <f>'Pré Implantação'!A320</f>
        <v>0</v>
      </c>
      <c r="B320" s="36" t="str">
        <f>'Pós Implantação'!C320</f>
        <v>0</v>
      </c>
      <c r="C320" s="34" t="str">
        <f>IFERROR(IF('Pré Implantação'!B320="Produção TI",AVERAGE('Pós Implantação'!D320,'Pós Implantação'!E320,'Pós Implantação'!L320,'Pós Implantação'!H320),AVERAGE('Pré Implantação'!E320,'Pré Implantação'!H320)),"")</f>
        <v/>
      </c>
      <c r="D320" s="34" t="str">
        <f>IFERROR(IF('Pós Implantação'!B320="CSC Service Desk",AVERAGE('Pós Implantação'!D320,'Pós Implantação'!L320,'Pós Implantação'!F320),AVERAGE('Pós Implantação'!F320)),"")</f>
        <v/>
      </c>
      <c r="E320" s="34" t="str">
        <f>IFERROR(IF('Pós Implantação'!B320="CSC NOC",AVERAGE('Pós Implantação'!D320,'Pós Implantação'!L320,'Pós Implantação'!G320),AVERAGE('Pós Implantação'!G320)),"")</f>
        <v/>
      </c>
      <c r="F320" s="34" t="str">
        <f>IFERROR(IF('Pós Implantação'!B320="CSE Gravadores",AVERAGE('Pós Implantação'!D320,'Pós Implantação'!L320,'Pós Implantação'!I320),AVERAGE('Pós Implantação'!I320)),"")</f>
        <v/>
      </c>
      <c r="G320" s="34" t="str">
        <f>IFERROR(IF('Pós Implantação'!B320="CSC",AVERAGE('Pós Implantação'!D320,'Pós Implantação'!L320,'Pós Implantação'!J320),AVERAGE('Pós Implantação'!J320)),"")</f>
        <v/>
      </c>
      <c r="H320" s="34" t="str">
        <f>IFERROR(IF('Pós Implantação'!B320="Operações \ Negócio",AVERAGE('Pós Implantação'!D320,'Pós Implantação'!L320,'Pós Implantação'!K320),AVERAGE('Pós Implantação'!K320)),"")</f>
        <v/>
      </c>
      <c r="I320" s="34" t="str">
        <f>IFERROR(IF('Pós Implantação'!B320="Projetos",AVERAGE('Pós Implantação'!D320,'Pós Implantação'!L320,'Pós Implantação'!M320),AVERAGE('Pós Implantação'!M320)),"")</f>
        <v/>
      </c>
      <c r="J320" s="34" t="str">
        <f>IFERROR(IF('Pós Implantação'!B320="Engenharia",AVERAGE('Pós Implantação'!D320,'Pós Implantação'!L320,'Pós Implantação'!N320),AVERAGE('Pós Implantação'!N320)),"")</f>
        <v/>
      </c>
      <c r="K320" s="34" t="str">
        <f>IFERROR(IF('Pós Implantação'!B320="URA",AVERAGE('Pós Implantação'!D320,'Pós Implantação'!L320),""),"")</f>
        <v/>
      </c>
      <c r="L320" s="34" t="str">
        <f>IFERROR(IF('Pós Implantação'!B320="CSE Microsoft",AVERAGE('Pós Implantação'!D320,'Pós Implantação'!L320),""),"")</f>
        <v/>
      </c>
      <c r="M320" s="34" t="str">
        <f>IFERROR(IF('Pós Implantação'!B320="CSE Telecom",AVERAGE('Pós Implantação'!D320,'Pós Implantação'!L320),""),"")</f>
        <v/>
      </c>
      <c r="N320" s="34" t="str">
        <f>IFERROR(IF('Pós Implantação'!B320="Site Suporte de Campo",AVERAGE('Pós Implantação'!D320,'Pós Implantação'!L320),""),"")</f>
        <v/>
      </c>
      <c r="O320" s="49" t="str">
        <f>IFERROR(IF('Pós Implantação'!B320="Infraestrutura",AVERAGE('Pós Implantação'!D320,'Pós Implantação'!L320),""),"")</f>
        <v/>
      </c>
    </row>
    <row r="321" spans="1:15" x14ac:dyDescent="0.3">
      <c r="A321" s="33">
        <f>'Pré Implantação'!A321</f>
        <v>0</v>
      </c>
      <c r="B321" s="36" t="str">
        <f>'Pós Implantação'!C321</f>
        <v>0</v>
      </c>
      <c r="C321" s="34" t="str">
        <f>IFERROR(IF('Pré Implantação'!B321="Produção TI",AVERAGE('Pós Implantação'!D321,'Pós Implantação'!E321,'Pós Implantação'!L321,'Pós Implantação'!H321),AVERAGE('Pré Implantação'!E321,'Pré Implantação'!H321)),"")</f>
        <v/>
      </c>
      <c r="D321" s="34" t="str">
        <f>IFERROR(IF('Pós Implantação'!B321="CSC Service Desk",AVERAGE('Pós Implantação'!D321,'Pós Implantação'!L321,'Pós Implantação'!F321),AVERAGE('Pós Implantação'!F321)),"")</f>
        <v/>
      </c>
      <c r="E321" s="34" t="str">
        <f>IFERROR(IF('Pós Implantação'!B321="CSC NOC",AVERAGE('Pós Implantação'!D321,'Pós Implantação'!L321,'Pós Implantação'!G321),AVERAGE('Pós Implantação'!G321)),"")</f>
        <v/>
      </c>
      <c r="F321" s="34" t="str">
        <f>IFERROR(IF('Pós Implantação'!B321="CSE Gravadores",AVERAGE('Pós Implantação'!D321,'Pós Implantação'!L321,'Pós Implantação'!I321),AVERAGE('Pós Implantação'!I321)),"")</f>
        <v/>
      </c>
      <c r="G321" s="34" t="str">
        <f>IFERROR(IF('Pós Implantação'!B321="CSC",AVERAGE('Pós Implantação'!D321,'Pós Implantação'!L321,'Pós Implantação'!J321),AVERAGE('Pós Implantação'!J321)),"")</f>
        <v/>
      </c>
      <c r="H321" s="34" t="str">
        <f>IFERROR(IF('Pós Implantação'!B321="Operações \ Negócio",AVERAGE('Pós Implantação'!D321,'Pós Implantação'!L321,'Pós Implantação'!K321),AVERAGE('Pós Implantação'!K321)),"")</f>
        <v/>
      </c>
      <c r="I321" s="34" t="str">
        <f>IFERROR(IF('Pós Implantação'!B321="Projetos",AVERAGE('Pós Implantação'!D321,'Pós Implantação'!L321,'Pós Implantação'!M321),AVERAGE('Pós Implantação'!M321)),"")</f>
        <v/>
      </c>
      <c r="J321" s="34" t="str">
        <f>IFERROR(IF('Pós Implantação'!B321="Engenharia",AVERAGE('Pós Implantação'!D321,'Pós Implantação'!L321,'Pós Implantação'!N321),AVERAGE('Pós Implantação'!N321)),"")</f>
        <v/>
      </c>
      <c r="K321" s="34" t="str">
        <f>IFERROR(IF('Pós Implantação'!B321="URA",AVERAGE('Pós Implantação'!D321,'Pós Implantação'!L321),""),"")</f>
        <v/>
      </c>
      <c r="L321" s="34" t="str">
        <f>IFERROR(IF('Pós Implantação'!B321="CSE Microsoft",AVERAGE('Pós Implantação'!D321,'Pós Implantação'!L321),""),"")</f>
        <v/>
      </c>
      <c r="M321" s="34" t="str">
        <f>IFERROR(IF('Pós Implantação'!B321="CSE Telecom",AVERAGE('Pós Implantação'!D321,'Pós Implantação'!L321),""),"")</f>
        <v/>
      </c>
      <c r="N321" s="34" t="str">
        <f>IFERROR(IF('Pós Implantação'!B321="Site Suporte de Campo",AVERAGE('Pós Implantação'!D321,'Pós Implantação'!L321),""),"")</f>
        <v/>
      </c>
      <c r="O321" s="49" t="str">
        <f>IFERROR(IF('Pós Implantação'!B321="Infraestrutura",AVERAGE('Pós Implantação'!D321,'Pós Implantação'!L321),""),"")</f>
        <v/>
      </c>
    </row>
    <row r="322" spans="1:15" x14ac:dyDescent="0.3">
      <c r="A322" s="33">
        <f>'Pré Implantação'!A322</f>
        <v>0</v>
      </c>
      <c r="B322" s="36" t="str">
        <f>'Pós Implantação'!C322</f>
        <v>0</v>
      </c>
      <c r="C322" s="34" t="str">
        <f>IFERROR(IF('Pré Implantação'!B322="Produção TI",AVERAGE('Pós Implantação'!D322,'Pós Implantação'!E322,'Pós Implantação'!L322,'Pós Implantação'!H322),AVERAGE('Pré Implantação'!E322,'Pré Implantação'!H322)),"")</f>
        <v/>
      </c>
      <c r="D322" s="34" t="str">
        <f>IFERROR(IF('Pós Implantação'!B322="CSC Service Desk",AVERAGE('Pós Implantação'!D322,'Pós Implantação'!L322,'Pós Implantação'!F322),AVERAGE('Pós Implantação'!F322)),"")</f>
        <v/>
      </c>
      <c r="E322" s="34" t="str">
        <f>IFERROR(IF('Pós Implantação'!B322="CSC NOC",AVERAGE('Pós Implantação'!D322,'Pós Implantação'!L322,'Pós Implantação'!G322),AVERAGE('Pós Implantação'!G322)),"")</f>
        <v/>
      </c>
      <c r="F322" s="34" t="str">
        <f>IFERROR(IF('Pós Implantação'!B322="CSE Gravadores",AVERAGE('Pós Implantação'!D322,'Pós Implantação'!L322,'Pós Implantação'!I322),AVERAGE('Pós Implantação'!I322)),"")</f>
        <v/>
      </c>
      <c r="G322" s="34" t="str">
        <f>IFERROR(IF('Pós Implantação'!B322="CSC",AVERAGE('Pós Implantação'!D322,'Pós Implantação'!L322,'Pós Implantação'!J322),AVERAGE('Pós Implantação'!J322)),"")</f>
        <v/>
      </c>
      <c r="H322" s="34" t="str">
        <f>IFERROR(IF('Pós Implantação'!B322="Operações \ Negócio",AVERAGE('Pós Implantação'!D322,'Pós Implantação'!L322,'Pós Implantação'!K322),AVERAGE('Pós Implantação'!K322)),"")</f>
        <v/>
      </c>
      <c r="I322" s="34" t="str">
        <f>IFERROR(IF('Pós Implantação'!B322="Projetos",AVERAGE('Pós Implantação'!D322,'Pós Implantação'!L322,'Pós Implantação'!M322),AVERAGE('Pós Implantação'!M322)),"")</f>
        <v/>
      </c>
      <c r="J322" s="34" t="str">
        <f>IFERROR(IF('Pós Implantação'!B322="Engenharia",AVERAGE('Pós Implantação'!D322,'Pós Implantação'!L322,'Pós Implantação'!N322),AVERAGE('Pós Implantação'!N322)),"")</f>
        <v/>
      </c>
      <c r="K322" s="34" t="str">
        <f>IFERROR(IF('Pós Implantação'!B322="URA",AVERAGE('Pós Implantação'!D322,'Pós Implantação'!L322),""),"")</f>
        <v/>
      </c>
      <c r="L322" s="34" t="str">
        <f>IFERROR(IF('Pós Implantação'!B322="CSE Microsoft",AVERAGE('Pós Implantação'!D322,'Pós Implantação'!L322),""),"")</f>
        <v/>
      </c>
      <c r="M322" s="34" t="str">
        <f>IFERROR(IF('Pós Implantação'!B322="CSE Telecom",AVERAGE('Pós Implantação'!D322,'Pós Implantação'!L322),""),"")</f>
        <v/>
      </c>
      <c r="N322" s="34" t="str">
        <f>IFERROR(IF('Pós Implantação'!B322="Site Suporte de Campo",AVERAGE('Pós Implantação'!D322,'Pós Implantação'!L322),""),"")</f>
        <v/>
      </c>
      <c r="O322" s="49" t="str">
        <f>IFERROR(IF('Pós Implantação'!B322="Infraestrutura",AVERAGE('Pós Implantação'!D322,'Pós Implantação'!L322),""),"")</f>
        <v/>
      </c>
    </row>
    <row r="323" spans="1:15" x14ac:dyDescent="0.3">
      <c r="A323" s="33">
        <f>'Pré Implantação'!A323</f>
        <v>0</v>
      </c>
      <c r="B323" s="36" t="str">
        <f>'Pós Implantação'!C323</f>
        <v>0</v>
      </c>
      <c r="C323" s="34" t="str">
        <f>IFERROR(IF('Pré Implantação'!B323="Produção TI",AVERAGE('Pós Implantação'!D323,'Pós Implantação'!E323,'Pós Implantação'!L323,'Pós Implantação'!H323),AVERAGE('Pré Implantação'!E323,'Pré Implantação'!H323)),"")</f>
        <v/>
      </c>
      <c r="D323" s="34" t="str">
        <f>IFERROR(IF('Pós Implantação'!B323="CSC Service Desk",AVERAGE('Pós Implantação'!D323,'Pós Implantação'!L323,'Pós Implantação'!F323),AVERAGE('Pós Implantação'!F323)),"")</f>
        <v/>
      </c>
      <c r="E323" s="34" t="str">
        <f>IFERROR(IF('Pós Implantação'!B323="CSC NOC",AVERAGE('Pós Implantação'!D323,'Pós Implantação'!L323,'Pós Implantação'!G323),AVERAGE('Pós Implantação'!G323)),"")</f>
        <v/>
      </c>
      <c r="F323" s="34" t="str">
        <f>IFERROR(IF('Pós Implantação'!B323="CSE Gravadores",AVERAGE('Pós Implantação'!D323,'Pós Implantação'!L323,'Pós Implantação'!I323),AVERAGE('Pós Implantação'!I323)),"")</f>
        <v/>
      </c>
      <c r="G323" s="34" t="str">
        <f>IFERROR(IF('Pós Implantação'!B323="CSC",AVERAGE('Pós Implantação'!D323,'Pós Implantação'!L323,'Pós Implantação'!J323),AVERAGE('Pós Implantação'!J323)),"")</f>
        <v/>
      </c>
      <c r="H323" s="34" t="str">
        <f>IFERROR(IF('Pós Implantação'!B323="Operações \ Negócio",AVERAGE('Pós Implantação'!D323,'Pós Implantação'!L323,'Pós Implantação'!K323),AVERAGE('Pós Implantação'!K323)),"")</f>
        <v/>
      </c>
      <c r="I323" s="34" t="str">
        <f>IFERROR(IF('Pós Implantação'!B323="Projetos",AVERAGE('Pós Implantação'!D323,'Pós Implantação'!L323,'Pós Implantação'!M323),AVERAGE('Pós Implantação'!M323)),"")</f>
        <v/>
      </c>
      <c r="J323" s="34" t="str">
        <f>IFERROR(IF('Pós Implantação'!B323="Engenharia",AVERAGE('Pós Implantação'!D323,'Pós Implantação'!L323,'Pós Implantação'!N323),AVERAGE('Pós Implantação'!N323)),"")</f>
        <v/>
      </c>
      <c r="K323" s="34" t="str">
        <f>IFERROR(IF('Pós Implantação'!B323="URA",AVERAGE('Pós Implantação'!D323,'Pós Implantação'!L323),""),"")</f>
        <v/>
      </c>
      <c r="L323" s="34" t="str">
        <f>IFERROR(IF('Pós Implantação'!B323="CSE Microsoft",AVERAGE('Pós Implantação'!D323,'Pós Implantação'!L323),""),"")</f>
        <v/>
      </c>
      <c r="M323" s="34" t="str">
        <f>IFERROR(IF('Pós Implantação'!B323="CSE Telecom",AVERAGE('Pós Implantação'!D323,'Pós Implantação'!L323),""),"")</f>
        <v/>
      </c>
      <c r="N323" s="34" t="str">
        <f>IFERROR(IF('Pós Implantação'!B323="Site Suporte de Campo",AVERAGE('Pós Implantação'!D323,'Pós Implantação'!L323),""),"")</f>
        <v/>
      </c>
      <c r="O323" s="49" t="str">
        <f>IFERROR(IF('Pós Implantação'!B323="Infraestrutura",AVERAGE('Pós Implantação'!D323,'Pós Implantação'!L323),""),"")</f>
        <v/>
      </c>
    </row>
    <row r="324" spans="1:15" x14ac:dyDescent="0.3">
      <c r="A324" s="33">
        <f>'Pré Implantação'!A324</f>
        <v>0</v>
      </c>
      <c r="B324" s="36" t="str">
        <f>'Pós Implantação'!C324</f>
        <v>0</v>
      </c>
      <c r="C324" s="34" t="str">
        <f>IFERROR(IF('Pré Implantação'!B324="Produção TI",AVERAGE('Pós Implantação'!D324,'Pós Implantação'!E324,'Pós Implantação'!L324,'Pós Implantação'!H324),AVERAGE('Pré Implantação'!E324,'Pré Implantação'!H324)),"")</f>
        <v/>
      </c>
      <c r="D324" s="34" t="str">
        <f>IFERROR(IF('Pós Implantação'!B324="CSC Service Desk",AVERAGE('Pós Implantação'!D324,'Pós Implantação'!L324,'Pós Implantação'!F324),AVERAGE('Pós Implantação'!F324)),"")</f>
        <v/>
      </c>
      <c r="E324" s="34" t="str">
        <f>IFERROR(IF('Pós Implantação'!B324="CSC NOC",AVERAGE('Pós Implantação'!D324,'Pós Implantação'!L324,'Pós Implantação'!G324),AVERAGE('Pós Implantação'!G324)),"")</f>
        <v/>
      </c>
      <c r="F324" s="34" t="str">
        <f>IFERROR(IF('Pós Implantação'!B324="CSE Gravadores",AVERAGE('Pós Implantação'!D324,'Pós Implantação'!L324,'Pós Implantação'!I324),AVERAGE('Pós Implantação'!I324)),"")</f>
        <v/>
      </c>
      <c r="G324" s="34" t="str">
        <f>IFERROR(IF('Pós Implantação'!B324="CSC",AVERAGE('Pós Implantação'!D324,'Pós Implantação'!L324,'Pós Implantação'!J324),AVERAGE('Pós Implantação'!J324)),"")</f>
        <v/>
      </c>
      <c r="H324" s="34" t="str">
        <f>IFERROR(IF('Pós Implantação'!B324="Operações \ Negócio",AVERAGE('Pós Implantação'!D324,'Pós Implantação'!L324,'Pós Implantação'!K324),AVERAGE('Pós Implantação'!K324)),"")</f>
        <v/>
      </c>
      <c r="I324" s="34" t="str">
        <f>IFERROR(IF('Pós Implantação'!B324="Projetos",AVERAGE('Pós Implantação'!D324,'Pós Implantação'!L324,'Pós Implantação'!M324),AVERAGE('Pós Implantação'!M324)),"")</f>
        <v/>
      </c>
      <c r="J324" s="34" t="str">
        <f>IFERROR(IF('Pós Implantação'!B324="Engenharia",AVERAGE('Pós Implantação'!D324,'Pós Implantação'!L324,'Pós Implantação'!N324),AVERAGE('Pós Implantação'!N324)),"")</f>
        <v/>
      </c>
      <c r="K324" s="34" t="str">
        <f>IFERROR(IF('Pós Implantação'!B324="URA",AVERAGE('Pós Implantação'!D324,'Pós Implantação'!L324),""),"")</f>
        <v/>
      </c>
      <c r="L324" s="34" t="str">
        <f>IFERROR(IF('Pós Implantação'!B324="CSE Microsoft",AVERAGE('Pós Implantação'!D324,'Pós Implantação'!L324),""),"")</f>
        <v/>
      </c>
      <c r="M324" s="34" t="str">
        <f>IFERROR(IF('Pós Implantação'!B324="CSE Telecom",AVERAGE('Pós Implantação'!D324,'Pós Implantação'!L324),""),"")</f>
        <v/>
      </c>
      <c r="N324" s="34" t="str">
        <f>IFERROR(IF('Pós Implantação'!B324="Site Suporte de Campo",AVERAGE('Pós Implantação'!D324,'Pós Implantação'!L324),""),"")</f>
        <v/>
      </c>
      <c r="O324" s="49" t="str">
        <f>IFERROR(IF('Pós Implantação'!B324="Infraestrutura",AVERAGE('Pós Implantação'!D324,'Pós Implantação'!L324),""),"")</f>
        <v/>
      </c>
    </row>
    <row r="325" spans="1:15" x14ac:dyDescent="0.3">
      <c r="A325" s="33">
        <f>'Pré Implantação'!A325</f>
        <v>0</v>
      </c>
      <c r="B325" s="36" t="str">
        <f>'Pós Implantação'!C325</f>
        <v>0</v>
      </c>
      <c r="C325" s="34" t="str">
        <f>IFERROR(IF('Pré Implantação'!B325="Produção TI",AVERAGE('Pós Implantação'!D325,'Pós Implantação'!E325,'Pós Implantação'!L325,'Pós Implantação'!H325),AVERAGE('Pré Implantação'!E325,'Pré Implantação'!H325)),"")</f>
        <v/>
      </c>
      <c r="D325" s="34" t="str">
        <f>IFERROR(IF('Pós Implantação'!B325="CSC Service Desk",AVERAGE('Pós Implantação'!D325,'Pós Implantação'!L325,'Pós Implantação'!F325),AVERAGE('Pós Implantação'!F325)),"")</f>
        <v/>
      </c>
      <c r="E325" s="34" t="str">
        <f>IFERROR(IF('Pós Implantação'!B325="CSC NOC",AVERAGE('Pós Implantação'!D325,'Pós Implantação'!L325,'Pós Implantação'!G325),AVERAGE('Pós Implantação'!G325)),"")</f>
        <v/>
      </c>
      <c r="F325" s="34" t="str">
        <f>IFERROR(IF('Pós Implantação'!B325="CSE Gravadores",AVERAGE('Pós Implantação'!D325,'Pós Implantação'!L325,'Pós Implantação'!I325),AVERAGE('Pós Implantação'!I325)),"")</f>
        <v/>
      </c>
      <c r="G325" s="34" t="str">
        <f>IFERROR(IF('Pós Implantação'!B325="CSC",AVERAGE('Pós Implantação'!D325,'Pós Implantação'!L325,'Pós Implantação'!J325),AVERAGE('Pós Implantação'!J325)),"")</f>
        <v/>
      </c>
      <c r="H325" s="34" t="str">
        <f>IFERROR(IF('Pós Implantação'!B325="Operações \ Negócio",AVERAGE('Pós Implantação'!D325,'Pós Implantação'!L325,'Pós Implantação'!K325),AVERAGE('Pós Implantação'!K325)),"")</f>
        <v/>
      </c>
      <c r="I325" s="34" t="str">
        <f>IFERROR(IF('Pós Implantação'!B325="Projetos",AVERAGE('Pós Implantação'!D325,'Pós Implantação'!L325,'Pós Implantação'!M325),AVERAGE('Pós Implantação'!M325)),"")</f>
        <v/>
      </c>
      <c r="J325" s="34" t="str">
        <f>IFERROR(IF('Pós Implantação'!B325="Engenharia",AVERAGE('Pós Implantação'!D325,'Pós Implantação'!L325,'Pós Implantação'!N325),AVERAGE('Pós Implantação'!N325)),"")</f>
        <v/>
      </c>
      <c r="K325" s="34" t="str">
        <f>IFERROR(IF('Pós Implantação'!B325="URA",AVERAGE('Pós Implantação'!D325,'Pós Implantação'!L325),""),"")</f>
        <v/>
      </c>
      <c r="L325" s="34" t="str">
        <f>IFERROR(IF('Pós Implantação'!B325="CSE Microsoft",AVERAGE('Pós Implantação'!D325,'Pós Implantação'!L325),""),"")</f>
        <v/>
      </c>
      <c r="M325" s="34" t="str">
        <f>IFERROR(IF('Pós Implantação'!B325="CSE Telecom",AVERAGE('Pós Implantação'!D325,'Pós Implantação'!L325),""),"")</f>
        <v/>
      </c>
      <c r="N325" s="34" t="str">
        <f>IFERROR(IF('Pós Implantação'!B325="Site Suporte de Campo",AVERAGE('Pós Implantação'!D325,'Pós Implantação'!L325),""),"")</f>
        <v/>
      </c>
      <c r="O325" s="49" t="str">
        <f>IFERROR(IF('Pós Implantação'!B325="Infraestrutura",AVERAGE('Pós Implantação'!D325,'Pós Implantação'!L325),""),"")</f>
        <v/>
      </c>
    </row>
    <row r="326" spans="1:15" x14ac:dyDescent="0.3">
      <c r="A326" s="33">
        <f>'Pré Implantação'!A326</f>
        <v>0</v>
      </c>
      <c r="B326" s="36" t="str">
        <f>'Pós Implantação'!C326</f>
        <v>0</v>
      </c>
      <c r="C326" s="34" t="str">
        <f>IFERROR(IF('Pré Implantação'!B326="Produção TI",AVERAGE('Pós Implantação'!D326,'Pós Implantação'!E326,'Pós Implantação'!L326,'Pós Implantação'!H326),AVERAGE('Pré Implantação'!E326,'Pré Implantação'!H326)),"")</f>
        <v/>
      </c>
      <c r="D326" s="34" t="str">
        <f>IFERROR(IF('Pós Implantação'!B326="CSC Service Desk",AVERAGE('Pós Implantação'!D326,'Pós Implantação'!L326,'Pós Implantação'!F326),AVERAGE('Pós Implantação'!F326)),"")</f>
        <v/>
      </c>
      <c r="E326" s="34" t="str">
        <f>IFERROR(IF('Pós Implantação'!B326="CSC NOC",AVERAGE('Pós Implantação'!D326,'Pós Implantação'!L326,'Pós Implantação'!G326),AVERAGE('Pós Implantação'!G326)),"")</f>
        <v/>
      </c>
      <c r="F326" s="34" t="str">
        <f>IFERROR(IF('Pós Implantação'!B326="CSE Gravadores",AVERAGE('Pós Implantação'!D326,'Pós Implantação'!L326,'Pós Implantação'!I326),AVERAGE('Pós Implantação'!I326)),"")</f>
        <v/>
      </c>
      <c r="G326" s="34" t="str">
        <f>IFERROR(IF('Pós Implantação'!B326="CSC",AVERAGE('Pós Implantação'!D326,'Pós Implantação'!L326,'Pós Implantação'!J326),AVERAGE('Pós Implantação'!J326)),"")</f>
        <v/>
      </c>
      <c r="H326" s="34" t="str">
        <f>IFERROR(IF('Pós Implantação'!B326="Operações \ Negócio",AVERAGE('Pós Implantação'!D326,'Pós Implantação'!L326,'Pós Implantação'!K326),AVERAGE('Pós Implantação'!K326)),"")</f>
        <v/>
      </c>
      <c r="I326" s="34" t="str">
        <f>IFERROR(IF('Pós Implantação'!B326="Projetos",AVERAGE('Pós Implantação'!D326,'Pós Implantação'!L326,'Pós Implantação'!M326),AVERAGE('Pós Implantação'!M326)),"")</f>
        <v/>
      </c>
      <c r="J326" s="34" t="str">
        <f>IFERROR(IF('Pós Implantação'!B326="Engenharia",AVERAGE('Pós Implantação'!D326,'Pós Implantação'!L326,'Pós Implantação'!N326),AVERAGE('Pós Implantação'!N326)),"")</f>
        <v/>
      </c>
      <c r="K326" s="34" t="str">
        <f>IFERROR(IF('Pós Implantação'!B326="URA",AVERAGE('Pós Implantação'!D326,'Pós Implantação'!L326),""),"")</f>
        <v/>
      </c>
      <c r="L326" s="34" t="str">
        <f>IFERROR(IF('Pós Implantação'!B326="CSE Microsoft",AVERAGE('Pós Implantação'!D326,'Pós Implantação'!L326),""),"")</f>
        <v/>
      </c>
      <c r="M326" s="34" t="str">
        <f>IFERROR(IF('Pós Implantação'!B326="CSE Telecom",AVERAGE('Pós Implantação'!D326,'Pós Implantação'!L326),""),"")</f>
        <v/>
      </c>
      <c r="N326" s="34" t="str">
        <f>IFERROR(IF('Pós Implantação'!B326="Site Suporte de Campo",AVERAGE('Pós Implantação'!D326,'Pós Implantação'!L326),""),"")</f>
        <v/>
      </c>
      <c r="O326" s="49" t="str">
        <f>IFERROR(IF('Pós Implantação'!B326="Infraestrutura",AVERAGE('Pós Implantação'!D326,'Pós Implantação'!L326),""),"")</f>
        <v/>
      </c>
    </row>
    <row r="327" spans="1:15" x14ac:dyDescent="0.3">
      <c r="A327" s="33">
        <f>'Pré Implantação'!A327</f>
        <v>0</v>
      </c>
      <c r="B327" s="36" t="str">
        <f>'Pós Implantação'!C327</f>
        <v>0</v>
      </c>
      <c r="C327" s="34" t="str">
        <f>IFERROR(IF('Pré Implantação'!B327="Produção TI",AVERAGE('Pós Implantação'!D327,'Pós Implantação'!E327,'Pós Implantação'!L327,'Pós Implantação'!H327),AVERAGE('Pré Implantação'!E327,'Pré Implantação'!H327)),"")</f>
        <v/>
      </c>
      <c r="D327" s="34" t="str">
        <f>IFERROR(IF('Pós Implantação'!B327="CSC Service Desk",AVERAGE('Pós Implantação'!D327,'Pós Implantação'!L327,'Pós Implantação'!F327),AVERAGE('Pós Implantação'!F327)),"")</f>
        <v/>
      </c>
      <c r="E327" s="34" t="str">
        <f>IFERROR(IF('Pós Implantação'!B327="CSC NOC",AVERAGE('Pós Implantação'!D327,'Pós Implantação'!L327,'Pós Implantação'!G327),AVERAGE('Pós Implantação'!G327)),"")</f>
        <v/>
      </c>
      <c r="F327" s="34" t="str">
        <f>IFERROR(IF('Pós Implantação'!B327="CSE Gravadores",AVERAGE('Pós Implantação'!D327,'Pós Implantação'!L327,'Pós Implantação'!I327),AVERAGE('Pós Implantação'!I327)),"")</f>
        <v/>
      </c>
      <c r="G327" s="34" t="str">
        <f>IFERROR(IF('Pós Implantação'!B327="CSC",AVERAGE('Pós Implantação'!D327,'Pós Implantação'!L327,'Pós Implantação'!J327),AVERAGE('Pós Implantação'!J327)),"")</f>
        <v/>
      </c>
      <c r="H327" s="34" t="str">
        <f>IFERROR(IF('Pós Implantação'!B327="Operações \ Negócio",AVERAGE('Pós Implantação'!D327,'Pós Implantação'!L327,'Pós Implantação'!K327),AVERAGE('Pós Implantação'!K327)),"")</f>
        <v/>
      </c>
      <c r="I327" s="34" t="str">
        <f>IFERROR(IF('Pós Implantação'!B327="Projetos",AVERAGE('Pós Implantação'!D327,'Pós Implantação'!L327,'Pós Implantação'!M327),AVERAGE('Pós Implantação'!M327)),"")</f>
        <v/>
      </c>
      <c r="J327" s="34" t="str">
        <f>IFERROR(IF('Pós Implantação'!B327="Engenharia",AVERAGE('Pós Implantação'!D327,'Pós Implantação'!L327,'Pós Implantação'!N327),AVERAGE('Pós Implantação'!N327)),"")</f>
        <v/>
      </c>
      <c r="K327" s="34" t="str">
        <f>IFERROR(IF('Pós Implantação'!B327="URA",AVERAGE('Pós Implantação'!D327,'Pós Implantação'!L327),""),"")</f>
        <v/>
      </c>
      <c r="L327" s="34" t="str">
        <f>IFERROR(IF('Pós Implantação'!B327="CSE Microsoft",AVERAGE('Pós Implantação'!D327,'Pós Implantação'!L327),""),"")</f>
        <v/>
      </c>
      <c r="M327" s="34" t="str">
        <f>IFERROR(IF('Pós Implantação'!B327="CSE Telecom",AVERAGE('Pós Implantação'!D327,'Pós Implantação'!L327),""),"")</f>
        <v/>
      </c>
      <c r="N327" s="34" t="str">
        <f>IFERROR(IF('Pós Implantação'!B327="Site Suporte de Campo",AVERAGE('Pós Implantação'!D327,'Pós Implantação'!L327),""),"")</f>
        <v/>
      </c>
      <c r="O327" s="49" t="str">
        <f>IFERROR(IF('Pós Implantação'!B327="Infraestrutura",AVERAGE('Pós Implantação'!D327,'Pós Implantação'!L327),""),"")</f>
        <v/>
      </c>
    </row>
    <row r="328" spans="1:15" x14ac:dyDescent="0.3">
      <c r="A328" s="33">
        <f>'Pré Implantação'!A328</f>
        <v>0</v>
      </c>
      <c r="B328" s="36" t="str">
        <f>'Pós Implantação'!C328</f>
        <v>0</v>
      </c>
      <c r="C328" s="34" t="str">
        <f>IFERROR(IF('Pré Implantação'!B328="Produção TI",AVERAGE('Pós Implantação'!D328,'Pós Implantação'!E328,'Pós Implantação'!L328,'Pós Implantação'!H328),AVERAGE('Pré Implantação'!E328,'Pré Implantação'!H328)),"")</f>
        <v/>
      </c>
      <c r="D328" s="34" t="str">
        <f>IFERROR(IF('Pós Implantação'!B328="CSC Service Desk",AVERAGE('Pós Implantação'!D328,'Pós Implantação'!L328,'Pós Implantação'!F328),AVERAGE('Pós Implantação'!F328)),"")</f>
        <v/>
      </c>
      <c r="E328" s="34" t="str">
        <f>IFERROR(IF('Pós Implantação'!B328="CSC NOC",AVERAGE('Pós Implantação'!D328,'Pós Implantação'!L328,'Pós Implantação'!G328),AVERAGE('Pós Implantação'!G328)),"")</f>
        <v/>
      </c>
      <c r="F328" s="34" t="str">
        <f>IFERROR(IF('Pós Implantação'!B328="CSE Gravadores",AVERAGE('Pós Implantação'!D328,'Pós Implantação'!L328,'Pós Implantação'!I328),AVERAGE('Pós Implantação'!I328)),"")</f>
        <v/>
      </c>
      <c r="G328" s="34" t="str">
        <f>IFERROR(IF('Pós Implantação'!B328="CSC",AVERAGE('Pós Implantação'!D328,'Pós Implantação'!L328,'Pós Implantação'!J328),AVERAGE('Pós Implantação'!J328)),"")</f>
        <v/>
      </c>
      <c r="H328" s="34" t="str">
        <f>IFERROR(IF('Pós Implantação'!B328="Operações \ Negócio",AVERAGE('Pós Implantação'!D328,'Pós Implantação'!L328,'Pós Implantação'!K328),AVERAGE('Pós Implantação'!K328)),"")</f>
        <v/>
      </c>
      <c r="I328" s="34" t="str">
        <f>IFERROR(IF('Pós Implantação'!B328="Projetos",AVERAGE('Pós Implantação'!D328,'Pós Implantação'!L328,'Pós Implantação'!M328),AVERAGE('Pós Implantação'!M328)),"")</f>
        <v/>
      </c>
      <c r="J328" s="34" t="str">
        <f>IFERROR(IF('Pós Implantação'!B328="Engenharia",AVERAGE('Pós Implantação'!D328,'Pós Implantação'!L328,'Pós Implantação'!N328),AVERAGE('Pós Implantação'!N328)),"")</f>
        <v/>
      </c>
      <c r="K328" s="34" t="str">
        <f>IFERROR(IF('Pós Implantação'!B328="URA",AVERAGE('Pós Implantação'!D328,'Pós Implantação'!L328),""),"")</f>
        <v/>
      </c>
      <c r="L328" s="34" t="str">
        <f>IFERROR(IF('Pós Implantação'!B328="CSE Microsoft",AVERAGE('Pós Implantação'!D328,'Pós Implantação'!L328),""),"")</f>
        <v/>
      </c>
      <c r="M328" s="34" t="str">
        <f>IFERROR(IF('Pós Implantação'!B328="CSE Telecom",AVERAGE('Pós Implantação'!D328,'Pós Implantação'!L328),""),"")</f>
        <v/>
      </c>
      <c r="N328" s="34" t="str">
        <f>IFERROR(IF('Pós Implantação'!B328="Site Suporte de Campo",AVERAGE('Pós Implantação'!D328,'Pós Implantação'!L328),""),"")</f>
        <v/>
      </c>
      <c r="O328" s="49" t="str">
        <f>IFERROR(IF('Pós Implantação'!B328="Infraestrutura",AVERAGE('Pós Implantação'!D328,'Pós Implantação'!L328),""),"")</f>
        <v/>
      </c>
    </row>
    <row r="329" spans="1:15" x14ac:dyDescent="0.3">
      <c r="A329" s="33">
        <f>'Pré Implantação'!A329</f>
        <v>0</v>
      </c>
      <c r="B329" s="36" t="str">
        <f>'Pós Implantação'!C329</f>
        <v>0</v>
      </c>
      <c r="C329" s="34" t="str">
        <f>IFERROR(IF('Pré Implantação'!B329="Produção TI",AVERAGE('Pós Implantação'!D329,'Pós Implantação'!E329,'Pós Implantação'!L329,'Pós Implantação'!H329),AVERAGE('Pré Implantação'!E329,'Pré Implantação'!H329)),"")</f>
        <v/>
      </c>
      <c r="D329" s="34" t="str">
        <f>IFERROR(IF('Pós Implantação'!B329="CSC Service Desk",AVERAGE('Pós Implantação'!D329,'Pós Implantação'!L329,'Pós Implantação'!F329),AVERAGE('Pós Implantação'!F329)),"")</f>
        <v/>
      </c>
      <c r="E329" s="34" t="str">
        <f>IFERROR(IF('Pós Implantação'!B329="CSC NOC",AVERAGE('Pós Implantação'!D329,'Pós Implantação'!L329,'Pós Implantação'!G329),AVERAGE('Pós Implantação'!G329)),"")</f>
        <v/>
      </c>
      <c r="F329" s="34" t="str">
        <f>IFERROR(IF('Pós Implantação'!B329="CSE Gravadores",AVERAGE('Pós Implantação'!D329,'Pós Implantação'!L329,'Pós Implantação'!I329),AVERAGE('Pós Implantação'!I329)),"")</f>
        <v/>
      </c>
      <c r="G329" s="34" t="str">
        <f>IFERROR(IF('Pós Implantação'!B329="CSC",AVERAGE('Pós Implantação'!D329,'Pós Implantação'!L329,'Pós Implantação'!J329),AVERAGE('Pós Implantação'!J329)),"")</f>
        <v/>
      </c>
      <c r="H329" s="34" t="str">
        <f>IFERROR(IF('Pós Implantação'!B329="Operações \ Negócio",AVERAGE('Pós Implantação'!D329,'Pós Implantação'!L329,'Pós Implantação'!K329),AVERAGE('Pós Implantação'!K329)),"")</f>
        <v/>
      </c>
      <c r="I329" s="34" t="str">
        <f>IFERROR(IF('Pós Implantação'!B329="Projetos",AVERAGE('Pós Implantação'!D329,'Pós Implantação'!L329,'Pós Implantação'!M329),AVERAGE('Pós Implantação'!M329)),"")</f>
        <v/>
      </c>
      <c r="J329" s="34" t="str">
        <f>IFERROR(IF('Pós Implantação'!B329="Engenharia",AVERAGE('Pós Implantação'!D329,'Pós Implantação'!L329,'Pós Implantação'!N329),AVERAGE('Pós Implantação'!N329)),"")</f>
        <v/>
      </c>
      <c r="K329" s="34" t="str">
        <f>IFERROR(IF('Pós Implantação'!B329="URA",AVERAGE('Pós Implantação'!D329,'Pós Implantação'!L329),""),"")</f>
        <v/>
      </c>
      <c r="L329" s="34" t="str">
        <f>IFERROR(IF('Pós Implantação'!B329="CSE Microsoft",AVERAGE('Pós Implantação'!D329,'Pós Implantação'!L329),""),"")</f>
        <v/>
      </c>
      <c r="M329" s="34" t="str">
        <f>IFERROR(IF('Pós Implantação'!B329="CSE Telecom",AVERAGE('Pós Implantação'!D329,'Pós Implantação'!L329),""),"")</f>
        <v/>
      </c>
      <c r="N329" s="34" t="str">
        <f>IFERROR(IF('Pós Implantação'!B329="Site Suporte de Campo",AVERAGE('Pós Implantação'!D329,'Pós Implantação'!L329),""),"")</f>
        <v/>
      </c>
      <c r="O329" s="49" t="str">
        <f>IFERROR(IF('Pós Implantação'!B329="Infraestrutura",AVERAGE('Pós Implantação'!D329,'Pós Implantação'!L329),""),"")</f>
        <v/>
      </c>
    </row>
    <row r="330" spans="1:15" x14ac:dyDescent="0.3">
      <c r="A330" s="33">
        <f>'Pré Implantação'!A330</f>
        <v>0</v>
      </c>
      <c r="B330" s="36" t="str">
        <f>'Pós Implantação'!C330</f>
        <v>0</v>
      </c>
      <c r="C330" s="34" t="str">
        <f>IFERROR(IF('Pré Implantação'!B330="Produção TI",AVERAGE('Pós Implantação'!D330,'Pós Implantação'!E330,'Pós Implantação'!L330,'Pós Implantação'!H330),AVERAGE('Pré Implantação'!E330,'Pré Implantação'!H330)),"")</f>
        <v/>
      </c>
      <c r="D330" s="34" t="str">
        <f>IFERROR(IF('Pós Implantação'!B330="CSC Service Desk",AVERAGE('Pós Implantação'!D330,'Pós Implantação'!L330,'Pós Implantação'!F330),AVERAGE('Pós Implantação'!F330)),"")</f>
        <v/>
      </c>
      <c r="E330" s="34" t="str">
        <f>IFERROR(IF('Pós Implantação'!B330="CSC NOC",AVERAGE('Pós Implantação'!D330,'Pós Implantação'!L330,'Pós Implantação'!G330),AVERAGE('Pós Implantação'!G330)),"")</f>
        <v/>
      </c>
      <c r="F330" s="34" t="str">
        <f>IFERROR(IF('Pós Implantação'!B330="CSE Gravadores",AVERAGE('Pós Implantação'!D330,'Pós Implantação'!L330,'Pós Implantação'!I330),AVERAGE('Pós Implantação'!I330)),"")</f>
        <v/>
      </c>
      <c r="G330" s="34" t="str">
        <f>IFERROR(IF('Pós Implantação'!B330="CSC",AVERAGE('Pós Implantação'!D330,'Pós Implantação'!L330,'Pós Implantação'!J330),AVERAGE('Pós Implantação'!J330)),"")</f>
        <v/>
      </c>
      <c r="H330" s="34" t="str">
        <f>IFERROR(IF('Pós Implantação'!B330="Operações \ Negócio",AVERAGE('Pós Implantação'!D330,'Pós Implantação'!L330,'Pós Implantação'!K330),AVERAGE('Pós Implantação'!K330)),"")</f>
        <v/>
      </c>
      <c r="I330" s="34" t="str">
        <f>IFERROR(IF('Pós Implantação'!B330="Projetos",AVERAGE('Pós Implantação'!D330,'Pós Implantação'!L330,'Pós Implantação'!M330),AVERAGE('Pós Implantação'!M330)),"")</f>
        <v/>
      </c>
      <c r="J330" s="34" t="str">
        <f>IFERROR(IF('Pós Implantação'!B330="Engenharia",AVERAGE('Pós Implantação'!D330,'Pós Implantação'!L330,'Pós Implantação'!N330),AVERAGE('Pós Implantação'!N330)),"")</f>
        <v/>
      </c>
      <c r="K330" s="34" t="str">
        <f>IFERROR(IF('Pós Implantação'!B330="URA",AVERAGE('Pós Implantação'!D330,'Pós Implantação'!L330),""),"")</f>
        <v/>
      </c>
      <c r="L330" s="34" t="str">
        <f>IFERROR(IF('Pós Implantação'!B330="CSE Microsoft",AVERAGE('Pós Implantação'!D330,'Pós Implantação'!L330),""),"")</f>
        <v/>
      </c>
      <c r="M330" s="34" t="str">
        <f>IFERROR(IF('Pós Implantação'!B330="CSE Telecom",AVERAGE('Pós Implantação'!D330,'Pós Implantação'!L330),""),"")</f>
        <v/>
      </c>
      <c r="N330" s="34" t="str">
        <f>IFERROR(IF('Pós Implantação'!B330="Site Suporte de Campo",AVERAGE('Pós Implantação'!D330,'Pós Implantação'!L330),""),"")</f>
        <v/>
      </c>
      <c r="O330" s="49" t="str">
        <f>IFERROR(IF('Pós Implantação'!B330="Infraestrutura",AVERAGE('Pós Implantação'!D330,'Pós Implantação'!L330),""),"")</f>
        <v/>
      </c>
    </row>
    <row r="331" spans="1:15" x14ac:dyDescent="0.3">
      <c r="A331" s="33">
        <f>'Pré Implantação'!A331</f>
        <v>0</v>
      </c>
      <c r="B331" s="36" t="str">
        <f>'Pós Implantação'!C331</f>
        <v>0</v>
      </c>
      <c r="C331" s="34" t="str">
        <f>IFERROR(IF('Pré Implantação'!B331="Produção TI",AVERAGE('Pós Implantação'!D331,'Pós Implantação'!E331,'Pós Implantação'!L331,'Pós Implantação'!H331),AVERAGE('Pré Implantação'!E331,'Pré Implantação'!H331)),"")</f>
        <v/>
      </c>
      <c r="D331" s="34" t="str">
        <f>IFERROR(IF('Pós Implantação'!B331="CSC Service Desk",AVERAGE('Pós Implantação'!D331,'Pós Implantação'!L331,'Pós Implantação'!F331),AVERAGE('Pós Implantação'!F331)),"")</f>
        <v/>
      </c>
      <c r="E331" s="34" t="str">
        <f>IFERROR(IF('Pós Implantação'!B331="CSC NOC",AVERAGE('Pós Implantação'!D331,'Pós Implantação'!L331,'Pós Implantação'!G331),AVERAGE('Pós Implantação'!G331)),"")</f>
        <v/>
      </c>
      <c r="F331" s="34" t="str">
        <f>IFERROR(IF('Pós Implantação'!B331="CSE Gravadores",AVERAGE('Pós Implantação'!D331,'Pós Implantação'!L331,'Pós Implantação'!I331),AVERAGE('Pós Implantação'!I331)),"")</f>
        <v/>
      </c>
      <c r="G331" s="34" t="str">
        <f>IFERROR(IF('Pós Implantação'!B331="CSC",AVERAGE('Pós Implantação'!D331,'Pós Implantação'!L331,'Pós Implantação'!J331),AVERAGE('Pós Implantação'!J331)),"")</f>
        <v/>
      </c>
      <c r="H331" s="34" t="str">
        <f>IFERROR(IF('Pós Implantação'!B331="Operações \ Negócio",AVERAGE('Pós Implantação'!D331,'Pós Implantação'!L331,'Pós Implantação'!K331),AVERAGE('Pós Implantação'!K331)),"")</f>
        <v/>
      </c>
      <c r="I331" s="34" t="str">
        <f>IFERROR(IF('Pós Implantação'!B331="Projetos",AVERAGE('Pós Implantação'!D331,'Pós Implantação'!L331,'Pós Implantação'!M331),AVERAGE('Pós Implantação'!M331)),"")</f>
        <v/>
      </c>
      <c r="J331" s="34" t="str">
        <f>IFERROR(IF('Pós Implantação'!B331="Engenharia",AVERAGE('Pós Implantação'!D331,'Pós Implantação'!L331,'Pós Implantação'!N331),AVERAGE('Pós Implantação'!N331)),"")</f>
        <v/>
      </c>
      <c r="K331" s="34" t="str">
        <f>IFERROR(IF('Pós Implantação'!B331="URA",AVERAGE('Pós Implantação'!D331,'Pós Implantação'!L331),""),"")</f>
        <v/>
      </c>
      <c r="L331" s="34" t="str">
        <f>IFERROR(IF('Pós Implantação'!B331="CSE Microsoft",AVERAGE('Pós Implantação'!D331,'Pós Implantação'!L331),""),"")</f>
        <v/>
      </c>
      <c r="M331" s="34" t="str">
        <f>IFERROR(IF('Pós Implantação'!B331="CSE Telecom",AVERAGE('Pós Implantação'!D331,'Pós Implantação'!L331),""),"")</f>
        <v/>
      </c>
      <c r="N331" s="34" t="str">
        <f>IFERROR(IF('Pós Implantação'!B331="Site Suporte de Campo",AVERAGE('Pós Implantação'!D331,'Pós Implantação'!L331),""),"")</f>
        <v/>
      </c>
      <c r="O331" s="49" t="str">
        <f>IFERROR(IF('Pós Implantação'!B331="Infraestrutura",AVERAGE('Pós Implantação'!D331,'Pós Implantação'!L331),""),"")</f>
        <v/>
      </c>
    </row>
    <row r="332" spans="1:15" x14ac:dyDescent="0.3">
      <c r="A332" s="33">
        <f>'Pré Implantação'!A332</f>
        <v>0</v>
      </c>
      <c r="B332" s="36" t="str">
        <f>'Pós Implantação'!C332</f>
        <v>0</v>
      </c>
      <c r="C332" s="34" t="str">
        <f>IFERROR(IF('Pré Implantação'!B332="Produção TI",AVERAGE('Pós Implantação'!D332,'Pós Implantação'!E332,'Pós Implantação'!L332,'Pós Implantação'!H332),AVERAGE('Pré Implantação'!E332,'Pré Implantação'!H332)),"")</f>
        <v/>
      </c>
      <c r="D332" s="34" t="str">
        <f>IFERROR(IF('Pós Implantação'!B332="CSC Service Desk",AVERAGE('Pós Implantação'!D332,'Pós Implantação'!L332,'Pós Implantação'!F332),AVERAGE('Pós Implantação'!F332)),"")</f>
        <v/>
      </c>
      <c r="E332" s="34" t="str">
        <f>IFERROR(IF('Pós Implantação'!B332="CSC NOC",AVERAGE('Pós Implantação'!D332,'Pós Implantação'!L332,'Pós Implantação'!G332),AVERAGE('Pós Implantação'!G332)),"")</f>
        <v/>
      </c>
      <c r="F332" s="34" t="str">
        <f>IFERROR(IF('Pós Implantação'!B332="CSE Gravadores",AVERAGE('Pós Implantação'!D332,'Pós Implantação'!L332,'Pós Implantação'!I332),AVERAGE('Pós Implantação'!I332)),"")</f>
        <v/>
      </c>
      <c r="G332" s="34" t="str">
        <f>IFERROR(IF('Pós Implantação'!B332="CSC",AVERAGE('Pós Implantação'!D332,'Pós Implantação'!L332,'Pós Implantação'!J332),AVERAGE('Pós Implantação'!J332)),"")</f>
        <v/>
      </c>
      <c r="H332" s="34" t="str">
        <f>IFERROR(IF('Pós Implantação'!B332="Operações \ Negócio",AVERAGE('Pós Implantação'!D332,'Pós Implantação'!L332,'Pós Implantação'!K332),AVERAGE('Pós Implantação'!K332)),"")</f>
        <v/>
      </c>
      <c r="I332" s="34" t="str">
        <f>IFERROR(IF('Pós Implantação'!B332="Projetos",AVERAGE('Pós Implantação'!D332,'Pós Implantação'!L332,'Pós Implantação'!M332),AVERAGE('Pós Implantação'!M332)),"")</f>
        <v/>
      </c>
      <c r="J332" s="34" t="str">
        <f>IFERROR(IF('Pós Implantação'!B332="Engenharia",AVERAGE('Pós Implantação'!D332,'Pós Implantação'!L332,'Pós Implantação'!N332),AVERAGE('Pós Implantação'!N332)),"")</f>
        <v/>
      </c>
      <c r="K332" s="34" t="str">
        <f>IFERROR(IF('Pós Implantação'!B332="URA",AVERAGE('Pós Implantação'!D332,'Pós Implantação'!L332),""),"")</f>
        <v/>
      </c>
      <c r="L332" s="34" t="str">
        <f>IFERROR(IF('Pós Implantação'!B332="CSE Microsoft",AVERAGE('Pós Implantação'!D332,'Pós Implantação'!L332),""),"")</f>
        <v/>
      </c>
      <c r="M332" s="34" t="str">
        <f>IFERROR(IF('Pós Implantação'!B332="CSE Telecom",AVERAGE('Pós Implantação'!D332,'Pós Implantação'!L332),""),"")</f>
        <v/>
      </c>
      <c r="N332" s="34" t="str">
        <f>IFERROR(IF('Pós Implantação'!B332="Site Suporte de Campo",AVERAGE('Pós Implantação'!D332,'Pós Implantação'!L332),""),"")</f>
        <v/>
      </c>
      <c r="O332" s="49" t="str">
        <f>IFERROR(IF('Pós Implantação'!B332="Infraestrutura",AVERAGE('Pós Implantação'!D332,'Pós Implantação'!L332),""),"")</f>
        <v/>
      </c>
    </row>
    <row r="333" spans="1:15" x14ac:dyDescent="0.3">
      <c r="A333" s="33">
        <f>'Pré Implantação'!A333</f>
        <v>0</v>
      </c>
      <c r="B333" s="36" t="str">
        <f>'Pós Implantação'!C333</f>
        <v>0</v>
      </c>
      <c r="C333" s="34" t="str">
        <f>IFERROR(IF('Pré Implantação'!B333="Produção TI",AVERAGE('Pós Implantação'!D333,'Pós Implantação'!E333,'Pós Implantação'!L333,'Pós Implantação'!H333),AVERAGE('Pré Implantação'!E333,'Pré Implantação'!H333)),"")</f>
        <v/>
      </c>
      <c r="D333" s="34" t="str">
        <f>IFERROR(IF('Pós Implantação'!B333="CSC Service Desk",AVERAGE('Pós Implantação'!D333,'Pós Implantação'!L333,'Pós Implantação'!F333),AVERAGE('Pós Implantação'!F333)),"")</f>
        <v/>
      </c>
      <c r="E333" s="34" t="str">
        <f>IFERROR(IF('Pós Implantação'!B333="CSC NOC",AVERAGE('Pós Implantação'!D333,'Pós Implantação'!L333,'Pós Implantação'!G333),AVERAGE('Pós Implantação'!G333)),"")</f>
        <v/>
      </c>
      <c r="F333" s="34" t="str">
        <f>IFERROR(IF('Pós Implantação'!B333="CSE Gravadores",AVERAGE('Pós Implantação'!D333,'Pós Implantação'!L333,'Pós Implantação'!I333),AVERAGE('Pós Implantação'!I333)),"")</f>
        <v/>
      </c>
      <c r="G333" s="34" t="str">
        <f>IFERROR(IF('Pós Implantação'!B333="CSC",AVERAGE('Pós Implantação'!D333,'Pós Implantação'!L333,'Pós Implantação'!J333),AVERAGE('Pós Implantação'!J333)),"")</f>
        <v/>
      </c>
      <c r="H333" s="34" t="str">
        <f>IFERROR(IF('Pós Implantação'!B333="Operações \ Negócio",AVERAGE('Pós Implantação'!D333,'Pós Implantação'!L333,'Pós Implantação'!K333),AVERAGE('Pós Implantação'!K333)),"")</f>
        <v/>
      </c>
      <c r="I333" s="34" t="str">
        <f>IFERROR(IF('Pós Implantação'!B333="Projetos",AVERAGE('Pós Implantação'!D333,'Pós Implantação'!L333,'Pós Implantação'!M333),AVERAGE('Pós Implantação'!M333)),"")</f>
        <v/>
      </c>
      <c r="J333" s="34" t="str">
        <f>IFERROR(IF('Pós Implantação'!B333="Engenharia",AVERAGE('Pós Implantação'!D333,'Pós Implantação'!L333,'Pós Implantação'!N333),AVERAGE('Pós Implantação'!N333)),"")</f>
        <v/>
      </c>
      <c r="K333" s="34" t="str">
        <f>IFERROR(IF('Pós Implantação'!B333="URA",AVERAGE('Pós Implantação'!D333,'Pós Implantação'!L333),""),"")</f>
        <v/>
      </c>
      <c r="L333" s="34" t="str">
        <f>IFERROR(IF('Pós Implantação'!B333="CSE Microsoft",AVERAGE('Pós Implantação'!D333,'Pós Implantação'!L333),""),"")</f>
        <v/>
      </c>
      <c r="M333" s="34" t="str">
        <f>IFERROR(IF('Pós Implantação'!B333="CSE Telecom",AVERAGE('Pós Implantação'!D333,'Pós Implantação'!L333),""),"")</f>
        <v/>
      </c>
      <c r="N333" s="34" t="str">
        <f>IFERROR(IF('Pós Implantação'!B333="Site Suporte de Campo",AVERAGE('Pós Implantação'!D333,'Pós Implantação'!L333),""),"")</f>
        <v/>
      </c>
      <c r="O333" s="49" t="str">
        <f>IFERROR(IF('Pós Implantação'!B333="Infraestrutura",AVERAGE('Pós Implantação'!D333,'Pós Implantação'!L333),""),"")</f>
        <v/>
      </c>
    </row>
    <row r="334" spans="1:15" x14ac:dyDescent="0.3">
      <c r="A334" s="33">
        <f>'Pré Implantação'!A334</f>
        <v>0</v>
      </c>
      <c r="B334" s="36" t="str">
        <f>'Pós Implantação'!C334</f>
        <v>0</v>
      </c>
      <c r="C334" s="34" t="str">
        <f>IFERROR(IF('Pré Implantação'!B334="Produção TI",AVERAGE('Pós Implantação'!D334,'Pós Implantação'!E334,'Pós Implantação'!L334,'Pós Implantação'!H334),AVERAGE('Pré Implantação'!E334,'Pré Implantação'!H334)),"")</f>
        <v/>
      </c>
      <c r="D334" s="34" t="str">
        <f>IFERROR(IF('Pós Implantação'!B334="CSC Service Desk",AVERAGE('Pós Implantação'!D334,'Pós Implantação'!L334,'Pós Implantação'!F334),AVERAGE('Pós Implantação'!F334)),"")</f>
        <v/>
      </c>
      <c r="E334" s="34" t="str">
        <f>IFERROR(IF('Pós Implantação'!B334="CSC NOC",AVERAGE('Pós Implantação'!D334,'Pós Implantação'!L334,'Pós Implantação'!G334),AVERAGE('Pós Implantação'!G334)),"")</f>
        <v/>
      </c>
      <c r="F334" s="34" t="str">
        <f>IFERROR(IF('Pós Implantação'!B334="CSE Gravadores",AVERAGE('Pós Implantação'!D334,'Pós Implantação'!L334,'Pós Implantação'!I334),AVERAGE('Pós Implantação'!I334)),"")</f>
        <v/>
      </c>
      <c r="G334" s="34" t="str">
        <f>IFERROR(IF('Pós Implantação'!B334="CSC",AVERAGE('Pós Implantação'!D334,'Pós Implantação'!L334,'Pós Implantação'!J334),AVERAGE('Pós Implantação'!J334)),"")</f>
        <v/>
      </c>
      <c r="H334" s="34" t="str">
        <f>IFERROR(IF('Pós Implantação'!B334="Operações \ Negócio",AVERAGE('Pós Implantação'!D334,'Pós Implantação'!L334,'Pós Implantação'!K334),AVERAGE('Pós Implantação'!K334)),"")</f>
        <v/>
      </c>
      <c r="I334" s="34" t="str">
        <f>IFERROR(IF('Pós Implantação'!B334="Projetos",AVERAGE('Pós Implantação'!D334,'Pós Implantação'!L334,'Pós Implantação'!M334),AVERAGE('Pós Implantação'!M334)),"")</f>
        <v/>
      </c>
      <c r="J334" s="34" t="str">
        <f>IFERROR(IF('Pós Implantação'!B334="Engenharia",AVERAGE('Pós Implantação'!D334,'Pós Implantação'!L334,'Pós Implantação'!N334),AVERAGE('Pós Implantação'!N334)),"")</f>
        <v/>
      </c>
      <c r="K334" s="34" t="str">
        <f>IFERROR(IF('Pós Implantação'!B334="URA",AVERAGE('Pós Implantação'!D334,'Pós Implantação'!L334),""),"")</f>
        <v/>
      </c>
      <c r="L334" s="34" t="str">
        <f>IFERROR(IF('Pós Implantação'!B334="CSE Microsoft",AVERAGE('Pós Implantação'!D334,'Pós Implantação'!L334),""),"")</f>
        <v/>
      </c>
      <c r="M334" s="34" t="str">
        <f>IFERROR(IF('Pós Implantação'!B334="CSE Telecom",AVERAGE('Pós Implantação'!D334,'Pós Implantação'!L334),""),"")</f>
        <v/>
      </c>
      <c r="N334" s="34" t="str">
        <f>IFERROR(IF('Pós Implantação'!B334="Site Suporte de Campo",AVERAGE('Pós Implantação'!D334,'Pós Implantação'!L334),""),"")</f>
        <v/>
      </c>
      <c r="O334" s="49" t="str">
        <f>IFERROR(IF('Pós Implantação'!B334="Infraestrutura",AVERAGE('Pós Implantação'!D334,'Pós Implantação'!L334),""),"")</f>
        <v/>
      </c>
    </row>
    <row r="335" spans="1:15" x14ac:dyDescent="0.3">
      <c r="A335" s="33">
        <f>'Pré Implantação'!A335</f>
        <v>0</v>
      </c>
      <c r="B335" s="36" t="str">
        <f>'Pós Implantação'!C335</f>
        <v>0</v>
      </c>
      <c r="C335" s="34" t="str">
        <f>IFERROR(IF('Pré Implantação'!B335="Produção TI",AVERAGE('Pós Implantação'!D335,'Pós Implantação'!E335,'Pós Implantação'!L335,'Pós Implantação'!H335),AVERAGE('Pré Implantação'!E335,'Pré Implantação'!H335)),"")</f>
        <v/>
      </c>
      <c r="D335" s="34" t="str">
        <f>IFERROR(IF('Pós Implantação'!B335="CSC Service Desk",AVERAGE('Pós Implantação'!D335,'Pós Implantação'!L335,'Pós Implantação'!F335),AVERAGE('Pós Implantação'!F335)),"")</f>
        <v/>
      </c>
      <c r="E335" s="34" t="str">
        <f>IFERROR(IF('Pós Implantação'!B335="CSC NOC",AVERAGE('Pós Implantação'!D335,'Pós Implantação'!L335,'Pós Implantação'!G335),AVERAGE('Pós Implantação'!G335)),"")</f>
        <v/>
      </c>
      <c r="F335" s="34" t="str">
        <f>IFERROR(IF('Pós Implantação'!B335="CSE Gravadores",AVERAGE('Pós Implantação'!D335,'Pós Implantação'!L335,'Pós Implantação'!I335),AVERAGE('Pós Implantação'!I335)),"")</f>
        <v/>
      </c>
      <c r="G335" s="34" t="str">
        <f>IFERROR(IF('Pós Implantação'!B335="CSC",AVERAGE('Pós Implantação'!D335,'Pós Implantação'!L335,'Pós Implantação'!J335),AVERAGE('Pós Implantação'!J335)),"")</f>
        <v/>
      </c>
      <c r="H335" s="34" t="str">
        <f>IFERROR(IF('Pós Implantação'!B335="Operações \ Negócio",AVERAGE('Pós Implantação'!D335,'Pós Implantação'!L335,'Pós Implantação'!K335),AVERAGE('Pós Implantação'!K335)),"")</f>
        <v/>
      </c>
      <c r="I335" s="34" t="str">
        <f>IFERROR(IF('Pós Implantação'!B335="Projetos",AVERAGE('Pós Implantação'!D335,'Pós Implantação'!L335,'Pós Implantação'!M335),AVERAGE('Pós Implantação'!M335)),"")</f>
        <v/>
      </c>
      <c r="J335" s="34" t="str">
        <f>IFERROR(IF('Pós Implantação'!B335="Engenharia",AVERAGE('Pós Implantação'!D335,'Pós Implantação'!L335,'Pós Implantação'!N335),AVERAGE('Pós Implantação'!N335)),"")</f>
        <v/>
      </c>
      <c r="K335" s="34" t="str">
        <f>IFERROR(IF('Pós Implantação'!B335="URA",AVERAGE('Pós Implantação'!D335,'Pós Implantação'!L335),""),"")</f>
        <v/>
      </c>
      <c r="L335" s="34" t="str">
        <f>IFERROR(IF('Pós Implantação'!B335="CSE Microsoft",AVERAGE('Pós Implantação'!D335,'Pós Implantação'!L335),""),"")</f>
        <v/>
      </c>
      <c r="M335" s="34" t="str">
        <f>IFERROR(IF('Pós Implantação'!B335="CSE Telecom",AVERAGE('Pós Implantação'!D335,'Pós Implantação'!L335),""),"")</f>
        <v/>
      </c>
      <c r="N335" s="34" t="str">
        <f>IFERROR(IF('Pós Implantação'!B335="Site Suporte de Campo",AVERAGE('Pós Implantação'!D335,'Pós Implantação'!L335),""),"")</f>
        <v/>
      </c>
      <c r="O335" s="49" t="str">
        <f>IFERROR(IF('Pós Implantação'!B335="Infraestrutura",AVERAGE('Pós Implantação'!D335,'Pós Implantação'!L335),""),"")</f>
        <v/>
      </c>
    </row>
    <row r="336" spans="1:15" x14ac:dyDescent="0.3">
      <c r="A336" s="33">
        <f>'Pré Implantação'!A336</f>
        <v>0</v>
      </c>
      <c r="B336" s="36" t="str">
        <f>'Pós Implantação'!C336</f>
        <v>0</v>
      </c>
      <c r="C336" s="34" t="str">
        <f>IFERROR(IF('Pré Implantação'!B336="Produção TI",AVERAGE('Pós Implantação'!D336,'Pós Implantação'!E336,'Pós Implantação'!L336,'Pós Implantação'!H336),AVERAGE('Pré Implantação'!E336,'Pré Implantação'!H336)),"")</f>
        <v/>
      </c>
      <c r="D336" s="34" t="str">
        <f>IFERROR(IF('Pós Implantação'!B336="CSC Service Desk",AVERAGE('Pós Implantação'!D336,'Pós Implantação'!L336,'Pós Implantação'!F336),AVERAGE('Pós Implantação'!F336)),"")</f>
        <v/>
      </c>
      <c r="E336" s="34" t="str">
        <f>IFERROR(IF('Pós Implantação'!B336="CSC NOC",AVERAGE('Pós Implantação'!D336,'Pós Implantação'!L336,'Pós Implantação'!G336),AVERAGE('Pós Implantação'!G336)),"")</f>
        <v/>
      </c>
      <c r="F336" s="34" t="str">
        <f>IFERROR(IF('Pós Implantação'!B336="CSE Gravadores",AVERAGE('Pós Implantação'!D336,'Pós Implantação'!L336,'Pós Implantação'!I336),AVERAGE('Pós Implantação'!I336)),"")</f>
        <v/>
      </c>
      <c r="G336" s="34" t="str">
        <f>IFERROR(IF('Pós Implantação'!B336="CSC",AVERAGE('Pós Implantação'!D336,'Pós Implantação'!L336,'Pós Implantação'!J336),AVERAGE('Pós Implantação'!J336)),"")</f>
        <v/>
      </c>
      <c r="H336" s="34" t="str">
        <f>IFERROR(IF('Pós Implantação'!B336="Operações \ Negócio",AVERAGE('Pós Implantação'!D336,'Pós Implantação'!L336,'Pós Implantação'!K336),AVERAGE('Pós Implantação'!K336)),"")</f>
        <v/>
      </c>
      <c r="I336" s="34" t="str">
        <f>IFERROR(IF('Pós Implantação'!B336="Projetos",AVERAGE('Pós Implantação'!D336,'Pós Implantação'!L336,'Pós Implantação'!M336),AVERAGE('Pós Implantação'!M336)),"")</f>
        <v/>
      </c>
      <c r="J336" s="34" t="str">
        <f>IFERROR(IF('Pós Implantação'!B336="Engenharia",AVERAGE('Pós Implantação'!D336,'Pós Implantação'!L336,'Pós Implantação'!N336),AVERAGE('Pós Implantação'!N336)),"")</f>
        <v/>
      </c>
      <c r="K336" s="34" t="str">
        <f>IFERROR(IF('Pós Implantação'!B336="URA",AVERAGE('Pós Implantação'!D336,'Pós Implantação'!L336),""),"")</f>
        <v/>
      </c>
      <c r="L336" s="34" t="str">
        <f>IFERROR(IF('Pós Implantação'!B336="CSE Microsoft",AVERAGE('Pós Implantação'!D336,'Pós Implantação'!L336),""),"")</f>
        <v/>
      </c>
      <c r="M336" s="34" t="str">
        <f>IFERROR(IF('Pós Implantação'!B336="CSE Telecom",AVERAGE('Pós Implantação'!D336,'Pós Implantação'!L336),""),"")</f>
        <v/>
      </c>
      <c r="N336" s="34" t="str">
        <f>IFERROR(IF('Pós Implantação'!B336="Site Suporte de Campo",AVERAGE('Pós Implantação'!D336,'Pós Implantação'!L336),""),"")</f>
        <v/>
      </c>
      <c r="O336" s="49" t="str">
        <f>IFERROR(IF('Pós Implantação'!B336="Infraestrutura",AVERAGE('Pós Implantação'!D336,'Pós Implantação'!L336),""),"")</f>
        <v/>
      </c>
    </row>
    <row r="337" spans="1:15" x14ac:dyDescent="0.3">
      <c r="A337" s="33">
        <f>'Pré Implantação'!A337</f>
        <v>0</v>
      </c>
      <c r="B337" s="36" t="str">
        <f>'Pós Implantação'!C337</f>
        <v>0</v>
      </c>
      <c r="C337" s="34" t="str">
        <f>IFERROR(IF('Pré Implantação'!B337="Produção TI",AVERAGE('Pós Implantação'!D337,'Pós Implantação'!E337,'Pós Implantação'!L337,'Pós Implantação'!H337),AVERAGE('Pré Implantação'!E337,'Pré Implantação'!H337)),"")</f>
        <v/>
      </c>
      <c r="D337" s="34" t="str">
        <f>IFERROR(IF('Pós Implantação'!B337="CSC Service Desk",AVERAGE('Pós Implantação'!D337,'Pós Implantação'!L337,'Pós Implantação'!F337),AVERAGE('Pós Implantação'!F337)),"")</f>
        <v/>
      </c>
      <c r="E337" s="34" t="str">
        <f>IFERROR(IF('Pós Implantação'!B337="CSC NOC",AVERAGE('Pós Implantação'!D337,'Pós Implantação'!L337,'Pós Implantação'!G337),AVERAGE('Pós Implantação'!G337)),"")</f>
        <v/>
      </c>
      <c r="F337" s="34" t="str">
        <f>IFERROR(IF('Pós Implantação'!B337="CSE Gravadores",AVERAGE('Pós Implantação'!D337,'Pós Implantação'!L337,'Pós Implantação'!I337),AVERAGE('Pós Implantação'!I337)),"")</f>
        <v/>
      </c>
      <c r="G337" s="34" t="str">
        <f>IFERROR(IF('Pós Implantação'!B337="CSC",AVERAGE('Pós Implantação'!D337,'Pós Implantação'!L337,'Pós Implantação'!J337),AVERAGE('Pós Implantação'!J337)),"")</f>
        <v/>
      </c>
      <c r="H337" s="34" t="str">
        <f>IFERROR(IF('Pós Implantação'!B337="Operações \ Negócio",AVERAGE('Pós Implantação'!D337,'Pós Implantação'!L337,'Pós Implantação'!K337),AVERAGE('Pós Implantação'!K337)),"")</f>
        <v/>
      </c>
      <c r="I337" s="34" t="str">
        <f>IFERROR(IF('Pós Implantação'!B337="Projetos",AVERAGE('Pós Implantação'!D337,'Pós Implantação'!L337,'Pós Implantação'!M337),AVERAGE('Pós Implantação'!M337)),"")</f>
        <v/>
      </c>
      <c r="J337" s="34" t="str">
        <f>IFERROR(IF('Pós Implantação'!B337="Engenharia",AVERAGE('Pós Implantação'!D337,'Pós Implantação'!L337,'Pós Implantação'!N337),AVERAGE('Pós Implantação'!N337)),"")</f>
        <v/>
      </c>
      <c r="K337" s="34" t="str">
        <f>IFERROR(IF('Pós Implantação'!B337="URA",AVERAGE('Pós Implantação'!D337,'Pós Implantação'!L337),""),"")</f>
        <v/>
      </c>
      <c r="L337" s="34" t="str">
        <f>IFERROR(IF('Pós Implantação'!B337="CSE Microsoft",AVERAGE('Pós Implantação'!D337,'Pós Implantação'!L337),""),"")</f>
        <v/>
      </c>
      <c r="M337" s="34" t="str">
        <f>IFERROR(IF('Pós Implantação'!B337="CSE Telecom",AVERAGE('Pós Implantação'!D337,'Pós Implantação'!L337),""),"")</f>
        <v/>
      </c>
      <c r="N337" s="34" t="str">
        <f>IFERROR(IF('Pós Implantação'!B337="Site Suporte de Campo",AVERAGE('Pós Implantação'!D337,'Pós Implantação'!L337),""),"")</f>
        <v/>
      </c>
      <c r="O337" s="49" t="str">
        <f>IFERROR(IF('Pós Implantação'!B337="Infraestrutura",AVERAGE('Pós Implantação'!D337,'Pós Implantação'!L337),""),"")</f>
        <v/>
      </c>
    </row>
    <row r="338" spans="1:15" x14ac:dyDescent="0.3">
      <c r="A338" s="33">
        <f>'Pré Implantação'!A338</f>
        <v>0</v>
      </c>
      <c r="B338" s="36" t="str">
        <f>'Pós Implantação'!C338</f>
        <v>0</v>
      </c>
      <c r="C338" s="34" t="str">
        <f>IFERROR(IF('Pré Implantação'!B338="Produção TI",AVERAGE('Pós Implantação'!D338,'Pós Implantação'!E338,'Pós Implantação'!L338,'Pós Implantação'!H338),AVERAGE('Pré Implantação'!E338,'Pré Implantação'!H338)),"")</f>
        <v/>
      </c>
      <c r="D338" s="34" t="str">
        <f>IFERROR(IF('Pós Implantação'!B338="CSC Service Desk",AVERAGE('Pós Implantação'!D338,'Pós Implantação'!L338,'Pós Implantação'!F338),AVERAGE('Pós Implantação'!F338)),"")</f>
        <v/>
      </c>
      <c r="E338" s="34" t="str">
        <f>IFERROR(IF('Pós Implantação'!B338="CSC NOC",AVERAGE('Pós Implantação'!D338,'Pós Implantação'!L338,'Pós Implantação'!G338),AVERAGE('Pós Implantação'!G338)),"")</f>
        <v/>
      </c>
      <c r="F338" s="34" t="str">
        <f>IFERROR(IF('Pós Implantação'!B338="CSE Gravadores",AVERAGE('Pós Implantação'!D338,'Pós Implantação'!L338,'Pós Implantação'!I338),AVERAGE('Pós Implantação'!I338)),"")</f>
        <v/>
      </c>
      <c r="G338" s="34" t="str">
        <f>IFERROR(IF('Pós Implantação'!B338="CSC",AVERAGE('Pós Implantação'!D338,'Pós Implantação'!L338,'Pós Implantação'!J338),AVERAGE('Pós Implantação'!J338)),"")</f>
        <v/>
      </c>
      <c r="H338" s="34" t="str">
        <f>IFERROR(IF('Pós Implantação'!B338="Operações \ Negócio",AVERAGE('Pós Implantação'!D338,'Pós Implantação'!L338,'Pós Implantação'!K338),AVERAGE('Pós Implantação'!K338)),"")</f>
        <v/>
      </c>
      <c r="I338" s="34" t="str">
        <f>IFERROR(IF('Pós Implantação'!B338="Projetos",AVERAGE('Pós Implantação'!D338,'Pós Implantação'!L338,'Pós Implantação'!M338),AVERAGE('Pós Implantação'!M338)),"")</f>
        <v/>
      </c>
      <c r="J338" s="34" t="str">
        <f>IFERROR(IF('Pós Implantação'!B338="Engenharia",AVERAGE('Pós Implantação'!D338,'Pós Implantação'!L338,'Pós Implantação'!N338),AVERAGE('Pós Implantação'!N338)),"")</f>
        <v/>
      </c>
      <c r="K338" s="34" t="str">
        <f>IFERROR(IF('Pós Implantação'!B338="URA",AVERAGE('Pós Implantação'!D338,'Pós Implantação'!L338),""),"")</f>
        <v/>
      </c>
      <c r="L338" s="34" t="str">
        <f>IFERROR(IF('Pós Implantação'!B338="CSE Microsoft",AVERAGE('Pós Implantação'!D338,'Pós Implantação'!L338),""),"")</f>
        <v/>
      </c>
      <c r="M338" s="34" t="str">
        <f>IFERROR(IF('Pós Implantação'!B338="CSE Telecom",AVERAGE('Pós Implantação'!D338,'Pós Implantação'!L338),""),"")</f>
        <v/>
      </c>
      <c r="N338" s="34" t="str">
        <f>IFERROR(IF('Pós Implantação'!B338="Site Suporte de Campo",AVERAGE('Pós Implantação'!D338,'Pós Implantação'!L338),""),"")</f>
        <v/>
      </c>
      <c r="O338" s="49" t="str">
        <f>IFERROR(IF('Pós Implantação'!B338="Infraestrutura",AVERAGE('Pós Implantação'!D338,'Pós Implantação'!L338),""),"")</f>
        <v/>
      </c>
    </row>
    <row r="339" spans="1:15" x14ac:dyDescent="0.3">
      <c r="A339" s="33">
        <f>'Pré Implantação'!A339</f>
        <v>0</v>
      </c>
      <c r="B339" s="36" t="str">
        <f>'Pós Implantação'!C339</f>
        <v>0</v>
      </c>
      <c r="C339" s="34" t="str">
        <f>IFERROR(IF('Pré Implantação'!B339="Produção TI",AVERAGE('Pós Implantação'!D339,'Pós Implantação'!E339,'Pós Implantação'!L339,'Pós Implantação'!H339),AVERAGE('Pré Implantação'!E339,'Pré Implantação'!H339)),"")</f>
        <v/>
      </c>
      <c r="D339" s="34" t="str">
        <f>IFERROR(IF('Pós Implantação'!B339="CSC Service Desk",AVERAGE('Pós Implantação'!D339,'Pós Implantação'!L339,'Pós Implantação'!F339),AVERAGE('Pós Implantação'!F339)),"")</f>
        <v/>
      </c>
      <c r="E339" s="34" t="str">
        <f>IFERROR(IF('Pós Implantação'!B339="CSC NOC",AVERAGE('Pós Implantação'!D339,'Pós Implantação'!L339,'Pós Implantação'!G339),AVERAGE('Pós Implantação'!G339)),"")</f>
        <v/>
      </c>
      <c r="F339" s="34" t="str">
        <f>IFERROR(IF('Pós Implantação'!B339="CSE Gravadores",AVERAGE('Pós Implantação'!D339,'Pós Implantação'!L339,'Pós Implantação'!I339),AVERAGE('Pós Implantação'!I339)),"")</f>
        <v/>
      </c>
      <c r="G339" s="34" t="str">
        <f>IFERROR(IF('Pós Implantação'!B339="CSC",AVERAGE('Pós Implantação'!D339,'Pós Implantação'!L339,'Pós Implantação'!J339),AVERAGE('Pós Implantação'!J339)),"")</f>
        <v/>
      </c>
      <c r="H339" s="34" t="str">
        <f>IFERROR(IF('Pós Implantação'!B339="Operações \ Negócio",AVERAGE('Pós Implantação'!D339,'Pós Implantação'!L339,'Pós Implantação'!K339),AVERAGE('Pós Implantação'!K339)),"")</f>
        <v/>
      </c>
      <c r="I339" s="34" t="str">
        <f>IFERROR(IF('Pós Implantação'!B339="Projetos",AVERAGE('Pós Implantação'!D339,'Pós Implantação'!L339,'Pós Implantação'!M339),AVERAGE('Pós Implantação'!M339)),"")</f>
        <v/>
      </c>
      <c r="J339" s="34" t="str">
        <f>IFERROR(IF('Pós Implantação'!B339="Engenharia",AVERAGE('Pós Implantação'!D339,'Pós Implantação'!L339,'Pós Implantação'!N339),AVERAGE('Pós Implantação'!N339)),"")</f>
        <v/>
      </c>
      <c r="K339" s="34" t="str">
        <f>IFERROR(IF('Pós Implantação'!B339="URA",AVERAGE('Pós Implantação'!D339,'Pós Implantação'!L339),""),"")</f>
        <v/>
      </c>
      <c r="L339" s="34" t="str">
        <f>IFERROR(IF('Pós Implantação'!B339="CSE Microsoft",AVERAGE('Pós Implantação'!D339,'Pós Implantação'!L339),""),"")</f>
        <v/>
      </c>
      <c r="M339" s="34" t="str">
        <f>IFERROR(IF('Pós Implantação'!B339="CSE Telecom",AVERAGE('Pós Implantação'!D339,'Pós Implantação'!L339),""),"")</f>
        <v/>
      </c>
      <c r="N339" s="34" t="str">
        <f>IFERROR(IF('Pós Implantação'!B339="Site Suporte de Campo",AVERAGE('Pós Implantação'!D339,'Pós Implantação'!L339),""),"")</f>
        <v/>
      </c>
      <c r="O339" s="49" t="str">
        <f>IFERROR(IF('Pós Implantação'!B339="Infraestrutura",AVERAGE('Pós Implantação'!D339,'Pós Implantação'!L339),""),"")</f>
        <v/>
      </c>
    </row>
    <row r="340" spans="1:15" x14ac:dyDescent="0.3">
      <c r="A340" s="33">
        <f>'Pré Implantação'!A340</f>
        <v>0</v>
      </c>
      <c r="B340" s="36" t="str">
        <f>'Pós Implantação'!C340</f>
        <v>0</v>
      </c>
      <c r="C340" s="34" t="str">
        <f>IFERROR(IF('Pré Implantação'!B340="Produção TI",AVERAGE('Pós Implantação'!D340,'Pós Implantação'!E340,'Pós Implantação'!L340,'Pós Implantação'!H340),AVERAGE('Pré Implantação'!E340,'Pré Implantação'!H340)),"")</f>
        <v/>
      </c>
      <c r="D340" s="34" t="str">
        <f>IFERROR(IF('Pós Implantação'!B340="CSC Service Desk",AVERAGE('Pós Implantação'!D340,'Pós Implantação'!L340,'Pós Implantação'!F340),AVERAGE('Pós Implantação'!F340)),"")</f>
        <v/>
      </c>
      <c r="E340" s="34" t="str">
        <f>IFERROR(IF('Pós Implantação'!B340="CSC NOC",AVERAGE('Pós Implantação'!D340,'Pós Implantação'!L340,'Pós Implantação'!G340),AVERAGE('Pós Implantação'!G340)),"")</f>
        <v/>
      </c>
      <c r="F340" s="34" t="str">
        <f>IFERROR(IF('Pós Implantação'!B340="CSE Gravadores",AVERAGE('Pós Implantação'!D340,'Pós Implantação'!L340,'Pós Implantação'!I340),AVERAGE('Pós Implantação'!I340)),"")</f>
        <v/>
      </c>
      <c r="G340" s="34" t="str">
        <f>IFERROR(IF('Pós Implantação'!B340="CSC",AVERAGE('Pós Implantação'!D340,'Pós Implantação'!L340,'Pós Implantação'!J340),AVERAGE('Pós Implantação'!J340)),"")</f>
        <v/>
      </c>
      <c r="H340" s="34" t="str">
        <f>IFERROR(IF('Pós Implantação'!B340="Operações \ Negócio",AVERAGE('Pós Implantação'!D340,'Pós Implantação'!L340,'Pós Implantação'!K340),AVERAGE('Pós Implantação'!K340)),"")</f>
        <v/>
      </c>
      <c r="I340" s="34" t="str">
        <f>IFERROR(IF('Pós Implantação'!B340="Projetos",AVERAGE('Pós Implantação'!D340,'Pós Implantação'!L340,'Pós Implantação'!M340),AVERAGE('Pós Implantação'!M340)),"")</f>
        <v/>
      </c>
      <c r="J340" s="34" t="str">
        <f>IFERROR(IF('Pós Implantação'!B340="Engenharia",AVERAGE('Pós Implantação'!D340,'Pós Implantação'!L340,'Pós Implantação'!N340),AVERAGE('Pós Implantação'!N340)),"")</f>
        <v/>
      </c>
      <c r="K340" s="34" t="str">
        <f>IFERROR(IF('Pós Implantação'!B340="URA",AVERAGE('Pós Implantação'!D340,'Pós Implantação'!L340),""),"")</f>
        <v/>
      </c>
      <c r="L340" s="34" t="str">
        <f>IFERROR(IF('Pós Implantação'!B340="CSE Microsoft",AVERAGE('Pós Implantação'!D340,'Pós Implantação'!L340),""),"")</f>
        <v/>
      </c>
      <c r="M340" s="34" t="str">
        <f>IFERROR(IF('Pós Implantação'!B340="CSE Telecom",AVERAGE('Pós Implantação'!D340,'Pós Implantação'!L340),""),"")</f>
        <v/>
      </c>
      <c r="N340" s="34" t="str">
        <f>IFERROR(IF('Pós Implantação'!B340="Site Suporte de Campo",AVERAGE('Pós Implantação'!D340,'Pós Implantação'!L340),""),"")</f>
        <v/>
      </c>
      <c r="O340" s="49" t="str">
        <f>IFERROR(IF('Pós Implantação'!B340="Infraestrutura",AVERAGE('Pós Implantação'!D340,'Pós Implantação'!L340),""),"")</f>
        <v/>
      </c>
    </row>
    <row r="341" spans="1:15" x14ac:dyDescent="0.3">
      <c r="A341" s="33">
        <f>'Pré Implantação'!A341</f>
        <v>0</v>
      </c>
      <c r="B341" s="36" t="str">
        <f>'Pós Implantação'!C341</f>
        <v>0</v>
      </c>
      <c r="C341" s="34" t="str">
        <f>IFERROR(IF('Pré Implantação'!B341="Produção TI",AVERAGE('Pós Implantação'!D341,'Pós Implantação'!E341,'Pós Implantação'!L341,'Pós Implantação'!H341),AVERAGE('Pré Implantação'!E341,'Pré Implantação'!H341)),"")</f>
        <v/>
      </c>
      <c r="D341" s="34" t="str">
        <f>IFERROR(IF('Pós Implantação'!B341="CSC Service Desk",AVERAGE('Pós Implantação'!D341,'Pós Implantação'!L341,'Pós Implantação'!F341),AVERAGE('Pós Implantação'!F341)),"")</f>
        <v/>
      </c>
      <c r="E341" s="34" t="str">
        <f>IFERROR(IF('Pós Implantação'!B341="CSC NOC",AVERAGE('Pós Implantação'!D341,'Pós Implantação'!L341,'Pós Implantação'!G341),AVERAGE('Pós Implantação'!G341)),"")</f>
        <v/>
      </c>
      <c r="F341" s="34" t="str">
        <f>IFERROR(IF('Pós Implantação'!B341="CSE Gravadores",AVERAGE('Pós Implantação'!D341,'Pós Implantação'!L341,'Pós Implantação'!I341),AVERAGE('Pós Implantação'!I341)),"")</f>
        <v/>
      </c>
      <c r="G341" s="34" t="str">
        <f>IFERROR(IF('Pós Implantação'!B341="CSC",AVERAGE('Pós Implantação'!D341,'Pós Implantação'!L341,'Pós Implantação'!J341),AVERAGE('Pós Implantação'!J341)),"")</f>
        <v/>
      </c>
      <c r="H341" s="34" t="str">
        <f>IFERROR(IF('Pós Implantação'!B341="Operações \ Negócio",AVERAGE('Pós Implantação'!D341,'Pós Implantação'!L341,'Pós Implantação'!K341),AVERAGE('Pós Implantação'!K341)),"")</f>
        <v/>
      </c>
      <c r="I341" s="34" t="str">
        <f>IFERROR(IF('Pós Implantação'!B341="Projetos",AVERAGE('Pós Implantação'!D341,'Pós Implantação'!L341,'Pós Implantação'!M341),AVERAGE('Pós Implantação'!M341)),"")</f>
        <v/>
      </c>
      <c r="J341" s="34" t="str">
        <f>IFERROR(IF('Pós Implantação'!B341="Engenharia",AVERAGE('Pós Implantação'!D341,'Pós Implantação'!L341,'Pós Implantação'!N341),AVERAGE('Pós Implantação'!N341)),"")</f>
        <v/>
      </c>
      <c r="K341" s="34" t="str">
        <f>IFERROR(IF('Pós Implantação'!B341="URA",AVERAGE('Pós Implantação'!D341,'Pós Implantação'!L341),""),"")</f>
        <v/>
      </c>
      <c r="L341" s="34" t="str">
        <f>IFERROR(IF('Pós Implantação'!B341="CSE Microsoft",AVERAGE('Pós Implantação'!D341,'Pós Implantação'!L341),""),"")</f>
        <v/>
      </c>
      <c r="M341" s="34" t="str">
        <f>IFERROR(IF('Pós Implantação'!B341="CSE Telecom",AVERAGE('Pós Implantação'!D341,'Pós Implantação'!L341),""),"")</f>
        <v/>
      </c>
      <c r="N341" s="34" t="str">
        <f>IFERROR(IF('Pós Implantação'!B341="Site Suporte de Campo",AVERAGE('Pós Implantação'!D341,'Pós Implantação'!L341),""),"")</f>
        <v/>
      </c>
      <c r="O341" s="49" t="str">
        <f>IFERROR(IF('Pós Implantação'!B341="Infraestrutura",AVERAGE('Pós Implantação'!D341,'Pós Implantação'!L341),""),"")</f>
        <v/>
      </c>
    </row>
    <row r="342" spans="1:15" x14ac:dyDescent="0.3">
      <c r="A342" s="33">
        <f>'Pré Implantação'!A342</f>
        <v>0</v>
      </c>
      <c r="B342" s="36" t="str">
        <f>'Pós Implantação'!C342</f>
        <v>0</v>
      </c>
      <c r="C342" s="34" t="str">
        <f>IFERROR(IF('Pré Implantação'!B342="Produção TI",AVERAGE('Pós Implantação'!D342,'Pós Implantação'!E342,'Pós Implantação'!L342,'Pós Implantação'!H342),AVERAGE('Pré Implantação'!E342,'Pré Implantação'!H342)),"")</f>
        <v/>
      </c>
      <c r="D342" s="34" t="str">
        <f>IFERROR(IF('Pós Implantação'!B342="CSC Service Desk",AVERAGE('Pós Implantação'!D342,'Pós Implantação'!L342,'Pós Implantação'!F342),AVERAGE('Pós Implantação'!F342)),"")</f>
        <v/>
      </c>
      <c r="E342" s="34" t="str">
        <f>IFERROR(IF('Pós Implantação'!B342="CSC NOC",AVERAGE('Pós Implantação'!D342,'Pós Implantação'!L342,'Pós Implantação'!G342),AVERAGE('Pós Implantação'!G342)),"")</f>
        <v/>
      </c>
      <c r="F342" s="34" t="str">
        <f>IFERROR(IF('Pós Implantação'!B342="CSE Gravadores",AVERAGE('Pós Implantação'!D342,'Pós Implantação'!L342,'Pós Implantação'!I342),AVERAGE('Pós Implantação'!I342)),"")</f>
        <v/>
      </c>
      <c r="G342" s="34" t="str">
        <f>IFERROR(IF('Pós Implantação'!B342="CSC",AVERAGE('Pós Implantação'!D342,'Pós Implantação'!L342,'Pós Implantação'!J342),AVERAGE('Pós Implantação'!J342)),"")</f>
        <v/>
      </c>
      <c r="H342" s="34" t="str">
        <f>IFERROR(IF('Pós Implantação'!B342="Operações \ Negócio",AVERAGE('Pós Implantação'!D342,'Pós Implantação'!L342,'Pós Implantação'!K342),AVERAGE('Pós Implantação'!K342)),"")</f>
        <v/>
      </c>
      <c r="I342" s="34" t="str">
        <f>IFERROR(IF('Pós Implantação'!B342="Projetos",AVERAGE('Pós Implantação'!D342,'Pós Implantação'!L342,'Pós Implantação'!M342),AVERAGE('Pós Implantação'!M342)),"")</f>
        <v/>
      </c>
      <c r="J342" s="34" t="str">
        <f>IFERROR(IF('Pós Implantação'!B342="Engenharia",AVERAGE('Pós Implantação'!D342,'Pós Implantação'!L342,'Pós Implantação'!N342),AVERAGE('Pós Implantação'!N342)),"")</f>
        <v/>
      </c>
      <c r="K342" s="34" t="str">
        <f>IFERROR(IF('Pós Implantação'!B342="URA",AVERAGE('Pós Implantação'!D342,'Pós Implantação'!L342),""),"")</f>
        <v/>
      </c>
      <c r="L342" s="34" t="str">
        <f>IFERROR(IF('Pós Implantação'!B342="CSE Microsoft",AVERAGE('Pós Implantação'!D342,'Pós Implantação'!L342),""),"")</f>
        <v/>
      </c>
      <c r="M342" s="34" t="str">
        <f>IFERROR(IF('Pós Implantação'!B342="CSE Telecom",AVERAGE('Pós Implantação'!D342,'Pós Implantação'!L342),""),"")</f>
        <v/>
      </c>
      <c r="N342" s="34" t="str">
        <f>IFERROR(IF('Pós Implantação'!B342="Site Suporte de Campo",AVERAGE('Pós Implantação'!D342,'Pós Implantação'!L342),""),"")</f>
        <v/>
      </c>
      <c r="O342" s="49" t="str">
        <f>IFERROR(IF('Pós Implantação'!B342="Infraestrutura",AVERAGE('Pós Implantação'!D342,'Pós Implantação'!L342),""),"")</f>
        <v/>
      </c>
    </row>
    <row r="343" spans="1:15" x14ac:dyDescent="0.3">
      <c r="A343" s="33">
        <f>'Pré Implantação'!A343</f>
        <v>0</v>
      </c>
      <c r="B343" s="36" t="str">
        <f>'Pós Implantação'!C343</f>
        <v>0</v>
      </c>
      <c r="C343" s="34" t="str">
        <f>IFERROR(IF('Pré Implantação'!B343="Produção TI",AVERAGE('Pós Implantação'!D343,'Pós Implantação'!E343,'Pós Implantação'!L343,'Pós Implantação'!H343),AVERAGE('Pré Implantação'!E343,'Pré Implantação'!H343)),"")</f>
        <v/>
      </c>
      <c r="D343" s="34" t="str">
        <f>IFERROR(IF('Pós Implantação'!B343="CSC Service Desk",AVERAGE('Pós Implantação'!D343,'Pós Implantação'!L343,'Pós Implantação'!F343),AVERAGE('Pós Implantação'!F343)),"")</f>
        <v/>
      </c>
      <c r="E343" s="34" t="str">
        <f>IFERROR(IF('Pós Implantação'!B343="CSC NOC",AVERAGE('Pós Implantação'!D343,'Pós Implantação'!L343,'Pós Implantação'!G343),AVERAGE('Pós Implantação'!G343)),"")</f>
        <v/>
      </c>
      <c r="F343" s="34" t="str">
        <f>IFERROR(IF('Pós Implantação'!B343="CSE Gravadores",AVERAGE('Pós Implantação'!D343,'Pós Implantação'!L343,'Pós Implantação'!I343),AVERAGE('Pós Implantação'!I343)),"")</f>
        <v/>
      </c>
      <c r="G343" s="34" t="str">
        <f>IFERROR(IF('Pós Implantação'!B343="CSC",AVERAGE('Pós Implantação'!D343,'Pós Implantação'!L343,'Pós Implantação'!J343),AVERAGE('Pós Implantação'!J343)),"")</f>
        <v/>
      </c>
      <c r="H343" s="34" t="str">
        <f>IFERROR(IF('Pós Implantação'!B343="Operações \ Negócio",AVERAGE('Pós Implantação'!D343,'Pós Implantação'!L343,'Pós Implantação'!K343),AVERAGE('Pós Implantação'!K343)),"")</f>
        <v/>
      </c>
      <c r="I343" s="34" t="str">
        <f>IFERROR(IF('Pós Implantação'!B343="Projetos",AVERAGE('Pós Implantação'!D343,'Pós Implantação'!L343,'Pós Implantação'!M343),AVERAGE('Pós Implantação'!M343)),"")</f>
        <v/>
      </c>
      <c r="J343" s="34" t="str">
        <f>IFERROR(IF('Pós Implantação'!B343="Engenharia",AVERAGE('Pós Implantação'!D343,'Pós Implantação'!L343,'Pós Implantação'!N343),AVERAGE('Pós Implantação'!N343)),"")</f>
        <v/>
      </c>
      <c r="K343" s="34" t="str">
        <f>IFERROR(IF('Pós Implantação'!B343="URA",AVERAGE('Pós Implantação'!D343,'Pós Implantação'!L343),""),"")</f>
        <v/>
      </c>
      <c r="L343" s="34" t="str">
        <f>IFERROR(IF('Pós Implantação'!B343="CSE Microsoft",AVERAGE('Pós Implantação'!D343,'Pós Implantação'!L343),""),"")</f>
        <v/>
      </c>
      <c r="M343" s="34" t="str">
        <f>IFERROR(IF('Pós Implantação'!B343="CSE Telecom",AVERAGE('Pós Implantação'!D343,'Pós Implantação'!L343),""),"")</f>
        <v/>
      </c>
      <c r="N343" s="34" t="str">
        <f>IFERROR(IF('Pós Implantação'!B343="Site Suporte de Campo",AVERAGE('Pós Implantação'!D343,'Pós Implantação'!L343),""),"")</f>
        <v/>
      </c>
      <c r="O343" s="49" t="str">
        <f>IFERROR(IF('Pós Implantação'!B343="Infraestrutura",AVERAGE('Pós Implantação'!D343,'Pós Implantação'!L343),""),"")</f>
        <v/>
      </c>
    </row>
    <row r="344" spans="1:15" x14ac:dyDescent="0.3">
      <c r="A344" s="33">
        <f>'Pré Implantação'!A344</f>
        <v>0</v>
      </c>
      <c r="B344" s="36" t="str">
        <f>'Pós Implantação'!C344</f>
        <v>0</v>
      </c>
      <c r="C344" s="34" t="str">
        <f>IFERROR(IF('Pré Implantação'!B344="Produção TI",AVERAGE('Pós Implantação'!D344,'Pós Implantação'!E344,'Pós Implantação'!L344,'Pós Implantação'!H344),AVERAGE('Pré Implantação'!E344,'Pré Implantação'!H344)),"")</f>
        <v/>
      </c>
      <c r="D344" s="34" t="str">
        <f>IFERROR(IF('Pós Implantação'!B344="CSC Service Desk",AVERAGE('Pós Implantação'!D344,'Pós Implantação'!L344,'Pós Implantação'!F344),AVERAGE('Pós Implantação'!F344)),"")</f>
        <v/>
      </c>
      <c r="E344" s="34" t="str">
        <f>IFERROR(IF('Pós Implantação'!B344="CSC NOC",AVERAGE('Pós Implantação'!D344,'Pós Implantação'!L344,'Pós Implantação'!G344),AVERAGE('Pós Implantação'!G344)),"")</f>
        <v/>
      </c>
      <c r="F344" s="34" t="str">
        <f>IFERROR(IF('Pós Implantação'!B344="CSE Gravadores",AVERAGE('Pós Implantação'!D344,'Pós Implantação'!L344,'Pós Implantação'!I344),AVERAGE('Pós Implantação'!I344)),"")</f>
        <v/>
      </c>
      <c r="G344" s="34" t="str">
        <f>IFERROR(IF('Pós Implantação'!B344="CSC",AVERAGE('Pós Implantação'!D344,'Pós Implantação'!L344,'Pós Implantação'!J344),AVERAGE('Pós Implantação'!J344)),"")</f>
        <v/>
      </c>
      <c r="H344" s="34" t="str">
        <f>IFERROR(IF('Pós Implantação'!B344="Operações \ Negócio",AVERAGE('Pós Implantação'!D344,'Pós Implantação'!L344,'Pós Implantação'!K344),AVERAGE('Pós Implantação'!K344)),"")</f>
        <v/>
      </c>
      <c r="I344" s="34" t="str">
        <f>IFERROR(IF('Pós Implantação'!B344="Projetos",AVERAGE('Pós Implantação'!D344,'Pós Implantação'!L344,'Pós Implantação'!M344),AVERAGE('Pós Implantação'!M344)),"")</f>
        <v/>
      </c>
      <c r="J344" s="34" t="str">
        <f>IFERROR(IF('Pós Implantação'!B344="Engenharia",AVERAGE('Pós Implantação'!D344,'Pós Implantação'!L344,'Pós Implantação'!N344),AVERAGE('Pós Implantação'!N344)),"")</f>
        <v/>
      </c>
      <c r="K344" s="34" t="str">
        <f>IFERROR(IF('Pós Implantação'!B344="URA",AVERAGE('Pós Implantação'!D344,'Pós Implantação'!L344),""),"")</f>
        <v/>
      </c>
      <c r="L344" s="34" t="str">
        <f>IFERROR(IF('Pós Implantação'!B344="CSE Microsoft",AVERAGE('Pós Implantação'!D344,'Pós Implantação'!L344),""),"")</f>
        <v/>
      </c>
      <c r="M344" s="34" t="str">
        <f>IFERROR(IF('Pós Implantação'!B344="CSE Telecom",AVERAGE('Pós Implantação'!D344,'Pós Implantação'!L344),""),"")</f>
        <v/>
      </c>
      <c r="N344" s="34" t="str">
        <f>IFERROR(IF('Pós Implantação'!B344="Site Suporte de Campo",AVERAGE('Pós Implantação'!D344,'Pós Implantação'!L344),""),"")</f>
        <v/>
      </c>
      <c r="O344" s="49" t="str">
        <f>IFERROR(IF('Pós Implantação'!B344="Infraestrutura",AVERAGE('Pós Implantação'!D344,'Pós Implantação'!L344),""),"")</f>
        <v/>
      </c>
    </row>
    <row r="345" spans="1:15" x14ac:dyDescent="0.3">
      <c r="A345" s="33">
        <f>'Pré Implantação'!A345</f>
        <v>0</v>
      </c>
      <c r="B345" s="36" t="str">
        <f>'Pós Implantação'!C345</f>
        <v>0</v>
      </c>
      <c r="C345" s="34" t="str">
        <f>IFERROR(IF('Pré Implantação'!B345="Produção TI",AVERAGE('Pós Implantação'!D345,'Pós Implantação'!E345,'Pós Implantação'!L345,'Pós Implantação'!H345),AVERAGE('Pré Implantação'!E345,'Pré Implantação'!H345)),"")</f>
        <v/>
      </c>
      <c r="D345" s="34" t="str">
        <f>IFERROR(IF('Pós Implantação'!B345="CSC Service Desk",AVERAGE('Pós Implantação'!D345,'Pós Implantação'!L345,'Pós Implantação'!F345),AVERAGE('Pós Implantação'!F345)),"")</f>
        <v/>
      </c>
      <c r="E345" s="34" t="str">
        <f>IFERROR(IF('Pós Implantação'!B345="CSC NOC",AVERAGE('Pós Implantação'!D345,'Pós Implantação'!L345,'Pós Implantação'!G345),AVERAGE('Pós Implantação'!G345)),"")</f>
        <v/>
      </c>
      <c r="F345" s="34" t="str">
        <f>IFERROR(IF('Pós Implantação'!B345="CSE Gravadores",AVERAGE('Pós Implantação'!D345,'Pós Implantação'!L345,'Pós Implantação'!I345),AVERAGE('Pós Implantação'!I345)),"")</f>
        <v/>
      </c>
      <c r="G345" s="34" t="str">
        <f>IFERROR(IF('Pós Implantação'!B345="CSC",AVERAGE('Pós Implantação'!D345,'Pós Implantação'!L345,'Pós Implantação'!J345),AVERAGE('Pós Implantação'!J345)),"")</f>
        <v/>
      </c>
      <c r="H345" s="34" t="str">
        <f>IFERROR(IF('Pós Implantação'!B345="Operações \ Negócio",AVERAGE('Pós Implantação'!D345,'Pós Implantação'!L345,'Pós Implantação'!K345),AVERAGE('Pós Implantação'!K345)),"")</f>
        <v/>
      </c>
      <c r="I345" s="34" t="str">
        <f>IFERROR(IF('Pós Implantação'!B345="Projetos",AVERAGE('Pós Implantação'!D345,'Pós Implantação'!L345,'Pós Implantação'!M345),AVERAGE('Pós Implantação'!M345)),"")</f>
        <v/>
      </c>
      <c r="J345" s="34" t="str">
        <f>IFERROR(IF('Pós Implantação'!B345="Engenharia",AVERAGE('Pós Implantação'!D345,'Pós Implantação'!L345,'Pós Implantação'!N345),AVERAGE('Pós Implantação'!N345)),"")</f>
        <v/>
      </c>
      <c r="K345" s="34" t="str">
        <f>IFERROR(IF('Pós Implantação'!B345="URA",AVERAGE('Pós Implantação'!D345,'Pós Implantação'!L345),""),"")</f>
        <v/>
      </c>
      <c r="L345" s="34" t="str">
        <f>IFERROR(IF('Pós Implantação'!B345="CSE Microsoft",AVERAGE('Pós Implantação'!D345,'Pós Implantação'!L345),""),"")</f>
        <v/>
      </c>
      <c r="M345" s="34" t="str">
        <f>IFERROR(IF('Pós Implantação'!B345="CSE Telecom",AVERAGE('Pós Implantação'!D345,'Pós Implantação'!L345),""),"")</f>
        <v/>
      </c>
      <c r="N345" s="34" t="str">
        <f>IFERROR(IF('Pós Implantação'!B345="Site Suporte de Campo",AVERAGE('Pós Implantação'!D345,'Pós Implantação'!L345),""),"")</f>
        <v/>
      </c>
      <c r="O345" s="49" t="str">
        <f>IFERROR(IF('Pós Implantação'!B345="Infraestrutura",AVERAGE('Pós Implantação'!D345,'Pós Implantação'!L345),""),"")</f>
        <v/>
      </c>
    </row>
    <row r="346" spans="1:15" x14ac:dyDescent="0.3">
      <c r="A346" s="33">
        <f>'Pré Implantação'!A346</f>
        <v>0</v>
      </c>
      <c r="B346" s="36" t="str">
        <f>'Pós Implantação'!C346</f>
        <v>0</v>
      </c>
      <c r="C346" s="34" t="str">
        <f>IFERROR(IF('Pré Implantação'!B346="Produção TI",AVERAGE('Pós Implantação'!D346,'Pós Implantação'!E346,'Pós Implantação'!L346,'Pós Implantação'!H346),AVERAGE('Pré Implantação'!E346,'Pré Implantação'!H346)),"")</f>
        <v/>
      </c>
      <c r="D346" s="34" t="str">
        <f>IFERROR(IF('Pós Implantação'!B346="CSC Service Desk",AVERAGE('Pós Implantação'!D346,'Pós Implantação'!L346,'Pós Implantação'!F346),AVERAGE('Pós Implantação'!F346)),"")</f>
        <v/>
      </c>
      <c r="E346" s="34" t="str">
        <f>IFERROR(IF('Pós Implantação'!B346="CSC NOC",AVERAGE('Pós Implantação'!D346,'Pós Implantação'!L346,'Pós Implantação'!G346),AVERAGE('Pós Implantação'!G346)),"")</f>
        <v/>
      </c>
      <c r="F346" s="34" t="str">
        <f>IFERROR(IF('Pós Implantação'!B346="CSE Gravadores",AVERAGE('Pós Implantação'!D346,'Pós Implantação'!L346,'Pós Implantação'!I346),AVERAGE('Pós Implantação'!I346)),"")</f>
        <v/>
      </c>
      <c r="G346" s="34" t="str">
        <f>IFERROR(IF('Pós Implantação'!B346="CSC",AVERAGE('Pós Implantação'!D346,'Pós Implantação'!L346,'Pós Implantação'!J346),AVERAGE('Pós Implantação'!J346)),"")</f>
        <v/>
      </c>
      <c r="H346" s="34" t="str">
        <f>IFERROR(IF('Pós Implantação'!B346="Operações \ Negócio",AVERAGE('Pós Implantação'!D346,'Pós Implantação'!L346,'Pós Implantação'!K346),AVERAGE('Pós Implantação'!K346)),"")</f>
        <v/>
      </c>
      <c r="I346" s="34" t="str">
        <f>IFERROR(IF('Pós Implantação'!B346="Projetos",AVERAGE('Pós Implantação'!D346,'Pós Implantação'!L346,'Pós Implantação'!M346),AVERAGE('Pós Implantação'!M346)),"")</f>
        <v/>
      </c>
      <c r="J346" s="34" t="str">
        <f>IFERROR(IF('Pós Implantação'!B346="Engenharia",AVERAGE('Pós Implantação'!D346,'Pós Implantação'!L346,'Pós Implantação'!N346),AVERAGE('Pós Implantação'!N346)),"")</f>
        <v/>
      </c>
      <c r="K346" s="34" t="str">
        <f>IFERROR(IF('Pós Implantação'!B346="URA",AVERAGE('Pós Implantação'!D346,'Pós Implantação'!L346),""),"")</f>
        <v/>
      </c>
      <c r="L346" s="34" t="str">
        <f>IFERROR(IF('Pós Implantação'!B346="CSE Microsoft",AVERAGE('Pós Implantação'!D346,'Pós Implantação'!L346),""),"")</f>
        <v/>
      </c>
      <c r="M346" s="34" t="str">
        <f>IFERROR(IF('Pós Implantação'!B346="CSE Telecom",AVERAGE('Pós Implantação'!D346,'Pós Implantação'!L346),""),"")</f>
        <v/>
      </c>
      <c r="N346" s="34" t="str">
        <f>IFERROR(IF('Pós Implantação'!B346="Site Suporte de Campo",AVERAGE('Pós Implantação'!D346,'Pós Implantação'!L346),""),"")</f>
        <v/>
      </c>
      <c r="O346" s="49" t="str">
        <f>IFERROR(IF('Pós Implantação'!B346="Infraestrutura",AVERAGE('Pós Implantação'!D346,'Pós Implantação'!L346),""),"")</f>
        <v/>
      </c>
    </row>
    <row r="347" spans="1:15" x14ac:dyDescent="0.3">
      <c r="A347" s="33">
        <f>'Pré Implantação'!A347</f>
        <v>0</v>
      </c>
      <c r="B347" s="36" t="str">
        <f>'Pós Implantação'!C347</f>
        <v>0</v>
      </c>
      <c r="C347" s="34" t="str">
        <f>IFERROR(IF('Pré Implantação'!B347="Produção TI",AVERAGE('Pós Implantação'!D347,'Pós Implantação'!E347,'Pós Implantação'!L347,'Pós Implantação'!H347),AVERAGE('Pré Implantação'!E347,'Pré Implantação'!H347)),"")</f>
        <v/>
      </c>
      <c r="D347" s="34" t="str">
        <f>IFERROR(IF('Pós Implantação'!B347="CSC Service Desk",AVERAGE('Pós Implantação'!D347,'Pós Implantação'!L347,'Pós Implantação'!F347),AVERAGE('Pós Implantação'!F347)),"")</f>
        <v/>
      </c>
      <c r="E347" s="34" t="str">
        <f>IFERROR(IF('Pós Implantação'!B347="CSC NOC",AVERAGE('Pós Implantação'!D347,'Pós Implantação'!L347,'Pós Implantação'!G347),AVERAGE('Pós Implantação'!G347)),"")</f>
        <v/>
      </c>
      <c r="F347" s="34" t="str">
        <f>IFERROR(IF('Pós Implantação'!B347="CSE Gravadores",AVERAGE('Pós Implantação'!D347,'Pós Implantação'!L347,'Pós Implantação'!I347),AVERAGE('Pós Implantação'!I347)),"")</f>
        <v/>
      </c>
      <c r="G347" s="34" t="str">
        <f>IFERROR(IF('Pós Implantação'!B347="CSC",AVERAGE('Pós Implantação'!D347,'Pós Implantação'!L347,'Pós Implantação'!J347),AVERAGE('Pós Implantação'!J347)),"")</f>
        <v/>
      </c>
      <c r="H347" s="34" t="str">
        <f>IFERROR(IF('Pós Implantação'!B347="Operações \ Negócio",AVERAGE('Pós Implantação'!D347,'Pós Implantação'!L347,'Pós Implantação'!K347),AVERAGE('Pós Implantação'!K347)),"")</f>
        <v/>
      </c>
      <c r="I347" s="34" t="str">
        <f>IFERROR(IF('Pós Implantação'!B347="Projetos",AVERAGE('Pós Implantação'!D347,'Pós Implantação'!L347,'Pós Implantação'!M347),AVERAGE('Pós Implantação'!M347)),"")</f>
        <v/>
      </c>
      <c r="J347" s="34" t="str">
        <f>IFERROR(IF('Pós Implantação'!B347="Engenharia",AVERAGE('Pós Implantação'!D347,'Pós Implantação'!L347,'Pós Implantação'!N347),AVERAGE('Pós Implantação'!N347)),"")</f>
        <v/>
      </c>
      <c r="K347" s="34" t="str">
        <f>IFERROR(IF('Pós Implantação'!B347="URA",AVERAGE('Pós Implantação'!D347,'Pós Implantação'!L347),""),"")</f>
        <v/>
      </c>
      <c r="L347" s="34" t="str">
        <f>IFERROR(IF('Pós Implantação'!B347="CSE Microsoft",AVERAGE('Pós Implantação'!D347,'Pós Implantação'!L347),""),"")</f>
        <v/>
      </c>
      <c r="M347" s="34" t="str">
        <f>IFERROR(IF('Pós Implantação'!B347="CSE Telecom",AVERAGE('Pós Implantação'!D347,'Pós Implantação'!L347),""),"")</f>
        <v/>
      </c>
      <c r="N347" s="34" t="str">
        <f>IFERROR(IF('Pós Implantação'!B347="Site Suporte de Campo",AVERAGE('Pós Implantação'!D347,'Pós Implantação'!L347),""),"")</f>
        <v/>
      </c>
      <c r="O347" s="49" t="str">
        <f>IFERROR(IF('Pós Implantação'!B347="Infraestrutura",AVERAGE('Pós Implantação'!D347,'Pós Implantação'!L347),""),"")</f>
        <v/>
      </c>
    </row>
    <row r="348" spans="1:15" x14ac:dyDescent="0.3">
      <c r="A348" s="33">
        <f>'Pré Implantação'!A348</f>
        <v>0</v>
      </c>
      <c r="B348" s="36" t="str">
        <f>'Pós Implantação'!C348</f>
        <v>0</v>
      </c>
      <c r="C348" s="34" t="str">
        <f>IFERROR(IF('Pré Implantação'!B348="Produção TI",AVERAGE('Pós Implantação'!D348,'Pós Implantação'!E348,'Pós Implantação'!L348,'Pós Implantação'!H348),AVERAGE('Pré Implantação'!E348,'Pré Implantação'!H348)),"")</f>
        <v/>
      </c>
      <c r="D348" s="34" t="str">
        <f>IFERROR(IF('Pós Implantação'!B348="CSC Service Desk",AVERAGE('Pós Implantação'!D348,'Pós Implantação'!L348,'Pós Implantação'!F348),AVERAGE('Pós Implantação'!F348)),"")</f>
        <v/>
      </c>
      <c r="E348" s="34" t="str">
        <f>IFERROR(IF('Pós Implantação'!B348="CSC NOC",AVERAGE('Pós Implantação'!D348,'Pós Implantação'!L348,'Pós Implantação'!G348),AVERAGE('Pós Implantação'!G348)),"")</f>
        <v/>
      </c>
      <c r="F348" s="34" t="str">
        <f>IFERROR(IF('Pós Implantação'!B348="CSE Gravadores",AVERAGE('Pós Implantação'!D348,'Pós Implantação'!L348,'Pós Implantação'!I348),AVERAGE('Pós Implantação'!I348)),"")</f>
        <v/>
      </c>
      <c r="G348" s="34" t="str">
        <f>IFERROR(IF('Pós Implantação'!B348="CSC",AVERAGE('Pós Implantação'!D348,'Pós Implantação'!L348,'Pós Implantação'!J348),AVERAGE('Pós Implantação'!J348)),"")</f>
        <v/>
      </c>
      <c r="H348" s="34" t="str">
        <f>IFERROR(IF('Pós Implantação'!B348="Operações \ Negócio",AVERAGE('Pós Implantação'!D348,'Pós Implantação'!L348,'Pós Implantação'!K348),AVERAGE('Pós Implantação'!K348)),"")</f>
        <v/>
      </c>
      <c r="I348" s="34" t="str">
        <f>IFERROR(IF('Pós Implantação'!B348="Projetos",AVERAGE('Pós Implantação'!D348,'Pós Implantação'!L348,'Pós Implantação'!M348),AVERAGE('Pós Implantação'!M348)),"")</f>
        <v/>
      </c>
      <c r="J348" s="34" t="str">
        <f>IFERROR(IF('Pós Implantação'!B348="Engenharia",AVERAGE('Pós Implantação'!D348,'Pós Implantação'!L348,'Pós Implantação'!N348),AVERAGE('Pós Implantação'!N348)),"")</f>
        <v/>
      </c>
      <c r="K348" s="34" t="str">
        <f>IFERROR(IF('Pós Implantação'!B348="URA",AVERAGE('Pós Implantação'!D348,'Pós Implantação'!L348),""),"")</f>
        <v/>
      </c>
      <c r="L348" s="34" t="str">
        <f>IFERROR(IF('Pós Implantação'!B348="CSE Microsoft",AVERAGE('Pós Implantação'!D348,'Pós Implantação'!L348),""),"")</f>
        <v/>
      </c>
      <c r="M348" s="34" t="str">
        <f>IFERROR(IF('Pós Implantação'!B348="CSE Telecom",AVERAGE('Pós Implantação'!D348,'Pós Implantação'!L348),""),"")</f>
        <v/>
      </c>
      <c r="N348" s="34" t="str">
        <f>IFERROR(IF('Pós Implantação'!B348="Site Suporte de Campo",AVERAGE('Pós Implantação'!D348,'Pós Implantação'!L348),""),"")</f>
        <v/>
      </c>
      <c r="O348" s="49" t="str">
        <f>IFERROR(IF('Pós Implantação'!B348="Infraestrutura",AVERAGE('Pós Implantação'!D348,'Pós Implantação'!L348),""),"")</f>
        <v/>
      </c>
    </row>
    <row r="349" spans="1:15" x14ac:dyDescent="0.3">
      <c r="A349" s="33">
        <f>'Pré Implantação'!A349</f>
        <v>0</v>
      </c>
      <c r="B349" s="36" t="str">
        <f>'Pós Implantação'!C349</f>
        <v>0</v>
      </c>
      <c r="C349" s="34" t="str">
        <f>IFERROR(IF('Pré Implantação'!B349="Produção TI",AVERAGE('Pós Implantação'!D349,'Pós Implantação'!E349,'Pós Implantação'!L349,'Pós Implantação'!H349),AVERAGE('Pré Implantação'!E349,'Pré Implantação'!H349)),"")</f>
        <v/>
      </c>
      <c r="D349" s="34" t="str">
        <f>IFERROR(IF('Pós Implantação'!B349="CSC Service Desk",AVERAGE('Pós Implantação'!D349,'Pós Implantação'!L349,'Pós Implantação'!F349),AVERAGE('Pós Implantação'!F349)),"")</f>
        <v/>
      </c>
      <c r="E349" s="34" t="str">
        <f>IFERROR(IF('Pós Implantação'!B349="CSC NOC",AVERAGE('Pós Implantação'!D349,'Pós Implantação'!L349,'Pós Implantação'!G349),AVERAGE('Pós Implantação'!G349)),"")</f>
        <v/>
      </c>
      <c r="F349" s="34" t="str">
        <f>IFERROR(IF('Pós Implantação'!B349="CSE Gravadores",AVERAGE('Pós Implantação'!D349,'Pós Implantação'!L349,'Pós Implantação'!I349),AVERAGE('Pós Implantação'!I349)),"")</f>
        <v/>
      </c>
      <c r="G349" s="34" t="str">
        <f>IFERROR(IF('Pós Implantação'!B349="CSC",AVERAGE('Pós Implantação'!D349,'Pós Implantação'!L349,'Pós Implantação'!J349),AVERAGE('Pós Implantação'!J349)),"")</f>
        <v/>
      </c>
      <c r="H349" s="34" t="str">
        <f>IFERROR(IF('Pós Implantação'!B349="Operações \ Negócio",AVERAGE('Pós Implantação'!D349,'Pós Implantação'!L349,'Pós Implantação'!K349),AVERAGE('Pós Implantação'!K349)),"")</f>
        <v/>
      </c>
      <c r="I349" s="34" t="str">
        <f>IFERROR(IF('Pós Implantação'!B349="Projetos",AVERAGE('Pós Implantação'!D349,'Pós Implantação'!L349,'Pós Implantação'!M349),AVERAGE('Pós Implantação'!M349)),"")</f>
        <v/>
      </c>
      <c r="J349" s="34" t="str">
        <f>IFERROR(IF('Pós Implantação'!B349="Engenharia",AVERAGE('Pós Implantação'!D349,'Pós Implantação'!L349,'Pós Implantação'!N349),AVERAGE('Pós Implantação'!N349)),"")</f>
        <v/>
      </c>
      <c r="K349" s="34" t="str">
        <f>IFERROR(IF('Pós Implantação'!B349="URA",AVERAGE('Pós Implantação'!D349,'Pós Implantação'!L349),""),"")</f>
        <v/>
      </c>
      <c r="L349" s="34" t="str">
        <f>IFERROR(IF('Pós Implantação'!B349="CSE Microsoft",AVERAGE('Pós Implantação'!D349,'Pós Implantação'!L349),""),"")</f>
        <v/>
      </c>
      <c r="M349" s="34" t="str">
        <f>IFERROR(IF('Pós Implantação'!B349="CSE Telecom",AVERAGE('Pós Implantação'!D349,'Pós Implantação'!L349),""),"")</f>
        <v/>
      </c>
      <c r="N349" s="34" t="str">
        <f>IFERROR(IF('Pós Implantação'!B349="Site Suporte de Campo",AVERAGE('Pós Implantação'!D349,'Pós Implantação'!L349),""),"")</f>
        <v/>
      </c>
      <c r="O349" s="49" t="str">
        <f>IFERROR(IF('Pós Implantação'!B349="Infraestrutura",AVERAGE('Pós Implantação'!D349,'Pós Implantação'!L349),""),"")</f>
        <v/>
      </c>
    </row>
    <row r="350" spans="1:15" x14ac:dyDescent="0.3">
      <c r="A350" s="33">
        <f>'Pré Implantação'!A350</f>
        <v>0</v>
      </c>
      <c r="B350" s="36" t="str">
        <f>'Pós Implantação'!C350</f>
        <v>0</v>
      </c>
      <c r="C350" s="34" t="str">
        <f>IFERROR(IF('Pré Implantação'!B350="Produção TI",AVERAGE('Pós Implantação'!D350,'Pós Implantação'!E350,'Pós Implantação'!L350,'Pós Implantação'!H350),AVERAGE('Pré Implantação'!E350,'Pré Implantação'!H350)),"")</f>
        <v/>
      </c>
      <c r="D350" s="34" t="str">
        <f>IFERROR(IF('Pós Implantação'!B350="CSC Service Desk",AVERAGE('Pós Implantação'!D350,'Pós Implantação'!L350,'Pós Implantação'!F350),AVERAGE('Pós Implantação'!F350)),"")</f>
        <v/>
      </c>
      <c r="E350" s="34" t="str">
        <f>IFERROR(IF('Pós Implantação'!B350="CSC NOC",AVERAGE('Pós Implantação'!D350,'Pós Implantação'!L350,'Pós Implantação'!G350),AVERAGE('Pós Implantação'!G350)),"")</f>
        <v/>
      </c>
      <c r="F350" s="34" t="str">
        <f>IFERROR(IF('Pós Implantação'!B350="CSE Gravadores",AVERAGE('Pós Implantação'!D350,'Pós Implantação'!L350,'Pós Implantação'!I350),AVERAGE('Pós Implantação'!I350)),"")</f>
        <v/>
      </c>
      <c r="G350" s="34" t="str">
        <f>IFERROR(IF('Pós Implantação'!B350="CSC",AVERAGE('Pós Implantação'!D350,'Pós Implantação'!L350,'Pós Implantação'!J350),AVERAGE('Pós Implantação'!J350)),"")</f>
        <v/>
      </c>
      <c r="H350" s="34" t="str">
        <f>IFERROR(IF('Pós Implantação'!B350="Operações \ Negócio",AVERAGE('Pós Implantação'!D350,'Pós Implantação'!L350,'Pós Implantação'!K350),AVERAGE('Pós Implantação'!K350)),"")</f>
        <v/>
      </c>
      <c r="I350" s="34" t="str">
        <f>IFERROR(IF('Pós Implantação'!B350="Projetos",AVERAGE('Pós Implantação'!D350,'Pós Implantação'!L350,'Pós Implantação'!M350),AVERAGE('Pós Implantação'!M350)),"")</f>
        <v/>
      </c>
      <c r="J350" s="34" t="str">
        <f>IFERROR(IF('Pós Implantação'!B350="Engenharia",AVERAGE('Pós Implantação'!D350,'Pós Implantação'!L350,'Pós Implantação'!N350),AVERAGE('Pós Implantação'!N350)),"")</f>
        <v/>
      </c>
      <c r="K350" s="34" t="str">
        <f>IFERROR(IF('Pós Implantação'!B350="URA",AVERAGE('Pós Implantação'!D350,'Pós Implantação'!L350),""),"")</f>
        <v/>
      </c>
      <c r="L350" s="34" t="str">
        <f>IFERROR(IF('Pós Implantação'!B350="CSE Microsoft",AVERAGE('Pós Implantação'!D350,'Pós Implantação'!L350),""),"")</f>
        <v/>
      </c>
      <c r="M350" s="34" t="str">
        <f>IFERROR(IF('Pós Implantação'!B350="CSE Telecom",AVERAGE('Pós Implantação'!D350,'Pós Implantação'!L350),""),"")</f>
        <v/>
      </c>
      <c r="N350" s="34" t="str">
        <f>IFERROR(IF('Pós Implantação'!B350="Site Suporte de Campo",AVERAGE('Pós Implantação'!D350,'Pós Implantação'!L350),""),"")</f>
        <v/>
      </c>
      <c r="O350" s="49" t="str">
        <f>IFERROR(IF('Pós Implantação'!B350="Infraestrutura",AVERAGE('Pós Implantação'!D350,'Pós Implantação'!L350),""),"")</f>
        <v/>
      </c>
    </row>
    <row r="351" spans="1:15" x14ac:dyDescent="0.3">
      <c r="A351" s="33">
        <f>'Pré Implantação'!A351</f>
        <v>0</v>
      </c>
      <c r="B351" s="36" t="str">
        <f>'Pós Implantação'!C351</f>
        <v>0</v>
      </c>
      <c r="C351" s="34" t="str">
        <f>IFERROR(IF('Pré Implantação'!B351="Produção TI",AVERAGE('Pós Implantação'!D351,'Pós Implantação'!E351,'Pós Implantação'!L351,'Pós Implantação'!H351),AVERAGE('Pré Implantação'!E351,'Pré Implantação'!H351)),"")</f>
        <v/>
      </c>
      <c r="D351" s="34" t="str">
        <f>IFERROR(IF('Pós Implantação'!B351="CSC Service Desk",AVERAGE('Pós Implantação'!D351,'Pós Implantação'!L351,'Pós Implantação'!F351),AVERAGE('Pós Implantação'!F351)),"")</f>
        <v/>
      </c>
      <c r="E351" s="34" t="str">
        <f>IFERROR(IF('Pós Implantação'!B351="CSC NOC",AVERAGE('Pós Implantação'!D351,'Pós Implantação'!L351,'Pós Implantação'!G351),AVERAGE('Pós Implantação'!G351)),"")</f>
        <v/>
      </c>
      <c r="F351" s="34" t="str">
        <f>IFERROR(IF('Pós Implantação'!B351="CSE Gravadores",AVERAGE('Pós Implantação'!D351,'Pós Implantação'!L351,'Pós Implantação'!I351),AVERAGE('Pós Implantação'!I351)),"")</f>
        <v/>
      </c>
      <c r="G351" s="34" t="str">
        <f>IFERROR(IF('Pós Implantação'!B351="CSC",AVERAGE('Pós Implantação'!D351,'Pós Implantação'!L351,'Pós Implantação'!J351),AVERAGE('Pós Implantação'!J351)),"")</f>
        <v/>
      </c>
      <c r="H351" s="34" t="str">
        <f>IFERROR(IF('Pós Implantação'!B351="Operações \ Negócio",AVERAGE('Pós Implantação'!D351,'Pós Implantação'!L351,'Pós Implantação'!K351),AVERAGE('Pós Implantação'!K351)),"")</f>
        <v/>
      </c>
      <c r="I351" s="34" t="str">
        <f>IFERROR(IF('Pós Implantação'!B351="Projetos",AVERAGE('Pós Implantação'!D351,'Pós Implantação'!L351,'Pós Implantação'!M351),AVERAGE('Pós Implantação'!M351)),"")</f>
        <v/>
      </c>
      <c r="J351" s="34" t="str">
        <f>IFERROR(IF('Pós Implantação'!B351="Engenharia",AVERAGE('Pós Implantação'!D351,'Pós Implantação'!L351,'Pós Implantação'!N351),AVERAGE('Pós Implantação'!N351)),"")</f>
        <v/>
      </c>
      <c r="K351" s="34" t="str">
        <f>IFERROR(IF('Pós Implantação'!B351="URA",AVERAGE('Pós Implantação'!D351,'Pós Implantação'!L351),""),"")</f>
        <v/>
      </c>
      <c r="L351" s="34" t="str">
        <f>IFERROR(IF('Pós Implantação'!B351="CSE Microsoft",AVERAGE('Pós Implantação'!D351,'Pós Implantação'!L351),""),"")</f>
        <v/>
      </c>
      <c r="M351" s="34" t="str">
        <f>IFERROR(IF('Pós Implantação'!B351="CSE Telecom",AVERAGE('Pós Implantação'!D351,'Pós Implantação'!L351),""),"")</f>
        <v/>
      </c>
      <c r="N351" s="34" t="str">
        <f>IFERROR(IF('Pós Implantação'!B351="Site Suporte de Campo",AVERAGE('Pós Implantação'!D351,'Pós Implantação'!L351),""),"")</f>
        <v/>
      </c>
      <c r="O351" s="49" t="str">
        <f>IFERROR(IF('Pós Implantação'!B351="Infraestrutura",AVERAGE('Pós Implantação'!D351,'Pós Implantação'!L351),""),"")</f>
        <v/>
      </c>
    </row>
    <row r="352" spans="1:15" x14ac:dyDescent="0.3">
      <c r="A352" s="33">
        <f>'Pré Implantação'!A352</f>
        <v>0</v>
      </c>
      <c r="B352" s="36" t="str">
        <f>'Pós Implantação'!C352</f>
        <v>0</v>
      </c>
      <c r="C352" s="34" t="str">
        <f>IFERROR(IF('Pré Implantação'!B352="Produção TI",AVERAGE('Pós Implantação'!D352,'Pós Implantação'!E352,'Pós Implantação'!L352,'Pós Implantação'!H352),AVERAGE('Pré Implantação'!E352,'Pré Implantação'!H352)),"")</f>
        <v/>
      </c>
      <c r="D352" s="34" t="str">
        <f>IFERROR(IF('Pós Implantação'!B352="CSC Service Desk",AVERAGE('Pós Implantação'!D352,'Pós Implantação'!L352,'Pós Implantação'!F352),AVERAGE('Pós Implantação'!F352)),"")</f>
        <v/>
      </c>
      <c r="E352" s="34" t="str">
        <f>IFERROR(IF('Pós Implantação'!B352="CSC NOC",AVERAGE('Pós Implantação'!D352,'Pós Implantação'!L352,'Pós Implantação'!G352),AVERAGE('Pós Implantação'!G352)),"")</f>
        <v/>
      </c>
      <c r="F352" s="34" t="str">
        <f>IFERROR(IF('Pós Implantação'!B352="CSE Gravadores",AVERAGE('Pós Implantação'!D352,'Pós Implantação'!L352,'Pós Implantação'!I352),AVERAGE('Pós Implantação'!I352)),"")</f>
        <v/>
      </c>
      <c r="G352" s="34" t="str">
        <f>IFERROR(IF('Pós Implantação'!B352="CSC",AVERAGE('Pós Implantação'!D352,'Pós Implantação'!L352,'Pós Implantação'!J352),AVERAGE('Pós Implantação'!J352)),"")</f>
        <v/>
      </c>
      <c r="H352" s="34" t="str">
        <f>IFERROR(IF('Pós Implantação'!B352="Operações \ Negócio",AVERAGE('Pós Implantação'!D352,'Pós Implantação'!L352,'Pós Implantação'!K352),AVERAGE('Pós Implantação'!K352)),"")</f>
        <v/>
      </c>
      <c r="I352" s="34" t="str">
        <f>IFERROR(IF('Pós Implantação'!B352="Projetos",AVERAGE('Pós Implantação'!D352,'Pós Implantação'!L352,'Pós Implantação'!M352),AVERAGE('Pós Implantação'!M352)),"")</f>
        <v/>
      </c>
      <c r="J352" s="34" t="str">
        <f>IFERROR(IF('Pós Implantação'!B352="Engenharia",AVERAGE('Pós Implantação'!D352,'Pós Implantação'!L352,'Pós Implantação'!N352),AVERAGE('Pós Implantação'!N352)),"")</f>
        <v/>
      </c>
      <c r="K352" s="34" t="str">
        <f>IFERROR(IF('Pós Implantação'!B352="URA",AVERAGE('Pós Implantação'!D352,'Pós Implantação'!L352),""),"")</f>
        <v/>
      </c>
      <c r="L352" s="34" t="str">
        <f>IFERROR(IF('Pós Implantação'!B352="CSE Microsoft",AVERAGE('Pós Implantação'!D352,'Pós Implantação'!L352),""),"")</f>
        <v/>
      </c>
      <c r="M352" s="34" t="str">
        <f>IFERROR(IF('Pós Implantação'!B352="CSE Telecom",AVERAGE('Pós Implantação'!D352,'Pós Implantação'!L352),""),"")</f>
        <v/>
      </c>
      <c r="N352" s="34" t="str">
        <f>IFERROR(IF('Pós Implantação'!B352="Site Suporte de Campo",AVERAGE('Pós Implantação'!D352,'Pós Implantação'!L352),""),"")</f>
        <v/>
      </c>
      <c r="O352" s="49" t="str">
        <f>IFERROR(IF('Pós Implantação'!B352="Infraestrutura",AVERAGE('Pós Implantação'!D352,'Pós Implantação'!L352),""),"")</f>
        <v/>
      </c>
    </row>
    <row r="353" spans="1:15" x14ac:dyDescent="0.3">
      <c r="A353" s="33">
        <f>'Pré Implantação'!A353</f>
        <v>0</v>
      </c>
      <c r="B353" s="36" t="str">
        <f>'Pós Implantação'!C353</f>
        <v>0</v>
      </c>
      <c r="C353" s="34" t="str">
        <f>IFERROR(IF('Pré Implantação'!B353="Produção TI",AVERAGE('Pós Implantação'!D353,'Pós Implantação'!E353,'Pós Implantação'!L353,'Pós Implantação'!H353),AVERAGE('Pré Implantação'!E353,'Pré Implantação'!H353)),"")</f>
        <v/>
      </c>
      <c r="D353" s="34" t="str">
        <f>IFERROR(IF('Pós Implantação'!B353="CSC Service Desk",AVERAGE('Pós Implantação'!D353,'Pós Implantação'!L353,'Pós Implantação'!F353),AVERAGE('Pós Implantação'!F353)),"")</f>
        <v/>
      </c>
      <c r="E353" s="34" t="str">
        <f>IFERROR(IF('Pós Implantação'!B353="CSC NOC",AVERAGE('Pós Implantação'!D353,'Pós Implantação'!L353,'Pós Implantação'!G353),AVERAGE('Pós Implantação'!G353)),"")</f>
        <v/>
      </c>
      <c r="F353" s="34" t="str">
        <f>IFERROR(IF('Pós Implantação'!B353="CSE Gravadores",AVERAGE('Pós Implantação'!D353,'Pós Implantação'!L353,'Pós Implantação'!I353),AVERAGE('Pós Implantação'!I353)),"")</f>
        <v/>
      </c>
      <c r="G353" s="34" t="str">
        <f>IFERROR(IF('Pós Implantação'!B353="CSC",AVERAGE('Pós Implantação'!D353,'Pós Implantação'!L353,'Pós Implantação'!J353),AVERAGE('Pós Implantação'!J353)),"")</f>
        <v/>
      </c>
      <c r="H353" s="34" t="str">
        <f>IFERROR(IF('Pós Implantação'!B353="Operações \ Negócio",AVERAGE('Pós Implantação'!D353,'Pós Implantação'!L353,'Pós Implantação'!K353),AVERAGE('Pós Implantação'!K353)),"")</f>
        <v/>
      </c>
      <c r="I353" s="34" t="str">
        <f>IFERROR(IF('Pós Implantação'!B353="Projetos",AVERAGE('Pós Implantação'!D353,'Pós Implantação'!L353,'Pós Implantação'!M353),AVERAGE('Pós Implantação'!M353)),"")</f>
        <v/>
      </c>
      <c r="J353" s="34" t="str">
        <f>IFERROR(IF('Pós Implantação'!B353="Engenharia",AVERAGE('Pós Implantação'!D353,'Pós Implantação'!L353,'Pós Implantação'!N353),AVERAGE('Pós Implantação'!N353)),"")</f>
        <v/>
      </c>
      <c r="K353" s="34" t="str">
        <f>IFERROR(IF('Pós Implantação'!B353="URA",AVERAGE('Pós Implantação'!D353,'Pós Implantação'!L353),""),"")</f>
        <v/>
      </c>
      <c r="L353" s="34" t="str">
        <f>IFERROR(IF('Pós Implantação'!B353="CSE Microsoft",AVERAGE('Pós Implantação'!D353,'Pós Implantação'!L353),""),"")</f>
        <v/>
      </c>
      <c r="M353" s="34" t="str">
        <f>IFERROR(IF('Pós Implantação'!B353="CSE Telecom",AVERAGE('Pós Implantação'!D353,'Pós Implantação'!L353),""),"")</f>
        <v/>
      </c>
      <c r="N353" s="34" t="str">
        <f>IFERROR(IF('Pós Implantação'!B353="Site Suporte de Campo",AVERAGE('Pós Implantação'!D353,'Pós Implantação'!L353),""),"")</f>
        <v/>
      </c>
      <c r="O353" s="49" t="str">
        <f>IFERROR(IF('Pós Implantação'!B353="Infraestrutura",AVERAGE('Pós Implantação'!D353,'Pós Implantação'!L353),""),"")</f>
        <v/>
      </c>
    </row>
    <row r="354" spans="1:15" x14ac:dyDescent="0.3">
      <c r="A354" s="33">
        <f>'Pré Implantação'!A354</f>
        <v>0</v>
      </c>
      <c r="B354" s="36" t="str">
        <f>'Pós Implantação'!C354</f>
        <v>0</v>
      </c>
      <c r="C354" s="34" t="str">
        <f>IFERROR(IF('Pré Implantação'!B354="Produção TI",AVERAGE('Pós Implantação'!D354,'Pós Implantação'!E354,'Pós Implantação'!L354,'Pós Implantação'!H354),AVERAGE('Pré Implantação'!E354,'Pré Implantação'!H354)),"")</f>
        <v/>
      </c>
      <c r="D354" s="34" t="str">
        <f>IFERROR(IF('Pós Implantação'!B354="CSC Service Desk",AVERAGE('Pós Implantação'!D354,'Pós Implantação'!L354,'Pós Implantação'!F354),AVERAGE('Pós Implantação'!F354)),"")</f>
        <v/>
      </c>
      <c r="E354" s="34" t="str">
        <f>IFERROR(IF('Pós Implantação'!B354="CSC NOC",AVERAGE('Pós Implantação'!D354,'Pós Implantação'!L354,'Pós Implantação'!G354),AVERAGE('Pós Implantação'!G354)),"")</f>
        <v/>
      </c>
      <c r="F354" s="34" t="str">
        <f>IFERROR(IF('Pós Implantação'!B354="CSE Gravadores",AVERAGE('Pós Implantação'!D354,'Pós Implantação'!L354,'Pós Implantação'!I354),AVERAGE('Pós Implantação'!I354)),"")</f>
        <v/>
      </c>
      <c r="G354" s="34" t="str">
        <f>IFERROR(IF('Pós Implantação'!B354="CSC",AVERAGE('Pós Implantação'!D354,'Pós Implantação'!L354,'Pós Implantação'!J354),AVERAGE('Pós Implantação'!J354)),"")</f>
        <v/>
      </c>
      <c r="H354" s="34" t="str">
        <f>IFERROR(IF('Pós Implantação'!B354="Operações \ Negócio",AVERAGE('Pós Implantação'!D354,'Pós Implantação'!L354,'Pós Implantação'!K354),AVERAGE('Pós Implantação'!K354)),"")</f>
        <v/>
      </c>
      <c r="I354" s="34" t="str">
        <f>IFERROR(IF('Pós Implantação'!B354="Projetos",AVERAGE('Pós Implantação'!D354,'Pós Implantação'!L354,'Pós Implantação'!M354),AVERAGE('Pós Implantação'!M354)),"")</f>
        <v/>
      </c>
      <c r="J354" s="34" t="str">
        <f>IFERROR(IF('Pós Implantação'!B354="Engenharia",AVERAGE('Pós Implantação'!D354,'Pós Implantação'!L354,'Pós Implantação'!N354),AVERAGE('Pós Implantação'!N354)),"")</f>
        <v/>
      </c>
      <c r="K354" s="34" t="str">
        <f>IFERROR(IF('Pós Implantação'!B354="URA",AVERAGE('Pós Implantação'!D354,'Pós Implantação'!L354),""),"")</f>
        <v/>
      </c>
      <c r="L354" s="34" t="str">
        <f>IFERROR(IF('Pós Implantação'!B354="CSE Microsoft",AVERAGE('Pós Implantação'!D354,'Pós Implantação'!L354),""),"")</f>
        <v/>
      </c>
      <c r="M354" s="34" t="str">
        <f>IFERROR(IF('Pós Implantação'!B354="CSE Telecom",AVERAGE('Pós Implantação'!D354,'Pós Implantação'!L354),""),"")</f>
        <v/>
      </c>
      <c r="N354" s="34" t="str">
        <f>IFERROR(IF('Pós Implantação'!B354="Site Suporte de Campo",AVERAGE('Pós Implantação'!D354,'Pós Implantação'!L354),""),"")</f>
        <v/>
      </c>
      <c r="O354" s="49" t="str">
        <f>IFERROR(IF('Pós Implantação'!B354="Infraestrutura",AVERAGE('Pós Implantação'!D354,'Pós Implantação'!L354),""),"")</f>
        <v/>
      </c>
    </row>
    <row r="355" spans="1:15" x14ac:dyDescent="0.3">
      <c r="A355" s="33">
        <f>'Pré Implantação'!A355</f>
        <v>0</v>
      </c>
      <c r="B355" s="36" t="str">
        <f>'Pós Implantação'!C355</f>
        <v>0</v>
      </c>
      <c r="C355" s="34" t="str">
        <f>IFERROR(IF('Pré Implantação'!B355="Produção TI",AVERAGE('Pós Implantação'!D355,'Pós Implantação'!E355,'Pós Implantação'!L355,'Pós Implantação'!H355),AVERAGE('Pré Implantação'!E355,'Pré Implantação'!H355)),"")</f>
        <v/>
      </c>
      <c r="D355" s="34" t="str">
        <f>IFERROR(IF('Pós Implantação'!B355="CSC Service Desk",AVERAGE('Pós Implantação'!D355,'Pós Implantação'!L355,'Pós Implantação'!F355),AVERAGE('Pós Implantação'!F355)),"")</f>
        <v/>
      </c>
      <c r="E355" s="34" t="str">
        <f>IFERROR(IF('Pós Implantação'!B355="CSC NOC",AVERAGE('Pós Implantação'!D355,'Pós Implantação'!L355,'Pós Implantação'!G355),AVERAGE('Pós Implantação'!G355)),"")</f>
        <v/>
      </c>
      <c r="F355" s="34" t="str">
        <f>IFERROR(IF('Pós Implantação'!B355="CSE Gravadores",AVERAGE('Pós Implantação'!D355,'Pós Implantação'!L355,'Pós Implantação'!I355),AVERAGE('Pós Implantação'!I355)),"")</f>
        <v/>
      </c>
      <c r="G355" s="34" t="str">
        <f>IFERROR(IF('Pós Implantação'!B355="CSC",AVERAGE('Pós Implantação'!D355,'Pós Implantação'!L355,'Pós Implantação'!J355),AVERAGE('Pós Implantação'!J355)),"")</f>
        <v/>
      </c>
      <c r="H355" s="34" t="str">
        <f>IFERROR(IF('Pós Implantação'!B355="Operações \ Negócio",AVERAGE('Pós Implantação'!D355,'Pós Implantação'!L355,'Pós Implantação'!K355),AVERAGE('Pós Implantação'!K355)),"")</f>
        <v/>
      </c>
      <c r="I355" s="34" t="str">
        <f>IFERROR(IF('Pós Implantação'!B355="Projetos",AVERAGE('Pós Implantação'!D355,'Pós Implantação'!L355,'Pós Implantação'!M355),AVERAGE('Pós Implantação'!M355)),"")</f>
        <v/>
      </c>
      <c r="J355" s="34" t="str">
        <f>IFERROR(IF('Pós Implantação'!B355="Engenharia",AVERAGE('Pós Implantação'!D355,'Pós Implantação'!L355,'Pós Implantação'!N355),AVERAGE('Pós Implantação'!N355)),"")</f>
        <v/>
      </c>
      <c r="K355" s="34" t="str">
        <f>IFERROR(IF('Pós Implantação'!B355="URA",AVERAGE('Pós Implantação'!D355,'Pós Implantação'!L355),""),"")</f>
        <v/>
      </c>
      <c r="L355" s="34" t="str">
        <f>IFERROR(IF('Pós Implantação'!B355="CSE Microsoft",AVERAGE('Pós Implantação'!D355,'Pós Implantação'!L355),""),"")</f>
        <v/>
      </c>
      <c r="M355" s="34" t="str">
        <f>IFERROR(IF('Pós Implantação'!B355="CSE Telecom",AVERAGE('Pós Implantação'!D355,'Pós Implantação'!L355),""),"")</f>
        <v/>
      </c>
      <c r="N355" s="34" t="str">
        <f>IFERROR(IF('Pós Implantação'!B355="Site Suporte de Campo",AVERAGE('Pós Implantação'!D355,'Pós Implantação'!L355),""),"")</f>
        <v/>
      </c>
      <c r="O355" s="49" t="str">
        <f>IFERROR(IF('Pós Implantação'!B355="Infraestrutura",AVERAGE('Pós Implantação'!D355,'Pós Implantação'!L355),""),"")</f>
        <v/>
      </c>
    </row>
    <row r="356" spans="1:15" x14ac:dyDescent="0.3">
      <c r="A356" s="33">
        <f>'Pré Implantação'!A356</f>
        <v>0</v>
      </c>
      <c r="B356" s="36" t="str">
        <f>'Pós Implantação'!C356</f>
        <v>0</v>
      </c>
      <c r="C356" s="34" t="str">
        <f>IFERROR(IF('Pré Implantação'!B356="Produção TI",AVERAGE('Pós Implantação'!D356,'Pós Implantação'!E356,'Pós Implantação'!L356,'Pós Implantação'!H356),AVERAGE('Pré Implantação'!E356,'Pré Implantação'!H356)),"")</f>
        <v/>
      </c>
      <c r="D356" s="34" t="str">
        <f>IFERROR(IF('Pós Implantação'!B356="CSC Service Desk",AVERAGE('Pós Implantação'!D356,'Pós Implantação'!L356,'Pós Implantação'!F356),AVERAGE('Pós Implantação'!F356)),"")</f>
        <v/>
      </c>
      <c r="E356" s="34" t="str">
        <f>IFERROR(IF('Pós Implantação'!B356="CSC NOC",AVERAGE('Pós Implantação'!D356,'Pós Implantação'!L356,'Pós Implantação'!G356),AVERAGE('Pós Implantação'!G356)),"")</f>
        <v/>
      </c>
      <c r="F356" s="34" t="str">
        <f>IFERROR(IF('Pós Implantação'!B356="CSE Gravadores",AVERAGE('Pós Implantação'!D356,'Pós Implantação'!L356,'Pós Implantação'!I356),AVERAGE('Pós Implantação'!I356)),"")</f>
        <v/>
      </c>
      <c r="G356" s="34" t="str">
        <f>IFERROR(IF('Pós Implantação'!B356="CSC",AVERAGE('Pós Implantação'!D356,'Pós Implantação'!L356,'Pós Implantação'!J356),AVERAGE('Pós Implantação'!J356)),"")</f>
        <v/>
      </c>
      <c r="H356" s="34" t="str">
        <f>IFERROR(IF('Pós Implantação'!B356="Operações \ Negócio",AVERAGE('Pós Implantação'!D356,'Pós Implantação'!L356,'Pós Implantação'!K356),AVERAGE('Pós Implantação'!K356)),"")</f>
        <v/>
      </c>
      <c r="I356" s="34" t="str">
        <f>IFERROR(IF('Pós Implantação'!B356="Projetos",AVERAGE('Pós Implantação'!D356,'Pós Implantação'!L356,'Pós Implantação'!M356),AVERAGE('Pós Implantação'!M356)),"")</f>
        <v/>
      </c>
      <c r="J356" s="34" t="str">
        <f>IFERROR(IF('Pós Implantação'!B356="Engenharia",AVERAGE('Pós Implantação'!D356,'Pós Implantação'!L356,'Pós Implantação'!N356),AVERAGE('Pós Implantação'!N356)),"")</f>
        <v/>
      </c>
      <c r="K356" s="34" t="str">
        <f>IFERROR(IF('Pós Implantação'!B356="URA",AVERAGE('Pós Implantação'!D356,'Pós Implantação'!L356),""),"")</f>
        <v/>
      </c>
      <c r="L356" s="34" t="str">
        <f>IFERROR(IF('Pós Implantação'!B356="CSE Microsoft",AVERAGE('Pós Implantação'!D356,'Pós Implantação'!L356),""),"")</f>
        <v/>
      </c>
      <c r="M356" s="34" t="str">
        <f>IFERROR(IF('Pós Implantação'!B356="CSE Telecom",AVERAGE('Pós Implantação'!D356,'Pós Implantação'!L356),""),"")</f>
        <v/>
      </c>
      <c r="N356" s="34" t="str">
        <f>IFERROR(IF('Pós Implantação'!B356="Site Suporte de Campo",AVERAGE('Pós Implantação'!D356,'Pós Implantação'!L356),""),"")</f>
        <v/>
      </c>
      <c r="O356" s="49" t="str">
        <f>IFERROR(IF('Pós Implantação'!B356="Infraestrutura",AVERAGE('Pós Implantação'!D356,'Pós Implantação'!L356),""),"")</f>
        <v/>
      </c>
    </row>
    <row r="357" spans="1:15" x14ac:dyDescent="0.3">
      <c r="A357" s="33">
        <f>'Pré Implantação'!A357</f>
        <v>0</v>
      </c>
      <c r="B357" s="36" t="str">
        <f>'Pós Implantação'!C357</f>
        <v>0</v>
      </c>
      <c r="C357" s="34" t="str">
        <f>IFERROR(IF('Pré Implantação'!B357="Produção TI",AVERAGE('Pós Implantação'!D357,'Pós Implantação'!E357,'Pós Implantação'!L357,'Pós Implantação'!H357),AVERAGE('Pré Implantação'!E357,'Pré Implantação'!H357)),"")</f>
        <v/>
      </c>
      <c r="D357" s="34" t="str">
        <f>IFERROR(IF('Pós Implantação'!B357="CSC Service Desk",AVERAGE('Pós Implantação'!D357,'Pós Implantação'!L357,'Pós Implantação'!F357),AVERAGE('Pós Implantação'!F357)),"")</f>
        <v/>
      </c>
      <c r="E357" s="34" t="str">
        <f>IFERROR(IF('Pós Implantação'!B357="CSC NOC",AVERAGE('Pós Implantação'!D357,'Pós Implantação'!L357,'Pós Implantação'!G357),AVERAGE('Pós Implantação'!G357)),"")</f>
        <v/>
      </c>
      <c r="F357" s="34" t="str">
        <f>IFERROR(IF('Pós Implantação'!B357="CSE Gravadores",AVERAGE('Pós Implantação'!D357,'Pós Implantação'!L357,'Pós Implantação'!I357),AVERAGE('Pós Implantação'!I357)),"")</f>
        <v/>
      </c>
      <c r="G357" s="34" t="str">
        <f>IFERROR(IF('Pós Implantação'!B357="CSC",AVERAGE('Pós Implantação'!D357,'Pós Implantação'!L357,'Pós Implantação'!J357),AVERAGE('Pós Implantação'!J357)),"")</f>
        <v/>
      </c>
      <c r="H357" s="34" t="str">
        <f>IFERROR(IF('Pós Implantação'!B357="Operações \ Negócio",AVERAGE('Pós Implantação'!D357,'Pós Implantação'!L357,'Pós Implantação'!K357),AVERAGE('Pós Implantação'!K357)),"")</f>
        <v/>
      </c>
      <c r="I357" s="34" t="str">
        <f>IFERROR(IF('Pós Implantação'!B357="Projetos",AVERAGE('Pós Implantação'!D357,'Pós Implantação'!L357,'Pós Implantação'!M357),AVERAGE('Pós Implantação'!M357)),"")</f>
        <v/>
      </c>
      <c r="J357" s="34" t="str">
        <f>IFERROR(IF('Pós Implantação'!B357="Engenharia",AVERAGE('Pós Implantação'!D357,'Pós Implantação'!L357,'Pós Implantação'!N357),AVERAGE('Pós Implantação'!N357)),"")</f>
        <v/>
      </c>
      <c r="K357" s="34" t="str">
        <f>IFERROR(IF('Pós Implantação'!B357="URA",AVERAGE('Pós Implantação'!D357,'Pós Implantação'!L357),""),"")</f>
        <v/>
      </c>
      <c r="L357" s="34" t="str">
        <f>IFERROR(IF('Pós Implantação'!B357="CSE Microsoft",AVERAGE('Pós Implantação'!D357,'Pós Implantação'!L357),""),"")</f>
        <v/>
      </c>
      <c r="M357" s="34" t="str">
        <f>IFERROR(IF('Pós Implantação'!B357="CSE Telecom",AVERAGE('Pós Implantação'!D357,'Pós Implantação'!L357),""),"")</f>
        <v/>
      </c>
      <c r="N357" s="34" t="str">
        <f>IFERROR(IF('Pós Implantação'!B357="Site Suporte de Campo",AVERAGE('Pós Implantação'!D357,'Pós Implantação'!L357),""),"")</f>
        <v/>
      </c>
      <c r="O357" s="49" t="str">
        <f>IFERROR(IF('Pós Implantação'!B357="Infraestrutura",AVERAGE('Pós Implantação'!D357,'Pós Implantação'!L357),""),"")</f>
        <v/>
      </c>
    </row>
    <row r="358" spans="1:15" x14ac:dyDescent="0.3">
      <c r="A358" s="33">
        <f>'Pré Implantação'!A358</f>
        <v>0</v>
      </c>
      <c r="B358" s="36" t="str">
        <f>'Pós Implantação'!C358</f>
        <v>0</v>
      </c>
      <c r="C358" s="34" t="str">
        <f>IFERROR(IF('Pré Implantação'!B358="Produção TI",AVERAGE('Pós Implantação'!D358,'Pós Implantação'!E358,'Pós Implantação'!L358,'Pós Implantação'!H358),AVERAGE('Pré Implantação'!E358,'Pré Implantação'!H358)),"")</f>
        <v/>
      </c>
      <c r="D358" s="34" t="str">
        <f>IFERROR(IF('Pós Implantação'!B358="CSC Service Desk",AVERAGE('Pós Implantação'!D358,'Pós Implantação'!L358,'Pós Implantação'!F358),AVERAGE('Pós Implantação'!F358)),"")</f>
        <v/>
      </c>
      <c r="E358" s="34" t="str">
        <f>IFERROR(IF('Pós Implantação'!B358="CSC NOC",AVERAGE('Pós Implantação'!D358,'Pós Implantação'!L358,'Pós Implantação'!G358),AVERAGE('Pós Implantação'!G358)),"")</f>
        <v/>
      </c>
      <c r="F358" s="34" t="str">
        <f>IFERROR(IF('Pós Implantação'!B358="CSE Gravadores",AVERAGE('Pós Implantação'!D358,'Pós Implantação'!L358,'Pós Implantação'!I358),AVERAGE('Pós Implantação'!I358)),"")</f>
        <v/>
      </c>
      <c r="G358" s="34" t="str">
        <f>IFERROR(IF('Pós Implantação'!B358="CSC",AVERAGE('Pós Implantação'!D358,'Pós Implantação'!L358,'Pós Implantação'!J358),AVERAGE('Pós Implantação'!J358)),"")</f>
        <v/>
      </c>
      <c r="H358" s="34" t="str">
        <f>IFERROR(IF('Pós Implantação'!B358="Operações \ Negócio",AVERAGE('Pós Implantação'!D358,'Pós Implantação'!L358,'Pós Implantação'!K358),AVERAGE('Pós Implantação'!K358)),"")</f>
        <v/>
      </c>
      <c r="I358" s="34" t="str">
        <f>IFERROR(IF('Pós Implantação'!B358="Projetos",AVERAGE('Pós Implantação'!D358,'Pós Implantação'!L358,'Pós Implantação'!M358),AVERAGE('Pós Implantação'!M358)),"")</f>
        <v/>
      </c>
      <c r="J358" s="34" t="str">
        <f>IFERROR(IF('Pós Implantação'!B358="Engenharia",AVERAGE('Pós Implantação'!D358,'Pós Implantação'!L358,'Pós Implantação'!N358),AVERAGE('Pós Implantação'!N358)),"")</f>
        <v/>
      </c>
      <c r="K358" s="34" t="str">
        <f>IFERROR(IF('Pós Implantação'!B358="URA",AVERAGE('Pós Implantação'!D358,'Pós Implantação'!L358),""),"")</f>
        <v/>
      </c>
      <c r="L358" s="34" t="str">
        <f>IFERROR(IF('Pós Implantação'!B358="CSE Microsoft",AVERAGE('Pós Implantação'!D358,'Pós Implantação'!L358),""),"")</f>
        <v/>
      </c>
      <c r="M358" s="34" t="str">
        <f>IFERROR(IF('Pós Implantação'!B358="CSE Telecom",AVERAGE('Pós Implantação'!D358,'Pós Implantação'!L358),""),"")</f>
        <v/>
      </c>
      <c r="N358" s="34" t="str">
        <f>IFERROR(IF('Pós Implantação'!B358="Site Suporte de Campo",AVERAGE('Pós Implantação'!D358,'Pós Implantação'!L358),""),"")</f>
        <v/>
      </c>
      <c r="O358" s="49" t="str">
        <f>IFERROR(IF('Pós Implantação'!B358="Infraestrutura",AVERAGE('Pós Implantação'!D358,'Pós Implantação'!L358),""),"")</f>
        <v/>
      </c>
    </row>
    <row r="359" spans="1:15" x14ac:dyDescent="0.3">
      <c r="A359" s="33">
        <f>'Pré Implantação'!A359</f>
        <v>0</v>
      </c>
      <c r="B359" s="36" t="str">
        <f>'Pós Implantação'!C359</f>
        <v>0</v>
      </c>
      <c r="C359" s="34" t="str">
        <f>IFERROR(IF('Pré Implantação'!B359="Produção TI",AVERAGE('Pós Implantação'!D359,'Pós Implantação'!E359,'Pós Implantação'!L359,'Pós Implantação'!H359),AVERAGE('Pré Implantação'!E359,'Pré Implantação'!H359)),"")</f>
        <v/>
      </c>
      <c r="D359" s="34" t="str">
        <f>IFERROR(IF('Pós Implantação'!B359="CSC Service Desk",AVERAGE('Pós Implantação'!D359,'Pós Implantação'!L359,'Pós Implantação'!F359),AVERAGE('Pós Implantação'!F359)),"")</f>
        <v/>
      </c>
      <c r="E359" s="34" t="str">
        <f>IFERROR(IF('Pós Implantação'!B359="CSC NOC",AVERAGE('Pós Implantação'!D359,'Pós Implantação'!L359,'Pós Implantação'!G359),AVERAGE('Pós Implantação'!G359)),"")</f>
        <v/>
      </c>
      <c r="F359" s="34" t="str">
        <f>IFERROR(IF('Pós Implantação'!B359="CSE Gravadores",AVERAGE('Pós Implantação'!D359,'Pós Implantação'!L359,'Pós Implantação'!I359),AVERAGE('Pós Implantação'!I359)),"")</f>
        <v/>
      </c>
      <c r="G359" s="34" t="str">
        <f>IFERROR(IF('Pós Implantação'!B359="CSC",AVERAGE('Pós Implantação'!D359,'Pós Implantação'!L359,'Pós Implantação'!J359),AVERAGE('Pós Implantação'!J359)),"")</f>
        <v/>
      </c>
      <c r="H359" s="34" t="str">
        <f>IFERROR(IF('Pós Implantação'!B359="Operações \ Negócio",AVERAGE('Pós Implantação'!D359,'Pós Implantação'!L359,'Pós Implantação'!K359),AVERAGE('Pós Implantação'!K359)),"")</f>
        <v/>
      </c>
      <c r="I359" s="34" t="str">
        <f>IFERROR(IF('Pós Implantação'!B359="Projetos",AVERAGE('Pós Implantação'!D359,'Pós Implantação'!L359,'Pós Implantação'!M359),AVERAGE('Pós Implantação'!M359)),"")</f>
        <v/>
      </c>
      <c r="J359" s="34" t="str">
        <f>IFERROR(IF('Pós Implantação'!B359="Engenharia",AVERAGE('Pós Implantação'!D359,'Pós Implantação'!L359,'Pós Implantação'!N359),AVERAGE('Pós Implantação'!N359)),"")</f>
        <v/>
      </c>
      <c r="K359" s="34" t="str">
        <f>IFERROR(IF('Pós Implantação'!B359="URA",AVERAGE('Pós Implantação'!D359,'Pós Implantação'!L359),""),"")</f>
        <v/>
      </c>
      <c r="L359" s="34" t="str">
        <f>IFERROR(IF('Pós Implantação'!B359="CSE Microsoft",AVERAGE('Pós Implantação'!D359,'Pós Implantação'!L359),""),"")</f>
        <v/>
      </c>
      <c r="M359" s="34" t="str">
        <f>IFERROR(IF('Pós Implantação'!B359="CSE Telecom",AVERAGE('Pós Implantação'!D359,'Pós Implantação'!L359),""),"")</f>
        <v/>
      </c>
      <c r="N359" s="34" t="str">
        <f>IFERROR(IF('Pós Implantação'!B359="Site Suporte de Campo",AVERAGE('Pós Implantação'!D359,'Pós Implantação'!L359),""),"")</f>
        <v/>
      </c>
      <c r="O359" s="49" t="str">
        <f>IFERROR(IF('Pós Implantação'!B359="Infraestrutura",AVERAGE('Pós Implantação'!D359,'Pós Implantação'!L359),""),"")</f>
        <v/>
      </c>
    </row>
    <row r="360" spans="1:15" x14ac:dyDescent="0.3">
      <c r="A360" s="33">
        <f>'Pré Implantação'!A360</f>
        <v>0</v>
      </c>
      <c r="B360" s="36" t="str">
        <f>'Pós Implantação'!C360</f>
        <v>0</v>
      </c>
      <c r="C360" s="34" t="str">
        <f>IFERROR(IF('Pré Implantação'!B360="Produção TI",AVERAGE('Pós Implantação'!D360,'Pós Implantação'!E360,'Pós Implantação'!L360,'Pós Implantação'!H360),AVERAGE('Pré Implantação'!E360,'Pré Implantação'!H360)),"")</f>
        <v/>
      </c>
      <c r="D360" s="34" t="str">
        <f>IFERROR(IF('Pós Implantação'!B360="CSC Service Desk",AVERAGE('Pós Implantação'!D360,'Pós Implantação'!L360,'Pós Implantação'!F360),AVERAGE('Pós Implantação'!F360)),"")</f>
        <v/>
      </c>
      <c r="E360" s="34" t="str">
        <f>IFERROR(IF('Pós Implantação'!B360="CSC NOC",AVERAGE('Pós Implantação'!D360,'Pós Implantação'!L360,'Pós Implantação'!G360),AVERAGE('Pós Implantação'!G360)),"")</f>
        <v/>
      </c>
      <c r="F360" s="34" t="str">
        <f>IFERROR(IF('Pós Implantação'!B360="CSE Gravadores",AVERAGE('Pós Implantação'!D360,'Pós Implantação'!L360,'Pós Implantação'!I360),AVERAGE('Pós Implantação'!I360)),"")</f>
        <v/>
      </c>
      <c r="G360" s="34" t="str">
        <f>IFERROR(IF('Pós Implantação'!B360="CSC",AVERAGE('Pós Implantação'!D360,'Pós Implantação'!L360,'Pós Implantação'!J360),AVERAGE('Pós Implantação'!J360)),"")</f>
        <v/>
      </c>
      <c r="H360" s="34" t="str">
        <f>IFERROR(IF('Pós Implantação'!B360="Operações \ Negócio",AVERAGE('Pós Implantação'!D360,'Pós Implantação'!L360,'Pós Implantação'!K360),AVERAGE('Pós Implantação'!K360)),"")</f>
        <v/>
      </c>
      <c r="I360" s="34" t="str">
        <f>IFERROR(IF('Pós Implantação'!B360="Projetos",AVERAGE('Pós Implantação'!D360,'Pós Implantação'!L360,'Pós Implantação'!M360),AVERAGE('Pós Implantação'!M360)),"")</f>
        <v/>
      </c>
      <c r="J360" s="34" t="str">
        <f>IFERROR(IF('Pós Implantação'!B360="Engenharia",AVERAGE('Pós Implantação'!D360,'Pós Implantação'!L360,'Pós Implantação'!N360),AVERAGE('Pós Implantação'!N360)),"")</f>
        <v/>
      </c>
      <c r="K360" s="34" t="str">
        <f>IFERROR(IF('Pós Implantação'!B360="URA",AVERAGE('Pós Implantação'!D360,'Pós Implantação'!L360),""),"")</f>
        <v/>
      </c>
      <c r="L360" s="34" t="str">
        <f>IFERROR(IF('Pós Implantação'!B360="CSE Microsoft",AVERAGE('Pós Implantação'!D360,'Pós Implantação'!L360),""),"")</f>
        <v/>
      </c>
      <c r="M360" s="34" t="str">
        <f>IFERROR(IF('Pós Implantação'!B360="CSE Telecom",AVERAGE('Pós Implantação'!D360,'Pós Implantação'!L360),""),"")</f>
        <v/>
      </c>
      <c r="N360" s="34" t="str">
        <f>IFERROR(IF('Pós Implantação'!B360="Site Suporte de Campo",AVERAGE('Pós Implantação'!D360,'Pós Implantação'!L360),""),"")</f>
        <v/>
      </c>
      <c r="O360" s="49" t="str">
        <f>IFERROR(IF('Pós Implantação'!B360="Infraestrutura",AVERAGE('Pós Implantação'!D360,'Pós Implantação'!L360),""),"")</f>
        <v/>
      </c>
    </row>
    <row r="361" spans="1:15" x14ac:dyDescent="0.3">
      <c r="A361" s="33">
        <f>'Pré Implantação'!A361</f>
        <v>0</v>
      </c>
      <c r="B361" s="36" t="str">
        <f>'Pós Implantação'!C361</f>
        <v>0</v>
      </c>
      <c r="C361" s="34" t="str">
        <f>IFERROR(IF('Pré Implantação'!B361="Produção TI",AVERAGE('Pós Implantação'!D361,'Pós Implantação'!E361,'Pós Implantação'!L361,'Pós Implantação'!H361),AVERAGE('Pré Implantação'!E361,'Pré Implantação'!H361)),"")</f>
        <v/>
      </c>
      <c r="D361" s="34" t="str">
        <f>IFERROR(IF('Pós Implantação'!B361="CSC Service Desk",AVERAGE('Pós Implantação'!D361,'Pós Implantação'!L361,'Pós Implantação'!F361),AVERAGE('Pós Implantação'!F361)),"")</f>
        <v/>
      </c>
      <c r="E361" s="34" t="str">
        <f>IFERROR(IF('Pós Implantação'!B361="CSC NOC",AVERAGE('Pós Implantação'!D361,'Pós Implantação'!L361,'Pós Implantação'!G361),AVERAGE('Pós Implantação'!G361)),"")</f>
        <v/>
      </c>
      <c r="F361" s="34" t="str">
        <f>IFERROR(IF('Pós Implantação'!B361="CSE Gravadores",AVERAGE('Pós Implantação'!D361,'Pós Implantação'!L361,'Pós Implantação'!I361),AVERAGE('Pós Implantação'!I361)),"")</f>
        <v/>
      </c>
      <c r="G361" s="34" t="str">
        <f>IFERROR(IF('Pós Implantação'!B361="CSC",AVERAGE('Pós Implantação'!D361,'Pós Implantação'!L361,'Pós Implantação'!J361),AVERAGE('Pós Implantação'!J361)),"")</f>
        <v/>
      </c>
      <c r="H361" s="34" t="str">
        <f>IFERROR(IF('Pós Implantação'!B361="Operações \ Negócio",AVERAGE('Pós Implantação'!D361,'Pós Implantação'!L361,'Pós Implantação'!K361),AVERAGE('Pós Implantação'!K361)),"")</f>
        <v/>
      </c>
      <c r="I361" s="34" t="str">
        <f>IFERROR(IF('Pós Implantação'!B361="Projetos",AVERAGE('Pós Implantação'!D361,'Pós Implantação'!L361,'Pós Implantação'!M361),AVERAGE('Pós Implantação'!M361)),"")</f>
        <v/>
      </c>
      <c r="J361" s="34" t="str">
        <f>IFERROR(IF('Pós Implantação'!B361="Engenharia",AVERAGE('Pós Implantação'!D361,'Pós Implantação'!L361,'Pós Implantação'!N361),AVERAGE('Pós Implantação'!N361)),"")</f>
        <v/>
      </c>
      <c r="K361" s="34" t="str">
        <f>IFERROR(IF('Pós Implantação'!B361="URA",AVERAGE('Pós Implantação'!D361,'Pós Implantação'!L361),""),"")</f>
        <v/>
      </c>
      <c r="L361" s="34" t="str">
        <f>IFERROR(IF('Pós Implantação'!B361="CSE Microsoft",AVERAGE('Pós Implantação'!D361,'Pós Implantação'!L361),""),"")</f>
        <v/>
      </c>
      <c r="M361" s="34" t="str">
        <f>IFERROR(IF('Pós Implantação'!B361="CSE Telecom",AVERAGE('Pós Implantação'!D361,'Pós Implantação'!L361),""),"")</f>
        <v/>
      </c>
      <c r="N361" s="34" t="str">
        <f>IFERROR(IF('Pós Implantação'!B361="Site Suporte de Campo",AVERAGE('Pós Implantação'!D361,'Pós Implantação'!L361),""),"")</f>
        <v/>
      </c>
      <c r="O361" s="49" t="str">
        <f>IFERROR(IF('Pós Implantação'!B361="Infraestrutura",AVERAGE('Pós Implantação'!D361,'Pós Implantação'!L361),""),"")</f>
        <v/>
      </c>
    </row>
    <row r="362" spans="1:15" x14ac:dyDescent="0.3">
      <c r="A362" s="33">
        <f>'Pré Implantação'!A362</f>
        <v>0</v>
      </c>
      <c r="B362" s="36" t="str">
        <f>'Pós Implantação'!C362</f>
        <v>0</v>
      </c>
      <c r="C362" s="34" t="str">
        <f>IFERROR(IF('Pré Implantação'!B362="Produção TI",AVERAGE('Pós Implantação'!D362,'Pós Implantação'!E362,'Pós Implantação'!L362,'Pós Implantação'!H362),AVERAGE('Pré Implantação'!E362,'Pré Implantação'!H362)),"")</f>
        <v/>
      </c>
      <c r="D362" s="34" t="str">
        <f>IFERROR(IF('Pós Implantação'!B362="CSC Service Desk",AVERAGE('Pós Implantação'!D362,'Pós Implantação'!L362,'Pós Implantação'!F362),AVERAGE('Pós Implantação'!F362)),"")</f>
        <v/>
      </c>
      <c r="E362" s="34" t="str">
        <f>IFERROR(IF('Pós Implantação'!B362="CSC NOC",AVERAGE('Pós Implantação'!D362,'Pós Implantação'!L362,'Pós Implantação'!G362),AVERAGE('Pós Implantação'!G362)),"")</f>
        <v/>
      </c>
      <c r="F362" s="34" t="str">
        <f>IFERROR(IF('Pós Implantação'!B362="CSE Gravadores",AVERAGE('Pós Implantação'!D362,'Pós Implantação'!L362,'Pós Implantação'!I362),AVERAGE('Pós Implantação'!I362)),"")</f>
        <v/>
      </c>
      <c r="G362" s="34" t="str">
        <f>IFERROR(IF('Pós Implantação'!B362="CSC",AVERAGE('Pós Implantação'!D362,'Pós Implantação'!L362,'Pós Implantação'!J362),AVERAGE('Pós Implantação'!J362)),"")</f>
        <v/>
      </c>
      <c r="H362" s="34" t="str">
        <f>IFERROR(IF('Pós Implantação'!B362="Operações \ Negócio",AVERAGE('Pós Implantação'!D362,'Pós Implantação'!L362,'Pós Implantação'!K362),AVERAGE('Pós Implantação'!K362)),"")</f>
        <v/>
      </c>
      <c r="I362" s="34" t="str">
        <f>IFERROR(IF('Pós Implantação'!B362="Projetos",AVERAGE('Pós Implantação'!D362,'Pós Implantação'!L362,'Pós Implantação'!M362),AVERAGE('Pós Implantação'!M362)),"")</f>
        <v/>
      </c>
      <c r="J362" s="34" t="str">
        <f>IFERROR(IF('Pós Implantação'!B362="Engenharia",AVERAGE('Pós Implantação'!D362,'Pós Implantação'!L362,'Pós Implantação'!N362),AVERAGE('Pós Implantação'!N362)),"")</f>
        <v/>
      </c>
      <c r="K362" s="34" t="str">
        <f>IFERROR(IF('Pós Implantação'!B362="URA",AVERAGE('Pós Implantação'!D362,'Pós Implantação'!L362),""),"")</f>
        <v/>
      </c>
      <c r="L362" s="34" t="str">
        <f>IFERROR(IF('Pós Implantação'!B362="CSE Microsoft",AVERAGE('Pós Implantação'!D362,'Pós Implantação'!L362),""),"")</f>
        <v/>
      </c>
      <c r="M362" s="34" t="str">
        <f>IFERROR(IF('Pós Implantação'!B362="CSE Telecom",AVERAGE('Pós Implantação'!D362,'Pós Implantação'!L362),""),"")</f>
        <v/>
      </c>
      <c r="N362" s="34" t="str">
        <f>IFERROR(IF('Pós Implantação'!B362="Site Suporte de Campo",AVERAGE('Pós Implantação'!D362,'Pós Implantação'!L362),""),"")</f>
        <v/>
      </c>
      <c r="O362" s="49" t="str">
        <f>IFERROR(IF('Pós Implantação'!B362="Infraestrutura",AVERAGE('Pós Implantação'!D362,'Pós Implantação'!L362),""),"")</f>
        <v/>
      </c>
    </row>
    <row r="363" spans="1:15" x14ac:dyDescent="0.3">
      <c r="A363" s="33">
        <f>'Pré Implantação'!A363</f>
        <v>0</v>
      </c>
      <c r="B363" s="36" t="str">
        <f>'Pós Implantação'!C363</f>
        <v>0</v>
      </c>
      <c r="C363" s="34" t="str">
        <f>IFERROR(IF('Pré Implantação'!B363="Produção TI",AVERAGE('Pós Implantação'!D363,'Pós Implantação'!E363,'Pós Implantação'!L363,'Pós Implantação'!H363),AVERAGE('Pré Implantação'!E363,'Pré Implantação'!H363)),"")</f>
        <v/>
      </c>
      <c r="D363" s="34" t="str">
        <f>IFERROR(IF('Pós Implantação'!B363="CSC Service Desk",AVERAGE('Pós Implantação'!D363,'Pós Implantação'!L363,'Pós Implantação'!F363),AVERAGE('Pós Implantação'!F363)),"")</f>
        <v/>
      </c>
      <c r="E363" s="34" t="str">
        <f>IFERROR(IF('Pós Implantação'!B363="CSC NOC",AVERAGE('Pós Implantação'!D363,'Pós Implantação'!L363,'Pós Implantação'!G363),AVERAGE('Pós Implantação'!G363)),"")</f>
        <v/>
      </c>
      <c r="F363" s="34" t="str">
        <f>IFERROR(IF('Pós Implantação'!B363="CSE Gravadores",AVERAGE('Pós Implantação'!D363,'Pós Implantação'!L363,'Pós Implantação'!I363),AVERAGE('Pós Implantação'!I363)),"")</f>
        <v/>
      </c>
      <c r="G363" s="34" t="str">
        <f>IFERROR(IF('Pós Implantação'!B363="CSC",AVERAGE('Pós Implantação'!D363,'Pós Implantação'!L363,'Pós Implantação'!J363),AVERAGE('Pós Implantação'!J363)),"")</f>
        <v/>
      </c>
      <c r="H363" s="34" t="str">
        <f>IFERROR(IF('Pós Implantação'!B363="Operações \ Negócio",AVERAGE('Pós Implantação'!D363,'Pós Implantação'!L363,'Pós Implantação'!K363),AVERAGE('Pós Implantação'!K363)),"")</f>
        <v/>
      </c>
      <c r="I363" s="34" t="str">
        <f>IFERROR(IF('Pós Implantação'!B363="Projetos",AVERAGE('Pós Implantação'!D363,'Pós Implantação'!L363,'Pós Implantação'!M363),AVERAGE('Pós Implantação'!M363)),"")</f>
        <v/>
      </c>
      <c r="J363" s="34" t="str">
        <f>IFERROR(IF('Pós Implantação'!B363="Engenharia",AVERAGE('Pós Implantação'!D363,'Pós Implantação'!L363,'Pós Implantação'!N363),AVERAGE('Pós Implantação'!N363)),"")</f>
        <v/>
      </c>
      <c r="K363" s="34" t="str">
        <f>IFERROR(IF('Pós Implantação'!B363="URA",AVERAGE('Pós Implantação'!D363,'Pós Implantação'!L363),""),"")</f>
        <v/>
      </c>
      <c r="L363" s="34" t="str">
        <f>IFERROR(IF('Pós Implantação'!B363="CSE Microsoft",AVERAGE('Pós Implantação'!D363,'Pós Implantação'!L363),""),"")</f>
        <v/>
      </c>
      <c r="M363" s="34" t="str">
        <f>IFERROR(IF('Pós Implantação'!B363="CSE Telecom",AVERAGE('Pós Implantação'!D363,'Pós Implantação'!L363),""),"")</f>
        <v/>
      </c>
      <c r="N363" s="34" t="str">
        <f>IFERROR(IF('Pós Implantação'!B363="Site Suporte de Campo",AVERAGE('Pós Implantação'!D363,'Pós Implantação'!L363),""),"")</f>
        <v/>
      </c>
      <c r="O363" s="49" t="str">
        <f>IFERROR(IF('Pós Implantação'!B363="Infraestrutura",AVERAGE('Pós Implantação'!D363,'Pós Implantação'!L363),""),"")</f>
        <v/>
      </c>
    </row>
    <row r="364" spans="1:15" x14ac:dyDescent="0.3">
      <c r="A364" s="33">
        <f>'Pré Implantação'!A364</f>
        <v>0</v>
      </c>
      <c r="B364" s="36" t="str">
        <f>'Pós Implantação'!C364</f>
        <v>0</v>
      </c>
      <c r="C364" s="34" t="str">
        <f>IFERROR(IF('Pré Implantação'!B364="Produção TI",AVERAGE('Pós Implantação'!D364,'Pós Implantação'!E364,'Pós Implantação'!L364,'Pós Implantação'!H364),AVERAGE('Pré Implantação'!E364,'Pré Implantação'!H364)),"")</f>
        <v/>
      </c>
      <c r="D364" s="34" t="str">
        <f>IFERROR(IF('Pós Implantação'!B364="CSC Service Desk",AVERAGE('Pós Implantação'!D364,'Pós Implantação'!L364,'Pós Implantação'!F364),AVERAGE('Pós Implantação'!F364)),"")</f>
        <v/>
      </c>
      <c r="E364" s="34" t="str">
        <f>IFERROR(IF('Pós Implantação'!B364="CSC NOC",AVERAGE('Pós Implantação'!D364,'Pós Implantação'!L364,'Pós Implantação'!G364),AVERAGE('Pós Implantação'!G364)),"")</f>
        <v/>
      </c>
      <c r="F364" s="34" t="str">
        <f>IFERROR(IF('Pós Implantação'!B364="CSE Gravadores",AVERAGE('Pós Implantação'!D364,'Pós Implantação'!L364,'Pós Implantação'!I364),AVERAGE('Pós Implantação'!I364)),"")</f>
        <v/>
      </c>
      <c r="G364" s="34" t="str">
        <f>IFERROR(IF('Pós Implantação'!B364="CSC",AVERAGE('Pós Implantação'!D364,'Pós Implantação'!L364,'Pós Implantação'!J364),AVERAGE('Pós Implantação'!J364)),"")</f>
        <v/>
      </c>
      <c r="H364" s="34" t="str">
        <f>IFERROR(IF('Pós Implantação'!B364="Operações \ Negócio",AVERAGE('Pós Implantação'!D364,'Pós Implantação'!L364,'Pós Implantação'!K364),AVERAGE('Pós Implantação'!K364)),"")</f>
        <v/>
      </c>
      <c r="I364" s="34" t="str">
        <f>IFERROR(IF('Pós Implantação'!B364="Projetos",AVERAGE('Pós Implantação'!D364,'Pós Implantação'!L364,'Pós Implantação'!M364),AVERAGE('Pós Implantação'!M364)),"")</f>
        <v/>
      </c>
      <c r="J364" s="34" t="str">
        <f>IFERROR(IF('Pós Implantação'!B364="Engenharia",AVERAGE('Pós Implantação'!D364,'Pós Implantação'!L364,'Pós Implantação'!N364),AVERAGE('Pós Implantação'!N364)),"")</f>
        <v/>
      </c>
      <c r="K364" s="34" t="str">
        <f>IFERROR(IF('Pós Implantação'!B364="URA",AVERAGE('Pós Implantação'!D364,'Pós Implantação'!L364),""),"")</f>
        <v/>
      </c>
      <c r="L364" s="34" t="str">
        <f>IFERROR(IF('Pós Implantação'!B364="CSE Microsoft",AVERAGE('Pós Implantação'!D364,'Pós Implantação'!L364),""),"")</f>
        <v/>
      </c>
      <c r="M364" s="34" t="str">
        <f>IFERROR(IF('Pós Implantação'!B364="CSE Telecom",AVERAGE('Pós Implantação'!D364,'Pós Implantação'!L364),""),"")</f>
        <v/>
      </c>
      <c r="N364" s="34" t="str">
        <f>IFERROR(IF('Pós Implantação'!B364="Site Suporte de Campo",AVERAGE('Pós Implantação'!D364,'Pós Implantação'!L364),""),"")</f>
        <v/>
      </c>
      <c r="O364" s="49" t="str">
        <f>IFERROR(IF('Pós Implantação'!B364="Infraestrutura",AVERAGE('Pós Implantação'!D364,'Pós Implantação'!L364),""),"")</f>
        <v/>
      </c>
    </row>
    <row r="365" spans="1:15" x14ac:dyDescent="0.3">
      <c r="A365" s="33">
        <f>'Pré Implantação'!A365</f>
        <v>0</v>
      </c>
      <c r="B365" s="36" t="str">
        <f>'Pós Implantação'!C365</f>
        <v>0</v>
      </c>
      <c r="C365" s="34" t="str">
        <f>IFERROR(IF('Pré Implantação'!B365="Produção TI",AVERAGE('Pós Implantação'!D365,'Pós Implantação'!E365,'Pós Implantação'!L365,'Pós Implantação'!H365),AVERAGE('Pré Implantação'!E365,'Pré Implantação'!H365)),"")</f>
        <v/>
      </c>
      <c r="D365" s="34" t="str">
        <f>IFERROR(IF('Pós Implantação'!B365="CSC Service Desk",AVERAGE('Pós Implantação'!D365,'Pós Implantação'!L365,'Pós Implantação'!F365),AVERAGE('Pós Implantação'!F365)),"")</f>
        <v/>
      </c>
      <c r="E365" s="34" t="str">
        <f>IFERROR(IF('Pós Implantação'!B365="CSC NOC",AVERAGE('Pós Implantação'!D365,'Pós Implantação'!L365,'Pós Implantação'!G365),AVERAGE('Pós Implantação'!G365)),"")</f>
        <v/>
      </c>
      <c r="F365" s="34" t="str">
        <f>IFERROR(IF('Pós Implantação'!B365="CSE Gravadores",AVERAGE('Pós Implantação'!D365,'Pós Implantação'!L365,'Pós Implantação'!I365),AVERAGE('Pós Implantação'!I365)),"")</f>
        <v/>
      </c>
      <c r="G365" s="34" t="str">
        <f>IFERROR(IF('Pós Implantação'!B365="CSC",AVERAGE('Pós Implantação'!D365,'Pós Implantação'!L365,'Pós Implantação'!J365),AVERAGE('Pós Implantação'!J365)),"")</f>
        <v/>
      </c>
      <c r="H365" s="34" t="str">
        <f>IFERROR(IF('Pós Implantação'!B365="Operações \ Negócio",AVERAGE('Pós Implantação'!D365,'Pós Implantação'!L365,'Pós Implantação'!K365),AVERAGE('Pós Implantação'!K365)),"")</f>
        <v/>
      </c>
      <c r="I365" s="34" t="str">
        <f>IFERROR(IF('Pós Implantação'!B365="Projetos",AVERAGE('Pós Implantação'!D365,'Pós Implantação'!L365,'Pós Implantação'!M365),AVERAGE('Pós Implantação'!M365)),"")</f>
        <v/>
      </c>
      <c r="J365" s="34" t="str">
        <f>IFERROR(IF('Pós Implantação'!B365="Engenharia",AVERAGE('Pós Implantação'!D365,'Pós Implantação'!L365,'Pós Implantação'!N365),AVERAGE('Pós Implantação'!N365)),"")</f>
        <v/>
      </c>
      <c r="K365" s="34" t="str">
        <f>IFERROR(IF('Pós Implantação'!B365="URA",AVERAGE('Pós Implantação'!D365,'Pós Implantação'!L365),""),"")</f>
        <v/>
      </c>
      <c r="L365" s="34" t="str">
        <f>IFERROR(IF('Pós Implantação'!B365="CSE Microsoft",AVERAGE('Pós Implantação'!D365,'Pós Implantação'!L365),""),"")</f>
        <v/>
      </c>
      <c r="M365" s="34" t="str">
        <f>IFERROR(IF('Pós Implantação'!B365="CSE Telecom",AVERAGE('Pós Implantação'!D365,'Pós Implantação'!L365),""),"")</f>
        <v/>
      </c>
      <c r="N365" s="34" t="str">
        <f>IFERROR(IF('Pós Implantação'!B365="Site Suporte de Campo",AVERAGE('Pós Implantação'!D365,'Pós Implantação'!L365),""),"")</f>
        <v/>
      </c>
      <c r="O365" s="49" t="str">
        <f>IFERROR(IF('Pós Implantação'!B365="Infraestrutura",AVERAGE('Pós Implantação'!D365,'Pós Implantação'!L365),""),"")</f>
        <v/>
      </c>
    </row>
    <row r="366" spans="1:15" x14ac:dyDescent="0.3">
      <c r="A366" s="33">
        <f>'Pré Implantação'!A366</f>
        <v>0</v>
      </c>
      <c r="B366" s="36" t="str">
        <f>'Pós Implantação'!C366</f>
        <v>0</v>
      </c>
      <c r="C366" s="34" t="str">
        <f>IFERROR(IF('Pré Implantação'!B366="Produção TI",AVERAGE('Pós Implantação'!D366,'Pós Implantação'!E366,'Pós Implantação'!L366,'Pós Implantação'!H366),AVERAGE('Pré Implantação'!E366,'Pré Implantação'!H366)),"")</f>
        <v/>
      </c>
      <c r="D366" s="34" t="str">
        <f>IFERROR(IF('Pós Implantação'!B366="CSC Service Desk",AVERAGE('Pós Implantação'!D366,'Pós Implantação'!L366,'Pós Implantação'!F366),AVERAGE('Pós Implantação'!F366)),"")</f>
        <v/>
      </c>
      <c r="E366" s="34" t="str">
        <f>IFERROR(IF('Pós Implantação'!B366="CSC NOC",AVERAGE('Pós Implantação'!D366,'Pós Implantação'!L366,'Pós Implantação'!G366),AVERAGE('Pós Implantação'!G366)),"")</f>
        <v/>
      </c>
      <c r="F366" s="34" t="str">
        <f>IFERROR(IF('Pós Implantação'!B366="CSE Gravadores",AVERAGE('Pós Implantação'!D366,'Pós Implantação'!L366,'Pós Implantação'!I366),AVERAGE('Pós Implantação'!I366)),"")</f>
        <v/>
      </c>
      <c r="G366" s="34" t="str">
        <f>IFERROR(IF('Pós Implantação'!B366="CSC",AVERAGE('Pós Implantação'!D366,'Pós Implantação'!L366,'Pós Implantação'!J366),AVERAGE('Pós Implantação'!J366)),"")</f>
        <v/>
      </c>
      <c r="H366" s="34" t="str">
        <f>IFERROR(IF('Pós Implantação'!B366="Operações \ Negócio",AVERAGE('Pós Implantação'!D366,'Pós Implantação'!L366,'Pós Implantação'!K366),AVERAGE('Pós Implantação'!K366)),"")</f>
        <v/>
      </c>
      <c r="I366" s="34" t="str">
        <f>IFERROR(IF('Pós Implantação'!B366="Projetos",AVERAGE('Pós Implantação'!D366,'Pós Implantação'!L366,'Pós Implantação'!M366),AVERAGE('Pós Implantação'!M366)),"")</f>
        <v/>
      </c>
      <c r="J366" s="34" t="str">
        <f>IFERROR(IF('Pós Implantação'!B366="Engenharia",AVERAGE('Pós Implantação'!D366,'Pós Implantação'!L366,'Pós Implantação'!N366),AVERAGE('Pós Implantação'!N366)),"")</f>
        <v/>
      </c>
      <c r="K366" s="34" t="str">
        <f>IFERROR(IF('Pós Implantação'!B366="URA",AVERAGE('Pós Implantação'!D366,'Pós Implantação'!L366),""),"")</f>
        <v/>
      </c>
      <c r="L366" s="34" t="str">
        <f>IFERROR(IF('Pós Implantação'!B366="CSE Microsoft",AVERAGE('Pós Implantação'!D366,'Pós Implantação'!L366),""),"")</f>
        <v/>
      </c>
      <c r="M366" s="34" t="str">
        <f>IFERROR(IF('Pós Implantação'!B366="CSE Telecom",AVERAGE('Pós Implantação'!D366,'Pós Implantação'!L366),""),"")</f>
        <v/>
      </c>
      <c r="N366" s="34" t="str">
        <f>IFERROR(IF('Pós Implantação'!B366="Site Suporte de Campo",AVERAGE('Pós Implantação'!D366,'Pós Implantação'!L366),""),"")</f>
        <v/>
      </c>
      <c r="O366" s="49" t="str">
        <f>IFERROR(IF('Pós Implantação'!B366="Infraestrutura",AVERAGE('Pós Implantação'!D366,'Pós Implantação'!L366),""),"")</f>
        <v/>
      </c>
    </row>
    <row r="367" spans="1:15" x14ac:dyDescent="0.3">
      <c r="A367" s="33">
        <f>'Pré Implantação'!A367</f>
        <v>0</v>
      </c>
      <c r="B367" s="36" t="str">
        <f>'Pós Implantação'!C367</f>
        <v>0</v>
      </c>
      <c r="C367" s="34" t="str">
        <f>IFERROR(IF('Pré Implantação'!B367="Produção TI",AVERAGE('Pós Implantação'!D367,'Pós Implantação'!E367,'Pós Implantação'!L367,'Pós Implantação'!H367),AVERAGE('Pré Implantação'!E367,'Pré Implantação'!H367)),"")</f>
        <v/>
      </c>
      <c r="D367" s="34" t="str">
        <f>IFERROR(IF('Pós Implantação'!B367="CSC Service Desk",AVERAGE('Pós Implantação'!D367,'Pós Implantação'!L367,'Pós Implantação'!F367),AVERAGE('Pós Implantação'!F367)),"")</f>
        <v/>
      </c>
      <c r="E367" s="34" t="str">
        <f>IFERROR(IF('Pós Implantação'!B367="CSC NOC",AVERAGE('Pós Implantação'!D367,'Pós Implantação'!L367,'Pós Implantação'!G367),AVERAGE('Pós Implantação'!G367)),"")</f>
        <v/>
      </c>
      <c r="F367" s="34" t="str">
        <f>IFERROR(IF('Pós Implantação'!B367="CSE Gravadores",AVERAGE('Pós Implantação'!D367,'Pós Implantação'!L367,'Pós Implantação'!I367),AVERAGE('Pós Implantação'!I367)),"")</f>
        <v/>
      </c>
      <c r="G367" s="34" t="str">
        <f>IFERROR(IF('Pós Implantação'!B367="CSC",AVERAGE('Pós Implantação'!D367,'Pós Implantação'!L367,'Pós Implantação'!J367),AVERAGE('Pós Implantação'!J367)),"")</f>
        <v/>
      </c>
      <c r="H367" s="34" t="str">
        <f>IFERROR(IF('Pós Implantação'!B367="Operações \ Negócio",AVERAGE('Pós Implantação'!D367,'Pós Implantação'!L367,'Pós Implantação'!K367),AVERAGE('Pós Implantação'!K367)),"")</f>
        <v/>
      </c>
      <c r="I367" s="34" t="str">
        <f>IFERROR(IF('Pós Implantação'!B367="Projetos",AVERAGE('Pós Implantação'!D367,'Pós Implantação'!L367,'Pós Implantação'!M367),AVERAGE('Pós Implantação'!M367)),"")</f>
        <v/>
      </c>
      <c r="J367" s="34" t="str">
        <f>IFERROR(IF('Pós Implantação'!B367="Engenharia",AVERAGE('Pós Implantação'!D367,'Pós Implantação'!L367,'Pós Implantação'!N367),AVERAGE('Pós Implantação'!N367)),"")</f>
        <v/>
      </c>
      <c r="K367" s="34" t="str">
        <f>IFERROR(IF('Pós Implantação'!B367="URA",AVERAGE('Pós Implantação'!D367,'Pós Implantação'!L367),""),"")</f>
        <v/>
      </c>
      <c r="L367" s="34" t="str">
        <f>IFERROR(IF('Pós Implantação'!B367="CSE Microsoft",AVERAGE('Pós Implantação'!D367,'Pós Implantação'!L367),""),"")</f>
        <v/>
      </c>
      <c r="M367" s="34" t="str">
        <f>IFERROR(IF('Pós Implantação'!B367="CSE Telecom",AVERAGE('Pós Implantação'!D367,'Pós Implantação'!L367),""),"")</f>
        <v/>
      </c>
      <c r="N367" s="34" t="str">
        <f>IFERROR(IF('Pós Implantação'!B367="Site Suporte de Campo",AVERAGE('Pós Implantação'!D367,'Pós Implantação'!L367),""),"")</f>
        <v/>
      </c>
      <c r="O367" s="49" t="str">
        <f>IFERROR(IF('Pós Implantação'!B367="Infraestrutura",AVERAGE('Pós Implantação'!D367,'Pós Implantação'!L367),""),"")</f>
        <v/>
      </c>
    </row>
    <row r="368" spans="1:15" x14ac:dyDescent="0.3">
      <c r="A368" s="33">
        <f>'Pré Implantação'!A368</f>
        <v>0</v>
      </c>
      <c r="B368" s="36" t="str">
        <f>'Pós Implantação'!C368</f>
        <v>0</v>
      </c>
      <c r="C368" s="34" t="str">
        <f>IFERROR(IF('Pré Implantação'!B368="Produção TI",AVERAGE('Pós Implantação'!D368,'Pós Implantação'!E368,'Pós Implantação'!L368,'Pós Implantação'!H368),AVERAGE('Pré Implantação'!E368,'Pré Implantação'!H368)),"")</f>
        <v/>
      </c>
      <c r="D368" s="34" t="str">
        <f>IFERROR(IF('Pós Implantação'!B368="CSC Service Desk",AVERAGE('Pós Implantação'!D368,'Pós Implantação'!L368,'Pós Implantação'!F368),AVERAGE('Pós Implantação'!F368)),"")</f>
        <v/>
      </c>
      <c r="E368" s="34" t="str">
        <f>IFERROR(IF('Pós Implantação'!B368="CSC NOC",AVERAGE('Pós Implantação'!D368,'Pós Implantação'!L368,'Pós Implantação'!G368),AVERAGE('Pós Implantação'!G368)),"")</f>
        <v/>
      </c>
      <c r="F368" s="34" t="str">
        <f>IFERROR(IF('Pós Implantação'!B368="CSE Gravadores",AVERAGE('Pós Implantação'!D368,'Pós Implantação'!L368,'Pós Implantação'!I368),AVERAGE('Pós Implantação'!I368)),"")</f>
        <v/>
      </c>
      <c r="G368" s="34" t="str">
        <f>IFERROR(IF('Pós Implantação'!B368="CSC",AVERAGE('Pós Implantação'!D368,'Pós Implantação'!L368,'Pós Implantação'!J368),AVERAGE('Pós Implantação'!J368)),"")</f>
        <v/>
      </c>
      <c r="H368" s="34" t="str">
        <f>IFERROR(IF('Pós Implantação'!B368="Operações \ Negócio",AVERAGE('Pós Implantação'!D368,'Pós Implantação'!L368,'Pós Implantação'!K368),AVERAGE('Pós Implantação'!K368)),"")</f>
        <v/>
      </c>
      <c r="I368" s="34" t="str">
        <f>IFERROR(IF('Pós Implantação'!B368="Projetos",AVERAGE('Pós Implantação'!D368,'Pós Implantação'!L368,'Pós Implantação'!M368),AVERAGE('Pós Implantação'!M368)),"")</f>
        <v/>
      </c>
      <c r="J368" s="34" t="str">
        <f>IFERROR(IF('Pós Implantação'!B368="Engenharia",AVERAGE('Pós Implantação'!D368,'Pós Implantação'!L368,'Pós Implantação'!N368),AVERAGE('Pós Implantação'!N368)),"")</f>
        <v/>
      </c>
      <c r="K368" s="34" t="str">
        <f>IFERROR(IF('Pós Implantação'!B368="URA",AVERAGE('Pós Implantação'!D368,'Pós Implantação'!L368),""),"")</f>
        <v/>
      </c>
      <c r="L368" s="34" t="str">
        <f>IFERROR(IF('Pós Implantação'!B368="CSE Microsoft",AVERAGE('Pós Implantação'!D368,'Pós Implantação'!L368),""),"")</f>
        <v/>
      </c>
      <c r="M368" s="34" t="str">
        <f>IFERROR(IF('Pós Implantação'!B368="CSE Telecom",AVERAGE('Pós Implantação'!D368,'Pós Implantação'!L368),""),"")</f>
        <v/>
      </c>
      <c r="N368" s="34" t="str">
        <f>IFERROR(IF('Pós Implantação'!B368="Site Suporte de Campo",AVERAGE('Pós Implantação'!D368,'Pós Implantação'!L368),""),"")</f>
        <v/>
      </c>
      <c r="O368" s="49" t="str">
        <f>IFERROR(IF('Pós Implantação'!B368="Infraestrutura",AVERAGE('Pós Implantação'!D368,'Pós Implantação'!L368),""),"")</f>
        <v/>
      </c>
    </row>
    <row r="369" spans="1:15" x14ac:dyDescent="0.3">
      <c r="A369" s="33">
        <f>'Pré Implantação'!A369</f>
        <v>0</v>
      </c>
      <c r="B369" s="36" t="str">
        <f>'Pós Implantação'!C369</f>
        <v>0</v>
      </c>
      <c r="C369" s="34" t="str">
        <f>IFERROR(IF('Pré Implantação'!B369="Produção TI",AVERAGE('Pós Implantação'!D369,'Pós Implantação'!E369,'Pós Implantação'!L369,'Pós Implantação'!H369),AVERAGE('Pré Implantação'!E369,'Pré Implantação'!H369)),"")</f>
        <v/>
      </c>
      <c r="D369" s="34" t="str">
        <f>IFERROR(IF('Pós Implantação'!B369="CSC Service Desk",AVERAGE('Pós Implantação'!D369,'Pós Implantação'!L369,'Pós Implantação'!F369),AVERAGE('Pós Implantação'!F369)),"")</f>
        <v/>
      </c>
      <c r="E369" s="34" t="str">
        <f>IFERROR(IF('Pós Implantação'!B369="CSC NOC",AVERAGE('Pós Implantação'!D369,'Pós Implantação'!L369,'Pós Implantação'!G369),AVERAGE('Pós Implantação'!G369)),"")</f>
        <v/>
      </c>
      <c r="F369" s="34" t="str">
        <f>IFERROR(IF('Pós Implantação'!B369="CSE Gravadores",AVERAGE('Pós Implantação'!D369,'Pós Implantação'!L369,'Pós Implantação'!I369),AVERAGE('Pós Implantação'!I369)),"")</f>
        <v/>
      </c>
      <c r="G369" s="34" t="str">
        <f>IFERROR(IF('Pós Implantação'!B369="CSC",AVERAGE('Pós Implantação'!D369,'Pós Implantação'!L369,'Pós Implantação'!J369),AVERAGE('Pós Implantação'!J369)),"")</f>
        <v/>
      </c>
      <c r="H369" s="34" t="str">
        <f>IFERROR(IF('Pós Implantação'!B369="Operações \ Negócio",AVERAGE('Pós Implantação'!D369,'Pós Implantação'!L369,'Pós Implantação'!K369),AVERAGE('Pós Implantação'!K369)),"")</f>
        <v/>
      </c>
      <c r="I369" s="34" t="str">
        <f>IFERROR(IF('Pós Implantação'!B369="Projetos",AVERAGE('Pós Implantação'!D369,'Pós Implantação'!L369,'Pós Implantação'!M369),AVERAGE('Pós Implantação'!M369)),"")</f>
        <v/>
      </c>
      <c r="J369" s="34" t="str">
        <f>IFERROR(IF('Pós Implantação'!B369="Engenharia",AVERAGE('Pós Implantação'!D369,'Pós Implantação'!L369,'Pós Implantação'!N369),AVERAGE('Pós Implantação'!N369)),"")</f>
        <v/>
      </c>
      <c r="K369" s="34" t="str">
        <f>IFERROR(IF('Pós Implantação'!B369="URA",AVERAGE('Pós Implantação'!D369,'Pós Implantação'!L369),""),"")</f>
        <v/>
      </c>
      <c r="L369" s="34" t="str">
        <f>IFERROR(IF('Pós Implantação'!B369="CSE Microsoft",AVERAGE('Pós Implantação'!D369,'Pós Implantação'!L369),""),"")</f>
        <v/>
      </c>
      <c r="M369" s="34" t="str">
        <f>IFERROR(IF('Pós Implantação'!B369="CSE Telecom",AVERAGE('Pós Implantação'!D369,'Pós Implantação'!L369),""),"")</f>
        <v/>
      </c>
      <c r="N369" s="34" t="str">
        <f>IFERROR(IF('Pós Implantação'!B369="Site Suporte de Campo",AVERAGE('Pós Implantação'!D369,'Pós Implantação'!L369),""),"")</f>
        <v/>
      </c>
      <c r="O369" s="49" t="str">
        <f>IFERROR(IF('Pós Implantação'!B369="Infraestrutura",AVERAGE('Pós Implantação'!D369,'Pós Implantação'!L369),""),"")</f>
        <v/>
      </c>
    </row>
    <row r="370" spans="1:15" x14ac:dyDescent="0.3">
      <c r="A370" s="33">
        <f>'Pré Implantação'!A370</f>
        <v>0</v>
      </c>
      <c r="B370" s="36" t="str">
        <f>'Pós Implantação'!C370</f>
        <v>0</v>
      </c>
      <c r="C370" s="34" t="str">
        <f>IFERROR(IF('Pré Implantação'!B370="Produção TI",AVERAGE('Pós Implantação'!D370,'Pós Implantação'!E370,'Pós Implantação'!L370,'Pós Implantação'!H370),AVERAGE('Pré Implantação'!E370,'Pré Implantação'!H370)),"")</f>
        <v/>
      </c>
      <c r="D370" s="34" t="str">
        <f>IFERROR(IF('Pós Implantação'!B370="CSC Service Desk",AVERAGE('Pós Implantação'!D370,'Pós Implantação'!L370,'Pós Implantação'!F370),AVERAGE('Pós Implantação'!F370)),"")</f>
        <v/>
      </c>
      <c r="E370" s="34" t="str">
        <f>IFERROR(IF('Pós Implantação'!B370="CSC NOC",AVERAGE('Pós Implantação'!D370,'Pós Implantação'!L370,'Pós Implantação'!G370),AVERAGE('Pós Implantação'!G370)),"")</f>
        <v/>
      </c>
      <c r="F370" s="34" t="str">
        <f>IFERROR(IF('Pós Implantação'!B370="CSE Gravadores",AVERAGE('Pós Implantação'!D370,'Pós Implantação'!L370,'Pós Implantação'!I370),AVERAGE('Pós Implantação'!I370)),"")</f>
        <v/>
      </c>
      <c r="G370" s="34" t="str">
        <f>IFERROR(IF('Pós Implantação'!B370="CSC",AVERAGE('Pós Implantação'!D370,'Pós Implantação'!L370,'Pós Implantação'!J370),AVERAGE('Pós Implantação'!J370)),"")</f>
        <v/>
      </c>
      <c r="H370" s="34" t="str">
        <f>IFERROR(IF('Pós Implantação'!B370="Operações \ Negócio",AVERAGE('Pós Implantação'!D370,'Pós Implantação'!L370,'Pós Implantação'!K370),AVERAGE('Pós Implantação'!K370)),"")</f>
        <v/>
      </c>
      <c r="I370" s="34" t="str">
        <f>IFERROR(IF('Pós Implantação'!B370="Projetos",AVERAGE('Pós Implantação'!D370,'Pós Implantação'!L370,'Pós Implantação'!M370),AVERAGE('Pós Implantação'!M370)),"")</f>
        <v/>
      </c>
      <c r="J370" s="34" t="str">
        <f>IFERROR(IF('Pós Implantação'!B370="Engenharia",AVERAGE('Pós Implantação'!D370,'Pós Implantação'!L370,'Pós Implantação'!N370),AVERAGE('Pós Implantação'!N370)),"")</f>
        <v/>
      </c>
      <c r="K370" s="34" t="str">
        <f>IFERROR(IF('Pós Implantação'!B370="URA",AVERAGE('Pós Implantação'!D370,'Pós Implantação'!L370),""),"")</f>
        <v/>
      </c>
      <c r="L370" s="34" t="str">
        <f>IFERROR(IF('Pós Implantação'!B370="CSE Microsoft",AVERAGE('Pós Implantação'!D370,'Pós Implantação'!L370),""),"")</f>
        <v/>
      </c>
      <c r="M370" s="34" t="str">
        <f>IFERROR(IF('Pós Implantação'!B370="CSE Telecom",AVERAGE('Pós Implantação'!D370,'Pós Implantação'!L370),""),"")</f>
        <v/>
      </c>
      <c r="N370" s="34" t="str">
        <f>IFERROR(IF('Pós Implantação'!B370="Site Suporte de Campo",AVERAGE('Pós Implantação'!D370,'Pós Implantação'!L370),""),"")</f>
        <v/>
      </c>
      <c r="O370" s="49" t="str">
        <f>IFERROR(IF('Pós Implantação'!B370="Infraestrutura",AVERAGE('Pós Implantação'!D370,'Pós Implantação'!L370),""),"")</f>
        <v/>
      </c>
    </row>
    <row r="371" spans="1:15" x14ac:dyDescent="0.3">
      <c r="A371" s="33">
        <f>'Pré Implantação'!A371</f>
        <v>0</v>
      </c>
      <c r="B371" s="36" t="str">
        <f>'Pós Implantação'!C371</f>
        <v>0</v>
      </c>
      <c r="C371" s="34" t="str">
        <f>IFERROR(IF('Pré Implantação'!B371="Produção TI",AVERAGE('Pós Implantação'!D371,'Pós Implantação'!E371,'Pós Implantação'!L371,'Pós Implantação'!H371),AVERAGE('Pré Implantação'!E371,'Pré Implantação'!H371)),"")</f>
        <v/>
      </c>
      <c r="D371" s="34" t="str">
        <f>IFERROR(IF('Pós Implantação'!B371="CSC Service Desk",AVERAGE('Pós Implantação'!D371,'Pós Implantação'!L371,'Pós Implantação'!F371),AVERAGE('Pós Implantação'!F371)),"")</f>
        <v/>
      </c>
      <c r="E371" s="34" t="str">
        <f>IFERROR(IF('Pós Implantação'!B371="CSC NOC",AVERAGE('Pós Implantação'!D371,'Pós Implantação'!L371,'Pós Implantação'!G371),AVERAGE('Pós Implantação'!G371)),"")</f>
        <v/>
      </c>
      <c r="F371" s="34" t="str">
        <f>IFERROR(IF('Pós Implantação'!B371="CSE Gravadores",AVERAGE('Pós Implantação'!D371,'Pós Implantação'!L371,'Pós Implantação'!I371),AVERAGE('Pós Implantação'!I371)),"")</f>
        <v/>
      </c>
      <c r="G371" s="34" t="str">
        <f>IFERROR(IF('Pós Implantação'!B371="CSC",AVERAGE('Pós Implantação'!D371,'Pós Implantação'!L371,'Pós Implantação'!J371),AVERAGE('Pós Implantação'!J371)),"")</f>
        <v/>
      </c>
      <c r="H371" s="34" t="str">
        <f>IFERROR(IF('Pós Implantação'!B371="Operações \ Negócio",AVERAGE('Pós Implantação'!D371,'Pós Implantação'!L371,'Pós Implantação'!K371),AVERAGE('Pós Implantação'!K371)),"")</f>
        <v/>
      </c>
      <c r="I371" s="34" t="str">
        <f>IFERROR(IF('Pós Implantação'!B371="Projetos",AVERAGE('Pós Implantação'!D371,'Pós Implantação'!L371,'Pós Implantação'!M371),AVERAGE('Pós Implantação'!M371)),"")</f>
        <v/>
      </c>
      <c r="J371" s="34" t="str">
        <f>IFERROR(IF('Pós Implantação'!B371="Engenharia",AVERAGE('Pós Implantação'!D371,'Pós Implantação'!L371,'Pós Implantação'!N371),AVERAGE('Pós Implantação'!N371)),"")</f>
        <v/>
      </c>
      <c r="K371" s="34" t="str">
        <f>IFERROR(IF('Pós Implantação'!B371="URA",AVERAGE('Pós Implantação'!D371,'Pós Implantação'!L371),""),"")</f>
        <v/>
      </c>
      <c r="L371" s="34" t="str">
        <f>IFERROR(IF('Pós Implantação'!B371="CSE Microsoft",AVERAGE('Pós Implantação'!D371,'Pós Implantação'!L371),""),"")</f>
        <v/>
      </c>
      <c r="M371" s="34" t="str">
        <f>IFERROR(IF('Pós Implantação'!B371="CSE Telecom",AVERAGE('Pós Implantação'!D371,'Pós Implantação'!L371),""),"")</f>
        <v/>
      </c>
      <c r="N371" s="34" t="str">
        <f>IFERROR(IF('Pós Implantação'!B371="Site Suporte de Campo",AVERAGE('Pós Implantação'!D371,'Pós Implantação'!L371),""),"")</f>
        <v/>
      </c>
      <c r="O371" s="49" t="str">
        <f>IFERROR(IF('Pós Implantação'!B371="Infraestrutura",AVERAGE('Pós Implantação'!D371,'Pós Implantação'!L371),""),"")</f>
        <v/>
      </c>
    </row>
    <row r="372" spans="1:15" x14ac:dyDescent="0.3">
      <c r="A372" s="33">
        <f>'Pré Implantação'!A372</f>
        <v>0</v>
      </c>
      <c r="B372" s="36" t="str">
        <f>'Pós Implantação'!C372</f>
        <v>0</v>
      </c>
      <c r="C372" s="34" t="str">
        <f>IFERROR(IF('Pré Implantação'!B372="Produção TI",AVERAGE('Pós Implantação'!D372,'Pós Implantação'!E372,'Pós Implantação'!L372,'Pós Implantação'!H372),AVERAGE('Pré Implantação'!E372,'Pré Implantação'!H372)),"")</f>
        <v/>
      </c>
      <c r="D372" s="34" t="str">
        <f>IFERROR(IF('Pós Implantação'!B372="CSC Service Desk",AVERAGE('Pós Implantação'!D372,'Pós Implantação'!L372,'Pós Implantação'!F372),AVERAGE('Pós Implantação'!F372)),"")</f>
        <v/>
      </c>
      <c r="E372" s="34" t="str">
        <f>IFERROR(IF('Pós Implantação'!B372="CSC NOC",AVERAGE('Pós Implantação'!D372,'Pós Implantação'!L372,'Pós Implantação'!G372),AVERAGE('Pós Implantação'!G372)),"")</f>
        <v/>
      </c>
      <c r="F372" s="34" t="str">
        <f>IFERROR(IF('Pós Implantação'!B372="CSE Gravadores",AVERAGE('Pós Implantação'!D372,'Pós Implantação'!L372,'Pós Implantação'!I372),AVERAGE('Pós Implantação'!I372)),"")</f>
        <v/>
      </c>
      <c r="G372" s="34" t="str">
        <f>IFERROR(IF('Pós Implantação'!B372="CSC",AVERAGE('Pós Implantação'!D372,'Pós Implantação'!L372,'Pós Implantação'!J372),AVERAGE('Pós Implantação'!J372)),"")</f>
        <v/>
      </c>
      <c r="H372" s="34" t="str">
        <f>IFERROR(IF('Pós Implantação'!B372="Operações \ Negócio",AVERAGE('Pós Implantação'!D372,'Pós Implantação'!L372,'Pós Implantação'!K372),AVERAGE('Pós Implantação'!K372)),"")</f>
        <v/>
      </c>
      <c r="I372" s="34" t="str">
        <f>IFERROR(IF('Pós Implantação'!B372="Projetos",AVERAGE('Pós Implantação'!D372,'Pós Implantação'!L372,'Pós Implantação'!M372),AVERAGE('Pós Implantação'!M372)),"")</f>
        <v/>
      </c>
      <c r="J372" s="34" t="str">
        <f>IFERROR(IF('Pós Implantação'!B372="Engenharia",AVERAGE('Pós Implantação'!D372,'Pós Implantação'!L372,'Pós Implantação'!N372),AVERAGE('Pós Implantação'!N372)),"")</f>
        <v/>
      </c>
      <c r="K372" s="34" t="str">
        <f>IFERROR(IF('Pós Implantação'!B372="URA",AVERAGE('Pós Implantação'!D372,'Pós Implantação'!L372),""),"")</f>
        <v/>
      </c>
      <c r="L372" s="34" t="str">
        <f>IFERROR(IF('Pós Implantação'!B372="CSE Microsoft",AVERAGE('Pós Implantação'!D372,'Pós Implantação'!L372),""),"")</f>
        <v/>
      </c>
      <c r="M372" s="34" t="str">
        <f>IFERROR(IF('Pós Implantação'!B372="CSE Telecom",AVERAGE('Pós Implantação'!D372,'Pós Implantação'!L372),""),"")</f>
        <v/>
      </c>
      <c r="N372" s="34" t="str">
        <f>IFERROR(IF('Pós Implantação'!B372="Site Suporte de Campo",AVERAGE('Pós Implantação'!D372,'Pós Implantação'!L372),""),"")</f>
        <v/>
      </c>
      <c r="O372" s="49" t="str">
        <f>IFERROR(IF('Pós Implantação'!B372="Infraestrutura",AVERAGE('Pós Implantação'!D372,'Pós Implantação'!L372),""),"")</f>
        <v/>
      </c>
    </row>
    <row r="373" spans="1:15" x14ac:dyDescent="0.3">
      <c r="A373" s="33">
        <f>'Pré Implantação'!A373</f>
        <v>0</v>
      </c>
      <c r="B373" s="36" t="str">
        <f>'Pós Implantação'!C373</f>
        <v>0</v>
      </c>
      <c r="C373" s="34" t="str">
        <f>IFERROR(IF('Pré Implantação'!B373="Produção TI",AVERAGE('Pós Implantação'!D373,'Pós Implantação'!E373,'Pós Implantação'!L373,'Pós Implantação'!H373),AVERAGE('Pré Implantação'!E373,'Pré Implantação'!H373)),"")</f>
        <v/>
      </c>
      <c r="D373" s="34" t="str">
        <f>IFERROR(IF('Pós Implantação'!B373="CSC Service Desk",AVERAGE('Pós Implantação'!D373,'Pós Implantação'!L373,'Pós Implantação'!F373),AVERAGE('Pós Implantação'!F373)),"")</f>
        <v/>
      </c>
      <c r="E373" s="34" t="str">
        <f>IFERROR(IF('Pós Implantação'!B373="CSC NOC",AVERAGE('Pós Implantação'!D373,'Pós Implantação'!L373,'Pós Implantação'!G373),AVERAGE('Pós Implantação'!G373)),"")</f>
        <v/>
      </c>
      <c r="F373" s="34" t="str">
        <f>IFERROR(IF('Pós Implantação'!B373="CSE Gravadores",AVERAGE('Pós Implantação'!D373,'Pós Implantação'!L373,'Pós Implantação'!I373),AVERAGE('Pós Implantação'!I373)),"")</f>
        <v/>
      </c>
      <c r="G373" s="34" t="str">
        <f>IFERROR(IF('Pós Implantação'!B373="CSC",AVERAGE('Pós Implantação'!D373,'Pós Implantação'!L373,'Pós Implantação'!J373),AVERAGE('Pós Implantação'!J373)),"")</f>
        <v/>
      </c>
      <c r="H373" s="34" t="str">
        <f>IFERROR(IF('Pós Implantação'!B373="Operações \ Negócio",AVERAGE('Pós Implantação'!D373,'Pós Implantação'!L373,'Pós Implantação'!K373),AVERAGE('Pós Implantação'!K373)),"")</f>
        <v/>
      </c>
      <c r="I373" s="34" t="str">
        <f>IFERROR(IF('Pós Implantação'!B373="Projetos",AVERAGE('Pós Implantação'!D373,'Pós Implantação'!L373,'Pós Implantação'!M373),AVERAGE('Pós Implantação'!M373)),"")</f>
        <v/>
      </c>
      <c r="J373" s="34" t="str">
        <f>IFERROR(IF('Pós Implantação'!B373="Engenharia",AVERAGE('Pós Implantação'!D373,'Pós Implantação'!L373,'Pós Implantação'!N373),AVERAGE('Pós Implantação'!N373)),"")</f>
        <v/>
      </c>
      <c r="K373" s="34" t="str">
        <f>IFERROR(IF('Pós Implantação'!B373="URA",AVERAGE('Pós Implantação'!D373,'Pós Implantação'!L373),""),"")</f>
        <v/>
      </c>
      <c r="L373" s="34" t="str">
        <f>IFERROR(IF('Pós Implantação'!B373="CSE Microsoft",AVERAGE('Pós Implantação'!D373,'Pós Implantação'!L373),""),"")</f>
        <v/>
      </c>
      <c r="M373" s="34" t="str">
        <f>IFERROR(IF('Pós Implantação'!B373="CSE Telecom",AVERAGE('Pós Implantação'!D373,'Pós Implantação'!L373),""),"")</f>
        <v/>
      </c>
      <c r="N373" s="34" t="str">
        <f>IFERROR(IF('Pós Implantação'!B373="Site Suporte de Campo",AVERAGE('Pós Implantação'!D373,'Pós Implantação'!L373),""),"")</f>
        <v/>
      </c>
      <c r="O373" s="49" t="str">
        <f>IFERROR(IF('Pós Implantação'!B373="Infraestrutura",AVERAGE('Pós Implantação'!D373,'Pós Implantação'!L373),""),"")</f>
        <v/>
      </c>
    </row>
    <row r="374" spans="1:15" x14ac:dyDescent="0.3">
      <c r="A374" s="33">
        <f>'Pré Implantação'!A374</f>
        <v>0</v>
      </c>
      <c r="B374" s="36" t="str">
        <f>'Pós Implantação'!C374</f>
        <v>0</v>
      </c>
      <c r="C374" s="34" t="str">
        <f>IFERROR(IF('Pré Implantação'!B374="Produção TI",AVERAGE('Pós Implantação'!D374,'Pós Implantação'!E374,'Pós Implantação'!L374,'Pós Implantação'!H374),AVERAGE('Pré Implantação'!E374,'Pré Implantação'!H374)),"")</f>
        <v/>
      </c>
      <c r="D374" s="34" t="str">
        <f>IFERROR(IF('Pós Implantação'!B374="CSC Service Desk",AVERAGE('Pós Implantação'!D374,'Pós Implantação'!L374,'Pós Implantação'!F374),AVERAGE('Pós Implantação'!F374)),"")</f>
        <v/>
      </c>
      <c r="E374" s="34" t="str">
        <f>IFERROR(IF('Pós Implantação'!B374="CSC NOC",AVERAGE('Pós Implantação'!D374,'Pós Implantação'!L374,'Pós Implantação'!G374),AVERAGE('Pós Implantação'!G374)),"")</f>
        <v/>
      </c>
      <c r="F374" s="34" t="str">
        <f>IFERROR(IF('Pós Implantação'!B374="CSE Gravadores",AVERAGE('Pós Implantação'!D374,'Pós Implantação'!L374,'Pós Implantação'!I374),AVERAGE('Pós Implantação'!I374)),"")</f>
        <v/>
      </c>
      <c r="G374" s="34" t="str">
        <f>IFERROR(IF('Pós Implantação'!B374="CSC",AVERAGE('Pós Implantação'!D374,'Pós Implantação'!L374,'Pós Implantação'!J374),AVERAGE('Pós Implantação'!J374)),"")</f>
        <v/>
      </c>
      <c r="H374" s="34" t="str">
        <f>IFERROR(IF('Pós Implantação'!B374="Operações \ Negócio",AVERAGE('Pós Implantação'!D374,'Pós Implantação'!L374,'Pós Implantação'!K374),AVERAGE('Pós Implantação'!K374)),"")</f>
        <v/>
      </c>
      <c r="I374" s="34" t="str">
        <f>IFERROR(IF('Pós Implantação'!B374="Projetos",AVERAGE('Pós Implantação'!D374,'Pós Implantação'!L374,'Pós Implantação'!M374),AVERAGE('Pós Implantação'!M374)),"")</f>
        <v/>
      </c>
      <c r="J374" s="34" t="str">
        <f>IFERROR(IF('Pós Implantação'!B374="Engenharia",AVERAGE('Pós Implantação'!D374,'Pós Implantação'!L374,'Pós Implantação'!N374),AVERAGE('Pós Implantação'!N374)),"")</f>
        <v/>
      </c>
      <c r="K374" s="34" t="str">
        <f>IFERROR(IF('Pós Implantação'!B374="URA",AVERAGE('Pós Implantação'!D374,'Pós Implantação'!L374),""),"")</f>
        <v/>
      </c>
      <c r="L374" s="34" t="str">
        <f>IFERROR(IF('Pós Implantação'!B374="CSE Microsoft",AVERAGE('Pós Implantação'!D374,'Pós Implantação'!L374),""),"")</f>
        <v/>
      </c>
      <c r="M374" s="34" t="str">
        <f>IFERROR(IF('Pós Implantação'!B374="CSE Telecom",AVERAGE('Pós Implantação'!D374,'Pós Implantação'!L374),""),"")</f>
        <v/>
      </c>
      <c r="N374" s="34" t="str">
        <f>IFERROR(IF('Pós Implantação'!B374="Site Suporte de Campo",AVERAGE('Pós Implantação'!D374,'Pós Implantação'!L374),""),"")</f>
        <v/>
      </c>
      <c r="O374" s="49" t="str">
        <f>IFERROR(IF('Pós Implantação'!B374="Infraestrutura",AVERAGE('Pós Implantação'!D374,'Pós Implantação'!L374),""),"")</f>
        <v/>
      </c>
    </row>
    <row r="375" spans="1:15" x14ac:dyDescent="0.3">
      <c r="A375" s="33">
        <f>'Pré Implantação'!A375</f>
        <v>0</v>
      </c>
      <c r="B375" s="36" t="str">
        <f>'Pós Implantação'!C375</f>
        <v>0</v>
      </c>
      <c r="C375" s="34" t="str">
        <f>IFERROR(IF('Pré Implantação'!B375="Produção TI",AVERAGE('Pós Implantação'!D375,'Pós Implantação'!E375,'Pós Implantação'!L375,'Pós Implantação'!H375),AVERAGE('Pré Implantação'!E375,'Pré Implantação'!H375)),"")</f>
        <v/>
      </c>
      <c r="D375" s="34" t="str">
        <f>IFERROR(IF('Pós Implantação'!B375="CSC Service Desk",AVERAGE('Pós Implantação'!D375,'Pós Implantação'!L375,'Pós Implantação'!F375),AVERAGE('Pós Implantação'!F375)),"")</f>
        <v/>
      </c>
      <c r="E375" s="34" t="str">
        <f>IFERROR(IF('Pós Implantação'!B375="CSC NOC",AVERAGE('Pós Implantação'!D375,'Pós Implantação'!L375,'Pós Implantação'!G375),AVERAGE('Pós Implantação'!G375)),"")</f>
        <v/>
      </c>
      <c r="F375" s="34" t="str">
        <f>IFERROR(IF('Pós Implantação'!B375="CSE Gravadores",AVERAGE('Pós Implantação'!D375,'Pós Implantação'!L375,'Pós Implantação'!I375),AVERAGE('Pós Implantação'!I375)),"")</f>
        <v/>
      </c>
      <c r="G375" s="34" t="str">
        <f>IFERROR(IF('Pós Implantação'!B375="CSC",AVERAGE('Pós Implantação'!D375,'Pós Implantação'!L375,'Pós Implantação'!J375),AVERAGE('Pós Implantação'!J375)),"")</f>
        <v/>
      </c>
      <c r="H375" s="34" t="str">
        <f>IFERROR(IF('Pós Implantação'!B375="Operações \ Negócio",AVERAGE('Pós Implantação'!D375,'Pós Implantação'!L375,'Pós Implantação'!K375),AVERAGE('Pós Implantação'!K375)),"")</f>
        <v/>
      </c>
      <c r="I375" s="34" t="str">
        <f>IFERROR(IF('Pós Implantação'!B375="Projetos",AVERAGE('Pós Implantação'!D375,'Pós Implantação'!L375,'Pós Implantação'!M375),AVERAGE('Pós Implantação'!M375)),"")</f>
        <v/>
      </c>
      <c r="J375" s="34" t="str">
        <f>IFERROR(IF('Pós Implantação'!B375="Engenharia",AVERAGE('Pós Implantação'!D375,'Pós Implantação'!L375,'Pós Implantação'!N375),AVERAGE('Pós Implantação'!N375)),"")</f>
        <v/>
      </c>
      <c r="K375" s="34" t="str">
        <f>IFERROR(IF('Pós Implantação'!B375="URA",AVERAGE('Pós Implantação'!D375,'Pós Implantação'!L375),""),"")</f>
        <v/>
      </c>
      <c r="L375" s="34" t="str">
        <f>IFERROR(IF('Pós Implantação'!B375="CSE Microsoft",AVERAGE('Pós Implantação'!D375,'Pós Implantação'!L375),""),"")</f>
        <v/>
      </c>
      <c r="M375" s="34" t="str">
        <f>IFERROR(IF('Pós Implantação'!B375="CSE Telecom",AVERAGE('Pós Implantação'!D375,'Pós Implantação'!L375),""),"")</f>
        <v/>
      </c>
      <c r="N375" s="34" t="str">
        <f>IFERROR(IF('Pós Implantação'!B375="Site Suporte de Campo",AVERAGE('Pós Implantação'!D375,'Pós Implantação'!L375),""),"")</f>
        <v/>
      </c>
      <c r="O375" s="49" t="str">
        <f>IFERROR(IF('Pós Implantação'!B375="Infraestrutura",AVERAGE('Pós Implantação'!D375,'Pós Implantação'!L375),""),"")</f>
        <v/>
      </c>
    </row>
    <row r="376" spans="1:15" x14ac:dyDescent="0.3">
      <c r="A376" s="33">
        <f>'Pré Implantação'!A376</f>
        <v>0</v>
      </c>
      <c r="B376" s="36" t="str">
        <f>'Pós Implantação'!C376</f>
        <v>0</v>
      </c>
      <c r="C376" s="34" t="str">
        <f>IFERROR(IF('Pré Implantação'!B376="Produção TI",AVERAGE('Pós Implantação'!D376,'Pós Implantação'!E376,'Pós Implantação'!L376,'Pós Implantação'!H376),AVERAGE('Pré Implantação'!E376,'Pré Implantação'!H376)),"")</f>
        <v/>
      </c>
      <c r="D376" s="34" t="str">
        <f>IFERROR(IF('Pós Implantação'!B376="CSC Service Desk",AVERAGE('Pós Implantação'!D376,'Pós Implantação'!L376,'Pós Implantação'!F376),AVERAGE('Pós Implantação'!F376)),"")</f>
        <v/>
      </c>
      <c r="E376" s="34" t="str">
        <f>IFERROR(IF('Pós Implantação'!B376="CSC NOC",AVERAGE('Pós Implantação'!D376,'Pós Implantação'!L376,'Pós Implantação'!G376),AVERAGE('Pós Implantação'!G376)),"")</f>
        <v/>
      </c>
      <c r="F376" s="34" t="str">
        <f>IFERROR(IF('Pós Implantação'!B376="CSE Gravadores",AVERAGE('Pós Implantação'!D376,'Pós Implantação'!L376,'Pós Implantação'!I376),AVERAGE('Pós Implantação'!I376)),"")</f>
        <v/>
      </c>
      <c r="G376" s="34" t="str">
        <f>IFERROR(IF('Pós Implantação'!B376="CSC",AVERAGE('Pós Implantação'!D376,'Pós Implantação'!L376,'Pós Implantação'!J376),AVERAGE('Pós Implantação'!J376)),"")</f>
        <v/>
      </c>
      <c r="H376" s="34" t="str">
        <f>IFERROR(IF('Pós Implantação'!B376="Operações \ Negócio",AVERAGE('Pós Implantação'!D376,'Pós Implantação'!L376,'Pós Implantação'!K376),AVERAGE('Pós Implantação'!K376)),"")</f>
        <v/>
      </c>
      <c r="I376" s="34" t="str">
        <f>IFERROR(IF('Pós Implantação'!B376="Projetos",AVERAGE('Pós Implantação'!D376,'Pós Implantação'!L376,'Pós Implantação'!M376),AVERAGE('Pós Implantação'!M376)),"")</f>
        <v/>
      </c>
      <c r="J376" s="34" t="str">
        <f>IFERROR(IF('Pós Implantação'!B376="Engenharia",AVERAGE('Pós Implantação'!D376,'Pós Implantação'!L376,'Pós Implantação'!N376),AVERAGE('Pós Implantação'!N376)),"")</f>
        <v/>
      </c>
      <c r="K376" s="34" t="str">
        <f>IFERROR(IF('Pós Implantação'!B376="URA",AVERAGE('Pós Implantação'!D376,'Pós Implantação'!L376),""),"")</f>
        <v/>
      </c>
      <c r="L376" s="34" t="str">
        <f>IFERROR(IF('Pós Implantação'!B376="CSE Microsoft",AVERAGE('Pós Implantação'!D376,'Pós Implantação'!L376),""),"")</f>
        <v/>
      </c>
      <c r="M376" s="34" t="str">
        <f>IFERROR(IF('Pós Implantação'!B376="CSE Telecom",AVERAGE('Pós Implantação'!D376,'Pós Implantação'!L376),""),"")</f>
        <v/>
      </c>
      <c r="N376" s="34" t="str">
        <f>IFERROR(IF('Pós Implantação'!B376="Site Suporte de Campo",AVERAGE('Pós Implantação'!D376,'Pós Implantação'!L376),""),"")</f>
        <v/>
      </c>
      <c r="O376" s="49" t="str">
        <f>IFERROR(IF('Pós Implantação'!B376="Infraestrutura",AVERAGE('Pós Implantação'!D376,'Pós Implantação'!L376),""),"")</f>
        <v/>
      </c>
    </row>
    <row r="377" spans="1:15" x14ac:dyDescent="0.3">
      <c r="A377" s="33">
        <f>'Pré Implantação'!A377</f>
        <v>0</v>
      </c>
      <c r="B377" s="36" t="str">
        <f>'Pós Implantação'!C377</f>
        <v>0</v>
      </c>
      <c r="C377" s="34" t="str">
        <f>IFERROR(IF('Pré Implantação'!B377="Produção TI",AVERAGE('Pós Implantação'!D377,'Pós Implantação'!E377,'Pós Implantação'!L377,'Pós Implantação'!H377),AVERAGE('Pré Implantação'!E377,'Pré Implantação'!H377)),"")</f>
        <v/>
      </c>
      <c r="D377" s="34" t="str">
        <f>IFERROR(IF('Pós Implantação'!B377="CSC Service Desk",AVERAGE('Pós Implantação'!D377,'Pós Implantação'!L377,'Pós Implantação'!F377),AVERAGE('Pós Implantação'!F377)),"")</f>
        <v/>
      </c>
      <c r="E377" s="34" t="str">
        <f>IFERROR(IF('Pós Implantação'!B377="CSC NOC",AVERAGE('Pós Implantação'!D377,'Pós Implantação'!L377,'Pós Implantação'!G377),AVERAGE('Pós Implantação'!G377)),"")</f>
        <v/>
      </c>
      <c r="F377" s="34" t="str">
        <f>IFERROR(IF('Pós Implantação'!B377="CSE Gravadores",AVERAGE('Pós Implantação'!D377,'Pós Implantação'!L377,'Pós Implantação'!I377),AVERAGE('Pós Implantação'!I377)),"")</f>
        <v/>
      </c>
      <c r="G377" s="34" t="str">
        <f>IFERROR(IF('Pós Implantação'!B377="CSC",AVERAGE('Pós Implantação'!D377,'Pós Implantação'!L377,'Pós Implantação'!J377),AVERAGE('Pós Implantação'!J377)),"")</f>
        <v/>
      </c>
      <c r="H377" s="34" t="str">
        <f>IFERROR(IF('Pós Implantação'!B377="Operações \ Negócio",AVERAGE('Pós Implantação'!D377,'Pós Implantação'!L377,'Pós Implantação'!K377),AVERAGE('Pós Implantação'!K377)),"")</f>
        <v/>
      </c>
      <c r="I377" s="34" t="str">
        <f>IFERROR(IF('Pós Implantação'!B377="Projetos",AVERAGE('Pós Implantação'!D377,'Pós Implantação'!L377,'Pós Implantação'!M377),AVERAGE('Pós Implantação'!M377)),"")</f>
        <v/>
      </c>
      <c r="J377" s="34" t="str">
        <f>IFERROR(IF('Pós Implantação'!B377="Engenharia",AVERAGE('Pós Implantação'!D377,'Pós Implantação'!L377,'Pós Implantação'!N377),AVERAGE('Pós Implantação'!N377)),"")</f>
        <v/>
      </c>
      <c r="K377" s="34" t="str">
        <f>IFERROR(IF('Pós Implantação'!B377="URA",AVERAGE('Pós Implantação'!D377,'Pós Implantação'!L377),""),"")</f>
        <v/>
      </c>
      <c r="L377" s="34" t="str">
        <f>IFERROR(IF('Pós Implantação'!B377="CSE Microsoft",AVERAGE('Pós Implantação'!D377,'Pós Implantação'!L377),""),"")</f>
        <v/>
      </c>
      <c r="M377" s="34" t="str">
        <f>IFERROR(IF('Pós Implantação'!B377="CSE Telecom",AVERAGE('Pós Implantação'!D377,'Pós Implantação'!L377),""),"")</f>
        <v/>
      </c>
      <c r="N377" s="34" t="str">
        <f>IFERROR(IF('Pós Implantação'!B377="Site Suporte de Campo",AVERAGE('Pós Implantação'!D377,'Pós Implantação'!L377),""),"")</f>
        <v/>
      </c>
      <c r="O377" s="49" t="str">
        <f>IFERROR(IF('Pós Implantação'!B377="Infraestrutura",AVERAGE('Pós Implantação'!D377,'Pós Implantação'!L377),""),"")</f>
        <v/>
      </c>
    </row>
    <row r="378" spans="1:15" x14ac:dyDescent="0.3">
      <c r="A378" s="33">
        <f>'Pré Implantação'!A378</f>
        <v>0</v>
      </c>
      <c r="B378" s="36" t="str">
        <f>'Pós Implantação'!C378</f>
        <v>0</v>
      </c>
      <c r="C378" s="34" t="str">
        <f>IFERROR(IF('Pré Implantação'!B378="Produção TI",AVERAGE('Pós Implantação'!D378,'Pós Implantação'!E378,'Pós Implantação'!L378,'Pós Implantação'!H378),AVERAGE('Pré Implantação'!E378,'Pré Implantação'!H378)),"")</f>
        <v/>
      </c>
      <c r="D378" s="34" t="str">
        <f>IFERROR(IF('Pós Implantação'!B378="CSC Service Desk",AVERAGE('Pós Implantação'!D378,'Pós Implantação'!L378,'Pós Implantação'!F378),AVERAGE('Pós Implantação'!F378)),"")</f>
        <v/>
      </c>
      <c r="E378" s="34" t="str">
        <f>IFERROR(IF('Pós Implantação'!B378="CSC NOC",AVERAGE('Pós Implantação'!D378,'Pós Implantação'!L378,'Pós Implantação'!G378),AVERAGE('Pós Implantação'!G378)),"")</f>
        <v/>
      </c>
      <c r="F378" s="34" t="str">
        <f>IFERROR(IF('Pós Implantação'!B378="CSE Gravadores",AVERAGE('Pós Implantação'!D378,'Pós Implantação'!L378,'Pós Implantação'!I378),AVERAGE('Pós Implantação'!I378)),"")</f>
        <v/>
      </c>
      <c r="G378" s="34" t="str">
        <f>IFERROR(IF('Pós Implantação'!B378="CSC",AVERAGE('Pós Implantação'!D378,'Pós Implantação'!L378,'Pós Implantação'!J378),AVERAGE('Pós Implantação'!J378)),"")</f>
        <v/>
      </c>
      <c r="H378" s="34" t="str">
        <f>IFERROR(IF('Pós Implantação'!B378="Operações \ Negócio",AVERAGE('Pós Implantação'!D378,'Pós Implantação'!L378,'Pós Implantação'!K378),AVERAGE('Pós Implantação'!K378)),"")</f>
        <v/>
      </c>
      <c r="I378" s="34" t="str">
        <f>IFERROR(IF('Pós Implantação'!B378="Projetos",AVERAGE('Pós Implantação'!D378,'Pós Implantação'!L378,'Pós Implantação'!M378),AVERAGE('Pós Implantação'!M378)),"")</f>
        <v/>
      </c>
      <c r="J378" s="34" t="str">
        <f>IFERROR(IF('Pós Implantação'!B378="Engenharia",AVERAGE('Pós Implantação'!D378,'Pós Implantação'!L378,'Pós Implantação'!N378),AVERAGE('Pós Implantação'!N378)),"")</f>
        <v/>
      </c>
      <c r="K378" s="34" t="str">
        <f>IFERROR(IF('Pós Implantação'!B378="URA",AVERAGE('Pós Implantação'!D378,'Pós Implantação'!L378),""),"")</f>
        <v/>
      </c>
      <c r="L378" s="34" t="str">
        <f>IFERROR(IF('Pós Implantação'!B378="CSE Microsoft",AVERAGE('Pós Implantação'!D378,'Pós Implantação'!L378),""),"")</f>
        <v/>
      </c>
      <c r="M378" s="34" t="str">
        <f>IFERROR(IF('Pós Implantação'!B378="CSE Telecom",AVERAGE('Pós Implantação'!D378,'Pós Implantação'!L378),""),"")</f>
        <v/>
      </c>
      <c r="N378" s="34" t="str">
        <f>IFERROR(IF('Pós Implantação'!B378="Site Suporte de Campo",AVERAGE('Pós Implantação'!D378,'Pós Implantação'!L378),""),"")</f>
        <v/>
      </c>
      <c r="O378" s="49" t="str">
        <f>IFERROR(IF('Pós Implantação'!B378="Infraestrutura",AVERAGE('Pós Implantação'!D378,'Pós Implantação'!L378),""),"")</f>
        <v/>
      </c>
    </row>
    <row r="379" spans="1:15" x14ac:dyDescent="0.3">
      <c r="A379" s="33">
        <f>'Pré Implantação'!A379</f>
        <v>0</v>
      </c>
      <c r="B379" s="36" t="str">
        <f>'Pós Implantação'!C379</f>
        <v>0</v>
      </c>
      <c r="C379" s="34" t="str">
        <f>IFERROR(IF('Pré Implantação'!B379="Produção TI",AVERAGE('Pós Implantação'!D379,'Pós Implantação'!E379,'Pós Implantação'!L379,'Pós Implantação'!H379),AVERAGE('Pré Implantação'!E379,'Pré Implantação'!H379)),"")</f>
        <v/>
      </c>
      <c r="D379" s="34" t="str">
        <f>IFERROR(IF('Pós Implantação'!B379="CSC Service Desk",AVERAGE('Pós Implantação'!D379,'Pós Implantação'!L379,'Pós Implantação'!F379),AVERAGE('Pós Implantação'!F379)),"")</f>
        <v/>
      </c>
      <c r="E379" s="34" t="str">
        <f>IFERROR(IF('Pós Implantação'!B379="CSC NOC",AVERAGE('Pós Implantação'!D379,'Pós Implantação'!L379,'Pós Implantação'!G379),AVERAGE('Pós Implantação'!G379)),"")</f>
        <v/>
      </c>
      <c r="F379" s="34" t="str">
        <f>IFERROR(IF('Pós Implantação'!B379="CSE Gravadores",AVERAGE('Pós Implantação'!D379,'Pós Implantação'!L379,'Pós Implantação'!I379),AVERAGE('Pós Implantação'!I379)),"")</f>
        <v/>
      </c>
      <c r="G379" s="34" t="str">
        <f>IFERROR(IF('Pós Implantação'!B379="CSC",AVERAGE('Pós Implantação'!D379,'Pós Implantação'!L379,'Pós Implantação'!J379),AVERAGE('Pós Implantação'!J379)),"")</f>
        <v/>
      </c>
      <c r="H379" s="34" t="str">
        <f>IFERROR(IF('Pós Implantação'!B379="Operações \ Negócio",AVERAGE('Pós Implantação'!D379,'Pós Implantação'!L379,'Pós Implantação'!K379),AVERAGE('Pós Implantação'!K379)),"")</f>
        <v/>
      </c>
      <c r="I379" s="34" t="str">
        <f>IFERROR(IF('Pós Implantação'!B379="Projetos",AVERAGE('Pós Implantação'!D379,'Pós Implantação'!L379,'Pós Implantação'!M379),AVERAGE('Pós Implantação'!M379)),"")</f>
        <v/>
      </c>
      <c r="J379" s="34" t="str">
        <f>IFERROR(IF('Pós Implantação'!B379="Engenharia",AVERAGE('Pós Implantação'!D379,'Pós Implantação'!L379,'Pós Implantação'!N379),AVERAGE('Pós Implantação'!N379)),"")</f>
        <v/>
      </c>
      <c r="K379" s="34" t="str">
        <f>IFERROR(IF('Pós Implantação'!B379="URA",AVERAGE('Pós Implantação'!D379,'Pós Implantação'!L379),""),"")</f>
        <v/>
      </c>
      <c r="L379" s="34" t="str">
        <f>IFERROR(IF('Pós Implantação'!B379="CSE Microsoft",AVERAGE('Pós Implantação'!D379,'Pós Implantação'!L379),""),"")</f>
        <v/>
      </c>
      <c r="M379" s="34" t="str">
        <f>IFERROR(IF('Pós Implantação'!B379="CSE Telecom",AVERAGE('Pós Implantação'!D379,'Pós Implantação'!L379),""),"")</f>
        <v/>
      </c>
      <c r="N379" s="34" t="str">
        <f>IFERROR(IF('Pós Implantação'!B379="Site Suporte de Campo",AVERAGE('Pós Implantação'!D379,'Pós Implantação'!L379),""),"")</f>
        <v/>
      </c>
      <c r="O379" s="49" t="str">
        <f>IFERROR(IF('Pós Implantação'!B379="Infraestrutura",AVERAGE('Pós Implantação'!D379,'Pós Implantação'!L379),""),"")</f>
        <v/>
      </c>
    </row>
    <row r="380" spans="1:15" x14ac:dyDescent="0.3">
      <c r="A380" s="33">
        <f>'Pré Implantação'!A380</f>
        <v>0</v>
      </c>
      <c r="B380" s="36" t="str">
        <f>'Pós Implantação'!C380</f>
        <v>0</v>
      </c>
      <c r="C380" s="34" t="str">
        <f>IFERROR(IF('Pré Implantação'!B380="Produção TI",AVERAGE('Pós Implantação'!D380,'Pós Implantação'!E380,'Pós Implantação'!L380,'Pós Implantação'!H380),AVERAGE('Pré Implantação'!E380,'Pré Implantação'!H380)),"")</f>
        <v/>
      </c>
      <c r="D380" s="34" t="str">
        <f>IFERROR(IF('Pós Implantação'!B380="CSC Service Desk",AVERAGE('Pós Implantação'!D380,'Pós Implantação'!L380,'Pós Implantação'!F380),AVERAGE('Pós Implantação'!F380)),"")</f>
        <v/>
      </c>
      <c r="E380" s="34" t="str">
        <f>IFERROR(IF('Pós Implantação'!B380="CSC NOC",AVERAGE('Pós Implantação'!D380,'Pós Implantação'!L380,'Pós Implantação'!G380),AVERAGE('Pós Implantação'!G380)),"")</f>
        <v/>
      </c>
      <c r="F380" s="34" t="str">
        <f>IFERROR(IF('Pós Implantação'!B380="CSE Gravadores",AVERAGE('Pós Implantação'!D380,'Pós Implantação'!L380,'Pós Implantação'!I380),AVERAGE('Pós Implantação'!I380)),"")</f>
        <v/>
      </c>
      <c r="G380" s="34" t="str">
        <f>IFERROR(IF('Pós Implantação'!B380="CSC",AVERAGE('Pós Implantação'!D380,'Pós Implantação'!L380,'Pós Implantação'!J380),AVERAGE('Pós Implantação'!J380)),"")</f>
        <v/>
      </c>
      <c r="H380" s="34" t="str">
        <f>IFERROR(IF('Pós Implantação'!B380="Operações \ Negócio",AVERAGE('Pós Implantação'!D380,'Pós Implantação'!L380,'Pós Implantação'!K380),AVERAGE('Pós Implantação'!K380)),"")</f>
        <v/>
      </c>
      <c r="I380" s="34" t="str">
        <f>IFERROR(IF('Pós Implantação'!B380="Projetos",AVERAGE('Pós Implantação'!D380,'Pós Implantação'!L380,'Pós Implantação'!M380),AVERAGE('Pós Implantação'!M380)),"")</f>
        <v/>
      </c>
      <c r="J380" s="34" t="str">
        <f>IFERROR(IF('Pós Implantação'!B380="Engenharia",AVERAGE('Pós Implantação'!D380,'Pós Implantação'!L380,'Pós Implantação'!N380),AVERAGE('Pós Implantação'!N380)),"")</f>
        <v/>
      </c>
      <c r="K380" s="34" t="str">
        <f>IFERROR(IF('Pós Implantação'!B380="URA",AVERAGE('Pós Implantação'!D380,'Pós Implantação'!L380),""),"")</f>
        <v/>
      </c>
      <c r="L380" s="34" t="str">
        <f>IFERROR(IF('Pós Implantação'!B380="CSE Microsoft",AVERAGE('Pós Implantação'!D380,'Pós Implantação'!L380),""),"")</f>
        <v/>
      </c>
      <c r="M380" s="34" t="str">
        <f>IFERROR(IF('Pós Implantação'!B380="CSE Telecom",AVERAGE('Pós Implantação'!D380,'Pós Implantação'!L380),""),"")</f>
        <v/>
      </c>
      <c r="N380" s="34" t="str">
        <f>IFERROR(IF('Pós Implantação'!B380="Site Suporte de Campo",AVERAGE('Pós Implantação'!D380,'Pós Implantação'!L380),""),"")</f>
        <v/>
      </c>
      <c r="O380" s="49" t="str">
        <f>IFERROR(IF('Pós Implantação'!B380="Infraestrutura",AVERAGE('Pós Implantação'!D380,'Pós Implantação'!L380),""),"")</f>
        <v/>
      </c>
    </row>
    <row r="381" spans="1:15" x14ac:dyDescent="0.3">
      <c r="A381" s="33">
        <f>'Pré Implantação'!A381</f>
        <v>0</v>
      </c>
      <c r="B381" s="36" t="str">
        <f>'Pós Implantação'!C381</f>
        <v>0</v>
      </c>
      <c r="C381" s="34" t="str">
        <f>IFERROR(IF('Pré Implantação'!B381="Produção TI",AVERAGE('Pós Implantação'!D381,'Pós Implantação'!E381,'Pós Implantação'!L381,'Pós Implantação'!H381),AVERAGE('Pré Implantação'!E381,'Pré Implantação'!H381)),"")</f>
        <v/>
      </c>
      <c r="D381" s="34" t="str">
        <f>IFERROR(IF('Pós Implantação'!B381="CSC Service Desk",AVERAGE('Pós Implantação'!D381,'Pós Implantação'!L381,'Pós Implantação'!F381),AVERAGE('Pós Implantação'!F381)),"")</f>
        <v/>
      </c>
      <c r="E381" s="34" t="str">
        <f>IFERROR(IF('Pós Implantação'!B381="CSC NOC",AVERAGE('Pós Implantação'!D381,'Pós Implantação'!L381,'Pós Implantação'!G381),AVERAGE('Pós Implantação'!G381)),"")</f>
        <v/>
      </c>
      <c r="F381" s="34" t="str">
        <f>IFERROR(IF('Pós Implantação'!B381="CSE Gravadores",AVERAGE('Pós Implantação'!D381,'Pós Implantação'!L381,'Pós Implantação'!I381),AVERAGE('Pós Implantação'!I381)),"")</f>
        <v/>
      </c>
      <c r="G381" s="34" t="str">
        <f>IFERROR(IF('Pós Implantação'!B381="CSC",AVERAGE('Pós Implantação'!D381,'Pós Implantação'!L381,'Pós Implantação'!J381),AVERAGE('Pós Implantação'!J381)),"")</f>
        <v/>
      </c>
      <c r="H381" s="34" t="str">
        <f>IFERROR(IF('Pós Implantação'!B381="Operações \ Negócio",AVERAGE('Pós Implantação'!D381,'Pós Implantação'!L381,'Pós Implantação'!K381),AVERAGE('Pós Implantação'!K381)),"")</f>
        <v/>
      </c>
      <c r="I381" s="34" t="str">
        <f>IFERROR(IF('Pós Implantação'!B381="Projetos",AVERAGE('Pós Implantação'!D381,'Pós Implantação'!L381,'Pós Implantação'!M381),AVERAGE('Pós Implantação'!M381)),"")</f>
        <v/>
      </c>
      <c r="J381" s="34" t="str">
        <f>IFERROR(IF('Pós Implantação'!B381="Engenharia",AVERAGE('Pós Implantação'!D381,'Pós Implantação'!L381,'Pós Implantação'!N381),AVERAGE('Pós Implantação'!N381)),"")</f>
        <v/>
      </c>
      <c r="K381" s="34" t="str">
        <f>IFERROR(IF('Pós Implantação'!B381="URA",AVERAGE('Pós Implantação'!D381,'Pós Implantação'!L381),""),"")</f>
        <v/>
      </c>
      <c r="L381" s="34" t="str">
        <f>IFERROR(IF('Pós Implantação'!B381="CSE Microsoft",AVERAGE('Pós Implantação'!D381,'Pós Implantação'!L381),""),"")</f>
        <v/>
      </c>
      <c r="M381" s="34" t="str">
        <f>IFERROR(IF('Pós Implantação'!B381="CSE Telecom",AVERAGE('Pós Implantação'!D381,'Pós Implantação'!L381),""),"")</f>
        <v/>
      </c>
      <c r="N381" s="34" t="str">
        <f>IFERROR(IF('Pós Implantação'!B381="Site Suporte de Campo",AVERAGE('Pós Implantação'!D381,'Pós Implantação'!L381),""),"")</f>
        <v/>
      </c>
      <c r="O381" s="49" t="str">
        <f>IFERROR(IF('Pós Implantação'!B381="Infraestrutura",AVERAGE('Pós Implantação'!D381,'Pós Implantação'!L381),""),"")</f>
        <v/>
      </c>
    </row>
    <row r="382" spans="1:15" x14ac:dyDescent="0.3">
      <c r="A382" s="33">
        <f>'Pré Implantação'!A382</f>
        <v>0</v>
      </c>
      <c r="B382" s="36" t="str">
        <f>'Pós Implantação'!C382</f>
        <v>0</v>
      </c>
      <c r="C382" s="34" t="str">
        <f>IFERROR(IF('Pré Implantação'!B382="Produção TI",AVERAGE('Pós Implantação'!D382,'Pós Implantação'!E382,'Pós Implantação'!L382,'Pós Implantação'!H382),AVERAGE('Pré Implantação'!E382,'Pré Implantação'!H382)),"")</f>
        <v/>
      </c>
      <c r="D382" s="34" t="str">
        <f>IFERROR(IF('Pós Implantação'!B382="CSC Service Desk",AVERAGE('Pós Implantação'!D382,'Pós Implantação'!L382,'Pós Implantação'!F382),AVERAGE('Pós Implantação'!F382)),"")</f>
        <v/>
      </c>
      <c r="E382" s="34" t="str">
        <f>IFERROR(IF('Pós Implantação'!B382="CSC NOC",AVERAGE('Pós Implantação'!D382,'Pós Implantação'!L382,'Pós Implantação'!G382),AVERAGE('Pós Implantação'!G382)),"")</f>
        <v/>
      </c>
      <c r="F382" s="34" t="str">
        <f>IFERROR(IF('Pós Implantação'!B382="CSE Gravadores",AVERAGE('Pós Implantação'!D382,'Pós Implantação'!L382,'Pós Implantação'!I382),AVERAGE('Pós Implantação'!I382)),"")</f>
        <v/>
      </c>
      <c r="G382" s="34" t="str">
        <f>IFERROR(IF('Pós Implantação'!B382="CSC",AVERAGE('Pós Implantação'!D382,'Pós Implantação'!L382,'Pós Implantação'!J382),AVERAGE('Pós Implantação'!J382)),"")</f>
        <v/>
      </c>
      <c r="H382" s="34" t="str">
        <f>IFERROR(IF('Pós Implantação'!B382="Operações \ Negócio",AVERAGE('Pós Implantação'!D382,'Pós Implantação'!L382,'Pós Implantação'!K382),AVERAGE('Pós Implantação'!K382)),"")</f>
        <v/>
      </c>
      <c r="I382" s="34" t="str">
        <f>IFERROR(IF('Pós Implantação'!B382="Projetos",AVERAGE('Pós Implantação'!D382,'Pós Implantação'!L382,'Pós Implantação'!M382),AVERAGE('Pós Implantação'!M382)),"")</f>
        <v/>
      </c>
      <c r="J382" s="34" t="str">
        <f>IFERROR(IF('Pós Implantação'!B382="Engenharia",AVERAGE('Pós Implantação'!D382,'Pós Implantação'!L382,'Pós Implantação'!N382),AVERAGE('Pós Implantação'!N382)),"")</f>
        <v/>
      </c>
      <c r="K382" s="34" t="str">
        <f>IFERROR(IF('Pós Implantação'!B382="URA",AVERAGE('Pós Implantação'!D382,'Pós Implantação'!L382),""),"")</f>
        <v/>
      </c>
      <c r="L382" s="34" t="str">
        <f>IFERROR(IF('Pós Implantação'!B382="CSE Microsoft",AVERAGE('Pós Implantação'!D382,'Pós Implantação'!L382),""),"")</f>
        <v/>
      </c>
      <c r="M382" s="34" t="str">
        <f>IFERROR(IF('Pós Implantação'!B382="CSE Telecom",AVERAGE('Pós Implantação'!D382,'Pós Implantação'!L382),""),"")</f>
        <v/>
      </c>
      <c r="N382" s="34" t="str">
        <f>IFERROR(IF('Pós Implantação'!B382="Site Suporte de Campo",AVERAGE('Pós Implantação'!D382,'Pós Implantação'!L382),""),"")</f>
        <v/>
      </c>
      <c r="O382" s="49" t="str">
        <f>IFERROR(IF('Pós Implantação'!B382="Infraestrutura",AVERAGE('Pós Implantação'!D382,'Pós Implantação'!L382),""),"")</f>
        <v/>
      </c>
    </row>
    <row r="383" spans="1:15" x14ac:dyDescent="0.3">
      <c r="A383" s="33">
        <f>'Pré Implantação'!A383</f>
        <v>0</v>
      </c>
      <c r="B383" s="36" t="str">
        <f>'Pós Implantação'!C383</f>
        <v>0</v>
      </c>
      <c r="C383" s="34" t="str">
        <f>IFERROR(IF('Pré Implantação'!B383="Produção TI",AVERAGE('Pós Implantação'!D383,'Pós Implantação'!E383,'Pós Implantação'!L383,'Pós Implantação'!H383),AVERAGE('Pré Implantação'!E383,'Pré Implantação'!H383)),"")</f>
        <v/>
      </c>
      <c r="D383" s="34" t="str">
        <f>IFERROR(IF('Pós Implantação'!B383="CSC Service Desk",AVERAGE('Pós Implantação'!D383,'Pós Implantação'!L383,'Pós Implantação'!F383),AVERAGE('Pós Implantação'!F383)),"")</f>
        <v/>
      </c>
      <c r="E383" s="34" t="str">
        <f>IFERROR(IF('Pós Implantação'!B383="CSC NOC",AVERAGE('Pós Implantação'!D383,'Pós Implantação'!L383,'Pós Implantação'!G383),AVERAGE('Pós Implantação'!G383)),"")</f>
        <v/>
      </c>
      <c r="F383" s="34" t="str">
        <f>IFERROR(IF('Pós Implantação'!B383="CSE Gravadores",AVERAGE('Pós Implantação'!D383,'Pós Implantação'!L383,'Pós Implantação'!I383),AVERAGE('Pós Implantação'!I383)),"")</f>
        <v/>
      </c>
      <c r="G383" s="34" t="str">
        <f>IFERROR(IF('Pós Implantação'!B383="CSC",AVERAGE('Pós Implantação'!D383,'Pós Implantação'!L383,'Pós Implantação'!J383),AVERAGE('Pós Implantação'!J383)),"")</f>
        <v/>
      </c>
      <c r="H383" s="34" t="str">
        <f>IFERROR(IF('Pós Implantação'!B383="Operações \ Negócio",AVERAGE('Pós Implantação'!D383,'Pós Implantação'!L383,'Pós Implantação'!K383),AVERAGE('Pós Implantação'!K383)),"")</f>
        <v/>
      </c>
      <c r="I383" s="34" t="str">
        <f>IFERROR(IF('Pós Implantação'!B383="Projetos",AVERAGE('Pós Implantação'!D383,'Pós Implantação'!L383,'Pós Implantação'!M383),AVERAGE('Pós Implantação'!M383)),"")</f>
        <v/>
      </c>
      <c r="J383" s="34" t="str">
        <f>IFERROR(IF('Pós Implantação'!B383="Engenharia",AVERAGE('Pós Implantação'!D383,'Pós Implantação'!L383,'Pós Implantação'!N383),AVERAGE('Pós Implantação'!N383)),"")</f>
        <v/>
      </c>
      <c r="K383" s="34" t="str">
        <f>IFERROR(IF('Pós Implantação'!B383="URA",AVERAGE('Pós Implantação'!D383,'Pós Implantação'!L383),""),"")</f>
        <v/>
      </c>
      <c r="L383" s="34" t="str">
        <f>IFERROR(IF('Pós Implantação'!B383="CSE Microsoft",AVERAGE('Pós Implantação'!D383,'Pós Implantação'!L383),""),"")</f>
        <v/>
      </c>
      <c r="M383" s="34" t="str">
        <f>IFERROR(IF('Pós Implantação'!B383="CSE Telecom",AVERAGE('Pós Implantação'!D383,'Pós Implantação'!L383),""),"")</f>
        <v/>
      </c>
      <c r="N383" s="34" t="str">
        <f>IFERROR(IF('Pós Implantação'!B383="Site Suporte de Campo",AVERAGE('Pós Implantação'!D383,'Pós Implantação'!L383),""),"")</f>
        <v/>
      </c>
      <c r="O383" s="49" t="str">
        <f>IFERROR(IF('Pós Implantação'!B383="Infraestrutura",AVERAGE('Pós Implantação'!D383,'Pós Implantação'!L383),""),"")</f>
        <v/>
      </c>
    </row>
    <row r="384" spans="1:15" x14ac:dyDescent="0.3">
      <c r="A384" s="33">
        <f>'Pré Implantação'!A384</f>
        <v>0</v>
      </c>
      <c r="B384" s="36" t="str">
        <f>'Pós Implantação'!C384</f>
        <v>0</v>
      </c>
      <c r="C384" s="34" t="str">
        <f>IFERROR(IF('Pré Implantação'!B384="Produção TI",AVERAGE('Pós Implantação'!D384,'Pós Implantação'!E384,'Pós Implantação'!L384,'Pós Implantação'!H384),AVERAGE('Pré Implantação'!E384,'Pré Implantação'!H384)),"")</f>
        <v/>
      </c>
      <c r="D384" s="34" t="str">
        <f>IFERROR(IF('Pós Implantação'!B384="CSC Service Desk",AVERAGE('Pós Implantação'!D384,'Pós Implantação'!L384,'Pós Implantação'!F384),AVERAGE('Pós Implantação'!F384)),"")</f>
        <v/>
      </c>
      <c r="E384" s="34" t="str">
        <f>IFERROR(IF('Pós Implantação'!B384="CSC NOC",AVERAGE('Pós Implantação'!D384,'Pós Implantação'!L384,'Pós Implantação'!G384),AVERAGE('Pós Implantação'!G384)),"")</f>
        <v/>
      </c>
      <c r="F384" s="34" t="str">
        <f>IFERROR(IF('Pós Implantação'!B384="CSE Gravadores",AVERAGE('Pós Implantação'!D384,'Pós Implantação'!L384,'Pós Implantação'!I384),AVERAGE('Pós Implantação'!I384)),"")</f>
        <v/>
      </c>
      <c r="G384" s="34" t="str">
        <f>IFERROR(IF('Pós Implantação'!B384="CSC",AVERAGE('Pós Implantação'!D384,'Pós Implantação'!L384,'Pós Implantação'!J384),AVERAGE('Pós Implantação'!J384)),"")</f>
        <v/>
      </c>
      <c r="H384" s="34" t="str">
        <f>IFERROR(IF('Pós Implantação'!B384="Operações \ Negócio",AVERAGE('Pós Implantação'!D384,'Pós Implantação'!L384,'Pós Implantação'!K384),AVERAGE('Pós Implantação'!K384)),"")</f>
        <v/>
      </c>
      <c r="I384" s="34" t="str">
        <f>IFERROR(IF('Pós Implantação'!B384="Projetos",AVERAGE('Pós Implantação'!D384,'Pós Implantação'!L384,'Pós Implantação'!M384),AVERAGE('Pós Implantação'!M384)),"")</f>
        <v/>
      </c>
      <c r="J384" s="34" t="str">
        <f>IFERROR(IF('Pós Implantação'!B384="Engenharia",AVERAGE('Pós Implantação'!D384,'Pós Implantação'!L384,'Pós Implantação'!N384),AVERAGE('Pós Implantação'!N384)),"")</f>
        <v/>
      </c>
      <c r="K384" s="34" t="str">
        <f>IFERROR(IF('Pós Implantação'!B384="URA",AVERAGE('Pós Implantação'!D384,'Pós Implantação'!L384),""),"")</f>
        <v/>
      </c>
      <c r="L384" s="34" t="str">
        <f>IFERROR(IF('Pós Implantação'!B384="CSE Microsoft",AVERAGE('Pós Implantação'!D384,'Pós Implantação'!L384),""),"")</f>
        <v/>
      </c>
      <c r="M384" s="34" t="str">
        <f>IFERROR(IF('Pós Implantação'!B384="CSE Telecom",AVERAGE('Pós Implantação'!D384,'Pós Implantação'!L384),""),"")</f>
        <v/>
      </c>
      <c r="N384" s="34" t="str">
        <f>IFERROR(IF('Pós Implantação'!B384="Site Suporte de Campo",AVERAGE('Pós Implantação'!D384,'Pós Implantação'!L384),""),"")</f>
        <v/>
      </c>
      <c r="O384" s="49" t="str">
        <f>IFERROR(IF('Pós Implantação'!B384="Infraestrutura",AVERAGE('Pós Implantação'!D384,'Pós Implantação'!L384),""),"")</f>
        <v/>
      </c>
    </row>
    <row r="385" spans="1:15" x14ac:dyDescent="0.3">
      <c r="A385" s="33">
        <f>'Pré Implantação'!A385</f>
        <v>0</v>
      </c>
      <c r="B385" s="36" t="str">
        <f>'Pós Implantação'!C385</f>
        <v>0</v>
      </c>
      <c r="C385" s="34" t="str">
        <f>IFERROR(IF('Pré Implantação'!B385="Produção TI",AVERAGE('Pós Implantação'!D385,'Pós Implantação'!E385,'Pós Implantação'!L385,'Pós Implantação'!H385),AVERAGE('Pré Implantação'!E385,'Pré Implantação'!H385)),"")</f>
        <v/>
      </c>
      <c r="D385" s="34" t="str">
        <f>IFERROR(IF('Pós Implantação'!B385="CSC Service Desk",AVERAGE('Pós Implantação'!D385,'Pós Implantação'!L385,'Pós Implantação'!F385),AVERAGE('Pós Implantação'!F385)),"")</f>
        <v/>
      </c>
      <c r="E385" s="34" t="str">
        <f>IFERROR(IF('Pós Implantação'!B385="CSC NOC",AVERAGE('Pós Implantação'!D385,'Pós Implantação'!L385,'Pós Implantação'!G385),AVERAGE('Pós Implantação'!G385)),"")</f>
        <v/>
      </c>
      <c r="F385" s="34" t="str">
        <f>IFERROR(IF('Pós Implantação'!B385="CSE Gravadores",AVERAGE('Pós Implantação'!D385,'Pós Implantação'!L385,'Pós Implantação'!I385),AVERAGE('Pós Implantação'!I385)),"")</f>
        <v/>
      </c>
      <c r="G385" s="34" t="str">
        <f>IFERROR(IF('Pós Implantação'!B385="CSC",AVERAGE('Pós Implantação'!D385,'Pós Implantação'!L385,'Pós Implantação'!J385),AVERAGE('Pós Implantação'!J385)),"")</f>
        <v/>
      </c>
      <c r="H385" s="34" t="str">
        <f>IFERROR(IF('Pós Implantação'!B385="Operações \ Negócio",AVERAGE('Pós Implantação'!D385,'Pós Implantação'!L385,'Pós Implantação'!K385),AVERAGE('Pós Implantação'!K385)),"")</f>
        <v/>
      </c>
      <c r="I385" s="34" t="str">
        <f>IFERROR(IF('Pós Implantação'!B385="Projetos",AVERAGE('Pós Implantação'!D385,'Pós Implantação'!L385,'Pós Implantação'!M385),AVERAGE('Pós Implantação'!M385)),"")</f>
        <v/>
      </c>
      <c r="J385" s="34" t="str">
        <f>IFERROR(IF('Pós Implantação'!B385="Engenharia",AVERAGE('Pós Implantação'!D385,'Pós Implantação'!L385,'Pós Implantação'!N385),AVERAGE('Pós Implantação'!N385)),"")</f>
        <v/>
      </c>
      <c r="K385" s="34" t="str">
        <f>IFERROR(IF('Pós Implantação'!B385="URA",AVERAGE('Pós Implantação'!D385,'Pós Implantação'!L385),""),"")</f>
        <v/>
      </c>
      <c r="L385" s="34" t="str">
        <f>IFERROR(IF('Pós Implantação'!B385="CSE Microsoft",AVERAGE('Pós Implantação'!D385,'Pós Implantação'!L385),""),"")</f>
        <v/>
      </c>
      <c r="M385" s="34" t="str">
        <f>IFERROR(IF('Pós Implantação'!B385="CSE Telecom",AVERAGE('Pós Implantação'!D385,'Pós Implantação'!L385),""),"")</f>
        <v/>
      </c>
      <c r="N385" s="34" t="str">
        <f>IFERROR(IF('Pós Implantação'!B385="Site Suporte de Campo",AVERAGE('Pós Implantação'!D385,'Pós Implantação'!L385),""),"")</f>
        <v/>
      </c>
      <c r="O385" s="49" t="str">
        <f>IFERROR(IF('Pós Implantação'!B385="Infraestrutura",AVERAGE('Pós Implantação'!D385,'Pós Implantação'!L385),""),"")</f>
        <v/>
      </c>
    </row>
    <row r="386" spans="1:15" x14ac:dyDescent="0.3">
      <c r="A386" s="33">
        <f>'Pré Implantação'!A386</f>
        <v>0</v>
      </c>
      <c r="B386" s="36" t="str">
        <f>'Pós Implantação'!C386</f>
        <v>0</v>
      </c>
      <c r="C386" s="34" t="str">
        <f>IFERROR(IF('Pré Implantação'!B386="Produção TI",AVERAGE('Pós Implantação'!D386,'Pós Implantação'!E386,'Pós Implantação'!L386,'Pós Implantação'!H386),AVERAGE('Pré Implantação'!E386,'Pré Implantação'!H386)),"")</f>
        <v/>
      </c>
      <c r="D386" s="34" t="str">
        <f>IFERROR(IF('Pós Implantação'!B386="CSC Service Desk",AVERAGE('Pós Implantação'!D386,'Pós Implantação'!L386,'Pós Implantação'!F386),AVERAGE('Pós Implantação'!F386)),"")</f>
        <v/>
      </c>
      <c r="E386" s="34" t="str">
        <f>IFERROR(IF('Pós Implantação'!B386="CSC NOC",AVERAGE('Pós Implantação'!D386,'Pós Implantação'!L386,'Pós Implantação'!G386),AVERAGE('Pós Implantação'!G386)),"")</f>
        <v/>
      </c>
      <c r="F386" s="34" t="str">
        <f>IFERROR(IF('Pós Implantação'!B386="CSE Gravadores",AVERAGE('Pós Implantação'!D386,'Pós Implantação'!L386,'Pós Implantação'!I386),AVERAGE('Pós Implantação'!I386)),"")</f>
        <v/>
      </c>
      <c r="G386" s="34" t="str">
        <f>IFERROR(IF('Pós Implantação'!B386="CSC",AVERAGE('Pós Implantação'!D386,'Pós Implantação'!L386,'Pós Implantação'!J386),AVERAGE('Pós Implantação'!J386)),"")</f>
        <v/>
      </c>
      <c r="H386" s="34" t="str">
        <f>IFERROR(IF('Pós Implantação'!B386="Operações \ Negócio",AVERAGE('Pós Implantação'!D386,'Pós Implantação'!L386,'Pós Implantação'!K386),AVERAGE('Pós Implantação'!K386)),"")</f>
        <v/>
      </c>
      <c r="I386" s="34" t="str">
        <f>IFERROR(IF('Pós Implantação'!B386="Projetos",AVERAGE('Pós Implantação'!D386,'Pós Implantação'!L386,'Pós Implantação'!M386),AVERAGE('Pós Implantação'!M386)),"")</f>
        <v/>
      </c>
      <c r="J386" s="34" t="str">
        <f>IFERROR(IF('Pós Implantação'!B386="Engenharia",AVERAGE('Pós Implantação'!D386,'Pós Implantação'!L386,'Pós Implantação'!N386),AVERAGE('Pós Implantação'!N386)),"")</f>
        <v/>
      </c>
      <c r="K386" s="34" t="str">
        <f>IFERROR(IF('Pós Implantação'!B386="URA",AVERAGE('Pós Implantação'!D386,'Pós Implantação'!L386),""),"")</f>
        <v/>
      </c>
      <c r="L386" s="34" t="str">
        <f>IFERROR(IF('Pós Implantação'!B386="CSE Microsoft",AVERAGE('Pós Implantação'!D386,'Pós Implantação'!L386),""),"")</f>
        <v/>
      </c>
      <c r="M386" s="34" t="str">
        <f>IFERROR(IF('Pós Implantação'!B386="CSE Telecom",AVERAGE('Pós Implantação'!D386,'Pós Implantação'!L386),""),"")</f>
        <v/>
      </c>
      <c r="N386" s="34" t="str">
        <f>IFERROR(IF('Pós Implantação'!B386="Site Suporte de Campo",AVERAGE('Pós Implantação'!D386,'Pós Implantação'!L386),""),"")</f>
        <v/>
      </c>
      <c r="O386" s="49" t="str">
        <f>IFERROR(IF('Pós Implantação'!B386="Infraestrutura",AVERAGE('Pós Implantação'!D386,'Pós Implantação'!L386),""),"")</f>
        <v/>
      </c>
    </row>
    <row r="387" spans="1:15" x14ac:dyDescent="0.3">
      <c r="A387" s="33">
        <f>'Pré Implantação'!A387</f>
        <v>0</v>
      </c>
      <c r="B387" s="36" t="str">
        <f>'Pós Implantação'!C387</f>
        <v>0</v>
      </c>
      <c r="C387" s="34" t="str">
        <f>IFERROR(IF('Pré Implantação'!B387="Produção TI",AVERAGE('Pós Implantação'!D387,'Pós Implantação'!E387,'Pós Implantação'!L387,'Pós Implantação'!H387),AVERAGE('Pré Implantação'!E387,'Pré Implantação'!H387)),"")</f>
        <v/>
      </c>
      <c r="D387" s="34" t="str">
        <f>IFERROR(IF('Pós Implantação'!B387="CSC Service Desk",AVERAGE('Pós Implantação'!D387,'Pós Implantação'!L387,'Pós Implantação'!F387),AVERAGE('Pós Implantação'!F387)),"")</f>
        <v/>
      </c>
      <c r="E387" s="34" t="str">
        <f>IFERROR(IF('Pós Implantação'!B387="CSC NOC",AVERAGE('Pós Implantação'!D387,'Pós Implantação'!L387,'Pós Implantação'!G387),AVERAGE('Pós Implantação'!G387)),"")</f>
        <v/>
      </c>
      <c r="F387" s="34" t="str">
        <f>IFERROR(IF('Pós Implantação'!B387="CSE Gravadores",AVERAGE('Pós Implantação'!D387,'Pós Implantação'!L387,'Pós Implantação'!I387),AVERAGE('Pós Implantação'!I387)),"")</f>
        <v/>
      </c>
      <c r="G387" s="34" t="str">
        <f>IFERROR(IF('Pós Implantação'!B387="CSC",AVERAGE('Pós Implantação'!D387,'Pós Implantação'!L387,'Pós Implantação'!J387),AVERAGE('Pós Implantação'!J387)),"")</f>
        <v/>
      </c>
      <c r="H387" s="34" t="str">
        <f>IFERROR(IF('Pós Implantação'!B387="Operações \ Negócio",AVERAGE('Pós Implantação'!D387,'Pós Implantação'!L387,'Pós Implantação'!K387),AVERAGE('Pós Implantação'!K387)),"")</f>
        <v/>
      </c>
      <c r="I387" s="34" t="str">
        <f>IFERROR(IF('Pós Implantação'!B387="Projetos",AVERAGE('Pós Implantação'!D387,'Pós Implantação'!L387,'Pós Implantação'!M387),AVERAGE('Pós Implantação'!M387)),"")</f>
        <v/>
      </c>
      <c r="J387" s="34" t="str">
        <f>IFERROR(IF('Pós Implantação'!B387="Engenharia",AVERAGE('Pós Implantação'!D387,'Pós Implantação'!L387,'Pós Implantação'!N387),AVERAGE('Pós Implantação'!N387)),"")</f>
        <v/>
      </c>
      <c r="K387" s="34" t="str">
        <f>IFERROR(IF('Pós Implantação'!B387="URA",AVERAGE('Pós Implantação'!D387,'Pós Implantação'!L387),""),"")</f>
        <v/>
      </c>
      <c r="L387" s="34" t="str">
        <f>IFERROR(IF('Pós Implantação'!B387="CSE Microsoft",AVERAGE('Pós Implantação'!D387,'Pós Implantação'!L387),""),"")</f>
        <v/>
      </c>
      <c r="M387" s="34" t="str">
        <f>IFERROR(IF('Pós Implantação'!B387="CSE Telecom",AVERAGE('Pós Implantação'!D387,'Pós Implantação'!L387),""),"")</f>
        <v/>
      </c>
      <c r="N387" s="34" t="str">
        <f>IFERROR(IF('Pós Implantação'!B387="Site Suporte de Campo",AVERAGE('Pós Implantação'!D387,'Pós Implantação'!L387),""),"")</f>
        <v/>
      </c>
      <c r="O387" s="49" t="str">
        <f>IFERROR(IF('Pós Implantação'!B387="Infraestrutura",AVERAGE('Pós Implantação'!D387,'Pós Implantação'!L387),""),"")</f>
        <v/>
      </c>
    </row>
    <row r="388" spans="1:15" x14ac:dyDescent="0.3">
      <c r="A388" s="33">
        <f>'Pré Implantação'!A388</f>
        <v>0</v>
      </c>
      <c r="B388" s="36" t="str">
        <f>'Pós Implantação'!C388</f>
        <v>0</v>
      </c>
      <c r="C388" s="34" t="str">
        <f>IFERROR(IF('Pré Implantação'!B388="Produção TI",AVERAGE('Pós Implantação'!D388,'Pós Implantação'!E388,'Pós Implantação'!L388,'Pós Implantação'!H388),AVERAGE('Pré Implantação'!E388,'Pré Implantação'!H388)),"")</f>
        <v/>
      </c>
      <c r="D388" s="34" t="str">
        <f>IFERROR(IF('Pós Implantação'!B388="CSC Service Desk",AVERAGE('Pós Implantação'!D388,'Pós Implantação'!L388,'Pós Implantação'!F388),AVERAGE('Pós Implantação'!F388)),"")</f>
        <v/>
      </c>
      <c r="E388" s="34" t="str">
        <f>IFERROR(IF('Pós Implantação'!B388="CSC NOC",AVERAGE('Pós Implantação'!D388,'Pós Implantação'!L388,'Pós Implantação'!G388),AVERAGE('Pós Implantação'!G388)),"")</f>
        <v/>
      </c>
      <c r="F388" s="34" t="str">
        <f>IFERROR(IF('Pós Implantação'!B388="CSE Gravadores",AVERAGE('Pós Implantação'!D388,'Pós Implantação'!L388,'Pós Implantação'!I388),AVERAGE('Pós Implantação'!I388)),"")</f>
        <v/>
      </c>
      <c r="G388" s="34" t="str">
        <f>IFERROR(IF('Pós Implantação'!B388="CSC",AVERAGE('Pós Implantação'!D388,'Pós Implantação'!L388,'Pós Implantação'!J388),AVERAGE('Pós Implantação'!J388)),"")</f>
        <v/>
      </c>
      <c r="H388" s="34" t="str">
        <f>IFERROR(IF('Pós Implantação'!B388="Operações \ Negócio",AVERAGE('Pós Implantação'!D388,'Pós Implantação'!L388,'Pós Implantação'!K388),AVERAGE('Pós Implantação'!K388)),"")</f>
        <v/>
      </c>
      <c r="I388" s="34" t="str">
        <f>IFERROR(IF('Pós Implantação'!B388="Projetos",AVERAGE('Pós Implantação'!D388,'Pós Implantação'!L388,'Pós Implantação'!M388),AVERAGE('Pós Implantação'!M388)),"")</f>
        <v/>
      </c>
      <c r="J388" s="34" t="str">
        <f>IFERROR(IF('Pós Implantação'!B388="Engenharia",AVERAGE('Pós Implantação'!D388,'Pós Implantação'!L388,'Pós Implantação'!N388),AVERAGE('Pós Implantação'!N388)),"")</f>
        <v/>
      </c>
      <c r="K388" s="34" t="str">
        <f>IFERROR(IF('Pós Implantação'!B388="URA",AVERAGE('Pós Implantação'!D388,'Pós Implantação'!L388),""),"")</f>
        <v/>
      </c>
      <c r="L388" s="34" t="str">
        <f>IFERROR(IF('Pós Implantação'!B388="CSE Microsoft",AVERAGE('Pós Implantação'!D388,'Pós Implantação'!L388),""),"")</f>
        <v/>
      </c>
      <c r="M388" s="34" t="str">
        <f>IFERROR(IF('Pós Implantação'!B388="CSE Telecom",AVERAGE('Pós Implantação'!D388,'Pós Implantação'!L388),""),"")</f>
        <v/>
      </c>
      <c r="N388" s="34" t="str">
        <f>IFERROR(IF('Pós Implantação'!B388="Site Suporte de Campo",AVERAGE('Pós Implantação'!D388,'Pós Implantação'!L388),""),"")</f>
        <v/>
      </c>
      <c r="O388" s="49" t="str">
        <f>IFERROR(IF('Pós Implantação'!B388="Infraestrutura",AVERAGE('Pós Implantação'!D388,'Pós Implantação'!L388),""),"")</f>
        <v/>
      </c>
    </row>
    <row r="389" spans="1:15" x14ac:dyDescent="0.3">
      <c r="A389" s="33">
        <f>'Pré Implantação'!A389</f>
        <v>0</v>
      </c>
      <c r="B389" s="36" t="str">
        <f>'Pós Implantação'!C389</f>
        <v>0</v>
      </c>
      <c r="C389" s="34" t="str">
        <f>IFERROR(IF('Pré Implantação'!B389="Produção TI",AVERAGE('Pós Implantação'!D389,'Pós Implantação'!E389,'Pós Implantação'!L389,'Pós Implantação'!H389),AVERAGE('Pré Implantação'!E389,'Pré Implantação'!H389)),"")</f>
        <v/>
      </c>
      <c r="D389" s="34" t="str">
        <f>IFERROR(IF('Pós Implantação'!B389="CSC Service Desk",AVERAGE('Pós Implantação'!D389,'Pós Implantação'!L389,'Pós Implantação'!F389),AVERAGE('Pós Implantação'!F389)),"")</f>
        <v/>
      </c>
      <c r="E389" s="34" t="str">
        <f>IFERROR(IF('Pós Implantação'!B389="CSC NOC",AVERAGE('Pós Implantação'!D389,'Pós Implantação'!L389,'Pós Implantação'!G389),AVERAGE('Pós Implantação'!G389)),"")</f>
        <v/>
      </c>
      <c r="F389" s="34" t="str">
        <f>IFERROR(IF('Pós Implantação'!B389="CSE Gravadores",AVERAGE('Pós Implantação'!D389,'Pós Implantação'!L389,'Pós Implantação'!I389),AVERAGE('Pós Implantação'!I389)),"")</f>
        <v/>
      </c>
      <c r="G389" s="34" t="str">
        <f>IFERROR(IF('Pós Implantação'!B389="CSC",AVERAGE('Pós Implantação'!D389,'Pós Implantação'!L389,'Pós Implantação'!J389),AVERAGE('Pós Implantação'!J389)),"")</f>
        <v/>
      </c>
      <c r="H389" s="34" t="str">
        <f>IFERROR(IF('Pós Implantação'!B389="Operações \ Negócio",AVERAGE('Pós Implantação'!D389,'Pós Implantação'!L389,'Pós Implantação'!K389),AVERAGE('Pós Implantação'!K389)),"")</f>
        <v/>
      </c>
      <c r="I389" s="34" t="str">
        <f>IFERROR(IF('Pós Implantação'!B389="Projetos",AVERAGE('Pós Implantação'!D389,'Pós Implantação'!L389,'Pós Implantação'!M389),AVERAGE('Pós Implantação'!M389)),"")</f>
        <v/>
      </c>
      <c r="J389" s="34" t="str">
        <f>IFERROR(IF('Pós Implantação'!B389="Engenharia",AVERAGE('Pós Implantação'!D389,'Pós Implantação'!L389,'Pós Implantação'!N389),AVERAGE('Pós Implantação'!N389)),"")</f>
        <v/>
      </c>
      <c r="K389" s="34" t="str">
        <f>IFERROR(IF('Pós Implantação'!B389="URA",AVERAGE('Pós Implantação'!D389,'Pós Implantação'!L389),""),"")</f>
        <v/>
      </c>
      <c r="L389" s="34" t="str">
        <f>IFERROR(IF('Pós Implantação'!B389="CSE Microsoft",AVERAGE('Pós Implantação'!D389,'Pós Implantação'!L389),""),"")</f>
        <v/>
      </c>
      <c r="M389" s="34" t="str">
        <f>IFERROR(IF('Pós Implantação'!B389="CSE Telecom",AVERAGE('Pós Implantação'!D389,'Pós Implantação'!L389),""),"")</f>
        <v/>
      </c>
      <c r="N389" s="34" t="str">
        <f>IFERROR(IF('Pós Implantação'!B389="Site Suporte de Campo",AVERAGE('Pós Implantação'!D389,'Pós Implantação'!L389),""),"")</f>
        <v/>
      </c>
      <c r="O389" s="49" t="str">
        <f>IFERROR(IF('Pós Implantação'!B389="Infraestrutura",AVERAGE('Pós Implantação'!D389,'Pós Implantação'!L389),""),"")</f>
        <v/>
      </c>
    </row>
    <row r="390" spans="1:15" x14ac:dyDescent="0.3">
      <c r="A390" s="33">
        <f>'Pré Implantação'!A390</f>
        <v>0</v>
      </c>
      <c r="B390" s="36" t="str">
        <f>'Pós Implantação'!C390</f>
        <v>0</v>
      </c>
      <c r="C390" s="34" t="str">
        <f>IFERROR(IF('Pré Implantação'!B390="Produção TI",AVERAGE('Pós Implantação'!D390,'Pós Implantação'!E390,'Pós Implantação'!L390,'Pós Implantação'!H390),AVERAGE('Pré Implantação'!E390,'Pré Implantação'!H390)),"")</f>
        <v/>
      </c>
      <c r="D390" s="34" t="str">
        <f>IFERROR(IF('Pós Implantação'!B390="CSC Service Desk",AVERAGE('Pós Implantação'!D390,'Pós Implantação'!L390,'Pós Implantação'!F390),AVERAGE('Pós Implantação'!F390)),"")</f>
        <v/>
      </c>
      <c r="E390" s="34" t="str">
        <f>IFERROR(IF('Pós Implantação'!B390="CSC NOC",AVERAGE('Pós Implantação'!D390,'Pós Implantação'!L390,'Pós Implantação'!G390),AVERAGE('Pós Implantação'!G390)),"")</f>
        <v/>
      </c>
      <c r="F390" s="34" t="str">
        <f>IFERROR(IF('Pós Implantação'!B390="CSE Gravadores",AVERAGE('Pós Implantação'!D390,'Pós Implantação'!L390,'Pós Implantação'!I390),AVERAGE('Pós Implantação'!I390)),"")</f>
        <v/>
      </c>
      <c r="G390" s="34" t="str">
        <f>IFERROR(IF('Pós Implantação'!B390="CSC",AVERAGE('Pós Implantação'!D390,'Pós Implantação'!L390,'Pós Implantação'!J390),AVERAGE('Pós Implantação'!J390)),"")</f>
        <v/>
      </c>
      <c r="H390" s="34" t="str">
        <f>IFERROR(IF('Pós Implantação'!B390="Operações \ Negócio",AVERAGE('Pós Implantação'!D390,'Pós Implantação'!L390,'Pós Implantação'!K390),AVERAGE('Pós Implantação'!K390)),"")</f>
        <v/>
      </c>
      <c r="I390" s="34" t="str">
        <f>IFERROR(IF('Pós Implantação'!B390="Projetos",AVERAGE('Pós Implantação'!D390,'Pós Implantação'!L390,'Pós Implantação'!M390),AVERAGE('Pós Implantação'!M390)),"")</f>
        <v/>
      </c>
      <c r="J390" s="34" t="str">
        <f>IFERROR(IF('Pós Implantação'!B390="Engenharia",AVERAGE('Pós Implantação'!D390,'Pós Implantação'!L390,'Pós Implantação'!N390),AVERAGE('Pós Implantação'!N390)),"")</f>
        <v/>
      </c>
      <c r="K390" s="34" t="str">
        <f>IFERROR(IF('Pós Implantação'!B390="URA",AVERAGE('Pós Implantação'!D390,'Pós Implantação'!L390),""),"")</f>
        <v/>
      </c>
      <c r="L390" s="34" t="str">
        <f>IFERROR(IF('Pós Implantação'!B390="CSE Microsoft",AVERAGE('Pós Implantação'!D390,'Pós Implantação'!L390),""),"")</f>
        <v/>
      </c>
      <c r="M390" s="34" t="str">
        <f>IFERROR(IF('Pós Implantação'!B390="CSE Telecom",AVERAGE('Pós Implantação'!D390,'Pós Implantação'!L390),""),"")</f>
        <v/>
      </c>
      <c r="N390" s="34" t="str">
        <f>IFERROR(IF('Pós Implantação'!B390="Site Suporte de Campo",AVERAGE('Pós Implantação'!D390,'Pós Implantação'!L390),""),"")</f>
        <v/>
      </c>
      <c r="O390" s="49" t="str">
        <f>IFERROR(IF('Pós Implantação'!B390="Infraestrutura",AVERAGE('Pós Implantação'!D390,'Pós Implantação'!L390),""),"")</f>
        <v/>
      </c>
    </row>
    <row r="391" spans="1:15" x14ac:dyDescent="0.3">
      <c r="A391" s="33">
        <f>'Pré Implantação'!A391</f>
        <v>0</v>
      </c>
      <c r="B391" s="36" t="str">
        <f>'Pós Implantação'!C391</f>
        <v>0</v>
      </c>
      <c r="C391" s="34" t="str">
        <f>IFERROR(IF('Pré Implantação'!B391="Produção TI",AVERAGE('Pós Implantação'!D391,'Pós Implantação'!E391,'Pós Implantação'!L391,'Pós Implantação'!H391),AVERAGE('Pré Implantação'!E391,'Pré Implantação'!H391)),"")</f>
        <v/>
      </c>
      <c r="D391" s="34" t="str">
        <f>IFERROR(IF('Pós Implantação'!B391="CSC Service Desk",AVERAGE('Pós Implantação'!D391,'Pós Implantação'!L391,'Pós Implantação'!F391),AVERAGE('Pós Implantação'!F391)),"")</f>
        <v/>
      </c>
      <c r="E391" s="34" t="str">
        <f>IFERROR(IF('Pós Implantação'!B391="CSC NOC",AVERAGE('Pós Implantação'!D391,'Pós Implantação'!L391,'Pós Implantação'!G391),AVERAGE('Pós Implantação'!G391)),"")</f>
        <v/>
      </c>
      <c r="F391" s="34" t="str">
        <f>IFERROR(IF('Pós Implantação'!B391="CSE Gravadores",AVERAGE('Pós Implantação'!D391,'Pós Implantação'!L391,'Pós Implantação'!I391),AVERAGE('Pós Implantação'!I391)),"")</f>
        <v/>
      </c>
      <c r="G391" s="34" t="str">
        <f>IFERROR(IF('Pós Implantação'!B391="CSC",AVERAGE('Pós Implantação'!D391,'Pós Implantação'!L391,'Pós Implantação'!J391),AVERAGE('Pós Implantação'!J391)),"")</f>
        <v/>
      </c>
      <c r="H391" s="34" t="str">
        <f>IFERROR(IF('Pós Implantação'!B391="Operações \ Negócio",AVERAGE('Pós Implantação'!D391,'Pós Implantação'!L391,'Pós Implantação'!K391),AVERAGE('Pós Implantação'!K391)),"")</f>
        <v/>
      </c>
      <c r="I391" s="34" t="str">
        <f>IFERROR(IF('Pós Implantação'!B391="Projetos",AVERAGE('Pós Implantação'!D391,'Pós Implantação'!L391,'Pós Implantação'!M391),AVERAGE('Pós Implantação'!M391)),"")</f>
        <v/>
      </c>
      <c r="J391" s="34" t="str">
        <f>IFERROR(IF('Pós Implantação'!B391="Engenharia",AVERAGE('Pós Implantação'!D391,'Pós Implantação'!L391,'Pós Implantação'!N391),AVERAGE('Pós Implantação'!N391)),"")</f>
        <v/>
      </c>
      <c r="K391" s="34" t="str">
        <f>IFERROR(IF('Pós Implantação'!B391="URA",AVERAGE('Pós Implantação'!D391,'Pós Implantação'!L391),""),"")</f>
        <v/>
      </c>
      <c r="L391" s="34" t="str">
        <f>IFERROR(IF('Pós Implantação'!B391="CSE Microsoft",AVERAGE('Pós Implantação'!D391,'Pós Implantação'!L391),""),"")</f>
        <v/>
      </c>
      <c r="M391" s="34" t="str">
        <f>IFERROR(IF('Pós Implantação'!B391="CSE Telecom",AVERAGE('Pós Implantação'!D391,'Pós Implantação'!L391),""),"")</f>
        <v/>
      </c>
      <c r="N391" s="34" t="str">
        <f>IFERROR(IF('Pós Implantação'!B391="Site Suporte de Campo",AVERAGE('Pós Implantação'!D391,'Pós Implantação'!L391),""),"")</f>
        <v/>
      </c>
      <c r="O391" s="49" t="str">
        <f>IFERROR(IF('Pós Implantação'!B391="Infraestrutura",AVERAGE('Pós Implantação'!D391,'Pós Implantação'!L391),""),"")</f>
        <v/>
      </c>
    </row>
    <row r="392" spans="1:15" x14ac:dyDescent="0.3">
      <c r="A392" s="33">
        <f>'Pré Implantação'!A392</f>
        <v>0</v>
      </c>
      <c r="B392" s="36" t="str">
        <f>'Pós Implantação'!C392</f>
        <v>0</v>
      </c>
      <c r="C392" s="34" t="str">
        <f>IFERROR(IF('Pré Implantação'!B392="Produção TI",AVERAGE('Pós Implantação'!D392,'Pós Implantação'!E392,'Pós Implantação'!L392,'Pós Implantação'!H392),AVERAGE('Pré Implantação'!E392,'Pré Implantação'!H392)),"")</f>
        <v/>
      </c>
      <c r="D392" s="34" t="str">
        <f>IFERROR(IF('Pós Implantação'!B392="CSC Service Desk",AVERAGE('Pós Implantação'!D392,'Pós Implantação'!L392,'Pós Implantação'!F392),AVERAGE('Pós Implantação'!F392)),"")</f>
        <v/>
      </c>
      <c r="E392" s="34" t="str">
        <f>IFERROR(IF('Pós Implantação'!B392="CSC NOC",AVERAGE('Pós Implantação'!D392,'Pós Implantação'!L392,'Pós Implantação'!G392),AVERAGE('Pós Implantação'!G392)),"")</f>
        <v/>
      </c>
      <c r="F392" s="34" t="str">
        <f>IFERROR(IF('Pós Implantação'!B392="CSE Gravadores",AVERAGE('Pós Implantação'!D392,'Pós Implantação'!L392,'Pós Implantação'!I392),AVERAGE('Pós Implantação'!I392)),"")</f>
        <v/>
      </c>
      <c r="G392" s="34" t="str">
        <f>IFERROR(IF('Pós Implantação'!B392="CSC",AVERAGE('Pós Implantação'!D392,'Pós Implantação'!L392,'Pós Implantação'!J392),AVERAGE('Pós Implantação'!J392)),"")</f>
        <v/>
      </c>
      <c r="H392" s="34" t="str">
        <f>IFERROR(IF('Pós Implantação'!B392="Operações \ Negócio",AVERAGE('Pós Implantação'!D392,'Pós Implantação'!L392,'Pós Implantação'!K392),AVERAGE('Pós Implantação'!K392)),"")</f>
        <v/>
      </c>
      <c r="I392" s="34" t="str">
        <f>IFERROR(IF('Pós Implantação'!B392="Projetos",AVERAGE('Pós Implantação'!D392,'Pós Implantação'!L392,'Pós Implantação'!M392),AVERAGE('Pós Implantação'!M392)),"")</f>
        <v/>
      </c>
      <c r="J392" s="34" t="str">
        <f>IFERROR(IF('Pós Implantação'!B392="Engenharia",AVERAGE('Pós Implantação'!D392,'Pós Implantação'!L392,'Pós Implantação'!N392),AVERAGE('Pós Implantação'!N392)),"")</f>
        <v/>
      </c>
      <c r="K392" s="34" t="str">
        <f>IFERROR(IF('Pós Implantação'!B392="URA",AVERAGE('Pós Implantação'!D392,'Pós Implantação'!L392),""),"")</f>
        <v/>
      </c>
      <c r="L392" s="34" t="str">
        <f>IFERROR(IF('Pós Implantação'!B392="CSE Microsoft",AVERAGE('Pós Implantação'!D392,'Pós Implantação'!L392),""),"")</f>
        <v/>
      </c>
      <c r="M392" s="34" t="str">
        <f>IFERROR(IF('Pós Implantação'!B392="CSE Telecom",AVERAGE('Pós Implantação'!D392,'Pós Implantação'!L392),""),"")</f>
        <v/>
      </c>
      <c r="N392" s="34" t="str">
        <f>IFERROR(IF('Pós Implantação'!B392="Site Suporte de Campo",AVERAGE('Pós Implantação'!D392,'Pós Implantação'!L392),""),"")</f>
        <v/>
      </c>
      <c r="O392" s="49" t="str">
        <f>IFERROR(IF('Pós Implantação'!B392="Infraestrutura",AVERAGE('Pós Implantação'!D392,'Pós Implantação'!L392),""),"")</f>
        <v/>
      </c>
    </row>
    <row r="393" spans="1:15" x14ac:dyDescent="0.3">
      <c r="A393" s="33">
        <f>'Pré Implantação'!A393</f>
        <v>0</v>
      </c>
      <c r="B393" s="36" t="str">
        <f>'Pós Implantação'!C393</f>
        <v>0</v>
      </c>
      <c r="C393" s="34" t="str">
        <f>IFERROR(IF('Pré Implantação'!B393="Produção TI",AVERAGE('Pós Implantação'!D393,'Pós Implantação'!E393,'Pós Implantação'!L393,'Pós Implantação'!H393),AVERAGE('Pré Implantação'!E393,'Pré Implantação'!H393)),"")</f>
        <v/>
      </c>
      <c r="D393" s="34" t="str">
        <f>IFERROR(IF('Pós Implantação'!B393="CSC Service Desk",AVERAGE('Pós Implantação'!D393,'Pós Implantação'!L393,'Pós Implantação'!F393),AVERAGE('Pós Implantação'!F393)),"")</f>
        <v/>
      </c>
      <c r="E393" s="34" t="str">
        <f>IFERROR(IF('Pós Implantação'!B393="CSC NOC",AVERAGE('Pós Implantação'!D393,'Pós Implantação'!L393,'Pós Implantação'!G393),AVERAGE('Pós Implantação'!G393)),"")</f>
        <v/>
      </c>
      <c r="F393" s="34" t="str">
        <f>IFERROR(IF('Pós Implantação'!B393="CSE Gravadores",AVERAGE('Pós Implantação'!D393,'Pós Implantação'!L393,'Pós Implantação'!I393),AVERAGE('Pós Implantação'!I393)),"")</f>
        <v/>
      </c>
      <c r="G393" s="34" t="str">
        <f>IFERROR(IF('Pós Implantação'!B393="CSC",AVERAGE('Pós Implantação'!D393,'Pós Implantação'!L393,'Pós Implantação'!J393),AVERAGE('Pós Implantação'!J393)),"")</f>
        <v/>
      </c>
      <c r="H393" s="34" t="str">
        <f>IFERROR(IF('Pós Implantação'!B393="Operações \ Negócio",AVERAGE('Pós Implantação'!D393,'Pós Implantação'!L393,'Pós Implantação'!K393),AVERAGE('Pós Implantação'!K393)),"")</f>
        <v/>
      </c>
      <c r="I393" s="34" t="str">
        <f>IFERROR(IF('Pós Implantação'!B393="Projetos",AVERAGE('Pós Implantação'!D393,'Pós Implantação'!L393,'Pós Implantação'!M393),AVERAGE('Pós Implantação'!M393)),"")</f>
        <v/>
      </c>
      <c r="J393" s="34" t="str">
        <f>IFERROR(IF('Pós Implantação'!B393="Engenharia",AVERAGE('Pós Implantação'!D393,'Pós Implantação'!L393,'Pós Implantação'!N393),AVERAGE('Pós Implantação'!N393)),"")</f>
        <v/>
      </c>
      <c r="K393" s="34" t="str">
        <f>IFERROR(IF('Pós Implantação'!B393="URA",AVERAGE('Pós Implantação'!D393,'Pós Implantação'!L393),""),"")</f>
        <v/>
      </c>
      <c r="L393" s="34" t="str">
        <f>IFERROR(IF('Pós Implantação'!B393="CSE Microsoft",AVERAGE('Pós Implantação'!D393,'Pós Implantação'!L393),""),"")</f>
        <v/>
      </c>
      <c r="M393" s="34" t="str">
        <f>IFERROR(IF('Pós Implantação'!B393="CSE Telecom",AVERAGE('Pós Implantação'!D393,'Pós Implantação'!L393),""),"")</f>
        <v/>
      </c>
      <c r="N393" s="34" t="str">
        <f>IFERROR(IF('Pós Implantação'!B393="Site Suporte de Campo",AVERAGE('Pós Implantação'!D393,'Pós Implantação'!L393),""),"")</f>
        <v/>
      </c>
      <c r="O393" s="49" t="str">
        <f>IFERROR(IF('Pós Implantação'!B393="Infraestrutura",AVERAGE('Pós Implantação'!D393,'Pós Implantação'!L393),""),"")</f>
        <v/>
      </c>
    </row>
    <row r="394" spans="1:15" x14ac:dyDescent="0.3">
      <c r="A394" s="33">
        <f>'Pré Implantação'!A394</f>
        <v>0</v>
      </c>
      <c r="B394" s="36" t="str">
        <f>'Pós Implantação'!C394</f>
        <v>0</v>
      </c>
      <c r="C394" s="34" t="str">
        <f>IFERROR(IF('Pré Implantação'!B394="Produção TI",AVERAGE('Pós Implantação'!D394,'Pós Implantação'!E394,'Pós Implantação'!L394,'Pós Implantação'!H394),AVERAGE('Pré Implantação'!E394,'Pré Implantação'!H394)),"")</f>
        <v/>
      </c>
      <c r="D394" s="34" t="str">
        <f>IFERROR(IF('Pós Implantação'!B394="CSC Service Desk",AVERAGE('Pós Implantação'!D394,'Pós Implantação'!L394,'Pós Implantação'!F394),AVERAGE('Pós Implantação'!F394)),"")</f>
        <v/>
      </c>
      <c r="E394" s="34" t="str">
        <f>IFERROR(IF('Pós Implantação'!B394="CSC NOC",AVERAGE('Pós Implantação'!D394,'Pós Implantação'!L394,'Pós Implantação'!G394),AVERAGE('Pós Implantação'!G394)),"")</f>
        <v/>
      </c>
      <c r="F394" s="34" t="str">
        <f>IFERROR(IF('Pós Implantação'!B394="CSE Gravadores",AVERAGE('Pós Implantação'!D394,'Pós Implantação'!L394,'Pós Implantação'!I394),AVERAGE('Pós Implantação'!I394)),"")</f>
        <v/>
      </c>
      <c r="G394" s="34" t="str">
        <f>IFERROR(IF('Pós Implantação'!B394="CSC",AVERAGE('Pós Implantação'!D394,'Pós Implantação'!L394,'Pós Implantação'!J394),AVERAGE('Pós Implantação'!J394)),"")</f>
        <v/>
      </c>
      <c r="H394" s="34" t="str">
        <f>IFERROR(IF('Pós Implantação'!B394="Operações \ Negócio",AVERAGE('Pós Implantação'!D394,'Pós Implantação'!L394,'Pós Implantação'!K394),AVERAGE('Pós Implantação'!K394)),"")</f>
        <v/>
      </c>
      <c r="I394" s="34" t="str">
        <f>IFERROR(IF('Pós Implantação'!B394="Projetos",AVERAGE('Pós Implantação'!D394,'Pós Implantação'!L394,'Pós Implantação'!M394),AVERAGE('Pós Implantação'!M394)),"")</f>
        <v/>
      </c>
      <c r="J394" s="34" t="str">
        <f>IFERROR(IF('Pós Implantação'!B394="Engenharia",AVERAGE('Pós Implantação'!D394,'Pós Implantação'!L394,'Pós Implantação'!N394),AVERAGE('Pós Implantação'!N394)),"")</f>
        <v/>
      </c>
      <c r="K394" s="34" t="str">
        <f>IFERROR(IF('Pós Implantação'!B394="URA",AVERAGE('Pós Implantação'!D394,'Pós Implantação'!L394),""),"")</f>
        <v/>
      </c>
      <c r="L394" s="34" t="str">
        <f>IFERROR(IF('Pós Implantação'!B394="CSE Microsoft",AVERAGE('Pós Implantação'!D394,'Pós Implantação'!L394),""),"")</f>
        <v/>
      </c>
      <c r="M394" s="34" t="str">
        <f>IFERROR(IF('Pós Implantação'!B394="CSE Telecom",AVERAGE('Pós Implantação'!D394,'Pós Implantação'!L394),""),"")</f>
        <v/>
      </c>
      <c r="N394" s="34" t="str">
        <f>IFERROR(IF('Pós Implantação'!B394="Site Suporte de Campo",AVERAGE('Pós Implantação'!D394,'Pós Implantação'!L394),""),"")</f>
        <v/>
      </c>
      <c r="O394" s="49" t="str">
        <f>IFERROR(IF('Pós Implantação'!B394="Infraestrutura",AVERAGE('Pós Implantação'!D394,'Pós Implantação'!L394),""),"")</f>
        <v/>
      </c>
    </row>
    <row r="395" spans="1:15" x14ac:dyDescent="0.3">
      <c r="A395" s="33">
        <f>'Pré Implantação'!A395</f>
        <v>0</v>
      </c>
      <c r="B395" s="36" t="str">
        <f>'Pós Implantação'!C395</f>
        <v>0</v>
      </c>
      <c r="C395" s="34" t="str">
        <f>IFERROR(IF('Pré Implantação'!B395="Produção TI",AVERAGE('Pós Implantação'!D395,'Pós Implantação'!E395,'Pós Implantação'!L395,'Pós Implantação'!H395),AVERAGE('Pré Implantação'!E395,'Pré Implantação'!H395)),"")</f>
        <v/>
      </c>
      <c r="D395" s="34" t="str">
        <f>IFERROR(IF('Pós Implantação'!B395="CSC Service Desk",AVERAGE('Pós Implantação'!D395,'Pós Implantação'!L395,'Pós Implantação'!F395),AVERAGE('Pós Implantação'!F395)),"")</f>
        <v/>
      </c>
      <c r="E395" s="34" t="str">
        <f>IFERROR(IF('Pós Implantação'!B395="CSC NOC",AVERAGE('Pós Implantação'!D395,'Pós Implantação'!L395,'Pós Implantação'!G395),AVERAGE('Pós Implantação'!G395)),"")</f>
        <v/>
      </c>
      <c r="F395" s="34" t="str">
        <f>IFERROR(IF('Pós Implantação'!B395="CSE Gravadores",AVERAGE('Pós Implantação'!D395,'Pós Implantação'!L395,'Pós Implantação'!I395),AVERAGE('Pós Implantação'!I395)),"")</f>
        <v/>
      </c>
      <c r="G395" s="34" t="str">
        <f>IFERROR(IF('Pós Implantação'!B395="CSC",AVERAGE('Pós Implantação'!D395,'Pós Implantação'!L395,'Pós Implantação'!J395),AVERAGE('Pós Implantação'!J395)),"")</f>
        <v/>
      </c>
      <c r="H395" s="34" t="str">
        <f>IFERROR(IF('Pós Implantação'!B395="Operações \ Negócio",AVERAGE('Pós Implantação'!D395,'Pós Implantação'!L395,'Pós Implantação'!K395),AVERAGE('Pós Implantação'!K395)),"")</f>
        <v/>
      </c>
      <c r="I395" s="34" t="str">
        <f>IFERROR(IF('Pós Implantação'!B395="Projetos",AVERAGE('Pós Implantação'!D395,'Pós Implantação'!L395,'Pós Implantação'!M395),AVERAGE('Pós Implantação'!M395)),"")</f>
        <v/>
      </c>
      <c r="J395" s="34" t="str">
        <f>IFERROR(IF('Pós Implantação'!B395="Engenharia",AVERAGE('Pós Implantação'!D395,'Pós Implantação'!L395,'Pós Implantação'!N395),AVERAGE('Pós Implantação'!N395)),"")</f>
        <v/>
      </c>
      <c r="K395" s="34" t="str">
        <f>IFERROR(IF('Pós Implantação'!B395="URA",AVERAGE('Pós Implantação'!D395,'Pós Implantação'!L395),""),"")</f>
        <v/>
      </c>
      <c r="L395" s="34" t="str">
        <f>IFERROR(IF('Pós Implantação'!B395="CSE Microsoft",AVERAGE('Pós Implantação'!D395,'Pós Implantação'!L395),""),"")</f>
        <v/>
      </c>
      <c r="M395" s="34" t="str">
        <f>IFERROR(IF('Pós Implantação'!B395="CSE Telecom",AVERAGE('Pós Implantação'!D395,'Pós Implantação'!L395),""),"")</f>
        <v/>
      </c>
      <c r="N395" s="34" t="str">
        <f>IFERROR(IF('Pós Implantação'!B395="Site Suporte de Campo",AVERAGE('Pós Implantação'!D395,'Pós Implantação'!L395),""),"")</f>
        <v/>
      </c>
      <c r="O395" s="49" t="str">
        <f>IFERROR(IF('Pós Implantação'!B395="Infraestrutura",AVERAGE('Pós Implantação'!D395,'Pós Implantação'!L395),""),"")</f>
        <v/>
      </c>
    </row>
    <row r="396" spans="1:15" x14ac:dyDescent="0.3">
      <c r="A396" s="33">
        <f>'Pré Implantação'!A396</f>
        <v>0</v>
      </c>
      <c r="B396" s="36" t="str">
        <f>'Pós Implantação'!C396</f>
        <v>0</v>
      </c>
      <c r="C396" s="34" t="str">
        <f>IFERROR(IF('Pré Implantação'!B396="Produção TI",AVERAGE('Pós Implantação'!D396,'Pós Implantação'!E396,'Pós Implantação'!L396,'Pós Implantação'!H396),AVERAGE('Pré Implantação'!E396,'Pré Implantação'!H396)),"")</f>
        <v/>
      </c>
      <c r="D396" s="34" t="str">
        <f>IFERROR(IF('Pós Implantação'!B396="CSC Service Desk",AVERAGE('Pós Implantação'!D396,'Pós Implantação'!L396,'Pós Implantação'!F396),AVERAGE('Pós Implantação'!F396)),"")</f>
        <v/>
      </c>
      <c r="E396" s="34" t="str">
        <f>IFERROR(IF('Pós Implantação'!B396="CSC NOC",AVERAGE('Pós Implantação'!D396,'Pós Implantação'!L396,'Pós Implantação'!G396),AVERAGE('Pós Implantação'!G396)),"")</f>
        <v/>
      </c>
      <c r="F396" s="34" t="str">
        <f>IFERROR(IF('Pós Implantação'!B396="CSE Gravadores",AVERAGE('Pós Implantação'!D396,'Pós Implantação'!L396,'Pós Implantação'!I396),AVERAGE('Pós Implantação'!I396)),"")</f>
        <v/>
      </c>
      <c r="G396" s="34" t="str">
        <f>IFERROR(IF('Pós Implantação'!B396="CSC",AVERAGE('Pós Implantação'!D396,'Pós Implantação'!L396,'Pós Implantação'!J396),AVERAGE('Pós Implantação'!J396)),"")</f>
        <v/>
      </c>
      <c r="H396" s="34" t="str">
        <f>IFERROR(IF('Pós Implantação'!B396="Operações \ Negócio",AVERAGE('Pós Implantação'!D396,'Pós Implantação'!L396,'Pós Implantação'!K396),AVERAGE('Pós Implantação'!K396)),"")</f>
        <v/>
      </c>
      <c r="I396" s="34" t="str">
        <f>IFERROR(IF('Pós Implantação'!B396="Projetos",AVERAGE('Pós Implantação'!D396,'Pós Implantação'!L396,'Pós Implantação'!M396),AVERAGE('Pós Implantação'!M396)),"")</f>
        <v/>
      </c>
      <c r="J396" s="34" t="str">
        <f>IFERROR(IF('Pós Implantação'!B396="Engenharia",AVERAGE('Pós Implantação'!D396,'Pós Implantação'!L396,'Pós Implantação'!N396),AVERAGE('Pós Implantação'!N396)),"")</f>
        <v/>
      </c>
      <c r="K396" s="34" t="str">
        <f>IFERROR(IF('Pós Implantação'!B396="URA",AVERAGE('Pós Implantação'!D396,'Pós Implantação'!L396),""),"")</f>
        <v/>
      </c>
      <c r="L396" s="34" t="str">
        <f>IFERROR(IF('Pós Implantação'!B396="CSE Microsoft",AVERAGE('Pós Implantação'!D396,'Pós Implantação'!L396),""),"")</f>
        <v/>
      </c>
      <c r="M396" s="34" t="str">
        <f>IFERROR(IF('Pós Implantação'!B396="CSE Telecom",AVERAGE('Pós Implantação'!D396,'Pós Implantação'!L396),""),"")</f>
        <v/>
      </c>
      <c r="N396" s="34" t="str">
        <f>IFERROR(IF('Pós Implantação'!B396="Site Suporte de Campo",AVERAGE('Pós Implantação'!D396,'Pós Implantação'!L396),""),"")</f>
        <v/>
      </c>
      <c r="O396" s="49" t="str">
        <f>IFERROR(IF('Pós Implantação'!B396="Infraestrutura",AVERAGE('Pós Implantação'!D396,'Pós Implantação'!L396),""),"")</f>
        <v/>
      </c>
    </row>
    <row r="397" spans="1:15" x14ac:dyDescent="0.3">
      <c r="A397" s="33">
        <f>'Pré Implantação'!A397</f>
        <v>0</v>
      </c>
      <c r="B397" s="36" t="str">
        <f>'Pós Implantação'!C397</f>
        <v>0</v>
      </c>
      <c r="C397" s="34" t="str">
        <f>IFERROR(IF('Pré Implantação'!B397="Produção TI",AVERAGE('Pós Implantação'!D397,'Pós Implantação'!E397,'Pós Implantação'!L397,'Pós Implantação'!H397),AVERAGE('Pré Implantação'!E397,'Pré Implantação'!H397)),"")</f>
        <v/>
      </c>
      <c r="D397" s="34" t="str">
        <f>IFERROR(IF('Pós Implantação'!B397="CSC Service Desk",AVERAGE('Pós Implantação'!D397,'Pós Implantação'!L397,'Pós Implantação'!F397),AVERAGE('Pós Implantação'!F397)),"")</f>
        <v/>
      </c>
      <c r="E397" s="34" t="str">
        <f>IFERROR(IF('Pós Implantação'!B397="CSC NOC",AVERAGE('Pós Implantação'!D397,'Pós Implantação'!L397,'Pós Implantação'!G397),AVERAGE('Pós Implantação'!G397)),"")</f>
        <v/>
      </c>
      <c r="F397" s="34" t="str">
        <f>IFERROR(IF('Pós Implantação'!B397="CSE Gravadores",AVERAGE('Pós Implantação'!D397,'Pós Implantação'!L397,'Pós Implantação'!I397),AVERAGE('Pós Implantação'!I397)),"")</f>
        <v/>
      </c>
      <c r="G397" s="34" t="str">
        <f>IFERROR(IF('Pós Implantação'!B397="CSC",AVERAGE('Pós Implantação'!D397,'Pós Implantação'!L397,'Pós Implantação'!J397),AVERAGE('Pós Implantação'!J397)),"")</f>
        <v/>
      </c>
      <c r="H397" s="34" t="str">
        <f>IFERROR(IF('Pós Implantação'!B397="Operações \ Negócio",AVERAGE('Pós Implantação'!D397,'Pós Implantação'!L397,'Pós Implantação'!K397),AVERAGE('Pós Implantação'!K397)),"")</f>
        <v/>
      </c>
      <c r="I397" s="34" t="str">
        <f>IFERROR(IF('Pós Implantação'!B397="Projetos",AVERAGE('Pós Implantação'!D397,'Pós Implantação'!L397,'Pós Implantação'!M397),AVERAGE('Pós Implantação'!M397)),"")</f>
        <v/>
      </c>
      <c r="J397" s="34" t="str">
        <f>IFERROR(IF('Pós Implantação'!B397="Engenharia",AVERAGE('Pós Implantação'!D397,'Pós Implantação'!L397,'Pós Implantação'!N397),AVERAGE('Pós Implantação'!N397)),"")</f>
        <v/>
      </c>
      <c r="K397" s="34" t="str">
        <f>IFERROR(IF('Pós Implantação'!B397="URA",AVERAGE('Pós Implantação'!D397,'Pós Implantação'!L397),""),"")</f>
        <v/>
      </c>
      <c r="L397" s="34" t="str">
        <f>IFERROR(IF('Pós Implantação'!B397="CSE Microsoft",AVERAGE('Pós Implantação'!D397,'Pós Implantação'!L397),""),"")</f>
        <v/>
      </c>
      <c r="M397" s="34" t="str">
        <f>IFERROR(IF('Pós Implantação'!B397="CSE Telecom",AVERAGE('Pós Implantação'!D397,'Pós Implantação'!L397),""),"")</f>
        <v/>
      </c>
      <c r="N397" s="34" t="str">
        <f>IFERROR(IF('Pós Implantação'!B397="Site Suporte de Campo",AVERAGE('Pós Implantação'!D397,'Pós Implantação'!L397),""),"")</f>
        <v/>
      </c>
      <c r="O397" s="49" t="str">
        <f>IFERROR(IF('Pós Implantação'!B397="Infraestrutura",AVERAGE('Pós Implantação'!D397,'Pós Implantação'!L397),""),"")</f>
        <v/>
      </c>
    </row>
    <row r="398" spans="1:15" x14ac:dyDescent="0.3">
      <c r="A398" s="33">
        <f>'Pré Implantação'!A398</f>
        <v>0</v>
      </c>
      <c r="B398" s="36" t="str">
        <f>'Pós Implantação'!C398</f>
        <v>0</v>
      </c>
      <c r="C398" s="34" t="str">
        <f>IFERROR(IF('Pré Implantação'!B398="Produção TI",AVERAGE('Pós Implantação'!D398,'Pós Implantação'!E398,'Pós Implantação'!L398,'Pós Implantação'!H398),AVERAGE('Pré Implantação'!E398,'Pré Implantação'!H398)),"")</f>
        <v/>
      </c>
      <c r="D398" s="34" t="str">
        <f>IFERROR(IF('Pós Implantação'!B398="CSC Service Desk",AVERAGE('Pós Implantação'!D398,'Pós Implantação'!L398,'Pós Implantação'!F398),AVERAGE('Pós Implantação'!F398)),"")</f>
        <v/>
      </c>
      <c r="E398" s="34" t="str">
        <f>IFERROR(IF('Pós Implantação'!B398="CSC NOC",AVERAGE('Pós Implantação'!D398,'Pós Implantação'!L398,'Pós Implantação'!G398),AVERAGE('Pós Implantação'!G398)),"")</f>
        <v/>
      </c>
      <c r="F398" s="34" t="str">
        <f>IFERROR(IF('Pós Implantação'!B398="CSE Gravadores",AVERAGE('Pós Implantação'!D398,'Pós Implantação'!L398,'Pós Implantação'!I398),AVERAGE('Pós Implantação'!I398)),"")</f>
        <v/>
      </c>
      <c r="G398" s="34" t="str">
        <f>IFERROR(IF('Pós Implantação'!B398="CSC",AVERAGE('Pós Implantação'!D398,'Pós Implantação'!L398,'Pós Implantação'!J398),AVERAGE('Pós Implantação'!J398)),"")</f>
        <v/>
      </c>
      <c r="H398" s="34" t="str">
        <f>IFERROR(IF('Pós Implantação'!B398="Operações \ Negócio",AVERAGE('Pós Implantação'!D398,'Pós Implantação'!L398,'Pós Implantação'!K398),AVERAGE('Pós Implantação'!K398)),"")</f>
        <v/>
      </c>
      <c r="I398" s="34" t="str">
        <f>IFERROR(IF('Pós Implantação'!B398="Projetos",AVERAGE('Pós Implantação'!D398,'Pós Implantação'!L398,'Pós Implantação'!M398),AVERAGE('Pós Implantação'!M398)),"")</f>
        <v/>
      </c>
      <c r="J398" s="34" t="str">
        <f>IFERROR(IF('Pós Implantação'!B398="Engenharia",AVERAGE('Pós Implantação'!D398,'Pós Implantação'!L398,'Pós Implantação'!N398),AVERAGE('Pós Implantação'!N398)),"")</f>
        <v/>
      </c>
      <c r="K398" s="34" t="str">
        <f>IFERROR(IF('Pós Implantação'!B398="URA",AVERAGE('Pós Implantação'!D398,'Pós Implantação'!L398),""),"")</f>
        <v/>
      </c>
      <c r="L398" s="34" t="str">
        <f>IFERROR(IF('Pós Implantação'!B398="CSE Microsoft",AVERAGE('Pós Implantação'!D398,'Pós Implantação'!L398),""),"")</f>
        <v/>
      </c>
      <c r="M398" s="34" t="str">
        <f>IFERROR(IF('Pós Implantação'!B398="CSE Telecom",AVERAGE('Pós Implantação'!D398,'Pós Implantação'!L398),""),"")</f>
        <v/>
      </c>
      <c r="N398" s="34" t="str">
        <f>IFERROR(IF('Pós Implantação'!B398="Site Suporte de Campo",AVERAGE('Pós Implantação'!D398,'Pós Implantação'!L398),""),"")</f>
        <v/>
      </c>
      <c r="O398" s="49" t="str">
        <f>IFERROR(IF('Pós Implantação'!B398="Infraestrutura",AVERAGE('Pós Implantação'!D398,'Pós Implantação'!L398),""),"")</f>
        <v/>
      </c>
    </row>
    <row r="399" spans="1:15" x14ac:dyDescent="0.3">
      <c r="A399" s="33">
        <f>'Pré Implantação'!A399</f>
        <v>0</v>
      </c>
      <c r="B399" s="36" t="str">
        <f>'Pós Implantação'!C399</f>
        <v>0</v>
      </c>
      <c r="C399" s="34" t="str">
        <f>IFERROR(IF('Pré Implantação'!B399="Produção TI",AVERAGE('Pós Implantação'!D399,'Pós Implantação'!E399,'Pós Implantação'!L399,'Pós Implantação'!H399),AVERAGE('Pré Implantação'!E399,'Pré Implantação'!H399)),"")</f>
        <v/>
      </c>
      <c r="D399" s="34" t="str">
        <f>IFERROR(IF('Pós Implantação'!B399="CSC Service Desk",AVERAGE('Pós Implantação'!D399,'Pós Implantação'!L399,'Pós Implantação'!F399),AVERAGE('Pós Implantação'!F399)),"")</f>
        <v/>
      </c>
      <c r="E399" s="34" t="str">
        <f>IFERROR(IF('Pós Implantação'!B399="CSC NOC",AVERAGE('Pós Implantação'!D399,'Pós Implantação'!L399,'Pós Implantação'!G399),AVERAGE('Pós Implantação'!G399)),"")</f>
        <v/>
      </c>
      <c r="F399" s="34" t="str">
        <f>IFERROR(IF('Pós Implantação'!B399="CSE Gravadores",AVERAGE('Pós Implantação'!D399,'Pós Implantação'!L399,'Pós Implantação'!I399),AVERAGE('Pós Implantação'!I399)),"")</f>
        <v/>
      </c>
      <c r="G399" s="34" t="str">
        <f>IFERROR(IF('Pós Implantação'!B399="CSC",AVERAGE('Pós Implantação'!D399,'Pós Implantação'!L399,'Pós Implantação'!J399),AVERAGE('Pós Implantação'!J399)),"")</f>
        <v/>
      </c>
      <c r="H399" s="34" t="str">
        <f>IFERROR(IF('Pós Implantação'!B399="Operações \ Negócio",AVERAGE('Pós Implantação'!D399,'Pós Implantação'!L399,'Pós Implantação'!K399),AVERAGE('Pós Implantação'!K399)),"")</f>
        <v/>
      </c>
      <c r="I399" s="34" t="str">
        <f>IFERROR(IF('Pós Implantação'!B399="Projetos",AVERAGE('Pós Implantação'!D399,'Pós Implantação'!L399,'Pós Implantação'!M399),AVERAGE('Pós Implantação'!M399)),"")</f>
        <v/>
      </c>
      <c r="J399" s="34" t="str">
        <f>IFERROR(IF('Pós Implantação'!B399="Engenharia",AVERAGE('Pós Implantação'!D399,'Pós Implantação'!L399,'Pós Implantação'!N399),AVERAGE('Pós Implantação'!N399)),"")</f>
        <v/>
      </c>
      <c r="K399" s="34" t="str">
        <f>IFERROR(IF('Pós Implantação'!B399="URA",AVERAGE('Pós Implantação'!D399,'Pós Implantação'!L399),""),"")</f>
        <v/>
      </c>
      <c r="L399" s="34" t="str">
        <f>IFERROR(IF('Pós Implantação'!B399="CSE Microsoft",AVERAGE('Pós Implantação'!D399,'Pós Implantação'!L399),""),"")</f>
        <v/>
      </c>
      <c r="M399" s="34" t="str">
        <f>IFERROR(IF('Pós Implantação'!B399="CSE Telecom",AVERAGE('Pós Implantação'!D399,'Pós Implantação'!L399),""),"")</f>
        <v/>
      </c>
      <c r="N399" s="34" t="str">
        <f>IFERROR(IF('Pós Implantação'!B399="Site Suporte de Campo",AVERAGE('Pós Implantação'!D399,'Pós Implantação'!L399),""),"")</f>
        <v/>
      </c>
      <c r="O399" s="49" t="str">
        <f>IFERROR(IF('Pós Implantação'!B399="Infraestrutura",AVERAGE('Pós Implantação'!D399,'Pós Implantação'!L399),""),"")</f>
        <v/>
      </c>
    </row>
    <row r="400" spans="1:15" x14ac:dyDescent="0.3">
      <c r="A400" s="33">
        <f>'Pré Implantação'!A400</f>
        <v>0</v>
      </c>
      <c r="B400" s="36" t="str">
        <f>'Pós Implantação'!C400</f>
        <v>0</v>
      </c>
      <c r="C400" s="34" t="str">
        <f>IFERROR(IF('Pré Implantação'!B400="Produção TI",AVERAGE('Pós Implantação'!D400,'Pós Implantação'!E400,'Pós Implantação'!L400,'Pós Implantação'!H400),AVERAGE('Pré Implantação'!E400,'Pré Implantação'!H400)),"")</f>
        <v/>
      </c>
      <c r="D400" s="34" t="str">
        <f>IFERROR(IF('Pós Implantação'!B400="CSC Service Desk",AVERAGE('Pós Implantação'!D400,'Pós Implantação'!L400,'Pós Implantação'!F400),AVERAGE('Pós Implantação'!F400)),"")</f>
        <v/>
      </c>
      <c r="E400" s="34" t="str">
        <f>IFERROR(IF('Pós Implantação'!B400="CSC NOC",AVERAGE('Pós Implantação'!D400,'Pós Implantação'!L400,'Pós Implantação'!G400),AVERAGE('Pós Implantação'!G400)),"")</f>
        <v/>
      </c>
      <c r="F400" s="34" t="str">
        <f>IFERROR(IF('Pós Implantação'!B400="CSE Gravadores",AVERAGE('Pós Implantação'!D400,'Pós Implantação'!L400,'Pós Implantação'!I400),AVERAGE('Pós Implantação'!I400)),"")</f>
        <v/>
      </c>
      <c r="G400" s="34" t="str">
        <f>IFERROR(IF('Pós Implantação'!B400="CSC",AVERAGE('Pós Implantação'!D400,'Pós Implantação'!L400,'Pós Implantação'!J400),AVERAGE('Pós Implantação'!J400)),"")</f>
        <v/>
      </c>
      <c r="H400" s="34" t="str">
        <f>IFERROR(IF('Pós Implantação'!B400="Operações \ Negócio",AVERAGE('Pós Implantação'!D400,'Pós Implantação'!L400,'Pós Implantação'!K400),AVERAGE('Pós Implantação'!K400)),"")</f>
        <v/>
      </c>
      <c r="I400" s="34" t="str">
        <f>IFERROR(IF('Pós Implantação'!B400="Projetos",AVERAGE('Pós Implantação'!D400,'Pós Implantação'!L400,'Pós Implantação'!M400),AVERAGE('Pós Implantação'!M400)),"")</f>
        <v/>
      </c>
      <c r="J400" s="34" t="str">
        <f>IFERROR(IF('Pós Implantação'!B400="Engenharia",AVERAGE('Pós Implantação'!D400,'Pós Implantação'!L400,'Pós Implantação'!N400),AVERAGE('Pós Implantação'!N400)),"")</f>
        <v/>
      </c>
      <c r="K400" s="34" t="str">
        <f>IFERROR(IF('Pós Implantação'!B400="URA",AVERAGE('Pós Implantação'!D400,'Pós Implantação'!L400),""),"")</f>
        <v/>
      </c>
      <c r="L400" s="34" t="str">
        <f>IFERROR(IF('Pós Implantação'!B400="CSE Microsoft",AVERAGE('Pós Implantação'!D400,'Pós Implantação'!L400),""),"")</f>
        <v/>
      </c>
      <c r="M400" s="34" t="str">
        <f>IFERROR(IF('Pós Implantação'!B400="CSE Telecom",AVERAGE('Pós Implantação'!D400,'Pós Implantação'!L400),""),"")</f>
        <v/>
      </c>
      <c r="N400" s="34" t="str">
        <f>IFERROR(IF('Pós Implantação'!B400="Site Suporte de Campo",AVERAGE('Pós Implantação'!D400,'Pós Implantação'!L400),""),"")</f>
        <v/>
      </c>
      <c r="O400" s="49" t="str">
        <f>IFERROR(IF('Pós Implantação'!B400="Infraestrutura",AVERAGE('Pós Implantação'!D400,'Pós Implantação'!L400),""),"")</f>
        <v/>
      </c>
    </row>
    <row r="401" spans="1:15" x14ac:dyDescent="0.3">
      <c r="A401" s="33">
        <f>'Pré Implantação'!A401</f>
        <v>0</v>
      </c>
      <c r="B401" s="36" t="str">
        <f>'Pós Implantação'!C401</f>
        <v>0</v>
      </c>
      <c r="C401" s="34" t="str">
        <f>IFERROR(IF('Pré Implantação'!B401="Produção TI",AVERAGE('Pós Implantação'!D401,'Pós Implantação'!E401,'Pós Implantação'!L401,'Pós Implantação'!H401),AVERAGE('Pré Implantação'!E401,'Pré Implantação'!H401)),"")</f>
        <v/>
      </c>
      <c r="D401" s="34" t="str">
        <f>IFERROR(IF('Pós Implantação'!B401="CSC Service Desk",AVERAGE('Pós Implantação'!D401,'Pós Implantação'!L401,'Pós Implantação'!F401),AVERAGE('Pós Implantação'!F401)),"")</f>
        <v/>
      </c>
      <c r="E401" s="34" t="str">
        <f>IFERROR(IF('Pós Implantação'!B401="CSC NOC",AVERAGE('Pós Implantação'!D401,'Pós Implantação'!L401,'Pós Implantação'!G401),AVERAGE('Pós Implantação'!G401)),"")</f>
        <v/>
      </c>
      <c r="F401" s="34" t="str">
        <f>IFERROR(IF('Pós Implantação'!B401="CSE Gravadores",AVERAGE('Pós Implantação'!D401,'Pós Implantação'!L401,'Pós Implantação'!I401),AVERAGE('Pós Implantação'!I401)),"")</f>
        <v/>
      </c>
      <c r="G401" s="34" t="str">
        <f>IFERROR(IF('Pós Implantação'!B401="CSC",AVERAGE('Pós Implantação'!D401,'Pós Implantação'!L401,'Pós Implantação'!J401),AVERAGE('Pós Implantação'!J401)),"")</f>
        <v/>
      </c>
      <c r="H401" s="34" t="str">
        <f>IFERROR(IF('Pós Implantação'!B401="Operações \ Negócio",AVERAGE('Pós Implantação'!D401,'Pós Implantação'!L401,'Pós Implantação'!K401),AVERAGE('Pós Implantação'!K401)),"")</f>
        <v/>
      </c>
      <c r="I401" s="34" t="str">
        <f>IFERROR(IF('Pós Implantação'!B401="Projetos",AVERAGE('Pós Implantação'!D401,'Pós Implantação'!L401,'Pós Implantação'!M401),AVERAGE('Pós Implantação'!M401)),"")</f>
        <v/>
      </c>
      <c r="J401" s="34" t="str">
        <f>IFERROR(IF('Pós Implantação'!B401="Engenharia",AVERAGE('Pós Implantação'!D401,'Pós Implantação'!L401,'Pós Implantação'!N401),AVERAGE('Pós Implantação'!N401)),"")</f>
        <v/>
      </c>
      <c r="K401" s="34" t="str">
        <f>IFERROR(IF('Pós Implantação'!B401="URA",AVERAGE('Pós Implantação'!D401,'Pós Implantação'!L401),""),"")</f>
        <v/>
      </c>
      <c r="L401" s="34" t="str">
        <f>IFERROR(IF('Pós Implantação'!B401="CSE Microsoft",AVERAGE('Pós Implantação'!D401,'Pós Implantação'!L401),""),"")</f>
        <v/>
      </c>
      <c r="M401" s="34" t="str">
        <f>IFERROR(IF('Pós Implantação'!B401="CSE Telecom",AVERAGE('Pós Implantação'!D401,'Pós Implantação'!L401),""),"")</f>
        <v/>
      </c>
      <c r="N401" s="34" t="str">
        <f>IFERROR(IF('Pós Implantação'!B401="Site Suporte de Campo",AVERAGE('Pós Implantação'!D401,'Pós Implantação'!L401),""),"")</f>
        <v/>
      </c>
      <c r="O401" s="49" t="str">
        <f>IFERROR(IF('Pós Implantação'!B401="Infraestrutura",AVERAGE('Pós Implantação'!D401,'Pós Implantação'!L401),""),"")</f>
        <v/>
      </c>
    </row>
    <row r="402" spans="1:15" x14ac:dyDescent="0.3">
      <c r="A402" s="33">
        <f>'Pré Implantação'!A402</f>
        <v>0</v>
      </c>
      <c r="B402" s="36" t="str">
        <f>'Pós Implantação'!C402</f>
        <v>0</v>
      </c>
      <c r="C402" s="34" t="str">
        <f>IFERROR(IF('Pré Implantação'!B402="Produção TI",AVERAGE('Pós Implantação'!D402,'Pós Implantação'!E402,'Pós Implantação'!L402,'Pós Implantação'!H402),AVERAGE('Pré Implantação'!E402,'Pré Implantação'!H402)),"")</f>
        <v/>
      </c>
      <c r="D402" s="34" t="str">
        <f>IFERROR(IF('Pós Implantação'!B402="CSC Service Desk",AVERAGE('Pós Implantação'!D402,'Pós Implantação'!L402,'Pós Implantação'!F402),AVERAGE('Pós Implantação'!F402)),"")</f>
        <v/>
      </c>
      <c r="E402" s="34" t="str">
        <f>IFERROR(IF('Pós Implantação'!B402="CSC NOC",AVERAGE('Pós Implantação'!D402,'Pós Implantação'!L402,'Pós Implantação'!G402),AVERAGE('Pós Implantação'!G402)),"")</f>
        <v/>
      </c>
      <c r="F402" s="34" t="str">
        <f>IFERROR(IF('Pós Implantação'!B402="CSE Gravadores",AVERAGE('Pós Implantação'!D402,'Pós Implantação'!L402,'Pós Implantação'!I402),AVERAGE('Pós Implantação'!I402)),"")</f>
        <v/>
      </c>
      <c r="G402" s="34" t="str">
        <f>IFERROR(IF('Pós Implantação'!B402="CSC",AVERAGE('Pós Implantação'!D402,'Pós Implantação'!L402,'Pós Implantação'!J402),AVERAGE('Pós Implantação'!J402)),"")</f>
        <v/>
      </c>
      <c r="H402" s="34" t="str">
        <f>IFERROR(IF('Pós Implantação'!B402="Operações \ Negócio",AVERAGE('Pós Implantação'!D402,'Pós Implantação'!L402,'Pós Implantação'!K402),AVERAGE('Pós Implantação'!K402)),"")</f>
        <v/>
      </c>
      <c r="I402" s="34" t="str">
        <f>IFERROR(IF('Pós Implantação'!B402="Projetos",AVERAGE('Pós Implantação'!D402,'Pós Implantação'!L402,'Pós Implantação'!M402),AVERAGE('Pós Implantação'!M402)),"")</f>
        <v/>
      </c>
      <c r="J402" s="34" t="str">
        <f>IFERROR(IF('Pós Implantação'!B402="Engenharia",AVERAGE('Pós Implantação'!D402,'Pós Implantação'!L402,'Pós Implantação'!N402),AVERAGE('Pós Implantação'!N402)),"")</f>
        <v/>
      </c>
      <c r="K402" s="34" t="str">
        <f>IFERROR(IF('Pós Implantação'!B402="URA",AVERAGE('Pós Implantação'!D402,'Pós Implantação'!L402),""),"")</f>
        <v/>
      </c>
      <c r="L402" s="34" t="str">
        <f>IFERROR(IF('Pós Implantação'!B402="CSE Microsoft",AVERAGE('Pós Implantação'!D402,'Pós Implantação'!L402),""),"")</f>
        <v/>
      </c>
      <c r="M402" s="34" t="str">
        <f>IFERROR(IF('Pós Implantação'!B402="CSE Telecom",AVERAGE('Pós Implantação'!D402,'Pós Implantação'!L402),""),"")</f>
        <v/>
      </c>
      <c r="N402" s="34" t="str">
        <f>IFERROR(IF('Pós Implantação'!B402="Site Suporte de Campo",AVERAGE('Pós Implantação'!D402,'Pós Implantação'!L402),""),"")</f>
        <v/>
      </c>
      <c r="O402" s="49" t="str">
        <f>IFERROR(IF('Pós Implantação'!B402="Infraestrutura",AVERAGE('Pós Implantação'!D402,'Pós Implantação'!L402),""),"")</f>
        <v/>
      </c>
    </row>
    <row r="403" spans="1:15" x14ac:dyDescent="0.3">
      <c r="A403" s="33">
        <f>'Pré Implantação'!A403</f>
        <v>0</v>
      </c>
      <c r="B403" s="36" t="str">
        <f>'Pós Implantação'!C403</f>
        <v>0</v>
      </c>
      <c r="C403" s="34" t="str">
        <f>IFERROR(IF('Pré Implantação'!B403="Produção TI",AVERAGE('Pós Implantação'!D403,'Pós Implantação'!E403,'Pós Implantação'!L403,'Pós Implantação'!H403),AVERAGE('Pré Implantação'!E403,'Pré Implantação'!H403)),"")</f>
        <v/>
      </c>
      <c r="D403" s="34" t="str">
        <f>IFERROR(IF('Pós Implantação'!B403="CSC Service Desk",AVERAGE('Pós Implantação'!D403,'Pós Implantação'!L403,'Pós Implantação'!F403),AVERAGE('Pós Implantação'!F403)),"")</f>
        <v/>
      </c>
      <c r="E403" s="34" t="str">
        <f>IFERROR(IF('Pós Implantação'!B403="CSC NOC",AVERAGE('Pós Implantação'!D403,'Pós Implantação'!L403,'Pós Implantação'!G403),AVERAGE('Pós Implantação'!G403)),"")</f>
        <v/>
      </c>
      <c r="F403" s="34" t="str">
        <f>IFERROR(IF('Pós Implantação'!B403="CSE Gravadores",AVERAGE('Pós Implantação'!D403,'Pós Implantação'!L403,'Pós Implantação'!I403),AVERAGE('Pós Implantação'!I403)),"")</f>
        <v/>
      </c>
      <c r="G403" s="34" t="str">
        <f>IFERROR(IF('Pós Implantação'!B403="CSC",AVERAGE('Pós Implantação'!D403,'Pós Implantação'!L403,'Pós Implantação'!J403),AVERAGE('Pós Implantação'!J403)),"")</f>
        <v/>
      </c>
      <c r="H403" s="34" t="str">
        <f>IFERROR(IF('Pós Implantação'!B403="Operações \ Negócio",AVERAGE('Pós Implantação'!D403,'Pós Implantação'!L403,'Pós Implantação'!K403),AVERAGE('Pós Implantação'!K403)),"")</f>
        <v/>
      </c>
      <c r="I403" s="34" t="str">
        <f>IFERROR(IF('Pós Implantação'!B403="Projetos",AVERAGE('Pós Implantação'!D403,'Pós Implantação'!L403,'Pós Implantação'!M403),AVERAGE('Pós Implantação'!M403)),"")</f>
        <v/>
      </c>
      <c r="J403" s="34" t="str">
        <f>IFERROR(IF('Pós Implantação'!B403="Engenharia",AVERAGE('Pós Implantação'!D403,'Pós Implantação'!L403,'Pós Implantação'!N403),AVERAGE('Pós Implantação'!N403)),"")</f>
        <v/>
      </c>
      <c r="K403" s="34" t="str">
        <f>IFERROR(IF('Pós Implantação'!B403="URA",AVERAGE('Pós Implantação'!D403,'Pós Implantação'!L403),""),"")</f>
        <v/>
      </c>
      <c r="L403" s="34" t="str">
        <f>IFERROR(IF('Pós Implantação'!B403="CSE Microsoft",AVERAGE('Pós Implantação'!D403,'Pós Implantação'!L403),""),"")</f>
        <v/>
      </c>
      <c r="M403" s="34" t="str">
        <f>IFERROR(IF('Pós Implantação'!B403="CSE Telecom",AVERAGE('Pós Implantação'!D403,'Pós Implantação'!L403),""),"")</f>
        <v/>
      </c>
      <c r="N403" s="34" t="str">
        <f>IFERROR(IF('Pós Implantação'!B403="Site Suporte de Campo",AVERAGE('Pós Implantação'!D403,'Pós Implantação'!L403),""),"")</f>
        <v/>
      </c>
      <c r="O403" s="49" t="str">
        <f>IFERROR(IF('Pós Implantação'!B403="Infraestrutura",AVERAGE('Pós Implantação'!D403,'Pós Implantação'!L403),""),"")</f>
        <v/>
      </c>
    </row>
    <row r="404" spans="1:15" x14ac:dyDescent="0.3">
      <c r="A404" s="33">
        <f>'Pré Implantação'!A404</f>
        <v>0</v>
      </c>
      <c r="B404" s="36" t="str">
        <f>'Pós Implantação'!C404</f>
        <v>0</v>
      </c>
      <c r="C404" s="34" t="str">
        <f>IFERROR(IF('Pré Implantação'!B404="Produção TI",AVERAGE('Pós Implantação'!D404,'Pós Implantação'!E404,'Pós Implantação'!L404,'Pós Implantação'!H404),AVERAGE('Pré Implantação'!E404,'Pré Implantação'!H404)),"")</f>
        <v/>
      </c>
      <c r="D404" s="34" t="str">
        <f>IFERROR(IF('Pós Implantação'!B404="CSC Service Desk",AVERAGE('Pós Implantação'!D404,'Pós Implantação'!L404,'Pós Implantação'!F404),AVERAGE('Pós Implantação'!F404)),"")</f>
        <v/>
      </c>
      <c r="E404" s="34" t="str">
        <f>IFERROR(IF('Pós Implantação'!B404="CSC NOC",AVERAGE('Pós Implantação'!D404,'Pós Implantação'!L404,'Pós Implantação'!G404),AVERAGE('Pós Implantação'!G404)),"")</f>
        <v/>
      </c>
      <c r="F404" s="34" t="str">
        <f>IFERROR(IF('Pós Implantação'!B404="CSE Gravadores",AVERAGE('Pós Implantação'!D404,'Pós Implantação'!L404,'Pós Implantação'!I404),AVERAGE('Pós Implantação'!I404)),"")</f>
        <v/>
      </c>
      <c r="G404" s="34" t="str">
        <f>IFERROR(IF('Pós Implantação'!B404="CSC",AVERAGE('Pós Implantação'!D404,'Pós Implantação'!L404,'Pós Implantação'!J404),AVERAGE('Pós Implantação'!J404)),"")</f>
        <v/>
      </c>
      <c r="H404" s="34" t="str">
        <f>IFERROR(IF('Pós Implantação'!B404="Operações \ Negócio",AVERAGE('Pós Implantação'!D404,'Pós Implantação'!L404,'Pós Implantação'!K404),AVERAGE('Pós Implantação'!K404)),"")</f>
        <v/>
      </c>
      <c r="I404" s="34" t="str">
        <f>IFERROR(IF('Pós Implantação'!B404="Projetos",AVERAGE('Pós Implantação'!D404,'Pós Implantação'!L404,'Pós Implantação'!M404),AVERAGE('Pós Implantação'!M404)),"")</f>
        <v/>
      </c>
      <c r="J404" s="34" t="str">
        <f>IFERROR(IF('Pós Implantação'!B404="Engenharia",AVERAGE('Pós Implantação'!D404,'Pós Implantação'!L404,'Pós Implantação'!N404),AVERAGE('Pós Implantação'!N404)),"")</f>
        <v/>
      </c>
      <c r="K404" s="34" t="str">
        <f>IFERROR(IF('Pós Implantação'!B404="URA",AVERAGE('Pós Implantação'!D404,'Pós Implantação'!L404),""),"")</f>
        <v/>
      </c>
      <c r="L404" s="34" t="str">
        <f>IFERROR(IF('Pós Implantação'!B404="CSE Microsoft",AVERAGE('Pós Implantação'!D404,'Pós Implantação'!L404),""),"")</f>
        <v/>
      </c>
      <c r="M404" s="34" t="str">
        <f>IFERROR(IF('Pós Implantação'!B404="CSE Telecom",AVERAGE('Pós Implantação'!D404,'Pós Implantação'!L404),""),"")</f>
        <v/>
      </c>
      <c r="N404" s="34" t="str">
        <f>IFERROR(IF('Pós Implantação'!B404="Site Suporte de Campo",AVERAGE('Pós Implantação'!D404,'Pós Implantação'!L404),""),"")</f>
        <v/>
      </c>
      <c r="O404" s="49" t="str">
        <f>IFERROR(IF('Pós Implantação'!B404="Infraestrutura",AVERAGE('Pós Implantação'!D404,'Pós Implantação'!L404),""),"")</f>
        <v/>
      </c>
    </row>
    <row r="405" spans="1:15" x14ac:dyDescent="0.3">
      <c r="A405" s="33">
        <f>'Pré Implantação'!A405</f>
        <v>0</v>
      </c>
      <c r="B405" s="36" t="str">
        <f>'Pós Implantação'!C405</f>
        <v>0</v>
      </c>
      <c r="C405" s="34" t="str">
        <f>IFERROR(IF('Pré Implantação'!B405="Produção TI",AVERAGE('Pós Implantação'!D405,'Pós Implantação'!E405,'Pós Implantação'!L405,'Pós Implantação'!H405),AVERAGE('Pré Implantação'!E405,'Pré Implantação'!H405)),"")</f>
        <v/>
      </c>
      <c r="D405" s="34" t="str">
        <f>IFERROR(IF('Pós Implantação'!B405="CSC Service Desk",AVERAGE('Pós Implantação'!D405,'Pós Implantação'!L405,'Pós Implantação'!F405),AVERAGE('Pós Implantação'!F405)),"")</f>
        <v/>
      </c>
      <c r="E405" s="34" t="str">
        <f>IFERROR(IF('Pós Implantação'!B405="CSC NOC",AVERAGE('Pós Implantação'!D405,'Pós Implantação'!L405,'Pós Implantação'!G405),AVERAGE('Pós Implantação'!G405)),"")</f>
        <v/>
      </c>
      <c r="F405" s="34" t="str">
        <f>IFERROR(IF('Pós Implantação'!B405="CSE Gravadores",AVERAGE('Pós Implantação'!D405,'Pós Implantação'!L405,'Pós Implantação'!I405),AVERAGE('Pós Implantação'!I405)),"")</f>
        <v/>
      </c>
      <c r="G405" s="34" t="str">
        <f>IFERROR(IF('Pós Implantação'!B405="CSC",AVERAGE('Pós Implantação'!D405,'Pós Implantação'!L405,'Pós Implantação'!J405),AVERAGE('Pós Implantação'!J405)),"")</f>
        <v/>
      </c>
      <c r="H405" s="34" t="str">
        <f>IFERROR(IF('Pós Implantação'!B405="Operações \ Negócio",AVERAGE('Pós Implantação'!D405,'Pós Implantação'!L405,'Pós Implantação'!K405),AVERAGE('Pós Implantação'!K405)),"")</f>
        <v/>
      </c>
      <c r="I405" s="34" t="str">
        <f>IFERROR(IF('Pós Implantação'!B405="Projetos",AVERAGE('Pós Implantação'!D405,'Pós Implantação'!L405,'Pós Implantação'!M405),AVERAGE('Pós Implantação'!M405)),"")</f>
        <v/>
      </c>
      <c r="J405" s="34" t="str">
        <f>IFERROR(IF('Pós Implantação'!B405="Engenharia",AVERAGE('Pós Implantação'!D405,'Pós Implantação'!L405,'Pós Implantação'!N405),AVERAGE('Pós Implantação'!N405)),"")</f>
        <v/>
      </c>
      <c r="K405" s="34" t="str">
        <f>IFERROR(IF('Pós Implantação'!B405="URA",AVERAGE('Pós Implantação'!D405,'Pós Implantação'!L405),""),"")</f>
        <v/>
      </c>
      <c r="L405" s="34" t="str">
        <f>IFERROR(IF('Pós Implantação'!B405="CSE Microsoft",AVERAGE('Pós Implantação'!D405,'Pós Implantação'!L405),""),"")</f>
        <v/>
      </c>
      <c r="M405" s="34" t="str">
        <f>IFERROR(IF('Pós Implantação'!B405="CSE Telecom",AVERAGE('Pós Implantação'!D405,'Pós Implantação'!L405),""),"")</f>
        <v/>
      </c>
      <c r="N405" s="34" t="str">
        <f>IFERROR(IF('Pós Implantação'!B405="Site Suporte de Campo",AVERAGE('Pós Implantação'!D405,'Pós Implantação'!L405),""),"")</f>
        <v/>
      </c>
      <c r="O405" s="49" t="str">
        <f>IFERROR(IF('Pós Implantação'!B405="Infraestrutura",AVERAGE('Pós Implantação'!D405,'Pós Implantação'!L405),""),"")</f>
        <v/>
      </c>
    </row>
    <row r="406" spans="1:15" x14ac:dyDescent="0.3">
      <c r="A406" s="33">
        <f>'Pré Implantação'!A406</f>
        <v>0</v>
      </c>
      <c r="B406" s="36" t="str">
        <f>'Pós Implantação'!C406</f>
        <v>0</v>
      </c>
      <c r="C406" s="34" t="str">
        <f>IFERROR(IF('Pré Implantação'!B406="Produção TI",AVERAGE('Pós Implantação'!D406,'Pós Implantação'!E406,'Pós Implantação'!L406,'Pós Implantação'!H406),AVERAGE('Pré Implantação'!E406,'Pré Implantação'!H406)),"")</f>
        <v/>
      </c>
      <c r="D406" s="34" t="str">
        <f>IFERROR(IF('Pós Implantação'!B406="CSC Service Desk",AVERAGE('Pós Implantação'!D406,'Pós Implantação'!L406,'Pós Implantação'!F406),AVERAGE('Pós Implantação'!F406)),"")</f>
        <v/>
      </c>
      <c r="E406" s="34" t="str">
        <f>IFERROR(IF('Pós Implantação'!B406="CSC NOC",AVERAGE('Pós Implantação'!D406,'Pós Implantação'!L406,'Pós Implantação'!G406),AVERAGE('Pós Implantação'!G406)),"")</f>
        <v/>
      </c>
      <c r="F406" s="34" t="str">
        <f>IFERROR(IF('Pós Implantação'!B406="CSE Gravadores",AVERAGE('Pós Implantação'!D406,'Pós Implantação'!L406,'Pós Implantação'!I406),AVERAGE('Pós Implantação'!I406)),"")</f>
        <v/>
      </c>
      <c r="G406" s="34" t="str">
        <f>IFERROR(IF('Pós Implantação'!B406="CSC",AVERAGE('Pós Implantação'!D406,'Pós Implantação'!L406,'Pós Implantação'!J406),AVERAGE('Pós Implantação'!J406)),"")</f>
        <v/>
      </c>
      <c r="H406" s="34" t="str">
        <f>IFERROR(IF('Pós Implantação'!B406="Operações \ Negócio",AVERAGE('Pós Implantação'!D406,'Pós Implantação'!L406,'Pós Implantação'!K406),AVERAGE('Pós Implantação'!K406)),"")</f>
        <v/>
      </c>
      <c r="I406" s="34" t="str">
        <f>IFERROR(IF('Pós Implantação'!B406="Projetos",AVERAGE('Pós Implantação'!D406,'Pós Implantação'!L406,'Pós Implantação'!M406),AVERAGE('Pós Implantação'!M406)),"")</f>
        <v/>
      </c>
      <c r="J406" s="34" t="str">
        <f>IFERROR(IF('Pós Implantação'!B406="Engenharia",AVERAGE('Pós Implantação'!D406,'Pós Implantação'!L406,'Pós Implantação'!N406),AVERAGE('Pós Implantação'!N406)),"")</f>
        <v/>
      </c>
      <c r="K406" s="34" t="str">
        <f>IFERROR(IF('Pós Implantação'!B406="URA",AVERAGE('Pós Implantação'!D406,'Pós Implantação'!L406),""),"")</f>
        <v/>
      </c>
      <c r="L406" s="34" t="str">
        <f>IFERROR(IF('Pós Implantação'!B406="CSE Microsoft",AVERAGE('Pós Implantação'!D406,'Pós Implantação'!L406),""),"")</f>
        <v/>
      </c>
      <c r="M406" s="34" t="str">
        <f>IFERROR(IF('Pós Implantação'!B406="CSE Telecom",AVERAGE('Pós Implantação'!D406,'Pós Implantação'!L406),""),"")</f>
        <v/>
      </c>
      <c r="N406" s="34" t="str">
        <f>IFERROR(IF('Pós Implantação'!B406="Site Suporte de Campo",AVERAGE('Pós Implantação'!D406,'Pós Implantação'!L406),""),"")</f>
        <v/>
      </c>
      <c r="O406" s="49" t="str">
        <f>IFERROR(IF('Pós Implantação'!B406="Infraestrutura",AVERAGE('Pós Implantação'!D406,'Pós Implantação'!L406),""),"")</f>
        <v/>
      </c>
    </row>
    <row r="407" spans="1:15" x14ac:dyDescent="0.3">
      <c r="A407" s="33">
        <f>'Pré Implantação'!A407</f>
        <v>0</v>
      </c>
      <c r="B407" s="36" t="str">
        <f>'Pós Implantação'!C407</f>
        <v>0</v>
      </c>
      <c r="C407" s="34" t="str">
        <f>IFERROR(IF('Pré Implantação'!B407="Produção TI",AVERAGE('Pós Implantação'!D407,'Pós Implantação'!E407,'Pós Implantação'!L407,'Pós Implantação'!H407),AVERAGE('Pré Implantação'!E407,'Pré Implantação'!H407)),"")</f>
        <v/>
      </c>
      <c r="D407" s="34" t="str">
        <f>IFERROR(IF('Pós Implantação'!B407="CSC Service Desk",AVERAGE('Pós Implantação'!D407,'Pós Implantação'!L407,'Pós Implantação'!F407),AVERAGE('Pós Implantação'!F407)),"")</f>
        <v/>
      </c>
      <c r="E407" s="34" t="str">
        <f>IFERROR(IF('Pós Implantação'!B407="CSC NOC",AVERAGE('Pós Implantação'!D407,'Pós Implantação'!L407,'Pós Implantação'!G407),AVERAGE('Pós Implantação'!G407)),"")</f>
        <v/>
      </c>
      <c r="F407" s="34" t="str">
        <f>IFERROR(IF('Pós Implantação'!B407="CSE Gravadores",AVERAGE('Pós Implantação'!D407,'Pós Implantação'!L407,'Pós Implantação'!I407),AVERAGE('Pós Implantação'!I407)),"")</f>
        <v/>
      </c>
      <c r="G407" s="34" t="str">
        <f>IFERROR(IF('Pós Implantação'!B407="CSC",AVERAGE('Pós Implantação'!D407,'Pós Implantação'!L407,'Pós Implantação'!J407),AVERAGE('Pós Implantação'!J407)),"")</f>
        <v/>
      </c>
      <c r="H407" s="34" t="str">
        <f>IFERROR(IF('Pós Implantação'!B407="Operações \ Negócio",AVERAGE('Pós Implantação'!D407,'Pós Implantação'!L407,'Pós Implantação'!K407),AVERAGE('Pós Implantação'!K407)),"")</f>
        <v/>
      </c>
      <c r="I407" s="34" t="str">
        <f>IFERROR(IF('Pós Implantação'!B407="Projetos",AVERAGE('Pós Implantação'!D407,'Pós Implantação'!L407,'Pós Implantação'!M407),AVERAGE('Pós Implantação'!M407)),"")</f>
        <v/>
      </c>
      <c r="J407" s="34" t="str">
        <f>IFERROR(IF('Pós Implantação'!B407="Engenharia",AVERAGE('Pós Implantação'!D407,'Pós Implantação'!L407,'Pós Implantação'!N407),AVERAGE('Pós Implantação'!N407)),"")</f>
        <v/>
      </c>
      <c r="K407" s="34" t="str">
        <f>IFERROR(IF('Pós Implantação'!B407="URA",AVERAGE('Pós Implantação'!D407,'Pós Implantação'!L407),""),"")</f>
        <v/>
      </c>
      <c r="L407" s="34" t="str">
        <f>IFERROR(IF('Pós Implantação'!B407="CSE Microsoft",AVERAGE('Pós Implantação'!D407,'Pós Implantação'!L407),""),"")</f>
        <v/>
      </c>
      <c r="M407" s="34" t="str">
        <f>IFERROR(IF('Pós Implantação'!B407="CSE Telecom",AVERAGE('Pós Implantação'!D407,'Pós Implantação'!L407),""),"")</f>
        <v/>
      </c>
      <c r="N407" s="34" t="str">
        <f>IFERROR(IF('Pós Implantação'!B407="Site Suporte de Campo",AVERAGE('Pós Implantação'!D407,'Pós Implantação'!L407),""),"")</f>
        <v/>
      </c>
      <c r="O407" s="49" t="str">
        <f>IFERROR(IF('Pós Implantação'!B407="Infraestrutura",AVERAGE('Pós Implantação'!D407,'Pós Implantação'!L407),""),"")</f>
        <v/>
      </c>
    </row>
    <row r="408" spans="1:15" x14ac:dyDescent="0.3">
      <c r="A408" s="33">
        <f>'Pré Implantação'!A408</f>
        <v>0</v>
      </c>
      <c r="B408" s="36" t="str">
        <f>'Pós Implantação'!C408</f>
        <v>0</v>
      </c>
      <c r="C408" s="34" t="str">
        <f>IFERROR(IF('Pré Implantação'!B408="Produção TI",AVERAGE('Pós Implantação'!D408,'Pós Implantação'!E408,'Pós Implantação'!L408,'Pós Implantação'!H408),AVERAGE('Pré Implantação'!E408,'Pré Implantação'!H408)),"")</f>
        <v/>
      </c>
      <c r="D408" s="34" t="str">
        <f>IFERROR(IF('Pós Implantação'!B408="CSC Service Desk",AVERAGE('Pós Implantação'!D408,'Pós Implantação'!L408,'Pós Implantação'!F408),AVERAGE('Pós Implantação'!F408)),"")</f>
        <v/>
      </c>
      <c r="E408" s="34" t="str">
        <f>IFERROR(IF('Pós Implantação'!B408="CSC NOC",AVERAGE('Pós Implantação'!D408,'Pós Implantação'!L408,'Pós Implantação'!G408),AVERAGE('Pós Implantação'!G408)),"")</f>
        <v/>
      </c>
      <c r="F408" s="34" t="str">
        <f>IFERROR(IF('Pós Implantação'!B408="CSE Gravadores",AVERAGE('Pós Implantação'!D408,'Pós Implantação'!L408,'Pós Implantação'!I408),AVERAGE('Pós Implantação'!I408)),"")</f>
        <v/>
      </c>
      <c r="G408" s="34" t="str">
        <f>IFERROR(IF('Pós Implantação'!B408="CSC",AVERAGE('Pós Implantação'!D408,'Pós Implantação'!L408,'Pós Implantação'!J408),AVERAGE('Pós Implantação'!J408)),"")</f>
        <v/>
      </c>
      <c r="H408" s="34" t="str">
        <f>IFERROR(IF('Pós Implantação'!B408="Operações \ Negócio",AVERAGE('Pós Implantação'!D408,'Pós Implantação'!L408,'Pós Implantação'!K408),AVERAGE('Pós Implantação'!K408)),"")</f>
        <v/>
      </c>
      <c r="I408" s="34" t="str">
        <f>IFERROR(IF('Pós Implantação'!B408="Projetos",AVERAGE('Pós Implantação'!D408,'Pós Implantação'!L408,'Pós Implantação'!M408),AVERAGE('Pós Implantação'!M408)),"")</f>
        <v/>
      </c>
      <c r="J408" s="34" t="str">
        <f>IFERROR(IF('Pós Implantação'!B408="Engenharia",AVERAGE('Pós Implantação'!D408,'Pós Implantação'!L408,'Pós Implantação'!N408),AVERAGE('Pós Implantação'!N408)),"")</f>
        <v/>
      </c>
      <c r="K408" s="34" t="str">
        <f>IFERROR(IF('Pós Implantação'!B408="URA",AVERAGE('Pós Implantação'!D408,'Pós Implantação'!L408),""),"")</f>
        <v/>
      </c>
      <c r="L408" s="34" t="str">
        <f>IFERROR(IF('Pós Implantação'!B408="CSE Microsoft",AVERAGE('Pós Implantação'!D408,'Pós Implantação'!L408),""),"")</f>
        <v/>
      </c>
      <c r="M408" s="34" t="str">
        <f>IFERROR(IF('Pós Implantação'!B408="CSE Telecom",AVERAGE('Pós Implantação'!D408,'Pós Implantação'!L408),""),"")</f>
        <v/>
      </c>
      <c r="N408" s="34" t="str">
        <f>IFERROR(IF('Pós Implantação'!B408="Site Suporte de Campo",AVERAGE('Pós Implantação'!D408,'Pós Implantação'!L408),""),"")</f>
        <v/>
      </c>
      <c r="O408" s="49" t="str">
        <f>IFERROR(IF('Pós Implantação'!B408="Infraestrutura",AVERAGE('Pós Implantação'!D408,'Pós Implantação'!L408),""),"")</f>
        <v/>
      </c>
    </row>
    <row r="409" spans="1:15" x14ac:dyDescent="0.3">
      <c r="A409" s="33">
        <f>'Pré Implantação'!A409</f>
        <v>0</v>
      </c>
      <c r="B409" s="36" t="str">
        <f>'Pós Implantação'!C409</f>
        <v>0</v>
      </c>
      <c r="C409" s="34" t="str">
        <f>IFERROR(IF('Pré Implantação'!B409="Produção TI",AVERAGE('Pós Implantação'!D409,'Pós Implantação'!E409,'Pós Implantação'!L409,'Pós Implantação'!H409),AVERAGE('Pré Implantação'!E409,'Pré Implantação'!H409)),"")</f>
        <v/>
      </c>
      <c r="D409" s="34" t="str">
        <f>IFERROR(IF('Pós Implantação'!B409="CSC Service Desk",AVERAGE('Pós Implantação'!D409,'Pós Implantação'!L409,'Pós Implantação'!F409),AVERAGE('Pós Implantação'!F409)),"")</f>
        <v/>
      </c>
      <c r="E409" s="34" t="str">
        <f>IFERROR(IF('Pós Implantação'!B409="CSC NOC",AVERAGE('Pós Implantação'!D409,'Pós Implantação'!L409,'Pós Implantação'!G409),AVERAGE('Pós Implantação'!G409)),"")</f>
        <v/>
      </c>
      <c r="F409" s="34" t="str">
        <f>IFERROR(IF('Pós Implantação'!B409="CSE Gravadores",AVERAGE('Pós Implantação'!D409,'Pós Implantação'!L409,'Pós Implantação'!I409),AVERAGE('Pós Implantação'!I409)),"")</f>
        <v/>
      </c>
      <c r="G409" s="34" t="str">
        <f>IFERROR(IF('Pós Implantação'!B409="CSC",AVERAGE('Pós Implantação'!D409,'Pós Implantação'!L409,'Pós Implantação'!J409),AVERAGE('Pós Implantação'!J409)),"")</f>
        <v/>
      </c>
      <c r="H409" s="34" t="str">
        <f>IFERROR(IF('Pós Implantação'!B409="Operações \ Negócio",AVERAGE('Pós Implantação'!D409,'Pós Implantação'!L409,'Pós Implantação'!K409),AVERAGE('Pós Implantação'!K409)),"")</f>
        <v/>
      </c>
      <c r="I409" s="34" t="str">
        <f>IFERROR(IF('Pós Implantação'!B409="Projetos",AVERAGE('Pós Implantação'!D409,'Pós Implantação'!L409,'Pós Implantação'!M409),AVERAGE('Pós Implantação'!M409)),"")</f>
        <v/>
      </c>
      <c r="J409" s="34" t="str">
        <f>IFERROR(IF('Pós Implantação'!B409="Engenharia",AVERAGE('Pós Implantação'!D409,'Pós Implantação'!L409,'Pós Implantação'!N409),AVERAGE('Pós Implantação'!N409)),"")</f>
        <v/>
      </c>
      <c r="K409" s="34" t="str">
        <f>IFERROR(IF('Pós Implantação'!B409="URA",AVERAGE('Pós Implantação'!D409,'Pós Implantação'!L409),""),"")</f>
        <v/>
      </c>
      <c r="L409" s="34" t="str">
        <f>IFERROR(IF('Pós Implantação'!B409="CSE Microsoft",AVERAGE('Pós Implantação'!D409,'Pós Implantação'!L409),""),"")</f>
        <v/>
      </c>
      <c r="M409" s="34" t="str">
        <f>IFERROR(IF('Pós Implantação'!B409="CSE Telecom",AVERAGE('Pós Implantação'!D409,'Pós Implantação'!L409),""),"")</f>
        <v/>
      </c>
      <c r="N409" s="34" t="str">
        <f>IFERROR(IF('Pós Implantação'!B409="Site Suporte de Campo",AVERAGE('Pós Implantação'!D409,'Pós Implantação'!L409),""),"")</f>
        <v/>
      </c>
      <c r="O409" s="49" t="str">
        <f>IFERROR(IF('Pós Implantação'!B409="Infraestrutura",AVERAGE('Pós Implantação'!D409,'Pós Implantação'!L409),""),"")</f>
        <v/>
      </c>
    </row>
    <row r="410" spans="1:15" x14ac:dyDescent="0.3">
      <c r="A410" s="33">
        <f>'Pré Implantação'!A410</f>
        <v>0</v>
      </c>
      <c r="B410" s="36" t="str">
        <f>'Pós Implantação'!C410</f>
        <v>0</v>
      </c>
      <c r="C410" s="34" t="str">
        <f>IFERROR(IF('Pré Implantação'!B410="Produção TI",AVERAGE('Pós Implantação'!D410,'Pós Implantação'!E410,'Pós Implantação'!L410,'Pós Implantação'!H410),AVERAGE('Pré Implantação'!E410,'Pré Implantação'!H410)),"")</f>
        <v/>
      </c>
      <c r="D410" s="34" t="str">
        <f>IFERROR(IF('Pós Implantação'!B410="CSC Service Desk",AVERAGE('Pós Implantação'!D410,'Pós Implantação'!L410,'Pós Implantação'!F410),AVERAGE('Pós Implantação'!F410)),"")</f>
        <v/>
      </c>
      <c r="E410" s="34" t="str">
        <f>IFERROR(IF('Pós Implantação'!B410="CSC NOC",AVERAGE('Pós Implantação'!D410,'Pós Implantação'!L410,'Pós Implantação'!G410),AVERAGE('Pós Implantação'!G410)),"")</f>
        <v/>
      </c>
      <c r="F410" s="34" t="str">
        <f>IFERROR(IF('Pós Implantação'!B410="CSE Gravadores",AVERAGE('Pós Implantação'!D410,'Pós Implantação'!L410,'Pós Implantação'!I410),AVERAGE('Pós Implantação'!I410)),"")</f>
        <v/>
      </c>
      <c r="G410" s="34" t="str">
        <f>IFERROR(IF('Pós Implantação'!B410="CSC",AVERAGE('Pós Implantação'!D410,'Pós Implantação'!L410,'Pós Implantação'!J410),AVERAGE('Pós Implantação'!J410)),"")</f>
        <v/>
      </c>
      <c r="H410" s="34" t="str">
        <f>IFERROR(IF('Pós Implantação'!B410="Operações \ Negócio",AVERAGE('Pós Implantação'!D410,'Pós Implantação'!L410,'Pós Implantação'!K410),AVERAGE('Pós Implantação'!K410)),"")</f>
        <v/>
      </c>
      <c r="I410" s="34" t="str">
        <f>IFERROR(IF('Pós Implantação'!B410="Projetos",AVERAGE('Pós Implantação'!D410,'Pós Implantação'!L410,'Pós Implantação'!M410),AVERAGE('Pós Implantação'!M410)),"")</f>
        <v/>
      </c>
      <c r="J410" s="34" t="str">
        <f>IFERROR(IF('Pós Implantação'!B410="Engenharia",AVERAGE('Pós Implantação'!D410,'Pós Implantação'!L410,'Pós Implantação'!N410),AVERAGE('Pós Implantação'!N410)),"")</f>
        <v/>
      </c>
      <c r="K410" s="34" t="str">
        <f>IFERROR(IF('Pós Implantação'!B410="URA",AVERAGE('Pós Implantação'!D410,'Pós Implantação'!L410),""),"")</f>
        <v/>
      </c>
      <c r="L410" s="34" t="str">
        <f>IFERROR(IF('Pós Implantação'!B410="CSE Microsoft",AVERAGE('Pós Implantação'!D410,'Pós Implantação'!L410),""),"")</f>
        <v/>
      </c>
      <c r="M410" s="34" t="str">
        <f>IFERROR(IF('Pós Implantação'!B410="CSE Telecom",AVERAGE('Pós Implantação'!D410,'Pós Implantação'!L410),""),"")</f>
        <v/>
      </c>
      <c r="N410" s="34" t="str">
        <f>IFERROR(IF('Pós Implantação'!B410="Site Suporte de Campo",AVERAGE('Pós Implantação'!D410,'Pós Implantação'!L410),""),"")</f>
        <v/>
      </c>
      <c r="O410" s="49" t="str">
        <f>IFERROR(IF('Pós Implantação'!B410="Infraestrutura",AVERAGE('Pós Implantação'!D410,'Pós Implantação'!L410),""),"")</f>
        <v/>
      </c>
    </row>
    <row r="411" spans="1:15" x14ac:dyDescent="0.3">
      <c r="A411" s="33">
        <f>'Pré Implantação'!A411</f>
        <v>0</v>
      </c>
      <c r="B411" s="36" t="str">
        <f>'Pós Implantação'!C411</f>
        <v>0</v>
      </c>
      <c r="C411" s="34" t="str">
        <f>IFERROR(IF('Pré Implantação'!B411="Produção TI",AVERAGE('Pós Implantação'!D411,'Pós Implantação'!E411,'Pós Implantação'!L411,'Pós Implantação'!H411),AVERAGE('Pré Implantação'!E411,'Pré Implantação'!H411)),"")</f>
        <v/>
      </c>
      <c r="D411" s="34" t="str">
        <f>IFERROR(IF('Pós Implantação'!B411="CSC Service Desk",AVERAGE('Pós Implantação'!D411,'Pós Implantação'!L411,'Pós Implantação'!F411),AVERAGE('Pós Implantação'!F411)),"")</f>
        <v/>
      </c>
      <c r="E411" s="34" t="str">
        <f>IFERROR(IF('Pós Implantação'!B411="CSC NOC",AVERAGE('Pós Implantação'!D411,'Pós Implantação'!L411,'Pós Implantação'!G411),AVERAGE('Pós Implantação'!G411)),"")</f>
        <v/>
      </c>
      <c r="F411" s="34" t="str">
        <f>IFERROR(IF('Pós Implantação'!B411="CSE Gravadores",AVERAGE('Pós Implantação'!D411,'Pós Implantação'!L411,'Pós Implantação'!I411),AVERAGE('Pós Implantação'!I411)),"")</f>
        <v/>
      </c>
      <c r="G411" s="34" t="str">
        <f>IFERROR(IF('Pós Implantação'!B411="CSC",AVERAGE('Pós Implantação'!D411,'Pós Implantação'!L411,'Pós Implantação'!J411),AVERAGE('Pós Implantação'!J411)),"")</f>
        <v/>
      </c>
      <c r="H411" s="34" t="str">
        <f>IFERROR(IF('Pós Implantação'!B411="Operações \ Negócio",AVERAGE('Pós Implantação'!D411,'Pós Implantação'!L411,'Pós Implantação'!K411),AVERAGE('Pós Implantação'!K411)),"")</f>
        <v/>
      </c>
      <c r="I411" s="34" t="str">
        <f>IFERROR(IF('Pós Implantação'!B411="Projetos",AVERAGE('Pós Implantação'!D411,'Pós Implantação'!L411,'Pós Implantação'!M411),AVERAGE('Pós Implantação'!M411)),"")</f>
        <v/>
      </c>
      <c r="J411" s="34" t="str">
        <f>IFERROR(IF('Pós Implantação'!B411="Engenharia",AVERAGE('Pós Implantação'!D411,'Pós Implantação'!L411,'Pós Implantação'!N411),AVERAGE('Pós Implantação'!N411)),"")</f>
        <v/>
      </c>
      <c r="K411" s="34" t="str">
        <f>IFERROR(IF('Pós Implantação'!B411="URA",AVERAGE('Pós Implantação'!D411,'Pós Implantação'!L411),""),"")</f>
        <v/>
      </c>
      <c r="L411" s="34" t="str">
        <f>IFERROR(IF('Pós Implantação'!B411="CSE Microsoft",AVERAGE('Pós Implantação'!D411,'Pós Implantação'!L411),""),"")</f>
        <v/>
      </c>
      <c r="M411" s="34" t="str">
        <f>IFERROR(IF('Pós Implantação'!B411="CSE Telecom",AVERAGE('Pós Implantação'!D411,'Pós Implantação'!L411),""),"")</f>
        <v/>
      </c>
      <c r="N411" s="34" t="str">
        <f>IFERROR(IF('Pós Implantação'!B411="Site Suporte de Campo",AVERAGE('Pós Implantação'!D411,'Pós Implantação'!L411),""),"")</f>
        <v/>
      </c>
      <c r="O411" s="49" t="str">
        <f>IFERROR(IF('Pós Implantação'!B411="Infraestrutura",AVERAGE('Pós Implantação'!D411,'Pós Implantação'!L411),""),"")</f>
        <v/>
      </c>
    </row>
    <row r="412" spans="1:15" x14ac:dyDescent="0.3">
      <c r="A412" s="33">
        <f>'Pré Implantação'!A412</f>
        <v>0</v>
      </c>
      <c r="B412" s="36" t="str">
        <f>'Pós Implantação'!C412</f>
        <v>0</v>
      </c>
      <c r="C412" s="34" t="str">
        <f>IFERROR(IF('Pré Implantação'!B412="Produção TI",AVERAGE('Pós Implantação'!D412,'Pós Implantação'!E412,'Pós Implantação'!L412,'Pós Implantação'!H412),AVERAGE('Pré Implantação'!E412,'Pré Implantação'!H412)),"")</f>
        <v/>
      </c>
      <c r="D412" s="34" t="str">
        <f>IFERROR(IF('Pós Implantação'!B412="CSC Service Desk",AVERAGE('Pós Implantação'!D412,'Pós Implantação'!L412,'Pós Implantação'!F412),AVERAGE('Pós Implantação'!F412)),"")</f>
        <v/>
      </c>
      <c r="E412" s="34" t="str">
        <f>IFERROR(IF('Pós Implantação'!B412="CSC NOC",AVERAGE('Pós Implantação'!D412,'Pós Implantação'!L412,'Pós Implantação'!G412),AVERAGE('Pós Implantação'!G412)),"")</f>
        <v/>
      </c>
      <c r="F412" s="34" t="str">
        <f>IFERROR(IF('Pós Implantação'!B412="CSE Gravadores",AVERAGE('Pós Implantação'!D412,'Pós Implantação'!L412,'Pós Implantação'!I412),AVERAGE('Pós Implantação'!I412)),"")</f>
        <v/>
      </c>
      <c r="G412" s="34" t="str">
        <f>IFERROR(IF('Pós Implantação'!B412="CSC",AVERAGE('Pós Implantação'!D412,'Pós Implantação'!L412,'Pós Implantação'!J412),AVERAGE('Pós Implantação'!J412)),"")</f>
        <v/>
      </c>
      <c r="H412" s="34" t="str">
        <f>IFERROR(IF('Pós Implantação'!B412="Operações \ Negócio",AVERAGE('Pós Implantação'!D412,'Pós Implantação'!L412,'Pós Implantação'!K412),AVERAGE('Pós Implantação'!K412)),"")</f>
        <v/>
      </c>
      <c r="I412" s="34" t="str">
        <f>IFERROR(IF('Pós Implantação'!B412="Projetos",AVERAGE('Pós Implantação'!D412,'Pós Implantação'!L412,'Pós Implantação'!M412),AVERAGE('Pós Implantação'!M412)),"")</f>
        <v/>
      </c>
      <c r="J412" s="34" t="str">
        <f>IFERROR(IF('Pós Implantação'!B412="Engenharia",AVERAGE('Pós Implantação'!D412,'Pós Implantação'!L412,'Pós Implantação'!N412),AVERAGE('Pós Implantação'!N412)),"")</f>
        <v/>
      </c>
      <c r="K412" s="34" t="str">
        <f>IFERROR(IF('Pós Implantação'!B412="URA",AVERAGE('Pós Implantação'!D412,'Pós Implantação'!L412),""),"")</f>
        <v/>
      </c>
      <c r="L412" s="34" t="str">
        <f>IFERROR(IF('Pós Implantação'!B412="CSE Microsoft",AVERAGE('Pós Implantação'!D412,'Pós Implantação'!L412),""),"")</f>
        <v/>
      </c>
      <c r="M412" s="34" t="str">
        <f>IFERROR(IF('Pós Implantação'!B412="CSE Telecom",AVERAGE('Pós Implantação'!D412,'Pós Implantação'!L412),""),"")</f>
        <v/>
      </c>
      <c r="N412" s="34" t="str">
        <f>IFERROR(IF('Pós Implantação'!B412="Site Suporte de Campo",AVERAGE('Pós Implantação'!D412,'Pós Implantação'!L412),""),"")</f>
        <v/>
      </c>
      <c r="O412" s="49" t="str">
        <f>IFERROR(IF('Pós Implantação'!B412="Infraestrutura",AVERAGE('Pós Implantação'!D412,'Pós Implantação'!L412),""),"")</f>
        <v/>
      </c>
    </row>
    <row r="413" spans="1:15" x14ac:dyDescent="0.3">
      <c r="A413" s="33">
        <f>'Pré Implantação'!A413</f>
        <v>0</v>
      </c>
      <c r="B413" s="36" t="str">
        <f>'Pós Implantação'!C413</f>
        <v>0</v>
      </c>
      <c r="C413" s="34" t="str">
        <f>IFERROR(IF('Pré Implantação'!B413="Produção TI",AVERAGE('Pós Implantação'!D413,'Pós Implantação'!E413,'Pós Implantação'!L413,'Pós Implantação'!H413),AVERAGE('Pré Implantação'!E413,'Pré Implantação'!H413)),"")</f>
        <v/>
      </c>
      <c r="D413" s="34" t="str">
        <f>IFERROR(IF('Pós Implantação'!B413="CSC Service Desk",AVERAGE('Pós Implantação'!D413,'Pós Implantação'!L413,'Pós Implantação'!F413),AVERAGE('Pós Implantação'!F413)),"")</f>
        <v/>
      </c>
      <c r="E413" s="34" t="str">
        <f>IFERROR(IF('Pós Implantação'!B413="CSC NOC",AVERAGE('Pós Implantação'!D413,'Pós Implantação'!L413,'Pós Implantação'!G413),AVERAGE('Pós Implantação'!G413)),"")</f>
        <v/>
      </c>
      <c r="F413" s="34" t="str">
        <f>IFERROR(IF('Pós Implantação'!B413="CSE Gravadores",AVERAGE('Pós Implantação'!D413,'Pós Implantação'!L413,'Pós Implantação'!I413),AVERAGE('Pós Implantação'!I413)),"")</f>
        <v/>
      </c>
      <c r="G413" s="34" t="str">
        <f>IFERROR(IF('Pós Implantação'!B413="CSC",AVERAGE('Pós Implantação'!D413,'Pós Implantação'!L413,'Pós Implantação'!J413),AVERAGE('Pós Implantação'!J413)),"")</f>
        <v/>
      </c>
      <c r="H413" s="34" t="str">
        <f>IFERROR(IF('Pós Implantação'!B413="Operações \ Negócio",AVERAGE('Pós Implantação'!D413,'Pós Implantação'!L413,'Pós Implantação'!K413),AVERAGE('Pós Implantação'!K413)),"")</f>
        <v/>
      </c>
      <c r="I413" s="34" t="str">
        <f>IFERROR(IF('Pós Implantação'!B413="Projetos",AVERAGE('Pós Implantação'!D413,'Pós Implantação'!L413,'Pós Implantação'!M413),AVERAGE('Pós Implantação'!M413)),"")</f>
        <v/>
      </c>
      <c r="J413" s="34" t="str">
        <f>IFERROR(IF('Pós Implantação'!B413="Engenharia",AVERAGE('Pós Implantação'!D413,'Pós Implantação'!L413,'Pós Implantação'!N413),AVERAGE('Pós Implantação'!N413)),"")</f>
        <v/>
      </c>
      <c r="K413" s="34" t="str">
        <f>IFERROR(IF('Pós Implantação'!B413="URA",AVERAGE('Pós Implantação'!D413,'Pós Implantação'!L413),""),"")</f>
        <v/>
      </c>
      <c r="L413" s="34" t="str">
        <f>IFERROR(IF('Pós Implantação'!B413="CSE Microsoft",AVERAGE('Pós Implantação'!D413,'Pós Implantação'!L413),""),"")</f>
        <v/>
      </c>
      <c r="M413" s="34" t="str">
        <f>IFERROR(IF('Pós Implantação'!B413="CSE Telecom",AVERAGE('Pós Implantação'!D413,'Pós Implantação'!L413),""),"")</f>
        <v/>
      </c>
      <c r="N413" s="34" t="str">
        <f>IFERROR(IF('Pós Implantação'!B413="Site Suporte de Campo",AVERAGE('Pós Implantação'!D413,'Pós Implantação'!L413),""),"")</f>
        <v/>
      </c>
      <c r="O413" s="49" t="str">
        <f>IFERROR(IF('Pós Implantação'!B413="Infraestrutura",AVERAGE('Pós Implantação'!D413,'Pós Implantação'!L413),""),"")</f>
        <v/>
      </c>
    </row>
    <row r="414" spans="1:15" x14ac:dyDescent="0.3">
      <c r="A414" s="33">
        <f>'Pré Implantação'!A414</f>
        <v>0</v>
      </c>
      <c r="B414" s="36" t="str">
        <f>'Pós Implantação'!C414</f>
        <v>0</v>
      </c>
      <c r="C414" s="34" t="str">
        <f>IFERROR(IF('Pré Implantação'!B414="Produção TI",AVERAGE('Pós Implantação'!D414,'Pós Implantação'!E414,'Pós Implantação'!L414,'Pós Implantação'!H414),AVERAGE('Pré Implantação'!E414,'Pré Implantação'!H414)),"")</f>
        <v/>
      </c>
      <c r="D414" s="34" t="str">
        <f>IFERROR(IF('Pós Implantação'!B414="CSC Service Desk",AVERAGE('Pós Implantação'!D414,'Pós Implantação'!L414,'Pós Implantação'!F414),AVERAGE('Pós Implantação'!F414)),"")</f>
        <v/>
      </c>
      <c r="E414" s="34" t="str">
        <f>IFERROR(IF('Pós Implantação'!B414="CSC NOC",AVERAGE('Pós Implantação'!D414,'Pós Implantação'!L414,'Pós Implantação'!G414),AVERAGE('Pós Implantação'!G414)),"")</f>
        <v/>
      </c>
      <c r="F414" s="34" t="str">
        <f>IFERROR(IF('Pós Implantação'!B414="CSE Gravadores",AVERAGE('Pós Implantação'!D414,'Pós Implantação'!L414,'Pós Implantação'!I414),AVERAGE('Pós Implantação'!I414)),"")</f>
        <v/>
      </c>
      <c r="G414" s="34" t="str">
        <f>IFERROR(IF('Pós Implantação'!B414="CSC",AVERAGE('Pós Implantação'!D414,'Pós Implantação'!L414,'Pós Implantação'!J414),AVERAGE('Pós Implantação'!J414)),"")</f>
        <v/>
      </c>
      <c r="H414" s="34" t="str">
        <f>IFERROR(IF('Pós Implantação'!B414="Operações \ Negócio",AVERAGE('Pós Implantação'!D414,'Pós Implantação'!L414,'Pós Implantação'!K414),AVERAGE('Pós Implantação'!K414)),"")</f>
        <v/>
      </c>
      <c r="I414" s="34" t="str">
        <f>IFERROR(IF('Pós Implantação'!B414="Projetos",AVERAGE('Pós Implantação'!D414,'Pós Implantação'!L414,'Pós Implantação'!M414),AVERAGE('Pós Implantação'!M414)),"")</f>
        <v/>
      </c>
      <c r="J414" s="34" t="str">
        <f>IFERROR(IF('Pós Implantação'!B414="Engenharia",AVERAGE('Pós Implantação'!D414,'Pós Implantação'!L414,'Pós Implantação'!N414),AVERAGE('Pós Implantação'!N414)),"")</f>
        <v/>
      </c>
      <c r="K414" s="34" t="str">
        <f>IFERROR(IF('Pós Implantação'!B414="URA",AVERAGE('Pós Implantação'!D414,'Pós Implantação'!L414),""),"")</f>
        <v/>
      </c>
      <c r="L414" s="34" t="str">
        <f>IFERROR(IF('Pós Implantação'!B414="CSE Microsoft",AVERAGE('Pós Implantação'!D414,'Pós Implantação'!L414),""),"")</f>
        <v/>
      </c>
      <c r="M414" s="34" t="str">
        <f>IFERROR(IF('Pós Implantação'!B414="CSE Telecom",AVERAGE('Pós Implantação'!D414,'Pós Implantação'!L414),""),"")</f>
        <v/>
      </c>
      <c r="N414" s="34" t="str">
        <f>IFERROR(IF('Pós Implantação'!B414="Site Suporte de Campo",AVERAGE('Pós Implantação'!D414,'Pós Implantação'!L414),""),"")</f>
        <v/>
      </c>
      <c r="O414" s="49" t="str">
        <f>IFERROR(IF('Pós Implantação'!B414="Infraestrutura",AVERAGE('Pós Implantação'!D414,'Pós Implantação'!L414),""),"")</f>
        <v/>
      </c>
    </row>
    <row r="415" spans="1:15" x14ac:dyDescent="0.3">
      <c r="A415" s="33">
        <f>'Pré Implantação'!A415</f>
        <v>0</v>
      </c>
      <c r="B415" s="36" t="str">
        <f>'Pós Implantação'!C415</f>
        <v>0</v>
      </c>
      <c r="C415" s="34" t="str">
        <f>IFERROR(IF('Pré Implantação'!B415="Produção TI",AVERAGE('Pós Implantação'!D415,'Pós Implantação'!E415,'Pós Implantação'!L415,'Pós Implantação'!H415),AVERAGE('Pré Implantação'!E415,'Pré Implantação'!H415)),"")</f>
        <v/>
      </c>
      <c r="D415" s="34" t="str">
        <f>IFERROR(IF('Pós Implantação'!B415="CSC Service Desk",AVERAGE('Pós Implantação'!D415,'Pós Implantação'!L415,'Pós Implantação'!F415),AVERAGE('Pós Implantação'!F415)),"")</f>
        <v/>
      </c>
      <c r="E415" s="34" t="str">
        <f>IFERROR(IF('Pós Implantação'!B415="CSC NOC",AVERAGE('Pós Implantação'!D415,'Pós Implantação'!L415,'Pós Implantação'!G415),AVERAGE('Pós Implantação'!G415)),"")</f>
        <v/>
      </c>
      <c r="F415" s="34" t="str">
        <f>IFERROR(IF('Pós Implantação'!B415="CSE Gravadores",AVERAGE('Pós Implantação'!D415,'Pós Implantação'!L415,'Pós Implantação'!I415),AVERAGE('Pós Implantação'!I415)),"")</f>
        <v/>
      </c>
      <c r="G415" s="34" t="str">
        <f>IFERROR(IF('Pós Implantação'!B415="CSC",AVERAGE('Pós Implantação'!D415,'Pós Implantação'!L415,'Pós Implantação'!J415),AVERAGE('Pós Implantação'!J415)),"")</f>
        <v/>
      </c>
      <c r="H415" s="34" t="str">
        <f>IFERROR(IF('Pós Implantação'!B415="Operações \ Negócio",AVERAGE('Pós Implantação'!D415,'Pós Implantação'!L415,'Pós Implantação'!K415),AVERAGE('Pós Implantação'!K415)),"")</f>
        <v/>
      </c>
      <c r="I415" s="34" t="str">
        <f>IFERROR(IF('Pós Implantação'!B415="Projetos",AVERAGE('Pós Implantação'!D415,'Pós Implantação'!L415,'Pós Implantação'!M415),AVERAGE('Pós Implantação'!M415)),"")</f>
        <v/>
      </c>
      <c r="J415" s="34" t="str">
        <f>IFERROR(IF('Pós Implantação'!B415="Engenharia",AVERAGE('Pós Implantação'!D415,'Pós Implantação'!L415,'Pós Implantação'!N415),AVERAGE('Pós Implantação'!N415)),"")</f>
        <v/>
      </c>
      <c r="K415" s="34" t="str">
        <f>IFERROR(IF('Pós Implantação'!B415="URA",AVERAGE('Pós Implantação'!D415,'Pós Implantação'!L415),""),"")</f>
        <v/>
      </c>
      <c r="L415" s="34" t="str">
        <f>IFERROR(IF('Pós Implantação'!B415="CSE Microsoft",AVERAGE('Pós Implantação'!D415,'Pós Implantação'!L415),""),"")</f>
        <v/>
      </c>
      <c r="M415" s="34" t="str">
        <f>IFERROR(IF('Pós Implantação'!B415="CSE Telecom",AVERAGE('Pós Implantação'!D415,'Pós Implantação'!L415),""),"")</f>
        <v/>
      </c>
      <c r="N415" s="34" t="str">
        <f>IFERROR(IF('Pós Implantação'!B415="Site Suporte de Campo",AVERAGE('Pós Implantação'!D415,'Pós Implantação'!L415),""),"")</f>
        <v/>
      </c>
      <c r="O415" s="49" t="str">
        <f>IFERROR(IF('Pós Implantação'!B415="Infraestrutura",AVERAGE('Pós Implantação'!D415,'Pós Implantação'!L415),""),"")</f>
        <v/>
      </c>
    </row>
    <row r="416" spans="1:15" x14ac:dyDescent="0.3">
      <c r="A416" s="33">
        <f>'Pré Implantação'!A416</f>
        <v>0</v>
      </c>
      <c r="B416" s="36" t="str">
        <f>'Pós Implantação'!C416</f>
        <v>0</v>
      </c>
      <c r="C416" s="34" t="str">
        <f>IFERROR(IF('Pré Implantação'!B416="Produção TI",AVERAGE('Pós Implantação'!D416,'Pós Implantação'!E416,'Pós Implantação'!L416,'Pós Implantação'!H416),AVERAGE('Pré Implantação'!E416,'Pré Implantação'!H416)),"")</f>
        <v/>
      </c>
      <c r="D416" s="34" t="str">
        <f>IFERROR(IF('Pós Implantação'!B416="CSC Service Desk",AVERAGE('Pós Implantação'!D416,'Pós Implantação'!L416,'Pós Implantação'!F416),AVERAGE('Pós Implantação'!F416)),"")</f>
        <v/>
      </c>
      <c r="E416" s="34" t="str">
        <f>IFERROR(IF('Pós Implantação'!B416="CSC NOC",AVERAGE('Pós Implantação'!D416,'Pós Implantação'!L416,'Pós Implantação'!G416),AVERAGE('Pós Implantação'!G416)),"")</f>
        <v/>
      </c>
      <c r="F416" s="34" t="str">
        <f>IFERROR(IF('Pós Implantação'!B416="CSE Gravadores",AVERAGE('Pós Implantação'!D416,'Pós Implantação'!L416,'Pós Implantação'!I416),AVERAGE('Pós Implantação'!I416)),"")</f>
        <v/>
      </c>
      <c r="G416" s="34" t="str">
        <f>IFERROR(IF('Pós Implantação'!B416="CSC",AVERAGE('Pós Implantação'!D416,'Pós Implantação'!L416,'Pós Implantação'!J416),AVERAGE('Pós Implantação'!J416)),"")</f>
        <v/>
      </c>
      <c r="H416" s="34" t="str">
        <f>IFERROR(IF('Pós Implantação'!B416="Operações \ Negócio",AVERAGE('Pós Implantação'!D416,'Pós Implantação'!L416,'Pós Implantação'!K416),AVERAGE('Pós Implantação'!K416)),"")</f>
        <v/>
      </c>
      <c r="I416" s="34" t="str">
        <f>IFERROR(IF('Pós Implantação'!B416="Projetos",AVERAGE('Pós Implantação'!D416,'Pós Implantação'!L416,'Pós Implantação'!M416),AVERAGE('Pós Implantação'!M416)),"")</f>
        <v/>
      </c>
      <c r="J416" s="34" t="str">
        <f>IFERROR(IF('Pós Implantação'!B416="Engenharia",AVERAGE('Pós Implantação'!D416,'Pós Implantação'!L416,'Pós Implantação'!N416),AVERAGE('Pós Implantação'!N416)),"")</f>
        <v/>
      </c>
      <c r="K416" s="34" t="str">
        <f>IFERROR(IF('Pós Implantação'!B416="URA",AVERAGE('Pós Implantação'!D416,'Pós Implantação'!L416),""),"")</f>
        <v/>
      </c>
      <c r="L416" s="34" t="str">
        <f>IFERROR(IF('Pós Implantação'!B416="CSE Microsoft",AVERAGE('Pós Implantação'!D416,'Pós Implantação'!L416),""),"")</f>
        <v/>
      </c>
      <c r="M416" s="34" t="str">
        <f>IFERROR(IF('Pós Implantação'!B416="CSE Telecom",AVERAGE('Pós Implantação'!D416,'Pós Implantação'!L416),""),"")</f>
        <v/>
      </c>
      <c r="N416" s="34" t="str">
        <f>IFERROR(IF('Pós Implantação'!B416="Site Suporte de Campo",AVERAGE('Pós Implantação'!D416,'Pós Implantação'!L416),""),"")</f>
        <v/>
      </c>
      <c r="O416" s="49" t="str">
        <f>IFERROR(IF('Pós Implantação'!B416="Infraestrutura",AVERAGE('Pós Implantação'!D416,'Pós Implantação'!L416),""),"")</f>
        <v/>
      </c>
    </row>
    <row r="417" spans="1:15" x14ac:dyDescent="0.3">
      <c r="A417" s="33">
        <f>'Pré Implantação'!A417</f>
        <v>0</v>
      </c>
      <c r="B417" s="36" t="str">
        <f>'Pós Implantação'!C417</f>
        <v>0</v>
      </c>
      <c r="C417" s="34" t="str">
        <f>IFERROR(IF('Pré Implantação'!B417="Produção TI",AVERAGE('Pós Implantação'!D417,'Pós Implantação'!E417,'Pós Implantação'!L417,'Pós Implantação'!H417),AVERAGE('Pré Implantação'!E417,'Pré Implantação'!H417)),"")</f>
        <v/>
      </c>
      <c r="D417" s="34" t="str">
        <f>IFERROR(IF('Pós Implantação'!B417="CSC Service Desk",AVERAGE('Pós Implantação'!D417,'Pós Implantação'!L417,'Pós Implantação'!F417),AVERAGE('Pós Implantação'!F417)),"")</f>
        <v/>
      </c>
      <c r="E417" s="34" t="str">
        <f>IFERROR(IF('Pós Implantação'!B417="CSC NOC",AVERAGE('Pós Implantação'!D417,'Pós Implantação'!L417,'Pós Implantação'!G417),AVERAGE('Pós Implantação'!G417)),"")</f>
        <v/>
      </c>
      <c r="F417" s="34" t="str">
        <f>IFERROR(IF('Pós Implantação'!B417="CSE Gravadores",AVERAGE('Pós Implantação'!D417,'Pós Implantação'!L417,'Pós Implantação'!I417),AVERAGE('Pós Implantação'!I417)),"")</f>
        <v/>
      </c>
      <c r="G417" s="34" t="str">
        <f>IFERROR(IF('Pós Implantação'!B417="CSC",AVERAGE('Pós Implantação'!D417,'Pós Implantação'!L417,'Pós Implantação'!J417),AVERAGE('Pós Implantação'!J417)),"")</f>
        <v/>
      </c>
      <c r="H417" s="34" t="str">
        <f>IFERROR(IF('Pós Implantação'!B417="Operações \ Negócio",AVERAGE('Pós Implantação'!D417,'Pós Implantação'!L417,'Pós Implantação'!K417),AVERAGE('Pós Implantação'!K417)),"")</f>
        <v/>
      </c>
      <c r="I417" s="34" t="str">
        <f>IFERROR(IF('Pós Implantação'!B417="Projetos",AVERAGE('Pós Implantação'!D417,'Pós Implantação'!L417,'Pós Implantação'!M417),AVERAGE('Pós Implantação'!M417)),"")</f>
        <v/>
      </c>
      <c r="J417" s="34" t="str">
        <f>IFERROR(IF('Pós Implantação'!B417="Engenharia",AVERAGE('Pós Implantação'!D417,'Pós Implantação'!L417,'Pós Implantação'!N417),AVERAGE('Pós Implantação'!N417)),"")</f>
        <v/>
      </c>
      <c r="K417" s="34" t="str">
        <f>IFERROR(IF('Pós Implantação'!B417="URA",AVERAGE('Pós Implantação'!D417,'Pós Implantação'!L417),""),"")</f>
        <v/>
      </c>
      <c r="L417" s="34" t="str">
        <f>IFERROR(IF('Pós Implantação'!B417="CSE Microsoft",AVERAGE('Pós Implantação'!D417,'Pós Implantação'!L417),""),"")</f>
        <v/>
      </c>
      <c r="M417" s="34" t="str">
        <f>IFERROR(IF('Pós Implantação'!B417="CSE Telecom",AVERAGE('Pós Implantação'!D417,'Pós Implantação'!L417),""),"")</f>
        <v/>
      </c>
      <c r="N417" s="34" t="str">
        <f>IFERROR(IF('Pós Implantação'!B417="Site Suporte de Campo",AVERAGE('Pós Implantação'!D417,'Pós Implantação'!L417),""),"")</f>
        <v/>
      </c>
      <c r="O417" s="49" t="str">
        <f>IFERROR(IF('Pós Implantação'!B417="Infraestrutura",AVERAGE('Pós Implantação'!D417,'Pós Implantação'!L417),""),"")</f>
        <v/>
      </c>
    </row>
    <row r="418" spans="1:15" x14ac:dyDescent="0.3">
      <c r="A418" s="33">
        <f>'Pré Implantação'!A418</f>
        <v>0</v>
      </c>
      <c r="B418" s="36" t="str">
        <f>'Pós Implantação'!C418</f>
        <v>0</v>
      </c>
      <c r="C418" s="34" t="str">
        <f>IFERROR(IF('Pré Implantação'!B418="Produção TI",AVERAGE('Pós Implantação'!D418,'Pós Implantação'!E418,'Pós Implantação'!L418,'Pós Implantação'!H418),AVERAGE('Pré Implantação'!E418,'Pré Implantação'!H418)),"")</f>
        <v/>
      </c>
      <c r="D418" s="34" t="str">
        <f>IFERROR(IF('Pós Implantação'!B418="CSC Service Desk",AVERAGE('Pós Implantação'!D418,'Pós Implantação'!L418,'Pós Implantação'!F418),AVERAGE('Pós Implantação'!F418)),"")</f>
        <v/>
      </c>
      <c r="E418" s="34" t="str">
        <f>IFERROR(IF('Pós Implantação'!B418="CSC NOC",AVERAGE('Pós Implantação'!D418,'Pós Implantação'!L418,'Pós Implantação'!G418),AVERAGE('Pós Implantação'!G418)),"")</f>
        <v/>
      </c>
      <c r="F418" s="34" t="str">
        <f>IFERROR(IF('Pós Implantação'!B418="CSE Gravadores",AVERAGE('Pós Implantação'!D418,'Pós Implantação'!L418,'Pós Implantação'!I418),AVERAGE('Pós Implantação'!I418)),"")</f>
        <v/>
      </c>
      <c r="G418" s="34" t="str">
        <f>IFERROR(IF('Pós Implantação'!B418="CSC",AVERAGE('Pós Implantação'!D418,'Pós Implantação'!L418,'Pós Implantação'!J418),AVERAGE('Pós Implantação'!J418)),"")</f>
        <v/>
      </c>
      <c r="H418" s="34" t="str">
        <f>IFERROR(IF('Pós Implantação'!B418="Operações \ Negócio",AVERAGE('Pós Implantação'!D418,'Pós Implantação'!L418,'Pós Implantação'!K418),AVERAGE('Pós Implantação'!K418)),"")</f>
        <v/>
      </c>
      <c r="I418" s="34" t="str">
        <f>IFERROR(IF('Pós Implantação'!B418="Projetos",AVERAGE('Pós Implantação'!D418,'Pós Implantação'!L418,'Pós Implantação'!M418),AVERAGE('Pós Implantação'!M418)),"")</f>
        <v/>
      </c>
      <c r="J418" s="34" t="str">
        <f>IFERROR(IF('Pós Implantação'!B418="Engenharia",AVERAGE('Pós Implantação'!D418,'Pós Implantação'!L418,'Pós Implantação'!N418),AVERAGE('Pós Implantação'!N418)),"")</f>
        <v/>
      </c>
      <c r="K418" s="34" t="str">
        <f>IFERROR(IF('Pós Implantação'!B418="URA",AVERAGE('Pós Implantação'!D418,'Pós Implantação'!L418),""),"")</f>
        <v/>
      </c>
      <c r="L418" s="34" t="str">
        <f>IFERROR(IF('Pós Implantação'!B418="CSE Microsoft",AVERAGE('Pós Implantação'!D418,'Pós Implantação'!L418),""),"")</f>
        <v/>
      </c>
      <c r="M418" s="34" t="str">
        <f>IFERROR(IF('Pós Implantação'!B418="CSE Telecom",AVERAGE('Pós Implantação'!D418,'Pós Implantação'!L418),""),"")</f>
        <v/>
      </c>
      <c r="N418" s="34" t="str">
        <f>IFERROR(IF('Pós Implantação'!B418="Site Suporte de Campo",AVERAGE('Pós Implantação'!D418,'Pós Implantação'!L418),""),"")</f>
        <v/>
      </c>
      <c r="O418" s="49" t="str">
        <f>IFERROR(IF('Pós Implantação'!B418="Infraestrutura",AVERAGE('Pós Implantação'!D418,'Pós Implantação'!L418),""),"")</f>
        <v/>
      </c>
    </row>
    <row r="419" spans="1:15" x14ac:dyDescent="0.3">
      <c r="A419" s="33">
        <f>'Pré Implantação'!A419</f>
        <v>0</v>
      </c>
      <c r="B419" s="36" t="str">
        <f>'Pós Implantação'!C419</f>
        <v>0</v>
      </c>
      <c r="C419" s="34" t="str">
        <f>IFERROR(IF('Pré Implantação'!B419="Produção TI",AVERAGE('Pós Implantação'!D419,'Pós Implantação'!E419,'Pós Implantação'!L419,'Pós Implantação'!H419),AVERAGE('Pré Implantação'!E419,'Pré Implantação'!H419)),"")</f>
        <v/>
      </c>
      <c r="D419" s="34" t="str">
        <f>IFERROR(IF('Pós Implantação'!B419="CSC Service Desk",AVERAGE('Pós Implantação'!D419,'Pós Implantação'!L419,'Pós Implantação'!F419),AVERAGE('Pós Implantação'!F419)),"")</f>
        <v/>
      </c>
      <c r="E419" s="34" t="str">
        <f>IFERROR(IF('Pós Implantação'!B419="CSC NOC",AVERAGE('Pós Implantação'!D419,'Pós Implantação'!L419,'Pós Implantação'!G419),AVERAGE('Pós Implantação'!G419)),"")</f>
        <v/>
      </c>
      <c r="F419" s="34" t="str">
        <f>IFERROR(IF('Pós Implantação'!B419="CSE Gravadores",AVERAGE('Pós Implantação'!D419,'Pós Implantação'!L419,'Pós Implantação'!I419),AVERAGE('Pós Implantação'!I419)),"")</f>
        <v/>
      </c>
      <c r="G419" s="34" t="str">
        <f>IFERROR(IF('Pós Implantação'!B419="CSC",AVERAGE('Pós Implantação'!D419,'Pós Implantação'!L419,'Pós Implantação'!J419),AVERAGE('Pós Implantação'!J419)),"")</f>
        <v/>
      </c>
      <c r="H419" s="34" t="str">
        <f>IFERROR(IF('Pós Implantação'!B419="Operações \ Negócio",AVERAGE('Pós Implantação'!D419,'Pós Implantação'!L419,'Pós Implantação'!K419),AVERAGE('Pós Implantação'!K419)),"")</f>
        <v/>
      </c>
      <c r="I419" s="34" t="str">
        <f>IFERROR(IF('Pós Implantação'!B419="Projetos",AVERAGE('Pós Implantação'!D419,'Pós Implantação'!L419,'Pós Implantação'!M419),AVERAGE('Pós Implantação'!M419)),"")</f>
        <v/>
      </c>
      <c r="J419" s="34" t="str">
        <f>IFERROR(IF('Pós Implantação'!B419="Engenharia",AVERAGE('Pós Implantação'!D419,'Pós Implantação'!L419,'Pós Implantação'!N419),AVERAGE('Pós Implantação'!N419)),"")</f>
        <v/>
      </c>
      <c r="K419" s="34" t="str">
        <f>IFERROR(IF('Pós Implantação'!B419="URA",AVERAGE('Pós Implantação'!D419,'Pós Implantação'!L419),""),"")</f>
        <v/>
      </c>
      <c r="L419" s="34" t="str">
        <f>IFERROR(IF('Pós Implantação'!B419="CSE Microsoft",AVERAGE('Pós Implantação'!D419,'Pós Implantação'!L419),""),"")</f>
        <v/>
      </c>
      <c r="M419" s="34" t="str">
        <f>IFERROR(IF('Pós Implantação'!B419="CSE Telecom",AVERAGE('Pós Implantação'!D419,'Pós Implantação'!L419),""),"")</f>
        <v/>
      </c>
      <c r="N419" s="34" t="str">
        <f>IFERROR(IF('Pós Implantação'!B419="Site Suporte de Campo",AVERAGE('Pós Implantação'!D419,'Pós Implantação'!L419),""),"")</f>
        <v/>
      </c>
      <c r="O419" s="49" t="str">
        <f>IFERROR(IF('Pós Implantação'!B419="Infraestrutura",AVERAGE('Pós Implantação'!D419,'Pós Implantação'!L419),""),"")</f>
        <v/>
      </c>
    </row>
    <row r="420" spans="1:15" x14ac:dyDescent="0.3">
      <c r="A420" s="33">
        <f>'Pré Implantação'!A420</f>
        <v>0</v>
      </c>
      <c r="B420" s="36" t="str">
        <f>'Pós Implantação'!C420</f>
        <v>0</v>
      </c>
      <c r="C420" s="34" t="str">
        <f>IFERROR(IF('Pré Implantação'!B420="Produção TI",AVERAGE('Pós Implantação'!D420,'Pós Implantação'!E420,'Pós Implantação'!L420,'Pós Implantação'!H420),AVERAGE('Pré Implantação'!E420,'Pré Implantação'!H420)),"")</f>
        <v/>
      </c>
      <c r="D420" s="34" t="str">
        <f>IFERROR(IF('Pós Implantação'!B420="CSC Service Desk",AVERAGE('Pós Implantação'!D420,'Pós Implantação'!L420,'Pós Implantação'!F420),AVERAGE('Pós Implantação'!F420)),"")</f>
        <v/>
      </c>
      <c r="E420" s="34" t="str">
        <f>IFERROR(IF('Pós Implantação'!B420="CSC NOC",AVERAGE('Pós Implantação'!D420,'Pós Implantação'!L420,'Pós Implantação'!G420),AVERAGE('Pós Implantação'!G420)),"")</f>
        <v/>
      </c>
      <c r="F420" s="34" t="str">
        <f>IFERROR(IF('Pós Implantação'!B420="CSE Gravadores",AVERAGE('Pós Implantação'!D420,'Pós Implantação'!L420,'Pós Implantação'!I420),AVERAGE('Pós Implantação'!I420)),"")</f>
        <v/>
      </c>
      <c r="G420" s="34" t="str">
        <f>IFERROR(IF('Pós Implantação'!B420="CSC",AVERAGE('Pós Implantação'!D420,'Pós Implantação'!L420,'Pós Implantação'!J420),AVERAGE('Pós Implantação'!J420)),"")</f>
        <v/>
      </c>
      <c r="H420" s="34" t="str">
        <f>IFERROR(IF('Pós Implantação'!B420="Operações \ Negócio",AVERAGE('Pós Implantação'!D420,'Pós Implantação'!L420,'Pós Implantação'!K420),AVERAGE('Pós Implantação'!K420)),"")</f>
        <v/>
      </c>
      <c r="I420" s="34" t="str">
        <f>IFERROR(IF('Pós Implantação'!B420="Projetos",AVERAGE('Pós Implantação'!D420,'Pós Implantação'!L420,'Pós Implantação'!M420),AVERAGE('Pós Implantação'!M420)),"")</f>
        <v/>
      </c>
      <c r="J420" s="34" t="str">
        <f>IFERROR(IF('Pós Implantação'!B420="Engenharia",AVERAGE('Pós Implantação'!D420,'Pós Implantação'!L420,'Pós Implantação'!N420),AVERAGE('Pós Implantação'!N420)),"")</f>
        <v/>
      </c>
      <c r="K420" s="34" t="str">
        <f>IFERROR(IF('Pós Implantação'!B420="URA",AVERAGE('Pós Implantação'!D420,'Pós Implantação'!L420),""),"")</f>
        <v/>
      </c>
      <c r="L420" s="34" t="str">
        <f>IFERROR(IF('Pós Implantação'!B420="CSE Microsoft",AVERAGE('Pós Implantação'!D420,'Pós Implantação'!L420),""),"")</f>
        <v/>
      </c>
      <c r="M420" s="34" t="str">
        <f>IFERROR(IF('Pós Implantação'!B420="CSE Telecom",AVERAGE('Pós Implantação'!D420,'Pós Implantação'!L420),""),"")</f>
        <v/>
      </c>
      <c r="N420" s="34" t="str">
        <f>IFERROR(IF('Pós Implantação'!B420="Site Suporte de Campo",AVERAGE('Pós Implantação'!D420,'Pós Implantação'!L420),""),"")</f>
        <v/>
      </c>
      <c r="O420" s="49" t="str">
        <f>IFERROR(IF('Pós Implantação'!B420="Infraestrutura",AVERAGE('Pós Implantação'!D420,'Pós Implantação'!L420),""),"")</f>
        <v/>
      </c>
    </row>
    <row r="421" spans="1:15" ht="15" thickBot="1" x14ac:dyDescent="0.35">
      <c r="A421" s="50">
        <f>'Pré Implantação'!A421</f>
        <v>0</v>
      </c>
      <c r="B421" s="51" t="str">
        <f>'Pós Implantação'!C421</f>
        <v>0</v>
      </c>
      <c r="C421" s="34" t="str">
        <f>IFERROR(IF('Pré Implantação'!B421="Produção TI",AVERAGE('Pós Implantação'!D421,'Pós Implantação'!E421,'Pós Implantação'!L421,'Pós Implantação'!H421),AVERAGE('Pré Implantação'!E421,'Pré Implantação'!H421)),"")</f>
        <v/>
      </c>
      <c r="D421" s="34" t="str">
        <f>IFERROR(IF('Pós Implantação'!B421="CSC Service Desk",AVERAGE('Pós Implantação'!D421,'Pós Implantação'!L421,'Pós Implantação'!F421),AVERAGE('Pós Implantação'!F421)),"")</f>
        <v/>
      </c>
      <c r="E421" s="34" t="str">
        <f>IFERROR(IF('Pós Implantação'!B421="CSC NOC",AVERAGE('Pós Implantação'!D421,'Pós Implantação'!L421,'Pós Implantação'!G421),AVERAGE('Pós Implantação'!G421)),"")</f>
        <v/>
      </c>
      <c r="F421" s="34" t="str">
        <f>IFERROR(IF('Pós Implantação'!B421="CSE Gravadores",AVERAGE('Pós Implantação'!D421,'Pós Implantação'!L421,'Pós Implantação'!I421),AVERAGE('Pós Implantação'!I421)),"")</f>
        <v/>
      </c>
      <c r="G421" s="34" t="str">
        <f>IFERROR(IF('Pós Implantação'!B421="CSC",AVERAGE('Pós Implantação'!D421,'Pós Implantação'!L421,'Pós Implantação'!J421),AVERAGE('Pós Implantação'!J421)),"")</f>
        <v/>
      </c>
      <c r="H421" s="34" t="str">
        <f>IFERROR(IF('Pós Implantação'!B421="Operações \ Negócio",AVERAGE('Pós Implantação'!D421,'Pós Implantação'!L421,'Pós Implantação'!K421),AVERAGE('Pós Implantação'!K421)),"")</f>
        <v/>
      </c>
      <c r="I421" s="34" t="str">
        <f>IFERROR(IF('Pós Implantação'!B421="Projetos",AVERAGE('Pós Implantação'!D421,'Pós Implantação'!L421,'Pós Implantação'!M421),AVERAGE('Pós Implantação'!M421)),"")</f>
        <v/>
      </c>
      <c r="J421" s="34" t="str">
        <f>IFERROR(IF('Pós Implantação'!B421="Engenharia",AVERAGE('Pós Implantação'!D421,'Pós Implantação'!L421,'Pós Implantação'!N421),AVERAGE('Pós Implantação'!N421)),"")</f>
        <v/>
      </c>
      <c r="K421" s="34" t="str">
        <f>IFERROR(IF('Pós Implantação'!B421="URA",AVERAGE('Pós Implantação'!D421,'Pós Implantação'!L421),""),"")</f>
        <v/>
      </c>
      <c r="L421" s="34" t="str">
        <f>IFERROR(IF('Pós Implantação'!B421="CSE Microsoft",AVERAGE('Pós Implantação'!D421,'Pós Implantação'!L421),""),"")</f>
        <v/>
      </c>
      <c r="M421" s="34" t="str">
        <f>IFERROR(IF('Pós Implantação'!B421="CSE Telecom",AVERAGE('Pós Implantação'!D421,'Pós Implantação'!L421),""),"")</f>
        <v/>
      </c>
      <c r="N421" s="34" t="str">
        <f>IFERROR(IF('Pós Implantação'!B421="Site Suporte de Campo",AVERAGE('Pós Implantação'!D421,'Pós Implantação'!L421),""),"")</f>
        <v/>
      </c>
      <c r="O421" s="49" t="str">
        <f>IFERROR(IF('Pós Implantação'!B421="Infraestrutura",AVERAGE('Pós Implantação'!D421,'Pós Implantação'!L421),""),"")</f>
        <v/>
      </c>
    </row>
  </sheetData>
  <mergeCells count="1">
    <mergeCell ref="A2:B2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16"/>
  <sheetViews>
    <sheetView workbookViewId="0">
      <selection activeCell="F3" sqref="F3:G16"/>
    </sheetView>
  </sheetViews>
  <sheetFormatPr defaultRowHeight="14.4" x14ac:dyDescent="0.3"/>
  <cols>
    <col min="2" max="2" width="28.6640625" bestFit="1" customWidth="1"/>
    <col min="3" max="3" width="14.88671875" style="45" bestFit="1" customWidth="1"/>
    <col min="4" max="4" width="15.109375" style="45" bestFit="1" customWidth="1"/>
    <col min="6" max="6" width="19.6640625" bestFit="1" customWidth="1"/>
    <col min="7" max="7" width="14.88671875" style="1" bestFit="1" customWidth="1"/>
    <col min="8" max="8" width="19.6640625" style="1" bestFit="1" customWidth="1"/>
  </cols>
  <sheetData>
    <row r="2" spans="2:8" x14ac:dyDescent="0.3">
      <c r="B2" s="57" t="s">
        <v>32</v>
      </c>
      <c r="C2" s="58"/>
      <c r="D2" s="59"/>
      <c r="F2" s="57" t="s">
        <v>35</v>
      </c>
      <c r="G2" s="58"/>
      <c r="H2" s="59"/>
    </row>
    <row r="3" spans="2:8" x14ac:dyDescent="0.3">
      <c r="B3" s="41" t="s">
        <v>33</v>
      </c>
      <c r="C3" s="42" t="s">
        <v>28</v>
      </c>
      <c r="D3" s="42" t="s">
        <v>34</v>
      </c>
      <c r="F3" s="41" t="s">
        <v>36</v>
      </c>
      <c r="G3" s="41" t="s">
        <v>28</v>
      </c>
      <c r="H3" s="41" t="s">
        <v>34</v>
      </c>
    </row>
    <row r="4" spans="2:8" x14ac:dyDescent="0.3">
      <c r="B4" s="40" t="s">
        <v>0</v>
      </c>
      <c r="C4" s="34">
        <f>'Pré Implantação'!D2</f>
        <v>0.97</v>
      </c>
      <c r="D4" s="34">
        <f>'Pós Implantação'!D2</f>
        <v>0.97</v>
      </c>
      <c r="F4" s="40" t="s">
        <v>22</v>
      </c>
      <c r="G4" s="34">
        <f>'Entrega Pré Implantação'!H2</f>
        <v>0.39999999999999997</v>
      </c>
      <c r="H4" s="34">
        <f>'Entrega Pós Implantação'!H2</f>
        <v>0.65</v>
      </c>
    </row>
    <row r="5" spans="2:8" x14ac:dyDescent="0.3">
      <c r="B5" s="40" t="s">
        <v>1</v>
      </c>
      <c r="C5" s="34">
        <f>'Pré Implantação'!E2</f>
        <v>0.61666666666666659</v>
      </c>
      <c r="D5" s="34">
        <f>'Pós Implantação'!E2</f>
        <v>0.93333333333333346</v>
      </c>
      <c r="F5" s="40" t="s">
        <v>24</v>
      </c>
      <c r="G5" s="34">
        <f>'Entrega Pré Implantação'!J2</f>
        <v>0.56666666666666676</v>
      </c>
      <c r="H5" s="34">
        <f>'Entrega Pós Implantação'!J2</f>
        <v>0.76666666666666672</v>
      </c>
    </row>
    <row r="6" spans="2:8" x14ac:dyDescent="0.3">
      <c r="B6" s="40" t="s">
        <v>2</v>
      </c>
      <c r="C6" s="34">
        <f>'Pós Implantação'!F2</f>
        <v>1</v>
      </c>
      <c r="D6" s="34">
        <f>'Pós Implantação'!F2</f>
        <v>1</v>
      </c>
      <c r="F6" s="40" t="s">
        <v>20</v>
      </c>
      <c r="G6" s="34">
        <f>'Entrega Pré Implantação'!F2</f>
        <v>0.48333333333333339</v>
      </c>
      <c r="H6" s="34">
        <f>'Entrega Pós Implantação'!F2</f>
        <v>0.85</v>
      </c>
    </row>
    <row r="7" spans="2:8" x14ac:dyDescent="0.3">
      <c r="B7" s="40" t="s">
        <v>3</v>
      </c>
      <c r="C7" s="34">
        <f>'Pré Implantação'!G2</f>
        <v>0.6</v>
      </c>
      <c r="D7" s="34">
        <f>'Pós Implantação'!G2</f>
        <v>1</v>
      </c>
      <c r="F7" s="40" t="s">
        <v>29</v>
      </c>
      <c r="G7" s="34">
        <f>'Entrega Pré Implantação'!K2</f>
        <v>0.875</v>
      </c>
      <c r="H7" s="34">
        <f>'Entrega Pós Implantação'!K2</f>
        <v>0.875</v>
      </c>
    </row>
    <row r="8" spans="2:8" x14ac:dyDescent="0.3">
      <c r="B8" s="40" t="s">
        <v>4</v>
      </c>
      <c r="C8" s="34">
        <f>'Pré Implantação'!H2</f>
        <v>0.75714285714285712</v>
      </c>
      <c r="D8" s="34">
        <f>'Pós Implantação'!H2</f>
        <v>0.84285714285714275</v>
      </c>
      <c r="F8" s="40" t="s">
        <v>18</v>
      </c>
      <c r="G8" s="34">
        <f>'Entrega Pré Implantação'!C2</f>
        <v>0.68888888888888888</v>
      </c>
      <c r="H8" s="34">
        <f>'Entrega Pós Implantação'!C2</f>
        <v>0.7</v>
      </c>
    </row>
    <row r="9" spans="2:8" x14ac:dyDescent="0.3">
      <c r="B9" s="40" t="s">
        <v>5</v>
      </c>
      <c r="C9" s="34">
        <f>'Pré Implantação'!I2</f>
        <v>0.48333333333333339</v>
      </c>
      <c r="D9" s="34">
        <f>'Pós Implantação'!I2</f>
        <v>0.85</v>
      </c>
      <c r="F9" s="40" t="s">
        <v>14</v>
      </c>
      <c r="G9" s="34">
        <f>'Entrega Pré Implantação'!L2</f>
        <v>0.8833333333333333</v>
      </c>
      <c r="H9" s="34">
        <f>'Entrega Pós Implantação'!L2</f>
        <v>0.9</v>
      </c>
    </row>
    <row r="10" spans="2:8" x14ac:dyDescent="0.3">
      <c r="B10" s="40" t="s">
        <v>6</v>
      </c>
      <c r="C10" s="34">
        <f>'Pré Implantação'!J2</f>
        <v>0.91999999999999993</v>
      </c>
      <c r="D10" s="34">
        <f>'Pós Implantação'!J2</f>
        <v>0.94000000000000006</v>
      </c>
      <c r="F10" s="40" t="s">
        <v>23</v>
      </c>
      <c r="G10" s="34">
        <f>'Entrega Pré Implantação'!I2</f>
        <v>0.9</v>
      </c>
      <c r="H10" s="34">
        <f>'Entrega Pós Implantação'!I2</f>
        <v>0.9</v>
      </c>
    </row>
    <row r="11" spans="2:8" x14ac:dyDescent="0.3">
      <c r="B11" s="40" t="s">
        <v>7</v>
      </c>
      <c r="C11" s="34">
        <f>'Pré Implantação'!K2</f>
        <v>0.39999999999999997</v>
      </c>
      <c r="D11" s="34">
        <f>'Pós Implantação'!K2</f>
        <v>0.65</v>
      </c>
      <c r="F11" s="40" t="s">
        <v>21</v>
      </c>
      <c r="G11" s="34">
        <f>'Entrega Pré Implantação'!G2</f>
        <v>0.91999999999999993</v>
      </c>
      <c r="H11" s="34">
        <f>'Entrega Pós Implantação'!G2</f>
        <v>0.94000000000000006</v>
      </c>
    </row>
    <row r="12" spans="2:8" x14ac:dyDescent="0.3">
      <c r="B12" s="40" t="s">
        <v>8</v>
      </c>
      <c r="C12" s="34">
        <f>'Pré Implantação'!L2</f>
        <v>0.9</v>
      </c>
      <c r="D12" s="34">
        <f>'Pós Implantação'!L2</f>
        <v>0.91666666666666663</v>
      </c>
      <c r="F12" s="40" t="s">
        <v>19</v>
      </c>
      <c r="G12" s="34">
        <f>'Entrega Pré Implantação'!E2</f>
        <v>0.6</v>
      </c>
      <c r="H12" s="34">
        <f>'Entrega Pós Implantação'!E2</f>
        <v>1</v>
      </c>
    </row>
    <row r="13" spans="2:8" x14ac:dyDescent="0.3">
      <c r="B13" s="40" t="s">
        <v>9</v>
      </c>
      <c r="C13" s="34">
        <f>'Pré Implantação'!M2</f>
        <v>0.9</v>
      </c>
      <c r="D13" s="34">
        <f>'Pós Implantação'!M2</f>
        <v>0.9</v>
      </c>
      <c r="F13" s="40" t="s">
        <v>16</v>
      </c>
      <c r="G13" s="34">
        <f>'Entrega Pré Implantação'!D2</f>
        <v>0.77777777777777779</v>
      </c>
      <c r="H13" s="34">
        <f>'Entrega Pós Implantação'!D2</f>
        <v>1</v>
      </c>
    </row>
    <row r="14" spans="2:8" x14ac:dyDescent="0.3">
      <c r="B14" s="40" t="s">
        <v>10</v>
      </c>
      <c r="C14" s="34">
        <f>'Pré Implantação'!N2</f>
        <v>0.56666666666666676</v>
      </c>
      <c r="D14" s="34">
        <f>'Pós Implantação'!N2</f>
        <v>0.76666666666666672</v>
      </c>
      <c r="F14" s="40" t="s">
        <v>15</v>
      </c>
      <c r="G14" s="34">
        <f>'Entrega Pré Implantação'!M2</f>
        <v>1</v>
      </c>
      <c r="H14" s="34">
        <f>'Entrega Pós Implantação'!M2</f>
        <v>1</v>
      </c>
    </row>
    <row r="15" spans="2:8" x14ac:dyDescent="0.3">
      <c r="F15" s="40" t="s">
        <v>17</v>
      </c>
      <c r="G15" s="34">
        <f>'Entrega Pré Implantação'!O2</f>
        <v>1</v>
      </c>
      <c r="H15" s="34">
        <f>'Entrega Pós Implantação'!O2</f>
        <v>1</v>
      </c>
    </row>
    <row r="16" spans="2:8" x14ac:dyDescent="0.3">
      <c r="F16" s="40" t="s">
        <v>30</v>
      </c>
      <c r="G16" s="34" t="str">
        <f>'Entrega Pré Implantação'!N2</f>
        <v/>
      </c>
      <c r="H16" s="34" t="str">
        <f>'Entrega Pós Implantação'!N2</f>
        <v/>
      </c>
    </row>
  </sheetData>
  <mergeCells count="2">
    <mergeCell ref="B2:D2"/>
    <mergeCell ref="F2:H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Dashboards</vt:lpstr>
      <vt:lpstr>Pré Implantação</vt:lpstr>
      <vt:lpstr>Pós Implantação</vt:lpstr>
      <vt:lpstr>Entrega Pré Implantação</vt:lpstr>
      <vt:lpstr>Entrega Pós Implantação</vt:lpstr>
      <vt:lpstr>Consolidado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Chacon</dc:creator>
  <cp:lastModifiedBy>Chacon</cp:lastModifiedBy>
  <dcterms:created xsi:type="dcterms:W3CDTF">2016-07-29T14:42:16Z</dcterms:created>
  <dcterms:modified xsi:type="dcterms:W3CDTF">2016-08-05T19:49:07Z</dcterms:modified>
</cp:coreProperties>
</file>