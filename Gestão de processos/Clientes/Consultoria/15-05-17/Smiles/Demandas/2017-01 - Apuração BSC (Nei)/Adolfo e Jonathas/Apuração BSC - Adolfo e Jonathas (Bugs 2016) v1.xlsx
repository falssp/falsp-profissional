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Projetos\Smiles\Demandas\2017-01 - Apuração BSC (Nei)\"/>
    </mc:Choice>
  </mc:AlternateContent>
  <bookViews>
    <workbookView xWindow="0" yWindow="0" windowWidth="20490" windowHeight="882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  <c r="D5" i="1"/>
  <c r="D4" i="1"/>
  <c r="D3" i="1"/>
  <c r="F4" i="1"/>
  <c r="F5" i="1"/>
  <c r="F6" i="1"/>
  <c r="F7" i="1"/>
  <c r="F8" i="1"/>
  <c r="F9" i="1"/>
  <c r="F10" i="1"/>
  <c r="F11" i="1"/>
  <c r="F12" i="1"/>
  <c r="F13" i="1"/>
  <c r="F14" i="1"/>
  <c r="F3" i="1"/>
  <c r="F15" i="1" s="1"/>
</calcChain>
</file>

<file path=xl/sharedStrings.xml><?xml version="1.0" encoding="utf-8"?>
<sst xmlns="http://schemas.openxmlformats.org/spreadsheetml/2006/main" count="6" uniqueCount="6">
  <si>
    <t>Meses</t>
  </si>
  <si>
    <t>ADOLFO ATUOU</t>
  </si>
  <si>
    <t>JONATHAS ATUOU</t>
  </si>
  <si>
    <t>ADOLFO + JONATHAS ATUARAM</t>
  </si>
  <si>
    <t>BUGS RESOLVIDOS POR MÊS</t>
  </si>
  <si>
    <t>% RESOLUÇÃO MENSAL (ADOLFO + JONATHAS)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</si>
</sst>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2" applyFont="1" applyFill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2" applyFont="1" applyFill="1" applyAlignment="1">
      <alignment horizontal="center" vertical="center" wrapText="1"/>
    </xf>
    <xf numFmtId="0" fontId="0" fillId="0" borderId="0" xfId="0" applyAlignment="1">
      <alignment wrapText="1"/>
    </xf>
    <xf numFmtId="17" fontId="4" fillId="0" borderId="0" xfId="2" applyNumberFormat="1" applyFont="1" applyFill="1" applyAlignment="1">
      <alignment horizontal="center" vertical="center"/>
    </xf>
    <xf numFmtId="164" fontId="5" fillId="2" borderId="0" xfId="2" applyNumberFormat="1" applyFont="1" applyFill="1" applyAlignment="1">
      <alignment horizontal="center" vertical="center"/>
    </xf>
  </cellXfs>
  <cellStyles count="3">
    <cellStyle name="Normal" xfId="0" builtinId="0"/>
    <cellStyle name="Normal 2 2" xfId="2"/>
    <cellStyle name="Porcentagem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2:F15" totalsRowShown="0" headerRowDxfId="0" dataDxfId="1" headerRowCellStyle="Normal 2 2" dataCellStyle="Normal 2 2">
  <autoFilter ref="A2:F15"/>
  <tableColumns count="6">
    <tableColumn id="1" name="Meses" dataDxfId="7" dataCellStyle="Normal 2 2"/>
    <tableColumn id="2" name="ADOLFO ATUOU" dataDxfId="6" dataCellStyle="Normal 2 2"/>
    <tableColumn id="3" name="JONATHAS ATUOU" dataDxfId="5" dataCellStyle="Normal 2 2"/>
    <tableColumn id="4" name="ADOLFO + JONATHAS ATUARAM" dataDxfId="4" dataCellStyle="Normal 2 2"/>
    <tableColumn id="5" name="BUGS RESOLVIDOS POR MÊS" dataDxfId="3" dataCellStyle="Normal 2 2"/>
    <tableColumn id="6" name="% RESOLUÇÃO MENSAL (ADOLFO + JONATHAS)" dataDxfId="2" dataCellStyle="Porcentagem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abSelected="1" workbookViewId="0">
      <selection activeCell="H11" sqref="H11"/>
    </sheetView>
  </sheetViews>
  <sheetFormatPr defaultRowHeight="15" x14ac:dyDescent="0.25"/>
  <cols>
    <col min="1" max="1" width="15.7109375" style="1" customWidth="1"/>
    <col min="2" max="3" width="16.28515625" style="1" customWidth="1"/>
    <col min="4" max="4" width="19" style="1" customWidth="1"/>
    <col min="5" max="5" width="17.28515625" style="1" customWidth="1"/>
    <col min="6" max="6" width="16.28515625" customWidth="1"/>
  </cols>
  <sheetData>
    <row r="2" spans="1:6" s="7" customFormat="1" ht="45" customHeigh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20.100000000000001" customHeight="1" x14ac:dyDescent="0.25">
      <c r="A3" s="8">
        <v>42370</v>
      </c>
      <c r="B3" s="2">
        <v>7</v>
      </c>
      <c r="C3" s="2">
        <v>10</v>
      </c>
      <c r="D3" s="2">
        <f>B3+C3</f>
        <v>17</v>
      </c>
      <c r="E3" s="2">
        <v>5</v>
      </c>
      <c r="F3" s="3">
        <f>(B3+C3)/E3</f>
        <v>3.4</v>
      </c>
    </row>
    <row r="4" spans="1:6" ht="20.100000000000001" customHeight="1" x14ac:dyDescent="0.25">
      <c r="A4" s="8">
        <v>42401</v>
      </c>
      <c r="B4" s="2">
        <v>3</v>
      </c>
      <c r="C4" s="2">
        <v>11</v>
      </c>
      <c r="D4" s="2">
        <f t="shared" ref="D4:D14" si="0">B4+C4</f>
        <v>14</v>
      </c>
      <c r="E4" s="2">
        <v>26</v>
      </c>
      <c r="F4" s="3">
        <f t="shared" ref="F4:F14" si="1">(B4+C4)/E4</f>
        <v>0.53846153846153844</v>
      </c>
    </row>
    <row r="5" spans="1:6" ht="20.100000000000001" customHeight="1" x14ac:dyDescent="0.25">
      <c r="A5" s="8">
        <v>42430</v>
      </c>
      <c r="B5" s="2">
        <v>1</v>
      </c>
      <c r="C5" s="2">
        <v>26</v>
      </c>
      <c r="D5" s="2">
        <f t="shared" si="0"/>
        <v>27</v>
      </c>
      <c r="E5" s="2">
        <v>10</v>
      </c>
      <c r="F5" s="3">
        <f t="shared" si="1"/>
        <v>2.7</v>
      </c>
    </row>
    <row r="6" spans="1:6" ht="20.100000000000001" customHeight="1" x14ac:dyDescent="0.25">
      <c r="A6" s="8">
        <v>42461</v>
      </c>
      <c r="B6" s="2">
        <v>3</v>
      </c>
      <c r="C6" s="2">
        <v>18</v>
      </c>
      <c r="D6" s="2">
        <f t="shared" si="0"/>
        <v>21</v>
      </c>
      <c r="E6" s="2">
        <v>33</v>
      </c>
      <c r="F6" s="3">
        <f t="shared" si="1"/>
        <v>0.63636363636363635</v>
      </c>
    </row>
    <row r="7" spans="1:6" ht="20.100000000000001" customHeight="1" x14ac:dyDescent="0.25">
      <c r="A7" s="8">
        <v>42491</v>
      </c>
      <c r="B7" s="2">
        <v>1</v>
      </c>
      <c r="C7" s="2">
        <v>6</v>
      </c>
      <c r="D7" s="2">
        <f t="shared" si="0"/>
        <v>7</v>
      </c>
      <c r="E7" s="2">
        <v>10</v>
      </c>
      <c r="F7" s="3">
        <f t="shared" si="1"/>
        <v>0.7</v>
      </c>
    </row>
    <row r="8" spans="1:6" ht="20.100000000000001" customHeight="1" x14ac:dyDescent="0.25">
      <c r="A8" s="8">
        <v>42522</v>
      </c>
      <c r="B8" s="2">
        <v>2</v>
      </c>
      <c r="C8" s="2">
        <v>6</v>
      </c>
      <c r="D8" s="2">
        <f t="shared" si="0"/>
        <v>8</v>
      </c>
      <c r="E8" s="2">
        <v>30</v>
      </c>
      <c r="F8" s="3">
        <f t="shared" si="1"/>
        <v>0.26666666666666666</v>
      </c>
    </row>
    <row r="9" spans="1:6" ht="20.100000000000001" customHeight="1" x14ac:dyDescent="0.25">
      <c r="A9" s="8">
        <v>42552</v>
      </c>
      <c r="B9" s="2">
        <v>2</v>
      </c>
      <c r="C9" s="2">
        <v>4</v>
      </c>
      <c r="D9" s="2">
        <f t="shared" si="0"/>
        <v>6</v>
      </c>
      <c r="E9" s="2">
        <v>18</v>
      </c>
      <c r="F9" s="3">
        <f t="shared" si="1"/>
        <v>0.33333333333333331</v>
      </c>
    </row>
    <row r="10" spans="1:6" ht="20.100000000000001" customHeight="1" x14ac:dyDescent="0.25">
      <c r="A10" s="8">
        <v>42583</v>
      </c>
      <c r="B10" s="2">
        <v>0</v>
      </c>
      <c r="C10" s="2">
        <v>7</v>
      </c>
      <c r="D10" s="2">
        <f t="shared" si="0"/>
        <v>7</v>
      </c>
      <c r="E10" s="2">
        <v>26</v>
      </c>
      <c r="F10" s="3">
        <f t="shared" si="1"/>
        <v>0.26923076923076922</v>
      </c>
    </row>
    <row r="11" spans="1:6" ht="20.100000000000001" customHeight="1" x14ac:dyDescent="0.25">
      <c r="A11" s="8">
        <v>42614</v>
      </c>
      <c r="B11" s="2">
        <v>1</v>
      </c>
      <c r="C11" s="2">
        <v>4</v>
      </c>
      <c r="D11" s="2">
        <f t="shared" si="0"/>
        <v>5</v>
      </c>
      <c r="E11" s="2">
        <v>19</v>
      </c>
      <c r="F11" s="3">
        <f t="shared" si="1"/>
        <v>0.26315789473684209</v>
      </c>
    </row>
    <row r="12" spans="1:6" ht="20.100000000000001" customHeight="1" x14ac:dyDescent="0.25">
      <c r="A12" s="8">
        <v>42644</v>
      </c>
      <c r="B12" s="2">
        <v>5</v>
      </c>
      <c r="C12" s="2">
        <v>15</v>
      </c>
      <c r="D12" s="2">
        <f t="shared" si="0"/>
        <v>20</v>
      </c>
      <c r="E12" s="2">
        <v>13</v>
      </c>
      <c r="F12" s="3">
        <f t="shared" si="1"/>
        <v>1.5384615384615385</v>
      </c>
    </row>
    <row r="13" spans="1:6" ht="20.100000000000001" customHeight="1" x14ac:dyDescent="0.25">
      <c r="A13" s="8">
        <v>42675</v>
      </c>
      <c r="B13" s="2">
        <v>5</v>
      </c>
      <c r="C13" s="2">
        <v>5</v>
      </c>
      <c r="D13" s="2">
        <f t="shared" si="0"/>
        <v>10</v>
      </c>
      <c r="E13" s="2">
        <v>20</v>
      </c>
      <c r="F13" s="3">
        <f t="shared" si="1"/>
        <v>0.5</v>
      </c>
    </row>
    <row r="14" spans="1:6" ht="20.100000000000001" customHeight="1" x14ac:dyDescent="0.25">
      <c r="A14" s="8">
        <v>42705</v>
      </c>
      <c r="B14" s="2">
        <v>4</v>
      </c>
      <c r="C14" s="2">
        <v>9</v>
      </c>
      <c r="D14" s="2">
        <f t="shared" si="0"/>
        <v>13</v>
      </c>
      <c r="E14" s="2">
        <v>36</v>
      </c>
      <c r="F14" s="3">
        <f t="shared" si="1"/>
        <v>0.3611111111111111</v>
      </c>
    </row>
    <row r="15" spans="1:6" ht="20.100000000000001" customHeight="1" x14ac:dyDescent="0.25">
      <c r="A15" s="2"/>
      <c r="B15" s="2"/>
      <c r="C15" s="2"/>
      <c r="D15" s="2"/>
      <c r="E15" s="2"/>
      <c r="F15" s="9">
        <f>AVERAGE(F3:F14)</f>
        <v>0.95889887403045304</v>
      </c>
    </row>
    <row r="16" spans="1:6" x14ac:dyDescent="0.25">
      <c r="A16" s="4"/>
      <c r="B16" s="4"/>
      <c r="C16" s="4"/>
      <c r="D16" s="4"/>
      <c r="E16" s="4"/>
      <c r="F16" s="5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2017-01-13T22:44:18Z</dcterms:created>
  <dcterms:modified xsi:type="dcterms:W3CDTF">2017-01-13T23:10:22Z</dcterms:modified>
</cp:coreProperties>
</file>