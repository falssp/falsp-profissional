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\Google Drive\Smiles\Fase 5 - Projeto Ger de Mudanças\"/>
    </mc:Choice>
  </mc:AlternateContent>
  <bookViews>
    <workbookView xWindow="0" yWindow="0" windowWidth="20490" windowHeight="8445" tabRatio="844" activeTab="1"/>
  </bookViews>
  <sheets>
    <sheet name="AI06" sheetId="36" r:id="rId1"/>
    <sheet name="AI06 Grafico" sheetId="37" r:id="rId2"/>
  </sheets>
  <definedNames>
    <definedName name="_xlnm.Print_Area" localSheetId="0">'AI06'!$A$1:$I$85</definedName>
    <definedName name="_xlnm.Print_Titles" localSheetId="0">'AI06'!$1:$7</definedName>
  </definedNames>
  <calcPr calcId="152511"/>
</workbook>
</file>

<file path=xl/calcChain.xml><?xml version="1.0" encoding="utf-8"?>
<calcChain xmlns="http://schemas.openxmlformats.org/spreadsheetml/2006/main">
  <c r="K48" i="36" l="1"/>
  <c r="J48" i="36"/>
  <c r="D21" i="36"/>
  <c r="H11" i="36"/>
  <c r="G11" i="36" l="1"/>
  <c r="F11" i="36"/>
  <c r="E11" i="36"/>
  <c r="D11" i="36"/>
  <c r="C11" i="36"/>
  <c r="A10" i="36"/>
  <c r="A13" i="36" s="1"/>
  <c r="I11" i="36" l="1"/>
  <c r="C45" i="36"/>
  <c r="I45" i="36" s="1"/>
  <c r="D45" i="36"/>
  <c r="E45" i="36"/>
  <c r="F45" i="36"/>
  <c r="G45" i="36"/>
  <c r="H45" i="36"/>
  <c r="C38" i="36"/>
  <c r="D38" i="36"/>
  <c r="E38" i="36"/>
  <c r="F38" i="36"/>
  <c r="G38" i="36"/>
  <c r="H38" i="36"/>
  <c r="C27" i="36"/>
  <c r="D27" i="36"/>
  <c r="E27" i="36"/>
  <c r="F27" i="36"/>
  <c r="G27" i="36"/>
  <c r="H27" i="36"/>
  <c r="C21" i="36"/>
  <c r="E21" i="36"/>
  <c r="F21" i="36"/>
  <c r="G21" i="36"/>
  <c r="H21" i="36"/>
  <c r="C17" i="36"/>
  <c r="D17" i="36"/>
  <c r="E17" i="36"/>
  <c r="F17" i="36"/>
  <c r="G17" i="36"/>
  <c r="H17" i="36"/>
  <c r="K38" i="36"/>
  <c r="A14" i="36"/>
  <c r="A15" i="36" s="1"/>
  <c r="A16" i="36" s="1"/>
  <c r="I27" i="36" l="1"/>
  <c r="I22" i="36" s="1"/>
  <c r="B7" i="37" s="1"/>
  <c r="C7" i="37" s="1"/>
  <c r="I21" i="36"/>
  <c r="I38" i="36"/>
  <c r="I28" i="36" s="1"/>
  <c r="B8" i="37" s="1"/>
  <c r="C8" i="37" s="1"/>
  <c r="I17" i="36"/>
  <c r="I12" i="36" s="1"/>
  <c r="B5" i="37" s="1"/>
  <c r="C5" i="37" s="1"/>
  <c r="A19" i="36"/>
  <c r="A20" i="36" s="1"/>
  <c r="K17" i="36"/>
  <c r="K21" i="36"/>
  <c r="K45" i="36"/>
  <c r="L45" i="36" s="1"/>
  <c r="I18" i="36"/>
  <c r="B6" i="37" s="1"/>
  <c r="C6" i="37" s="1"/>
  <c r="K11" i="36"/>
  <c r="K27" i="36"/>
  <c r="I8" i="36"/>
  <c r="B4" i="37" s="1"/>
  <c r="C4" i="37" s="1"/>
  <c r="L17" i="36" l="1"/>
  <c r="L38" i="36"/>
  <c r="I39" i="36"/>
  <c r="B9" i="37" s="1"/>
  <c r="C9" i="37" s="1"/>
  <c r="A23" i="36"/>
  <c r="A24" i="36" s="1"/>
  <c r="A25" i="36" s="1"/>
  <c r="A26" i="36" s="1"/>
  <c r="L27" i="36"/>
  <c r="L21" i="36"/>
  <c r="L11" i="36"/>
  <c r="L48" i="36" l="1"/>
  <c r="N48" i="36" s="1"/>
  <c r="A29" i="36"/>
  <c r="A30" i="36" s="1"/>
  <c r="A31" i="36" s="1"/>
  <c r="A32" i="36" s="1"/>
  <c r="A33" i="36" s="1"/>
  <c r="A34" i="36" s="1"/>
  <c r="A35" i="36" s="1"/>
  <c r="A36" i="36" s="1"/>
  <c r="A37" i="36" s="1"/>
  <c r="A40" i="36" s="1"/>
  <c r="A41" i="36" s="1"/>
  <c r="A42" i="36" s="1"/>
  <c r="A43" i="36" s="1"/>
  <c r="A44" i="36" s="1"/>
</calcChain>
</file>

<file path=xl/sharedStrings.xml><?xml version="1.0" encoding="utf-8"?>
<sst xmlns="http://schemas.openxmlformats.org/spreadsheetml/2006/main" count="78" uniqueCount="53">
  <si>
    <t xml:space="preserve">MODELO  DE  MATURIDADE </t>
    <phoneticPr fontId="0" type="noConversion"/>
  </si>
  <si>
    <t>ESTA AFIRMAÇÃO É VERDADEIRA?
indique com um X no quadro abaixo</t>
  </si>
  <si>
    <t>VALOR MÉDIO DO NÍVEL DE MATURIDADE</t>
  </si>
  <si>
    <t>0% 
Não existente</t>
  </si>
  <si>
    <t>15% 
Está iniciando um trabalho</t>
  </si>
  <si>
    <t>25% 
Significativamente inferior</t>
  </si>
  <si>
    <t>50%
Parcialmente</t>
  </si>
  <si>
    <t>75% 
Levemente interior ao anterior</t>
  </si>
  <si>
    <t>100% 
Totalmente aderente</t>
  </si>
  <si>
    <t>0  Inexistente quando</t>
  </si>
  <si>
    <t>1  Inicial/ Ad Hoc quando</t>
  </si>
  <si>
    <t>2  Repetível porém Intuitivo quando</t>
  </si>
  <si>
    <t>3  Processo Definido quando</t>
  </si>
  <si>
    <t>4  Gerenciado e Mensurável quando</t>
  </si>
  <si>
    <t>5  Otimizado quando</t>
  </si>
  <si>
    <t>Maturidade</t>
  </si>
  <si>
    <t>Nível</t>
  </si>
  <si>
    <t>Aderência ao nível</t>
  </si>
  <si>
    <t>Falta para atingir o nível</t>
  </si>
  <si>
    <t>Nível 0</t>
  </si>
  <si>
    <t>Nível 1</t>
  </si>
  <si>
    <t>Nível 2</t>
  </si>
  <si>
    <t>Nível 3</t>
  </si>
  <si>
    <t>Nível 4</t>
  </si>
  <si>
    <t>Nível 5</t>
  </si>
  <si>
    <t>AI06 Gerenciar Mudanças</t>
  </si>
  <si>
    <t>Não há um processo de gerenciamento de mudanças formalmente estabelecido, as mudanças podem ser feitas praticamente sem nenhum controle.</t>
  </si>
  <si>
    <t>Não há consciência de que as mudanças podem interromper as operações de TI de negócio, tampouco há consciência dos benefícios de um bom gerenciamento de mudanças.</t>
  </si>
  <si>
    <t>É reconhecido que as mudanças devem ser gerenciadas e controladas.</t>
  </si>
  <si>
    <t>As práticas variam, e existe a probabilidade de execução de mudanças não autorizadas.</t>
  </si>
  <si>
    <t>A documentação de mudança é insuficiente ou inexistente e a de configuração é incompleta e não confiável.</t>
  </si>
  <si>
    <t>Provavelmente os erros ocorrem junto com interrupções no ambiente de produção devido a um gerenciamento de mudanças ineficiente.</t>
  </si>
  <si>
    <t>A precisão da documentação de configuração é inconsistente, e antes da mudança apenas são realizados um planejamento e uma avaliação limitados dos impactos.</t>
  </si>
  <si>
    <t xml:space="preserve">Há um processo informal de gerenciamento de mudanças seguido na maioria das mudanças ocorridas, porém esse processo é desestruturado, rudimentar e propenso a erros. </t>
  </si>
  <si>
    <t xml:space="preserve">Há um processo formal de gerenciamento de mudanças, que inclui categorização, priorização, procedimentos de emergência, autorização de mudança e controle de versão, porém a conformidade com o processo ainda é emergente. </t>
  </si>
  <si>
    <t xml:space="preserve">São aplicadas soluções alternativas, e com frequência os processos são ignorados. </t>
  </si>
  <si>
    <t xml:space="preserve">Podem ocorrer erros, e mudanças não autorizadas acontecem ocasionalmente. </t>
  </si>
  <si>
    <t>A análise de impacto das mudanças de TI sobre as operações de negócios começa a ser formalizada para apoiar a implementação planejada de novas tecnologias e aplicações.</t>
  </si>
  <si>
    <t xml:space="preserve">O processo de gerenciamento de mudanças é bem desenvolvido, acompanha consistentemente todas as mudanças e os responsáveis pelo gerenciamento podem afirmar que as exceções são mínimas. </t>
  </si>
  <si>
    <t xml:space="preserve">Os processos são eficazes e eficientes, porém se apóiam em vários procedimentos e controles manuais para assegurar que a qualidade seja obtida. </t>
  </si>
  <si>
    <t xml:space="preserve">Todas as mudanças estão sujeitas ao planejamento e à avaliação de impacto para minimizar a probabilidade de problemas após a produção. </t>
  </si>
  <si>
    <t xml:space="preserve">Há um processo de aprovação de mudanças estabelecido. </t>
  </si>
  <si>
    <t xml:space="preserve">A documentação de gerenciamento de mudanças está atualizada e correta, e as mudanças são controladas formalmente. </t>
  </si>
  <si>
    <t xml:space="preserve">A documentação de configuração é precisa. </t>
  </si>
  <si>
    <t xml:space="preserve">O planejamento e a implementação do gerenciamento de mudanças estão ficando mais integrados com as mudanças nos processos de negócio, para assegurar que o treinamento, as mudanças organizacionais e as questões de continuidade de negócio sejam tratados. </t>
  </si>
  <si>
    <t xml:space="preserve">Há maior coordenação entre o gerenciamento de mudanças de TI e a redefinição de processos de negócio. </t>
  </si>
  <si>
    <t>Há um processo consistente para monitorar a qualidade e o desempenho do processo de gerenciamento de mudanças.</t>
  </si>
  <si>
    <t xml:space="preserve">O processo de gerenciamento de mudanças é revisado e atualizado regularmente para permanecer em alinhamento com as boas práticas. </t>
  </si>
  <si>
    <t xml:space="preserve">O processo de revisão reflete o resultado do monitoramento. </t>
  </si>
  <si>
    <t>As informações de configuração são automatizadas por software e propiciam o controle de versão.</t>
  </si>
  <si>
    <t xml:space="preserve">O rastreamento de mudanças é sofisticado e inclui ferramentas que detectam software sem licença e não autorizado. </t>
  </si>
  <si>
    <t>O gerenciamento de mudanças de TI é integrado ao gerenciamento de mudanças de negócio para assegurar que a TI viabilize o crescimento da produtividade e crie novas oportunidades de negócios para a organização.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</si>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</sst>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22"/>
      <name val="Calibri"/>
      <family val="2"/>
    </font>
    <font>
      <b/>
      <sz val="11"/>
      <color indexed="10"/>
      <name val="Calibri"/>
      <family val="2"/>
    </font>
    <font>
      <sz val="11"/>
      <color indexed="22"/>
      <name val="Calibri"/>
      <family val="2"/>
    </font>
    <font>
      <b/>
      <sz val="11"/>
      <color indexed="18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sz val="11"/>
      <color theme="6" tint="0.79998168889431442"/>
      <name val="Calibri"/>
      <family val="2"/>
      <scheme val="minor"/>
    </font>
    <font>
      <b/>
      <sz val="11"/>
      <color indexed="60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8">
    <xf numFmtId="0" fontId="0" fillId="0" borderId="0" xfId="0"/>
    <xf numFmtId="9" fontId="9" fillId="2" borderId="3" xfId="1" applyFont="1" applyFill="1" applyBorder="1" applyAlignment="1">
      <alignment horizontal="center" vertical="center"/>
    </xf>
    <xf numFmtId="9" fontId="9" fillId="2" borderId="4" xfId="1" applyFont="1" applyFill="1" applyBorder="1" applyAlignment="1">
      <alignment horizontal="center" vertical="center"/>
    </xf>
    <xf numFmtId="9" fontId="9" fillId="2" borderId="5" xfId="1" applyFont="1" applyFill="1" applyBorder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vertical="center" wrapText="1"/>
    </xf>
    <xf numFmtId="0" fontId="5" fillId="3" borderId="0" xfId="0" applyFont="1" applyFill="1"/>
    <xf numFmtId="0" fontId="0" fillId="3" borderId="0" xfId="0" applyFill="1" applyAlignment="1">
      <alignment vertical="center" wrapText="1"/>
    </xf>
    <xf numFmtId="0" fontId="0" fillId="3" borderId="0" xfId="0" applyFill="1"/>
    <xf numFmtId="9" fontId="3" fillId="3" borderId="0" xfId="0" applyNumberFormat="1" applyFont="1" applyFill="1"/>
    <xf numFmtId="0" fontId="5" fillId="3" borderId="2" xfId="0" applyFont="1" applyFill="1" applyBorder="1" applyAlignment="1">
      <alignment vertical="center" wrapText="1"/>
    </xf>
    <xf numFmtId="9" fontId="10" fillId="3" borderId="2" xfId="1" applyFont="1" applyFill="1" applyBorder="1" applyAlignment="1">
      <alignment horizontal="center" vertical="center"/>
    </xf>
    <xf numFmtId="9" fontId="1" fillId="3" borderId="0" xfId="1" applyFont="1" applyFill="1"/>
    <xf numFmtId="9" fontId="0" fillId="3" borderId="0" xfId="0" applyNumberFormat="1" applyFill="1"/>
    <xf numFmtId="0" fontId="15" fillId="3" borderId="0" xfId="0" applyFont="1" applyFill="1" applyAlignment="1">
      <alignment horizontal="center"/>
    </xf>
    <xf numFmtId="0" fontId="3" fillId="2" borderId="2" xfId="0" applyFont="1" applyFill="1" applyBorder="1" applyAlignment="1">
      <alignment vertical="center" wrapText="1"/>
    </xf>
    <xf numFmtId="9" fontId="14" fillId="4" borderId="0" xfId="1" applyFont="1" applyFill="1"/>
    <xf numFmtId="0" fontId="0" fillId="4" borderId="0" xfId="0" applyFill="1"/>
    <xf numFmtId="9" fontId="1" fillId="4" borderId="0" xfId="1" applyFont="1" applyFill="1"/>
    <xf numFmtId="0" fontId="11" fillId="4" borderId="3" xfId="0" applyFont="1" applyFill="1" applyBorder="1" applyAlignment="1">
      <alignment vertical="center" wrapText="1"/>
    </xf>
    <xf numFmtId="0" fontId="0" fillId="3" borderId="0" xfId="0" applyFont="1" applyFill="1"/>
    <xf numFmtId="0" fontId="0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 wrapText="1"/>
    </xf>
    <xf numFmtId="9" fontId="18" fillId="3" borderId="0" xfId="0" applyNumberFormat="1" applyFont="1" applyFill="1" applyAlignment="1">
      <alignment horizontal="center"/>
    </xf>
    <xf numFmtId="0" fontId="19" fillId="3" borderId="0" xfId="0" applyFont="1" applyFill="1" applyAlignment="1">
      <alignment horizontal="center" vertical="center"/>
    </xf>
    <xf numFmtId="9" fontId="8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9" fontId="12" fillId="4" borderId="4" xfId="0" applyNumberFormat="1" applyFont="1" applyFill="1" applyBorder="1" applyAlignment="1">
      <alignment horizontal="center" vertical="center"/>
    </xf>
    <xf numFmtId="9" fontId="13" fillId="4" borderId="5" xfId="0" applyNumberFormat="1" applyFont="1" applyFill="1" applyBorder="1" applyAlignment="1">
      <alignment horizontal="center" vertical="center"/>
    </xf>
    <xf numFmtId="9" fontId="6" fillId="4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vertical="center" wrapText="1"/>
    </xf>
    <xf numFmtId="9" fontId="3" fillId="3" borderId="6" xfId="1" applyFont="1" applyFill="1" applyBorder="1" applyAlignment="1">
      <alignment horizontal="center" vertical="center"/>
    </xf>
    <xf numFmtId="9" fontId="3" fillId="3" borderId="7" xfId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5" fillId="3" borderId="0" xfId="0" applyFont="1" applyFill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9" fontId="3" fillId="3" borderId="8" xfId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6" fillId="3" borderId="0" xfId="0" applyFont="1" applyFill="1" applyAlignment="1"/>
  </cellXfs>
  <cellStyles count="2">
    <cellStyle name="Normal" xfId="0" builtinId="0"/>
    <cellStyle name="Porcentagem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7.7696073398545687E-2"/>
          <c:y val="4.1883121608740553E-2"/>
          <c:w val="0.92230392660145433"/>
          <c:h val="0.73912294422881053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'AI06 Grafico'!$B$3</c:f>
              <c:strCache>
                <c:ptCount val="1"/>
                <c:pt idx="0">
                  <c:v>Aderência ao nível</c:v>
                </c:pt>
              </c:strCache>
            </c:strRef>
          </c:tx>
          <c:invertIfNegative val="0"/>
          <c:dLbls>
            <c:dLbl>
              <c:idx val="0"/>
              <c:spPr/>
              <c:txPr>
                <a:bodyPr/>
                <a:lstStyle/>
                <a:p>
                  <a:pPr>
                    <a:defRPr sz="1200" b="1"/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'AI06 Grafico'!$A$4:$A$9</c:f>
              <c:strCache>
                <c:ptCount val="6"/>
                <c:pt idx="0">
                  <c:v>Nível 0</c:v>
                </c:pt>
                <c:pt idx="1">
                  <c:v>Nível 1</c:v>
                </c:pt>
                <c:pt idx="2">
                  <c:v>Nível 2</c:v>
                </c:pt>
                <c:pt idx="3">
                  <c:v>Nível 3</c:v>
                </c:pt>
                <c:pt idx="4">
                  <c:v>Nível 4</c:v>
                </c:pt>
                <c:pt idx="5">
                  <c:v>Nível 5</c:v>
                </c:pt>
              </c:strCache>
            </c:strRef>
          </c:cat>
          <c:val>
            <c:numRef>
              <c:f>'AI06 Grafico'!$B$4:$B$9</c:f>
              <c:numCache>
                <c:formatCode>0%</c:formatCode>
                <c:ptCount val="6"/>
                <c:pt idx="0">
                  <c:v>1</c:v>
                </c:pt>
                <c:pt idx="1">
                  <c:v>0.75</c:v>
                </c:pt>
                <c:pt idx="2">
                  <c:v>0.32500000000000001</c:v>
                </c:pt>
                <c:pt idx="3">
                  <c:v>0.625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0BA-4B0F-9121-B15C4059C25A}"/>
            </c:ext>
          </c:extLst>
        </c:ser>
        <c:ser>
          <c:idx val="1"/>
          <c:order val="1"/>
          <c:tx>
            <c:strRef>
              <c:f>'AI06 Grafico'!$C$3</c:f>
              <c:strCache>
                <c:ptCount val="1"/>
                <c:pt idx="0">
                  <c:v>Falta para atingir o nível</c:v>
                </c:pt>
              </c:strCache>
            </c:strRef>
          </c:tx>
          <c:invertIfNegative val="0"/>
          <c:dLbls>
            <c:spPr>
              <a:noFill/>
            </c:spPr>
            <c:txPr>
              <a:bodyPr/>
              <a:lstStyle/>
              <a:p>
                <a:pPr>
                  <a:defRPr sz="1200"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'AI06 Grafico'!$A$4:$A$9</c:f>
              <c:strCache>
                <c:ptCount val="6"/>
                <c:pt idx="0">
                  <c:v>Nível 0</c:v>
                </c:pt>
                <c:pt idx="1">
                  <c:v>Nível 1</c:v>
                </c:pt>
                <c:pt idx="2">
                  <c:v>Nível 2</c:v>
                </c:pt>
                <c:pt idx="3">
                  <c:v>Nível 3</c:v>
                </c:pt>
                <c:pt idx="4">
                  <c:v>Nível 4</c:v>
                </c:pt>
                <c:pt idx="5">
                  <c:v>Nível 5</c:v>
                </c:pt>
              </c:strCache>
            </c:strRef>
          </c:cat>
          <c:val>
            <c:numRef>
              <c:f>'AI06 Grafico'!$C$4:$C$9</c:f>
              <c:numCache>
                <c:formatCode>0%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0.67500000000000004</c:v>
                </c:pt>
                <c:pt idx="3">
                  <c:v>0.375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0BA-4B0F-9121-B15C4059C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598632"/>
        <c:axId val="198731824"/>
        <c:axId val="0"/>
      </c:bar3DChart>
      <c:catAx>
        <c:axId val="199598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8731824"/>
        <c:crosses val="autoZero"/>
        <c:auto val="1"/>
        <c:lblAlgn val="ctr"/>
        <c:lblOffset val="100"/>
        <c:noMultiLvlLbl val="0"/>
      </c:catAx>
      <c:valAx>
        <c:axId val="198731824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crossAx val="1995986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424440043154114"/>
          <c:y val="0.86183727034120727"/>
          <c:w val="0.56647431495665468"/>
          <c:h val="0.13816302676720885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571499</xdr:colOff>
      <xdr:row>1</xdr:row>
      <xdr:rowOff>21167</xdr:rowOff>
    </xdr:from>
    <xdr:to>
      <xdr:col>14</xdr:col>
      <xdr:colOff>283633</xdr:colOff>
      <xdr:row>14</xdr:row>
      <xdr:rowOff>42333</xdr:rowOff>
    </xdr:to>
    <xdr:graphicFrame macro="">
      <xdr:nvGraphicFramePr>
        <xdr:cNvPr id="2" name="Gráfico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80"/>
  <sheetViews>
    <sheetView topLeftCell="A38" zoomScale="70" zoomScaleNormal="70" zoomScaleSheetLayoutView="55" workbookViewId="0">
      <selection activeCell="G30" sqref="G30"/>
    </sheetView>
  </sheetViews>
  <sheetFormatPr defaultColWidth="8.85546875" defaultRowHeight="15" x14ac:dyDescent="0.25"/>
  <cols>
    <col min="1" max="1" width="4.5703125" style="34" bestFit="1" customWidth="1"/>
    <col min="2" max="2" width="111.140625" style="7" customWidth="1"/>
    <col min="3" max="8" width="19.140625" style="8" customWidth="1"/>
    <col min="9" max="9" width="25.42578125" style="8" customWidth="1"/>
    <col min="10" max="10" width="11.85546875" style="8" customWidth="1"/>
    <col min="11" max="12" width="8.85546875" style="8" customWidth="1"/>
    <col min="13" max="256" width="8.85546875" style="8"/>
    <col min="257" max="257" width="0.140625" style="8" customWidth="1"/>
    <col min="258" max="258" width="11" style="8" customWidth="1"/>
    <col min="259" max="259" width="111.140625" style="8" customWidth="1"/>
    <col min="260" max="261" width="12.28515625" style="8" customWidth="1"/>
    <col min="262" max="262" width="12" style="8" customWidth="1"/>
    <col min="263" max="263" width="12.42578125" style="8" customWidth="1"/>
    <col min="264" max="264" width="11" style="8" customWidth="1"/>
    <col min="265" max="265" width="25.42578125" style="8" customWidth="1"/>
    <col min="266" max="266" width="11.85546875" style="8" customWidth="1"/>
    <col min="267" max="512" width="8.85546875" style="8"/>
    <col min="513" max="513" width="0.140625" style="8" customWidth="1"/>
    <col min="514" max="514" width="11" style="8" customWidth="1"/>
    <col min="515" max="515" width="111.140625" style="8" customWidth="1"/>
    <col min="516" max="517" width="12.28515625" style="8" customWidth="1"/>
    <col min="518" max="518" width="12" style="8" customWidth="1"/>
    <col min="519" max="519" width="12.42578125" style="8" customWidth="1"/>
    <col min="520" max="520" width="11" style="8" customWidth="1"/>
    <col min="521" max="521" width="25.42578125" style="8" customWidth="1"/>
    <col min="522" max="522" width="11.85546875" style="8" customWidth="1"/>
    <col min="523" max="768" width="8.85546875" style="8"/>
    <col min="769" max="769" width="0.140625" style="8" customWidth="1"/>
    <col min="770" max="770" width="11" style="8" customWidth="1"/>
    <col min="771" max="771" width="111.140625" style="8" customWidth="1"/>
    <col min="772" max="773" width="12.28515625" style="8" customWidth="1"/>
    <col min="774" max="774" width="12" style="8" customWidth="1"/>
    <col min="775" max="775" width="12.42578125" style="8" customWidth="1"/>
    <col min="776" max="776" width="11" style="8" customWidth="1"/>
    <col min="777" max="777" width="25.42578125" style="8" customWidth="1"/>
    <col min="778" max="778" width="11.85546875" style="8" customWidth="1"/>
    <col min="779" max="1024" width="8.85546875" style="8"/>
    <col min="1025" max="1025" width="0.140625" style="8" customWidth="1"/>
    <col min="1026" max="1026" width="11" style="8" customWidth="1"/>
    <col min="1027" max="1027" width="111.140625" style="8" customWidth="1"/>
    <col min="1028" max="1029" width="12.28515625" style="8" customWidth="1"/>
    <col min="1030" max="1030" width="12" style="8" customWidth="1"/>
    <col min="1031" max="1031" width="12.42578125" style="8" customWidth="1"/>
    <col min="1032" max="1032" width="11" style="8" customWidth="1"/>
    <col min="1033" max="1033" width="25.42578125" style="8" customWidth="1"/>
    <col min="1034" max="1034" width="11.85546875" style="8" customWidth="1"/>
    <col min="1035" max="1280" width="8.85546875" style="8"/>
    <col min="1281" max="1281" width="0.140625" style="8" customWidth="1"/>
    <col min="1282" max="1282" width="11" style="8" customWidth="1"/>
    <col min="1283" max="1283" width="111.140625" style="8" customWidth="1"/>
    <col min="1284" max="1285" width="12.28515625" style="8" customWidth="1"/>
    <col min="1286" max="1286" width="12" style="8" customWidth="1"/>
    <col min="1287" max="1287" width="12.42578125" style="8" customWidth="1"/>
    <col min="1288" max="1288" width="11" style="8" customWidth="1"/>
    <col min="1289" max="1289" width="25.42578125" style="8" customWidth="1"/>
    <col min="1290" max="1290" width="11.85546875" style="8" customWidth="1"/>
    <col min="1291" max="1536" width="8.85546875" style="8"/>
    <col min="1537" max="1537" width="0.140625" style="8" customWidth="1"/>
    <col min="1538" max="1538" width="11" style="8" customWidth="1"/>
    <col min="1539" max="1539" width="111.140625" style="8" customWidth="1"/>
    <col min="1540" max="1541" width="12.28515625" style="8" customWidth="1"/>
    <col min="1542" max="1542" width="12" style="8" customWidth="1"/>
    <col min="1543" max="1543" width="12.42578125" style="8" customWidth="1"/>
    <col min="1544" max="1544" width="11" style="8" customWidth="1"/>
    <col min="1545" max="1545" width="25.42578125" style="8" customWidth="1"/>
    <col min="1546" max="1546" width="11.85546875" style="8" customWidth="1"/>
    <col min="1547" max="1792" width="8.85546875" style="8"/>
    <col min="1793" max="1793" width="0.140625" style="8" customWidth="1"/>
    <col min="1794" max="1794" width="11" style="8" customWidth="1"/>
    <col min="1795" max="1795" width="111.140625" style="8" customWidth="1"/>
    <col min="1796" max="1797" width="12.28515625" style="8" customWidth="1"/>
    <col min="1798" max="1798" width="12" style="8" customWidth="1"/>
    <col min="1799" max="1799" width="12.42578125" style="8" customWidth="1"/>
    <col min="1800" max="1800" width="11" style="8" customWidth="1"/>
    <col min="1801" max="1801" width="25.42578125" style="8" customWidth="1"/>
    <col min="1802" max="1802" width="11.85546875" style="8" customWidth="1"/>
    <col min="1803" max="2048" width="8.85546875" style="8"/>
    <col min="2049" max="2049" width="0.140625" style="8" customWidth="1"/>
    <col min="2050" max="2050" width="11" style="8" customWidth="1"/>
    <col min="2051" max="2051" width="111.140625" style="8" customWidth="1"/>
    <col min="2052" max="2053" width="12.28515625" style="8" customWidth="1"/>
    <col min="2054" max="2054" width="12" style="8" customWidth="1"/>
    <col min="2055" max="2055" width="12.42578125" style="8" customWidth="1"/>
    <col min="2056" max="2056" width="11" style="8" customWidth="1"/>
    <col min="2057" max="2057" width="25.42578125" style="8" customWidth="1"/>
    <col min="2058" max="2058" width="11.85546875" style="8" customWidth="1"/>
    <col min="2059" max="2304" width="8.85546875" style="8"/>
    <col min="2305" max="2305" width="0.140625" style="8" customWidth="1"/>
    <col min="2306" max="2306" width="11" style="8" customWidth="1"/>
    <col min="2307" max="2307" width="111.140625" style="8" customWidth="1"/>
    <col min="2308" max="2309" width="12.28515625" style="8" customWidth="1"/>
    <col min="2310" max="2310" width="12" style="8" customWidth="1"/>
    <col min="2311" max="2311" width="12.42578125" style="8" customWidth="1"/>
    <col min="2312" max="2312" width="11" style="8" customWidth="1"/>
    <col min="2313" max="2313" width="25.42578125" style="8" customWidth="1"/>
    <col min="2314" max="2314" width="11.85546875" style="8" customWidth="1"/>
    <col min="2315" max="2560" width="8.85546875" style="8"/>
    <col min="2561" max="2561" width="0.140625" style="8" customWidth="1"/>
    <col min="2562" max="2562" width="11" style="8" customWidth="1"/>
    <col min="2563" max="2563" width="111.140625" style="8" customWidth="1"/>
    <col min="2564" max="2565" width="12.28515625" style="8" customWidth="1"/>
    <col min="2566" max="2566" width="12" style="8" customWidth="1"/>
    <col min="2567" max="2567" width="12.42578125" style="8" customWidth="1"/>
    <col min="2568" max="2568" width="11" style="8" customWidth="1"/>
    <col min="2569" max="2569" width="25.42578125" style="8" customWidth="1"/>
    <col min="2570" max="2570" width="11.85546875" style="8" customWidth="1"/>
    <col min="2571" max="2816" width="8.85546875" style="8"/>
    <col min="2817" max="2817" width="0.140625" style="8" customWidth="1"/>
    <col min="2818" max="2818" width="11" style="8" customWidth="1"/>
    <col min="2819" max="2819" width="111.140625" style="8" customWidth="1"/>
    <col min="2820" max="2821" width="12.28515625" style="8" customWidth="1"/>
    <col min="2822" max="2822" width="12" style="8" customWidth="1"/>
    <col min="2823" max="2823" width="12.42578125" style="8" customWidth="1"/>
    <col min="2824" max="2824" width="11" style="8" customWidth="1"/>
    <col min="2825" max="2825" width="25.42578125" style="8" customWidth="1"/>
    <col min="2826" max="2826" width="11.85546875" style="8" customWidth="1"/>
    <col min="2827" max="3072" width="8.85546875" style="8"/>
    <col min="3073" max="3073" width="0.140625" style="8" customWidth="1"/>
    <col min="3074" max="3074" width="11" style="8" customWidth="1"/>
    <col min="3075" max="3075" width="111.140625" style="8" customWidth="1"/>
    <col min="3076" max="3077" width="12.28515625" style="8" customWidth="1"/>
    <col min="3078" max="3078" width="12" style="8" customWidth="1"/>
    <col min="3079" max="3079" width="12.42578125" style="8" customWidth="1"/>
    <col min="3080" max="3080" width="11" style="8" customWidth="1"/>
    <col min="3081" max="3081" width="25.42578125" style="8" customWidth="1"/>
    <col min="3082" max="3082" width="11.85546875" style="8" customWidth="1"/>
    <col min="3083" max="3328" width="8.85546875" style="8"/>
    <col min="3329" max="3329" width="0.140625" style="8" customWidth="1"/>
    <col min="3330" max="3330" width="11" style="8" customWidth="1"/>
    <col min="3331" max="3331" width="111.140625" style="8" customWidth="1"/>
    <col min="3332" max="3333" width="12.28515625" style="8" customWidth="1"/>
    <col min="3334" max="3334" width="12" style="8" customWidth="1"/>
    <col min="3335" max="3335" width="12.42578125" style="8" customWidth="1"/>
    <col min="3336" max="3336" width="11" style="8" customWidth="1"/>
    <col min="3337" max="3337" width="25.42578125" style="8" customWidth="1"/>
    <col min="3338" max="3338" width="11.85546875" style="8" customWidth="1"/>
    <col min="3339" max="3584" width="8.85546875" style="8"/>
    <col min="3585" max="3585" width="0.140625" style="8" customWidth="1"/>
    <col min="3586" max="3586" width="11" style="8" customWidth="1"/>
    <col min="3587" max="3587" width="111.140625" style="8" customWidth="1"/>
    <col min="3588" max="3589" width="12.28515625" style="8" customWidth="1"/>
    <col min="3590" max="3590" width="12" style="8" customWidth="1"/>
    <col min="3591" max="3591" width="12.42578125" style="8" customWidth="1"/>
    <col min="3592" max="3592" width="11" style="8" customWidth="1"/>
    <col min="3593" max="3593" width="25.42578125" style="8" customWidth="1"/>
    <col min="3594" max="3594" width="11.85546875" style="8" customWidth="1"/>
    <col min="3595" max="3840" width="8.85546875" style="8"/>
    <col min="3841" max="3841" width="0.140625" style="8" customWidth="1"/>
    <col min="3842" max="3842" width="11" style="8" customWidth="1"/>
    <col min="3843" max="3843" width="111.140625" style="8" customWidth="1"/>
    <col min="3844" max="3845" width="12.28515625" style="8" customWidth="1"/>
    <col min="3846" max="3846" width="12" style="8" customWidth="1"/>
    <col min="3847" max="3847" width="12.42578125" style="8" customWidth="1"/>
    <col min="3848" max="3848" width="11" style="8" customWidth="1"/>
    <col min="3849" max="3849" width="25.42578125" style="8" customWidth="1"/>
    <col min="3850" max="3850" width="11.85546875" style="8" customWidth="1"/>
    <col min="3851" max="4096" width="8.85546875" style="8"/>
    <col min="4097" max="4097" width="0.140625" style="8" customWidth="1"/>
    <col min="4098" max="4098" width="11" style="8" customWidth="1"/>
    <col min="4099" max="4099" width="111.140625" style="8" customWidth="1"/>
    <col min="4100" max="4101" width="12.28515625" style="8" customWidth="1"/>
    <col min="4102" max="4102" width="12" style="8" customWidth="1"/>
    <col min="4103" max="4103" width="12.42578125" style="8" customWidth="1"/>
    <col min="4104" max="4104" width="11" style="8" customWidth="1"/>
    <col min="4105" max="4105" width="25.42578125" style="8" customWidth="1"/>
    <col min="4106" max="4106" width="11.85546875" style="8" customWidth="1"/>
    <col min="4107" max="4352" width="8.85546875" style="8"/>
    <col min="4353" max="4353" width="0.140625" style="8" customWidth="1"/>
    <col min="4354" max="4354" width="11" style="8" customWidth="1"/>
    <col min="4355" max="4355" width="111.140625" style="8" customWidth="1"/>
    <col min="4356" max="4357" width="12.28515625" style="8" customWidth="1"/>
    <col min="4358" max="4358" width="12" style="8" customWidth="1"/>
    <col min="4359" max="4359" width="12.42578125" style="8" customWidth="1"/>
    <col min="4360" max="4360" width="11" style="8" customWidth="1"/>
    <col min="4361" max="4361" width="25.42578125" style="8" customWidth="1"/>
    <col min="4362" max="4362" width="11.85546875" style="8" customWidth="1"/>
    <col min="4363" max="4608" width="8.85546875" style="8"/>
    <col min="4609" max="4609" width="0.140625" style="8" customWidth="1"/>
    <col min="4610" max="4610" width="11" style="8" customWidth="1"/>
    <col min="4611" max="4611" width="111.140625" style="8" customWidth="1"/>
    <col min="4612" max="4613" width="12.28515625" style="8" customWidth="1"/>
    <col min="4614" max="4614" width="12" style="8" customWidth="1"/>
    <col min="4615" max="4615" width="12.42578125" style="8" customWidth="1"/>
    <col min="4616" max="4616" width="11" style="8" customWidth="1"/>
    <col min="4617" max="4617" width="25.42578125" style="8" customWidth="1"/>
    <col min="4618" max="4618" width="11.85546875" style="8" customWidth="1"/>
    <col min="4619" max="4864" width="8.85546875" style="8"/>
    <col min="4865" max="4865" width="0.140625" style="8" customWidth="1"/>
    <col min="4866" max="4866" width="11" style="8" customWidth="1"/>
    <col min="4867" max="4867" width="111.140625" style="8" customWidth="1"/>
    <col min="4868" max="4869" width="12.28515625" style="8" customWidth="1"/>
    <col min="4870" max="4870" width="12" style="8" customWidth="1"/>
    <col min="4871" max="4871" width="12.42578125" style="8" customWidth="1"/>
    <col min="4872" max="4872" width="11" style="8" customWidth="1"/>
    <col min="4873" max="4873" width="25.42578125" style="8" customWidth="1"/>
    <col min="4874" max="4874" width="11.85546875" style="8" customWidth="1"/>
    <col min="4875" max="5120" width="8.85546875" style="8"/>
    <col min="5121" max="5121" width="0.140625" style="8" customWidth="1"/>
    <col min="5122" max="5122" width="11" style="8" customWidth="1"/>
    <col min="5123" max="5123" width="111.140625" style="8" customWidth="1"/>
    <col min="5124" max="5125" width="12.28515625" style="8" customWidth="1"/>
    <col min="5126" max="5126" width="12" style="8" customWidth="1"/>
    <col min="5127" max="5127" width="12.42578125" style="8" customWidth="1"/>
    <col min="5128" max="5128" width="11" style="8" customWidth="1"/>
    <col min="5129" max="5129" width="25.42578125" style="8" customWidth="1"/>
    <col min="5130" max="5130" width="11.85546875" style="8" customWidth="1"/>
    <col min="5131" max="5376" width="8.85546875" style="8"/>
    <col min="5377" max="5377" width="0.140625" style="8" customWidth="1"/>
    <col min="5378" max="5378" width="11" style="8" customWidth="1"/>
    <col min="5379" max="5379" width="111.140625" style="8" customWidth="1"/>
    <col min="5380" max="5381" width="12.28515625" style="8" customWidth="1"/>
    <col min="5382" max="5382" width="12" style="8" customWidth="1"/>
    <col min="5383" max="5383" width="12.42578125" style="8" customWidth="1"/>
    <col min="5384" max="5384" width="11" style="8" customWidth="1"/>
    <col min="5385" max="5385" width="25.42578125" style="8" customWidth="1"/>
    <col min="5386" max="5386" width="11.85546875" style="8" customWidth="1"/>
    <col min="5387" max="5632" width="8.85546875" style="8"/>
    <col min="5633" max="5633" width="0.140625" style="8" customWidth="1"/>
    <col min="5634" max="5634" width="11" style="8" customWidth="1"/>
    <col min="5635" max="5635" width="111.140625" style="8" customWidth="1"/>
    <col min="5636" max="5637" width="12.28515625" style="8" customWidth="1"/>
    <col min="5638" max="5638" width="12" style="8" customWidth="1"/>
    <col min="5639" max="5639" width="12.42578125" style="8" customWidth="1"/>
    <col min="5640" max="5640" width="11" style="8" customWidth="1"/>
    <col min="5641" max="5641" width="25.42578125" style="8" customWidth="1"/>
    <col min="5642" max="5642" width="11.85546875" style="8" customWidth="1"/>
    <col min="5643" max="5888" width="8.85546875" style="8"/>
    <col min="5889" max="5889" width="0.140625" style="8" customWidth="1"/>
    <col min="5890" max="5890" width="11" style="8" customWidth="1"/>
    <col min="5891" max="5891" width="111.140625" style="8" customWidth="1"/>
    <col min="5892" max="5893" width="12.28515625" style="8" customWidth="1"/>
    <col min="5894" max="5894" width="12" style="8" customWidth="1"/>
    <col min="5895" max="5895" width="12.42578125" style="8" customWidth="1"/>
    <col min="5896" max="5896" width="11" style="8" customWidth="1"/>
    <col min="5897" max="5897" width="25.42578125" style="8" customWidth="1"/>
    <col min="5898" max="5898" width="11.85546875" style="8" customWidth="1"/>
    <col min="5899" max="6144" width="8.85546875" style="8"/>
    <col min="6145" max="6145" width="0.140625" style="8" customWidth="1"/>
    <col min="6146" max="6146" width="11" style="8" customWidth="1"/>
    <col min="6147" max="6147" width="111.140625" style="8" customWidth="1"/>
    <col min="6148" max="6149" width="12.28515625" style="8" customWidth="1"/>
    <col min="6150" max="6150" width="12" style="8" customWidth="1"/>
    <col min="6151" max="6151" width="12.42578125" style="8" customWidth="1"/>
    <col min="6152" max="6152" width="11" style="8" customWidth="1"/>
    <col min="6153" max="6153" width="25.42578125" style="8" customWidth="1"/>
    <col min="6154" max="6154" width="11.85546875" style="8" customWidth="1"/>
    <col min="6155" max="6400" width="8.85546875" style="8"/>
    <col min="6401" max="6401" width="0.140625" style="8" customWidth="1"/>
    <col min="6402" max="6402" width="11" style="8" customWidth="1"/>
    <col min="6403" max="6403" width="111.140625" style="8" customWidth="1"/>
    <col min="6404" max="6405" width="12.28515625" style="8" customWidth="1"/>
    <col min="6406" max="6406" width="12" style="8" customWidth="1"/>
    <col min="6407" max="6407" width="12.42578125" style="8" customWidth="1"/>
    <col min="6408" max="6408" width="11" style="8" customWidth="1"/>
    <col min="6409" max="6409" width="25.42578125" style="8" customWidth="1"/>
    <col min="6410" max="6410" width="11.85546875" style="8" customWidth="1"/>
    <col min="6411" max="6656" width="8.85546875" style="8"/>
    <col min="6657" max="6657" width="0.140625" style="8" customWidth="1"/>
    <col min="6658" max="6658" width="11" style="8" customWidth="1"/>
    <col min="6659" max="6659" width="111.140625" style="8" customWidth="1"/>
    <col min="6660" max="6661" width="12.28515625" style="8" customWidth="1"/>
    <col min="6662" max="6662" width="12" style="8" customWidth="1"/>
    <col min="6663" max="6663" width="12.42578125" style="8" customWidth="1"/>
    <col min="6664" max="6664" width="11" style="8" customWidth="1"/>
    <col min="6665" max="6665" width="25.42578125" style="8" customWidth="1"/>
    <col min="6666" max="6666" width="11.85546875" style="8" customWidth="1"/>
    <col min="6667" max="6912" width="8.85546875" style="8"/>
    <col min="6913" max="6913" width="0.140625" style="8" customWidth="1"/>
    <col min="6914" max="6914" width="11" style="8" customWidth="1"/>
    <col min="6915" max="6915" width="111.140625" style="8" customWidth="1"/>
    <col min="6916" max="6917" width="12.28515625" style="8" customWidth="1"/>
    <col min="6918" max="6918" width="12" style="8" customWidth="1"/>
    <col min="6919" max="6919" width="12.42578125" style="8" customWidth="1"/>
    <col min="6920" max="6920" width="11" style="8" customWidth="1"/>
    <col min="6921" max="6921" width="25.42578125" style="8" customWidth="1"/>
    <col min="6922" max="6922" width="11.85546875" style="8" customWidth="1"/>
    <col min="6923" max="7168" width="8.85546875" style="8"/>
    <col min="7169" max="7169" width="0.140625" style="8" customWidth="1"/>
    <col min="7170" max="7170" width="11" style="8" customWidth="1"/>
    <col min="7171" max="7171" width="111.140625" style="8" customWidth="1"/>
    <col min="7172" max="7173" width="12.28515625" style="8" customWidth="1"/>
    <col min="7174" max="7174" width="12" style="8" customWidth="1"/>
    <col min="7175" max="7175" width="12.42578125" style="8" customWidth="1"/>
    <col min="7176" max="7176" width="11" style="8" customWidth="1"/>
    <col min="7177" max="7177" width="25.42578125" style="8" customWidth="1"/>
    <col min="7178" max="7178" width="11.85546875" style="8" customWidth="1"/>
    <col min="7179" max="7424" width="8.85546875" style="8"/>
    <col min="7425" max="7425" width="0.140625" style="8" customWidth="1"/>
    <col min="7426" max="7426" width="11" style="8" customWidth="1"/>
    <col min="7427" max="7427" width="111.140625" style="8" customWidth="1"/>
    <col min="7428" max="7429" width="12.28515625" style="8" customWidth="1"/>
    <col min="7430" max="7430" width="12" style="8" customWidth="1"/>
    <col min="7431" max="7431" width="12.42578125" style="8" customWidth="1"/>
    <col min="7432" max="7432" width="11" style="8" customWidth="1"/>
    <col min="7433" max="7433" width="25.42578125" style="8" customWidth="1"/>
    <col min="7434" max="7434" width="11.85546875" style="8" customWidth="1"/>
    <col min="7435" max="7680" width="8.85546875" style="8"/>
    <col min="7681" max="7681" width="0.140625" style="8" customWidth="1"/>
    <col min="7682" max="7682" width="11" style="8" customWidth="1"/>
    <col min="7683" max="7683" width="111.140625" style="8" customWidth="1"/>
    <col min="7684" max="7685" width="12.28515625" style="8" customWidth="1"/>
    <col min="7686" max="7686" width="12" style="8" customWidth="1"/>
    <col min="7687" max="7687" width="12.42578125" style="8" customWidth="1"/>
    <col min="7688" max="7688" width="11" style="8" customWidth="1"/>
    <col min="7689" max="7689" width="25.42578125" style="8" customWidth="1"/>
    <col min="7690" max="7690" width="11.85546875" style="8" customWidth="1"/>
    <col min="7691" max="7936" width="8.85546875" style="8"/>
    <col min="7937" max="7937" width="0.140625" style="8" customWidth="1"/>
    <col min="7938" max="7938" width="11" style="8" customWidth="1"/>
    <col min="7939" max="7939" width="111.140625" style="8" customWidth="1"/>
    <col min="7940" max="7941" width="12.28515625" style="8" customWidth="1"/>
    <col min="7942" max="7942" width="12" style="8" customWidth="1"/>
    <col min="7943" max="7943" width="12.42578125" style="8" customWidth="1"/>
    <col min="7944" max="7944" width="11" style="8" customWidth="1"/>
    <col min="7945" max="7945" width="25.42578125" style="8" customWidth="1"/>
    <col min="7946" max="7946" width="11.85546875" style="8" customWidth="1"/>
    <col min="7947" max="8192" width="8.85546875" style="8"/>
    <col min="8193" max="8193" width="0.140625" style="8" customWidth="1"/>
    <col min="8194" max="8194" width="11" style="8" customWidth="1"/>
    <col min="8195" max="8195" width="111.140625" style="8" customWidth="1"/>
    <col min="8196" max="8197" width="12.28515625" style="8" customWidth="1"/>
    <col min="8198" max="8198" width="12" style="8" customWidth="1"/>
    <col min="8199" max="8199" width="12.42578125" style="8" customWidth="1"/>
    <col min="8200" max="8200" width="11" style="8" customWidth="1"/>
    <col min="8201" max="8201" width="25.42578125" style="8" customWidth="1"/>
    <col min="8202" max="8202" width="11.85546875" style="8" customWidth="1"/>
    <col min="8203" max="8448" width="8.85546875" style="8"/>
    <col min="8449" max="8449" width="0.140625" style="8" customWidth="1"/>
    <col min="8450" max="8450" width="11" style="8" customWidth="1"/>
    <col min="8451" max="8451" width="111.140625" style="8" customWidth="1"/>
    <col min="8452" max="8453" width="12.28515625" style="8" customWidth="1"/>
    <col min="8454" max="8454" width="12" style="8" customWidth="1"/>
    <col min="8455" max="8455" width="12.42578125" style="8" customWidth="1"/>
    <col min="8456" max="8456" width="11" style="8" customWidth="1"/>
    <col min="8457" max="8457" width="25.42578125" style="8" customWidth="1"/>
    <col min="8458" max="8458" width="11.85546875" style="8" customWidth="1"/>
    <col min="8459" max="8704" width="8.85546875" style="8"/>
    <col min="8705" max="8705" width="0.140625" style="8" customWidth="1"/>
    <col min="8706" max="8706" width="11" style="8" customWidth="1"/>
    <col min="8707" max="8707" width="111.140625" style="8" customWidth="1"/>
    <col min="8708" max="8709" width="12.28515625" style="8" customWidth="1"/>
    <col min="8710" max="8710" width="12" style="8" customWidth="1"/>
    <col min="8711" max="8711" width="12.42578125" style="8" customWidth="1"/>
    <col min="8712" max="8712" width="11" style="8" customWidth="1"/>
    <col min="8713" max="8713" width="25.42578125" style="8" customWidth="1"/>
    <col min="8714" max="8714" width="11.85546875" style="8" customWidth="1"/>
    <col min="8715" max="8960" width="8.85546875" style="8"/>
    <col min="8961" max="8961" width="0.140625" style="8" customWidth="1"/>
    <col min="8962" max="8962" width="11" style="8" customWidth="1"/>
    <col min="8963" max="8963" width="111.140625" style="8" customWidth="1"/>
    <col min="8964" max="8965" width="12.28515625" style="8" customWidth="1"/>
    <col min="8966" max="8966" width="12" style="8" customWidth="1"/>
    <col min="8967" max="8967" width="12.42578125" style="8" customWidth="1"/>
    <col min="8968" max="8968" width="11" style="8" customWidth="1"/>
    <col min="8969" max="8969" width="25.42578125" style="8" customWidth="1"/>
    <col min="8970" max="8970" width="11.85546875" style="8" customWidth="1"/>
    <col min="8971" max="9216" width="8.85546875" style="8"/>
    <col min="9217" max="9217" width="0.140625" style="8" customWidth="1"/>
    <col min="9218" max="9218" width="11" style="8" customWidth="1"/>
    <col min="9219" max="9219" width="111.140625" style="8" customWidth="1"/>
    <col min="9220" max="9221" width="12.28515625" style="8" customWidth="1"/>
    <col min="9222" max="9222" width="12" style="8" customWidth="1"/>
    <col min="9223" max="9223" width="12.42578125" style="8" customWidth="1"/>
    <col min="9224" max="9224" width="11" style="8" customWidth="1"/>
    <col min="9225" max="9225" width="25.42578125" style="8" customWidth="1"/>
    <col min="9226" max="9226" width="11.85546875" style="8" customWidth="1"/>
    <col min="9227" max="9472" width="8.85546875" style="8"/>
    <col min="9473" max="9473" width="0.140625" style="8" customWidth="1"/>
    <col min="9474" max="9474" width="11" style="8" customWidth="1"/>
    <col min="9475" max="9475" width="111.140625" style="8" customWidth="1"/>
    <col min="9476" max="9477" width="12.28515625" style="8" customWidth="1"/>
    <col min="9478" max="9478" width="12" style="8" customWidth="1"/>
    <col min="9479" max="9479" width="12.42578125" style="8" customWidth="1"/>
    <col min="9480" max="9480" width="11" style="8" customWidth="1"/>
    <col min="9481" max="9481" width="25.42578125" style="8" customWidth="1"/>
    <col min="9482" max="9482" width="11.85546875" style="8" customWidth="1"/>
    <col min="9483" max="9728" width="8.85546875" style="8"/>
    <col min="9729" max="9729" width="0.140625" style="8" customWidth="1"/>
    <col min="9730" max="9730" width="11" style="8" customWidth="1"/>
    <col min="9731" max="9731" width="111.140625" style="8" customWidth="1"/>
    <col min="9732" max="9733" width="12.28515625" style="8" customWidth="1"/>
    <col min="9734" max="9734" width="12" style="8" customWidth="1"/>
    <col min="9735" max="9735" width="12.42578125" style="8" customWidth="1"/>
    <col min="9736" max="9736" width="11" style="8" customWidth="1"/>
    <col min="9737" max="9737" width="25.42578125" style="8" customWidth="1"/>
    <col min="9738" max="9738" width="11.85546875" style="8" customWidth="1"/>
    <col min="9739" max="9984" width="8.85546875" style="8"/>
    <col min="9985" max="9985" width="0.140625" style="8" customWidth="1"/>
    <col min="9986" max="9986" width="11" style="8" customWidth="1"/>
    <col min="9987" max="9987" width="111.140625" style="8" customWidth="1"/>
    <col min="9988" max="9989" width="12.28515625" style="8" customWidth="1"/>
    <col min="9990" max="9990" width="12" style="8" customWidth="1"/>
    <col min="9991" max="9991" width="12.42578125" style="8" customWidth="1"/>
    <col min="9992" max="9992" width="11" style="8" customWidth="1"/>
    <col min="9993" max="9993" width="25.42578125" style="8" customWidth="1"/>
    <col min="9994" max="9994" width="11.85546875" style="8" customWidth="1"/>
    <col min="9995" max="10240" width="8.85546875" style="8"/>
    <col min="10241" max="10241" width="0.140625" style="8" customWidth="1"/>
    <col min="10242" max="10242" width="11" style="8" customWidth="1"/>
    <col min="10243" max="10243" width="111.140625" style="8" customWidth="1"/>
    <col min="10244" max="10245" width="12.28515625" style="8" customWidth="1"/>
    <col min="10246" max="10246" width="12" style="8" customWidth="1"/>
    <col min="10247" max="10247" width="12.42578125" style="8" customWidth="1"/>
    <col min="10248" max="10248" width="11" style="8" customWidth="1"/>
    <col min="10249" max="10249" width="25.42578125" style="8" customWidth="1"/>
    <col min="10250" max="10250" width="11.85546875" style="8" customWidth="1"/>
    <col min="10251" max="10496" width="8.85546875" style="8"/>
    <col min="10497" max="10497" width="0.140625" style="8" customWidth="1"/>
    <col min="10498" max="10498" width="11" style="8" customWidth="1"/>
    <col min="10499" max="10499" width="111.140625" style="8" customWidth="1"/>
    <col min="10500" max="10501" width="12.28515625" style="8" customWidth="1"/>
    <col min="10502" max="10502" width="12" style="8" customWidth="1"/>
    <col min="10503" max="10503" width="12.42578125" style="8" customWidth="1"/>
    <col min="10504" max="10504" width="11" style="8" customWidth="1"/>
    <col min="10505" max="10505" width="25.42578125" style="8" customWidth="1"/>
    <col min="10506" max="10506" width="11.85546875" style="8" customWidth="1"/>
    <col min="10507" max="10752" width="8.85546875" style="8"/>
    <col min="10753" max="10753" width="0.140625" style="8" customWidth="1"/>
    <col min="10754" max="10754" width="11" style="8" customWidth="1"/>
    <col min="10755" max="10755" width="111.140625" style="8" customWidth="1"/>
    <col min="10756" max="10757" width="12.28515625" style="8" customWidth="1"/>
    <col min="10758" max="10758" width="12" style="8" customWidth="1"/>
    <col min="10759" max="10759" width="12.42578125" style="8" customWidth="1"/>
    <col min="10760" max="10760" width="11" style="8" customWidth="1"/>
    <col min="10761" max="10761" width="25.42578125" style="8" customWidth="1"/>
    <col min="10762" max="10762" width="11.85546875" style="8" customWidth="1"/>
    <col min="10763" max="11008" width="8.85546875" style="8"/>
    <col min="11009" max="11009" width="0.140625" style="8" customWidth="1"/>
    <col min="11010" max="11010" width="11" style="8" customWidth="1"/>
    <col min="11011" max="11011" width="111.140625" style="8" customWidth="1"/>
    <col min="11012" max="11013" width="12.28515625" style="8" customWidth="1"/>
    <col min="11014" max="11014" width="12" style="8" customWidth="1"/>
    <col min="11015" max="11015" width="12.42578125" style="8" customWidth="1"/>
    <col min="11016" max="11016" width="11" style="8" customWidth="1"/>
    <col min="11017" max="11017" width="25.42578125" style="8" customWidth="1"/>
    <col min="11018" max="11018" width="11.85546875" style="8" customWidth="1"/>
    <col min="11019" max="11264" width="8.85546875" style="8"/>
    <col min="11265" max="11265" width="0.140625" style="8" customWidth="1"/>
    <col min="11266" max="11266" width="11" style="8" customWidth="1"/>
    <col min="11267" max="11267" width="111.140625" style="8" customWidth="1"/>
    <col min="11268" max="11269" width="12.28515625" style="8" customWidth="1"/>
    <col min="11270" max="11270" width="12" style="8" customWidth="1"/>
    <col min="11271" max="11271" width="12.42578125" style="8" customWidth="1"/>
    <col min="11272" max="11272" width="11" style="8" customWidth="1"/>
    <col min="11273" max="11273" width="25.42578125" style="8" customWidth="1"/>
    <col min="11274" max="11274" width="11.85546875" style="8" customWidth="1"/>
    <col min="11275" max="11520" width="8.85546875" style="8"/>
    <col min="11521" max="11521" width="0.140625" style="8" customWidth="1"/>
    <col min="11522" max="11522" width="11" style="8" customWidth="1"/>
    <col min="11523" max="11523" width="111.140625" style="8" customWidth="1"/>
    <col min="11524" max="11525" width="12.28515625" style="8" customWidth="1"/>
    <col min="11526" max="11526" width="12" style="8" customWidth="1"/>
    <col min="11527" max="11527" width="12.42578125" style="8" customWidth="1"/>
    <col min="11528" max="11528" width="11" style="8" customWidth="1"/>
    <col min="11529" max="11529" width="25.42578125" style="8" customWidth="1"/>
    <col min="11530" max="11530" width="11.85546875" style="8" customWidth="1"/>
    <col min="11531" max="11776" width="8.85546875" style="8"/>
    <col min="11777" max="11777" width="0.140625" style="8" customWidth="1"/>
    <col min="11778" max="11778" width="11" style="8" customWidth="1"/>
    <col min="11779" max="11779" width="111.140625" style="8" customWidth="1"/>
    <col min="11780" max="11781" width="12.28515625" style="8" customWidth="1"/>
    <col min="11782" max="11782" width="12" style="8" customWidth="1"/>
    <col min="11783" max="11783" width="12.42578125" style="8" customWidth="1"/>
    <col min="11784" max="11784" width="11" style="8" customWidth="1"/>
    <col min="11785" max="11785" width="25.42578125" style="8" customWidth="1"/>
    <col min="11786" max="11786" width="11.85546875" style="8" customWidth="1"/>
    <col min="11787" max="12032" width="8.85546875" style="8"/>
    <col min="12033" max="12033" width="0.140625" style="8" customWidth="1"/>
    <col min="12034" max="12034" width="11" style="8" customWidth="1"/>
    <col min="12035" max="12035" width="111.140625" style="8" customWidth="1"/>
    <col min="12036" max="12037" width="12.28515625" style="8" customWidth="1"/>
    <col min="12038" max="12038" width="12" style="8" customWidth="1"/>
    <col min="12039" max="12039" width="12.42578125" style="8" customWidth="1"/>
    <col min="12040" max="12040" width="11" style="8" customWidth="1"/>
    <col min="12041" max="12041" width="25.42578125" style="8" customWidth="1"/>
    <col min="12042" max="12042" width="11.85546875" style="8" customWidth="1"/>
    <col min="12043" max="12288" width="8.85546875" style="8"/>
    <col min="12289" max="12289" width="0.140625" style="8" customWidth="1"/>
    <col min="12290" max="12290" width="11" style="8" customWidth="1"/>
    <col min="12291" max="12291" width="111.140625" style="8" customWidth="1"/>
    <col min="12292" max="12293" width="12.28515625" style="8" customWidth="1"/>
    <col min="12294" max="12294" width="12" style="8" customWidth="1"/>
    <col min="12295" max="12295" width="12.42578125" style="8" customWidth="1"/>
    <col min="12296" max="12296" width="11" style="8" customWidth="1"/>
    <col min="12297" max="12297" width="25.42578125" style="8" customWidth="1"/>
    <col min="12298" max="12298" width="11.85546875" style="8" customWidth="1"/>
    <col min="12299" max="12544" width="8.85546875" style="8"/>
    <col min="12545" max="12545" width="0.140625" style="8" customWidth="1"/>
    <col min="12546" max="12546" width="11" style="8" customWidth="1"/>
    <col min="12547" max="12547" width="111.140625" style="8" customWidth="1"/>
    <col min="12548" max="12549" width="12.28515625" style="8" customWidth="1"/>
    <col min="12550" max="12550" width="12" style="8" customWidth="1"/>
    <col min="12551" max="12551" width="12.42578125" style="8" customWidth="1"/>
    <col min="12552" max="12552" width="11" style="8" customWidth="1"/>
    <col min="12553" max="12553" width="25.42578125" style="8" customWidth="1"/>
    <col min="12554" max="12554" width="11.85546875" style="8" customWidth="1"/>
    <col min="12555" max="12800" width="8.85546875" style="8"/>
    <col min="12801" max="12801" width="0.140625" style="8" customWidth="1"/>
    <col min="12802" max="12802" width="11" style="8" customWidth="1"/>
    <col min="12803" max="12803" width="111.140625" style="8" customWidth="1"/>
    <col min="12804" max="12805" width="12.28515625" style="8" customWidth="1"/>
    <col min="12806" max="12806" width="12" style="8" customWidth="1"/>
    <col min="12807" max="12807" width="12.42578125" style="8" customWidth="1"/>
    <col min="12808" max="12808" width="11" style="8" customWidth="1"/>
    <col min="12809" max="12809" width="25.42578125" style="8" customWidth="1"/>
    <col min="12810" max="12810" width="11.85546875" style="8" customWidth="1"/>
    <col min="12811" max="13056" width="8.85546875" style="8"/>
    <col min="13057" max="13057" width="0.140625" style="8" customWidth="1"/>
    <col min="13058" max="13058" width="11" style="8" customWidth="1"/>
    <col min="13059" max="13059" width="111.140625" style="8" customWidth="1"/>
    <col min="13060" max="13061" width="12.28515625" style="8" customWidth="1"/>
    <col min="13062" max="13062" width="12" style="8" customWidth="1"/>
    <col min="13063" max="13063" width="12.42578125" style="8" customWidth="1"/>
    <col min="13064" max="13064" width="11" style="8" customWidth="1"/>
    <col min="13065" max="13065" width="25.42578125" style="8" customWidth="1"/>
    <col min="13066" max="13066" width="11.85546875" style="8" customWidth="1"/>
    <col min="13067" max="13312" width="8.85546875" style="8"/>
    <col min="13313" max="13313" width="0.140625" style="8" customWidth="1"/>
    <col min="13314" max="13314" width="11" style="8" customWidth="1"/>
    <col min="13315" max="13315" width="111.140625" style="8" customWidth="1"/>
    <col min="13316" max="13317" width="12.28515625" style="8" customWidth="1"/>
    <col min="13318" max="13318" width="12" style="8" customWidth="1"/>
    <col min="13319" max="13319" width="12.42578125" style="8" customWidth="1"/>
    <col min="13320" max="13320" width="11" style="8" customWidth="1"/>
    <col min="13321" max="13321" width="25.42578125" style="8" customWidth="1"/>
    <col min="13322" max="13322" width="11.85546875" style="8" customWidth="1"/>
    <col min="13323" max="13568" width="8.85546875" style="8"/>
    <col min="13569" max="13569" width="0.140625" style="8" customWidth="1"/>
    <col min="13570" max="13570" width="11" style="8" customWidth="1"/>
    <col min="13571" max="13571" width="111.140625" style="8" customWidth="1"/>
    <col min="13572" max="13573" width="12.28515625" style="8" customWidth="1"/>
    <col min="13574" max="13574" width="12" style="8" customWidth="1"/>
    <col min="13575" max="13575" width="12.42578125" style="8" customWidth="1"/>
    <col min="13576" max="13576" width="11" style="8" customWidth="1"/>
    <col min="13577" max="13577" width="25.42578125" style="8" customWidth="1"/>
    <col min="13578" max="13578" width="11.85546875" style="8" customWidth="1"/>
    <col min="13579" max="13824" width="8.85546875" style="8"/>
    <col min="13825" max="13825" width="0.140625" style="8" customWidth="1"/>
    <col min="13826" max="13826" width="11" style="8" customWidth="1"/>
    <col min="13827" max="13827" width="111.140625" style="8" customWidth="1"/>
    <col min="13828" max="13829" width="12.28515625" style="8" customWidth="1"/>
    <col min="13830" max="13830" width="12" style="8" customWidth="1"/>
    <col min="13831" max="13831" width="12.42578125" style="8" customWidth="1"/>
    <col min="13832" max="13832" width="11" style="8" customWidth="1"/>
    <col min="13833" max="13833" width="25.42578125" style="8" customWidth="1"/>
    <col min="13834" max="13834" width="11.85546875" style="8" customWidth="1"/>
    <col min="13835" max="14080" width="8.85546875" style="8"/>
    <col min="14081" max="14081" width="0.140625" style="8" customWidth="1"/>
    <col min="14082" max="14082" width="11" style="8" customWidth="1"/>
    <col min="14083" max="14083" width="111.140625" style="8" customWidth="1"/>
    <col min="14084" max="14085" width="12.28515625" style="8" customWidth="1"/>
    <col min="14086" max="14086" width="12" style="8" customWidth="1"/>
    <col min="14087" max="14087" width="12.42578125" style="8" customWidth="1"/>
    <col min="14088" max="14088" width="11" style="8" customWidth="1"/>
    <col min="14089" max="14089" width="25.42578125" style="8" customWidth="1"/>
    <col min="14090" max="14090" width="11.85546875" style="8" customWidth="1"/>
    <col min="14091" max="14336" width="8.85546875" style="8"/>
    <col min="14337" max="14337" width="0.140625" style="8" customWidth="1"/>
    <col min="14338" max="14338" width="11" style="8" customWidth="1"/>
    <col min="14339" max="14339" width="111.140625" style="8" customWidth="1"/>
    <col min="14340" max="14341" width="12.28515625" style="8" customWidth="1"/>
    <col min="14342" max="14342" width="12" style="8" customWidth="1"/>
    <col min="14343" max="14343" width="12.42578125" style="8" customWidth="1"/>
    <col min="14344" max="14344" width="11" style="8" customWidth="1"/>
    <col min="14345" max="14345" width="25.42578125" style="8" customWidth="1"/>
    <col min="14346" max="14346" width="11.85546875" style="8" customWidth="1"/>
    <col min="14347" max="14592" width="8.85546875" style="8"/>
    <col min="14593" max="14593" width="0.140625" style="8" customWidth="1"/>
    <col min="14594" max="14594" width="11" style="8" customWidth="1"/>
    <col min="14595" max="14595" width="111.140625" style="8" customWidth="1"/>
    <col min="14596" max="14597" width="12.28515625" style="8" customWidth="1"/>
    <col min="14598" max="14598" width="12" style="8" customWidth="1"/>
    <col min="14599" max="14599" width="12.42578125" style="8" customWidth="1"/>
    <col min="14600" max="14600" width="11" style="8" customWidth="1"/>
    <col min="14601" max="14601" width="25.42578125" style="8" customWidth="1"/>
    <col min="14602" max="14602" width="11.85546875" style="8" customWidth="1"/>
    <col min="14603" max="14848" width="8.85546875" style="8"/>
    <col min="14849" max="14849" width="0.140625" style="8" customWidth="1"/>
    <col min="14850" max="14850" width="11" style="8" customWidth="1"/>
    <col min="14851" max="14851" width="111.140625" style="8" customWidth="1"/>
    <col min="14852" max="14853" width="12.28515625" style="8" customWidth="1"/>
    <col min="14854" max="14854" width="12" style="8" customWidth="1"/>
    <col min="14855" max="14855" width="12.42578125" style="8" customWidth="1"/>
    <col min="14856" max="14856" width="11" style="8" customWidth="1"/>
    <col min="14857" max="14857" width="25.42578125" style="8" customWidth="1"/>
    <col min="14858" max="14858" width="11.85546875" style="8" customWidth="1"/>
    <col min="14859" max="15104" width="8.85546875" style="8"/>
    <col min="15105" max="15105" width="0.140625" style="8" customWidth="1"/>
    <col min="15106" max="15106" width="11" style="8" customWidth="1"/>
    <col min="15107" max="15107" width="111.140625" style="8" customWidth="1"/>
    <col min="15108" max="15109" width="12.28515625" style="8" customWidth="1"/>
    <col min="15110" max="15110" width="12" style="8" customWidth="1"/>
    <col min="15111" max="15111" width="12.42578125" style="8" customWidth="1"/>
    <col min="15112" max="15112" width="11" style="8" customWidth="1"/>
    <col min="15113" max="15113" width="25.42578125" style="8" customWidth="1"/>
    <col min="15114" max="15114" width="11.85546875" style="8" customWidth="1"/>
    <col min="15115" max="15360" width="8.85546875" style="8"/>
    <col min="15361" max="15361" width="0.140625" style="8" customWidth="1"/>
    <col min="15362" max="15362" width="11" style="8" customWidth="1"/>
    <col min="15363" max="15363" width="111.140625" style="8" customWidth="1"/>
    <col min="15364" max="15365" width="12.28515625" style="8" customWidth="1"/>
    <col min="15366" max="15366" width="12" style="8" customWidth="1"/>
    <col min="15367" max="15367" width="12.42578125" style="8" customWidth="1"/>
    <col min="15368" max="15368" width="11" style="8" customWidth="1"/>
    <col min="15369" max="15369" width="25.42578125" style="8" customWidth="1"/>
    <col min="15370" max="15370" width="11.85546875" style="8" customWidth="1"/>
    <col min="15371" max="15616" width="8.85546875" style="8"/>
    <col min="15617" max="15617" width="0.140625" style="8" customWidth="1"/>
    <col min="15618" max="15618" width="11" style="8" customWidth="1"/>
    <col min="15619" max="15619" width="111.140625" style="8" customWidth="1"/>
    <col min="15620" max="15621" width="12.28515625" style="8" customWidth="1"/>
    <col min="15622" max="15622" width="12" style="8" customWidth="1"/>
    <col min="15623" max="15623" width="12.42578125" style="8" customWidth="1"/>
    <col min="15624" max="15624" width="11" style="8" customWidth="1"/>
    <col min="15625" max="15625" width="25.42578125" style="8" customWidth="1"/>
    <col min="15626" max="15626" width="11.85546875" style="8" customWidth="1"/>
    <col min="15627" max="15872" width="8.85546875" style="8"/>
    <col min="15873" max="15873" width="0.140625" style="8" customWidth="1"/>
    <col min="15874" max="15874" width="11" style="8" customWidth="1"/>
    <col min="15875" max="15875" width="111.140625" style="8" customWidth="1"/>
    <col min="15876" max="15877" width="12.28515625" style="8" customWidth="1"/>
    <col min="15878" max="15878" width="12" style="8" customWidth="1"/>
    <col min="15879" max="15879" width="12.42578125" style="8" customWidth="1"/>
    <col min="15880" max="15880" width="11" style="8" customWidth="1"/>
    <col min="15881" max="15881" width="25.42578125" style="8" customWidth="1"/>
    <col min="15882" max="15882" width="11.85546875" style="8" customWidth="1"/>
    <col min="15883" max="16128" width="8.85546875" style="8"/>
    <col min="16129" max="16129" width="0.140625" style="8" customWidth="1"/>
    <col min="16130" max="16130" width="11" style="8" customWidth="1"/>
    <col min="16131" max="16131" width="111.140625" style="8" customWidth="1"/>
    <col min="16132" max="16133" width="12.28515625" style="8" customWidth="1"/>
    <col min="16134" max="16134" width="12" style="8" customWidth="1"/>
    <col min="16135" max="16135" width="12.42578125" style="8" customWidth="1"/>
    <col min="16136" max="16136" width="11" style="8" customWidth="1"/>
    <col min="16137" max="16137" width="25.42578125" style="8" customWidth="1"/>
    <col min="16138" max="16138" width="11.85546875" style="8" customWidth="1"/>
    <col min="16139" max="16384" width="8.85546875" style="8"/>
  </cols>
  <sheetData>
    <row r="2" spans="1:12" s="4" customFormat="1" ht="27" thickBot="1" x14ac:dyDescent="0.45">
      <c r="A2" s="32"/>
      <c r="B2" s="40" t="s">
        <v>0</v>
      </c>
      <c r="C2" s="40"/>
      <c r="D2" s="40"/>
      <c r="E2" s="40"/>
      <c r="F2" s="40"/>
      <c r="G2" s="40"/>
      <c r="H2" s="40"/>
      <c r="I2" s="40"/>
    </row>
    <row r="4" spans="1:12" s="4" customFormat="1" ht="26.25" x14ac:dyDescent="0.4">
      <c r="A4" s="32"/>
      <c r="B4" s="5" t="s">
        <v>25</v>
      </c>
    </row>
    <row r="5" spans="1:12" s="6" customFormat="1" ht="18.75" x14ac:dyDescent="0.3">
      <c r="A5" s="33"/>
      <c r="B5" s="41"/>
      <c r="C5" s="41"/>
      <c r="D5" s="41"/>
      <c r="E5" s="41"/>
      <c r="F5" s="41"/>
      <c r="G5" s="41"/>
      <c r="H5" s="41"/>
      <c r="I5" s="41"/>
    </row>
    <row r="6" spans="1:12" x14ac:dyDescent="0.25">
      <c r="C6" s="42" t="s">
        <v>1</v>
      </c>
      <c r="D6" s="42"/>
      <c r="E6" s="43"/>
      <c r="F6" s="43"/>
      <c r="G6" s="43"/>
      <c r="H6" s="43"/>
      <c r="I6" s="44" t="s">
        <v>2</v>
      </c>
    </row>
    <row r="7" spans="1:12" ht="42.75" customHeight="1" x14ac:dyDescent="0.25">
      <c r="C7" s="31" t="s">
        <v>3</v>
      </c>
      <c r="D7" s="31" t="s">
        <v>4</v>
      </c>
      <c r="E7" s="31" t="s">
        <v>5</v>
      </c>
      <c r="F7" s="31" t="s">
        <v>6</v>
      </c>
      <c r="G7" s="31" t="s">
        <v>7</v>
      </c>
      <c r="H7" s="31" t="s">
        <v>8</v>
      </c>
      <c r="I7" s="44"/>
    </row>
    <row r="8" spans="1:12" s="4" customFormat="1" ht="26.25" x14ac:dyDescent="0.4">
      <c r="A8" s="32"/>
      <c r="B8" s="15" t="s">
        <v>9</v>
      </c>
      <c r="C8" s="1"/>
      <c r="D8" s="2"/>
      <c r="E8" s="2"/>
      <c r="F8" s="2"/>
      <c r="G8" s="2"/>
      <c r="H8" s="3"/>
      <c r="I8" s="37">
        <f>I11</f>
        <v>1</v>
      </c>
      <c r="J8" s="9"/>
    </row>
    <row r="9" spans="1:12" ht="37.5" x14ac:dyDescent="0.25">
      <c r="A9" s="34">
        <v>1</v>
      </c>
      <c r="B9" s="10" t="s">
        <v>26</v>
      </c>
      <c r="C9" s="11"/>
      <c r="D9" s="11"/>
      <c r="E9" s="11"/>
      <c r="F9" s="11"/>
      <c r="G9" s="11"/>
      <c r="H9" s="11" t="s">
        <v>52</v>
      </c>
      <c r="I9" s="38"/>
    </row>
    <row r="10" spans="1:12" ht="37.5" x14ac:dyDescent="0.25">
      <c r="A10" s="34">
        <f>A9+ 1</f>
        <v>2</v>
      </c>
      <c r="B10" s="36" t="s">
        <v>27</v>
      </c>
      <c r="C10" s="11"/>
      <c r="D10" s="11"/>
      <c r="E10" s="11"/>
      <c r="F10" s="11"/>
      <c r="G10" s="11"/>
      <c r="H10" s="11" t="s">
        <v>52</v>
      </c>
      <c r="I10" s="45"/>
    </row>
    <row r="11" spans="1:12" x14ac:dyDescent="0.25">
      <c r="B11" s="19"/>
      <c r="C11" s="29">
        <f>(COUNTIF(C9:C10,"*")*0%)</f>
        <v>0</v>
      </c>
      <c r="D11" s="29">
        <f>(COUNTIF(D9:D10,"*")*15%)</f>
        <v>0</v>
      </c>
      <c r="E11" s="29">
        <f>(COUNTIF(E9:E10,"*")*25%)</f>
        <v>0</v>
      </c>
      <c r="F11" s="29">
        <f>(COUNTIF(F9:F10,"*")*50%)</f>
        <v>0</v>
      </c>
      <c r="G11" s="29">
        <f>(COUNTIF(G9:G10,"*")*75%)</f>
        <v>0</v>
      </c>
      <c r="H11" s="29">
        <f>(COUNTIF(H9:H10,"*")*100%)</f>
        <v>2</v>
      </c>
      <c r="I11" s="30">
        <f>SUM(C11:H11)/2</f>
        <v>1</v>
      </c>
      <c r="J11" s="8">
        <v>2</v>
      </c>
      <c r="K11" s="12">
        <f>J11/$J$48</f>
        <v>7.6923076923076927E-2</v>
      </c>
      <c r="L11" s="13">
        <f>I11*K11</f>
        <v>7.6923076923076927E-2</v>
      </c>
    </row>
    <row r="12" spans="1:12" s="4" customFormat="1" ht="26.25" x14ac:dyDescent="0.4">
      <c r="A12" s="32"/>
      <c r="B12" s="15" t="s">
        <v>10</v>
      </c>
      <c r="C12" s="1"/>
      <c r="D12" s="2"/>
      <c r="E12" s="2"/>
      <c r="F12" s="2"/>
      <c r="G12" s="2"/>
      <c r="H12" s="3"/>
      <c r="I12" s="37">
        <f>I17</f>
        <v>0.75</v>
      </c>
      <c r="J12" s="9"/>
    </row>
    <row r="13" spans="1:12" ht="18.75" x14ac:dyDescent="0.25">
      <c r="A13" s="34">
        <f>A10 + 1</f>
        <v>3</v>
      </c>
      <c r="B13" s="10" t="s">
        <v>28</v>
      </c>
      <c r="C13" s="11"/>
      <c r="D13" s="11"/>
      <c r="E13" s="11"/>
      <c r="F13" s="11"/>
      <c r="G13" s="11" t="s">
        <v>52</v>
      </c>
      <c r="H13" s="11"/>
      <c r="I13" s="38"/>
    </row>
    <row r="14" spans="1:12" ht="18.75" x14ac:dyDescent="0.25">
      <c r="A14" s="35">
        <f>A13+1</f>
        <v>4</v>
      </c>
      <c r="B14" s="10" t="s">
        <v>29</v>
      </c>
      <c r="C14" s="11"/>
      <c r="D14" s="11"/>
      <c r="E14" s="11"/>
      <c r="F14" s="11"/>
      <c r="G14" s="11" t="s">
        <v>52</v>
      </c>
      <c r="H14" s="11"/>
      <c r="I14" s="38"/>
    </row>
    <row r="15" spans="1:12" ht="37.5" x14ac:dyDescent="0.25">
      <c r="A15" s="35">
        <f t="shared" ref="A15:A16" si="0">A14+1</f>
        <v>5</v>
      </c>
      <c r="B15" s="10" t="s">
        <v>30</v>
      </c>
      <c r="C15" s="11"/>
      <c r="D15" s="11"/>
      <c r="E15" s="11"/>
      <c r="F15" s="11"/>
      <c r="G15" s="11" t="s">
        <v>52</v>
      </c>
      <c r="H15" s="11"/>
      <c r="I15" s="38"/>
    </row>
    <row r="16" spans="1:12" ht="37.5" x14ac:dyDescent="0.25">
      <c r="A16" s="35">
        <f t="shared" si="0"/>
        <v>6</v>
      </c>
      <c r="B16" s="10" t="s">
        <v>31</v>
      </c>
      <c r="C16" s="11"/>
      <c r="D16" s="11"/>
      <c r="E16" s="11"/>
      <c r="F16" s="11"/>
      <c r="G16" s="11" t="s">
        <v>52</v>
      </c>
      <c r="H16" s="11"/>
      <c r="I16" s="38"/>
    </row>
    <row r="17" spans="1:12" x14ac:dyDescent="0.25">
      <c r="B17" s="19"/>
      <c r="C17" s="29">
        <f>(COUNTIF(C13:C16,"*")*0%)</f>
        <v>0</v>
      </c>
      <c r="D17" s="29">
        <f>(COUNTIF(D13:D16,"*")*15%)</f>
        <v>0</v>
      </c>
      <c r="E17" s="29">
        <f>(COUNTIF(E13:E16,"*")*25%)</f>
        <v>0</v>
      </c>
      <c r="F17" s="29">
        <f>(COUNTIF(F13:F16,"*")*50%)</f>
        <v>0</v>
      </c>
      <c r="G17" s="29">
        <f>(COUNTIF(G13:G16,"*")*75%)</f>
        <v>3</v>
      </c>
      <c r="H17" s="29">
        <f>(COUNTIF(H13:H16,"*")*100%)</f>
        <v>0</v>
      </c>
      <c r="I17" s="30">
        <f>SUM(C17:H17)/4</f>
        <v>0.75</v>
      </c>
      <c r="J17" s="8">
        <v>4</v>
      </c>
      <c r="K17" s="12">
        <f>J17/$J$48</f>
        <v>0.15384615384615385</v>
      </c>
      <c r="L17" s="13">
        <f>I17*K17</f>
        <v>0.11538461538461539</v>
      </c>
    </row>
    <row r="18" spans="1:12" s="4" customFormat="1" ht="26.25" x14ac:dyDescent="0.4">
      <c r="A18" s="32"/>
      <c r="B18" s="15" t="s">
        <v>11</v>
      </c>
      <c r="C18" s="1"/>
      <c r="D18" s="2"/>
      <c r="E18" s="2"/>
      <c r="F18" s="2"/>
      <c r="G18" s="2"/>
      <c r="H18" s="3"/>
      <c r="I18" s="37">
        <f>I21</f>
        <v>0.32500000000000001</v>
      </c>
      <c r="J18" s="9"/>
    </row>
    <row r="19" spans="1:12" ht="37.5" x14ac:dyDescent="0.25">
      <c r="A19" s="35">
        <f>A16 + 1</f>
        <v>7</v>
      </c>
      <c r="B19" s="10" t="s">
        <v>33</v>
      </c>
      <c r="C19" s="11"/>
      <c r="D19" s="11"/>
      <c r="E19" s="11"/>
      <c r="F19" s="11" t="s">
        <v>52</v>
      </c>
      <c r="G19" s="11"/>
      <c r="H19" s="11"/>
      <c r="I19" s="38"/>
    </row>
    <row r="20" spans="1:12" ht="37.5" x14ac:dyDescent="0.25">
      <c r="A20" s="35">
        <f>A19 + 1</f>
        <v>8</v>
      </c>
      <c r="B20" s="10" t="s">
        <v>32</v>
      </c>
      <c r="C20" s="11"/>
      <c r="D20" s="11" t="s">
        <v>52</v>
      </c>
      <c r="E20" s="11"/>
      <c r="F20" s="11"/>
      <c r="G20" s="11"/>
      <c r="H20" s="11"/>
      <c r="I20" s="38"/>
    </row>
    <row r="21" spans="1:12" x14ac:dyDescent="0.25">
      <c r="B21" s="19"/>
      <c r="C21" s="29">
        <f>(COUNTIF(C19:C20,"*")*0%)</f>
        <v>0</v>
      </c>
      <c r="D21" s="29">
        <f>(COUNTIF(D19:D20,"*")*15%)</f>
        <v>0.15</v>
      </c>
      <c r="E21" s="29">
        <f>(COUNTIF(E19:E20,"*")*25%)</f>
        <v>0</v>
      </c>
      <c r="F21" s="29">
        <f>(COUNTIF(F19:F20,"*")*50%)</f>
        <v>0.5</v>
      </c>
      <c r="G21" s="29">
        <f>(COUNTIF(G19:G20,"*")*75%)</f>
        <v>0</v>
      </c>
      <c r="H21" s="29">
        <f>(COUNTIF(H19:H20,"*")*100%)</f>
        <v>0</v>
      </c>
      <c r="I21" s="30">
        <f>SUM(C21:H21)/2</f>
        <v>0.32500000000000001</v>
      </c>
      <c r="J21" s="8">
        <v>2</v>
      </c>
      <c r="K21" s="12">
        <f>J21/$J$48</f>
        <v>7.6923076923076927E-2</v>
      </c>
      <c r="L21" s="13">
        <f>I21*K21</f>
        <v>2.5000000000000001E-2</v>
      </c>
    </row>
    <row r="22" spans="1:12" s="4" customFormat="1" ht="26.25" x14ac:dyDescent="0.4">
      <c r="A22" s="32"/>
      <c r="B22" s="15" t="s">
        <v>12</v>
      </c>
      <c r="C22" s="1"/>
      <c r="D22" s="2"/>
      <c r="E22" s="2"/>
      <c r="F22" s="2"/>
      <c r="G22" s="2"/>
      <c r="H22" s="3"/>
      <c r="I22" s="37">
        <f>I27</f>
        <v>0.625</v>
      </c>
      <c r="J22" s="9"/>
    </row>
    <row r="23" spans="1:12" ht="56.25" x14ac:dyDescent="0.25">
      <c r="A23" s="34">
        <f>A20 + 1</f>
        <v>9</v>
      </c>
      <c r="B23" s="10" t="s">
        <v>34</v>
      </c>
      <c r="C23" s="11"/>
      <c r="D23" s="11"/>
      <c r="E23" s="11"/>
      <c r="F23" s="11"/>
      <c r="G23" s="11" t="s">
        <v>52</v>
      </c>
      <c r="H23" s="11"/>
      <c r="I23" s="38"/>
    </row>
    <row r="24" spans="1:12" ht="18.75" x14ac:dyDescent="0.25">
      <c r="A24" s="34">
        <f>A23+1</f>
        <v>10</v>
      </c>
      <c r="B24" s="10" t="s">
        <v>35</v>
      </c>
      <c r="C24" s="11"/>
      <c r="D24" s="11"/>
      <c r="E24" s="11"/>
      <c r="F24" s="11" t="s">
        <v>52</v>
      </c>
      <c r="G24" s="11"/>
      <c r="H24" s="11"/>
      <c r="I24" s="38"/>
    </row>
    <row r="25" spans="1:12" ht="18.75" x14ac:dyDescent="0.25">
      <c r="A25" s="34">
        <f t="shared" ref="A25:A26" si="1">A24+1</f>
        <v>11</v>
      </c>
      <c r="B25" s="10" t="s">
        <v>36</v>
      </c>
      <c r="C25" s="11"/>
      <c r="D25" s="11"/>
      <c r="E25" s="11"/>
      <c r="F25" s="11" t="s">
        <v>52</v>
      </c>
      <c r="G25" s="11"/>
      <c r="H25" s="11"/>
      <c r="I25" s="38"/>
    </row>
    <row r="26" spans="1:12" ht="37.5" x14ac:dyDescent="0.25">
      <c r="A26" s="34">
        <f t="shared" si="1"/>
        <v>12</v>
      </c>
      <c r="B26" s="10" t="s">
        <v>37</v>
      </c>
      <c r="C26" s="11"/>
      <c r="D26" s="11"/>
      <c r="E26" s="11"/>
      <c r="F26" s="11"/>
      <c r="G26" s="11" t="s">
        <v>52</v>
      </c>
      <c r="H26" s="11"/>
      <c r="I26" s="38"/>
    </row>
    <row r="27" spans="1:12" x14ac:dyDescent="0.25">
      <c r="B27" s="19"/>
      <c r="C27" s="29">
        <f>(COUNTIF(C23:C26,"*")*0%)</f>
        <v>0</v>
      </c>
      <c r="D27" s="29">
        <f>(COUNTIF(D23:D26,"*")*15%)</f>
        <v>0</v>
      </c>
      <c r="E27" s="29">
        <f>(COUNTIF(E23:E26,"*")*25%)</f>
        <v>0</v>
      </c>
      <c r="F27" s="29">
        <f>(COUNTIF(F23:F26,"*")*50%)</f>
        <v>1</v>
      </c>
      <c r="G27" s="29">
        <f>(COUNTIF(G23:G26,"*")*75%)</f>
        <v>1.5</v>
      </c>
      <c r="H27" s="29">
        <f>(COUNTIF(H23:H26,"*")*100%)</f>
        <v>0</v>
      </c>
      <c r="I27" s="30">
        <f>SUM(C27:H27)/4</f>
        <v>0.625</v>
      </c>
      <c r="J27" s="8">
        <v>4</v>
      </c>
      <c r="K27" s="12">
        <f>J27/$J$48</f>
        <v>0.15384615384615385</v>
      </c>
      <c r="L27" s="13">
        <f>I27*K27</f>
        <v>9.6153846153846159E-2</v>
      </c>
    </row>
    <row r="28" spans="1:12" s="4" customFormat="1" ht="26.25" x14ac:dyDescent="0.4">
      <c r="A28" s="32"/>
      <c r="B28" s="15" t="s">
        <v>13</v>
      </c>
      <c r="C28" s="1"/>
      <c r="D28" s="2"/>
      <c r="E28" s="2"/>
      <c r="F28" s="2"/>
      <c r="G28" s="2"/>
      <c r="H28" s="3"/>
      <c r="I28" s="37">
        <f>I38</f>
        <v>0</v>
      </c>
      <c r="J28" s="9"/>
    </row>
    <row r="29" spans="1:12" ht="56.25" x14ac:dyDescent="0.25">
      <c r="A29" s="34">
        <f>A26 + 1</f>
        <v>13</v>
      </c>
      <c r="B29" s="10" t="s">
        <v>38</v>
      </c>
      <c r="C29" s="11" t="s">
        <v>52</v>
      </c>
      <c r="D29" s="11"/>
      <c r="E29" s="11"/>
      <c r="F29" s="11"/>
      <c r="G29" s="11"/>
      <c r="H29" s="11"/>
      <c r="I29" s="38"/>
    </row>
    <row r="30" spans="1:12" ht="37.5" x14ac:dyDescent="0.25">
      <c r="A30" s="34">
        <f xml:space="preserve"> A29 + 1</f>
        <v>14</v>
      </c>
      <c r="B30" s="10" t="s">
        <v>39</v>
      </c>
      <c r="C30" s="11" t="s">
        <v>52</v>
      </c>
      <c r="D30" s="11"/>
      <c r="E30" s="11"/>
      <c r="F30" s="11"/>
      <c r="G30" s="11"/>
      <c r="H30" s="11"/>
      <c r="I30" s="38"/>
    </row>
    <row r="31" spans="1:12" ht="37.5" x14ac:dyDescent="0.25">
      <c r="A31" s="34">
        <f t="shared" ref="A31:A37" si="2" xml:space="preserve"> A30 + 1</f>
        <v>15</v>
      </c>
      <c r="B31" s="10" t="s">
        <v>40</v>
      </c>
      <c r="C31" s="11" t="s">
        <v>52</v>
      </c>
      <c r="D31" s="11"/>
      <c r="E31" s="11"/>
      <c r="F31" s="11"/>
      <c r="G31" s="11"/>
      <c r="H31" s="11"/>
      <c r="I31" s="38"/>
    </row>
    <row r="32" spans="1:12" ht="18.75" x14ac:dyDescent="0.25">
      <c r="A32" s="34">
        <f t="shared" si="2"/>
        <v>16</v>
      </c>
      <c r="B32" s="10" t="s">
        <v>41</v>
      </c>
      <c r="C32" s="11" t="s">
        <v>52</v>
      </c>
      <c r="D32" s="11"/>
      <c r="E32" s="11"/>
      <c r="F32" s="11"/>
      <c r="G32" s="11"/>
      <c r="H32" s="11"/>
      <c r="I32" s="38"/>
    </row>
    <row r="33" spans="1:14" ht="37.5" x14ac:dyDescent="0.25">
      <c r="A33" s="34">
        <f t="shared" si="2"/>
        <v>17</v>
      </c>
      <c r="B33" s="10" t="s">
        <v>42</v>
      </c>
      <c r="C33" s="11" t="s">
        <v>52</v>
      </c>
      <c r="D33" s="11"/>
      <c r="E33" s="11"/>
      <c r="F33" s="11"/>
      <c r="G33" s="11"/>
      <c r="H33" s="11"/>
      <c r="I33" s="38"/>
    </row>
    <row r="34" spans="1:14" ht="18.75" x14ac:dyDescent="0.25">
      <c r="A34" s="34">
        <f t="shared" si="2"/>
        <v>18</v>
      </c>
      <c r="B34" s="10" t="s">
        <v>43</v>
      </c>
      <c r="C34" s="11" t="s">
        <v>52</v>
      </c>
      <c r="D34" s="11"/>
      <c r="E34" s="11"/>
      <c r="F34" s="11"/>
      <c r="G34" s="11"/>
      <c r="H34" s="11"/>
      <c r="I34" s="38"/>
    </row>
    <row r="35" spans="1:14" ht="56.25" x14ac:dyDescent="0.25">
      <c r="A35" s="34">
        <f t="shared" si="2"/>
        <v>19</v>
      </c>
      <c r="B35" s="10" t="s">
        <v>44</v>
      </c>
      <c r="C35" s="11" t="s">
        <v>52</v>
      </c>
      <c r="D35" s="11"/>
      <c r="E35" s="11"/>
      <c r="F35" s="11"/>
      <c r="G35" s="11"/>
      <c r="H35" s="11"/>
      <c r="I35" s="38"/>
    </row>
    <row r="36" spans="1:14" ht="37.5" x14ac:dyDescent="0.25">
      <c r="A36" s="34">
        <f t="shared" si="2"/>
        <v>20</v>
      </c>
      <c r="B36" s="10" t="s">
        <v>45</v>
      </c>
      <c r="C36" s="11" t="s">
        <v>52</v>
      </c>
      <c r="D36" s="11"/>
      <c r="E36" s="11"/>
      <c r="F36" s="11"/>
      <c r="G36" s="11"/>
      <c r="H36" s="11"/>
      <c r="I36" s="38"/>
    </row>
    <row r="37" spans="1:14" ht="37.5" x14ac:dyDescent="0.25">
      <c r="A37" s="34">
        <f t="shared" si="2"/>
        <v>21</v>
      </c>
      <c r="B37" s="10" t="s">
        <v>46</v>
      </c>
      <c r="C37" s="11" t="s">
        <v>52</v>
      </c>
      <c r="D37" s="11"/>
      <c r="E37" s="11"/>
      <c r="F37" s="11"/>
      <c r="G37" s="11"/>
      <c r="H37" s="11"/>
      <c r="I37" s="38"/>
    </row>
    <row r="38" spans="1:14" x14ac:dyDescent="0.25">
      <c r="B38" s="19"/>
      <c r="C38" s="29">
        <f>(COUNTIF(C29:C37,"*")*0%)</f>
        <v>0</v>
      </c>
      <c r="D38" s="29">
        <f>(COUNTIF(D29:D37,"*")*15%)</f>
        <v>0</v>
      </c>
      <c r="E38" s="29">
        <f>(COUNTIF(E29:E37,"*")*25%)</f>
        <v>0</v>
      </c>
      <c r="F38" s="29">
        <f>(COUNTIF(F29:F37,"*")*50%)</f>
        <v>0</v>
      </c>
      <c r="G38" s="29">
        <f>(COUNTIF(G29:G37,"*")*75%)</f>
        <v>0</v>
      </c>
      <c r="H38" s="29">
        <f>(COUNTIF(H29:H37,"*")*100%)</f>
        <v>0</v>
      </c>
      <c r="I38" s="30">
        <f>SUM(C38:H38)/9</f>
        <v>0</v>
      </c>
      <c r="J38" s="8">
        <v>9</v>
      </c>
      <c r="K38" s="12">
        <f>J38/$J$48</f>
        <v>0.34615384615384615</v>
      </c>
      <c r="L38" s="13">
        <f>I38*K38</f>
        <v>0</v>
      </c>
    </row>
    <row r="39" spans="1:14" s="4" customFormat="1" ht="26.25" x14ac:dyDescent="0.4">
      <c r="A39" s="32"/>
      <c r="B39" s="15" t="s">
        <v>14</v>
      </c>
      <c r="C39" s="1"/>
      <c r="D39" s="2"/>
      <c r="E39" s="2"/>
      <c r="F39" s="2"/>
      <c r="G39" s="2"/>
      <c r="H39" s="3"/>
      <c r="I39" s="37">
        <f>I45</f>
        <v>0</v>
      </c>
      <c r="J39" s="9"/>
    </row>
    <row r="40" spans="1:14" ht="37.5" x14ac:dyDescent="0.25">
      <c r="A40" s="34">
        <f>A37+1</f>
        <v>22</v>
      </c>
      <c r="B40" s="10" t="s">
        <v>47</v>
      </c>
      <c r="C40" s="11" t="s">
        <v>52</v>
      </c>
      <c r="D40" s="11"/>
      <c r="E40" s="11"/>
      <c r="F40" s="11"/>
      <c r="G40" s="11"/>
      <c r="H40" s="11"/>
      <c r="I40" s="38"/>
    </row>
    <row r="41" spans="1:14" ht="18.75" x14ac:dyDescent="0.25">
      <c r="A41" s="34">
        <f>A40+1</f>
        <v>23</v>
      </c>
      <c r="B41" s="10" t="s">
        <v>48</v>
      </c>
      <c r="C41" s="11" t="s">
        <v>52</v>
      </c>
      <c r="D41" s="11"/>
      <c r="E41" s="11"/>
      <c r="F41" s="11"/>
      <c r="G41" s="11"/>
      <c r="H41" s="11"/>
      <c r="I41" s="38"/>
    </row>
    <row r="42" spans="1:14" ht="37.5" x14ac:dyDescent="0.25">
      <c r="A42" s="34">
        <f>A41+1</f>
        <v>24</v>
      </c>
      <c r="B42" s="10" t="s">
        <v>49</v>
      </c>
      <c r="C42" s="11" t="s">
        <v>52</v>
      </c>
      <c r="D42" s="11"/>
      <c r="E42" s="11"/>
      <c r="F42" s="11"/>
      <c r="G42" s="11"/>
      <c r="H42" s="11"/>
      <c r="I42" s="38"/>
    </row>
    <row r="43" spans="1:14" ht="37.5" x14ac:dyDescent="0.25">
      <c r="A43" s="34">
        <f t="shared" ref="A43:A44" si="3">A42+1</f>
        <v>25</v>
      </c>
      <c r="B43" s="10" t="s">
        <v>50</v>
      </c>
      <c r="C43" s="11" t="s">
        <v>52</v>
      </c>
      <c r="D43" s="11"/>
      <c r="E43" s="11"/>
      <c r="F43" s="11"/>
      <c r="G43" s="11"/>
      <c r="H43" s="11"/>
      <c r="I43" s="38"/>
    </row>
    <row r="44" spans="1:14" ht="56.25" x14ac:dyDescent="0.25">
      <c r="A44" s="34">
        <f t="shared" si="3"/>
        <v>26</v>
      </c>
      <c r="B44" s="10" t="s">
        <v>51</v>
      </c>
      <c r="C44" s="11" t="s">
        <v>52</v>
      </c>
      <c r="D44" s="11"/>
      <c r="E44" s="11"/>
      <c r="F44" s="11"/>
      <c r="G44" s="11"/>
      <c r="H44" s="11"/>
      <c r="I44" s="38"/>
    </row>
    <row r="45" spans="1:14" ht="30" customHeight="1" x14ac:dyDescent="0.25">
      <c r="B45" s="19"/>
      <c r="C45" s="29">
        <f>(COUNTIF(C40:C44,"*")*0%)</f>
        <v>0</v>
      </c>
      <c r="D45" s="29">
        <f>(COUNTIF(D40:D44,"*")*15%)</f>
        <v>0</v>
      </c>
      <c r="E45" s="29">
        <f>(COUNTIF(E40:E44,"*")*25%)</f>
        <v>0</v>
      </c>
      <c r="F45" s="29">
        <f>(COUNTIF(F40:F44,"*")*50%)</f>
        <v>0</v>
      </c>
      <c r="G45" s="29">
        <f>(COUNTIF(G40:G44,"*")*75%)</f>
        <v>0</v>
      </c>
      <c r="H45" s="29">
        <f>(COUNTIF(H40:H44,"*")*100%)</f>
        <v>0</v>
      </c>
      <c r="I45" s="30">
        <f>SUM(C45:H45)/5</f>
        <v>0</v>
      </c>
      <c r="J45" s="8">
        <v>5</v>
      </c>
      <c r="K45" s="12">
        <f>J45/$J$48</f>
        <v>0.19230769230769232</v>
      </c>
      <c r="L45" s="13">
        <f>I45*K45</f>
        <v>0</v>
      </c>
    </row>
    <row r="48" spans="1:14" x14ac:dyDescent="0.25">
      <c r="J48" s="17">
        <f>SUM(J6:J45)</f>
        <v>26</v>
      </c>
      <c r="K48" s="18">
        <f>SUM(K6:K47)</f>
        <v>1</v>
      </c>
      <c r="L48" s="16">
        <f>SUM(L6:L45)</f>
        <v>0.31346153846153846</v>
      </c>
      <c r="N48" s="14">
        <f>L48*J48</f>
        <v>8.15</v>
      </c>
    </row>
    <row r="80" spans="2:9" ht="18.75" x14ac:dyDescent="0.25">
      <c r="B80" s="39"/>
      <c r="C80" s="39"/>
      <c r="D80" s="39"/>
      <c r="E80" s="39"/>
      <c r="F80" s="39"/>
      <c r="G80" s="39"/>
      <c r="H80" s="39"/>
      <c r="I80" s="39"/>
    </row>
  </sheetData>
  <mergeCells count="11">
    <mergeCell ref="I12:I16"/>
    <mergeCell ref="B2:I2"/>
    <mergeCell ref="B5:I5"/>
    <mergeCell ref="C6:H6"/>
    <mergeCell ref="I6:I7"/>
    <mergeCell ref="I8:I10"/>
    <mergeCell ref="I18:I20"/>
    <mergeCell ref="I22:I26"/>
    <mergeCell ref="I28:I37"/>
    <mergeCell ref="I39:I44"/>
    <mergeCell ref="B80:I80"/>
  </mergeCells>
  <pageMargins left="0.70866141732283472" right="0.28999999999999998" top="0.74803149606299213" bottom="0.74803149606299213" header="0.31496062992125984" footer="0.31496062992125984"/>
  <pageSetup scale="43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4"/>
  <sheetViews>
    <sheetView tabSelected="1" zoomScale="90" zoomScaleNormal="90" workbookViewId="0">
      <selection activeCell="C14" sqref="C14"/>
    </sheetView>
  </sheetViews>
  <sheetFormatPr defaultColWidth="8.85546875" defaultRowHeight="15" x14ac:dyDescent="0.25"/>
  <cols>
    <col min="1" max="1" width="18.85546875" style="27" customWidth="1"/>
    <col min="2" max="3" width="18.85546875" style="21" customWidth="1"/>
    <col min="4" max="16384" width="8.85546875" style="20"/>
  </cols>
  <sheetData>
    <row r="2" spans="1:3" x14ac:dyDescent="0.25">
      <c r="A2" s="46" t="s">
        <v>15</v>
      </c>
      <c r="B2" s="46"/>
      <c r="C2" s="46"/>
    </row>
    <row r="3" spans="1:3" ht="25.5" x14ac:dyDescent="0.25">
      <c r="A3" s="28" t="s">
        <v>16</v>
      </c>
      <c r="B3" s="23" t="s">
        <v>17</v>
      </c>
      <c r="C3" s="23" t="s">
        <v>18</v>
      </c>
    </row>
    <row r="4" spans="1:3" x14ac:dyDescent="0.25">
      <c r="A4" s="25" t="s">
        <v>19</v>
      </c>
      <c r="B4" s="26">
        <f>'AI06'!$I$8</f>
        <v>1</v>
      </c>
      <c r="C4" s="24">
        <f t="shared" ref="C4:C9" si="0">1-B4</f>
        <v>0</v>
      </c>
    </row>
    <row r="5" spans="1:3" x14ac:dyDescent="0.25">
      <c r="A5" s="25" t="s">
        <v>20</v>
      </c>
      <c r="B5" s="26">
        <f>'AI06'!$I$12</f>
        <v>0.75</v>
      </c>
      <c r="C5" s="24">
        <f t="shared" si="0"/>
        <v>0.25</v>
      </c>
    </row>
    <row r="6" spans="1:3" x14ac:dyDescent="0.25">
      <c r="A6" s="25" t="s">
        <v>21</v>
      </c>
      <c r="B6" s="26">
        <f>'AI06'!$I$18</f>
        <v>0.32500000000000001</v>
      </c>
      <c r="C6" s="24">
        <f t="shared" si="0"/>
        <v>0.67500000000000004</v>
      </c>
    </row>
    <row r="7" spans="1:3" x14ac:dyDescent="0.25">
      <c r="A7" s="25" t="s">
        <v>22</v>
      </c>
      <c r="B7" s="26">
        <f>'AI06'!$I$22</f>
        <v>0.625</v>
      </c>
      <c r="C7" s="24">
        <f t="shared" si="0"/>
        <v>0.375</v>
      </c>
    </row>
    <row r="8" spans="1:3" x14ac:dyDescent="0.25">
      <c r="A8" s="25" t="s">
        <v>23</v>
      </c>
      <c r="B8" s="26">
        <f>'AI06'!$I$28</f>
        <v>0</v>
      </c>
      <c r="C8" s="24">
        <f t="shared" si="0"/>
        <v>1</v>
      </c>
    </row>
    <row r="9" spans="1:3" x14ac:dyDescent="0.25">
      <c r="A9" s="25" t="s">
        <v>24</v>
      </c>
      <c r="B9" s="26">
        <f>'AI06'!$I$39</f>
        <v>0</v>
      </c>
      <c r="C9" s="24">
        <f t="shared" si="0"/>
        <v>1</v>
      </c>
    </row>
    <row r="11" spans="1:3" ht="25.5" customHeight="1" x14ac:dyDescent="0.25">
      <c r="A11" s="35"/>
      <c r="B11" s="35"/>
      <c r="C11" s="35"/>
    </row>
    <row r="24" spans="7:12" x14ac:dyDescent="0.25">
      <c r="G24" s="47"/>
      <c r="H24" s="47"/>
      <c r="I24" s="47"/>
      <c r="J24" s="47"/>
      <c r="K24" s="47"/>
      <c r="L24" s="22"/>
    </row>
  </sheetData>
  <mergeCells count="2">
    <mergeCell ref="A2:C2"/>
    <mergeCell ref="G24:K24"/>
  </mergeCells>
  <pageMargins left="0.7" right="0.7" top="0.75" bottom="0.75" header="0.3" footer="0.3"/>
  <pageSetup paperSize="10" orientation="portrait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AI06</vt:lpstr>
      <vt:lpstr>AI06 Grafico</vt:lpstr>
      <vt:lpstr>'AI06'!Area_de_impressao</vt:lpstr>
      <vt:lpstr>'AI06'!Titulos_de_impressao</vt:lpstr>
    </vt:vector>
  </TitlesOfParts>
  <Manager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Luiz Rabello</cp:lastModifiedBy>
  <cp:revision/>
  <dcterms:created xsi:type="dcterms:W3CDTF">2014-02-26T17:12:25Z</dcterms:created>
  <dcterms:modified xsi:type="dcterms:W3CDTF">2016-08-02T18:15:53Z</dcterms:modified>
  <cp:category/>
  <cp:contentStatus/>
</cp:coreProperties>
</file>