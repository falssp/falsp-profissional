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FILES\Projetos\Smiles\Demandas\"/>
    </mc:Choice>
  </mc:AlternateContent>
  <bookViews>
    <workbookView xWindow="0" yWindow="0" windowWidth="23040" windowHeight="10344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F5" i="1"/>
  <c r="F7" i="1"/>
  <c r="F6" i="1"/>
  <c r="F3" i="1"/>
  <c r="F4" i="1"/>
  <c r="F2" i="1"/>
  <c r="E11" i="1"/>
  <c r="E10" i="1"/>
  <c r="D11" i="1"/>
</calcChain>
</file>

<file path=xl/sharedStrings.xml><?xml version="1.0" encoding="utf-8"?>
<sst xmlns="http://schemas.openxmlformats.org/spreadsheetml/2006/main" count="31" uniqueCount="28">
  <si>
    <t>GAP</t>
  </si>
  <si>
    <t>Nova Função / Atribuição</t>
  </si>
  <si>
    <t>Sistema/Serviço</t>
  </si>
  <si>
    <t>Siebel</t>
  </si>
  <si>
    <t>Recurso</t>
  </si>
  <si>
    <t>RAUL SOUZA</t>
  </si>
  <si>
    <t>- Baixa interação da Equipe de Operação com os Projetos em Desenvolvimento (atividade de KT prejudicada)</t>
  </si>
  <si>
    <t>Todos</t>
  </si>
  <si>
    <t>EDI / Siebel</t>
  </si>
  <si>
    <t xml:space="preserve">- Potencial prejuízo financeiro por falha no sistema de acúmulo batch síncrono (problemas de processamento duplicado, falta de handback, envio incorreto para os parceiros). </t>
  </si>
  <si>
    <t>- Falta de Gestão sobre os ambientes DEV e TEST da Oracle (atualmente são "administrados" pelos Desenvolvedores).
- Novo ambiente de TEST (TGLL42) já disponibilizado, mas ainda sem uso.
- Ambientes de UAT estão sujeitos a indisponibilidades por uso indevido/incorreto dos Desenvolvedores</t>
  </si>
  <si>
    <t>- Falta de foco na Gestão de Problemas de TI</t>
  </si>
  <si>
    <t>BRUNO SERPELONI</t>
  </si>
  <si>
    <t>OPERAÇÕES TI</t>
  </si>
  <si>
    <t>- Atitude reativa frente a erros sistêmicos (Bugs)</t>
  </si>
  <si>
    <t>- Estabelecer processo proativo de análise de logs sistêmicos, antecipando a identificação de Bugs</t>
  </si>
  <si>
    <t>Todos (7 recursos)</t>
  </si>
  <si>
    <t>JONATHAS e SAVIOLI</t>
  </si>
  <si>
    <t>Horas para N1</t>
  </si>
  <si>
    <t>FTEs "sobrando"</t>
  </si>
  <si>
    <t>Equipe</t>
  </si>
  <si>
    <t>TOTAL TI (Operações+Infra+Microinf+GAC)</t>
  </si>
  <si>
    <t>- Estabelecer a função de um Administrador Siebel (SADMIN), o qual realizará a gestão de todos os ambientes ORACLE e fará com o que o novo ambiente de testes se torne funcional com todas as integrações necessárias</t>
  </si>
  <si>
    <t>- Estabelecer acompanhamento dos analistas de Operações nos principais rituais de Projetos (Plannings/Reviews/KT)</t>
  </si>
  <si>
    <t>FTE Individual</t>
  </si>
  <si>
    <t>Horas/Mês</t>
  </si>
  <si>
    <r>
      <t xml:space="preserve">- Estabelecer novo processo de acúmulo batch (EDI) </t>
    </r>
    <r>
      <rPr>
        <b/>
        <sz val="9"/>
        <color theme="1"/>
        <rFont val="Segoe UI"/>
        <family val="2"/>
      </rPr>
      <t xml:space="preserve">assíncrono </t>
    </r>
    <r>
      <rPr>
        <sz val="9"/>
        <color theme="1"/>
        <rFont val="Segoe UI"/>
        <family val="2"/>
      </rPr>
      <t>para mitigar os problemas existentes.</t>
    </r>
  </si>
  <si>
    <t>- Designar responsáveis pelo processo e realização das atividades principais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</si>
</sst>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vertical="top" wrapText="1"/>
    </xf>
    <xf numFmtId="0" fontId="1" fillId="0" borderId="0" xfId="0" applyFont="1" applyFill="1" applyAlignment="1">
      <alignment vertical="top" wrapText="1"/>
    </xf>
    <xf numFmtId="164" fontId="1" fillId="0" borderId="0" xfId="0" quotePrefix="1" applyNumberFormat="1" applyFont="1" applyFill="1" applyAlignment="1">
      <alignment vertical="top" wrapText="1"/>
    </xf>
    <xf numFmtId="164" fontId="1" fillId="0" borderId="0" xfId="0" applyNumberFormat="1" applyFont="1" applyFill="1"/>
    <xf numFmtId="0" fontId="2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quotePrefix="1" applyFont="1" applyAlignment="1">
      <alignment vertical="center" wrapText="1"/>
    </xf>
    <xf numFmtId="0" fontId="1" fillId="0" borderId="0" xfId="0" quotePrefix="1" applyFont="1" applyAlignment="1">
      <alignment horizontal="center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1:F6" totalsRowShown="0" headerRowDxfId="0" dataDxfId="5">
  <autoFilter ref="A1:F6"/>
  <tableColumns count="6">
    <tableColumn id="1" name="GAP" dataDxfId="4"/>
    <tableColumn id="2" name="Sistema/Serviço" dataDxfId="3"/>
    <tableColumn id="3" name="Nova Função / Atribuição" dataDxfId="1"/>
    <tableColumn id="4" name="Recurso" dataDxfId="2"/>
    <tableColumn id="5" name="FTE Individual" dataDxfId="7"/>
    <tableColumn id="6" name="Horas/Mês" dataDxfId="6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C9:E11" totalsRowShown="0" headerRowDxfId="12" dataDxfId="8">
  <autoFilter ref="C9:E11"/>
  <tableColumns count="3">
    <tableColumn id="1" name="Equipe" dataDxfId="11"/>
    <tableColumn id="2" name="Horas para N1" dataDxfId="10">
      <calculatedColumnFormula>200+26+73+22.5</calculatedColumnFormula>
    </tableColumn>
    <tableColumn id="3" name="FTEs &quot;sobrando&quot;" dataDxfId="9">
      <calculatedColumnFormula>D10/168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10" zoomScaleNormal="110" workbookViewId="0">
      <selection activeCell="C6" sqref="C6"/>
    </sheetView>
  </sheetViews>
  <sheetFormatPr defaultRowHeight="14.4" x14ac:dyDescent="0.3"/>
  <cols>
    <col min="1" max="1" width="50.77734375" customWidth="1"/>
    <col min="2" max="2" width="15.77734375" customWidth="1"/>
    <col min="3" max="3" width="50.77734375" customWidth="1"/>
    <col min="4" max="6" width="15.77734375" customWidth="1"/>
  </cols>
  <sheetData>
    <row r="1" spans="1:6" s="1" customFormat="1" x14ac:dyDescent="0.3">
      <c r="A1" s="1" t="s">
        <v>0</v>
      </c>
      <c r="B1" s="1" t="s">
        <v>2</v>
      </c>
      <c r="C1" s="1" t="s">
        <v>1</v>
      </c>
      <c r="D1" s="1" t="s">
        <v>4</v>
      </c>
      <c r="E1" s="1" t="s">
        <v>24</v>
      </c>
      <c r="F1" s="1" t="s">
        <v>25</v>
      </c>
    </row>
    <row r="2" spans="1:6" s="7" customFormat="1" ht="79.95" customHeight="1" x14ac:dyDescent="0.3">
      <c r="A2" s="8" t="s">
        <v>10</v>
      </c>
      <c r="B2" s="6" t="s">
        <v>3</v>
      </c>
      <c r="C2" s="8" t="s">
        <v>22</v>
      </c>
      <c r="D2" s="6" t="s">
        <v>5</v>
      </c>
      <c r="E2" s="6">
        <v>0.5</v>
      </c>
      <c r="F2" s="6">
        <f t="shared" ref="F2:F5" si="0">E2*168</f>
        <v>84</v>
      </c>
    </row>
    <row r="3" spans="1:6" s="7" customFormat="1" ht="49.95" customHeight="1" x14ac:dyDescent="0.3">
      <c r="A3" s="8" t="s">
        <v>6</v>
      </c>
      <c r="B3" s="6" t="s">
        <v>7</v>
      </c>
      <c r="C3" s="8" t="s">
        <v>23</v>
      </c>
      <c r="D3" s="6" t="s">
        <v>16</v>
      </c>
      <c r="E3" s="6">
        <v>0.1</v>
      </c>
      <c r="F3" s="6">
        <f>E3*168*7</f>
        <v>117.60000000000001</v>
      </c>
    </row>
    <row r="4" spans="1:6" s="7" customFormat="1" ht="49.95" customHeight="1" x14ac:dyDescent="0.3">
      <c r="A4" s="8" t="s">
        <v>9</v>
      </c>
      <c r="B4" s="6" t="s">
        <v>8</v>
      </c>
      <c r="C4" s="8" t="s">
        <v>26</v>
      </c>
      <c r="D4" s="6" t="s">
        <v>12</v>
      </c>
      <c r="E4" s="6">
        <v>0.3</v>
      </c>
      <c r="F4" s="6">
        <f t="shared" si="0"/>
        <v>50.4</v>
      </c>
    </row>
    <row r="5" spans="1:6" s="7" customFormat="1" ht="49.95" customHeight="1" x14ac:dyDescent="0.3">
      <c r="A5" s="8" t="s">
        <v>11</v>
      </c>
      <c r="B5" s="6" t="s">
        <v>7</v>
      </c>
      <c r="C5" s="8" t="s">
        <v>27</v>
      </c>
      <c r="D5" s="6" t="s">
        <v>17</v>
      </c>
      <c r="E5" s="6">
        <v>0.1</v>
      </c>
      <c r="F5" s="6">
        <f>E5*168*2</f>
        <v>33.6</v>
      </c>
    </row>
    <row r="6" spans="1:6" s="7" customFormat="1" ht="49.95" customHeight="1" x14ac:dyDescent="0.3">
      <c r="A6" s="8" t="s">
        <v>14</v>
      </c>
      <c r="B6" s="6" t="s">
        <v>7</v>
      </c>
      <c r="C6" s="8" t="s">
        <v>15</v>
      </c>
      <c r="D6" s="6" t="s">
        <v>17</v>
      </c>
      <c r="E6" s="6">
        <v>0.1</v>
      </c>
      <c r="F6" s="6">
        <f>E6*168*2</f>
        <v>33.6</v>
      </c>
    </row>
    <row r="7" spans="1:6" x14ac:dyDescent="0.3">
      <c r="A7" s="2"/>
      <c r="B7" s="2"/>
      <c r="C7" s="2"/>
      <c r="D7" s="2"/>
      <c r="E7" s="9">
        <f>E2+(E3*7)+E4+(E5*2)+(E6*2)</f>
        <v>1.9000000000000001</v>
      </c>
      <c r="F7" s="10">
        <f>SUM(Tabela2[Horas/Mês])</f>
        <v>319.20000000000005</v>
      </c>
    </row>
    <row r="8" spans="1:6" x14ac:dyDescent="0.3">
      <c r="A8" s="2"/>
      <c r="B8" s="2"/>
      <c r="C8" s="2"/>
      <c r="D8" s="2"/>
      <c r="E8" s="2"/>
    </row>
    <row r="9" spans="1:6" x14ac:dyDescent="0.3">
      <c r="A9" s="2"/>
      <c r="B9" s="2"/>
      <c r="C9" s="2" t="s">
        <v>20</v>
      </c>
      <c r="D9" s="2" t="s">
        <v>18</v>
      </c>
      <c r="E9" s="2" t="s">
        <v>19</v>
      </c>
    </row>
    <row r="10" spans="1:6" x14ac:dyDescent="0.3">
      <c r="A10" s="2"/>
      <c r="C10" s="3" t="s">
        <v>21</v>
      </c>
      <c r="D10" s="4">
        <v>521</v>
      </c>
      <c r="E10" s="4">
        <f>D10/168</f>
        <v>3.1011904761904763</v>
      </c>
    </row>
    <row r="11" spans="1:6" x14ac:dyDescent="0.3">
      <c r="C11" s="3" t="s">
        <v>13</v>
      </c>
      <c r="D11" s="5">
        <f>200+26+73+22.5</f>
        <v>321.5</v>
      </c>
      <c r="E11" s="5">
        <f>D11/168</f>
        <v>1.9136904761904763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F3" formula="1"/>
  </ignoredError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2017-04-17T21:54:36Z</dcterms:created>
  <dcterms:modified xsi:type="dcterms:W3CDTF">2017-04-17T22:39:33Z</dcterms:modified>
</cp:coreProperties>
</file>