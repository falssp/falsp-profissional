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filterPrivacy="1" defaultThemeVersion="124226"/>
  <bookViews>
    <workbookView xWindow="240" yWindow="108" windowWidth="14808" windowHeight="8016"/>
  </bookViews>
  <sheets>
    <sheet name="Fornecedores de TI Ativos" sheetId="1" r:id="rId1"/>
  </sheets>
  <calcPr calcId="162913"/>
</workbook>
</file>

<file path=xl/calcChain.xml><?xml version="1.0" encoding="utf-8"?>
<calcChain xmlns="http://schemas.openxmlformats.org/spreadsheetml/2006/main">
  <c r="K39" i="1" l="1"/>
  <c r="K44" i="1"/>
  <c r="K45" i="1"/>
  <c r="K46" i="1"/>
  <c r="K49" i="1"/>
  <c r="K50" i="1"/>
  <c r="K52" i="1"/>
  <c r="K53" i="1"/>
  <c r="K54" i="1"/>
  <c r="K60" i="1"/>
  <c r="K61" i="1"/>
  <c r="K63" i="1"/>
  <c r="K42" i="1"/>
  <c r="K3" i="1"/>
  <c r="K8" i="1"/>
  <c r="K9" i="1"/>
  <c r="K15" i="1"/>
  <c r="K18" i="1"/>
  <c r="K20" i="1"/>
  <c r="K22" i="1"/>
  <c r="K25" i="1"/>
  <c r="K29" i="1"/>
  <c r="K35" i="1"/>
  <c r="K17" i="1" l="1"/>
  <c r="K4" i="1"/>
  <c r="K6" i="1"/>
  <c r="K10" i="1"/>
  <c r="K11" i="1"/>
  <c r="K12" i="1"/>
  <c r="K13" i="1"/>
  <c r="K16" i="1"/>
  <c r="K21" i="1"/>
  <c r="K23" i="1"/>
  <c r="K24" i="1"/>
  <c r="K26" i="1"/>
  <c r="K27" i="1"/>
  <c r="K28" i="1"/>
  <c r="K30" i="1"/>
  <c r="K31" i="1"/>
  <c r="K32" i="1"/>
  <c r="K33" i="1"/>
  <c r="K36" i="1"/>
  <c r="K37" i="1"/>
  <c r="K38" i="1"/>
  <c r="K40" i="1"/>
  <c r="K41" i="1"/>
  <c r="K43" i="1"/>
  <c r="K47" i="1"/>
  <c r="K48" i="1"/>
  <c r="K51" i="1"/>
  <c r="K55" i="1"/>
  <c r="K56" i="1"/>
  <c r="K57" i="1"/>
  <c r="K58" i="1"/>
  <c r="K59" i="1"/>
  <c r="K62" i="1"/>
  <c r="K14" i="1"/>
  <c r="K19" i="1"/>
  <c r="K34" i="1"/>
  <c r="K1" i="1"/>
  <c r="K5" i="1" s="1"/>
  <c r="K7" i="1" l="1"/>
</calcChain>
</file>

<file path=xl/comments1.xml><?xml version="1.0" encoding="utf-8"?>
<comments xmlns="http://schemas.openxmlformats.org/spreadsheetml/2006/main">
  <authors>
    <author>Autor</author>
  </authors>
  <commentList>
    <comment ref="I2" authorId="0" shapeId="0">
      <text>
        <r>
          <rPr>
            <b/>
            <sz val="9"/>
            <color indexed="81"/>
            <rFont val="Segoe UI"/>
            <charset val="1"/>
          </rPr>
          <t>Preenchimento obrigatório somente se Fornecedor Crítico</t>
        </r>
      </text>
    </comment>
    <comment ref="J2" authorId="0" shapeId="0">
      <text>
        <r>
          <rPr>
            <b/>
            <sz val="9"/>
            <color indexed="81"/>
            <rFont val="Segoe UI"/>
            <charset val="1"/>
          </rPr>
          <t>Preenchimento obrigatório somente se Fornecedor Crítico</t>
        </r>
      </text>
    </comment>
  </commentList>
</comments>
</file>

<file path=xl/sharedStrings.xml><?xml version="1.0" encoding="utf-8"?>
<sst xmlns="http://schemas.openxmlformats.org/spreadsheetml/2006/main" count="242" uniqueCount="91">
  <si>
    <t xml:space="preserve">ALGAR TELECOM </t>
  </si>
  <si>
    <t xml:space="preserve">AWS </t>
  </si>
  <si>
    <t xml:space="preserve">Links MPLS </t>
  </si>
  <si>
    <t>Managed Cloud</t>
  </si>
  <si>
    <t>EDI</t>
  </si>
  <si>
    <t>Fornecedor</t>
  </si>
  <si>
    <t>Serviço</t>
  </si>
  <si>
    <t>ID</t>
  </si>
  <si>
    <t>Nro. Contrato</t>
  </si>
  <si>
    <t>Vigência</t>
  </si>
  <si>
    <t>Gestor do Fornecedor (Smiles)</t>
  </si>
  <si>
    <t>Crítico?</t>
  </si>
  <si>
    <t>Sim</t>
  </si>
  <si>
    <t>Adriano</t>
  </si>
  <si>
    <t>ALJAN INFORMATICA LTDA</t>
  </si>
  <si>
    <t>Não</t>
  </si>
  <si>
    <t>Luis Borrego</t>
  </si>
  <si>
    <t>ALPAR TECNOLOGIA LTDA</t>
  </si>
  <si>
    <t>N/A</t>
  </si>
  <si>
    <t>Cassia</t>
  </si>
  <si>
    <t>BETTER NOW TECNOLOGIA DA INFORMACAO</t>
  </si>
  <si>
    <t>BIG DATA SOLUCOES EM TECNOLOGIA DE</t>
  </si>
  <si>
    <t>CLEAR SALE S.A.</t>
  </si>
  <si>
    <t>DYNATRACE SOFTWARE DO BRASIL S.A.</t>
  </si>
  <si>
    <t>EASY SOLUTIONS DO BRASIL LTDA.</t>
  </si>
  <si>
    <t>Marcela Dias</t>
  </si>
  <si>
    <t>E-COMPONENT INFORMATICA LTDA. - EPP</t>
  </si>
  <si>
    <t>Nelton</t>
  </si>
  <si>
    <t>ECORE SOLUCOES EM TECNOLOGIA DA INF</t>
  </si>
  <si>
    <t>E-DEPLOY SOLUCOES E SERVICOS DE INF</t>
  </si>
  <si>
    <t>ENKEL INFORMATICA LTDA - ME</t>
  </si>
  <si>
    <t>ENTELGY DO BRASIL CONSULTORIA EM TI</t>
  </si>
  <si>
    <t>EZS INFORMATICA LTDA</t>
  </si>
  <si>
    <t>HDI COMERCIO E SERVICOS DE INFORMAT</t>
  </si>
  <si>
    <t>Daniel Mizobuchi</t>
  </si>
  <si>
    <t>INMETRICS S/A</t>
  </si>
  <si>
    <t>LEVEL 4 - CONSULTORIA LTDA.</t>
  </si>
  <si>
    <t>LIFERAY LATIN AMERICA LTDA.</t>
  </si>
  <si>
    <t>NUMEN IT SOLUCOES EM TECNOLOGIA LTD</t>
  </si>
  <si>
    <t>PONTOMOBI TECNOLOGIA INFORMATICA LT</t>
  </si>
  <si>
    <t>QUALITY SOFTWARE S/A</t>
  </si>
  <si>
    <t>SALES &amp; SOUZA PROCESSAMENTO DE DADO</t>
  </si>
  <si>
    <t>SOFTVARO CONSULTORIA EM TECNOLOGIA</t>
  </si>
  <si>
    <t>ST IT SERVICOS EM INFORMATICA LTDA</t>
  </si>
  <si>
    <t>STEFANINI CONSULTORIA E ASSESSORIA</t>
  </si>
  <si>
    <t>SUMMATECH CONSULTORIA EM SOFTWARE L</t>
  </si>
  <si>
    <t>TELECOM SOUTH AMERICA S/A</t>
  </si>
  <si>
    <t>AVANTI TELEINFORMATICA LTDA - EPP - ATELECOM</t>
  </si>
  <si>
    <t>EDGE TECHNOLOGY LTDA. - EXCEDA</t>
  </si>
  <si>
    <t>GLOBAL VILLAGE TELECOM S/A - GVT</t>
  </si>
  <si>
    <t>L &amp; F AZEVEDO CONSULTORIA EM SISTEM - GOLDEN GATE</t>
  </si>
  <si>
    <t>VERTEX CONSULTORIA E GESTAO DE TI L - MASSIMUS</t>
  </si>
  <si>
    <t>ALGAR MULTIMIDIA S/A</t>
  </si>
  <si>
    <t>SLA?</t>
  </si>
  <si>
    <t>Penalização?</t>
  </si>
  <si>
    <t>Link Internet</t>
  </si>
  <si>
    <t>-</t>
  </si>
  <si>
    <t>EPP</t>
  </si>
  <si>
    <t>&lt; 90 dias?</t>
  </si>
  <si>
    <t>B2E SISTEMAS LTDA</t>
  </si>
  <si>
    <t>BOXNET SERVICOS DE INFORMACOES LTDA</t>
  </si>
  <si>
    <t>CHACON CONSULTORIA EM TECNOLOGIA DE</t>
  </si>
  <si>
    <t>GOL LINHAS AEREAS S/A</t>
  </si>
  <si>
    <t>MTTECHNE DESENVOLVIMENTO DE SOFTWAR</t>
  </si>
  <si>
    <t>ABU TREINAMENTO E DE</t>
  </si>
  <si>
    <t>AMADEUS BRASIL LTDA.</t>
  </si>
  <si>
    <t>ANANKE TECNOLOGIA LTDA.</t>
  </si>
  <si>
    <t>CREDIBILIT TECNOLOGIA LTDA.</t>
  </si>
  <si>
    <t>CREDIBILITY TERCEIRIZACAO DE PROCESSOS SE</t>
  </si>
  <si>
    <t>DIMENSION DATA COMERCIO E SERVICOS</t>
  </si>
  <si>
    <t>DYNATRACE TERCEIRIZACAO DE PROCESSOS SE</t>
  </si>
  <si>
    <t>E-COMPONENT TERCEIRIZACAO DE PROCESSOS SE</t>
  </si>
  <si>
    <t>EDGE TERCEIRIZACAO DE PROCESSOS SE</t>
  </si>
  <si>
    <t>GOLDEN GATE TECNOLOGIA LTDA - ME</t>
  </si>
  <si>
    <t>LEVEL 3 COMUNICACOES DO BRASIL LTDA</t>
  </si>
  <si>
    <t>OPAH IT CONSULTING DESENVOLVIMENTO</t>
  </si>
  <si>
    <t>ORACLE DO BRASIL SISTEMAS LTDA</t>
  </si>
  <si>
    <t>ORACLE TERCEIRIZACAO DE PROCESSOS SE</t>
  </si>
  <si>
    <t>RETHINK TECNOLOGIA DA INFORMACAO LT</t>
  </si>
  <si>
    <t>RETURNPATH BRASIL CONSULTORIA, SERV</t>
  </si>
  <si>
    <t>SOFTTEK SOLUCOES EM SISTEMAS LTDA.</t>
  </si>
  <si>
    <t>SOFTTEK TECNOLOGIA D</t>
  </si>
  <si>
    <t>SOFTTEK TERCEIRIZACAO DE PROCESSOS SE</t>
  </si>
  <si>
    <t>TELEFONICA BRASIL S.A.</t>
  </si>
  <si>
    <t>TIVIT TERCEIRIZACAO DE PROCESSOS SE</t>
  </si>
  <si>
    <t>VIA CONSULTORIA EM INFORMATICA LTDA</t>
  </si>
  <si>
    <t>DELL</t>
  </si>
  <si>
    <t>Nei</t>
  </si>
  <si>
    <t>Daniel Borges</t>
  </si>
  <si>
    <t>Claudio Cunha</t>
  </si>
  <si>
    <t>Cassia, Tulio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</si>
</sst>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0"/>
      </right>
      <top style="thin">
        <color theme="9"/>
      </top>
      <bottom/>
      <diagonal/>
    </border>
    <border>
      <left style="thin">
        <color theme="0"/>
      </left>
      <right style="thin">
        <color theme="0"/>
      </right>
      <top style="thin">
        <color theme="9"/>
      </top>
      <bottom/>
      <diagonal/>
    </border>
    <border>
      <left style="thin">
        <color theme="0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9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</cellXfs>
  <cellStyles count="9">
    <cellStyle name="Normal" xfId="0" builtinId="0"/>
    <cellStyle name="Normal 2" xfId="6"/>
    <cellStyle name="Normal 3" xfId="7"/>
    <cellStyle name="Normal 3 2" xfId="3"/>
    <cellStyle name="Normal 4" xfId="1"/>
    <cellStyle name="Normal 64" xfId="5"/>
    <cellStyle name="Vírgula 10" xfId="4"/>
    <cellStyle name="Vírgula 2" xfId="8"/>
    <cellStyle name="Vírgula 3" xfId="2"/>
  </cellStyles>
  <dxfs count="15"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theme="0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K63" totalsRowShown="0" headerRowDxfId="14" dataDxfId="12" headerRowBorderDxfId="13" tableBorderDxfId="11" totalsRowBorderDxfId="10">
  <autoFilter ref="B2:K63"/>
  <sortState ref="B3:K65">
    <sortCondition ref="C2:C65"/>
  </sortState>
  <tableColumns count="10">
    <tableColumn id="1" name="ID" dataDxfId="9"/>
    <tableColumn id="2" name="Fornecedor" dataDxfId="8"/>
    <tableColumn id="10" name="Nro. Contrato" dataDxfId="7"/>
    <tableColumn id="3" name="Serviço" dataDxfId="6"/>
    <tableColumn id="4" name="Vigência" dataDxfId="5"/>
    <tableColumn id="8" name="Gestor do Fornecedor (Smiles)" dataDxfId="4"/>
    <tableColumn id="5" name="Crítico?" dataDxfId="3"/>
    <tableColumn id="11" name="SLA?" dataDxfId="2"/>
    <tableColumn id="6" name="Penalização?" dataDxfId="1"/>
    <tableColumn id="7" name="&lt; 90 dias?" dataDxfId="0">
      <calculatedColumnFormula>IF(Tabela1[[#This Row],[Vigência]]&lt;&gt;"",Tabela1[[#This Row],[Vigência]]-$K$1,"EM BRANCO")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63"/>
  <sheetViews>
    <sheetView showGridLines="0" tabSelected="1" topLeftCell="A40" workbookViewId="0">
      <selection activeCell="G4" sqref="G4"/>
    </sheetView>
  </sheetViews>
  <sheetFormatPr defaultColWidth="9.109375" defaultRowHeight="14.4" x14ac:dyDescent="0.3"/>
  <cols>
    <col min="1" max="1" width="3.109375" style="1" customWidth="1"/>
    <col min="2" max="2" width="5.109375" style="1" bestFit="1" customWidth="1"/>
    <col min="3" max="3" width="52" style="1" bestFit="1" customWidth="1"/>
    <col min="4" max="4" width="15.44140625" style="1" bestFit="1" customWidth="1"/>
    <col min="5" max="5" width="14.88671875" style="1" bestFit="1" customWidth="1"/>
    <col min="6" max="6" width="10.88671875" style="1" bestFit="1" customWidth="1"/>
    <col min="7" max="7" width="30.88671875" style="1" bestFit="1" customWidth="1"/>
    <col min="8" max="8" width="12.33203125" style="3" bestFit="1" customWidth="1"/>
    <col min="9" max="9" width="9.6640625" style="3" bestFit="1" customWidth="1"/>
    <col min="10" max="10" width="17" style="3" bestFit="1" customWidth="1"/>
    <col min="11" max="11" width="11.6640625" style="1" bestFit="1" customWidth="1"/>
    <col min="12" max="16384" width="9.109375" style="1"/>
  </cols>
  <sheetData>
    <row r="1" spans="2:11" x14ac:dyDescent="0.3">
      <c r="K1" s="4">
        <f ca="1">TODAY()</f>
        <v>42864</v>
      </c>
    </row>
    <row r="2" spans="2:11" s="2" customFormat="1" ht="28.5" customHeight="1" x14ac:dyDescent="0.3">
      <c r="B2" s="10" t="s">
        <v>7</v>
      </c>
      <c r="C2" s="11" t="s">
        <v>5</v>
      </c>
      <c r="D2" s="11" t="s">
        <v>8</v>
      </c>
      <c r="E2" s="11" t="s">
        <v>6</v>
      </c>
      <c r="F2" s="11" t="s">
        <v>9</v>
      </c>
      <c r="G2" s="11" t="s">
        <v>10</v>
      </c>
      <c r="H2" s="12" t="s">
        <v>11</v>
      </c>
      <c r="I2" s="12" t="s">
        <v>53</v>
      </c>
      <c r="J2" s="12" t="s">
        <v>54</v>
      </c>
      <c r="K2" s="13" t="s">
        <v>58</v>
      </c>
    </row>
    <row r="3" spans="2:11" x14ac:dyDescent="0.3">
      <c r="B3" s="5">
        <v>1</v>
      </c>
      <c r="C3" s="5" t="s">
        <v>64</v>
      </c>
      <c r="D3" s="5"/>
      <c r="E3" s="5"/>
      <c r="F3" s="6"/>
      <c r="G3" s="5" t="s">
        <v>13</v>
      </c>
      <c r="H3" s="7"/>
      <c r="I3" s="7"/>
      <c r="J3" s="7"/>
      <c r="K3" s="8" t="str">
        <f>IF(Tabela1[[#This Row],[Vigência]]&lt;&gt;"",Tabela1[[#This Row],[Vigência]]-$K$1,"EM BRANCO")</f>
        <v>EM BRANCO</v>
      </c>
    </row>
    <row r="4" spans="2:11" x14ac:dyDescent="0.3">
      <c r="B4" s="5">
        <v>2</v>
      </c>
      <c r="C4" s="5" t="s">
        <v>52</v>
      </c>
      <c r="D4" s="5"/>
      <c r="E4" s="5"/>
      <c r="F4" s="6"/>
      <c r="G4" s="5" t="s">
        <v>13</v>
      </c>
      <c r="H4" s="7" t="s">
        <v>15</v>
      </c>
      <c r="I4" s="7" t="s">
        <v>12</v>
      </c>
      <c r="J4" s="7" t="s">
        <v>56</v>
      </c>
      <c r="K4" s="8" t="str">
        <f>IF(Tabela1[[#This Row],[Vigência]]&lt;&gt;"",Tabela1[[#This Row],[Vigência]]-$K$1,"EM BRANCO")</f>
        <v>EM BRANCO</v>
      </c>
    </row>
    <row r="5" spans="2:11" x14ac:dyDescent="0.3">
      <c r="B5" s="5">
        <v>3</v>
      </c>
      <c r="C5" s="5" t="s">
        <v>0</v>
      </c>
      <c r="D5" s="5"/>
      <c r="E5" s="5" t="s">
        <v>55</v>
      </c>
      <c r="F5" s="6"/>
      <c r="G5" s="5" t="s">
        <v>13</v>
      </c>
      <c r="H5" s="7" t="s">
        <v>12</v>
      </c>
      <c r="I5" s="7"/>
      <c r="J5" s="7"/>
      <c r="K5" s="8" t="str">
        <f>IF(Tabela1[[#This Row],[Vigência]]&lt;&gt;"",Tabela1[[#This Row],[Vigência]]-$K$1,"EM BRANCO")</f>
        <v>EM BRANCO</v>
      </c>
    </row>
    <row r="6" spans="2:11" x14ac:dyDescent="0.3">
      <c r="B6" s="5">
        <v>4</v>
      </c>
      <c r="C6" s="5" t="s">
        <v>14</v>
      </c>
      <c r="D6" s="5"/>
      <c r="E6" s="5"/>
      <c r="F6" s="6"/>
      <c r="G6" s="5" t="s">
        <v>16</v>
      </c>
      <c r="H6" s="7" t="s">
        <v>15</v>
      </c>
      <c r="I6" s="7" t="s">
        <v>15</v>
      </c>
      <c r="J6" s="7" t="s">
        <v>56</v>
      </c>
      <c r="K6" s="8" t="str">
        <f>IF(Tabela1[[#This Row],[Vigência]]&lt;&gt;"",Tabela1[[#This Row],[Vigência]]-$K$1,"EM BRANCO")</f>
        <v>EM BRANCO</v>
      </c>
    </row>
    <row r="7" spans="2:11" x14ac:dyDescent="0.3">
      <c r="B7" s="5">
        <v>5</v>
      </c>
      <c r="C7" s="5" t="s">
        <v>17</v>
      </c>
      <c r="D7" s="5"/>
      <c r="E7" s="5"/>
      <c r="F7" s="6"/>
      <c r="G7" s="5" t="s">
        <v>16</v>
      </c>
      <c r="H7" s="7" t="s">
        <v>15</v>
      </c>
      <c r="I7" s="7" t="s">
        <v>18</v>
      </c>
      <c r="J7" s="7" t="s">
        <v>56</v>
      </c>
      <c r="K7" s="8" t="str">
        <f>IF(Tabela1[[#This Row],[Vigência]]&lt;&gt;"",Tabela1[[#This Row],[Vigência]]-$K$1,"EM BRANCO")</f>
        <v>EM BRANCO</v>
      </c>
    </row>
    <row r="8" spans="2:11" x14ac:dyDescent="0.3">
      <c r="B8" s="5">
        <v>6</v>
      </c>
      <c r="C8" s="5" t="s">
        <v>65</v>
      </c>
      <c r="D8" s="5"/>
      <c r="E8" s="5"/>
      <c r="F8" s="6"/>
      <c r="G8" s="5" t="s">
        <v>13</v>
      </c>
      <c r="H8" s="7"/>
      <c r="I8" s="7"/>
      <c r="J8" s="7"/>
      <c r="K8" s="8" t="str">
        <f>IF(Tabela1[[#This Row],[Vigência]]&lt;&gt;"",Tabela1[[#This Row],[Vigência]]-$K$1,"EM BRANCO")</f>
        <v>EM BRANCO</v>
      </c>
    </row>
    <row r="9" spans="2:11" x14ac:dyDescent="0.3">
      <c r="B9" s="5">
        <v>7</v>
      </c>
      <c r="C9" s="5" t="s">
        <v>66</v>
      </c>
      <c r="D9" s="5"/>
      <c r="E9" s="5"/>
      <c r="F9" s="6"/>
      <c r="G9" s="5" t="s">
        <v>87</v>
      </c>
      <c r="H9" s="7"/>
      <c r="I9" s="7"/>
      <c r="J9" s="7"/>
      <c r="K9" s="8" t="str">
        <f>IF(Tabela1[[#This Row],[Vigência]]&lt;&gt;"",Tabela1[[#This Row],[Vigência]]-$K$1,"EM BRANCO")</f>
        <v>EM BRANCO</v>
      </c>
    </row>
    <row r="10" spans="2:11" x14ac:dyDescent="0.3">
      <c r="B10" s="5">
        <v>8</v>
      </c>
      <c r="C10" s="5" t="s">
        <v>47</v>
      </c>
      <c r="D10" s="5"/>
      <c r="E10" s="5"/>
      <c r="F10" s="6"/>
      <c r="G10" s="5" t="s">
        <v>13</v>
      </c>
      <c r="H10" s="7" t="s">
        <v>15</v>
      </c>
      <c r="I10" s="7" t="s">
        <v>12</v>
      </c>
      <c r="J10" s="7" t="s">
        <v>56</v>
      </c>
      <c r="K10" s="8" t="str">
        <f>IF(Tabela1[[#This Row],[Vigência]]&lt;&gt;"",Tabela1[[#This Row],[Vigência]]-$K$1,"EM BRANCO")</f>
        <v>EM BRANCO</v>
      </c>
    </row>
    <row r="11" spans="2:11" x14ac:dyDescent="0.3">
      <c r="B11" s="5">
        <v>9</v>
      </c>
      <c r="C11" s="5" t="s">
        <v>59</v>
      </c>
      <c r="D11" s="5"/>
      <c r="E11" s="5"/>
      <c r="F11" s="6"/>
      <c r="G11" s="5" t="s">
        <v>19</v>
      </c>
      <c r="H11" s="7" t="s">
        <v>15</v>
      </c>
      <c r="I11" s="7" t="s">
        <v>12</v>
      </c>
      <c r="J11" s="7" t="s">
        <v>56</v>
      </c>
      <c r="K11" s="8" t="str">
        <f>IF(Tabela1[[#This Row],[Vigência]]&lt;&gt;"",Tabela1[[#This Row],[Vigência]]-$K$1,"EM BRANCO")</f>
        <v>EM BRANCO</v>
      </c>
    </row>
    <row r="12" spans="2:11" s="23" customFormat="1" x14ac:dyDescent="0.3">
      <c r="B12" s="19">
        <v>10</v>
      </c>
      <c r="C12" s="19" t="s">
        <v>20</v>
      </c>
      <c r="D12" s="19"/>
      <c r="E12" s="19"/>
      <c r="F12" s="20"/>
      <c r="G12" s="19" t="s">
        <v>19</v>
      </c>
      <c r="H12" s="21" t="s">
        <v>15</v>
      </c>
      <c r="I12" s="21" t="s">
        <v>15</v>
      </c>
      <c r="J12" s="21" t="s">
        <v>56</v>
      </c>
      <c r="K12" s="22" t="str">
        <f>IF(Tabela1[[#This Row],[Vigência]]&lt;&gt;"",Tabela1[[#This Row],[Vigência]]-$K$1,"EM BRANCO")</f>
        <v>EM BRANCO</v>
      </c>
    </row>
    <row r="13" spans="2:11" x14ac:dyDescent="0.3">
      <c r="B13" s="5">
        <v>11</v>
      </c>
      <c r="C13" s="18" t="s">
        <v>21</v>
      </c>
      <c r="D13" s="5"/>
      <c r="E13" s="5"/>
      <c r="F13" s="6"/>
      <c r="G13" s="5" t="s">
        <v>19</v>
      </c>
      <c r="H13" s="7" t="s">
        <v>15</v>
      </c>
      <c r="I13" s="7"/>
      <c r="J13" s="7" t="s">
        <v>56</v>
      </c>
      <c r="K13" s="8" t="str">
        <f>IF(Tabela1[[#This Row],[Vigência]]&lt;&gt;"",Tabela1[[#This Row],[Vigência]]-$K$1,"EM BRANCO")</f>
        <v>EM BRANCO</v>
      </c>
    </row>
    <row r="14" spans="2:11" x14ac:dyDescent="0.3">
      <c r="B14" s="5">
        <v>12</v>
      </c>
      <c r="C14" s="5" t="s">
        <v>60</v>
      </c>
      <c r="D14" s="5"/>
      <c r="E14" s="5"/>
      <c r="F14" s="6"/>
      <c r="G14" s="5"/>
      <c r="H14" s="7"/>
      <c r="I14" s="7"/>
      <c r="J14" s="7"/>
      <c r="K14" s="8" t="str">
        <f>IF(Tabela1[[#This Row],[Vigência]]&lt;&gt;"",Tabela1[[#This Row],[Vigência]]-$K$1,"EM BRANCO")</f>
        <v>EM BRANCO</v>
      </c>
    </row>
    <row r="15" spans="2:11" x14ac:dyDescent="0.3">
      <c r="B15" s="5">
        <v>13</v>
      </c>
      <c r="C15" s="5" t="s">
        <v>61</v>
      </c>
      <c r="D15" s="5"/>
      <c r="E15" s="5"/>
      <c r="F15" s="6"/>
      <c r="G15" s="5" t="s">
        <v>13</v>
      </c>
      <c r="H15" s="7"/>
      <c r="I15" s="7"/>
      <c r="J15" s="7"/>
      <c r="K15" s="8" t="str">
        <f>IF(Tabela1[[#This Row],[Vigência]]&lt;&gt;"",Tabela1[[#This Row],[Vigência]]-$K$1,"EM BRANCO")</f>
        <v>EM BRANCO</v>
      </c>
    </row>
    <row r="16" spans="2:11" x14ac:dyDescent="0.3">
      <c r="B16" s="5">
        <v>14</v>
      </c>
      <c r="C16" s="5" t="s">
        <v>22</v>
      </c>
      <c r="D16" s="5"/>
      <c r="E16" s="5"/>
      <c r="F16" s="6"/>
      <c r="G16" s="5" t="s">
        <v>19</v>
      </c>
      <c r="H16" s="7" t="s">
        <v>15</v>
      </c>
      <c r="I16" s="7" t="s">
        <v>12</v>
      </c>
      <c r="J16" s="7" t="s">
        <v>56</v>
      </c>
      <c r="K16" s="8" t="str">
        <f>IF(Tabela1[[#This Row],[Vigência]]&lt;&gt;"",Tabela1[[#This Row],[Vigência]]-$K$1,"EM BRANCO")</f>
        <v>EM BRANCO</v>
      </c>
    </row>
    <row r="17" spans="2:11" x14ac:dyDescent="0.3">
      <c r="B17" s="5">
        <v>15</v>
      </c>
      <c r="C17" s="9" t="s">
        <v>67</v>
      </c>
      <c r="D17" s="5"/>
      <c r="E17" s="5" t="s">
        <v>1</v>
      </c>
      <c r="F17" s="6"/>
      <c r="G17" s="5" t="s">
        <v>19</v>
      </c>
      <c r="H17" s="7" t="s">
        <v>12</v>
      </c>
      <c r="I17" s="7" t="s">
        <v>12</v>
      </c>
      <c r="J17" s="7"/>
      <c r="K17" s="8" t="str">
        <f>IF(Tabela1[[#This Row],[Vigência]]&lt;&gt;"",Tabela1[[#This Row],[Vigência]]-$K$1,"EM BRANCO")</f>
        <v>EM BRANCO</v>
      </c>
    </row>
    <row r="18" spans="2:11" x14ac:dyDescent="0.3">
      <c r="B18" s="5">
        <v>16</v>
      </c>
      <c r="C18" s="9" t="s">
        <v>68</v>
      </c>
      <c r="D18" s="5"/>
      <c r="E18" s="5"/>
      <c r="F18" s="6"/>
      <c r="G18" s="5" t="s">
        <v>88</v>
      </c>
      <c r="H18" s="7"/>
      <c r="I18" s="7"/>
      <c r="J18" s="7"/>
      <c r="K18" s="8" t="str">
        <f>IF(Tabela1[[#This Row],[Vigência]]&lt;&gt;"",Tabela1[[#This Row],[Vigência]]-$K$1,"EM BRANCO")</f>
        <v>EM BRANCO</v>
      </c>
    </row>
    <row r="19" spans="2:11" x14ac:dyDescent="0.3">
      <c r="B19" s="5">
        <v>17</v>
      </c>
      <c r="C19" s="5" t="s">
        <v>86</v>
      </c>
      <c r="D19" s="5"/>
      <c r="E19" s="5"/>
      <c r="F19" s="6"/>
      <c r="G19" s="5" t="s">
        <v>89</v>
      </c>
      <c r="H19" s="7"/>
      <c r="I19" s="7"/>
      <c r="J19" s="7"/>
      <c r="K19" s="8" t="str">
        <f>IF(Tabela1[[#This Row],[Vigência]]&lt;&gt;"",Tabela1[[#This Row],[Vigência]]-$K$1,"EM BRANCO")</f>
        <v>EM BRANCO</v>
      </c>
    </row>
    <row r="20" spans="2:11" x14ac:dyDescent="0.3">
      <c r="B20" s="5">
        <v>18</v>
      </c>
      <c r="C20" s="5" t="s">
        <v>69</v>
      </c>
      <c r="D20" s="5"/>
      <c r="E20" s="5"/>
      <c r="F20" s="6"/>
      <c r="G20" s="5" t="s">
        <v>88</v>
      </c>
      <c r="H20" s="7"/>
      <c r="I20" s="7"/>
      <c r="J20" s="7"/>
      <c r="K20" s="8" t="str">
        <f>IF(Tabela1[[#This Row],[Vigência]]&lt;&gt;"",Tabela1[[#This Row],[Vigência]]-$K$1,"EM BRANCO")</f>
        <v>EM BRANCO</v>
      </c>
    </row>
    <row r="21" spans="2:11" x14ac:dyDescent="0.3">
      <c r="B21" s="5">
        <v>19</v>
      </c>
      <c r="C21" s="9" t="s">
        <v>23</v>
      </c>
      <c r="D21" s="5"/>
      <c r="E21" s="5"/>
      <c r="F21" s="6"/>
      <c r="G21" s="5" t="s">
        <v>13</v>
      </c>
      <c r="H21" s="7" t="s">
        <v>15</v>
      </c>
      <c r="I21" s="7" t="s">
        <v>12</v>
      </c>
      <c r="J21" s="7" t="s">
        <v>56</v>
      </c>
      <c r="K21" s="8" t="str">
        <f>IF(Tabela1[[#This Row],[Vigência]]&lt;&gt;"",Tabela1[[#This Row],[Vigência]]-$K$1,"EM BRANCO")</f>
        <v>EM BRANCO</v>
      </c>
    </row>
    <row r="22" spans="2:11" x14ac:dyDescent="0.3">
      <c r="B22" s="5">
        <v>20</v>
      </c>
      <c r="C22" s="9" t="s">
        <v>70</v>
      </c>
      <c r="D22" s="5"/>
      <c r="E22" s="5"/>
      <c r="F22" s="6"/>
      <c r="G22" s="5" t="s">
        <v>88</v>
      </c>
      <c r="H22" s="7"/>
      <c r="I22" s="7"/>
      <c r="J22" s="7"/>
      <c r="K22" s="8" t="str">
        <f>IF(Tabela1[[#This Row],[Vigência]]&lt;&gt;"",Tabela1[[#This Row],[Vigência]]-$K$1,"EM BRANCO")</f>
        <v>EM BRANCO</v>
      </c>
    </row>
    <row r="23" spans="2:11" x14ac:dyDescent="0.3">
      <c r="B23" s="5">
        <v>21</v>
      </c>
      <c r="C23" s="18" t="s">
        <v>24</v>
      </c>
      <c r="D23" s="5"/>
      <c r="E23" s="5"/>
      <c r="F23" s="6"/>
      <c r="G23" s="5" t="s">
        <v>25</v>
      </c>
      <c r="H23" s="7" t="s">
        <v>15</v>
      </c>
      <c r="I23" s="7"/>
      <c r="J23" s="7" t="s">
        <v>56</v>
      </c>
      <c r="K23" s="8" t="str">
        <f>IF(Tabela1[[#This Row],[Vigência]]&lt;&gt;"",Tabela1[[#This Row],[Vigência]]-$K$1,"EM BRANCO")</f>
        <v>EM BRANCO</v>
      </c>
    </row>
    <row r="24" spans="2:11" x14ac:dyDescent="0.3">
      <c r="B24" s="5">
        <v>22</v>
      </c>
      <c r="C24" s="9" t="s">
        <v>26</v>
      </c>
      <c r="D24" s="5"/>
      <c r="E24" s="5" t="s">
        <v>57</v>
      </c>
      <c r="F24" s="6"/>
      <c r="G24" s="5" t="s">
        <v>27</v>
      </c>
      <c r="H24" s="7" t="s">
        <v>15</v>
      </c>
      <c r="I24" s="7" t="s">
        <v>12</v>
      </c>
      <c r="J24" s="7" t="s">
        <v>56</v>
      </c>
      <c r="K24" s="8" t="str">
        <f>IF(Tabela1[[#This Row],[Vigência]]&lt;&gt;"",Tabela1[[#This Row],[Vigência]]-$K$1,"EM BRANCO")</f>
        <v>EM BRANCO</v>
      </c>
    </row>
    <row r="25" spans="2:11" x14ac:dyDescent="0.3">
      <c r="B25" s="5">
        <v>23</v>
      </c>
      <c r="C25" s="9" t="s">
        <v>71</v>
      </c>
      <c r="D25" s="5"/>
      <c r="E25" s="5"/>
      <c r="F25" s="6"/>
      <c r="G25" s="5" t="s">
        <v>87</v>
      </c>
      <c r="H25" s="7"/>
      <c r="I25" s="7"/>
      <c r="J25" s="7"/>
      <c r="K25" s="8" t="str">
        <f>IF(Tabela1[[#This Row],[Vigência]]&lt;&gt;"",Tabela1[[#This Row],[Vigência]]-$K$1,"EM BRANCO")</f>
        <v>EM BRANCO</v>
      </c>
    </row>
    <row r="26" spans="2:11" x14ac:dyDescent="0.3">
      <c r="B26" s="5">
        <v>24</v>
      </c>
      <c r="C26" s="5" t="s">
        <v>28</v>
      </c>
      <c r="D26" s="5"/>
      <c r="E26" s="5"/>
      <c r="F26" s="6"/>
      <c r="G26" s="5" t="s">
        <v>27</v>
      </c>
      <c r="H26" s="7" t="s">
        <v>15</v>
      </c>
      <c r="I26" s="7" t="s">
        <v>18</v>
      </c>
      <c r="J26" s="7" t="s">
        <v>56</v>
      </c>
      <c r="K26" s="8" t="str">
        <f>IF(Tabela1[[#This Row],[Vigência]]&lt;&gt;"",Tabela1[[#This Row],[Vigência]]-$K$1,"EM BRANCO")</f>
        <v>EM BRANCO</v>
      </c>
    </row>
    <row r="27" spans="2:11" x14ac:dyDescent="0.3">
      <c r="B27" s="5">
        <v>25</v>
      </c>
      <c r="C27" s="5" t="s">
        <v>29</v>
      </c>
      <c r="D27" s="5"/>
      <c r="E27" s="5"/>
      <c r="F27" s="6"/>
      <c r="G27" s="5" t="s">
        <v>27</v>
      </c>
      <c r="H27" s="7" t="s">
        <v>15</v>
      </c>
      <c r="I27" s="7" t="s">
        <v>18</v>
      </c>
      <c r="J27" s="7" t="s">
        <v>56</v>
      </c>
      <c r="K27" s="8" t="str">
        <f>IF(Tabela1[[#This Row],[Vigência]]&lt;&gt;"",Tabela1[[#This Row],[Vigência]]-$K$1,"EM BRANCO")</f>
        <v>EM BRANCO</v>
      </c>
    </row>
    <row r="28" spans="2:11" x14ac:dyDescent="0.3">
      <c r="B28" s="5">
        <v>26</v>
      </c>
      <c r="C28" s="9" t="s">
        <v>48</v>
      </c>
      <c r="D28" s="5"/>
      <c r="E28" s="5"/>
      <c r="F28" s="6"/>
      <c r="G28" s="5" t="s">
        <v>13</v>
      </c>
      <c r="H28" s="7" t="s">
        <v>15</v>
      </c>
      <c r="I28" s="7" t="s">
        <v>12</v>
      </c>
      <c r="J28" s="7" t="s">
        <v>56</v>
      </c>
      <c r="K28" s="8" t="str">
        <f>IF(Tabela1[[#This Row],[Vigência]]&lt;&gt;"",Tabela1[[#This Row],[Vigência]]-$K$1,"EM BRANCO")</f>
        <v>EM BRANCO</v>
      </c>
    </row>
    <row r="29" spans="2:11" x14ac:dyDescent="0.3">
      <c r="B29" s="5">
        <v>27</v>
      </c>
      <c r="C29" s="9" t="s">
        <v>72</v>
      </c>
      <c r="D29" s="5"/>
      <c r="E29" s="5"/>
      <c r="F29" s="6"/>
      <c r="G29" s="5" t="s">
        <v>13</v>
      </c>
      <c r="H29" s="7"/>
      <c r="I29" s="7"/>
      <c r="J29" s="7"/>
      <c r="K29" s="8" t="str">
        <f>IF(Tabela1[[#This Row],[Vigência]]&lt;&gt;"",Tabela1[[#This Row],[Vigência]]-$K$1,"EM BRANCO")</f>
        <v>EM BRANCO</v>
      </c>
    </row>
    <row r="30" spans="2:11" x14ac:dyDescent="0.3">
      <c r="B30" s="5">
        <v>28</v>
      </c>
      <c r="C30" s="5" t="s">
        <v>30</v>
      </c>
      <c r="D30" s="5"/>
      <c r="E30" s="5"/>
      <c r="F30" s="6"/>
      <c r="G30" s="5" t="s">
        <v>13</v>
      </c>
      <c r="H30" s="7" t="s">
        <v>15</v>
      </c>
      <c r="I30" s="7" t="s">
        <v>18</v>
      </c>
      <c r="J30" s="7" t="s">
        <v>56</v>
      </c>
      <c r="K30" s="8" t="str">
        <f>IF(Tabela1[[#This Row],[Vigência]]&lt;&gt;"",Tabela1[[#This Row],[Vigência]]-$K$1,"EM BRANCO")</f>
        <v>EM BRANCO</v>
      </c>
    </row>
    <row r="31" spans="2:11" x14ac:dyDescent="0.3">
      <c r="B31" s="5">
        <v>30</v>
      </c>
      <c r="C31" s="5" t="s">
        <v>31</v>
      </c>
      <c r="D31" s="5"/>
      <c r="E31" s="5"/>
      <c r="F31" s="6"/>
      <c r="G31" s="5" t="s">
        <v>27</v>
      </c>
      <c r="H31" s="7" t="s">
        <v>15</v>
      </c>
      <c r="I31" s="7" t="s">
        <v>18</v>
      </c>
      <c r="J31" s="7" t="s">
        <v>56</v>
      </c>
      <c r="K31" s="8" t="str">
        <f>IF(Tabela1[[#This Row],[Vigência]]&lt;&gt;"",Tabela1[[#This Row],[Vigência]]-$K$1,"EM BRANCO")</f>
        <v>EM BRANCO</v>
      </c>
    </row>
    <row r="32" spans="2:11" x14ac:dyDescent="0.3">
      <c r="B32" s="5">
        <v>31</v>
      </c>
      <c r="C32" s="5" t="s">
        <v>32</v>
      </c>
      <c r="D32" s="5"/>
      <c r="E32" s="5"/>
      <c r="F32" s="6"/>
      <c r="G32" s="5" t="s">
        <v>13</v>
      </c>
      <c r="H32" s="7" t="s">
        <v>15</v>
      </c>
      <c r="I32" s="7" t="s">
        <v>18</v>
      </c>
      <c r="J32" s="7" t="s">
        <v>56</v>
      </c>
      <c r="K32" s="8" t="str">
        <f>IF(Tabela1[[#This Row],[Vigência]]&lt;&gt;"",Tabela1[[#This Row],[Vigência]]-$K$1,"EM BRANCO")</f>
        <v>EM BRANCO</v>
      </c>
    </row>
    <row r="33" spans="2:11" x14ac:dyDescent="0.3">
      <c r="B33" s="5">
        <v>32</v>
      </c>
      <c r="C33" s="5" t="s">
        <v>49</v>
      </c>
      <c r="D33" s="5"/>
      <c r="E33" s="5"/>
      <c r="F33" s="6"/>
      <c r="G33" s="5" t="s">
        <v>13</v>
      </c>
      <c r="H33" s="7" t="s">
        <v>15</v>
      </c>
      <c r="I33" s="7" t="s">
        <v>12</v>
      </c>
      <c r="J33" s="7" t="s">
        <v>56</v>
      </c>
      <c r="K33" s="8" t="str">
        <f>IF(Tabela1[[#This Row],[Vigência]]&lt;&gt;"",Tabela1[[#This Row],[Vigência]]-$K$1,"EM BRANCO")</f>
        <v>EM BRANCO</v>
      </c>
    </row>
    <row r="34" spans="2:11" x14ac:dyDescent="0.3">
      <c r="B34" s="5">
        <v>33</v>
      </c>
      <c r="C34" s="5" t="s">
        <v>62</v>
      </c>
      <c r="D34" s="5"/>
      <c r="E34" s="5"/>
      <c r="F34" s="6"/>
      <c r="G34" s="5" t="s">
        <v>90</v>
      </c>
      <c r="H34" s="7"/>
      <c r="I34" s="7"/>
      <c r="J34" s="7"/>
      <c r="K34" s="8" t="str">
        <f>IF(Tabela1[[#This Row],[Vigência]]&lt;&gt;"",Tabela1[[#This Row],[Vigência]]-$K$1,"EM BRANCO")</f>
        <v>EM BRANCO</v>
      </c>
    </row>
    <row r="35" spans="2:11" x14ac:dyDescent="0.3">
      <c r="B35" s="5">
        <v>34</v>
      </c>
      <c r="C35" s="5" t="s">
        <v>73</v>
      </c>
      <c r="D35" s="5"/>
      <c r="E35" s="5"/>
      <c r="F35" s="6"/>
      <c r="G35" s="5" t="s">
        <v>27</v>
      </c>
      <c r="H35" s="7"/>
      <c r="I35" s="7"/>
      <c r="J35" s="7"/>
      <c r="K35" s="8" t="str">
        <f>IF(Tabela1[[#This Row],[Vigência]]&lt;&gt;"",Tabela1[[#This Row],[Vigência]]-$K$1,"EM BRANCO")</f>
        <v>EM BRANCO</v>
      </c>
    </row>
    <row r="36" spans="2:11" x14ac:dyDescent="0.3">
      <c r="B36" s="5">
        <v>35</v>
      </c>
      <c r="C36" s="5" t="s">
        <v>33</v>
      </c>
      <c r="D36" s="5"/>
      <c r="E36" s="5"/>
      <c r="F36" s="6"/>
      <c r="G36" s="5" t="s">
        <v>34</v>
      </c>
      <c r="H36" s="7" t="s">
        <v>15</v>
      </c>
      <c r="I36" s="7" t="s">
        <v>18</v>
      </c>
      <c r="J36" s="7" t="s">
        <v>56</v>
      </c>
      <c r="K36" s="8" t="str">
        <f>IF(Tabela1[[#This Row],[Vigência]]&lt;&gt;"",Tabela1[[#This Row],[Vigência]]-$K$1,"EM BRANCO")</f>
        <v>EM BRANCO</v>
      </c>
    </row>
    <row r="37" spans="2:11" x14ac:dyDescent="0.3">
      <c r="B37" s="5">
        <v>36</v>
      </c>
      <c r="C37" s="5" t="s">
        <v>35</v>
      </c>
      <c r="D37" s="5"/>
      <c r="E37" s="5"/>
      <c r="F37" s="6"/>
      <c r="G37" s="5" t="s">
        <v>34</v>
      </c>
      <c r="H37" s="7" t="s">
        <v>15</v>
      </c>
      <c r="I37" s="7" t="s">
        <v>18</v>
      </c>
      <c r="J37" s="7" t="s">
        <v>56</v>
      </c>
      <c r="K37" s="8" t="str">
        <f>IF(Tabela1[[#This Row],[Vigência]]&lt;&gt;"",Tabela1[[#This Row],[Vigência]]-$K$1,"EM BRANCO")</f>
        <v>EM BRANCO</v>
      </c>
    </row>
    <row r="38" spans="2:11" x14ac:dyDescent="0.3">
      <c r="B38" s="5">
        <v>37</v>
      </c>
      <c r="C38" s="5" t="s">
        <v>50</v>
      </c>
      <c r="D38" s="5"/>
      <c r="E38" s="5"/>
      <c r="F38" s="6"/>
      <c r="G38" s="5" t="s">
        <v>16</v>
      </c>
      <c r="H38" s="7" t="s">
        <v>15</v>
      </c>
      <c r="I38" s="7" t="s">
        <v>18</v>
      </c>
      <c r="J38" s="7" t="s">
        <v>56</v>
      </c>
      <c r="K38" s="8" t="str">
        <f>IF(Tabela1[[#This Row],[Vigência]]&lt;&gt;"",Tabela1[[#This Row],[Vigência]]-$K$1,"EM BRANCO")</f>
        <v>EM BRANCO</v>
      </c>
    </row>
    <row r="39" spans="2:11" x14ac:dyDescent="0.3">
      <c r="B39" s="5">
        <v>38</v>
      </c>
      <c r="C39" s="5" t="s">
        <v>74</v>
      </c>
      <c r="D39" s="5"/>
      <c r="E39" s="5" t="s">
        <v>2</v>
      </c>
      <c r="F39" s="6"/>
      <c r="G39" s="5" t="s">
        <v>13</v>
      </c>
      <c r="H39" s="7" t="s">
        <v>12</v>
      </c>
      <c r="I39" s="7" t="s">
        <v>12</v>
      </c>
      <c r="J39" s="7"/>
      <c r="K39" s="8" t="str">
        <f>IF(Tabela1[[#This Row],[Vigência]]&lt;&gt;"",Tabela1[[#This Row],[Vigência]]-$K$1,"EM BRANCO")</f>
        <v>EM BRANCO</v>
      </c>
    </row>
    <row r="40" spans="2:11" x14ac:dyDescent="0.3">
      <c r="B40" s="5">
        <v>39</v>
      </c>
      <c r="C40" s="5" t="s">
        <v>36</v>
      </c>
      <c r="D40" s="5"/>
      <c r="E40" s="5"/>
      <c r="F40" s="6"/>
      <c r="G40" s="5" t="s">
        <v>16</v>
      </c>
      <c r="H40" s="7" t="s">
        <v>15</v>
      </c>
      <c r="I40" s="7" t="s">
        <v>18</v>
      </c>
      <c r="J40" s="7" t="s">
        <v>56</v>
      </c>
      <c r="K40" s="8" t="str">
        <f>IF(Tabela1[[#This Row],[Vigência]]&lt;&gt;"",Tabela1[[#This Row],[Vigência]]-$K$1,"EM BRANCO")</f>
        <v>EM BRANCO</v>
      </c>
    </row>
    <row r="41" spans="2:11" x14ac:dyDescent="0.3">
      <c r="B41" s="5">
        <v>40</v>
      </c>
      <c r="C41" s="5" t="s">
        <v>37</v>
      </c>
      <c r="D41" s="5"/>
      <c r="E41" s="5"/>
      <c r="F41" s="6"/>
      <c r="G41" s="5" t="s">
        <v>13</v>
      </c>
      <c r="H41" s="7" t="s">
        <v>15</v>
      </c>
      <c r="I41" s="7" t="s">
        <v>12</v>
      </c>
      <c r="J41" s="7" t="s">
        <v>56</v>
      </c>
      <c r="K41" s="8" t="str">
        <f>IF(Tabela1[[#This Row],[Vigência]]&lt;&gt;"",Tabela1[[#This Row],[Vigência]]-$K$1,"EM BRANCO")</f>
        <v>EM BRANCO</v>
      </c>
    </row>
    <row r="42" spans="2:11" x14ac:dyDescent="0.3">
      <c r="B42" s="5">
        <v>41</v>
      </c>
      <c r="C42" s="5" t="s">
        <v>63</v>
      </c>
      <c r="D42" s="5"/>
      <c r="E42" s="5"/>
      <c r="F42" s="6"/>
      <c r="G42" s="5" t="s">
        <v>27</v>
      </c>
      <c r="H42" s="7"/>
      <c r="I42" s="7"/>
      <c r="J42" s="7"/>
      <c r="K42" s="8" t="str">
        <f>IF(Tabela1[[#This Row],[Vigência]]&lt;&gt;"",Tabela1[[#This Row],[Vigência]]-$K$1,"EM BRANCO")</f>
        <v>EM BRANCO</v>
      </c>
    </row>
    <row r="43" spans="2:11" x14ac:dyDescent="0.3">
      <c r="B43" s="5">
        <v>42</v>
      </c>
      <c r="C43" s="5" t="s">
        <v>38</v>
      </c>
      <c r="D43" s="5"/>
      <c r="E43" s="5"/>
      <c r="F43" s="6"/>
      <c r="G43" s="5" t="s">
        <v>27</v>
      </c>
      <c r="H43" s="7" t="s">
        <v>15</v>
      </c>
      <c r="I43" s="7" t="s">
        <v>18</v>
      </c>
      <c r="J43" s="7" t="s">
        <v>56</v>
      </c>
      <c r="K43" s="8" t="str">
        <f>IF(Tabela1[[#This Row],[Vigência]]&lt;&gt;"",Tabela1[[#This Row],[Vigência]]-$K$1,"EM BRANCO")</f>
        <v>EM BRANCO</v>
      </c>
    </row>
    <row r="44" spans="2:11" x14ac:dyDescent="0.3">
      <c r="B44" s="5">
        <v>43</v>
      </c>
      <c r="C44" s="5" t="s">
        <v>75</v>
      </c>
      <c r="D44" s="5"/>
      <c r="E44" s="5"/>
      <c r="F44" s="6"/>
      <c r="G44" s="5" t="s">
        <v>27</v>
      </c>
      <c r="H44" s="7"/>
      <c r="I44" s="7"/>
      <c r="J44" s="7"/>
      <c r="K44" s="8" t="str">
        <f>IF(Tabela1[[#This Row],[Vigência]]&lt;&gt;"",Tabela1[[#This Row],[Vigência]]-$K$1,"EM BRANCO")</f>
        <v>EM BRANCO</v>
      </c>
    </row>
    <row r="45" spans="2:11" x14ac:dyDescent="0.3">
      <c r="B45" s="5">
        <v>44</v>
      </c>
      <c r="C45" s="9" t="s">
        <v>76</v>
      </c>
      <c r="D45" s="5"/>
      <c r="E45" s="5" t="s">
        <v>3</v>
      </c>
      <c r="F45" s="6"/>
      <c r="G45" s="5" t="s">
        <v>13</v>
      </c>
      <c r="H45" s="7" t="s">
        <v>12</v>
      </c>
      <c r="I45" s="7" t="s">
        <v>12</v>
      </c>
      <c r="J45" s="7"/>
      <c r="K45" s="8" t="str">
        <f>IF(Tabela1[[#This Row],[Vigência]]&lt;&gt;"",Tabela1[[#This Row],[Vigência]]-$K$1,"EM BRANCO")</f>
        <v>EM BRANCO</v>
      </c>
    </row>
    <row r="46" spans="2:11" x14ac:dyDescent="0.3">
      <c r="B46" s="5">
        <v>45</v>
      </c>
      <c r="C46" s="9" t="s">
        <v>77</v>
      </c>
      <c r="D46" s="5"/>
      <c r="E46" s="5"/>
      <c r="F46" s="6"/>
      <c r="G46" s="5" t="s">
        <v>87</v>
      </c>
      <c r="H46" s="7"/>
      <c r="I46" s="7"/>
      <c r="J46" s="7"/>
      <c r="K46" s="8" t="str">
        <f>IF(Tabela1[[#This Row],[Vigência]]&lt;&gt;"",Tabela1[[#This Row],[Vigência]]-$K$1,"EM BRANCO")</f>
        <v>EM BRANCO</v>
      </c>
    </row>
    <row r="47" spans="2:11" x14ac:dyDescent="0.3">
      <c r="B47" s="5">
        <v>46</v>
      </c>
      <c r="C47" s="5" t="s">
        <v>39</v>
      </c>
      <c r="D47" s="5"/>
      <c r="E47" s="5"/>
      <c r="F47" s="6"/>
      <c r="G47" s="5" t="s">
        <v>27</v>
      </c>
      <c r="H47" s="7" t="s">
        <v>15</v>
      </c>
      <c r="I47" s="7" t="s">
        <v>18</v>
      </c>
      <c r="J47" s="7" t="s">
        <v>56</v>
      </c>
      <c r="K47" s="8" t="str">
        <f>IF(Tabela1[[#This Row],[Vigência]]&lt;&gt;"",Tabela1[[#This Row],[Vigência]]-$K$1,"EM BRANCO")</f>
        <v>EM BRANCO</v>
      </c>
    </row>
    <row r="48" spans="2:11" x14ac:dyDescent="0.3">
      <c r="B48" s="5">
        <v>47</v>
      </c>
      <c r="C48" s="5" t="s">
        <v>40</v>
      </c>
      <c r="D48" s="5"/>
      <c r="E48" s="5"/>
      <c r="F48" s="6"/>
      <c r="G48" s="5" t="s">
        <v>27</v>
      </c>
      <c r="H48" s="7" t="s">
        <v>15</v>
      </c>
      <c r="I48" s="7" t="s">
        <v>18</v>
      </c>
      <c r="J48" s="7" t="s">
        <v>56</v>
      </c>
      <c r="K48" s="8" t="str">
        <f>IF(Tabela1[[#This Row],[Vigência]]&lt;&gt;"",Tabela1[[#This Row],[Vigência]]-$K$1,"EM BRANCO")</f>
        <v>EM BRANCO</v>
      </c>
    </row>
    <row r="49" spans="2:11" x14ac:dyDescent="0.3">
      <c r="B49" s="5">
        <v>48</v>
      </c>
      <c r="C49" s="5" t="s">
        <v>78</v>
      </c>
      <c r="D49" s="5"/>
      <c r="E49" s="5"/>
      <c r="F49" s="6"/>
      <c r="G49" s="5" t="s">
        <v>27</v>
      </c>
      <c r="H49" s="7"/>
      <c r="I49" s="7"/>
      <c r="J49" s="7"/>
      <c r="K49" s="8" t="str">
        <f>IF(Tabela1[[#This Row],[Vigência]]&lt;&gt;"",Tabela1[[#This Row],[Vigência]]-$K$1,"EM BRANCO")</f>
        <v>EM BRANCO</v>
      </c>
    </row>
    <row r="50" spans="2:11" x14ac:dyDescent="0.3">
      <c r="B50" s="5">
        <v>49</v>
      </c>
      <c r="C50" s="14" t="s">
        <v>79</v>
      </c>
      <c r="D50" s="14"/>
      <c r="E50" s="14"/>
      <c r="F50" s="15"/>
      <c r="G50" s="14" t="s">
        <v>25</v>
      </c>
      <c r="H50" s="16"/>
      <c r="I50" s="16"/>
      <c r="J50" s="16"/>
      <c r="K50" s="17" t="str">
        <f>IF(Tabela1[[#This Row],[Vigência]]&lt;&gt;"",Tabela1[[#This Row],[Vigência]]-$K$1,"EM BRANCO")</f>
        <v>EM BRANCO</v>
      </c>
    </row>
    <row r="51" spans="2:11" x14ac:dyDescent="0.3">
      <c r="B51" s="5">
        <v>50</v>
      </c>
      <c r="C51" s="5" t="s">
        <v>41</v>
      </c>
      <c r="D51" s="5"/>
      <c r="E51" s="5"/>
      <c r="F51" s="6"/>
      <c r="G51" s="5" t="s">
        <v>25</v>
      </c>
      <c r="H51" s="7" t="s">
        <v>15</v>
      </c>
      <c r="I51" s="7" t="s">
        <v>12</v>
      </c>
      <c r="J51" s="7" t="s">
        <v>56</v>
      </c>
      <c r="K51" s="8" t="str">
        <f>IF(Tabela1[[#This Row],[Vigência]]&lt;&gt;"",Tabela1[[#This Row],[Vigência]]-$K$1,"EM BRANCO")</f>
        <v>EM BRANCO</v>
      </c>
    </row>
    <row r="52" spans="2:11" x14ac:dyDescent="0.3">
      <c r="B52" s="5">
        <v>51</v>
      </c>
      <c r="C52" s="9" t="s">
        <v>80</v>
      </c>
      <c r="D52" s="5"/>
      <c r="E52" s="5"/>
      <c r="F52" s="6"/>
      <c r="G52" s="5"/>
      <c r="H52" s="7"/>
      <c r="I52" s="7"/>
      <c r="J52" s="7"/>
      <c r="K52" s="8" t="str">
        <f>IF(Tabela1[[#This Row],[Vigência]]&lt;&gt;"",Tabela1[[#This Row],[Vigência]]-$K$1,"EM BRANCO")</f>
        <v>EM BRANCO</v>
      </c>
    </row>
    <row r="53" spans="2:11" x14ac:dyDescent="0.3">
      <c r="B53" s="5">
        <v>52</v>
      </c>
      <c r="C53" s="9" t="s">
        <v>81</v>
      </c>
      <c r="D53" s="5"/>
      <c r="E53" s="5"/>
      <c r="F53" s="6"/>
      <c r="G53" s="5"/>
      <c r="H53" s="7"/>
      <c r="I53" s="7"/>
      <c r="J53" s="7"/>
      <c r="K53" s="8" t="str">
        <f>IF(Tabela1[[#This Row],[Vigência]]&lt;&gt;"",Tabela1[[#This Row],[Vigência]]-$K$1,"EM BRANCO")</f>
        <v>EM BRANCO</v>
      </c>
    </row>
    <row r="54" spans="2:11" x14ac:dyDescent="0.3">
      <c r="B54" s="5">
        <v>53</v>
      </c>
      <c r="C54" s="9" t="s">
        <v>82</v>
      </c>
      <c r="D54" s="5"/>
      <c r="E54" s="5"/>
      <c r="F54" s="6"/>
      <c r="G54" s="5"/>
      <c r="H54" s="7"/>
      <c r="I54" s="7"/>
      <c r="J54" s="7"/>
      <c r="K54" s="8" t="str">
        <f>IF(Tabela1[[#This Row],[Vigência]]&lt;&gt;"",Tabela1[[#This Row],[Vigência]]-$K$1,"EM BRANCO")</f>
        <v>EM BRANCO</v>
      </c>
    </row>
    <row r="55" spans="2:11" x14ac:dyDescent="0.3">
      <c r="B55" s="5">
        <v>54</v>
      </c>
      <c r="C55" s="5" t="s">
        <v>42</v>
      </c>
      <c r="D55" s="5"/>
      <c r="E55" s="5"/>
      <c r="F55" s="6"/>
      <c r="G55" s="5" t="s">
        <v>27</v>
      </c>
      <c r="H55" s="7" t="s">
        <v>15</v>
      </c>
      <c r="I55" s="7" t="s">
        <v>18</v>
      </c>
      <c r="J55" s="7" t="s">
        <v>56</v>
      </c>
      <c r="K55" s="8" t="str">
        <f>IF(Tabela1[[#This Row],[Vigência]]&lt;&gt;"",Tabela1[[#This Row],[Vigência]]-$K$1,"EM BRANCO")</f>
        <v>EM BRANCO</v>
      </c>
    </row>
    <row r="56" spans="2:11" x14ac:dyDescent="0.3">
      <c r="B56" s="5">
        <v>55</v>
      </c>
      <c r="C56" s="5" t="s">
        <v>43</v>
      </c>
      <c r="D56" s="5"/>
      <c r="E56" s="5"/>
      <c r="F56" s="6"/>
      <c r="G56" s="5" t="s">
        <v>27</v>
      </c>
      <c r="H56" s="7" t="s">
        <v>15</v>
      </c>
      <c r="I56" s="7" t="s">
        <v>18</v>
      </c>
      <c r="J56" s="7" t="s">
        <v>56</v>
      </c>
      <c r="K56" s="8" t="str">
        <f>IF(Tabela1[[#This Row],[Vigência]]&lt;&gt;"",Tabela1[[#This Row],[Vigência]]-$K$1,"EM BRANCO")</f>
        <v>EM BRANCO</v>
      </c>
    </row>
    <row r="57" spans="2:11" x14ac:dyDescent="0.3">
      <c r="B57" s="5">
        <v>56</v>
      </c>
      <c r="C57" s="5" t="s">
        <v>44</v>
      </c>
      <c r="D57" s="5"/>
      <c r="E57" s="5"/>
      <c r="F57" s="6"/>
      <c r="G57" s="5" t="s">
        <v>89</v>
      </c>
      <c r="H57" s="7" t="s">
        <v>15</v>
      </c>
      <c r="I57" s="7" t="s">
        <v>18</v>
      </c>
      <c r="J57" s="7" t="s">
        <v>56</v>
      </c>
      <c r="K57" s="8" t="str">
        <f>IF(Tabela1[[#This Row],[Vigência]]&lt;&gt;"",Tabela1[[#This Row],[Vigência]]-$K$1,"EM BRANCO")</f>
        <v>EM BRANCO</v>
      </c>
    </row>
    <row r="58" spans="2:11" x14ac:dyDescent="0.3">
      <c r="B58" s="5">
        <v>57</v>
      </c>
      <c r="C58" s="5" t="s">
        <v>45</v>
      </c>
      <c r="D58" s="5"/>
      <c r="E58" s="5"/>
      <c r="F58" s="6"/>
      <c r="G58" s="5" t="s">
        <v>27</v>
      </c>
      <c r="H58" s="7" t="s">
        <v>15</v>
      </c>
      <c r="I58" s="7" t="s">
        <v>18</v>
      </c>
      <c r="J58" s="7" t="s">
        <v>56</v>
      </c>
      <c r="K58" s="8" t="str">
        <f>IF(Tabela1[[#This Row],[Vigência]]&lt;&gt;"",Tabela1[[#This Row],[Vigência]]-$K$1,"EM BRANCO")</f>
        <v>EM BRANCO</v>
      </c>
    </row>
    <row r="59" spans="2:11" x14ac:dyDescent="0.3">
      <c r="B59" s="5">
        <v>58</v>
      </c>
      <c r="C59" s="5" t="s">
        <v>46</v>
      </c>
      <c r="D59" s="5"/>
      <c r="E59" s="5"/>
      <c r="F59" s="6"/>
      <c r="G59" s="5" t="s">
        <v>13</v>
      </c>
      <c r="H59" s="7" t="s">
        <v>15</v>
      </c>
      <c r="I59" s="7" t="s">
        <v>15</v>
      </c>
      <c r="J59" s="7" t="s">
        <v>56</v>
      </c>
      <c r="K59" s="8" t="str">
        <f>IF(Tabela1[[#This Row],[Vigência]]&lt;&gt;"",Tabela1[[#This Row],[Vigência]]-$K$1,"EM BRANCO")</f>
        <v>EM BRANCO</v>
      </c>
    </row>
    <row r="60" spans="2:11" x14ac:dyDescent="0.3">
      <c r="B60" s="5">
        <v>59</v>
      </c>
      <c r="C60" s="5" t="s">
        <v>83</v>
      </c>
      <c r="D60" s="5"/>
      <c r="E60" s="5" t="s">
        <v>2</v>
      </c>
      <c r="F60" s="6"/>
      <c r="G60" s="5" t="s">
        <v>13</v>
      </c>
      <c r="H60" s="7" t="s">
        <v>12</v>
      </c>
      <c r="I60" s="7" t="s">
        <v>12</v>
      </c>
      <c r="J60" s="7"/>
      <c r="K60" s="8" t="str">
        <f>IF(Tabela1[[#This Row],[Vigência]]&lt;&gt;"",Tabela1[[#This Row],[Vigência]]-$K$1,"EM BRANCO")</f>
        <v>EM BRANCO</v>
      </c>
    </row>
    <row r="61" spans="2:11" x14ac:dyDescent="0.3">
      <c r="B61" s="5">
        <v>60</v>
      </c>
      <c r="C61" s="5" t="s">
        <v>84</v>
      </c>
      <c r="D61" s="5"/>
      <c r="E61" s="5" t="s">
        <v>4</v>
      </c>
      <c r="F61" s="6"/>
      <c r="G61" s="5" t="s">
        <v>87</v>
      </c>
      <c r="H61" s="7" t="s">
        <v>12</v>
      </c>
      <c r="I61" s="7"/>
      <c r="J61" s="7"/>
      <c r="K61" s="8" t="str">
        <f>IF(Tabela1[[#This Row],[Vigência]]&lt;&gt;"",Tabela1[[#This Row],[Vigência]]-$K$1,"EM BRANCO")</f>
        <v>EM BRANCO</v>
      </c>
    </row>
    <row r="62" spans="2:11" x14ac:dyDescent="0.3">
      <c r="B62" s="5">
        <v>61</v>
      </c>
      <c r="C62" s="5" t="s">
        <v>51</v>
      </c>
      <c r="D62" s="5"/>
      <c r="E62" s="5"/>
      <c r="F62" s="6"/>
      <c r="G62" s="5" t="s">
        <v>27</v>
      </c>
      <c r="H62" s="7" t="s">
        <v>15</v>
      </c>
      <c r="I62" s="7" t="s">
        <v>18</v>
      </c>
      <c r="J62" s="7" t="s">
        <v>56</v>
      </c>
      <c r="K62" s="8" t="str">
        <f>IF(Tabela1[[#This Row],[Vigência]]&lt;&gt;"",Tabela1[[#This Row],[Vigência]]-$K$1,"EM BRANCO")</f>
        <v>EM BRANCO</v>
      </c>
    </row>
    <row r="63" spans="2:11" x14ac:dyDescent="0.3">
      <c r="B63" s="5">
        <v>62</v>
      </c>
      <c r="C63" s="5" t="s">
        <v>85</v>
      </c>
      <c r="D63" s="5"/>
      <c r="E63" s="5"/>
      <c r="F63" s="6"/>
      <c r="G63" s="5" t="s">
        <v>27</v>
      </c>
      <c r="H63" s="7"/>
      <c r="I63" s="7"/>
      <c r="J63" s="7"/>
      <c r="K63" s="8" t="str">
        <f>IF(Tabela1[[#This Row],[Vigência]]&lt;&gt;"",Tabela1[[#This Row],[Vigência]]-$K$1,"EM BRANCO")</f>
        <v>EM BRANCO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 de TI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2017-05-09T15:06:57Z</dcterms:modified>
</cp:coreProperties>
</file>