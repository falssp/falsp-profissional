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/>
  <mc:AlternateContent xmlns:mc="http://schemas.openxmlformats.org/markup-compatibility/2006">
    <mc:Choice Requires="x15">
      <x15ac:absPath xmlns:x15ac="http://schemas.microsoft.com/office/spreadsheetml/2010/11/ac" url="C:\Users\lilly\Google Drive\Smiles\Projetos\2017-03 - COBIT Smiles\Assegurar a Segurança do Sistema\v1.1\"/>
    </mc:Choice>
  </mc:AlternateContent>
  <bookViews>
    <workbookView xWindow="0" yWindow="0" windowWidth="20490" windowHeight="7530"/>
  </bookViews>
  <sheets>
    <sheet name="Planilha1" sheetId="1" r:id="rId1"/>
    <sheet name="jan-17" sheetId="3" r:id="rId2"/>
    <sheet name="fev-17" sheetId="2" r:id="rId3"/>
    <sheet name="mar-17" sheetId="4" r:id="rId4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" i="1" l="1"/>
  <c r="O4" i="1"/>
  <c r="Q12" i="1" l="1"/>
  <c r="N12" i="1"/>
  <c r="K12" i="1"/>
  <c r="F5" i="1"/>
  <c r="H5" i="1"/>
  <c r="H4" i="1"/>
  <c r="F4" i="1"/>
</calcChain>
</file>

<file path=xl/comments1.xml><?xml version="1.0" encoding="utf-8"?>
<comments xmlns="http://schemas.openxmlformats.org/spreadsheetml/2006/main">
  <authors>
    <author>Claudia Montagnoli</author>
  </authors>
  <commentList>
    <comment ref="P5" authorId="0" shapeId="0">
      <text>
        <r>
          <rPr>
            <b/>
            <sz val="9"/>
            <color indexed="81"/>
            <rFont val="Segoe UI"/>
            <family val="2"/>
          </rPr>
          <t>Claudia Montagnoli:</t>
        </r>
        <r>
          <rPr>
            <sz val="9"/>
            <color indexed="81"/>
            <rFont val="Segoe UI"/>
            <family val="2"/>
          </rPr>
          <t xml:space="preserve">
Patche atualizado e não aplicado</t>
        </r>
      </text>
    </comment>
    <comment ref="S5" authorId="0" shapeId="0">
      <text>
        <r>
          <rPr>
            <b/>
            <sz val="9"/>
            <color indexed="81"/>
            <rFont val="Segoe UI"/>
            <family val="2"/>
          </rPr>
          <t>Claudia Montagnoli:</t>
        </r>
        <r>
          <rPr>
            <sz val="9"/>
            <color indexed="81"/>
            <rFont val="Segoe UI"/>
            <family val="2"/>
          </rPr>
          <t xml:space="preserve">
Patche atualizado e não aplicado</t>
        </r>
      </text>
    </comment>
  </commentList>
</comments>
</file>

<file path=xl/sharedStrings.xml><?xml version="1.0" encoding="utf-8"?>
<sst xmlns="http://schemas.openxmlformats.org/spreadsheetml/2006/main" count="41" uniqueCount="27">
  <si>
    <t>All Computers</t>
  </si>
  <si>
    <t>Total Devices</t>
  </si>
  <si>
    <t>Qtd.</t>
  </si>
  <si>
    <t>%</t>
  </si>
  <si>
    <t>109/113</t>
  </si>
  <si>
    <t>41/154</t>
  </si>
  <si>
    <t>45/206</t>
  </si>
  <si>
    <t>34/146</t>
  </si>
  <si>
    <t>157/161</t>
  </si>
  <si>
    <t>EP clients active</t>
  </si>
  <si>
    <t>Inactive or not installed</t>
  </si>
  <si>
    <t>Inactive</t>
  </si>
  <si>
    <t>Protected</t>
  </si>
  <si>
    <t>Green</t>
  </si>
  <si>
    <t>Red + Yellow</t>
  </si>
  <si>
    <t>113/116</t>
  </si>
  <si>
    <t>45/161</t>
  </si>
  <si>
    <t>Quantidade e Percentual de Equipamentos inativos ou não instalados / total de Equipamentos</t>
  </si>
  <si>
    <t>Quantidade e Percentual de Equipamentos protegidos / total de Equipamentos ativos</t>
  </si>
  <si>
    <t>Quantidade e Percentual de Equipamentos atualizados</t>
  </si>
  <si>
    <t>Quantidade e Percentual de Equipamentos NÃO atualizados ou NÃO aplicados</t>
  </si>
  <si>
    <t>49/141</t>
  </si>
  <si>
    <t>91/141</t>
  </si>
  <si>
    <t>112/146</t>
  </si>
  <si>
    <t>Total</t>
  </si>
  <si>
    <t>Gerenciamento de Patches (Indicador Trimestral)</t>
  </si>
  <si>
    <t>Gerenciamento de Antivírus (Indicador Mensal)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</si>
</sst>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1" fontId="0" fillId="0" borderId="0" xfId="1" quotePrefix="1" applyNumberFormat="1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9" fontId="3" fillId="0" borderId="0" xfId="1" applyFont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9" fontId="6" fillId="0" borderId="0" xfId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9" fontId="3" fillId="0" borderId="0" xfId="1" applyFont="1" applyAlignment="1">
      <alignment horizontal="center" vertical="center"/>
    </xf>
    <xf numFmtId="9" fontId="6" fillId="0" borderId="0" xfId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4" borderId="0" xfId="0" applyFont="1" applyFill="1" applyAlignment="1">
      <alignment vertical="center"/>
    </xf>
    <xf numFmtId="17" fontId="2" fillId="4" borderId="0" xfId="0" applyNumberFormat="1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164" fontId="0" fillId="0" borderId="0" xfId="1" applyNumberFormat="1" applyFont="1" applyFill="1" applyAlignment="1">
      <alignment horizontal="center" vertical="center"/>
    </xf>
    <xf numFmtId="17" fontId="2" fillId="0" borderId="0" xfId="0" applyNumberFormat="1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9" fontId="0" fillId="0" borderId="0" xfId="1" applyFont="1" applyFill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17" fontId="2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496135</xdr:colOff>
      <xdr:row>31</xdr:row>
      <xdr:rowOff>134166</xdr:rowOff>
    </xdr:to>
    <xdr:pic>
      <xdr:nvPicPr>
        <xdr:cNvPr id="2" name="Imagem 1" descr="Recorte de Tela">
          <a:extLst>
            <a:ext uri="{FF2B5EF4-FFF2-40B4-BE49-F238E27FC236}">
              <a16:creationId xmlns:a16="http://schemas.microsoft.com/office/drawing/2014/main" id="{9AB39B73-39CD-4122-B2C3-07D193E29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5982535" cy="58491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2049" name="AutoShape 1" descr="Exibindo image002.jpg">
          <a:extLst>
            <a:ext uri="{FF2B5EF4-FFF2-40B4-BE49-F238E27FC236}">
              <a16:creationId xmlns:a16="http://schemas.microsoft.com/office/drawing/2014/main" id="{059FFD57-B45C-4EE8-9821-17FF630F2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15</xdr:col>
      <xdr:colOff>27505</xdr:colOff>
      <xdr:row>24</xdr:row>
      <xdr:rowOff>161357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3963911-31ED-4BC6-BD25-B3A50022F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8561905" cy="4542857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16</xdr:col>
      <xdr:colOff>304800</xdr:colOff>
      <xdr:row>2</xdr:row>
      <xdr:rowOff>114300</xdr:rowOff>
    </xdr:to>
    <xdr:sp macro="" textlink="">
      <xdr:nvSpPr>
        <xdr:cNvPr id="2050" name="AutoShape 2" descr="Exibindo image009.jpg">
          <a:extLst>
            <a:ext uri="{FF2B5EF4-FFF2-40B4-BE49-F238E27FC236}">
              <a16:creationId xmlns:a16="http://schemas.microsoft.com/office/drawing/2014/main" id="{DF2687EE-131A-407D-89C6-1605CE58CB3D}"/>
            </a:ext>
          </a:extLst>
        </xdr:cNvPr>
        <xdr:cNvSpPr>
          <a:spLocks noChangeAspect="1" noChangeArrowheads="1"/>
        </xdr:cNvSpPr>
      </xdr:nvSpPr>
      <xdr:spPr bwMode="auto">
        <a:xfrm>
          <a:off x="9753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1</xdr:row>
      <xdr:rowOff>0</xdr:rowOff>
    </xdr:from>
    <xdr:to>
      <xdr:col>30</xdr:col>
      <xdr:colOff>256076</xdr:colOff>
      <xdr:row>29</xdr:row>
      <xdr:rowOff>170762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BD158F7-2504-4DCE-95A6-F0081C49C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53600" y="190500"/>
          <a:ext cx="8790476" cy="55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15</xdr:col>
      <xdr:colOff>27505</xdr:colOff>
      <xdr:row>49</xdr:row>
      <xdr:rowOff>161357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7566CB2-8BB1-4E5C-9A41-C1F69D24F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4953000"/>
          <a:ext cx="8561905" cy="45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T20"/>
  <sheetViews>
    <sheetView showGridLines="0" tabSelected="1" zoomScale="85" zoomScaleNormal="85" workbookViewId="0">
      <selection activeCell="G28" sqref="G28"/>
    </sheetView>
  </sheetViews>
  <sheetFormatPr defaultColWidth="9.140625" defaultRowHeight="15" x14ac:dyDescent="0.25"/>
  <cols>
    <col min="1" max="1" width="2.140625" style="1" customWidth="1"/>
    <col min="2" max="2" width="86.42578125" style="1" bestFit="1" customWidth="1"/>
    <col min="3" max="8" width="9.140625" style="2"/>
    <col min="9" max="9" width="3" style="24" customWidth="1"/>
    <col min="10" max="10" width="18.42578125" style="12" bestFit="1" customWidth="1"/>
    <col min="11" max="11" width="9.28515625" style="2" customWidth="1"/>
    <col min="12" max="13" width="3.7109375" style="12" customWidth="1"/>
    <col min="14" max="14" width="9.28515625" style="2" customWidth="1"/>
    <col min="15" max="15" width="3.7109375" style="2" customWidth="1"/>
    <col min="16" max="16" width="4.28515625" style="2" customWidth="1"/>
    <col min="17" max="17" width="9.28515625" style="2" customWidth="1"/>
    <col min="18" max="18" width="3.7109375" style="2" customWidth="1"/>
    <col min="19" max="19" width="4.28515625" style="2" customWidth="1"/>
    <col min="20" max="20" width="9.140625" style="2"/>
    <col min="21" max="16384" width="9.140625" style="1"/>
  </cols>
  <sheetData>
    <row r="2" spans="2:19" x14ac:dyDescent="0.25">
      <c r="C2" s="29">
        <v>42736</v>
      </c>
      <c r="D2" s="29"/>
      <c r="E2" s="29">
        <v>42767</v>
      </c>
      <c r="F2" s="29"/>
      <c r="G2" s="29">
        <v>42795</v>
      </c>
      <c r="H2" s="29"/>
      <c r="I2" s="26"/>
      <c r="K2" s="30">
        <v>42736</v>
      </c>
      <c r="L2" s="30"/>
      <c r="M2" s="30"/>
      <c r="N2" s="30">
        <v>42767</v>
      </c>
      <c r="O2" s="30"/>
      <c r="P2" s="30"/>
      <c r="Q2" s="30">
        <v>42795</v>
      </c>
      <c r="R2" s="30"/>
      <c r="S2" s="30"/>
    </row>
    <row r="3" spans="2:19" x14ac:dyDescent="0.25">
      <c r="B3" s="19" t="s">
        <v>25</v>
      </c>
      <c r="C3" s="20" t="s">
        <v>2</v>
      </c>
      <c r="D3" s="20" t="s">
        <v>3</v>
      </c>
      <c r="E3" s="20" t="s">
        <v>2</v>
      </c>
      <c r="F3" s="20" t="s">
        <v>3</v>
      </c>
      <c r="G3" s="20" t="s">
        <v>2</v>
      </c>
      <c r="H3" s="20" t="s">
        <v>3</v>
      </c>
      <c r="I3" s="26"/>
      <c r="J3" s="22"/>
      <c r="K3" s="21"/>
      <c r="L3" s="22"/>
      <c r="M3" s="22"/>
      <c r="N3" s="20" t="s">
        <v>24</v>
      </c>
      <c r="O3" s="20"/>
      <c r="P3" s="20"/>
      <c r="Q3" s="20" t="s">
        <v>24</v>
      </c>
      <c r="R3" s="20"/>
      <c r="S3" s="20"/>
    </row>
    <row r="4" spans="2:19" x14ac:dyDescent="0.25">
      <c r="B4" s="1" t="s">
        <v>19</v>
      </c>
      <c r="C4" s="4"/>
      <c r="D4" s="5"/>
      <c r="E4" s="6" t="s">
        <v>21</v>
      </c>
      <c r="F4" s="7">
        <f>N4/N6</f>
        <v>0.35</v>
      </c>
      <c r="G4" s="6" t="s">
        <v>7</v>
      </c>
      <c r="H4" s="7">
        <f>Q4/Q6</f>
        <v>0.23287671232876711</v>
      </c>
      <c r="I4" s="25"/>
      <c r="J4" s="8" t="s">
        <v>13</v>
      </c>
      <c r="K4" s="14"/>
      <c r="L4" s="8"/>
      <c r="M4" s="8"/>
      <c r="N4" s="2">
        <v>49</v>
      </c>
      <c r="O4" s="27">
        <f>N4</f>
        <v>49</v>
      </c>
      <c r="Q4" s="2">
        <v>34</v>
      </c>
      <c r="R4" s="27">
        <f>Q4</f>
        <v>34</v>
      </c>
    </row>
    <row r="5" spans="2:19" x14ac:dyDescent="0.25">
      <c r="B5" s="1" t="s">
        <v>20</v>
      </c>
      <c r="C5" s="4"/>
      <c r="D5" s="5"/>
      <c r="E5" s="6" t="s">
        <v>22</v>
      </c>
      <c r="F5" s="7">
        <f>O5/N6</f>
        <v>6.4285714285714279E-2</v>
      </c>
      <c r="G5" s="6" t="s">
        <v>23</v>
      </c>
      <c r="H5" s="7">
        <f>R5/Q6</f>
        <v>5.4794520547945202E-2</v>
      </c>
      <c r="I5" s="25"/>
      <c r="J5" s="9" t="s">
        <v>14</v>
      </c>
      <c r="K5" s="15"/>
      <c r="L5" s="9"/>
      <c r="M5" s="9"/>
      <c r="N5" s="2">
        <v>91</v>
      </c>
      <c r="O5" s="10">
        <v>9</v>
      </c>
      <c r="P5" s="11">
        <v>82</v>
      </c>
      <c r="Q5" s="2">
        <v>112</v>
      </c>
      <c r="R5" s="10">
        <v>8</v>
      </c>
      <c r="S5" s="11">
        <v>104</v>
      </c>
    </row>
    <row r="6" spans="2:19" x14ac:dyDescent="0.25">
      <c r="C6" s="29"/>
      <c r="D6" s="29"/>
      <c r="E6" s="29"/>
      <c r="F6" s="29"/>
      <c r="G6" s="29"/>
      <c r="H6" s="29"/>
      <c r="I6" s="28"/>
      <c r="J6" s="13" t="s">
        <v>0</v>
      </c>
      <c r="K6" s="16"/>
      <c r="L6" s="13"/>
      <c r="M6" s="13"/>
      <c r="N6" s="3">
        <v>140</v>
      </c>
      <c r="O6" s="3"/>
      <c r="P6" s="3"/>
      <c r="Q6" s="3">
        <v>146</v>
      </c>
      <c r="R6" s="3"/>
      <c r="S6" s="3"/>
    </row>
    <row r="7" spans="2:19" x14ac:dyDescent="0.25">
      <c r="B7" s="19" t="s">
        <v>26</v>
      </c>
      <c r="C7" s="20" t="s">
        <v>2</v>
      </c>
      <c r="D7" s="20" t="s">
        <v>3</v>
      </c>
      <c r="E7" s="20" t="s">
        <v>2</v>
      </c>
      <c r="F7" s="20" t="s">
        <v>3</v>
      </c>
      <c r="G7" s="20" t="s">
        <v>2</v>
      </c>
      <c r="H7" s="20" t="s">
        <v>3</v>
      </c>
      <c r="I7" s="26"/>
      <c r="J7" s="22"/>
      <c r="K7" s="33" t="s">
        <v>24</v>
      </c>
      <c r="L7" s="33"/>
      <c r="M7" s="33"/>
      <c r="N7" s="33" t="s">
        <v>24</v>
      </c>
      <c r="O7" s="33"/>
      <c r="P7" s="33"/>
      <c r="Q7" s="33" t="s">
        <v>24</v>
      </c>
      <c r="R7" s="33"/>
      <c r="S7" s="33"/>
    </row>
    <row r="8" spans="2:19" x14ac:dyDescent="0.25">
      <c r="B8" s="23" t="s">
        <v>18</v>
      </c>
      <c r="C8" s="24" t="s">
        <v>15</v>
      </c>
      <c r="D8" s="25">
        <v>0.97413793103448276</v>
      </c>
      <c r="E8" s="24" t="s">
        <v>4</v>
      </c>
      <c r="F8" s="25">
        <v>0.96460176991150437</v>
      </c>
      <c r="G8" s="24" t="s">
        <v>8</v>
      </c>
      <c r="H8" s="25">
        <v>0.97399999999999998</v>
      </c>
      <c r="I8" s="25"/>
      <c r="J8" s="8" t="s">
        <v>9</v>
      </c>
      <c r="K8" s="31">
        <v>116</v>
      </c>
      <c r="L8" s="31"/>
      <c r="M8" s="31"/>
      <c r="N8" s="31">
        <v>113</v>
      </c>
      <c r="O8" s="31"/>
      <c r="P8" s="31"/>
      <c r="Q8" s="31">
        <v>161</v>
      </c>
      <c r="R8" s="31"/>
      <c r="S8" s="31"/>
    </row>
    <row r="9" spans="2:19" x14ac:dyDescent="0.25">
      <c r="B9" s="23" t="s">
        <v>17</v>
      </c>
      <c r="C9" s="24" t="s">
        <v>16</v>
      </c>
      <c r="D9" s="25">
        <v>0.27950310559006208</v>
      </c>
      <c r="E9" s="24" t="s">
        <v>5</v>
      </c>
      <c r="F9" s="25">
        <v>0.26623376623376621</v>
      </c>
      <c r="G9" s="24" t="s">
        <v>6</v>
      </c>
      <c r="H9" s="25">
        <v>0.21844660194174756</v>
      </c>
      <c r="I9" s="25"/>
      <c r="J9" s="8" t="s">
        <v>12</v>
      </c>
      <c r="K9" s="31">
        <v>113</v>
      </c>
      <c r="L9" s="31"/>
      <c r="M9" s="31"/>
      <c r="N9" s="31">
        <v>109</v>
      </c>
      <c r="O9" s="31"/>
      <c r="P9" s="31"/>
      <c r="Q9" s="31">
        <v>157</v>
      </c>
      <c r="R9" s="31"/>
      <c r="S9" s="31"/>
    </row>
    <row r="10" spans="2:19" x14ac:dyDescent="0.25">
      <c r="C10" s="6"/>
      <c r="D10" s="7"/>
      <c r="E10" s="6"/>
      <c r="F10" s="7"/>
      <c r="G10" s="6"/>
      <c r="H10" s="7"/>
      <c r="I10" s="25"/>
      <c r="J10" s="8" t="s">
        <v>10</v>
      </c>
      <c r="K10" s="31">
        <v>45</v>
      </c>
      <c r="L10" s="31"/>
      <c r="M10" s="31"/>
      <c r="N10" s="31">
        <v>41</v>
      </c>
      <c r="O10" s="31"/>
      <c r="P10" s="31"/>
      <c r="Q10" s="31">
        <v>45</v>
      </c>
      <c r="R10" s="31"/>
      <c r="S10" s="31"/>
    </row>
    <row r="11" spans="2:19" x14ac:dyDescent="0.25">
      <c r="C11" s="6"/>
      <c r="D11" s="7"/>
      <c r="E11" s="6"/>
      <c r="F11" s="7"/>
      <c r="G11" s="6"/>
      <c r="H11" s="7"/>
      <c r="I11" s="25"/>
      <c r="J11" s="8" t="s">
        <v>11</v>
      </c>
      <c r="K11" s="31">
        <v>8</v>
      </c>
      <c r="L11" s="31"/>
      <c r="M11" s="31"/>
      <c r="N11" s="31">
        <v>10</v>
      </c>
      <c r="O11" s="31"/>
      <c r="P11" s="31"/>
      <c r="Q11" s="31">
        <v>3</v>
      </c>
      <c r="R11" s="31"/>
      <c r="S11" s="31"/>
    </row>
    <row r="12" spans="2:19" x14ac:dyDescent="0.25">
      <c r="J12" s="17" t="s">
        <v>1</v>
      </c>
      <c r="K12" s="32">
        <f>SUM(K8,K10)</f>
        <v>161</v>
      </c>
      <c r="L12" s="32"/>
      <c r="M12" s="32"/>
      <c r="N12" s="31">
        <f>SUM(N8,N10)</f>
        <v>154</v>
      </c>
      <c r="O12" s="31"/>
      <c r="P12" s="31"/>
      <c r="Q12" s="31">
        <f>SUM(Q8,Q10)</f>
        <v>206</v>
      </c>
      <c r="R12" s="31"/>
      <c r="S12" s="31"/>
    </row>
    <row r="13" spans="2:19" x14ac:dyDescent="0.25">
      <c r="J13" s="18"/>
      <c r="K13" s="3"/>
      <c r="L13" s="18"/>
      <c r="M13" s="18"/>
      <c r="N13" s="3"/>
      <c r="O13" s="3"/>
      <c r="P13" s="3"/>
      <c r="Q13" s="3"/>
      <c r="R13" s="3"/>
    </row>
    <row r="15" spans="2:19" x14ac:dyDescent="0.25">
      <c r="N15" s="5"/>
    </row>
    <row r="16" spans="2:19" x14ac:dyDescent="0.25">
      <c r="N16" s="7"/>
      <c r="Q16" s="7"/>
    </row>
    <row r="17" spans="6:18" x14ac:dyDescent="0.25">
      <c r="N17" s="7"/>
      <c r="Q17" s="7"/>
    </row>
    <row r="19" spans="6:18" x14ac:dyDescent="0.25">
      <c r="R19" s="5"/>
    </row>
    <row r="20" spans="6:18" x14ac:dyDescent="0.25">
      <c r="F20" s="7"/>
      <c r="N20" s="7"/>
      <c r="Q20" s="7"/>
    </row>
  </sheetData>
  <mergeCells count="27">
    <mergeCell ref="Q8:S8"/>
    <mergeCell ref="Q9:S9"/>
    <mergeCell ref="K8:M8"/>
    <mergeCell ref="K9:M9"/>
    <mergeCell ref="K10:M10"/>
    <mergeCell ref="K11:M11"/>
    <mergeCell ref="K12:M12"/>
    <mergeCell ref="N2:P2"/>
    <mergeCell ref="Q2:S2"/>
    <mergeCell ref="Q10:S10"/>
    <mergeCell ref="Q11:S11"/>
    <mergeCell ref="Q12:S12"/>
    <mergeCell ref="N8:P8"/>
    <mergeCell ref="N9:P9"/>
    <mergeCell ref="N10:P10"/>
    <mergeCell ref="N11:P11"/>
    <mergeCell ref="N12:P12"/>
    <mergeCell ref="K7:M7"/>
    <mergeCell ref="N7:P7"/>
    <mergeCell ref="Q7:S7"/>
    <mergeCell ref="C6:D6"/>
    <mergeCell ref="E6:F6"/>
    <mergeCell ref="G6:H6"/>
    <mergeCell ref="K2:M2"/>
    <mergeCell ref="C2:D2"/>
    <mergeCell ref="E2:F2"/>
    <mergeCell ref="G2:H2"/>
  </mergeCells>
  <pageMargins left="0.511811024" right="0.511811024" top="0.78740157499999996" bottom="0.78740157499999996" header="0.31496062000000002" footer="0.31496062000000002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Normal="100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jan-17</vt:lpstr>
      <vt:lpstr>fev-17</vt:lpstr>
      <vt:lpstr>mar-17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Montagnoli</dc:creator>
  <cp:lastModifiedBy>lilly costa</cp:lastModifiedBy>
  <dcterms:created xsi:type="dcterms:W3CDTF">2017-04-07T18:10:01Z</dcterms:created>
  <dcterms:modified xsi:type="dcterms:W3CDTF">2017-04-24T18:43:20Z</dcterms:modified>
</cp:coreProperties>
</file>