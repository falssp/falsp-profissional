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2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calcPr calcId="162913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8" i="9" l="1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8" i="7" l="1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6" i="6" l="1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8" i="6"/>
  <c r="E67" i="6"/>
  <c r="E7" i="6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<sst xmlns="http://schemas.openxmlformats.org/spreadsheetml/2006/main" count="793" uniqueCount="260">
  <si>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</si>
  <si>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</si>
  <si>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</si>
  <si>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</si>
  <si>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</si>
  <si>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</si>
  <si>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</si>
  <si>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</si>
  <si>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</si>
  <si>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</si>
  <si>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</si>
  <si>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</si>
  <si>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</si>
  <si>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</si>
  <si>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</si>
  <si>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</si>
  <si>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</si>
  <si>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</si>
  <si>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</si>
  <si>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</si>
  <si>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</si>
  <si>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</si>
  <si>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</si>
  <si>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</si>
  <si>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</si>
  <si>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</si>
  <si>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</si>
  <si>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</si>
  <si>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</si>
  <si>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</si>
  <si>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</si>
  <si>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</si>
  <si>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</si>
  <si>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</si>
  <si>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</si>
  <si>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</si>
  <si>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</si>
  <si>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</si>
  <si>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</si>
  <si>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</si>
  <si>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</si>
  <si>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</si>
  <si>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</si>
  <si>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</si>
  <si>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</si>
  <si>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</si>
  <si>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</si>
  <si>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</si>
  <si>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</si>
  <si>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</si>
  <si>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</si>
  <si>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</si>
  <si>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</si>
  <si>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</si>
  <si>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</si>
  <si>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</si>
  <si>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</si>
  <si>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</si>
  <si>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</si>
  <si>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</si>
  <si>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</si>
  <si>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</si>
  <si>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</si>
  <si>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</si>
  <si>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</si>
  <si>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</si>
  <si>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</si>
  <si>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</si>
  <si>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</si>
  <si>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</si>
  <si>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</si>
  <si>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</si>
  <si>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</si>
  <si>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</si>
  <si>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</si>
  <si>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</si>
  <si>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</si>
  <si>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</si>
  <si>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</si>
  <si>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</si>
  <si>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</si>
  <si>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</si>
  <si>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</si>
  <si>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</si>
  <si>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</si>
  <si>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</si>
  <si>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</si>
  <si>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</si>
  <si>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</si>
  <si>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</si>
  <si>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</si>
  <si>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</si>
  <si>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</si>
  <si>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</si>
  <si>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</si>
  <si>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</si>
  <si>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</si>
  <si>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</si>
  <si>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</si>
  <si>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</si>
  <si>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</si>
  <si>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</si>
  <si>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</si>
  <si>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</si>
  <si>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</si>
  <si>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</si>
  <si>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</si>
  <si>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</si>
  <si>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</si>
  <si>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</si>
  <si>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</si>
  <si>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</si>
  <si>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</si>
  <si>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</si>
  <si>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</si>
  <si>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</si>
  <si>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</si>
  <si>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</si>
  <si>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</si>
  <si>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</si>
  <si>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</si>
  <si>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</si>
  <si>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</si>
  <si>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</si>
  <si>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</si>
  <si>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</si>
  <si>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</si>
  <si>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Instalação / Configuração de Client VPN.</t>
  </si>
  <si>
    <t>Erro de conexão VPN.</t>
  </si>
  <si>
    <t>VPN não conecta, Erro de VPN.</t>
  </si>
  <si>
    <t>Anexar e-mail com aprovação do acesso VPN ou informar JIRA que autorizou o acesso.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</si>
  <si>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</si>
  <si>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</si>
  <si>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</si>
  <si>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</si>
  <si>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</si>
  <si>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</si>
  <si>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</si>
  <si>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</si>
  <si>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Mapeamento de diretório ou pasta de rede.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</si>
  <si>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</si>
  <si>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</si>
  <si>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</si>
  <si>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</si>
  <si>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</si>
  <si>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</si>
  <si>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</si>
  <si>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</si>
  <si>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</si>
  <si>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</si>
  <si>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Instalação e Configuração de Software (básico).</t>
  </si>
  <si>
    <t>Instalação ou configuração de softwares básicos (Internet Explorer, Chrome, MS Office, Project, Visio, etc.).</t>
  </si>
  <si>
    <t>TI pra TI (Infra)</t>
  </si>
  <si>
    <t>MIDDLEWARE</t>
  </si>
  <si>
    <t>Lentidão ou Indisponibilidade</t>
  </si>
  <si>
    <t>Deploy</t>
  </si>
  <si>
    <t>Atualização de Configuração de Aplicação</t>
  </si>
  <si>
    <t>Erro ou Falha em Componentes</t>
  </si>
  <si>
    <t>Central de Atendimento</t>
  </si>
  <si>
    <t>Erros Siebel</t>
  </si>
  <si>
    <t>Erros Site</t>
  </si>
  <si>
    <t>Voucher</t>
  </si>
  <si>
    <t>Revalidação</t>
  </si>
  <si>
    <t>Emissão</t>
  </si>
  <si>
    <t>Transferência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</si>
  <si>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</si>
  <si>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</si>
  <si>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</si>
  <si>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</si>
  <si>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</si>
  <si>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</si>
  <si>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</si>
  <si>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</si>
  <si>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Crédito Retroativo</t>
  </si>
  <si>
    <t>Anexar a planilha padrão de chamados de promoção.</t>
  </si>
  <si>
    <t>Cobrança</t>
  </si>
  <si>
    <t>Merge</t>
  </si>
  <si>
    <t>Transação</t>
  </si>
  <si>
    <t>Tier</t>
  </si>
  <si>
    <t>Saldo Divergente</t>
  </si>
  <si>
    <t>Cliente cobrado erroneamente.</t>
  </si>
  <si>
    <t>Saldo de milhas do cliente apresenta inconsistências.</t>
  </si>
  <si>
    <t>Cliente não está passando pela recorrência de pagamento.</t>
  </si>
  <si>
    <t>Problema no processo de merge de clientes.</t>
  </si>
  <si>
    <t>Erro no processamento de transações.</t>
  </si>
  <si>
    <t>Erro no processamento de Tier ou datas erradas (prazos de expiração dos Tiers).</t>
  </si>
  <si>
    <t>Problemas no Smiles Pay.</t>
  </si>
  <si>
    <t>Incidente_Crítico</t>
  </si>
  <si>
    <t>Indisponibilidade Siebel e/ou Smiles Pay</t>
  </si>
  <si>
    <t>Siebel e/ou Smiles Pay lento ou indisponível para TODA a Central de Atendimento.</t>
  </si>
  <si>
    <t>Erros Amadeus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</si>
  <si>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</si>
  <si>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</si>
  <si>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</si>
  <si>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</si>
  <si>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Outros erros.</t>
  </si>
  <si>
    <t>Produtos - Compra, Reativação, Transferência, Clube Smiles</t>
  </si>
  <si>
    <t>Erros de site relacionados aos produtos (Compra, Reativação, Transferência, Clube Smiles)</t>
  </si>
  <si>
    <t>Processo de Emissão G3 - Trecho/Cliente Específico</t>
  </si>
  <si>
    <t>Processo de Emissão G3 - GERAL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</si>
  <si>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</si>
  <si>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</si>
  <si>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</si>
  <si>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Processo de Emissão Congênere - Trecho/Cliente Específico</t>
  </si>
  <si>
    <t>Processo de Emissão Congênere - GERAL</t>
  </si>
  <si>
    <t>Login - Cliente Único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</si>
  <si>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</si>
  <si>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</si>
  <si>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Login - GERAL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</si>
  <si>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</si>
  <si>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</si>
  <si>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</si>
  <si>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</si>
  <si>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</si>
  <si>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- Cliente Ùnico</t>
  </si>
  <si>
    <t>Apenas um cliente com problemas para solicitar seus créditos retroativos.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</si>
  <si>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</si>
  <si>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Crédito Retroativo - GERAL</t>
  </si>
  <si>
    <t>TODOS os clientes com problemas para solicitar seus créditos retroativos.</t>
  </si>
  <si>
    <t>Conceder Acesso ao AD</t>
  </si>
  <si>
    <t>Revogar Acesso ao AD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</si>
  <si>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</si>
  <si>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</si>
  <si>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</si>
  <si>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</si>
  <si>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</si>
  <si>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</si>
  <si>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</si>
  <si>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</si>
  <si>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</si>
  <si>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</si>
  <si>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</si>
  <si>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</si>
  <si>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</si>
  <si>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</si>
  <si>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Perfil de Acesso ao Siebel ou Outras Ferramentas.</t>
  </si>
  <si>
    <t>Solicitação de alteração de perfil de acesso ao Siebel ou outras Ferramentas.</t>
  </si>
  <si>
    <t>Alterar Permissionamento específicos</t>
  </si>
  <si>
    <t>Solicitação de alteração de permissionamentos específicos em Ferramentas.</t>
  </si>
  <si>
    <t>2 dias úteis</t>
  </si>
  <si>
    <t>4 horas</t>
  </si>
  <si>
    <t>Alta</t>
  </si>
  <si>
    <t>Usuário solicita reparo nos seu periféricos, será feito a vistoria para saber se deu algum problema no equipamento ou foi mal uso, se é problema no periférico será efetuado a troca, se não o colaborador ficará sem.</t>
  </si>
  <si>
    <t>O colaborador solicita reparo em seu laptop, será feito os primeiros reparos e se persistir fazemos a formatação.</t>
  </si>
  <si>
    <t>Solicitação é feito junto ao de acordo do seu gestor.</t>
  </si>
  <si>
    <t>Perda ou Roubo de laptop ou periféricos, e-mail com a solicitação de um novo equipamento junto com o Boletim de Ocorrência anexado.</t>
  </si>
  <si>
    <t>Apenas solicitação do colaborador.</t>
  </si>
  <si>
    <t>Usuário nos informa que está com problemas para acessar a rede e fazemos os reparos.</t>
  </si>
  <si>
    <t>Para instalção de software apenas a solicitação do usuário, mas para alguns em específico precisa do de acordo do gestor, é o caso do Vísio, Project, que tem um limite de licenças.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</si>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</sst>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10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38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7" t="s">
        <v>1</v>
      </c>
      <c r="D2" s="47"/>
      <c r="E2" s="47"/>
      <c r="F2" s="47"/>
      <c r="G2" s="47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8" t="s">
        <v>7</v>
      </c>
      <c r="D3" s="48"/>
      <c r="E3" s="48"/>
      <c r="F3" s="48"/>
      <c r="G3" s="48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8"/>
      <c r="D4" s="48"/>
      <c r="E4" s="48"/>
      <c r="F4" s="48"/>
      <c r="G4" s="48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7"/>
  <sheetViews>
    <sheetView showGridLines="0" zoomScaleNormal="100" workbookViewId="0">
      <pane xSplit="3" ySplit="6" topLeftCell="K28" activePane="bottomRight" state="frozen"/>
      <selection pane="topRight" activeCell="D1" sqref="D1"/>
      <selection pane="bottomLeft" activeCell="A7" sqref="A7"/>
      <selection pane="bottomRight" activeCell="M27" sqref="M2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56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x14ac:dyDescent="0.25">
      <c r="A30" s="35" t="s">
        <v>72</v>
      </c>
      <c r="B30" s="35" t="s">
        <v>8</v>
      </c>
      <c r="C30" s="21"/>
      <c r="D30" s="24"/>
      <c r="E30" s="40">
        <f t="shared" si="0"/>
        <v>0</v>
      </c>
      <c r="F30" s="21"/>
      <c r="G30" s="21"/>
      <c r="H30" s="21"/>
      <c r="I30" s="22"/>
      <c r="J30" s="22"/>
      <c r="K30" s="23" t="s">
        <v>15</v>
      </c>
      <c r="L30" s="23"/>
      <c r="M30" s="24"/>
    </row>
    <row r="31" spans="1:13" s="25" customFormat="1" x14ac:dyDescent="0.25">
      <c r="A31" s="35" t="s">
        <v>72</v>
      </c>
      <c r="B31" s="35" t="s">
        <v>31</v>
      </c>
      <c r="C31" s="21"/>
      <c r="D31" s="24"/>
      <c r="E31" s="40">
        <f t="shared" si="0"/>
        <v>0</v>
      </c>
      <c r="F31" s="21"/>
      <c r="G31" s="21"/>
      <c r="H31" s="21"/>
      <c r="I31" s="22"/>
      <c r="J31" s="22"/>
      <c r="K31" s="23" t="s">
        <v>15</v>
      </c>
      <c r="L31" s="23"/>
      <c r="M31" s="24"/>
    </row>
    <row r="32" spans="1:13" s="25" customFormat="1" x14ac:dyDescent="0.25">
      <c r="A32" s="35" t="s">
        <v>72</v>
      </c>
      <c r="B32" s="35" t="s">
        <v>33</v>
      </c>
      <c r="C32" s="21"/>
      <c r="D32" s="24"/>
      <c r="E32" s="40">
        <f t="shared" si="0"/>
        <v>0</v>
      </c>
      <c r="F32" s="21"/>
      <c r="G32" s="21"/>
      <c r="H32" s="21"/>
      <c r="I32" s="22"/>
      <c r="J32" s="22"/>
      <c r="K32" s="23" t="s">
        <v>15</v>
      </c>
      <c r="L32" s="23"/>
      <c r="M32" s="24"/>
    </row>
    <row r="33" spans="1:13" s="25" customFormat="1" x14ac:dyDescent="0.25">
      <c r="A33" s="35" t="s">
        <v>72</v>
      </c>
      <c r="B33" s="35" t="s">
        <v>26</v>
      </c>
      <c r="C33" s="21"/>
      <c r="D33" s="24"/>
      <c r="E33" s="40">
        <f t="shared" si="0"/>
        <v>0</v>
      </c>
      <c r="F33" s="21"/>
      <c r="G33" s="21"/>
      <c r="H33" s="21"/>
      <c r="I33" s="22"/>
      <c r="J33" s="22"/>
      <c r="K33" s="23" t="s">
        <v>15</v>
      </c>
      <c r="L33" s="23"/>
      <c r="M33" s="24"/>
    </row>
    <row r="34" spans="1:13" s="25" customFormat="1" x14ac:dyDescent="0.25">
      <c r="A34" s="35" t="s">
        <v>72</v>
      </c>
      <c r="B34" s="35" t="s">
        <v>34</v>
      </c>
      <c r="C34" s="21"/>
      <c r="D34" s="24"/>
      <c r="E34" s="40">
        <f t="shared" si="0"/>
        <v>0</v>
      </c>
      <c r="F34" s="21"/>
      <c r="G34" s="21"/>
      <c r="H34" s="21"/>
      <c r="I34" s="22"/>
      <c r="J34" s="22"/>
      <c r="K34" s="23" t="s">
        <v>15</v>
      </c>
      <c r="L34" s="23"/>
      <c r="M34" s="24"/>
    </row>
    <row r="35" spans="1:13" s="25" customFormat="1" x14ac:dyDescent="0.25">
      <c r="A35" s="35" t="s">
        <v>72</v>
      </c>
      <c r="B35" s="35" t="s">
        <v>28</v>
      </c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x14ac:dyDescent="0.25">
      <c r="A36" s="35" t="s">
        <v>72</v>
      </c>
      <c r="B36" s="35" t="s">
        <v>24</v>
      </c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x14ac:dyDescent="0.25">
      <c r="A37" s="35" t="s">
        <v>72</v>
      </c>
      <c r="B37" s="35" t="s">
        <v>25</v>
      </c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32</v>
      </c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23</v>
      </c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27</v>
      </c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29</v>
      </c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29</v>
      </c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29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29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29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29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29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29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 t="s">
        <v>15</v>
      </c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 t="s">
        <v>15</v>
      </c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 t="s">
        <v>15</v>
      </c>
      <c r="L56" s="23"/>
      <c r="M56" s="24"/>
    </row>
    <row r="57" spans="1:13" x14ac:dyDescent="0.25">
      <c r="K57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56">
    <cfRule type="cellIs" dxfId="9" priority="3" operator="greaterThan">
      <formula>104</formula>
    </cfRule>
  </conditionalFormatting>
  <dataValidations count="1">
    <dataValidation type="list" allowBlank="1" showInputMessage="1" showErrorMessage="1" sqref="L41:L56 K41:K57 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tabSelected="1" zoomScaleNormal="100" workbookViewId="0">
      <pane xSplit="3" ySplit="6" topLeftCell="L15" activePane="bottomRight" state="frozen"/>
      <selection pane="topRight" activeCell="D1" sqref="D1"/>
      <selection pane="bottomLeft" activeCell="A7" sqref="A7"/>
      <selection pane="bottomRight" activeCell="M18" sqref="M18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142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/>
      <c r="L7" s="46"/>
      <c r="M7" s="24" t="s">
        <v>249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143</v>
      </c>
      <c r="D8" s="24" t="s">
        <v>116</v>
      </c>
      <c r="E8" s="40">
        <f t="shared" ref="E8:E66" si="0">LEN(D8)</f>
        <v>59</v>
      </c>
      <c r="F8" s="44" t="s">
        <v>18</v>
      </c>
      <c r="G8" s="24"/>
      <c r="H8" s="24"/>
      <c r="I8" s="45"/>
      <c r="J8" s="45"/>
      <c r="K8" s="46"/>
      <c r="L8" s="46"/>
      <c r="M8" s="24" t="s">
        <v>250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144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/>
      <c r="L9" s="46"/>
      <c r="M9" s="24" t="s">
        <v>251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145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/>
      <c r="L10" s="46"/>
      <c r="M10" s="24" t="s">
        <v>252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146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/>
      <c r="L11" s="46"/>
      <c r="M11" s="24" t="s">
        <v>253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147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/>
      <c r="L12" s="46"/>
      <c r="M12" s="24" t="s">
        <v>254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148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/>
      <c r="L13" s="46"/>
      <c r="M13" s="24" t="s">
        <v>255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149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/>
      <c r="L14" s="46"/>
      <c r="M14" s="24" t="s">
        <v>256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/>
      <c r="L15" s="46"/>
      <c r="M15" s="24" t="s">
        <v>257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/>
      <c r="L16" s="46"/>
      <c r="M16" s="24" t="s">
        <v>258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127</v>
      </c>
      <c r="E17" s="40">
        <f t="shared" si="0"/>
        <v>40</v>
      </c>
      <c r="F17" s="24" t="s">
        <v>18</v>
      </c>
      <c r="G17" s="24"/>
      <c r="H17" s="24"/>
      <c r="I17" s="24"/>
      <c r="J17" s="24"/>
      <c r="K17" s="46"/>
      <c r="L17" s="46"/>
      <c r="M17" s="24" t="s">
        <v>130</v>
      </c>
    </row>
    <row r="18" spans="1:13" s="25" customFormat="1" ht="51" customHeight="1" x14ac:dyDescent="0.25">
      <c r="A18" s="43" t="s">
        <v>107</v>
      </c>
      <c r="B18" s="43" t="s">
        <v>113</v>
      </c>
      <c r="C18" s="24" t="s">
        <v>128</v>
      </c>
      <c r="D18" s="24" t="s">
        <v>129</v>
      </c>
      <c r="E18" s="40">
        <f t="shared" si="0"/>
        <v>29</v>
      </c>
      <c r="F18" s="24" t="s">
        <v>51</v>
      </c>
      <c r="G18" s="24"/>
      <c r="H18" s="24"/>
      <c r="I18" s="24"/>
      <c r="J18" s="24"/>
      <c r="K18" s="46"/>
      <c r="L18" s="46"/>
      <c r="M18" s="24" t="s">
        <v>259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132</v>
      </c>
      <c r="E19" s="40">
        <f t="shared" si="0"/>
        <v>55</v>
      </c>
      <c r="F19" s="24" t="s">
        <v>51</v>
      </c>
      <c r="G19" s="24"/>
      <c r="H19" s="24"/>
      <c r="I19" s="24"/>
      <c r="J19" s="24"/>
      <c r="K19" s="46"/>
      <c r="L19" s="46"/>
      <c r="M19" s="24" t="s">
        <v>242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137</v>
      </c>
      <c r="E20" s="40">
        <f t="shared" si="0"/>
        <v>64</v>
      </c>
      <c r="F20" s="24" t="s">
        <v>51</v>
      </c>
      <c r="G20" s="24"/>
      <c r="H20" s="24"/>
      <c r="I20" s="24"/>
      <c r="J20" s="24"/>
      <c r="K20" s="46"/>
      <c r="L20" s="46"/>
      <c r="M20" s="24" t="s">
        <v>243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135</v>
      </c>
      <c r="D21" s="24" t="s">
        <v>136</v>
      </c>
      <c r="E21" s="40">
        <f t="shared" si="0"/>
        <v>70</v>
      </c>
      <c r="F21" s="24" t="s">
        <v>18</v>
      </c>
      <c r="G21" s="24"/>
      <c r="H21" s="24"/>
      <c r="I21" s="24"/>
      <c r="J21" s="24"/>
      <c r="K21" s="46"/>
      <c r="L21" s="46"/>
      <c r="M21" s="24" t="s">
        <v>244</v>
      </c>
    </row>
    <row r="22" spans="1:13" s="25" customFormat="1" ht="51" customHeight="1" x14ac:dyDescent="0.25">
      <c r="A22" s="43" t="s">
        <v>107</v>
      </c>
      <c r="B22" s="43" t="s">
        <v>111</v>
      </c>
      <c r="C22" s="24" t="s">
        <v>134</v>
      </c>
      <c r="D22" s="24" t="s">
        <v>134</v>
      </c>
      <c r="E22" s="40">
        <f t="shared" si="0"/>
        <v>24</v>
      </c>
      <c r="F22" s="24" t="s">
        <v>51</v>
      </c>
      <c r="G22" s="24"/>
      <c r="H22" s="24"/>
      <c r="I22" s="24"/>
      <c r="J22" s="24"/>
      <c r="K22" s="46"/>
      <c r="L22" s="46"/>
      <c r="M22" s="24" t="s">
        <v>245</v>
      </c>
    </row>
    <row r="23" spans="1:13" s="25" customFormat="1" ht="51" customHeight="1" x14ac:dyDescent="0.25">
      <c r="A23" s="43" t="s">
        <v>107</v>
      </c>
      <c r="B23" s="43" t="s">
        <v>138</v>
      </c>
      <c r="C23" s="24" t="s">
        <v>139</v>
      </c>
      <c r="D23" s="24" t="s">
        <v>139</v>
      </c>
      <c r="E23" s="40">
        <f t="shared" si="0"/>
        <v>41</v>
      </c>
      <c r="F23" s="24" t="s">
        <v>18</v>
      </c>
      <c r="G23" s="24"/>
      <c r="H23" s="24"/>
      <c r="I23" s="24"/>
      <c r="J23" s="24"/>
      <c r="K23" s="46"/>
      <c r="L23" s="46"/>
      <c r="M23" s="24" t="s">
        <v>246</v>
      </c>
    </row>
    <row r="24" spans="1:13" s="25" customFormat="1" ht="51" customHeight="1" x14ac:dyDescent="0.25">
      <c r="A24" s="43" t="s">
        <v>107</v>
      </c>
      <c r="B24" s="43" t="s">
        <v>138</v>
      </c>
      <c r="C24" s="24" t="s">
        <v>140</v>
      </c>
      <c r="D24" s="24" t="s">
        <v>140</v>
      </c>
      <c r="E24" s="40">
        <f t="shared" si="0"/>
        <v>47</v>
      </c>
      <c r="F24" s="24" t="s">
        <v>51</v>
      </c>
      <c r="G24" s="24"/>
      <c r="H24" s="24"/>
      <c r="I24" s="24"/>
      <c r="J24" s="24"/>
      <c r="K24" s="46"/>
      <c r="L24" s="46"/>
      <c r="M24" s="24" t="s">
        <v>247</v>
      </c>
    </row>
    <row r="25" spans="1:13" s="25" customFormat="1" ht="51" customHeight="1" x14ac:dyDescent="0.25">
      <c r="A25" s="43" t="s">
        <v>107</v>
      </c>
      <c r="B25" s="43" t="s">
        <v>141</v>
      </c>
      <c r="C25" s="24" t="s">
        <v>150</v>
      </c>
      <c r="D25" s="24" t="s">
        <v>151</v>
      </c>
      <c r="E25" s="40">
        <f t="shared" si="0"/>
        <v>109</v>
      </c>
      <c r="F25" s="24" t="s">
        <v>18</v>
      </c>
      <c r="G25" s="24"/>
      <c r="H25" s="24"/>
      <c r="I25" s="24"/>
      <c r="J25" s="24"/>
      <c r="K25" s="46"/>
      <c r="L25" s="46"/>
      <c r="M25" s="24" t="s">
        <v>248</v>
      </c>
    </row>
    <row r="26" spans="1:13" s="25" customFormat="1" ht="51" customHeight="1" x14ac:dyDescent="0.25">
      <c r="A26" s="35"/>
      <c r="B26" s="35"/>
      <c r="C26" s="21"/>
      <c r="D26" s="21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1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4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ref="E67:E68" si="1">LEN(D67)</f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1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8" priority="3" operator="greaterThan">
      <formula>104</formula>
    </cfRule>
  </conditionalFormatting>
  <conditionalFormatting sqref="E67:E68">
    <cfRule type="cellIs" dxfId="7" priority="2" operator="greaterThan">
      <formula>104</formula>
    </cfRule>
  </conditionalFormatting>
  <conditionalFormatting sqref="E8:E66">
    <cfRule type="cellIs" dxfId="6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57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9" sqref="C9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42.85546875" style="19" bestFit="1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20"/>
      <c r="K2" s="20"/>
      <c r="L2" s="27"/>
    </row>
    <row r="3" spans="1:12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3"/>
      <c r="K3" s="3"/>
      <c r="L3" s="27"/>
    </row>
    <row r="4" spans="1:12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v>42340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158</v>
      </c>
      <c r="B7" s="37" t="s">
        <v>172</v>
      </c>
      <c r="C7" s="21" t="s">
        <v>8</v>
      </c>
      <c r="D7" s="24" t="s">
        <v>165</v>
      </c>
      <c r="E7" s="33" t="s">
        <v>51</v>
      </c>
      <c r="F7" s="21"/>
      <c r="G7" s="21"/>
      <c r="H7" s="22"/>
      <c r="I7" s="22"/>
      <c r="J7" s="23"/>
      <c r="K7" s="23"/>
      <c r="L7" s="24" t="s">
        <v>174</v>
      </c>
    </row>
    <row r="8" spans="1:12" s="25" customFormat="1" ht="51" customHeight="1" x14ac:dyDescent="0.25">
      <c r="A8" s="35" t="s">
        <v>158</v>
      </c>
      <c r="B8" s="37" t="s">
        <v>172</v>
      </c>
      <c r="C8" s="21" t="s">
        <v>29</v>
      </c>
      <c r="D8" s="24" t="s">
        <v>166</v>
      </c>
      <c r="E8" s="33" t="s">
        <v>51</v>
      </c>
      <c r="F8" s="21"/>
      <c r="G8" s="21"/>
      <c r="H8" s="22"/>
      <c r="I8" s="22"/>
      <c r="J8" s="23"/>
      <c r="K8" s="23"/>
      <c r="L8" s="24" t="s">
        <v>174</v>
      </c>
    </row>
    <row r="9" spans="1:12" s="25" customFormat="1" ht="51" customHeight="1" x14ac:dyDescent="0.25">
      <c r="A9" s="35" t="s">
        <v>158</v>
      </c>
      <c r="B9" s="37" t="s">
        <v>172</v>
      </c>
      <c r="C9" s="21" t="s">
        <v>161</v>
      </c>
      <c r="D9" s="24" t="s">
        <v>167</v>
      </c>
      <c r="E9" s="33" t="s">
        <v>51</v>
      </c>
      <c r="F9" s="21"/>
      <c r="G9" s="21"/>
      <c r="H9" s="21"/>
      <c r="I9" s="21"/>
      <c r="J9" s="23"/>
      <c r="K9" s="23"/>
      <c r="L9" s="24" t="s">
        <v>174</v>
      </c>
    </row>
    <row r="10" spans="1:12" s="25" customFormat="1" ht="51" customHeight="1" x14ac:dyDescent="0.25">
      <c r="A10" s="35" t="s">
        <v>158</v>
      </c>
      <c r="B10" s="37" t="s">
        <v>172</v>
      </c>
      <c r="C10" s="21" t="s">
        <v>162</v>
      </c>
      <c r="D10" s="24" t="s">
        <v>168</v>
      </c>
      <c r="E10" s="33" t="s">
        <v>51</v>
      </c>
      <c r="F10" s="21"/>
      <c r="G10" s="21"/>
      <c r="H10" s="22"/>
      <c r="I10" s="22"/>
      <c r="J10" s="23"/>
      <c r="K10" s="23"/>
      <c r="L10" s="24" t="s">
        <v>174</v>
      </c>
    </row>
    <row r="11" spans="1:12" s="25" customFormat="1" ht="51" customHeight="1" x14ac:dyDescent="0.25">
      <c r="A11" s="35" t="s">
        <v>158</v>
      </c>
      <c r="B11" s="37" t="s">
        <v>172</v>
      </c>
      <c r="C11" s="21" t="s">
        <v>163</v>
      </c>
      <c r="D11" s="24" t="s">
        <v>169</v>
      </c>
      <c r="E11" s="33" t="s">
        <v>51</v>
      </c>
      <c r="F11" s="21"/>
      <c r="G11" s="21"/>
      <c r="H11" s="22"/>
      <c r="I11" s="22"/>
      <c r="J11" s="23"/>
      <c r="K11" s="23"/>
      <c r="L11" s="24" t="s">
        <v>174</v>
      </c>
    </row>
    <row r="12" spans="1:12" s="25" customFormat="1" ht="51" customHeight="1" x14ac:dyDescent="0.25">
      <c r="A12" s="35" t="s">
        <v>158</v>
      </c>
      <c r="B12" s="37" t="s">
        <v>172</v>
      </c>
      <c r="C12" s="21" t="s">
        <v>164</v>
      </c>
      <c r="D12" s="24" t="s">
        <v>170</v>
      </c>
      <c r="E12" s="33" t="s">
        <v>51</v>
      </c>
      <c r="F12" s="21"/>
      <c r="G12" s="21"/>
      <c r="H12" s="22"/>
      <c r="I12" s="22"/>
      <c r="J12" s="23"/>
      <c r="K12" s="23"/>
      <c r="L12" s="24" t="s">
        <v>174</v>
      </c>
    </row>
    <row r="13" spans="1:12" s="25" customFormat="1" ht="51" customHeight="1" x14ac:dyDescent="0.25">
      <c r="A13" s="35" t="s">
        <v>158</v>
      </c>
      <c r="B13" s="37" t="s">
        <v>172</v>
      </c>
      <c r="C13" s="21" t="s">
        <v>173</v>
      </c>
      <c r="D13" s="24" t="s">
        <v>171</v>
      </c>
      <c r="E13" s="33" t="s">
        <v>51</v>
      </c>
      <c r="F13" s="21"/>
      <c r="G13" s="21"/>
      <c r="H13" s="22"/>
      <c r="I13" s="22"/>
      <c r="J13" s="23"/>
      <c r="K13" s="23"/>
      <c r="L13" s="24" t="s">
        <v>174</v>
      </c>
    </row>
    <row r="14" spans="1:12" s="25" customFormat="1" ht="51" customHeight="1" x14ac:dyDescent="0.25">
      <c r="A14" s="35" t="s">
        <v>158</v>
      </c>
      <c r="B14" s="37" t="s">
        <v>159</v>
      </c>
      <c r="C14" s="21" t="s">
        <v>175</v>
      </c>
      <c r="D14" s="24" t="s">
        <v>180</v>
      </c>
      <c r="E14" s="33" t="s">
        <v>51</v>
      </c>
      <c r="F14" s="21"/>
      <c r="G14" s="21"/>
      <c r="H14" s="22"/>
      <c r="I14" s="22"/>
      <c r="J14" s="23"/>
      <c r="K14" s="23"/>
      <c r="L14" s="24" t="s">
        <v>193</v>
      </c>
    </row>
    <row r="15" spans="1:12" s="25" customFormat="1" ht="51" customHeight="1" x14ac:dyDescent="0.25">
      <c r="A15" s="35" t="s">
        <v>158</v>
      </c>
      <c r="B15" s="37" t="s">
        <v>159</v>
      </c>
      <c r="C15" s="21" t="s">
        <v>179</v>
      </c>
      <c r="D15" s="24" t="s">
        <v>181</v>
      </c>
      <c r="E15" s="33" t="s">
        <v>51</v>
      </c>
      <c r="F15" s="21"/>
      <c r="G15" s="21"/>
      <c r="H15" s="22"/>
      <c r="I15" s="22"/>
      <c r="J15" s="23"/>
      <c r="K15" s="23"/>
      <c r="L15" s="24" t="s">
        <v>193</v>
      </c>
    </row>
    <row r="16" spans="1:12" s="25" customFormat="1" ht="51" customHeight="1" x14ac:dyDescent="0.25">
      <c r="A16" s="35" t="s">
        <v>158</v>
      </c>
      <c r="B16" s="37" t="s">
        <v>159</v>
      </c>
      <c r="C16" s="21" t="s">
        <v>29</v>
      </c>
      <c r="D16" s="24" t="s">
        <v>182</v>
      </c>
      <c r="E16" s="33" t="s">
        <v>51</v>
      </c>
      <c r="F16" s="21"/>
      <c r="G16" s="21"/>
      <c r="H16" s="21"/>
      <c r="I16" s="21"/>
      <c r="J16" s="23"/>
      <c r="K16" s="23"/>
      <c r="L16" s="24" t="s">
        <v>193</v>
      </c>
    </row>
    <row r="17" spans="1:12" s="25" customFormat="1" ht="51" customHeight="1" x14ac:dyDescent="0.25">
      <c r="A17" s="35" t="s">
        <v>158</v>
      </c>
      <c r="B17" s="37" t="s">
        <v>159</v>
      </c>
      <c r="C17" s="21" t="s">
        <v>176</v>
      </c>
      <c r="D17" s="24" t="s">
        <v>183</v>
      </c>
      <c r="E17" s="33" t="s">
        <v>51</v>
      </c>
      <c r="F17" s="21"/>
      <c r="G17" s="21"/>
      <c r="H17" s="21"/>
      <c r="I17" s="21"/>
      <c r="J17" s="23"/>
      <c r="K17" s="23"/>
      <c r="L17" s="24" t="s">
        <v>193</v>
      </c>
    </row>
    <row r="18" spans="1:12" s="25" customFormat="1" ht="51" customHeight="1" x14ac:dyDescent="0.25">
      <c r="A18" s="35" t="s">
        <v>158</v>
      </c>
      <c r="B18" s="37" t="s">
        <v>159</v>
      </c>
      <c r="C18" s="21" t="s">
        <v>177</v>
      </c>
      <c r="D18" s="24" t="s">
        <v>184</v>
      </c>
      <c r="E18" s="33" t="s">
        <v>51</v>
      </c>
      <c r="F18" s="21"/>
      <c r="G18" s="21"/>
      <c r="H18" s="21"/>
      <c r="I18" s="21"/>
      <c r="J18" s="23"/>
      <c r="K18" s="23"/>
      <c r="L18" s="24" t="s">
        <v>193</v>
      </c>
    </row>
    <row r="19" spans="1:12" s="25" customFormat="1" ht="51" customHeight="1" x14ac:dyDescent="0.25">
      <c r="A19" s="35" t="s">
        <v>158</v>
      </c>
      <c r="B19" s="37" t="s">
        <v>159</v>
      </c>
      <c r="C19" s="21" t="s">
        <v>178</v>
      </c>
      <c r="D19" s="24" t="s">
        <v>185</v>
      </c>
      <c r="E19" s="33" t="s">
        <v>51</v>
      </c>
      <c r="F19" s="21"/>
      <c r="G19" s="21"/>
      <c r="H19" s="21"/>
      <c r="I19" s="21"/>
      <c r="J19" s="23"/>
      <c r="K19" s="23"/>
      <c r="L19" s="24" t="s">
        <v>193</v>
      </c>
    </row>
    <row r="20" spans="1:12" s="25" customFormat="1" ht="51" customHeight="1" x14ac:dyDescent="0.25">
      <c r="A20" s="35" t="s">
        <v>158</v>
      </c>
      <c r="B20" s="37" t="s">
        <v>159</v>
      </c>
      <c r="C20" s="21" t="s">
        <v>32</v>
      </c>
      <c r="D20" s="24" t="s">
        <v>186</v>
      </c>
      <c r="E20" s="33" t="s">
        <v>51</v>
      </c>
      <c r="F20" s="21"/>
      <c r="G20" s="21"/>
      <c r="H20" s="21"/>
      <c r="I20" s="21"/>
      <c r="J20" s="23"/>
      <c r="K20" s="23"/>
      <c r="L20" s="24" t="s">
        <v>193</v>
      </c>
    </row>
    <row r="21" spans="1:12" s="25" customFormat="1" ht="51" customHeight="1" x14ac:dyDescent="0.25">
      <c r="A21" s="35" t="s">
        <v>158</v>
      </c>
      <c r="B21" s="37" t="s">
        <v>159</v>
      </c>
      <c r="C21" s="21" t="s">
        <v>188</v>
      </c>
      <c r="D21" s="24" t="s">
        <v>189</v>
      </c>
      <c r="E21" s="38" t="s">
        <v>187</v>
      </c>
      <c r="F21" s="21"/>
      <c r="G21" s="21"/>
      <c r="H21" s="21"/>
      <c r="I21" s="21"/>
      <c r="J21" s="23"/>
      <c r="K21" s="23"/>
      <c r="L21" s="24" t="s">
        <v>194</v>
      </c>
    </row>
    <row r="22" spans="1:12" s="25" customFormat="1" ht="51" customHeight="1" x14ac:dyDescent="0.25">
      <c r="A22" s="35" t="s">
        <v>158</v>
      </c>
      <c r="B22" s="37" t="s">
        <v>190</v>
      </c>
      <c r="C22" s="21" t="s">
        <v>191</v>
      </c>
      <c r="D22" s="24" t="s">
        <v>192</v>
      </c>
      <c r="E22" s="38" t="s">
        <v>187</v>
      </c>
      <c r="F22" s="21"/>
      <c r="G22" s="21"/>
      <c r="H22" s="21"/>
      <c r="I22" s="21"/>
      <c r="J22" s="23"/>
      <c r="K22" s="23"/>
      <c r="L22" s="24" t="s">
        <v>194</v>
      </c>
    </row>
    <row r="23" spans="1:12" s="25" customFormat="1" ht="51" customHeight="1" x14ac:dyDescent="0.25">
      <c r="A23" s="35" t="s">
        <v>158</v>
      </c>
      <c r="B23" s="37" t="s">
        <v>160</v>
      </c>
      <c r="C23" s="21" t="s">
        <v>196</v>
      </c>
      <c r="D23" s="24" t="s">
        <v>197</v>
      </c>
      <c r="E23" s="21" t="s">
        <v>51</v>
      </c>
      <c r="F23" s="21"/>
      <c r="G23" s="21"/>
      <c r="H23" s="21"/>
      <c r="I23" s="21"/>
      <c r="J23" s="23"/>
      <c r="K23" s="23"/>
      <c r="L23" s="24" t="s">
        <v>200</v>
      </c>
    </row>
    <row r="24" spans="1:12" s="25" customFormat="1" ht="51" customHeight="1" x14ac:dyDescent="0.25">
      <c r="A24" s="35" t="s">
        <v>158</v>
      </c>
      <c r="B24" s="37" t="s">
        <v>160</v>
      </c>
      <c r="C24" s="24" t="s">
        <v>198</v>
      </c>
      <c r="D24" s="24" t="s">
        <v>201</v>
      </c>
      <c r="E24" s="21" t="s">
        <v>51</v>
      </c>
      <c r="F24" s="21"/>
      <c r="G24" s="21"/>
      <c r="H24" s="21"/>
      <c r="I24" s="21"/>
      <c r="J24" s="23"/>
      <c r="K24" s="23"/>
      <c r="L24" s="24" t="s">
        <v>202</v>
      </c>
    </row>
    <row r="25" spans="1:12" s="25" customFormat="1" ht="51" customHeight="1" x14ac:dyDescent="0.25">
      <c r="A25" s="35" t="s">
        <v>158</v>
      </c>
      <c r="B25" s="37" t="s">
        <v>160</v>
      </c>
      <c r="C25" s="24" t="s">
        <v>199</v>
      </c>
      <c r="D25" s="24" t="s">
        <v>201</v>
      </c>
      <c r="E25" s="38" t="s">
        <v>187</v>
      </c>
      <c r="F25" s="21"/>
      <c r="G25" s="21"/>
      <c r="H25" s="21"/>
      <c r="I25" s="21"/>
      <c r="J25" s="23"/>
      <c r="K25" s="23"/>
      <c r="L25" s="24" t="s">
        <v>200</v>
      </c>
    </row>
    <row r="26" spans="1:12" s="25" customFormat="1" ht="51" customHeight="1" x14ac:dyDescent="0.25">
      <c r="A26" s="35" t="s">
        <v>158</v>
      </c>
      <c r="B26" s="37" t="s">
        <v>160</v>
      </c>
      <c r="C26" s="24" t="s">
        <v>203</v>
      </c>
      <c r="D26" s="24" t="s">
        <v>201</v>
      </c>
      <c r="E26" s="21" t="s">
        <v>51</v>
      </c>
      <c r="F26" s="21"/>
      <c r="G26" s="21"/>
      <c r="H26" s="21"/>
      <c r="I26" s="21"/>
      <c r="J26" s="23"/>
      <c r="K26" s="23"/>
      <c r="L26" s="24" t="s">
        <v>202</v>
      </c>
    </row>
    <row r="27" spans="1:12" s="25" customFormat="1" ht="51" customHeight="1" x14ac:dyDescent="0.25">
      <c r="A27" s="35" t="s">
        <v>158</v>
      </c>
      <c r="B27" s="37" t="s">
        <v>160</v>
      </c>
      <c r="C27" s="24" t="s">
        <v>204</v>
      </c>
      <c r="D27" s="24" t="s">
        <v>201</v>
      </c>
      <c r="E27" s="38" t="s">
        <v>187</v>
      </c>
      <c r="F27" s="21"/>
      <c r="G27" s="21"/>
      <c r="H27" s="21"/>
      <c r="I27" s="21"/>
      <c r="J27" s="23"/>
      <c r="K27" s="23"/>
      <c r="L27" s="24" t="s">
        <v>200</v>
      </c>
    </row>
    <row r="28" spans="1:12" s="25" customFormat="1" ht="51" customHeight="1" x14ac:dyDescent="0.25">
      <c r="A28" s="35" t="s">
        <v>158</v>
      </c>
      <c r="B28" s="37" t="s">
        <v>160</v>
      </c>
      <c r="C28" s="21" t="s">
        <v>205</v>
      </c>
      <c r="D28" s="24" t="s">
        <v>206</v>
      </c>
      <c r="E28" s="21" t="s">
        <v>51</v>
      </c>
      <c r="F28" s="21"/>
      <c r="G28" s="21"/>
      <c r="H28" s="21"/>
      <c r="I28" s="21"/>
      <c r="J28" s="23"/>
      <c r="K28" s="23"/>
      <c r="L28" s="24" t="s">
        <v>207</v>
      </c>
    </row>
    <row r="29" spans="1:12" s="25" customFormat="1" ht="51" customHeight="1" x14ac:dyDescent="0.25">
      <c r="A29" s="35" t="s">
        <v>158</v>
      </c>
      <c r="B29" s="37" t="s">
        <v>160</v>
      </c>
      <c r="C29" s="21" t="s">
        <v>208</v>
      </c>
      <c r="D29" s="24" t="s">
        <v>209</v>
      </c>
      <c r="E29" s="38" t="s">
        <v>187</v>
      </c>
      <c r="F29" s="21"/>
      <c r="G29" s="21"/>
      <c r="H29" s="21"/>
      <c r="I29" s="21"/>
      <c r="J29" s="23"/>
      <c r="K29" s="23"/>
      <c r="L29" s="24" t="s">
        <v>200</v>
      </c>
    </row>
    <row r="30" spans="1:12" s="25" customFormat="1" ht="51" customHeight="1" x14ac:dyDescent="0.25">
      <c r="A30" s="35" t="s">
        <v>158</v>
      </c>
      <c r="B30" s="37" t="s">
        <v>160</v>
      </c>
      <c r="C30" s="21" t="s">
        <v>210</v>
      </c>
      <c r="D30" s="24" t="s">
        <v>211</v>
      </c>
      <c r="E30" s="21" t="s">
        <v>51</v>
      </c>
      <c r="F30" s="21"/>
      <c r="G30" s="21"/>
      <c r="H30" s="21"/>
      <c r="I30" s="21"/>
      <c r="J30" s="23"/>
      <c r="K30" s="23"/>
      <c r="L30" s="24" t="s">
        <v>207</v>
      </c>
    </row>
    <row r="31" spans="1:12" s="25" customFormat="1" ht="51" customHeight="1" x14ac:dyDescent="0.25">
      <c r="A31" s="35" t="s">
        <v>158</v>
      </c>
      <c r="B31" s="37" t="s">
        <v>160</v>
      </c>
      <c r="C31" s="21" t="s">
        <v>212</v>
      </c>
      <c r="D31" s="24" t="s">
        <v>213</v>
      </c>
      <c r="E31" s="38" t="s">
        <v>187</v>
      </c>
      <c r="F31" s="21"/>
      <c r="G31" s="21"/>
      <c r="H31" s="21"/>
      <c r="I31" s="21"/>
      <c r="J31" s="23"/>
      <c r="K31" s="23"/>
      <c r="L31" s="24" t="s">
        <v>200</v>
      </c>
    </row>
    <row r="32" spans="1:12" s="25" customFormat="1" ht="51" customHeight="1" x14ac:dyDescent="0.25">
      <c r="A32" s="35" t="s">
        <v>158</v>
      </c>
      <c r="B32" s="37" t="s">
        <v>160</v>
      </c>
      <c r="C32" s="21" t="s">
        <v>214</v>
      </c>
      <c r="D32" s="24" t="s">
        <v>215</v>
      </c>
      <c r="E32" s="21" t="s">
        <v>51</v>
      </c>
      <c r="F32" s="21"/>
      <c r="G32" s="21"/>
      <c r="H32" s="21"/>
      <c r="I32" s="21"/>
      <c r="J32" s="23"/>
      <c r="K32" s="23"/>
      <c r="L32" s="24" t="s">
        <v>216</v>
      </c>
    </row>
    <row r="33" spans="1:12" s="25" customFormat="1" ht="51" customHeight="1" x14ac:dyDescent="0.25">
      <c r="A33" s="35" t="s">
        <v>158</v>
      </c>
      <c r="B33" s="37" t="s">
        <v>160</v>
      </c>
      <c r="C33" s="21" t="s">
        <v>217</v>
      </c>
      <c r="D33" s="24" t="s">
        <v>218</v>
      </c>
      <c r="E33" s="38" t="s">
        <v>187</v>
      </c>
      <c r="F33" s="21"/>
      <c r="G33" s="21"/>
      <c r="H33" s="21"/>
      <c r="I33" s="21"/>
      <c r="J33" s="23"/>
      <c r="K33" s="23"/>
      <c r="L33" s="24" t="s">
        <v>200</v>
      </c>
    </row>
    <row r="34" spans="1:12" s="25" customFormat="1" ht="51" customHeight="1" x14ac:dyDescent="0.25">
      <c r="A34" s="35" t="s">
        <v>158</v>
      </c>
      <c r="B34" s="37" t="s">
        <v>160</v>
      </c>
      <c r="C34" s="21" t="s">
        <v>195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  <row r="35" spans="1:12" s="25" customFormat="1" ht="12.75" x14ac:dyDescent="0.25">
      <c r="A35" s="35"/>
      <c r="B35" s="35"/>
      <c r="C35" s="21"/>
      <c r="D35" s="24"/>
      <c r="E35" s="21"/>
      <c r="F35" s="21"/>
      <c r="G35" s="21"/>
      <c r="H35" s="21"/>
      <c r="I35" s="21"/>
      <c r="J35" s="23"/>
      <c r="K35" s="23"/>
      <c r="L35" s="24"/>
    </row>
    <row r="36" spans="1:12" s="25" customFormat="1" ht="12.75" x14ac:dyDescent="0.25">
      <c r="A36" s="35"/>
      <c r="B36" s="35"/>
      <c r="C36" s="21"/>
      <c r="D36" s="24"/>
      <c r="E36" s="21"/>
      <c r="F36" s="21"/>
      <c r="G36" s="21"/>
      <c r="H36" s="21"/>
      <c r="I36" s="21"/>
      <c r="J36" s="23"/>
      <c r="K36" s="23"/>
      <c r="L36" s="24"/>
    </row>
    <row r="37" spans="1:12" s="25" customFormat="1" ht="12.75" x14ac:dyDescent="0.25">
      <c r="A37" s="35"/>
      <c r="B37" s="35"/>
      <c r="C37" s="21"/>
      <c r="D37" s="24"/>
      <c r="E37" s="21"/>
      <c r="F37" s="21"/>
      <c r="G37" s="21"/>
      <c r="H37" s="21"/>
      <c r="I37" s="21"/>
      <c r="J37" s="23"/>
      <c r="K37" s="23"/>
      <c r="L37" s="24"/>
    </row>
    <row r="38" spans="1:12" s="25" customFormat="1" ht="12.75" x14ac:dyDescent="0.25">
      <c r="A38" s="35"/>
      <c r="B38" s="35"/>
      <c r="C38" s="21"/>
      <c r="D38" s="24"/>
      <c r="E38" s="21"/>
      <c r="F38" s="21"/>
      <c r="G38" s="21"/>
      <c r="H38" s="21"/>
      <c r="I38" s="21"/>
      <c r="J38" s="23"/>
      <c r="K38" s="23"/>
      <c r="L38" s="24"/>
    </row>
    <row r="39" spans="1:12" s="25" customFormat="1" ht="12.75" x14ac:dyDescent="0.25">
      <c r="A39" s="35"/>
      <c r="B39" s="35"/>
      <c r="C39" s="21"/>
      <c r="D39" s="24"/>
      <c r="E39" s="21"/>
      <c r="F39" s="21"/>
      <c r="G39" s="21"/>
      <c r="H39" s="21"/>
      <c r="I39" s="21"/>
      <c r="J39" s="23"/>
      <c r="K39" s="23"/>
      <c r="L39" s="24"/>
    </row>
    <row r="40" spans="1:12" s="25" customFormat="1" ht="12.75" x14ac:dyDescent="0.25">
      <c r="A40" s="35"/>
      <c r="B40" s="35"/>
      <c r="C40" s="21"/>
      <c r="D40" s="24"/>
      <c r="E40" s="21"/>
      <c r="F40" s="21"/>
      <c r="G40" s="21"/>
      <c r="H40" s="21"/>
      <c r="I40" s="21"/>
      <c r="J40" s="23"/>
      <c r="K40" s="23"/>
      <c r="L40" s="24"/>
    </row>
    <row r="41" spans="1:12" s="25" customFormat="1" ht="12.75" x14ac:dyDescent="0.25">
      <c r="A41" s="35"/>
      <c r="B41" s="35"/>
      <c r="C41" s="21"/>
      <c r="D41" s="24"/>
      <c r="E41" s="21"/>
      <c r="F41" s="21"/>
      <c r="G41" s="21"/>
      <c r="H41" s="21"/>
      <c r="I41" s="21"/>
      <c r="J41" s="23"/>
      <c r="K41" s="23"/>
      <c r="L41" s="24"/>
    </row>
    <row r="42" spans="1:12" s="25" customFormat="1" ht="12.75" x14ac:dyDescent="0.25">
      <c r="A42" s="35"/>
      <c r="B42" s="35"/>
      <c r="C42" s="21"/>
      <c r="D42" s="24"/>
      <c r="E42" s="21"/>
      <c r="F42" s="21"/>
      <c r="G42" s="21"/>
      <c r="H42" s="21"/>
      <c r="I42" s="21"/>
      <c r="J42" s="23"/>
      <c r="K42" s="23"/>
      <c r="L42" s="24"/>
    </row>
    <row r="43" spans="1:12" s="25" customFormat="1" ht="12.75" x14ac:dyDescent="0.25">
      <c r="A43" s="35"/>
      <c r="B43" s="35"/>
      <c r="C43" s="21"/>
      <c r="D43" s="24"/>
      <c r="E43" s="21"/>
      <c r="F43" s="21"/>
      <c r="G43" s="21"/>
      <c r="H43" s="21"/>
      <c r="I43" s="21"/>
      <c r="J43" s="23"/>
      <c r="K43" s="23"/>
      <c r="L43" s="24"/>
    </row>
    <row r="44" spans="1:12" s="25" customFormat="1" ht="12.75" x14ac:dyDescent="0.25">
      <c r="A44" s="35"/>
      <c r="B44" s="35"/>
      <c r="C44" s="21"/>
      <c r="D44" s="24"/>
      <c r="E44" s="21"/>
      <c r="F44" s="21"/>
      <c r="G44" s="21"/>
      <c r="H44" s="21"/>
      <c r="I44" s="21"/>
      <c r="J44" s="23"/>
      <c r="K44" s="23"/>
      <c r="L44" s="24"/>
    </row>
    <row r="45" spans="1:12" s="25" customFormat="1" ht="12.75" x14ac:dyDescent="0.25">
      <c r="A45" s="35"/>
      <c r="B45" s="35"/>
      <c r="C45" s="21"/>
      <c r="D45" s="24"/>
      <c r="E45" s="21"/>
      <c r="F45" s="21"/>
      <c r="G45" s="21"/>
      <c r="H45" s="21"/>
      <c r="I45" s="21"/>
      <c r="J45" s="23"/>
      <c r="K45" s="23"/>
      <c r="L45" s="24"/>
    </row>
    <row r="46" spans="1:12" s="25" customFormat="1" ht="12.75" x14ac:dyDescent="0.25">
      <c r="A46" s="35"/>
      <c r="B46" s="35"/>
      <c r="C46" s="21"/>
      <c r="D46" s="24"/>
      <c r="E46" s="21"/>
      <c r="F46" s="21"/>
      <c r="G46" s="21"/>
      <c r="H46" s="21"/>
      <c r="I46" s="21"/>
      <c r="J46" s="23"/>
      <c r="K46" s="23"/>
      <c r="L46" s="24"/>
    </row>
    <row r="47" spans="1:12" s="25" customFormat="1" ht="12.75" x14ac:dyDescent="0.25">
      <c r="A47" s="35"/>
      <c r="B47" s="35"/>
      <c r="C47" s="21"/>
      <c r="D47" s="24"/>
      <c r="E47" s="21"/>
      <c r="F47" s="21"/>
      <c r="G47" s="21"/>
      <c r="H47" s="21"/>
      <c r="I47" s="21"/>
      <c r="J47" s="23"/>
      <c r="K47" s="23"/>
      <c r="L47" s="24"/>
    </row>
    <row r="48" spans="1:12" s="25" customFormat="1" ht="12.75" x14ac:dyDescent="0.25">
      <c r="A48" s="35"/>
      <c r="B48" s="35"/>
      <c r="C48" s="21"/>
      <c r="D48" s="24"/>
      <c r="E48" s="21"/>
      <c r="F48" s="21"/>
      <c r="G48" s="21"/>
      <c r="H48" s="21"/>
      <c r="I48" s="21"/>
      <c r="J48" s="23"/>
      <c r="K48" s="23"/>
      <c r="L48" s="24"/>
    </row>
    <row r="49" spans="1:12" s="25" customFormat="1" ht="12.75" x14ac:dyDescent="0.25">
      <c r="A49" s="35"/>
      <c r="B49" s="35"/>
      <c r="C49" s="21"/>
      <c r="D49" s="24"/>
      <c r="E49" s="21"/>
      <c r="F49" s="21"/>
      <c r="G49" s="21"/>
      <c r="H49" s="21"/>
      <c r="I49" s="21"/>
      <c r="J49" s="23"/>
      <c r="K49" s="23"/>
      <c r="L49" s="24"/>
    </row>
    <row r="50" spans="1:12" s="25" customFormat="1" ht="12.75" x14ac:dyDescent="0.25">
      <c r="A50" s="35"/>
      <c r="B50" s="35"/>
      <c r="C50" s="21"/>
      <c r="D50" s="24"/>
      <c r="E50" s="21"/>
      <c r="F50" s="21"/>
      <c r="G50" s="21"/>
      <c r="H50" s="21"/>
      <c r="I50" s="21"/>
      <c r="J50" s="23"/>
      <c r="K50" s="23"/>
      <c r="L50" s="24"/>
    </row>
    <row r="51" spans="1:12" s="25" customFormat="1" ht="12.75" x14ac:dyDescent="0.25">
      <c r="A51" s="35"/>
      <c r="B51" s="35"/>
      <c r="C51" s="21"/>
      <c r="D51" s="24"/>
      <c r="E51" s="21"/>
      <c r="F51" s="21"/>
      <c r="G51" s="21"/>
      <c r="H51" s="21"/>
      <c r="I51" s="21"/>
      <c r="J51" s="23"/>
      <c r="K51" s="23"/>
      <c r="L51" s="24"/>
    </row>
    <row r="52" spans="1:12" s="25" customFormat="1" ht="12.75" x14ac:dyDescent="0.25">
      <c r="A52" s="35"/>
      <c r="B52" s="35"/>
      <c r="C52" s="21"/>
      <c r="D52" s="24"/>
      <c r="E52" s="21"/>
      <c r="F52" s="21"/>
      <c r="G52" s="21"/>
      <c r="H52" s="21"/>
      <c r="I52" s="21"/>
      <c r="J52" s="23"/>
      <c r="K52" s="23"/>
      <c r="L52" s="24"/>
    </row>
    <row r="53" spans="1:12" s="25" customFormat="1" ht="12.75" x14ac:dyDescent="0.25">
      <c r="A53" s="35"/>
      <c r="B53" s="35"/>
      <c r="C53" s="21"/>
      <c r="D53" s="24"/>
      <c r="E53" s="21"/>
      <c r="F53" s="21"/>
      <c r="G53" s="21"/>
      <c r="H53" s="21"/>
      <c r="I53" s="21"/>
      <c r="J53" s="23"/>
      <c r="K53" s="23"/>
      <c r="L53" s="24"/>
    </row>
    <row r="54" spans="1:12" s="25" customFormat="1" ht="12.75" x14ac:dyDescent="0.25">
      <c r="A54" s="35"/>
      <c r="B54" s="35"/>
      <c r="C54" s="21"/>
      <c r="D54" s="24"/>
      <c r="E54" s="21"/>
      <c r="F54" s="21"/>
      <c r="G54" s="21"/>
      <c r="H54" s="21"/>
      <c r="I54" s="21"/>
      <c r="J54" s="23"/>
      <c r="K54" s="23"/>
      <c r="L54" s="24"/>
    </row>
    <row r="55" spans="1:12" s="25" customFormat="1" ht="12.75" x14ac:dyDescent="0.25">
      <c r="A55" s="35"/>
      <c r="B55" s="35"/>
      <c r="C55" s="21"/>
      <c r="D55" s="24"/>
      <c r="E55" s="21"/>
      <c r="F55" s="21"/>
      <c r="G55" s="21"/>
      <c r="H55" s="21"/>
      <c r="I55" s="21"/>
      <c r="J55" s="23"/>
      <c r="K55" s="23"/>
      <c r="L55" s="24"/>
    </row>
    <row r="56" spans="1:12" s="25" customFormat="1" ht="12.75" x14ac:dyDescent="0.25">
      <c r="A56" s="35"/>
      <c r="B56" s="35"/>
      <c r="C56" s="21"/>
      <c r="D56" s="24"/>
      <c r="E56" s="21"/>
      <c r="F56" s="21"/>
      <c r="G56" s="21"/>
      <c r="H56" s="21"/>
      <c r="I56" s="21"/>
      <c r="J56" s="23"/>
      <c r="K56" s="23"/>
      <c r="L56" s="24"/>
    </row>
    <row r="57" spans="1:12" x14ac:dyDescent="0.25">
      <c r="J57" s="23" t="s">
        <v>15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K41:K56 J41:J57 J7:K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0" sqref="D10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152</v>
      </c>
      <c r="B7" s="35" t="s">
        <v>153</v>
      </c>
      <c r="C7" s="21" t="s">
        <v>154</v>
      </c>
      <c r="D7" s="24"/>
      <c r="E7" s="40">
        <f>LEN(D7)</f>
        <v>0</v>
      </c>
      <c r="F7" s="44"/>
      <c r="G7" s="24"/>
      <c r="H7" s="24"/>
      <c r="I7" s="45"/>
      <c r="J7" s="45"/>
      <c r="K7" s="46"/>
      <c r="L7" s="46"/>
      <c r="M7" s="24"/>
    </row>
    <row r="8" spans="1:13" s="25" customFormat="1" ht="51" customHeight="1" x14ac:dyDescent="0.25">
      <c r="A8" s="35" t="s">
        <v>152</v>
      </c>
      <c r="B8" s="35" t="s">
        <v>153</v>
      </c>
      <c r="C8" s="21" t="s">
        <v>155</v>
      </c>
      <c r="D8" s="24"/>
      <c r="E8" s="40">
        <f t="shared" ref="E8:E68" si="0">LEN(D8)</f>
        <v>0</v>
      </c>
      <c r="F8" s="44"/>
      <c r="G8" s="24"/>
      <c r="H8" s="24"/>
      <c r="I8" s="45"/>
      <c r="J8" s="45"/>
      <c r="K8" s="46"/>
      <c r="L8" s="46"/>
      <c r="M8" s="24"/>
    </row>
    <row r="9" spans="1:13" s="25" customFormat="1" ht="51" customHeight="1" x14ac:dyDescent="0.25">
      <c r="A9" s="35" t="s">
        <v>152</v>
      </c>
      <c r="B9" s="35" t="s">
        <v>153</v>
      </c>
      <c r="C9" s="21" t="s">
        <v>156</v>
      </c>
      <c r="D9" s="24"/>
      <c r="E9" s="40">
        <f t="shared" si="0"/>
        <v>0</v>
      </c>
      <c r="F9" s="24"/>
      <c r="G9" s="24"/>
      <c r="H9" s="24"/>
      <c r="I9" s="24"/>
      <c r="J9" s="24"/>
      <c r="K9" s="46"/>
      <c r="L9" s="46"/>
      <c r="M9" s="24"/>
    </row>
    <row r="10" spans="1:13" s="25" customFormat="1" ht="51" customHeight="1" x14ac:dyDescent="0.25">
      <c r="A10" s="35" t="s">
        <v>152</v>
      </c>
      <c r="B10" s="35" t="s">
        <v>153</v>
      </c>
      <c r="C10" s="21" t="s">
        <v>157</v>
      </c>
      <c r="D10" s="24"/>
      <c r="E10" s="40">
        <f t="shared" si="0"/>
        <v>0</v>
      </c>
      <c r="F10" s="44"/>
      <c r="G10" s="24"/>
      <c r="H10" s="24"/>
      <c r="I10" s="45"/>
      <c r="J10" s="45"/>
      <c r="K10" s="46"/>
      <c r="L10" s="46"/>
      <c r="M10" s="24"/>
    </row>
    <row r="11" spans="1:13" s="25" customFormat="1" ht="51" customHeight="1" x14ac:dyDescent="0.25">
      <c r="A11" s="35" t="s">
        <v>152</v>
      </c>
      <c r="B11" s="35" t="s">
        <v>153</v>
      </c>
      <c r="C11" s="21"/>
      <c r="D11" s="24"/>
      <c r="E11" s="40">
        <f t="shared" si="0"/>
        <v>0</v>
      </c>
      <c r="F11" s="44"/>
      <c r="G11" s="24"/>
      <c r="H11" s="24"/>
      <c r="I11" s="45"/>
      <c r="J11" s="45"/>
      <c r="K11" s="46"/>
      <c r="L11" s="46"/>
      <c r="M11" s="24"/>
    </row>
    <row r="12" spans="1:13" s="25" customFormat="1" ht="51" customHeight="1" x14ac:dyDescent="0.25">
      <c r="A12" s="35" t="s">
        <v>152</v>
      </c>
      <c r="B12" s="35" t="s">
        <v>153</v>
      </c>
      <c r="C12" s="21"/>
      <c r="D12" s="24"/>
      <c r="E12" s="40">
        <f t="shared" si="0"/>
        <v>0</v>
      </c>
      <c r="F12" s="44"/>
      <c r="G12" s="24"/>
      <c r="H12" s="24"/>
      <c r="I12" s="45"/>
      <c r="J12" s="45"/>
      <c r="K12" s="46"/>
      <c r="L12" s="46"/>
      <c r="M12" s="24"/>
    </row>
    <row r="13" spans="1:13" s="25" customFormat="1" ht="51" customHeight="1" x14ac:dyDescent="0.25">
      <c r="A13" s="35" t="s">
        <v>152</v>
      </c>
      <c r="B13" s="35" t="s">
        <v>153</v>
      </c>
      <c r="C13" s="21"/>
      <c r="D13" s="24"/>
      <c r="E13" s="40">
        <f t="shared" si="0"/>
        <v>0</v>
      </c>
      <c r="F13" s="44"/>
      <c r="G13" s="24"/>
      <c r="H13" s="24"/>
      <c r="I13" s="45"/>
      <c r="J13" s="45"/>
      <c r="K13" s="46"/>
      <c r="L13" s="46"/>
      <c r="M13" s="24"/>
    </row>
    <row r="14" spans="1:13" s="25" customFormat="1" ht="51" customHeight="1" x14ac:dyDescent="0.25">
      <c r="A14" s="35" t="s">
        <v>152</v>
      </c>
      <c r="B14" s="35" t="s">
        <v>153</v>
      </c>
      <c r="C14" s="21"/>
      <c r="D14" s="24"/>
      <c r="E14" s="40">
        <f t="shared" si="0"/>
        <v>0</v>
      </c>
      <c r="F14" s="44"/>
      <c r="G14" s="24"/>
      <c r="H14" s="24"/>
      <c r="I14" s="45"/>
      <c r="J14" s="45"/>
      <c r="K14" s="46"/>
      <c r="L14" s="46"/>
      <c r="M14" s="24"/>
    </row>
    <row r="15" spans="1:13" s="25" customFormat="1" ht="51" customHeight="1" x14ac:dyDescent="0.25">
      <c r="A15" s="35" t="s">
        <v>152</v>
      </c>
      <c r="B15" s="35" t="s">
        <v>153</v>
      </c>
      <c r="C15" s="21"/>
      <c r="D15" s="24"/>
      <c r="E15" s="40">
        <f t="shared" si="0"/>
        <v>0</v>
      </c>
      <c r="F15" s="44"/>
      <c r="G15" s="24"/>
      <c r="H15" s="24"/>
      <c r="I15" s="45"/>
      <c r="J15" s="45"/>
      <c r="K15" s="46"/>
      <c r="L15" s="46"/>
      <c r="M15" s="24"/>
    </row>
    <row r="16" spans="1:13" s="25" customFormat="1" ht="51" customHeight="1" x14ac:dyDescent="0.25">
      <c r="A16" s="35" t="s">
        <v>152</v>
      </c>
      <c r="B16" s="35" t="s">
        <v>153</v>
      </c>
      <c r="C16" s="21"/>
      <c r="D16" s="24"/>
      <c r="E16" s="40">
        <f t="shared" si="0"/>
        <v>0</v>
      </c>
      <c r="F16" s="24"/>
      <c r="G16" s="24"/>
      <c r="H16" s="24"/>
      <c r="I16" s="24"/>
      <c r="J16" s="24"/>
      <c r="K16" s="46"/>
      <c r="L16" s="46"/>
      <c r="M16" s="24"/>
    </row>
    <row r="17" spans="1:13" s="25" customFormat="1" ht="51" customHeight="1" x14ac:dyDescent="0.25">
      <c r="A17" s="35" t="s">
        <v>152</v>
      </c>
      <c r="B17" s="35" t="s">
        <v>153</v>
      </c>
      <c r="C17" s="21"/>
      <c r="D17" s="24"/>
      <c r="E17" s="40">
        <f t="shared" si="0"/>
        <v>0</v>
      </c>
      <c r="F17" s="24"/>
      <c r="G17" s="24"/>
      <c r="H17" s="24"/>
      <c r="I17" s="24"/>
      <c r="J17" s="24"/>
      <c r="K17" s="46"/>
      <c r="L17" s="46"/>
      <c r="M17" s="24" t="s">
        <v>130</v>
      </c>
    </row>
    <row r="18" spans="1:13" s="25" customFormat="1" ht="51" customHeight="1" x14ac:dyDescent="0.25">
      <c r="A18" s="35" t="s">
        <v>152</v>
      </c>
      <c r="B18" s="35" t="s">
        <v>153</v>
      </c>
      <c r="C18" s="21"/>
      <c r="D18" s="24"/>
      <c r="E18" s="40">
        <f t="shared" si="0"/>
        <v>0</v>
      </c>
      <c r="F18" s="24"/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4"/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4"/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4"/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4"/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4"/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4"/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4"/>
      <c r="G25" s="24"/>
      <c r="H25" s="24"/>
      <c r="I25" s="24"/>
      <c r="J25" s="24"/>
      <c r="K25" s="46"/>
      <c r="L25" s="46"/>
      <c r="M25" s="24"/>
    </row>
    <row r="26" spans="1:13" s="25" customFormat="1" ht="51" customHeight="1" x14ac:dyDescent="0.25">
      <c r="A26" s="35"/>
      <c r="B26" s="35"/>
      <c r="C26" s="21"/>
      <c r="D26" s="24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0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0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5" priority="3" operator="greaterThan">
      <formula>104</formula>
    </cfRule>
  </conditionalFormatting>
  <conditionalFormatting sqref="E67:E68">
    <cfRule type="cellIs" dxfId="4" priority="2" operator="greaterThan">
      <formula>104</formula>
    </cfRule>
  </conditionalFormatting>
  <conditionalFormatting sqref="E8:E66">
    <cfRule type="cellIs" dxfId="3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J7" activePane="bottomRight" state="frozen"/>
      <selection pane="topRight" activeCell="D1" sqref="D1"/>
      <selection pane="bottomLeft" activeCell="A7" sqref="A7"/>
      <selection pane="bottomRight" activeCell="L7" sqref="L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227</v>
      </c>
      <c r="B7" s="35" t="s">
        <v>226</v>
      </c>
      <c r="C7" s="21" t="s">
        <v>219</v>
      </c>
      <c r="D7" s="24" t="s">
        <v>228</v>
      </c>
      <c r="E7" s="40">
        <f>LEN(D7)</f>
        <v>33</v>
      </c>
      <c r="F7" s="44" t="s">
        <v>18</v>
      </c>
      <c r="G7" s="24"/>
      <c r="H7" s="24" t="s">
        <v>241</v>
      </c>
      <c r="I7" s="45" t="s">
        <v>240</v>
      </c>
      <c r="J7" s="45" t="s">
        <v>239</v>
      </c>
      <c r="K7" s="46" t="s">
        <v>15</v>
      </c>
      <c r="L7" s="46"/>
      <c r="M7" s="24"/>
    </row>
    <row r="8" spans="1:13" s="25" customFormat="1" ht="51" customHeight="1" x14ac:dyDescent="0.25">
      <c r="A8" s="35" t="s">
        <v>227</v>
      </c>
      <c r="B8" s="35" t="s">
        <v>226</v>
      </c>
      <c r="C8" s="21" t="s">
        <v>223</v>
      </c>
      <c r="D8" s="24" t="s">
        <v>232</v>
      </c>
      <c r="E8" s="40">
        <f t="shared" ref="E8:E68" si="0">LEN(D8)</f>
        <v>33</v>
      </c>
      <c r="F8" s="44" t="s">
        <v>18</v>
      </c>
      <c r="G8" s="24"/>
      <c r="H8" s="24"/>
      <c r="I8" s="45" t="s">
        <v>240</v>
      </c>
      <c r="J8" s="45" t="s">
        <v>239</v>
      </c>
      <c r="K8" s="46" t="s">
        <v>15</v>
      </c>
      <c r="L8" s="46"/>
      <c r="M8" s="24"/>
    </row>
    <row r="9" spans="1:13" s="25" customFormat="1" ht="51" customHeight="1" x14ac:dyDescent="0.25">
      <c r="A9" s="35" t="s">
        <v>227</v>
      </c>
      <c r="B9" s="35" t="s">
        <v>226</v>
      </c>
      <c r="C9" s="21" t="s">
        <v>224</v>
      </c>
      <c r="D9" s="24" t="s">
        <v>229</v>
      </c>
      <c r="E9" s="40">
        <f t="shared" si="0"/>
        <v>59</v>
      </c>
      <c r="F9" s="44" t="s">
        <v>18</v>
      </c>
      <c r="G9" s="24"/>
      <c r="H9" s="24"/>
      <c r="I9" s="45" t="s">
        <v>240</v>
      </c>
      <c r="J9" s="45" t="s">
        <v>239</v>
      </c>
      <c r="K9" s="46" t="s">
        <v>15</v>
      </c>
      <c r="L9" s="46"/>
      <c r="M9" s="24"/>
    </row>
    <row r="10" spans="1:13" s="25" customFormat="1" ht="51" customHeight="1" x14ac:dyDescent="0.25">
      <c r="A10" s="35" t="s">
        <v>227</v>
      </c>
      <c r="B10" s="35" t="s">
        <v>221</v>
      </c>
      <c r="C10" s="21" t="s">
        <v>220</v>
      </c>
      <c r="D10" s="24" t="s">
        <v>230</v>
      </c>
      <c r="E10" s="40">
        <f t="shared" si="0"/>
        <v>25</v>
      </c>
      <c r="F10" s="44" t="s">
        <v>18</v>
      </c>
      <c r="G10" s="24"/>
      <c r="H10" s="24" t="s">
        <v>241</v>
      </c>
      <c r="I10" s="45" t="s">
        <v>240</v>
      </c>
      <c r="J10" s="45" t="s">
        <v>239</v>
      </c>
      <c r="K10" s="46" t="s">
        <v>15</v>
      </c>
      <c r="L10" s="46"/>
      <c r="M10" s="24"/>
    </row>
    <row r="11" spans="1:13" s="25" customFormat="1" ht="51" customHeight="1" x14ac:dyDescent="0.25">
      <c r="A11" s="35" t="s">
        <v>227</v>
      </c>
      <c r="B11" s="35" t="s">
        <v>221</v>
      </c>
      <c r="C11" s="21" t="s">
        <v>222</v>
      </c>
      <c r="D11" s="24" t="s">
        <v>231</v>
      </c>
      <c r="E11" s="40">
        <f t="shared" si="0"/>
        <v>26</v>
      </c>
      <c r="F11" s="44" t="s">
        <v>18</v>
      </c>
      <c r="G11" s="24"/>
      <c r="H11" s="24"/>
      <c r="I11" s="45" t="s">
        <v>240</v>
      </c>
      <c r="J11" s="45" t="s">
        <v>239</v>
      </c>
      <c r="K11" s="46" t="s">
        <v>15</v>
      </c>
      <c r="L11" s="46"/>
      <c r="M11" s="24"/>
    </row>
    <row r="12" spans="1:13" s="25" customFormat="1" ht="51" customHeight="1" x14ac:dyDescent="0.25">
      <c r="A12" s="35" t="s">
        <v>227</v>
      </c>
      <c r="B12" s="35" t="s">
        <v>221</v>
      </c>
      <c r="C12" s="21" t="s">
        <v>225</v>
      </c>
      <c r="D12" s="24" t="s">
        <v>233</v>
      </c>
      <c r="E12" s="40">
        <f t="shared" si="0"/>
        <v>55</v>
      </c>
      <c r="F12" s="44" t="s">
        <v>18</v>
      </c>
      <c r="G12" s="24"/>
      <c r="H12" s="24"/>
      <c r="I12" s="45" t="s">
        <v>240</v>
      </c>
      <c r="J12" s="45" t="s">
        <v>239</v>
      </c>
      <c r="K12" s="46" t="s">
        <v>15</v>
      </c>
      <c r="L12" s="46"/>
      <c r="M12" s="24"/>
    </row>
    <row r="13" spans="1:13" s="25" customFormat="1" ht="51" customHeight="1" x14ac:dyDescent="0.25">
      <c r="A13" s="35" t="s">
        <v>227</v>
      </c>
      <c r="B13" s="35" t="s">
        <v>234</v>
      </c>
      <c r="C13" s="21" t="s">
        <v>235</v>
      </c>
      <c r="D13" s="24" t="s">
        <v>236</v>
      </c>
      <c r="E13" s="40">
        <f t="shared" si="0"/>
        <v>77</v>
      </c>
      <c r="F13" s="44" t="s">
        <v>18</v>
      </c>
      <c r="G13" s="24"/>
      <c r="H13" s="24"/>
      <c r="I13" s="45" t="s">
        <v>240</v>
      </c>
      <c r="J13" s="45" t="s">
        <v>239</v>
      </c>
      <c r="K13" s="46" t="s">
        <v>15</v>
      </c>
      <c r="L13" s="46"/>
      <c r="M13" s="24"/>
    </row>
    <row r="14" spans="1:13" s="25" customFormat="1" ht="51" customHeight="1" x14ac:dyDescent="0.25">
      <c r="A14" s="35" t="s">
        <v>227</v>
      </c>
      <c r="B14" s="35" t="s">
        <v>234</v>
      </c>
      <c r="C14" s="21" t="s">
        <v>237</v>
      </c>
      <c r="D14" s="24" t="s">
        <v>238</v>
      </c>
      <c r="E14" s="40">
        <f t="shared" si="0"/>
        <v>73</v>
      </c>
      <c r="F14" s="44" t="s">
        <v>18</v>
      </c>
      <c r="G14" s="24"/>
      <c r="H14" s="24"/>
      <c r="I14" s="45" t="s">
        <v>240</v>
      </c>
      <c r="J14" s="45" t="s">
        <v>239</v>
      </c>
      <c r="K14" s="46" t="s">
        <v>15</v>
      </c>
      <c r="L14" s="46"/>
      <c r="M14" s="24"/>
    </row>
    <row r="15" spans="1:13" s="25" customFormat="1" ht="51" customHeight="1" x14ac:dyDescent="0.25">
      <c r="A15" s="35"/>
      <c r="B15" s="35"/>
      <c r="C15" s="21"/>
      <c r="D15" s="24"/>
      <c r="E15" s="40">
        <f t="shared" si="0"/>
        <v>0</v>
      </c>
      <c r="F15" s="44"/>
      <c r="G15" s="24"/>
      <c r="H15" s="24"/>
      <c r="I15" s="45"/>
      <c r="J15" s="45"/>
      <c r="K15" s="46"/>
      <c r="L15" s="46"/>
      <c r="M15" s="24"/>
    </row>
    <row r="16" spans="1:13" s="25" customFormat="1" ht="51" customHeight="1" x14ac:dyDescent="0.25">
      <c r="A16" s="35"/>
      <c r="B16" s="35"/>
      <c r="C16" s="21"/>
      <c r="D16" s="24"/>
      <c r="E16" s="40">
        <f t="shared" si="0"/>
        <v>0</v>
      </c>
      <c r="F16" s="24"/>
      <c r="G16" s="24"/>
      <c r="H16" s="24"/>
      <c r="I16" s="24"/>
      <c r="J16" s="24"/>
      <c r="K16" s="46"/>
      <c r="L16" s="46"/>
      <c r="M16" s="24"/>
    </row>
    <row r="17" spans="1:13" s="25" customFormat="1" ht="51" customHeight="1" x14ac:dyDescent="0.25">
      <c r="A17" s="35"/>
      <c r="B17" s="35"/>
      <c r="C17" s="21"/>
      <c r="D17" s="24"/>
      <c r="E17" s="40">
        <f t="shared" si="0"/>
        <v>0</v>
      </c>
      <c r="F17" s="24"/>
      <c r="G17" s="24"/>
      <c r="H17" s="24"/>
      <c r="I17" s="24"/>
      <c r="J17" s="24"/>
      <c r="K17" s="46"/>
      <c r="L17" s="46"/>
      <c r="M17" s="24" t="s">
        <v>130</v>
      </c>
    </row>
    <row r="18" spans="1:13" s="25" customFormat="1" ht="51" customHeight="1" x14ac:dyDescent="0.25">
      <c r="A18" s="35"/>
      <c r="B18" s="35"/>
      <c r="C18" s="21"/>
      <c r="D18" s="24"/>
      <c r="E18" s="40">
        <f t="shared" si="0"/>
        <v>0</v>
      </c>
      <c r="F18" s="24"/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4"/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4"/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4"/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4"/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4"/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4"/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4"/>
      <c r="G25" s="24"/>
      <c r="H25" s="24"/>
      <c r="I25" s="24"/>
      <c r="J25" s="24"/>
      <c r="K25" s="46"/>
      <c r="L25" s="46"/>
      <c r="M25" s="24"/>
    </row>
    <row r="26" spans="1:13" s="25" customFormat="1" ht="51" customHeight="1" x14ac:dyDescent="0.25">
      <c r="A26" s="35"/>
      <c r="B26" s="35"/>
      <c r="C26" s="21"/>
      <c r="D26" s="24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0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0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2" priority="3" operator="greaterThan">
      <formula>104</formula>
    </cfRule>
  </conditionalFormatting>
  <conditionalFormatting sqref="E67:E68">
    <cfRule type="cellIs" dxfId="1" priority="2" operator="greaterThan">
      <formula>104</formula>
    </cfRule>
  </conditionalFormatting>
  <conditionalFormatting sqref="E8:E66">
    <cfRule type="cellIs" dxfId="0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1" t="s">
        <v>1</v>
      </c>
      <c r="C2" s="51"/>
      <c r="D2" s="51"/>
      <c r="E2" s="51"/>
      <c r="F2" s="51"/>
      <c r="G2" s="1"/>
    </row>
    <row r="3" spans="1:7" ht="15" customHeight="1" x14ac:dyDescent="0.25">
      <c r="A3" s="1"/>
      <c r="B3" s="49" t="s">
        <v>22</v>
      </c>
      <c r="C3" s="49"/>
      <c r="D3" s="49"/>
      <c r="E3" s="49"/>
      <c r="F3" s="31"/>
      <c r="G3" s="1"/>
    </row>
    <row r="4" spans="1:7" ht="15" customHeight="1" x14ac:dyDescent="0.25">
      <c r="A4" s="1"/>
      <c r="B4" s="49"/>
      <c r="C4" s="49"/>
      <c r="D4" s="49"/>
      <c r="E4" s="49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A16" sqref="A16:A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95</v>
      </c>
    </row>
    <row r="2" spans="1:3" x14ac:dyDescent="0.25">
      <c r="A2" s="21" t="s">
        <v>8</v>
      </c>
      <c r="B2" t="s">
        <v>95</v>
      </c>
    </row>
    <row r="3" spans="1:3" x14ac:dyDescent="0.25">
      <c r="A3" s="21" t="s">
        <v>31</v>
      </c>
      <c r="B3" t="s">
        <v>95</v>
      </c>
    </row>
    <row r="4" spans="1:3" x14ac:dyDescent="0.25">
      <c r="A4" s="42" t="s">
        <v>47</v>
      </c>
      <c r="B4" t="s">
        <v>96</v>
      </c>
    </row>
    <row r="5" spans="1:3" x14ac:dyDescent="0.25">
      <c r="A5" s="21" t="s">
        <v>33</v>
      </c>
      <c r="B5" t="s">
        <v>95</v>
      </c>
    </row>
    <row r="6" spans="1:3" x14ac:dyDescent="0.25">
      <c r="A6" s="21" t="s">
        <v>26</v>
      </c>
      <c r="B6" t="s">
        <v>96</v>
      </c>
    </row>
    <row r="7" spans="1:3" x14ac:dyDescent="0.25">
      <c r="A7" s="21" t="s">
        <v>34</v>
      </c>
      <c r="B7" t="s">
        <v>96</v>
      </c>
      <c r="C7" s="21" t="s">
        <v>35</v>
      </c>
    </row>
    <row r="8" spans="1:3" x14ac:dyDescent="0.25">
      <c r="A8" s="21" t="s">
        <v>20</v>
      </c>
      <c r="B8" t="s">
        <v>96</v>
      </c>
    </row>
    <row r="9" spans="1:3" x14ac:dyDescent="0.25">
      <c r="A9" s="21" t="s">
        <v>28</v>
      </c>
      <c r="B9" t="s">
        <v>95</v>
      </c>
    </row>
    <row r="10" spans="1:3" x14ac:dyDescent="0.25">
      <c r="A10" s="42" t="s">
        <v>48</v>
      </c>
      <c r="B10" t="s">
        <v>96</v>
      </c>
    </row>
    <row r="11" spans="1:3" x14ac:dyDescent="0.25">
      <c r="A11" s="21" t="s">
        <v>24</v>
      </c>
      <c r="B11" t="s">
        <v>96</v>
      </c>
    </row>
    <row r="12" spans="1:3" x14ac:dyDescent="0.25">
      <c r="A12" s="21" t="s">
        <v>97</v>
      </c>
      <c r="B12" t="s">
        <v>95</v>
      </c>
    </row>
    <row r="13" spans="1:3" x14ac:dyDescent="0.25">
      <c r="A13" s="21" t="s">
        <v>25</v>
      </c>
      <c r="B13" t="s">
        <v>95</v>
      </c>
    </row>
    <row r="14" spans="1:3" x14ac:dyDescent="0.25">
      <c r="A14" s="21" t="s">
        <v>32</v>
      </c>
      <c r="B14" t="s">
        <v>95</v>
      </c>
    </row>
    <row r="15" spans="1:3" x14ac:dyDescent="0.25">
      <c r="A15" s="42" t="s">
        <v>30</v>
      </c>
      <c r="B15" t="s">
        <v>96</v>
      </c>
    </row>
    <row r="16" spans="1:3" x14ac:dyDescent="0.25">
      <c r="A16" s="21" t="s">
        <v>23</v>
      </c>
      <c r="B16" t="s">
        <v>95</v>
      </c>
    </row>
    <row r="17" spans="1:2" x14ac:dyDescent="0.25">
      <c r="A17" s="21" t="s">
        <v>27</v>
      </c>
      <c r="B17" t="s">
        <v>95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2015-12-03T14:20:54Z</dcterms:modified>
</cp:coreProperties>
</file>