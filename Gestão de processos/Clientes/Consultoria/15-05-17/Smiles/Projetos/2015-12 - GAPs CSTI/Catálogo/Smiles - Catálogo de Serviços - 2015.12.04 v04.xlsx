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Google Drive\Projetos\Smiles-ABU\"/>
    </mc:Choice>
  </mc:AlternateContent>
  <bookViews>
    <workbookView xWindow="0" yWindow="0" windowWidth="20490" windowHeight="9045" tabRatio="842" activeTab="4"/>
  </bookViews>
  <sheets>
    <sheet name="Informações Básicas" sheetId="2" r:id="rId1"/>
    <sheet name="CAT Negócio" sheetId="1" r:id="rId2"/>
    <sheet name="CAT Escritório" sheetId="6" r:id="rId3"/>
    <sheet name="CAT Atendimento" sheetId="8" r:id="rId4"/>
    <sheet name="CAT TIpTI" sheetId="7" r:id="rId5"/>
    <sheet name="CAT GA" sheetId="9" r:id="rId6"/>
    <sheet name="Protótipo" sheetId="3" r:id="rId7"/>
    <sheet name="Escopo" sheetId="4" r:id="rId8"/>
  </sheets>
  <definedNames>
    <definedName name="_xlnm._FilterDatabase" localSheetId="2" hidden="1">'CAT Escritório'!$A$6:$M$6</definedName>
    <definedName name="_xlnm._FilterDatabase" localSheetId="1" hidden="1">'CAT Negócio'!$A$6:$M$6</definedName>
    <definedName name="_xlnm._FilterDatabase" localSheetId="4" hidden="1">'CAT TIpTI'!$A$6:$M$40</definedName>
    <definedName name="_xlnm._FilterDatabase" localSheetId="7" hidden="1">Escopo!$A$1:$C$19</definedName>
  </definedNames>
  <calcPr calcId="162913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E18" i="7" l="1"/>
  <c r="E16" i="7"/>
  <c r="E17" i="7"/>
  <c r="E20" i="7"/>
  <c r="E14" i="7"/>
  <c r="E19" i="7"/>
  <c r="E15" i="7"/>
  <c r="E24" i="6"/>
  <c r="E31" i="6"/>
  <c r="E30" i="6"/>
  <c r="E22" i="6" l="1"/>
  <c r="M5" i="9" l="1"/>
  <c r="M5" i="7"/>
  <c r="L5" i="8"/>
  <c r="M5" i="6"/>
  <c r="E27" i="6" l="1"/>
  <c r="E10" i="9"/>
  <c r="E15" i="9" l="1"/>
  <c r="E14" i="9"/>
  <c r="E13" i="9"/>
  <c r="E12" i="9"/>
  <c r="E11" i="9"/>
  <c r="E9" i="9"/>
  <c r="E8" i="9"/>
  <c r="E7" i="9"/>
  <c r="E21" i="7" l="1"/>
  <c r="E27" i="7"/>
  <c r="E30" i="7"/>
  <c r="E40" i="7"/>
  <c r="E39" i="7"/>
  <c r="E33" i="7"/>
  <c r="E32" i="7"/>
  <c r="E28" i="7"/>
  <c r="E29" i="7"/>
  <c r="E23" i="7"/>
  <c r="E22" i="7"/>
  <c r="E36" i="7"/>
  <c r="E37" i="7"/>
  <c r="E34" i="7"/>
  <c r="E35" i="7"/>
  <c r="E25" i="7"/>
  <c r="E24" i="7"/>
  <c r="E26" i="7"/>
  <c r="E31" i="7"/>
  <c r="E11" i="7"/>
  <c r="E13" i="7"/>
  <c r="E10" i="7"/>
  <c r="E12" i="7"/>
  <c r="E38" i="7"/>
  <c r="E9" i="7"/>
  <c r="E7" i="7"/>
  <c r="E8" i="7"/>
  <c r="E29" i="6" l="1"/>
  <c r="E28" i="6"/>
  <c r="E26" i="6"/>
  <c r="E25" i="6"/>
  <c r="E23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 l="1"/>
</calcChain>
</file>

<file path=xl/comments1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Agrupamento principal. Em qual portal Jira está contigo o catálogo?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D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2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3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4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E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5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comments6.xml><?xml version="1.0" encoding="utf-8"?>
<comments xmlns="http://schemas.openxmlformats.org/spreadsheetml/2006/main">
  <authors>
    <author>Jorge Filho</author>
  </authors>
  <commentList>
    <comment ref="A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É o agrupamento principal (primeira página que o usuário tem acesso). 
No Jira: Portal</t>
        </r>
      </text>
    </comment>
    <comment ref="B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agrupamento de determinados Itens de Catálogos comuns a determinado assunto ou tema. Sugere-se que seja agrupado por "Produto" (ex.: Compra de Milhas) ou por outro tipo de agrupamento de entendimento fácil e imediato pelos usuários. 
No Jira: Request Group</t>
        </r>
      </text>
    </comment>
    <comment ref="C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a verbalização do usuário para solicitação de uma requisição ou abertura de um Incidente ou bug. Deve estar descrita em "linguagem de negócio", de forma fácil para o usuário encontrar o que deseja.
No Jira: Request Type</t>
        </r>
      </text>
    </comment>
    <comment ref="F6" authorId="0" shapeId="0">
      <text>
        <r>
          <rPr>
            <b/>
            <sz val="9"/>
            <color indexed="81"/>
            <rFont val="Segoe UI"/>
            <family val="2"/>
          </rPr>
          <t>Jorge Filho:</t>
        </r>
        <r>
          <rPr>
            <sz val="9"/>
            <color indexed="81"/>
            <rFont val="Segoe UI"/>
            <family val="2"/>
          </rPr>
          <t xml:space="preserve">
O que é?
Indica o tipo de fluxo e tratativa que serão dados ao Item de Catálogo especificado. 
Pode ser um Incidente ou uma Requisição.
No Jira: Issue Type</t>
        </r>
      </text>
    </comment>
  </commentList>
</comments>
</file>

<file path=xl/sharedStrings.xml><?xml version="1.0" encoding="utf-8"?>
<sst xmlns="http://schemas.openxmlformats.org/spreadsheetml/2006/main" count="1206" uniqueCount="429">
  <si>
    <t>Catálogo de Serviços de TI</t>
  </si>
  <si>
    <t>Central de Serviços de TI</t>
  </si>
  <si>
    <t>elaborado por ABU Consultoria</t>
  </si>
  <si>
    <t>Item de Catálogo</t>
  </si>
  <si>
    <t xml:space="preserve">Portal </t>
  </si>
  <si>
    <t>Produto ou Grupo</t>
  </si>
  <si>
    <t>Tipo de Chamado</t>
  </si>
  <si>
    <t>Informações Básicas para o Catálogo de Serviços</t>
  </si>
  <si>
    <t>Compra de Milhas</t>
  </si>
  <si>
    <t>Prioridade</t>
  </si>
  <si>
    <t>SLA de Resposta</t>
  </si>
  <si>
    <t>SLA de Resolução</t>
  </si>
  <si>
    <t>Grupo Solucionador</t>
  </si>
  <si>
    <t>Envio de 
Feedback</t>
  </si>
  <si>
    <t>Atributos mínimos 
para atendimento</t>
  </si>
  <si>
    <t>Sim</t>
  </si>
  <si>
    <t>Anexo?</t>
  </si>
  <si>
    <t>Total Geral</t>
  </si>
  <si>
    <t>Solicitação</t>
  </si>
  <si>
    <t>Não</t>
  </si>
  <si>
    <t>Promoções</t>
  </si>
  <si>
    <t>Prorrogar Promoção</t>
  </si>
  <si>
    <t>Protótipo de Navegação no Catálogo de Serviços</t>
  </si>
  <si>
    <t>Transferência de Milhas</t>
  </si>
  <si>
    <t>Siebel Loyalty</t>
  </si>
  <si>
    <t>Site Smiles</t>
  </si>
  <si>
    <t>Fraude/Perda Financeira</t>
  </si>
  <si>
    <t>URA</t>
  </si>
  <si>
    <t>Reativação de Milhas</t>
  </si>
  <si>
    <t>Clube Smiles</t>
  </si>
  <si>
    <t>Smiles Shopping</t>
  </si>
  <si>
    <t>Crédito de Vôo</t>
  </si>
  <si>
    <t>Smiles Pay</t>
  </si>
  <si>
    <t xml:space="preserve">Emissão </t>
  </si>
  <si>
    <t>Portal Parceiros</t>
  </si>
  <si>
    <t>Gateway de Pagamento</t>
  </si>
  <si>
    <t>Cadastrar novo Parceiro</t>
  </si>
  <si>
    <t>Cliente não consegue resgatar</t>
  </si>
  <si>
    <t>Subtítulo</t>
  </si>
  <si>
    <t>Erro no Arquivo Financeiro</t>
  </si>
  <si>
    <t xml:space="preserve">Erro no Arquivo Contábil </t>
  </si>
  <si>
    <t>Erro no Arquivo de Vendas</t>
  </si>
  <si>
    <t xml:space="preserve">Execução pontual do Arquivo Contábil </t>
  </si>
  <si>
    <t>Execução pontual do Arquivo Financeiro</t>
  </si>
  <si>
    <t>Execução pontual do Arquivo de Vendas</t>
  </si>
  <si>
    <t>Atraso ou Erro no Arquivo EDI - Parceiros Críticos</t>
  </si>
  <si>
    <t>Atraso ou Erro no Arquivo EDI - Outros</t>
  </si>
  <si>
    <t>EDI</t>
  </si>
  <si>
    <t>Relatórios / Arquivos</t>
  </si>
  <si>
    <t>Página não abre / não carrega</t>
  </si>
  <si>
    <t>Shopping Smiles</t>
  </si>
  <si>
    <t>Incidente</t>
  </si>
  <si>
    <t>Outras solicitações (Shopping Smiles)</t>
  </si>
  <si>
    <t>Cadastrar novo parceiro no Shopping Smiles.</t>
  </si>
  <si>
    <t>Shopping Smiles não carrega, Erros na página do Shopping Smiles.</t>
  </si>
  <si>
    <t>Cliente não consegue resgatar no Shopping Smiles.</t>
  </si>
  <si>
    <t>Outras solicitações (EDI)</t>
  </si>
  <si>
    <t>Informar parceiro(s) afetados(s) e a falha que está sendo percebida.</t>
  </si>
  <si>
    <t>Reportar atraso ou erro no envio de arquivos EDI de OUTROS parceiros.</t>
  </si>
  <si>
    <t>Em caso de inconsistência de informações, detalhar os dados divergentes para que possamos avaliar e indentificar onde se encontra(m) o(s) erro(s).</t>
  </si>
  <si>
    <t>Reportar a necessidade de execução pontual do Arquivo Contábil, além da frequência pré-estabelecida (diária, mensal, etc.).</t>
  </si>
  <si>
    <t>Reportar a necessidade de execução pontual do Arquivo Financeiro, além da frequência pré-estabelecida (diária, mensal, etc.).</t>
  </si>
  <si>
    <t>Reportar a necessidade de execução pontual do Arquivo de Vendas, além da frequência pré-estabelecida (diária, mensal, etc.).</t>
  </si>
  <si>
    <t>Informar a data de execução pontual do Arquivo Contábil e os parâmetros necessários para sua geração.</t>
  </si>
  <si>
    <t>Informar a data de execução pontual do Arquivo Financeiro e os parâmetros necessários para sua geração.</t>
  </si>
  <si>
    <t>Informar a data de execução pontual do Arquivo de Vendas e os parâmetros necessários para sua geração.</t>
  </si>
  <si>
    <t>Informar o ambiente Siebel onde o parceiro será cadastrato (Produção e/ou Teste); o Nome do Parceiro e o Código do Parceiro.</t>
  </si>
  <si>
    <t>Em caso de mensagem de erro, informar a mensagem e anexar o "print da tela" do erro.</t>
  </si>
  <si>
    <t>Informar detalhadamente sua necessidade ou falha identificada, para que possamos compreendê-la e prover a adequada tratativa. Caso possua algum documento ou "print de tela" que nos ajude no entendimento, favor anexar ao chamado.</t>
  </si>
  <si>
    <t>Informar o "CPF" do Cliente, o "Código de Participante" do Cliente e também data da transação, "print da tela" do erro (caso aplicável).</t>
  </si>
  <si>
    <t>Outras solicitações (Relatórios / Arquivos)</t>
  </si>
  <si>
    <t>Incidente Crítico</t>
  </si>
  <si>
    <t>CSTI - Negócio / Produtos</t>
  </si>
  <si>
    <t>Caso não tenha encontrado a opção adequada, utilizar esta categoria para abrir seu chamado.</t>
  </si>
  <si>
    <t>Itaú (ISP), Bradesco (BBR), HSBC (HSB), Caixa Econômica (CE2), Santander (SAB), Banco do Brasil (BDB).</t>
  </si>
  <si>
    <t>Falha de abertura do arquivo ou inconsistência de informações.</t>
  </si>
  <si>
    <t>Cadastrar Novo Produto</t>
  </si>
  <si>
    <t>Alteração de Produto</t>
  </si>
  <si>
    <t xml:space="preserve">Promoção com erro </t>
  </si>
  <si>
    <t>Alterar datas de vigência, promoção deve voltar em, promoção deverá voltar em</t>
  </si>
  <si>
    <t xml:space="preserve">Manutenção de Promoção </t>
  </si>
  <si>
    <t>Cadastrar Nova Promoção</t>
  </si>
  <si>
    <t>Criar Promoção, Incluir Promoção, Nova Promoção</t>
  </si>
  <si>
    <t>Erro de Promoção, Promoção não bonificou Cliente</t>
  </si>
  <si>
    <t>Criar Produto, Incluir Produto, Novo Produto</t>
  </si>
  <si>
    <t>Manutenção de Produto</t>
  </si>
  <si>
    <t>Cadastrar Novo Parceiro (Aéreo)</t>
  </si>
  <si>
    <t>Criar Novo Parceiro (Aéreo)</t>
  </si>
  <si>
    <t>Alteração de Parceiro (Não Aéreo)</t>
  </si>
  <si>
    <t>Cadastrar Novo Parceiro (Não Aéreo)</t>
  </si>
  <si>
    <t>Criar Novo Parceiro (Não Aéreo)</t>
  </si>
  <si>
    <t>Informar o ambiente Siebel onde o parceiro será cadastrado (Produção e/ou Teste), "Alias", Nome do Parceiro e os Produtos do Parceiro.</t>
  </si>
  <si>
    <t>Informar os itens ou parâmetros que necessitam ser alterados, o ambiente Siebel onde o Produto está cadastrado (Produção e/ou Teste) e também o Nome do Produto.</t>
  </si>
  <si>
    <t>Informar os itens ou parâmetros que necessitam ser alterados, o ambiente Siebel onde o parceiro está cadastrado (Produção e/ou Teste) e também o "Alias" e o Nome do Parceiro.</t>
  </si>
  <si>
    <t>Carac</t>
  </si>
  <si>
    <t>BackOffice</t>
  </si>
  <si>
    <t>Negócio</t>
  </si>
  <si>
    <t>Incidente Siebel</t>
  </si>
  <si>
    <t>Manutenção de Parceiro</t>
  </si>
  <si>
    <t>Informar o "Alias", Nome do Parceiro e os Produtos do Parceiro.</t>
  </si>
  <si>
    <t>Cadastros</t>
  </si>
  <si>
    <t>Informar o ambiente Siebel onde o Produto será cadastrado (Produção e/ou Teste) e em qual Parceiro estará vinculado e o número da peça caso aplicável.</t>
  </si>
  <si>
    <t>Alteração de Promoção, Reativação de Promoção, Encerrar Promoção</t>
  </si>
  <si>
    <t>Anexar Formulário de Criação de Promoção. (Obs: Campo Anexo Obrigatório)</t>
  </si>
  <si>
    <t>Informar os itens ou parâmetros que necessitam ser alterados, o ambiente Siebel onde a Promoção está cadastrada (Produção e/ou Teste) e também o ID da Promoção.</t>
  </si>
  <si>
    <t>Informar qual o erro, ID da Promoção com erro, caso aplicável anexar evidência do erro. (ID da Transação, Print de Tela do erro).</t>
  </si>
  <si>
    <t>Informar o ID da Promoção a ser prorrogada e a nova data de vigência.</t>
  </si>
  <si>
    <t>Escritório (Micro-Informática)</t>
  </si>
  <si>
    <t>Impressão</t>
  </si>
  <si>
    <t>Vídeo Conferência</t>
  </si>
  <si>
    <t>Telefonia</t>
  </si>
  <si>
    <t>Laptop e Periféricos</t>
  </si>
  <si>
    <t>Internet</t>
  </si>
  <si>
    <t>VPN</t>
  </si>
  <si>
    <t>Ramal não loga, não efetua chamadas internas (ramal para ramal), não efetua chamadas externas.</t>
  </si>
  <si>
    <t>Solicitar ramal para o usuário (funcionário ou terceiro).</t>
  </si>
  <si>
    <t>Trocar ramal, configurar ramal, alterar nome no ramal, etc.</t>
  </si>
  <si>
    <t>Configurar impressora para o usuário (funcionário ou terceiros).</t>
  </si>
  <si>
    <t>Não consegue imprimir, impressora com erro, falha de Tonner, Tonner baixo, papel preso, etc.</t>
  </si>
  <si>
    <t>Testar a vídeo conferência antes de uma reunião.</t>
  </si>
  <si>
    <t>Vídeo Conferência não funciona.</t>
  </si>
  <si>
    <t>Falhas com HDMI, televisões, mouses, projetores ou outros equipamentos das salas de reunião.</t>
  </si>
  <si>
    <t>Salas de Reunião</t>
  </si>
  <si>
    <t>Internet não funciona.</t>
  </si>
  <si>
    <t>Lentidão ou Indisponibilidade no acesso à Internet.</t>
  </si>
  <si>
    <t>Não navega em um site específico.</t>
  </si>
  <si>
    <t>Usuário não consegue navegar em um site específico.</t>
  </si>
  <si>
    <t>Erro de conexão VPN.</t>
  </si>
  <si>
    <t>VPN não conecta, Erro de VPN.</t>
  </si>
  <si>
    <t>Periféricos com mau funcionamento.</t>
  </si>
  <si>
    <t>Usuário com problemas com mouse, teclado, headset, etc.</t>
  </si>
  <si>
    <t>Configuração e Manutenção de Laptop.</t>
  </si>
  <si>
    <t>Perda e Roubo de Laptop.</t>
  </si>
  <si>
    <t>Aquisição de Laptop e/ou Periféricos.</t>
  </si>
  <si>
    <t>Solicitação de Laptop e/ou Periféricos (mouse, teclado, headset, etc.)</t>
  </si>
  <si>
    <t>Laptop lento, Laptop com problemas, Configuração de Laptop, etc.</t>
  </si>
  <si>
    <t>Rede</t>
  </si>
  <si>
    <t>Lentidão ou Indisponibilidade no acesso à rede.</t>
  </si>
  <si>
    <t>Software</t>
  </si>
  <si>
    <t>Solicitação de Ramal.</t>
  </si>
  <si>
    <t>Configuração e Manutenção de Ramal.</t>
  </si>
  <si>
    <t>Problemas com ramal ou ligações.</t>
  </si>
  <si>
    <t>Configuração de Impressora.</t>
  </si>
  <si>
    <t>Erro ou Falha de Impressão.</t>
  </si>
  <si>
    <t>Verificação da Vídeo Conferência para uso.</t>
  </si>
  <si>
    <t>Erro ou Falha da Vídeo Conferência.</t>
  </si>
  <si>
    <t>Erros ou Falhas em equipamentos das Salas de Reunião.</t>
  </si>
  <si>
    <t>TI pra TI (Infra)</t>
  </si>
  <si>
    <t>Central de Atendimento</t>
  </si>
  <si>
    <t>Não entrou a quantidade de milhas esperada na conta do cliente
Cliente comprou e a quantindade de milhas cretidata estava errada</t>
  </si>
  <si>
    <t>Falha na bonificação do cliente.</t>
  </si>
  <si>
    <t>Voucher com desconto incorreto
Voucher com data de expiração incorreta</t>
  </si>
  <si>
    <t>Não estão aparecendo as milhas para o cliente revalidar.</t>
  </si>
  <si>
    <t>Falha na bonificação relacionada a emissões.</t>
  </si>
  <si>
    <t>Falha na bonificação de transferências.</t>
  </si>
  <si>
    <t>Falha na bonificação de crédito retroativo.</t>
  </si>
  <si>
    <t>Erros de Promoção / Bonificação</t>
  </si>
  <si>
    <t>Anexar a planilha padrão de chamados de promoção.</t>
  </si>
  <si>
    <t>Incidente_Crítico</t>
  </si>
  <si>
    <t>Indisponibilidade Siebel e/ou Smiles Pay</t>
  </si>
  <si>
    <t>Siebel e/ou Smiles Pay lento ou indisponível para TODA a Central de Atendimento.</t>
  </si>
  <si>
    <t>Indisponibilidade Amadeus</t>
  </si>
  <si>
    <t>Amadeus lento ou indisponível para TODA a Central de Atendimento.</t>
  </si>
  <si>
    <t>Informar o Código Smiles, Data do Erro e "Print de Tela" do Erro (caso aplicável).</t>
  </si>
  <si>
    <t>Informar a Data do Erro e "Print de Tela" do Erro (caso aplicável).</t>
  </si>
  <si>
    <t>Informar a Data e Hora em que o erro ocorreu, anexar o "Print de Tela" com o erro e descrever com detalhes a situação.</t>
  </si>
  <si>
    <t>Referente a Busca, Emissão, Pagamento.</t>
  </si>
  <si>
    <t>Informar a Data e Hora em que o erro ocorreu, anexar o "Print de Tela" com o erro e descrever com detalhes a situação.
Especificar qual cliente (número Smiles) e qual trecho está ocorrendo a falha.</t>
  </si>
  <si>
    <t>Um único cliente com dificuldade/erro para logar no site.</t>
  </si>
  <si>
    <t>Informar a Data e Hora em que o erro ocorreu, anexar o "Print de Tela" com o erro e descrever com detalhes a situação.
Especificar qual cliente (número Smiles).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</si>
  <si>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</si>
  <si>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</si>
  <si>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</si>
  <si>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</si>
  <si>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</si>
  <si>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Informar a Data e Hora em que o erro ocorreu, anexar o "Print de Tela" com o erro e descrever com detalhes a situação.
Especificar qual cliente (número Smiles) e as informações sobre o vôo que o cliente está tentando solicitar o crédito.</t>
  </si>
  <si>
    <t>TODOS os clientes com problemas para solicitar seus créditos retroativos.</t>
  </si>
  <si>
    <t>Revogação</t>
  </si>
  <si>
    <t>Revogar Acesso VPN</t>
  </si>
  <si>
    <t>Conceder Acesso VPN</t>
  </si>
  <si>
    <t>Conceder Acesso ao Siebel ou Outras Ferramentas</t>
  </si>
  <si>
    <t>Revogar Acesso ao Siebel ou Outras Ferramentas</t>
  </si>
  <si>
    <t>Concessão</t>
  </si>
  <si>
    <t>Gestão de Acessos</t>
  </si>
  <si>
    <t>Solicitação de novo acesso ao AD.</t>
  </si>
  <si>
    <t>Solicitação de novo acesso ao Siebel ou outras Ferramentas.</t>
  </si>
  <si>
    <t>Exclusão de acesso ao AD.</t>
  </si>
  <si>
    <t>Revogação de acesso à VPN.</t>
  </si>
  <si>
    <t>Solicitação de novo acesso à VPN.</t>
  </si>
  <si>
    <t>Revogação de acesso ao ao Siebel ou outras Ferramentas.</t>
  </si>
  <si>
    <t>Alteração de Perfil</t>
  </si>
  <si>
    <t>Alterar Permissionamento específicos</t>
  </si>
  <si>
    <t>2 dias úteis</t>
  </si>
  <si>
    <t>Alta</t>
  </si>
  <si>
    <t>Informar o login de rede e anexar: a solicitação do RH (em caso de funcionário) ou a solicitação do gestor do projeto (em caso de terceiro).</t>
  </si>
  <si>
    <t>Informar o número do ramal e descrever a necessidade (configuração ou alteração de nome no display, etc.).</t>
  </si>
  <si>
    <t>Informar o número do ramal e descrever o problema (exemplo: ramal não loga, chamadas internas ou externas não realizadas, etc.)</t>
  </si>
  <si>
    <t>Configurar impressora para funcionário (preto e branco): informar o nome do usuário, hostname ou número do ativo de seu Laptop.
Configurar impressa para terceiros: informar o nome do terceiro e anexar o e-mail de aprovação do gestor do contrato. 
Configurar impressão colorida: informar o nome do usuário e anexar o e-mail de aprovação do gestor imediato, autorizando impressões coloridas.</t>
  </si>
  <si>
    <t>Informar em qual impressora está tentando imprimir e também descrever o erro ou falha.</t>
  </si>
  <si>
    <t>Infomar a data e hora para realização da verificação (antes da reunião) e também o endereço IP da Vídeo Conferência que será conectada.</t>
  </si>
  <si>
    <t>Informar o erro ou falha apresentada (exemplo: sem sinal, imagem ruim, sem som, etc.).</t>
  </si>
  <si>
    <t>Informar o erro ou falha apresentada (exemplo: projetor desconfigurado, cabo HDMI com problemas, televisão desconfigurada, tomadas com problemas, etc.).</t>
  </si>
  <si>
    <t>Informar a rede que está conectado (ex. Wifi Guest, Wifi Corp, etc.), descrever o erro ou site que está apresentando lentidão.</t>
  </si>
  <si>
    <t>Informar a rede que está conectado (ex. Wifi Guest, Wifi Corp, etc.) e o site que não está sendo possível navegar.</t>
  </si>
  <si>
    <t>Informar o erro ou falha apresentada e anexar evidência (print de tela).</t>
  </si>
  <si>
    <t>Informar o erro ou falha e qual periférico está apresentando problema (mouse, teclado, headset, etc.).</t>
  </si>
  <si>
    <t>Informar erro ou falha apresentada e também hostname ou número do ativo de seu Laptop.</t>
  </si>
  <si>
    <t>Infomar a necessidade e justificativa de aquisição e anexar o e-mail de aprovação do gestor imediato.</t>
  </si>
  <si>
    <t>Informar o usuário de rede do colaborador que teve seu Laptop perdido ou roubado e anexar cópia digitalizada do Boletim de Ocorrência (caso aplicável).</t>
  </si>
  <si>
    <t>Conceder Acesso à Pasta ou Diretório de Rede</t>
  </si>
  <si>
    <t>Solicitação de novo acesso a alguma pasta ou diretório de rede.</t>
  </si>
  <si>
    <t>Não consegue acessar pasta ou diretório de rede.</t>
  </si>
  <si>
    <t>Erro de acesso à pasta ou diretório de rede.</t>
  </si>
  <si>
    <t>Informar o usuário de rede e a pasta ou diretório que não está conseguindo acessar.</t>
  </si>
  <si>
    <t>Informar o usuário de rede e o erro ou falha apresentada. Se possível, anexar um print de tela, evidenciando a situação.</t>
  </si>
  <si>
    <t>Instalação de Software (padrão).</t>
  </si>
  <si>
    <t>Instalação de Software (não-padrão).</t>
  </si>
  <si>
    <t>Configuração ou Erro em Software (padrão).</t>
  </si>
  <si>
    <t>Configuração ou Erro em Software (não-padrão).</t>
  </si>
  <si>
    <t>Infomar a necessidade e justificativa de instalação e anexar o e-mail de aprovação do gestor imediato.</t>
  </si>
  <si>
    <t>Infomar a necessidade e justificativa de instalação.</t>
  </si>
  <si>
    <t>Informar o usuário de rede, o nome do software e o erro ou falha apresentada (ex.: Word não abre).</t>
  </si>
  <si>
    <t>Informar o usuário de rede, o nome do software e o erro ou falha apresentada (ex.: Visio não abre).</t>
  </si>
  <si>
    <t>3 dias úteis</t>
  </si>
  <si>
    <t>Médio</t>
  </si>
  <si>
    <t>SI</t>
  </si>
  <si>
    <t>Alterar Perfil de Acesso ao Siebel ou Outras Ferramentas</t>
  </si>
  <si>
    <t>Alteração de perfil de acesso ao Siebel ou outras Ferramentas.</t>
  </si>
  <si>
    <t>Informar o Nome do Usuário, CPF, RG, Data de Nascimento, E-mail, Telefone.
Em caso de terceiros, anexar ao chamado o e-mail de aprovação do Gestor do Contrato.</t>
  </si>
  <si>
    <t>Informar o Nome do Usuário e o Login de Rede que precisa ser revogado.
Em caso de terceiros, incluir o e-mail de aprovação do Gestor do Contrato.</t>
  </si>
  <si>
    <t>Informar o Nome do Usuário e o Login de Rede que precisa ter o acesso VPN revogado.
Em caso de terceiros, incluir o e-mail de aprovação do Gestor do Contrato.</t>
  </si>
  <si>
    <t>Informar o Nome do Usuário, Login de Rede, Período de Início e Fim para uso da VPN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</si>
  <si>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Nome da Ferramenta,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</si>
  <si>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do Usuário, Login de Rede, Pasta ou Diretório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</si>
  <si>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Nome da Ferramenta, Nome do Usuário e Login de Rede que precisa ter o acesso revogado.
Em caso de terceiros, incluir o e-mail de aprovação do Gestor do Contrato.</t>
  </si>
  <si>
    <t>Informar o Nome da Ferramenta, Nome do Usuário, Login de Rede e perfil de acesso que precisa ser alterado.
Em caso de funcionários Smiles, anexar ao chamado o e-mail de aprovação do Gestor Imediato.
Em caso de terceiros, anexar ao chamado o e-mail de aprovação do Gestor do Contrato.</t>
  </si>
  <si>
    <t>Informar o Nome da Ferramenta, Nome do Usuário, Login de Rede e permissionamentos que precisam ser alterados.
Em caso de funcionários Smiles, anexar ao chamado o e-mail de aprovação do Gestor Imediato.
Em caso de terceiros, anexar ao chamado o e-mail de aprovação do Gestor do Contrato.</t>
  </si>
  <si>
    <t>Acesso com Aprov. de SI</t>
  </si>
  <si>
    <t>Acesso com Aprov. Adicional</t>
  </si>
  <si>
    <t>Internet Explorer, Chrome, MS Office, Jabber, Outlook, SAP, etc.</t>
  </si>
  <si>
    <t>Project, Visio, etc.</t>
  </si>
  <si>
    <t>Conceder Login de Rede (AD)</t>
  </si>
  <si>
    <t>Revogar Login de Rede (AD)</t>
  </si>
  <si>
    <t>4 horas úteis</t>
  </si>
  <si>
    <t>Alterar de Nível de Log</t>
  </si>
  <si>
    <t>Acessos em TI</t>
  </si>
  <si>
    <t>Criar Acessos (TI)</t>
  </si>
  <si>
    <t>Alterar Acessos (TI)</t>
  </si>
  <si>
    <t>Revogar Acessos (TI)</t>
  </si>
  <si>
    <t>Informar o Login de Rede ou E-mail, Componente que deseja ter acesso,  Perfil que deseja ter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</si>
  <si>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Componente, Perfil ou permissionamento que deseja alterar o acesso e também uma justificativa da necessidade.
Em caso de funcionários Smiles, anexar ao chamado o e-mail de aprovação do Gestor Imediato.
Em caso de terceiros, anexar ao chamado o e-mail de aprovação do Gestor do Contrato.</t>
  </si>
  <si>
    <t>Informar o Login de Rede ou E-mail, Componente que deseja revogar o acesso,  Perfil que deseja ter acesso revogado e também uma justificativa.
Em caso de funcionários Smiles, anexar ao chamado o e-mail de aprovação do Gestor Imediato.
Em caso de terceiros, anexar ao chamado o e-mail de aprovação do Gestor do Contrato.</t>
  </si>
  <si>
    <t>Informar o Ambiente, Lista de URLs (Nexus), informar o Projeto que está sendo trabalhado (caso aplicável).</t>
  </si>
  <si>
    <t>Informar o Ambiente, a Aplicação que precisa ser configurada e também anexar o Arquivo de Configuração (mandatório).</t>
  </si>
  <si>
    <t>Proxy</t>
  </si>
  <si>
    <t>DNS</t>
  </si>
  <si>
    <t>AD - Active Directory</t>
  </si>
  <si>
    <t>File Server</t>
  </si>
  <si>
    <t>DHCP</t>
  </si>
  <si>
    <t>Middleware</t>
  </si>
  <si>
    <t>Amazon</t>
  </si>
  <si>
    <t>Não consegue logar no Laptop ou na rede.</t>
  </si>
  <si>
    <t>Login de Rede</t>
  </si>
  <si>
    <t>Usuário bloqueado, Esqueci minha Senha, Reset de Senha, Conta bloqueada, Usuário expirado, etc.</t>
  </si>
  <si>
    <t>Informar o usuário de rede (login) que está com problemas.</t>
  </si>
  <si>
    <t>x</t>
  </si>
  <si>
    <t>p</t>
  </si>
  <si>
    <t>Lentidão ou Indisponibilidade no Portal de Parceiros</t>
  </si>
  <si>
    <t>Dificuldades na utilização do Portal de Parceiros</t>
  </si>
  <si>
    <t>Não consegue creditar milhas, Transações não processadas, etc.</t>
  </si>
  <si>
    <t>Cadastro não finalizado ou com divergência.</t>
  </si>
  <si>
    <t>Cadastro Clearsale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</si>
  <si>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</si>
  <si>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</si>
  <si>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</si>
  <si>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</si>
  <si>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</si>
  <si>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</si>
  <si>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</si>
  <si>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Compra/Trasnferência/Reativação de Milhas B2E</t>
  </si>
  <si>
    <t>Pedidos de Resgate Shopping Smiles não recebidos pela B2E (completo ou parcial), etc.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</si>
  <si>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</si>
  <si>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</si>
  <si>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</si>
  <si>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</si>
  <si>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</si>
  <si>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>Informar clientes que estão sendo impactados, evidências do erro ou falha, data e hora da falha.</t>
  </si>
  <si>
    <t>Informar o erro ou falha apresentada, data e hora da falha e incluir evidências (anexo).</t>
  </si>
  <si>
    <t>Crédito Retroativo está com erro para TODOS os Clientes</t>
  </si>
  <si>
    <t>Crédito Retroativo está com erro para um único Cliente</t>
  </si>
  <si>
    <t>Falha de Login para um único Cliente</t>
  </si>
  <si>
    <t>Falha de Login para TODOS os Clientes</t>
  </si>
  <si>
    <t>Processo de Emissão Congênere com erro em TODOS os Trechos ou para TODOS os Clientes</t>
  </si>
  <si>
    <t>Processo de Emissão G3 com erro em TODOS os Trechos ou para TODOS os Clientes</t>
  </si>
  <si>
    <t>Processo de Emissão G3 com erro em apenas um Trecho ou para um Cliente Específico</t>
  </si>
  <si>
    <t>Processo de Emissão Congênere com erro em apenas um Trecho ou para um Cliente Específico</t>
  </si>
  <si>
    <t>Erros relacionados aos Produtos Compra, Reativação, Transferência, Clube Smiles</t>
  </si>
  <si>
    <t>Erros relacionados ao Smiles Pay (MENOS indisponibilidade)</t>
  </si>
  <si>
    <t>Erros relacionados ao Nível do Participante</t>
  </si>
  <si>
    <t>Erros no processamento de Transações</t>
  </si>
  <si>
    <t>Erros no processo de Merge</t>
  </si>
  <si>
    <t>Erros relacionados ao Clube Smiles</t>
  </si>
  <si>
    <t>Erros relacionados a Saldo Divergente</t>
  </si>
  <si>
    <t>Erros relacionados a Cobrança</t>
  </si>
  <si>
    <t>Cliente cobrado erroneamente, etc.</t>
  </si>
  <si>
    <t>Saldo de milhas do cliente apresenta inconsistências, etc.</t>
  </si>
  <si>
    <t>Cliente não está passando pela recorrência de pagamento, etc.</t>
  </si>
  <si>
    <t>Problema no processo de merge de clientes, etc.</t>
  </si>
  <si>
    <t>Erro no processamento de transações, etc.</t>
  </si>
  <si>
    <t>Erro no processamento de Nível do Participante ou datas erradas (prazos de expiração dos Tiers), etc.</t>
  </si>
  <si>
    <t>Problemas no Smiles Pay, etc.</t>
  </si>
  <si>
    <t>Erros de site relacionados aos produtos (Compra, Reativação, Transferência, Clube Smiles), etc.</t>
  </si>
  <si>
    <t>Referente a Busca, Emissão, Pagamento, etc.</t>
  </si>
  <si>
    <t>Apenas um cliente com problemas para solicitar seus créditos retroativos</t>
  </si>
  <si>
    <t>Erros relacionados à Bonificação de Emissão</t>
  </si>
  <si>
    <t>Erros relacionados à Bonificação de Revalidação de Milhas</t>
  </si>
  <si>
    <t>Erros relacionados à Bonificação de Transferência de Milhas</t>
  </si>
  <si>
    <t>Erros relacionados à Bonificação do Crédito Retroativo de Milhas</t>
  </si>
  <si>
    <t>Erros relacionados à Voucher</t>
  </si>
  <si>
    <t>Erros relacionados à Bonificação do Clube Smiles</t>
  </si>
  <si>
    <t>Erros relacionados à Bonificação de Compra de Milhas</t>
  </si>
  <si>
    <t>Outros erros não categorizados.</t>
  </si>
  <si>
    <t>Rótulos de Linha</t>
  </si>
  <si>
    <t>Erros de Site</t>
  </si>
  <si>
    <t>Erros de Siebel</t>
  </si>
  <si>
    <t>Erros no Amadeus</t>
  </si>
  <si>
    <t>Firewall</t>
  </si>
  <si>
    <t>Inclusão ou Alteração de Regra de Fiwewall</t>
  </si>
  <si>
    <t>Network / Link</t>
  </si>
  <si>
    <t>(vazio)</t>
  </si>
  <si>
    <t>Solicitações de Infra</t>
  </si>
  <si>
    <t>Deploy</t>
  </si>
  <si>
    <t>Solicitações de Deploys em geral.</t>
  </si>
  <si>
    <t>Soliciações de atualização de arquivos de configuração de aplicações em geral.</t>
  </si>
  <si>
    <t>Restart de instâncias do Weblogic, SOA, API-Gateway, etc.</t>
  </si>
  <si>
    <t>Flush de Memcache (limpar dados)</t>
  </si>
  <si>
    <t>Atualização de imagens no portal, javascript, CSS, etc.</t>
  </si>
  <si>
    <t>Criação de Certificado Digital (SSL)</t>
  </si>
  <si>
    <t>Tombamento de PROD para HOM, de HOM para DEV, de HOM para HOM.</t>
  </si>
  <si>
    <t>Alteração do Nível de Log da Aplicação via JMX</t>
  </si>
  <si>
    <t>Liferay, Weblogic, Banco de Dados, etc.</t>
  </si>
  <si>
    <t>Nova URL</t>
  </si>
  <si>
    <t>Aplicar Patch</t>
  </si>
  <si>
    <t>Criar URL</t>
  </si>
  <si>
    <t>Criar Ambiente</t>
  </si>
  <si>
    <t>Criar Certificado Digital (SSL)</t>
  </si>
  <si>
    <t>Aplicação não está enviando e-mail</t>
  </si>
  <si>
    <t>Incidentes de Infra</t>
  </si>
  <si>
    <t>Alterar permissionamento ou usuários de Aplicação, Banco de Dados, Console, Servidor, Bucket, Log, etc.</t>
  </si>
  <si>
    <t>Excluir usuários de Aplicação, Banco de Dados, Console, Servidor, Bucket, Log, etc.</t>
  </si>
  <si>
    <t>Criar usuários de Aplicação, Banco de Dados, Console, Servidor, Bucket, Log, etc.</t>
  </si>
  <si>
    <t>E-mail</t>
  </si>
  <si>
    <t>Criação ou Alteração de Grupos de E-mails</t>
  </si>
  <si>
    <t>Criação ou Alteração de Conta de E-mails</t>
  </si>
  <si>
    <t>Listas de Distribuição de E-mails departamentais, ex.: Jurídico, Marketing, Projeto ABC, etc.</t>
  </si>
  <si>
    <t>Criar ou ampliar quota de pasta ou diretório de rede</t>
  </si>
  <si>
    <t>Criar ou alterar entradas DNS</t>
  </si>
  <si>
    <t>Data Source, Mail Session, JMS, etc.</t>
  </si>
  <si>
    <t>Criar ou alterar componentes para aplicação</t>
  </si>
  <si>
    <t xml:space="preserve">Executar Refresh de Banco de Dados </t>
  </si>
  <si>
    <t>Executar Restart de Aplicação</t>
  </si>
  <si>
    <t>Executar Flush de Memcache (limpar dados)</t>
  </si>
  <si>
    <t>Executar Flush Akamai (limpar cache)</t>
  </si>
  <si>
    <t>Erros relacionados a Banco de Dados</t>
  </si>
  <si>
    <t>Aplicação lenta ou indisponível</t>
  </si>
  <si>
    <t>Erros na execução de Deploys em DEV</t>
  </si>
  <si>
    <t>Bounce do Princing</t>
  </si>
  <si>
    <t>Disponibilizar Log</t>
  </si>
  <si>
    <t>Log histórico compactado, etc.</t>
  </si>
  <si>
    <t>Erros relacionados a Certificados</t>
  </si>
  <si>
    <t>Erro de Conexão na VPN Smiles-AWS</t>
  </si>
  <si>
    <t>Erro de Conexão com Aplicações</t>
  </si>
  <si>
    <t>Siebel, Navitaire, Big Data, Integrador de Sites, Gateway Smiles, etc.</t>
  </si>
  <si>
    <t>Problemas entre a conexão Smiles - AWS.</t>
  </si>
  <si>
    <t>Integrar Aplicações</t>
  </si>
  <si>
    <t>Ex.: Cielo com Barramento, Bancob com API Gateway, etc.</t>
  </si>
  <si>
    <t>Erro na Integração entre Aplicações</t>
  </si>
  <si>
    <t>Dump de Banco de Dados ou Bucket do Liferay</t>
  </si>
  <si>
    <t>Sincronizar Bucket</t>
  </si>
  <si>
    <t>Sincronizar Bucket PROD com HOM, etc.</t>
  </si>
  <si>
    <t>Executar Scritps em Banco de Dados</t>
  </si>
  <si>
    <t>Atualizar Arquivo de Configuração de Aplicação</t>
  </si>
  <si>
    <t>Criação ou alteração de Tabelas, Inserção ou Deleção de Dados, etc.</t>
  </si>
  <si>
    <t xml:space="preserve">Criar job </t>
  </si>
  <si>
    <t>Criar ou alterar pasta no FTP</t>
  </si>
  <si>
    <t>Criação de processos batch (automatização)</t>
  </si>
  <si>
    <t>Informar destino, anexar os scripts e a periodicidade.</t>
  </si>
  <si>
    <t>Alterar agendamento de start-stop de Ambiente</t>
  </si>
  <si>
    <t>Informar qual ambiente e qual período.</t>
  </si>
  <si>
    <t>Informar o nome da pasta, quem deve ter permissão.</t>
  </si>
  <si>
    <t>Informar origem e destino e data prevista para execução da sincronização.</t>
  </si>
  <si>
    <t>Pasta / Diretório</t>
  </si>
  <si>
    <t>Informar o nome da pasta ou diretório que precisa ser criada, o espaço requerido (tamanho da pasta) e também os usuários que precisam ter acesso.</t>
  </si>
  <si>
    <t>Alteração de permissionamentos específicos em Ferramentas e/ou Pastas e Diretórios (ex.: SAP).</t>
  </si>
  <si>
    <t>Executar Deploy de Aplicação</t>
  </si>
  <si>
    <t>Informar o Pacote, Ambiente, Servidor e descrever o erro ou falha apresentado.</t>
  </si>
  <si>
    <t>Informar o Banco de Dados e anexar o script a ser executado.</t>
  </si>
  <si>
    <t>Informar a URL a ser criada, qual aplicação será apontada e também se é necessário Certificado Digital (SSL).</t>
  </si>
  <si>
    <t>Criar Infraestrutura para Aplicação</t>
  </si>
  <si>
    <t>Servidor, Banco de Dados, Cache, etc.</t>
  </si>
  <si>
    <t>Informar URL que precisa do Certificado.</t>
  </si>
  <si>
    <t>Informar o Memcache que precisa ser limpo.</t>
  </si>
  <si>
    <t>-</t>
  </si>
  <si>
    <t>Informar qual Aplicação precisa ser reiniciada, Ambiente em que se encontra e o respectivo IP.</t>
  </si>
  <si>
    <t>Infomar qual Banco de Dados de Origem e o Destino para o refresh.</t>
  </si>
  <si>
    <t>Informar qual é o Patch que precisa ser aplicado, Ambiente, Aplicação e também incluir o link do Patch ou anexá-lo ao chamado.</t>
  </si>
  <si>
    <t>Informar o alias e ser criado e também o tipo de entrada DNS relativo ao mesmo.</t>
  </si>
  <si>
    <t>Informar nome do appender, nível do log e período necessário.</t>
  </si>
  <si>
    <t>Criar novo ambiente completo (UAT, DEV).</t>
  </si>
  <si>
    <t>Informar o ambiente de referência (espelho).</t>
  </si>
  <si>
    <t>Informar o componente a ser criado ou alterado e suas especificações.</t>
  </si>
  <si>
    <t>Informar qual o Log necessário e o período da retenção.</t>
  </si>
  <si>
    <t>Infomar qual Banco de Dados e o Bucket a ser realizado o Dump.</t>
  </si>
  <si>
    <t>Informar quais Aplicações precisam ser integradas e anexar desenho da solução de integração.</t>
  </si>
  <si>
    <t>Infomar sizing da Infraestrutura (capacidade requerida) e anexar o desenho de arquitetura da solução.</t>
  </si>
  <si>
    <t>Certificado Expirado, Incorreto, Inativo</t>
  </si>
  <si>
    <t>Informar a Aplicação afetada e anexar o Log do Erro (caso aplicável).</t>
  </si>
  <si>
    <t>Informar o Banco de Dados que apresenta o erro e anexar o Log do Erro (caso aplicável).</t>
  </si>
  <si>
    <t>Informar a Aplicação que esta apresentando lentidão ou Indisponibilidade.</t>
  </si>
  <si>
    <t>Informar o Certificado que está apresentando Erro e anexar o Log do mesmo (caso aplicável).</t>
  </si>
  <si>
    <t>Informar o usuário de VPN com erro e e anexar o Log do Erro (caso aplicável).</t>
  </si>
  <si>
    <t>Informar Aplicações afetadas (origem e destino) ou seus componetes que apresentam erro e anexar o Log do Erro (caso aplicável).</t>
  </si>
  <si>
    <t>Negócio / Produtos</t>
  </si>
  <si>
    <t xml:space="preserve">Precificação </t>
  </si>
  <si>
    <t>Restart do sistema de precificação.</t>
  </si>
  <si>
    <t>Informar data e hora da execução.</t>
  </si>
  <si>
    <t>Informar os IPs e Portas de Origem e Destino, Protocolo (TCP/UDP) e a regra de permissão ou bloqueio de conexão.</t>
  </si>
  <si>
    <t>Inclusão ou Alteração de Regra de Firewall.</t>
  </si>
  <si>
    <t>TI para 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</si>
</sst>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68E1E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0" fillId="4" borderId="1" xfId="0" applyFill="1" applyBorder="1"/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4" fontId="4" fillId="2" borderId="0" xfId="0" applyNumberFormat="1" applyFont="1" applyFill="1" applyAlignment="1">
      <alignment horizontal="right"/>
    </xf>
    <xf numFmtId="0" fontId="0" fillId="5" borderId="0" xfId="0" applyFill="1"/>
    <xf numFmtId="0" fontId="1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center"/>
    </xf>
    <xf numFmtId="0" fontId="10" fillId="5" borderId="0" xfId="0" applyFont="1" applyFill="1" applyAlignment="1">
      <alignment horizontal="right"/>
    </xf>
    <xf numFmtId="14" fontId="10" fillId="5" borderId="0" xfId="0" applyNumberFormat="1" applyFont="1" applyFill="1" applyAlignment="1">
      <alignment horizontal="right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20" fontId="3" fillId="4" borderId="1" xfId="0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14" fontId="4" fillId="2" borderId="0" xfId="0" applyNumberFormat="1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0" borderId="0" xfId="0" applyAlignment="1">
      <alignment horizontal="left" indent="1"/>
    </xf>
    <xf numFmtId="0" fontId="3" fillId="4" borderId="1" xfId="0" quotePrefix="1" applyFont="1" applyFill="1" applyBorder="1" applyAlignment="1">
      <alignment vertical="center"/>
    </xf>
    <xf numFmtId="0" fontId="0" fillId="2" borderId="0" xfId="0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8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quotePrefix="1" applyFont="1" applyFill="1" applyBorder="1" applyAlignment="1">
      <alignment vertical="center" wrapText="1"/>
    </xf>
    <xf numFmtId="20" fontId="3" fillId="4" borderId="1" xfId="0" applyNumberFormat="1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20" fontId="3" fillId="4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0" fontId="3" fillId="8" borderId="2" xfId="0" applyFont="1" applyFill="1" applyBorder="1" applyAlignment="1">
      <alignment vertical="center"/>
    </xf>
    <xf numFmtId="0" fontId="0" fillId="0" borderId="0" xfId="0" pivotButton="1"/>
    <xf numFmtId="0" fontId="3" fillId="9" borderId="1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vertical="center" wrapText="1"/>
    </xf>
    <xf numFmtId="0" fontId="9" fillId="5" borderId="0" xfId="0" applyFont="1" applyFill="1" applyAlignment="1">
      <alignment horizontal="left"/>
    </xf>
    <xf numFmtId="0" fontId="8" fillId="5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/>
    </xf>
    <xf numFmtId="0" fontId="3" fillId="9" borderId="1" xfId="0" applyFont="1" applyFill="1" applyBorder="1" applyAlignment="1">
      <alignment vertical="center"/>
    </xf>
    <xf numFmtId="0" fontId="1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16"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C00000"/>
          </stop>
        </gradientFill>
      </fill>
    </dxf>
    <dxf>
      <fill>
        <patternFill patternType="solid">
          <fgColor rgb="FF00B0F0"/>
          <bgColor rgb="FF000000"/>
        </patternFill>
      </fill>
    </dxf>
  </dxfs>
  <tableStyles count="0" defaultTableStyle="TableStyleMedium2" defaultPivotStyle="PivotStyleLight16"/>
  <colors>
    <mruColors>
      <color rgb="FFF68E1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1</xdr:col>
      <xdr:colOff>852940</xdr:colOff>
      <xdr:row>4</xdr:row>
      <xdr:rowOff>98425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68E1E"/>
            </a:clrFrom>
            <a:clrTo>
              <a:srgbClr val="F68E1E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57150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123825</xdr:rowOff>
    </xdr:from>
    <xdr:to>
      <xdr:col>0</xdr:col>
      <xdr:colOff>1773690</xdr:colOff>
      <xdr:row>4</xdr:row>
      <xdr:rowOff>104775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747" b="20253"/>
        <a:stretch/>
      </xdr:blipFill>
      <xdr:spPr>
        <a:xfrm>
          <a:off x="0" y="123825"/>
          <a:ext cx="1773690" cy="75247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rge Filho" refreshedDate="42340.613202314817" createdVersion="6" refreshedVersion="6" minRefreshableVersion="3" recordCount="64">
  <cacheSource type="worksheet">
    <worksheetSource ref="A6:M321" sheet="CAT Negócio"/>
  </cacheSource>
  <cacheFields count="13">
    <cacheField name="Portal " numFmtId="0">
      <sharedItems containsBlank="1" count="2">
        <s v="CSTI - Negócio / Produtos"/>
        <m/>
      </sharedItems>
    </cacheField>
    <cacheField name="Produto ou Grupo" numFmtId="0">
      <sharedItems containsBlank="1" count="17">
        <s v="EDI"/>
        <s v="Relatórios / Arquivos"/>
        <s v="Shopping Smiles"/>
        <s v="Promoções"/>
        <s v="Compra de Milhas"/>
        <s v="Crédito de Vôo"/>
        <s v="Emissão "/>
        <s v="Fraude/Perda Financeira"/>
        <s v="Portal Parceiros"/>
        <s v="Reativação de Milhas"/>
        <s v="Siebel Loyalty"/>
        <s v="Site Smiles"/>
        <s v="Smiles Pay"/>
        <s v="Transferência de Milhas"/>
        <s v="URA"/>
        <s v="Clube Smiles"/>
        <m/>
      </sharedItems>
    </cacheField>
    <cacheField name="Item de Catálogo" numFmtId="0">
      <sharedItems containsBlank="1" count="36">
        <s v="Atraso ou Erro no Arquivo EDI - Parceiros Críticos"/>
        <s v="Atraso ou Erro no Arquivo EDI - Outros"/>
        <s v="Outras solicitações (EDI)"/>
        <s v="Erro no Arquivo Contábil "/>
        <s v="Erro no Arquivo Financeiro"/>
        <s v="Erro no Arquivo de Vendas"/>
        <s v="Execução pontual do Arquivo Contábil "/>
        <s v="Execução pontual do Arquivo Financeiro"/>
        <s v="Execução pontual do Arquivo de Vendas"/>
        <s v="Outras solicitações (Relatórios / Arquivos)"/>
        <s v="Cadastrar novo Parceiro"/>
        <s v="Página não abre / não carrega"/>
        <s v="Cliente não consegue resgatar"/>
        <s v="Outras solicitações (Shopping Smiles)"/>
        <s v="Cadastrar Novo Produto"/>
        <s v="Manutenção de Produto"/>
        <s v="Excluir Produto"/>
        <s v="Cadastrar Novo Parceiro (Aéreo)"/>
        <s v="Manutenção de Parceiro (Aéreo)"/>
        <s v="Excluir Parceiro (Aéreo)"/>
        <s v="Cadastrar Novo Parceiro (Não Aéreo)"/>
        <s v="Manutenção de Parceiro (Não Aéreo)"/>
        <s v="Excluir Parceiro (Não Aéreo)"/>
        <s v="Cadastrar Nova Promoção"/>
        <s v="Encerrar Promoção"/>
        <s v="Manutenção de Promoção "/>
        <s v="Promoção com erro "/>
        <s v="Prorrogar Promoção"/>
        <s v="Reativar Promoção"/>
        <s v="Bonificação Manual"/>
        <s v="Criar Voucher"/>
        <s v="Conceder Voucher "/>
        <s v="Prorrogar Voucher "/>
        <s v="Regularizar Voucher"/>
        <s v="Excluir Voucher"/>
        <m/>
      </sharedItems>
    </cacheField>
    <cacheField name="Subtítulo" numFmtId="0">
      <sharedItems containsBlank="1"/>
    </cacheField>
    <cacheField name="Carac" numFmtId="0">
      <sharedItems containsString="0" containsBlank="1" containsNumber="1" containsInteger="1" minValue="0" maxValue="125"/>
    </cacheField>
    <cacheField name="Tipo de Chamado" numFmtId="0">
      <sharedItems containsBlank="1"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Blank="1"/>
    </cacheField>
    <cacheField name="Anexo?" numFmtId="0">
      <sharedItems containsBlank="1"/>
    </cacheField>
    <cacheField name="Atributos mínimos _x000a_para atendiment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rge Filho" refreshedDate="42341.776958912036" createdVersion="6" refreshedVersion="6" minRefreshableVersion="3" recordCount="28">
  <cacheSource type="worksheet">
    <worksheetSource ref="A6:L34" sheet="CAT Atendimento"/>
  </cacheSource>
  <cacheFields count="12">
    <cacheField name="Portal " numFmtId="0">
      <sharedItems count="1">
        <s v="Central de Atendimento"/>
      </sharedItems>
    </cacheField>
    <cacheField name="Produto ou Grupo" numFmtId="0">
      <sharedItems count="7">
        <s v="Erros de Promoção / Bonificação"/>
        <s v="Erros de Siebel"/>
        <s v="Erros no Amadeus"/>
        <s v="Erros de Site"/>
        <s v="Erros Site" u="1"/>
        <s v="Erros Siebel" u="1"/>
        <s v="Erros Amadeus" u="1"/>
      </sharedItems>
    </cacheField>
    <cacheField name="Item de Catálogo" numFmtId="0">
      <sharedItems count="28">
        <s v="Erros relacionados à Bonificação de Compra de Milhas"/>
        <s v="Erros relacionados à Bonificação do Clube Smiles"/>
        <s v="Erros relacionados à Voucher"/>
        <s v="Erros relacionados à Bonificação de Revalidação de Milhas"/>
        <s v="Erros relacionados à Bonificação de Emissão"/>
        <s v="Erros relacionados à Bonificação de Transferência de Milhas"/>
        <s v="Erros relacionados à Bonificação do Crédito Retroativo de Milhas"/>
        <s v="Erros relacionados a Cobrança"/>
        <s v="Erros relacionados a Saldo Divergente"/>
        <s v="Erros relacionados ao Clube Smiles"/>
        <s v="Erros no processo de Merge"/>
        <s v="Erros no processamento de Transações"/>
        <s v="Erros relacionados ao Nível do Participante"/>
        <s v="Erros relacionados ao Smiles Pay (MENOS indisponibilidade)"/>
        <s v="Indisponibilidade Siebel e/ou Smiles Pay"/>
        <s v="Indisponibilidade Amadeus"/>
        <s v="Erros relacionados aos Produtos Compra, Reativação, Transferência, Clube Smiles"/>
        <s v="Processo de Emissão G3 com erro em apenas um Trecho ou para um Cliente Específico"/>
        <s v="Processo de Emissão G3 com erro em TODOS os Trechos ou para TODOS os Clientes"/>
        <s v="Processo de Emissão Congênere com erro em apenas um Trecho ou para um Cliente Específico"/>
        <s v="Processo de Emissão Congênere com erro em TODOS os Trechos ou para TODOS os Clientes"/>
        <s v="Falha de Login para um único Cliente"/>
        <s v="Falha de Login para TODOS os Clientes"/>
        <s v="Shopping Smiles não abre para um único Cliente"/>
        <s v="Shopping Smiles não abre para TODOS os Clientes"/>
        <s v="Crédito Retroativo está com erro para um único Cliente"/>
        <s v="Crédito Retroativo está com erro para TODOS os Clientes"/>
        <s v="Outros erros não categorizados."/>
      </sharedItems>
    </cacheField>
    <cacheField name="Subtítulo" numFmtId="0">
      <sharedItems/>
    </cacheField>
    <cacheField name="Tipo de Chamado" numFmtId="0">
      <sharedItems/>
    </cacheField>
    <cacheField name="Grupo Solucionador" numFmtId="0">
      <sharedItems containsNonDate="0" containsString="0" containsBlank="1"/>
    </cacheField>
    <cacheField name="Prioridade" numFmtId="0">
      <sharedItems containsNonDate="0" containsString="0" containsBlank="1"/>
    </cacheField>
    <cacheField name="SLA de Resposta" numFmtId="0">
      <sharedItems containsNonDate="0" containsString="0" containsBlank="1"/>
    </cacheField>
    <cacheField name="SLA de Resolução" numFmtId="0">
      <sharedItems containsNonDate="0" containsString="0" containsBlank="1"/>
    </cacheField>
    <cacheField name="Envio de _x000a_Feedback" numFmtId="0">
      <sharedItems containsNonDate="0" containsString="0" containsBlank="1"/>
    </cacheField>
    <cacheField name="Anexo?" numFmtId="0">
      <sharedItems containsNonDate="0" containsString="0" containsBlank="1"/>
    </cacheField>
    <cacheField name="Atributos mínimos _x000a_para atendimen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rge Filho" refreshedDate="42341.799928472225" createdVersion="6" refreshedVersion="6" minRefreshableVersion="3" recordCount="35">
  <cacheSource type="worksheet">
    <worksheetSource ref="A6:D20" sheet="CAT TIpTI"/>
  </cacheSource>
  <cacheFields count="4">
    <cacheField name="Portal " numFmtId="0">
      <sharedItems containsBlank="1" count="2">
        <s v="TI pra TI (Infra)"/>
        <m/>
      </sharedItems>
    </cacheField>
    <cacheField name="Produto ou Grupo" numFmtId="0">
      <sharedItems containsBlank="1" count="11">
        <s v="Acessos em TI"/>
        <s v="Middleware"/>
        <s v="Amazon"/>
        <s v="AD - Active Directory"/>
        <s v="DHCP"/>
        <s v="DNS"/>
        <s v="File Server"/>
        <s v="Network / Link"/>
        <s v="Proxy"/>
        <s v="Firewall"/>
        <m/>
      </sharedItems>
    </cacheField>
    <cacheField name="Item de Catálogo" numFmtId="0">
      <sharedItems containsBlank="1" count="26">
        <s v="Criar Acessos (TI)"/>
        <s v="Alterar Acessos (TI)"/>
        <s v="Revogar Acessos (TI)"/>
        <s v="Lentidão ou Indisponibilidade em Ambientes"/>
        <s v="Execução de Deploy"/>
        <s v="Atualização de Configuração de Aplicação"/>
        <s v="Erro ou Falha em Componentes"/>
        <s v="Criação de Componente"/>
        <s v="Alterar de Nível de Log"/>
        <s v="Rodar Script em Banco de Dados"/>
        <s v="Erro ou Falha relacionado a Amazon (AWS)"/>
        <s v="Solicitações gerais relacionadas a Amazon (AWS)"/>
        <s v="Erro ou Falha relacionado a AD - Active Directory"/>
        <s v="Solicitações gerais relacionadas a AD - Active Directory"/>
        <s v="Erro ou Falha relacionado a DHCP"/>
        <s v="Solicitações gerais relacionadas a DHCP"/>
        <s v="Erro ou Falha relacionado a DNS"/>
        <s v="Solicitações gerais relacionadas a DNS"/>
        <s v="Erro ou Falha relacionado a File Server"/>
        <s v="Solicitações gerais relacionadas a File Server"/>
        <s v="Erro ou Falha relacionado a Rede LAN (local), Rede WAN (MPLS ou Internet) e VPN."/>
        <s v="Solicitações gerais relacionadas a Rede LAN (local), Rede WAN (MPLS ou Internet) e VPN."/>
        <s v="Erro ou Falha relacionado a Proxy"/>
        <s v="Solicitações gerais relacionadas a Proxy"/>
        <s v="Inclusão ou Alteração de Regra de Fiwewall"/>
        <m/>
      </sharedItems>
    </cacheField>
    <cacheField name="Subtítulo" numFmtId="0">
      <sharedItems containsBlank="1" count="22">
        <s v="Em Banco de Dados, Console, Servidor, Bucket, Log, etc."/>
        <m/>
        <s v="Execução de Deploys em geral."/>
        <s v="Atualização de Configuração de Aplicações em geral."/>
        <s v="BD, Weblogic, Site/Aplicação, Memcache, Perda de Sessão, etc."/>
        <s v="BD, Weblogic, Site/Aplicação, Mdecache, Pcrda de Sessão, etc."/>
        <s v="BD, Weblogic, Site/Aplicação, Mdecache, Palda de Sessão, etc."/>
        <s v="BD, Weblogic, Site/Aplicação, Mdecache, Proda de Sessão, etc."/>
        <s v="Restart, Instância, ELB, Routing Table, RDS, etc."/>
        <s v="Autenticação, Usuário de Sistema expirado, etc."/>
        <s v="Grupos, Perfis, Usuário de Sistema, etc."/>
        <s v="Falha na distribuição de endereços IP, etc."/>
        <s v="Inclusão de novo range DHCP, etc."/>
        <s v="Erro ou Falha relacionado a DNS."/>
        <s v="Inclusão de alias DNS, criação de entradas DNS, etc."/>
        <s v="Diretório não acessível, falta de espaço em Diretório, etc."/>
        <s v="Criação de Diretórios de Rede, Alteração de Nome de Diretório de Rede, Configuração de Cota (espaço de armazenamento), etc."/>
        <s v="Problemas com Roteadores ou Switches, ex.: Problemas de conexão na rede LAN ou WAN (MPLS ou Internet)."/>
        <s v="Solicitações sobre Roteadores ou Switches, ex.: Inclusão ou Alteração de Rotas, Criação de NAT, etc."/>
        <s v="Problema de acesso a categorização de conteúdo, etc."/>
        <s v="Criação ou alteração de grupos ou perfis de acesso à Internet no Proxy, etc."/>
        <s v="Inclusão ou Alteração de Regra de Firewall, etc.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">
  <r>
    <x v="0"/>
    <x v="0"/>
    <x v="0"/>
    <s v="Itaú (ISP), Bradesco (BBR), HSBC (HSB), Caixa Econômica (CE2), Santander (SAB), Banco do Brasil (BDB)."/>
    <n v="102"/>
    <s v="Incidente Crítico"/>
    <m/>
    <m/>
    <m/>
    <m/>
    <s v="Sim"/>
    <s v="Não"/>
    <s v="Informar parceiro(s) afetados(s) e a falha que está sendo percebida."/>
  </r>
  <r>
    <x v="0"/>
    <x v="0"/>
    <x v="1"/>
    <s v="Reportar atraso ou erro no envio de arquivos EDI de OUTROS parceiros."/>
    <n v="69"/>
    <s v="Incidente"/>
    <m/>
    <m/>
    <m/>
    <m/>
    <s v="Sim"/>
    <s v="Não"/>
    <s v="Informar parceiro(s) afetados(s) e a falha que está sendo percebida."/>
  </r>
  <r>
    <x v="0"/>
    <x v="0"/>
    <x v="2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1"/>
    <x v="3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4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5"/>
    <s v="Falha de abertura do arquivo ou inconsistência de informações."/>
    <n v="62"/>
    <s v="Incidente"/>
    <m/>
    <m/>
    <m/>
    <m/>
    <s v="Sim"/>
    <s v="Não"/>
    <s v="Em caso de inconsistência de informações, detalhar os dados divergentes para que possamos avaliar e indentificar onde se encontra(m) o(s) erro(s)."/>
  </r>
  <r>
    <x v="0"/>
    <x v="1"/>
    <x v="6"/>
    <s v="Reportar a necessidade de execução pontual do Arquivo Contábil, além da frequência pré-estabelecida (diária, mensal, etc.)."/>
    <n v="123"/>
    <s v="Solicitação"/>
    <m/>
    <m/>
    <m/>
    <m/>
    <s v="Sim"/>
    <s v="Sim"/>
    <s v="Informar a data de execução pontual do Arquivo Contábil e os parâmetros necessários para sua geração."/>
  </r>
  <r>
    <x v="0"/>
    <x v="1"/>
    <x v="7"/>
    <s v="Reportar a necessidade de execução pontual do Arquivo Financeiro, além da frequência pré-estabelecida (diária, mensal, etc.)."/>
    <n v="125"/>
    <s v="Solicitação"/>
    <m/>
    <m/>
    <m/>
    <m/>
    <s v="Sim"/>
    <s v="Sim"/>
    <s v="Informar a data de execução pontual do Arquivo Financeiro e os parâmetros necessários para sua geração."/>
  </r>
  <r>
    <x v="0"/>
    <x v="1"/>
    <x v="8"/>
    <s v="Reportar a necessidade de execução pontual do Arquivo de Vendas, além da frequência pré-estabelecida (diária, mensal, etc.)."/>
    <n v="124"/>
    <s v="Solicitação"/>
    <m/>
    <m/>
    <m/>
    <m/>
    <s v="Sim"/>
    <s v="Sim"/>
    <s v="Informar a data de execução pontual do Arquivo de Vendas e os parâmetros necessários para sua geração."/>
  </r>
  <r>
    <x v="0"/>
    <x v="1"/>
    <x v="9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2"/>
    <x v="10"/>
    <s v="Cadastrar novo parceiro no Shopping Smiles."/>
    <n v="43"/>
    <s v="Solicitação"/>
    <m/>
    <m/>
    <m/>
    <m/>
    <s v="Sim"/>
    <s v="Não"/>
    <s v="Informar o ambiente Siebel onde o parceiro será cadastrato (Produção e/ou Teste); o Nome do Parceiro e o Código do Parceiro."/>
  </r>
  <r>
    <x v="0"/>
    <x v="2"/>
    <x v="11"/>
    <s v="Shopping Smiles não carrega, Erros na página do Shopping Smiles."/>
    <n v="64"/>
    <s v="Incidente Crítico"/>
    <m/>
    <m/>
    <m/>
    <m/>
    <s v="Sim"/>
    <s v="Sim"/>
    <s v="Em caso de mensagem de erro, informar a mensagem e anexar o &quot;print da tela&quot; do erro."/>
  </r>
  <r>
    <x v="0"/>
    <x v="2"/>
    <x v="12"/>
    <s v="Cliente não consegue resgatar no Shopping Smiles."/>
    <n v="49"/>
    <s v="Incidente"/>
    <m/>
    <m/>
    <m/>
    <m/>
    <s v="Sim"/>
    <s v="Sim"/>
    <s v="Informar o &quot;CPF&quot; do Cliente, o &quot;Código de Participante&quot; do Cliente e também data da transação, &quot;print da tela&quot; do erro (caso aplicável)."/>
  </r>
  <r>
    <x v="0"/>
    <x v="2"/>
    <x v="13"/>
    <s v="Caso não tenha encontrado a opção adequada, utilizar esta categoria para abrir seu chamado."/>
    <n v="91"/>
    <s v="Solicitação"/>
    <m/>
    <m/>
    <m/>
    <m/>
    <s v="Sim"/>
    <s v="Sim"/>
    <s v="Informar detalhadamente sua necessidade ou falha identificada, para que possamos compreendê-la e prover a adequada tratativa. Caso possua algum documento ou &quot;print de tela&quot; que nos ajude no entendimento, favor anexar ao chamado."/>
  </r>
  <r>
    <x v="0"/>
    <x v="3"/>
    <x v="14"/>
    <s v="Criar Produto, Incluir Produto, Novo Produto"/>
    <n v="44"/>
    <s v="Solicitação"/>
    <m/>
    <m/>
    <m/>
    <m/>
    <s v="Sim"/>
    <s v="Não"/>
    <s v="Informar o ambiente Siebel onde o Produto será cadastrado (Produção e/ou Teste) e em qual Parceiro estará vinculado."/>
  </r>
  <r>
    <x v="0"/>
    <x v="3"/>
    <x v="15"/>
    <s v="Alteração de Produto"/>
    <n v="20"/>
    <s v="Solicitação"/>
    <m/>
    <m/>
    <m/>
    <m/>
    <s v="Sim"/>
    <s v="Não"/>
    <s v="Informar os itens ou parâmetros que necessitam ser alterados, o ambiente Siebel onde o Produto está cadastrado (Produção e/ou Teste) e também o Nome do Produto."/>
  </r>
  <r>
    <x v="0"/>
    <x v="3"/>
    <x v="16"/>
    <s v="Descadastrar Produto"/>
    <n v="20"/>
    <s v="Solicitação"/>
    <m/>
    <m/>
    <m/>
    <m/>
    <s v="Sim"/>
    <s v="Não"/>
    <s v="Informar o ambiente Siebel onde o produto está cadastrado (Produção e/ou Teste), o &quot;Alias&quot; e Nome do Parceiro a ser excluído."/>
  </r>
  <r>
    <x v="0"/>
    <x v="3"/>
    <x v="17"/>
    <s v="Criar Novo Parceiro (Aéreo)"/>
    <n v="27"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18"/>
    <s v="Alteração de Parceiro (Aéreo)"/>
    <n v="29"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19"/>
    <s v="Descadastrar Parceiro (Aéreo)"/>
    <n v="29"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0"/>
    <s v="Criar Novo Parceiro (Não Aéreo)"/>
    <m/>
    <s v="Solicitação"/>
    <m/>
    <m/>
    <m/>
    <m/>
    <s v="Sim"/>
    <s v="Não"/>
    <s v="Informar o ambiente Siebel onde o parceiro será cadastrado (Produção e/ou Teste), &quot;Alias&quot;, Nome do Parceiro e os Produtos do Parceiro."/>
  </r>
  <r>
    <x v="0"/>
    <x v="3"/>
    <x v="21"/>
    <s v="Alteração de Parceiro (Não Aéreo)"/>
    <m/>
    <s v="Solicitação"/>
    <m/>
    <m/>
    <m/>
    <m/>
    <s v="Sim"/>
    <s v="Não"/>
    <s v="Informar os itens ou parâmetros que necessitam ser alterados, o ambiente Siebel onde o parceiro está cadastrado (Produção e/ou Teste) e também o &quot;Alias&quot; e o Nome do Parceiro."/>
  </r>
  <r>
    <x v="0"/>
    <x v="3"/>
    <x v="22"/>
    <s v="Descadastrar Parceiro (Não Aéreo)"/>
    <m/>
    <s v="Solicitação"/>
    <m/>
    <m/>
    <m/>
    <m/>
    <s v="Sim"/>
    <s v="Não"/>
    <s v="Informar o ambiente Siebel onde o parceiro está cadastrado (Produção e/ou Teste), o &quot;Alias&quot; e Nome do Parceiro a ser excluído."/>
  </r>
  <r>
    <x v="0"/>
    <x v="3"/>
    <x v="23"/>
    <s v="Criar Promoção, Incluir Promoção, Nova Promoção"/>
    <n v="47"/>
    <s v="Solicitação"/>
    <m/>
    <m/>
    <m/>
    <m/>
    <s v="Sim"/>
    <s v="Sim"/>
    <m/>
  </r>
  <r>
    <x v="0"/>
    <x v="3"/>
    <x v="24"/>
    <s v="Cancelar Promoção"/>
    <n v="17"/>
    <s v="Solicitação"/>
    <m/>
    <m/>
    <m/>
    <m/>
    <s v="Sim"/>
    <m/>
    <m/>
  </r>
  <r>
    <x v="0"/>
    <x v="3"/>
    <x v="25"/>
    <s v="Alteração de Promoção"/>
    <n v="21"/>
    <s v="Solicitação"/>
    <m/>
    <m/>
    <m/>
    <m/>
    <s v="Sim"/>
    <m/>
    <m/>
  </r>
  <r>
    <x v="0"/>
    <x v="3"/>
    <x v="26"/>
    <s v="Erro de Promoção, Promoção não bonificou Cliente"/>
    <n v="48"/>
    <s v="Incidente"/>
    <m/>
    <m/>
    <m/>
    <m/>
    <s v="Sim"/>
    <m/>
    <m/>
  </r>
  <r>
    <x v="0"/>
    <x v="3"/>
    <x v="27"/>
    <s v="Alterar datas de vigência, promoção deve voltar em, promoção deverá voltar em"/>
    <n v="77"/>
    <s v="Solicitação"/>
    <m/>
    <m/>
    <m/>
    <m/>
    <s v="Sim"/>
    <m/>
    <m/>
  </r>
  <r>
    <x v="0"/>
    <x v="3"/>
    <x v="28"/>
    <s v="Reativar Campanha"/>
    <n v="17"/>
    <s v="Solicitação"/>
    <m/>
    <m/>
    <m/>
    <m/>
    <s v="Sim"/>
    <m/>
    <m/>
  </r>
  <r>
    <x v="0"/>
    <x v="3"/>
    <x v="29"/>
    <s v="Realizar Bonificação, Bonificar"/>
    <n v="31"/>
    <s v="Solicitação"/>
    <m/>
    <m/>
    <m/>
    <m/>
    <s v="Sim"/>
    <m/>
    <m/>
  </r>
  <r>
    <x v="0"/>
    <x v="3"/>
    <x v="30"/>
    <s v="Cadastrar Novo Voucher"/>
    <n v="22"/>
    <s v="Solicitação"/>
    <m/>
    <m/>
    <m/>
    <m/>
    <s v="Sim"/>
    <m/>
    <m/>
  </r>
  <r>
    <x v="0"/>
    <x v="3"/>
    <x v="31"/>
    <s v="Disponibilizar ou Atribuir Voucher"/>
    <n v="34"/>
    <s v="Solicitação"/>
    <m/>
    <m/>
    <m/>
    <m/>
    <s v="Sim"/>
    <m/>
    <m/>
  </r>
  <r>
    <x v="0"/>
    <x v="3"/>
    <x v="32"/>
    <s v="Alterar datas de vigência ou expiração do Voucher"/>
    <n v="49"/>
    <s v="Solicitação"/>
    <m/>
    <m/>
    <m/>
    <m/>
    <s v="Sim"/>
    <m/>
    <m/>
  </r>
  <r>
    <x v="0"/>
    <x v="3"/>
    <x v="33"/>
    <s v="Regularizar Voucher"/>
    <n v="19"/>
    <s v="Solicitação"/>
    <m/>
    <m/>
    <m/>
    <m/>
    <s v="Sim"/>
    <m/>
    <m/>
  </r>
  <r>
    <x v="0"/>
    <x v="3"/>
    <x v="34"/>
    <s v="Cancelar Voucher"/>
    <n v="16"/>
    <s v="Solicitação"/>
    <m/>
    <m/>
    <m/>
    <m/>
    <s v="Sim"/>
    <m/>
    <m/>
  </r>
  <r>
    <x v="0"/>
    <x v="4"/>
    <x v="35"/>
    <m/>
    <n v="0"/>
    <m/>
    <m/>
    <m/>
    <m/>
    <m/>
    <s v="Sim"/>
    <m/>
    <m/>
  </r>
  <r>
    <x v="0"/>
    <x v="5"/>
    <x v="35"/>
    <m/>
    <n v="0"/>
    <m/>
    <m/>
    <m/>
    <m/>
    <m/>
    <s v="Sim"/>
    <m/>
    <m/>
  </r>
  <r>
    <x v="0"/>
    <x v="6"/>
    <x v="35"/>
    <m/>
    <n v="0"/>
    <m/>
    <m/>
    <m/>
    <m/>
    <m/>
    <s v="Sim"/>
    <m/>
    <m/>
  </r>
  <r>
    <x v="0"/>
    <x v="7"/>
    <x v="35"/>
    <m/>
    <n v="0"/>
    <m/>
    <m/>
    <m/>
    <m/>
    <m/>
    <s v="Sim"/>
    <m/>
    <m/>
  </r>
  <r>
    <x v="0"/>
    <x v="8"/>
    <x v="35"/>
    <m/>
    <n v="0"/>
    <m/>
    <m/>
    <m/>
    <m/>
    <m/>
    <s v="Sim"/>
    <m/>
    <m/>
  </r>
  <r>
    <x v="0"/>
    <x v="9"/>
    <x v="35"/>
    <m/>
    <n v="0"/>
    <m/>
    <m/>
    <m/>
    <m/>
    <m/>
    <s v="Sim"/>
    <m/>
    <m/>
  </r>
  <r>
    <x v="0"/>
    <x v="10"/>
    <x v="35"/>
    <m/>
    <n v="0"/>
    <m/>
    <m/>
    <m/>
    <m/>
    <m/>
    <s v="Sim"/>
    <m/>
    <m/>
  </r>
  <r>
    <x v="0"/>
    <x v="11"/>
    <x v="35"/>
    <m/>
    <n v="0"/>
    <m/>
    <m/>
    <m/>
    <m/>
    <m/>
    <s v="Sim"/>
    <m/>
    <m/>
  </r>
  <r>
    <x v="0"/>
    <x v="12"/>
    <x v="35"/>
    <m/>
    <n v="0"/>
    <m/>
    <m/>
    <m/>
    <m/>
    <m/>
    <s v="Sim"/>
    <m/>
    <m/>
  </r>
  <r>
    <x v="0"/>
    <x v="13"/>
    <x v="35"/>
    <m/>
    <n v="0"/>
    <m/>
    <m/>
    <m/>
    <m/>
    <m/>
    <s v="Sim"/>
    <m/>
    <m/>
  </r>
  <r>
    <x v="0"/>
    <x v="14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0"/>
    <x v="15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n v="0"/>
    <m/>
    <m/>
    <m/>
    <m/>
    <m/>
    <s v="Sim"/>
    <m/>
    <m/>
  </r>
  <r>
    <x v="1"/>
    <x v="16"/>
    <x v="35"/>
    <m/>
    <m/>
    <m/>
    <m/>
    <m/>
    <m/>
    <m/>
    <s v="Sim"/>
    <m/>
    <m/>
  </r>
  <r>
    <x v="1"/>
    <x v="16"/>
    <x v="35"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8">
  <r>
    <x v="0"/>
    <x v="0"/>
    <x v="0"/>
    <s v="Não entrou a quantidade de milhas esperada na conta do cliente_x000a_Cliente comprou e a quantindade de milhas cretidata estava errada"/>
    <s v="Incidente"/>
    <m/>
    <m/>
    <m/>
    <m/>
    <m/>
    <m/>
    <s v="Anexar a planilha padrão de chamados de promoção."/>
  </r>
  <r>
    <x v="0"/>
    <x v="0"/>
    <x v="1"/>
    <s v="Falha na bonificação do cliente."/>
    <s v="Incidente"/>
    <m/>
    <m/>
    <m/>
    <m/>
    <m/>
    <m/>
    <s v="Anexar a planilha padrão de chamados de promoção."/>
  </r>
  <r>
    <x v="0"/>
    <x v="0"/>
    <x v="2"/>
    <s v="Voucher com desconto incorreto_x000a_Voucher com data de expiração incorreta"/>
    <s v="Incidente"/>
    <m/>
    <m/>
    <m/>
    <m/>
    <m/>
    <m/>
    <s v="Anexar a planilha padrão de chamados de promoção."/>
  </r>
  <r>
    <x v="0"/>
    <x v="0"/>
    <x v="3"/>
    <s v="Não estão aparecendo as milhas para o cliente revalidar."/>
    <s v="Incidente"/>
    <m/>
    <m/>
    <m/>
    <m/>
    <m/>
    <m/>
    <s v="Anexar a planilha padrão de chamados de promoção."/>
  </r>
  <r>
    <x v="0"/>
    <x v="0"/>
    <x v="4"/>
    <s v="Falha na bonificação relacionada a emissões."/>
    <s v="Incidente"/>
    <m/>
    <m/>
    <m/>
    <m/>
    <m/>
    <m/>
    <s v="Anexar a planilha padrão de chamados de promoção."/>
  </r>
  <r>
    <x v="0"/>
    <x v="0"/>
    <x v="5"/>
    <s v="Falha na bonificação de transferências."/>
    <s v="Incidente"/>
    <m/>
    <m/>
    <m/>
    <m/>
    <m/>
    <m/>
    <s v="Anexar a planilha padrão de chamados de promoção."/>
  </r>
  <r>
    <x v="0"/>
    <x v="0"/>
    <x v="6"/>
    <s v="Falha na bonificação de crédito retroativo."/>
    <s v="Incidente"/>
    <m/>
    <m/>
    <m/>
    <m/>
    <m/>
    <m/>
    <s v="Anexar a planilha padrão de chamados de promoção."/>
  </r>
  <r>
    <x v="0"/>
    <x v="1"/>
    <x v="7"/>
    <s v="Cliente cobrado erroneamente, etc."/>
    <s v="Incidente"/>
    <m/>
    <m/>
    <m/>
    <m/>
    <m/>
    <m/>
    <s v="Informar o Código Smiles, Data do Erro e &quot;Print de Tela&quot; do Erro (caso aplicável)."/>
  </r>
  <r>
    <x v="0"/>
    <x v="1"/>
    <x v="8"/>
    <s v="Saldo de milhas do cliente apresenta inconsistências, etc."/>
    <s v="Incidente"/>
    <m/>
    <m/>
    <m/>
    <m/>
    <m/>
    <m/>
    <s v="Informar o Código Smiles, Data do Erro e &quot;Print de Tela&quot; do Erro (caso aplicável)."/>
  </r>
  <r>
    <x v="0"/>
    <x v="1"/>
    <x v="9"/>
    <s v="Cliente não está passando pela recorrência de pagamento, etc."/>
    <s v="Incidente"/>
    <m/>
    <m/>
    <m/>
    <m/>
    <m/>
    <m/>
    <s v="Informar o Código Smiles, Data do Erro e &quot;Print de Tela&quot; do Erro (caso aplicável)."/>
  </r>
  <r>
    <x v="0"/>
    <x v="1"/>
    <x v="10"/>
    <s v="Problema no processo de merge de clientes, etc."/>
    <s v="Incidente"/>
    <m/>
    <m/>
    <m/>
    <m/>
    <m/>
    <m/>
    <s v="Informar o Código Smiles, Data do Erro e &quot;Print de Tela&quot; do Erro (caso aplicável)."/>
  </r>
  <r>
    <x v="0"/>
    <x v="1"/>
    <x v="11"/>
    <s v="Erro no processamento de transações, etc."/>
    <s v="Incidente"/>
    <m/>
    <m/>
    <m/>
    <m/>
    <m/>
    <m/>
    <s v="Informar o Código Smiles, Data do Erro e &quot;Print de Tela&quot; do Erro (caso aplicável)."/>
  </r>
  <r>
    <x v="0"/>
    <x v="1"/>
    <x v="12"/>
    <s v="Erro no processamento de Nível do Participante ou datas erradas (prazos de expiração dos Tiers), etc."/>
    <s v="Incidente"/>
    <m/>
    <m/>
    <m/>
    <m/>
    <m/>
    <m/>
    <s v="Informar o Código Smiles, Data do Erro e &quot;Print de Tela&quot; do Erro (caso aplicável)."/>
  </r>
  <r>
    <x v="0"/>
    <x v="1"/>
    <x v="13"/>
    <s v="Problemas no Smiles Pay, etc."/>
    <s v="Incidente"/>
    <m/>
    <m/>
    <m/>
    <m/>
    <m/>
    <m/>
    <s v="Informar o Código Smiles, Data do Erro e &quot;Print de Tela&quot; do Erro (caso aplicável)."/>
  </r>
  <r>
    <x v="0"/>
    <x v="1"/>
    <x v="14"/>
    <s v="Siebel e/ou Smiles Pay lento ou indisponível para TODA a Central de Atendimento."/>
    <s v="Incidente_Crítico"/>
    <m/>
    <m/>
    <m/>
    <m/>
    <m/>
    <m/>
    <s v="Informar a Data do Erro e &quot;Print de Tela&quot; do Erro (caso aplicável)."/>
  </r>
  <r>
    <x v="0"/>
    <x v="2"/>
    <x v="15"/>
    <s v="Amadeus lento ou indisponível para TODA a Central de Atendimento."/>
    <s v="Incidente_Crítico"/>
    <m/>
    <m/>
    <m/>
    <m/>
    <m/>
    <m/>
    <s v="Informar a Data do Erro e &quot;Print de Tela&quot; do Erro (caso aplicável)."/>
  </r>
  <r>
    <x v="0"/>
    <x v="3"/>
    <x v="16"/>
    <s v="Erros de site relacionados aos produtos (Compra, Reativação, Transferência, Clube Smiles), etc."/>
    <s v="Incidente"/>
    <m/>
    <m/>
    <m/>
    <m/>
    <m/>
    <m/>
    <s v="Informar a Data e Hora em que o erro ocorreu, anexar o &quot;Print de Tela&quot; com o erro e descrever com detalhes a situação."/>
  </r>
  <r>
    <x v="0"/>
    <x v="3"/>
    <x v="17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18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19"/>
    <s v="Referente a Busca, Emissão, Pagamento, etc."/>
    <s v="Incidente"/>
    <m/>
    <m/>
    <m/>
    <m/>
    <m/>
    <m/>
    <s v="Informar a Data e Hora em que o erro ocorreu, anexar o &quot;Print de Tela&quot; com o erro e descrever com detalhes a situação._x000a_Especificar qual cliente (número Smiles) e qual trecho está ocorrendo a falha."/>
  </r>
  <r>
    <x v="0"/>
    <x v="3"/>
    <x v="20"/>
    <s v="Referente a Busca, Emissão, Pagamento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1"/>
    <s v="Um único cliente com dificuldade/erro para logar no site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2"/>
    <s v="TODOS os clientes com dificuldade para logar no site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3"/>
    <s v="Um único cliente com dificuldade/erro para abrir o Shopping Smiles."/>
    <s v="Incidente"/>
    <m/>
    <m/>
    <m/>
    <m/>
    <m/>
    <m/>
    <s v="Informar a Data e Hora em que o erro ocorreu, anexar o &quot;Print de Tela&quot; com o erro e descrever com detalhes a situação._x000a_Especificar qual cliente (número Smiles)."/>
  </r>
  <r>
    <x v="0"/>
    <x v="3"/>
    <x v="24"/>
    <s v="TODOS os clientes com dificuldade para abrir o Shopping Smile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5"/>
    <s v="Apenas um cliente com problemas para solicitar seus créditos retroativos"/>
    <s v="Incidente"/>
    <m/>
    <m/>
    <m/>
    <m/>
    <m/>
    <m/>
    <s v="Informar a Data e Hora em que o erro ocorreu, anexar o &quot;Print de Tela&quot; com o erro e descrever com detalhes a situação._x000a_Especificar qual cliente (número Smiles) e as informações sobre o vôo que o cliente está tentando solicitar o crédito."/>
  </r>
  <r>
    <x v="0"/>
    <x v="3"/>
    <x v="26"/>
    <s v="TODOS os clientes com problemas para solicitar seus créditos retroativos."/>
    <s v="Incidente_Crítico"/>
    <m/>
    <m/>
    <m/>
    <m/>
    <m/>
    <m/>
    <s v="Informar a Data e Hora em que o erro ocorreu, anexar o &quot;Print de Tela&quot; com o erro e descrever com detalhes a situação."/>
  </r>
  <r>
    <x v="0"/>
    <x v="3"/>
    <x v="27"/>
    <s v="Caso não tenha encontrado a opção adequada, utilizar esta categoria para abrir seu chamado."/>
    <s v="Incidente"/>
    <m/>
    <m/>
    <m/>
    <m/>
    <m/>
    <m/>
    <s v="Informar detalhadamente sua necessidade ou falha identificada, para que possamos compreendê-la e prover a adequada tratativa. Caso possua algum documento ou &quot;print de tela&quot; que nos ajude no entendimento, favor anexar ao chamado.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5">
  <r>
    <x v="0"/>
    <x v="0"/>
    <x v="0"/>
    <x v="0"/>
  </r>
  <r>
    <x v="0"/>
    <x v="0"/>
    <x v="1"/>
    <x v="0"/>
  </r>
  <r>
    <x v="0"/>
    <x v="0"/>
    <x v="2"/>
    <x v="0"/>
  </r>
  <r>
    <x v="0"/>
    <x v="1"/>
    <x v="3"/>
    <x v="1"/>
  </r>
  <r>
    <x v="0"/>
    <x v="1"/>
    <x v="4"/>
    <x v="2"/>
  </r>
  <r>
    <x v="0"/>
    <x v="1"/>
    <x v="5"/>
    <x v="3"/>
  </r>
  <r>
    <x v="0"/>
    <x v="1"/>
    <x v="6"/>
    <x v="4"/>
  </r>
  <r>
    <x v="0"/>
    <x v="1"/>
    <x v="7"/>
    <x v="5"/>
  </r>
  <r>
    <x v="0"/>
    <x v="1"/>
    <x v="8"/>
    <x v="6"/>
  </r>
  <r>
    <x v="0"/>
    <x v="1"/>
    <x v="9"/>
    <x v="7"/>
  </r>
  <r>
    <x v="0"/>
    <x v="2"/>
    <x v="10"/>
    <x v="8"/>
  </r>
  <r>
    <x v="0"/>
    <x v="2"/>
    <x v="11"/>
    <x v="8"/>
  </r>
  <r>
    <x v="0"/>
    <x v="3"/>
    <x v="12"/>
    <x v="9"/>
  </r>
  <r>
    <x v="0"/>
    <x v="3"/>
    <x v="13"/>
    <x v="10"/>
  </r>
  <r>
    <x v="0"/>
    <x v="4"/>
    <x v="14"/>
    <x v="11"/>
  </r>
  <r>
    <x v="0"/>
    <x v="4"/>
    <x v="15"/>
    <x v="12"/>
  </r>
  <r>
    <x v="0"/>
    <x v="5"/>
    <x v="16"/>
    <x v="13"/>
  </r>
  <r>
    <x v="0"/>
    <x v="5"/>
    <x v="17"/>
    <x v="14"/>
  </r>
  <r>
    <x v="0"/>
    <x v="6"/>
    <x v="18"/>
    <x v="15"/>
  </r>
  <r>
    <x v="0"/>
    <x v="6"/>
    <x v="19"/>
    <x v="16"/>
  </r>
  <r>
    <x v="0"/>
    <x v="7"/>
    <x v="20"/>
    <x v="17"/>
  </r>
  <r>
    <x v="0"/>
    <x v="7"/>
    <x v="21"/>
    <x v="18"/>
  </r>
  <r>
    <x v="0"/>
    <x v="8"/>
    <x v="22"/>
    <x v="19"/>
  </r>
  <r>
    <x v="0"/>
    <x v="8"/>
    <x v="23"/>
    <x v="20"/>
  </r>
  <r>
    <x v="0"/>
    <x v="9"/>
    <x v="24"/>
    <x v="2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  <r>
    <x v="1"/>
    <x v="10"/>
    <x v="2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16:C29" firstHeaderRow="1" firstDataRow="1" firstDataCol="1"/>
  <pivotFields count="4">
    <pivotField axis="axisRow" showAll="0">
      <items count="3">
        <item x="0"/>
        <item sd="0" x="1"/>
        <item t="default"/>
      </items>
    </pivotField>
    <pivotField axis="axisRow" showAll="0">
      <items count="12">
        <item sd="0" x="0"/>
        <item sd="0" x="3"/>
        <item sd="0" x="2"/>
        <item sd="0" x="4"/>
        <item sd="0" x="5"/>
        <item sd="0" x="6"/>
        <item sd="0" x="9"/>
        <item sd="0" x="1"/>
        <item sd="0" x="7"/>
        <item sd="0" x="8"/>
        <item x="10"/>
        <item t="default"/>
      </items>
    </pivotField>
    <pivotField axis="axisRow" showAll="0">
      <items count="27">
        <item x="1"/>
        <item x="8"/>
        <item x="5"/>
        <item x="7"/>
        <item x="0"/>
        <item x="6"/>
        <item x="12"/>
        <item x="10"/>
        <item x="14"/>
        <item x="16"/>
        <item sd="0" x="18"/>
        <item x="22"/>
        <item sd="0" x="20"/>
        <item x="4"/>
        <item sd="0" x="24"/>
        <item x="3"/>
        <item x="2"/>
        <item x="9"/>
        <item x="13"/>
        <item x="11"/>
        <item x="15"/>
        <item x="17"/>
        <item sd="0" x="19"/>
        <item x="23"/>
        <item sd="0" x="21"/>
        <item x="25"/>
        <item t="default"/>
      </items>
    </pivotField>
    <pivotField axis="axisRow" showAll="0">
      <items count="23">
        <item x="3"/>
        <item x="9"/>
        <item x="6"/>
        <item x="5"/>
        <item x="7"/>
        <item x="4"/>
        <item x="16"/>
        <item x="20"/>
        <item x="15"/>
        <item x="0"/>
        <item x="13"/>
        <item x="2"/>
        <item x="11"/>
        <item x="10"/>
        <item x="14"/>
        <item x="12"/>
        <item x="21"/>
        <item x="19"/>
        <item x="17"/>
        <item x="8"/>
        <item x="18"/>
        <item x="1"/>
        <item t="default"/>
      </items>
    </pivotField>
  </pivotFields>
  <rowFields count="4">
    <field x="0"/>
    <field x="1"/>
    <field x="2"/>
    <field x="3"/>
  </rowFields>
  <rowItems count="1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C7:C13" firstHeaderRow="1" firstDataRow="1" firstDataCol="1"/>
  <pivotFields count="12">
    <pivotField axis="axisRow" showAll="0">
      <items count="2">
        <item x="0"/>
        <item t="default"/>
      </items>
    </pivotField>
    <pivotField axis="axisRow" showAll="0">
      <items count="8">
        <item sd="0" m="1" x="6"/>
        <item sd="0" x="0"/>
        <item sd="0" m="1" x="5"/>
        <item sd="0" m="1" x="4"/>
        <item sd="0" x="1"/>
        <item sd="0" x="2"/>
        <item sd="0" x="3"/>
        <item t="default"/>
      </items>
    </pivotField>
    <pivotField axis="axisRow" showAll="0">
      <items count="29">
        <item x="26"/>
        <item x="25"/>
        <item x="11"/>
        <item x="10"/>
        <item x="0"/>
        <item x="4"/>
        <item x="3"/>
        <item x="5"/>
        <item x="1"/>
        <item x="6"/>
        <item x="7"/>
        <item x="8"/>
        <item x="2"/>
        <item x="9"/>
        <item x="12"/>
        <item x="13"/>
        <item x="16"/>
        <item x="22"/>
        <item x="21"/>
        <item x="15"/>
        <item x="14"/>
        <item x="27"/>
        <item x="19"/>
        <item x="20"/>
        <item x="17"/>
        <item x="18"/>
        <item x="24"/>
        <item x="2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6">
    <i>
      <x/>
    </i>
    <i r="1">
      <x v="1"/>
    </i>
    <i r="1">
      <x v="4"/>
    </i>
    <i r="1">
      <x v="5"/>
    </i>
    <i r="1"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showHeaders="0" outline="1" outlineData="1" multipleFieldFilters="0">
  <location ref="A7:A24" firstHeaderRow="0" firstDataRow="0" firstDataCol="1"/>
  <pivotFields count="13">
    <pivotField axis="axisRow" showAll="0">
      <items count="3">
        <item h="1" x="1"/>
        <item x="0"/>
        <item t="default" sd="0"/>
      </items>
    </pivotField>
    <pivotField axis="axisRow" showAll="0">
      <items count="18">
        <item sd="0" x="16"/>
        <item sd="0" x="4"/>
        <item sd="0" x="3"/>
        <item sd="0" x="13"/>
        <item sd="0" x="0"/>
        <item sd="0" x="1"/>
        <item sd="0" x="2"/>
        <item sd="0" x="5"/>
        <item sd="0" x="6"/>
        <item sd="0" x="7"/>
        <item sd="0" x="8"/>
        <item sd="0" x="9"/>
        <item sd="0" x="10"/>
        <item sd="0" x="11"/>
        <item sd="0" x="12"/>
        <item sd="0" x="14"/>
        <item sd="0" x="15"/>
        <item t="default" sd="0"/>
      </items>
    </pivotField>
    <pivotField axis="axisRow" showAll="0">
      <items count="37">
        <item x="35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9"/>
        <item x="30"/>
        <item x="31"/>
        <item x="32"/>
        <item x="33"/>
        <item x="34"/>
        <item t="default"/>
      </items>
    </pivotField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1"/>
    <field x="2"/>
  </rowFields>
  <rowItems count="1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t="grand">
      <x/>
    </i>
  </rowItems>
  <colItems count="1">
    <i/>
  </colItem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7.xml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7030A0"/>
  </sheetPr>
  <dimension ref="A1:L17"/>
  <sheetViews>
    <sheetView showGridLines="0" zoomScaleNormal="100" workbookViewId="0">
      <selection activeCell="D14" sqref="D14"/>
    </sheetView>
  </sheetViews>
  <sheetFormatPr defaultRowHeight="15" x14ac:dyDescent="0.25"/>
  <cols>
    <col min="1" max="1" width="13.7109375" customWidth="1"/>
    <col min="2" max="2" width="16.85546875" bestFit="1" customWidth="1"/>
    <col min="3" max="3" width="16.140625" customWidth="1"/>
    <col min="4" max="4" width="16.42578125" bestFit="1" customWidth="1"/>
    <col min="5" max="12" width="13.7109375" customWidth="1"/>
  </cols>
  <sheetData>
    <row r="1" spans="1:12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ht="15.75" x14ac:dyDescent="0.25">
      <c r="A2" s="8"/>
      <c r="B2" s="8"/>
      <c r="C2" s="54" t="s">
        <v>1</v>
      </c>
      <c r="D2" s="54"/>
      <c r="E2" s="54"/>
      <c r="F2" s="54"/>
      <c r="G2" s="54"/>
      <c r="H2" s="9"/>
      <c r="I2" s="8"/>
      <c r="J2" s="8"/>
      <c r="K2" s="8"/>
      <c r="L2" s="8"/>
    </row>
    <row r="3" spans="1:12" ht="15" customHeight="1" x14ac:dyDescent="0.25">
      <c r="A3" s="8"/>
      <c r="B3" s="8"/>
      <c r="C3" s="55" t="s">
        <v>7</v>
      </c>
      <c r="D3" s="55"/>
      <c r="E3" s="55"/>
      <c r="F3" s="55"/>
      <c r="G3" s="55"/>
      <c r="H3" s="10"/>
      <c r="I3" s="8"/>
      <c r="J3" s="8"/>
      <c r="K3" s="8"/>
      <c r="L3" s="8"/>
    </row>
    <row r="4" spans="1:12" ht="15" customHeight="1" x14ac:dyDescent="0.25">
      <c r="A4" s="8"/>
      <c r="B4" s="8"/>
      <c r="C4" s="55"/>
      <c r="D4" s="55"/>
      <c r="E4" s="55"/>
      <c r="F4" s="55"/>
      <c r="G4" s="55"/>
      <c r="H4" s="10"/>
      <c r="I4" s="8"/>
      <c r="J4" s="8"/>
      <c r="K4" s="8"/>
      <c r="L4" s="11" t="s">
        <v>2</v>
      </c>
    </row>
    <row r="5" spans="1:12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12">
        <v>42339</v>
      </c>
    </row>
    <row r="6" spans="1:12" s="6" customFormat="1" ht="12.75" x14ac:dyDescent="0.2">
      <c r="A6" s="5" t="s">
        <v>4</v>
      </c>
      <c r="B6" s="5" t="s">
        <v>5</v>
      </c>
      <c r="C6" s="5" t="s">
        <v>3</v>
      </c>
      <c r="D6" s="5" t="s">
        <v>6</v>
      </c>
      <c r="E6" s="5"/>
      <c r="F6" s="5"/>
      <c r="G6" s="5"/>
      <c r="H6" s="5"/>
      <c r="I6" s="5"/>
      <c r="J6" s="5"/>
      <c r="K6" s="5"/>
      <c r="L6" s="5"/>
    </row>
    <row r="7" spans="1:12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spans="1:12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spans="1:12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</sheetData>
  <mergeCells count="2">
    <mergeCell ref="C2:G2"/>
    <mergeCell ref="C3:G4"/>
  </mergeCells>
  <pageMargins left="0.511811024" right="0.511811024" top="0.78740157499999996" bottom="0.78740157499999996" header="0.31496062000000002" footer="0.31496062000000002"/>
  <pageSetup paperSize="9" scale="53"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zoomScaleNormal="100" workbookViewId="0">
      <pane xSplit="3" ySplit="6" topLeftCell="L39" activePane="bottomRight" state="frozen"/>
      <selection pane="topRight" activeCell="D1" sqref="D1"/>
      <selection pane="bottomLeft" activeCell="A7" sqref="A7"/>
      <selection pane="bottomRight" activeCell="B44" sqref="B4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58.42578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7" t="s">
        <v>1</v>
      </c>
      <c r="D2" s="57"/>
      <c r="E2" s="57"/>
      <c r="F2" s="57"/>
      <c r="G2" s="57"/>
      <c r="H2" s="57"/>
      <c r="I2" s="57"/>
      <c r="J2" s="57"/>
      <c r="K2" s="20"/>
      <c r="L2" s="20"/>
      <c r="M2" s="27"/>
    </row>
    <row r="3" spans="1:13" ht="15" customHeight="1" x14ac:dyDescent="0.25">
      <c r="A3" s="34"/>
      <c r="B3" s="34"/>
      <c r="C3" s="56" t="s">
        <v>0</v>
      </c>
      <c r="D3" s="56"/>
      <c r="E3" s="56"/>
      <c r="F3" s="56"/>
      <c r="G3" s="56"/>
      <c r="H3" s="56"/>
      <c r="I3" s="56"/>
      <c r="J3" s="56"/>
      <c r="K3" s="3"/>
      <c r="L3" s="3"/>
      <c r="M3" s="27"/>
    </row>
    <row r="4" spans="1:13" ht="15" customHeight="1" x14ac:dyDescent="0.25">
      <c r="A4" s="34"/>
      <c r="B4" s="34"/>
      <c r="C4" s="56"/>
      <c r="D4" s="56"/>
      <c r="E4" s="56"/>
      <c r="F4" s="56"/>
      <c r="G4" s="56"/>
      <c r="H4" s="56"/>
      <c r="I4" s="56"/>
      <c r="J4" s="56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35" t="s">
        <v>422</v>
      </c>
      <c r="B7" s="37" t="s">
        <v>47</v>
      </c>
      <c r="C7" s="21" t="s">
        <v>45</v>
      </c>
      <c r="D7" s="24" t="s">
        <v>74</v>
      </c>
      <c r="E7" s="40">
        <f>LEN(D7)</f>
        <v>102</v>
      </c>
      <c r="F7" s="38" t="s">
        <v>71</v>
      </c>
      <c r="G7" s="21"/>
      <c r="H7" s="21"/>
      <c r="I7" s="22"/>
      <c r="J7" s="22"/>
      <c r="K7" s="23" t="s">
        <v>15</v>
      </c>
      <c r="L7" s="23" t="s">
        <v>19</v>
      </c>
      <c r="M7" s="24" t="s">
        <v>57</v>
      </c>
    </row>
    <row r="8" spans="1:13" s="25" customFormat="1" ht="51" customHeight="1" x14ac:dyDescent="0.25">
      <c r="A8" s="35" t="s">
        <v>422</v>
      </c>
      <c r="B8" s="37" t="s">
        <v>47</v>
      </c>
      <c r="C8" s="21" t="s">
        <v>46</v>
      </c>
      <c r="D8" s="24" t="s">
        <v>58</v>
      </c>
      <c r="E8" s="40">
        <f t="shared" ref="E8:E40" si="0">LEN(D8)</f>
        <v>69</v>
      </c>
      <c r="F8" s="33" t="s">
        <v>51</v>
      </c>
      <c r="G8" s="21"/>
      <c r="H8" s="21"/>
      <c r="I8" s="22"/>
      <c r="J8" s="22"/>
      <c r="K8" s="23" t="s">
        <v>15</v>
      </c>
      <c r="L8" s="23" t="s">
        <v>19</v>
      </c>
      <c r="M8" s="24" t="s">
        <v>57</v>
      </c>
    </row>
    <row r="9" spans="1:13" s="25" customFormat="1" ht="51" customHeight="1" x14ac:dyDescent="0.25">
      <c r="A9" s="35" t="s">
        <v>422</v>
      </c>
      <c r="B9" s="37" t="s">
        <v>47</v>
      </c>
      <c r="C9" s="21" t="s">
        <v>56</v>
      </c>
      <c r="D9" s="24" t="s">
        <v>73</v>
      </c>
      <c r="E9" s="40">
        <f t="shared" si="0"/>
        <v>91</v>
      </c>
      <c r="F9" s="21" t="s">
        <v>18</v>
      </c>
      <c r="G9" s="21"/>
      <c r="H9" s="21"/>
      <c r="I9" s="21"/>
      <c r="J9" s="21"/>
      <c r="K9" s="23" t="s">
        <v>15</v>
      </c>
      <c r="L9" s="23" t="s">
        <v>15</v>
      </c>
      <c r="M9" s="24" t="s">
        <v>68</v>
      </c>
    </row>
    <row r="10" spans="1:13" s="25" customFormat="1" ht="51" customHeight="1" x14ac:dyDescent="0.25">
      <c r="A10" s="35" t="s">
        <v>422</v>
      </c>
      <c r="B10" s="37" t="s">
        <v>48</v>
      </c>
      <c r="C10" s="21" t="s">
        <v>40</v>
      </c>
      <c r="D10" s="24" t="s">
        <v>75</v>
      </c>
      <c r="E10" s="40">
        <f t="shared" si="0"/>
        <v>62</v>
      </c>
      <c r="F10" s="33" t="s">
        <v>51</v>
      </c>
      <c r="G10" s="21"/>
      <c r="H10" s="21"/>
      <c r="I10" s="22"/>
      <c r="J10" s="22"/>
      <c r="K10" s="23" t="s">
        <v>15</v>
      </c>
      <c r="L10" s="23" t="s">
        <v>19</v>
      </c>
      <c r="M10" s="24" t="s">
        <v>59</v>
      </c>
    </row>
    <row r="11" spans="1:13" s="25" customFormat="1" ht="51" customHeight="1" x14ac:dyDescent="0.25">
      <c r="A11" s="35" t="s">
        <v>422</v>
      </c>
      <c r="B11" s="37" t="s">
        <v>48</v>
      </c>
      <c r="C11" s="21" t="s">
        <v>39</v>
      </c>
      <c r="D11" s="24" t="s">
        <v>75</v>
      </c>
      <c r="E11" s="40">
        <f t="shared" si="0"/>
        <v>62</v>
      </c>
      <c r="F11" s="33" t="s">
        <v>51</v>
      </c>
      <c r="G11" s="21"/>
      <c r="H11" s="21"/>
      <c r="I11" s="22"/>
      <c r="J11" s="22"/>
      <c r="K11" s="23" t="s">
        <v>15</v>
      </c>
      <c r="L11" s="23" t="s">
        <v>19</v>
      </c>
      <c r="M11" s="24" t="s">
        <v>59</v>
      </c>
    </row>
    <row r="12" spans="1:13" s="25" customFormat="1" ht="51" customHeight="1" x14ac:dyDescent="0.25">
      <c r="A12" s="35" t="s">
        <v>422</v>
      </c>
      <c r="B12" s="37" t="s">
        <v>48</v>
      </c>
      <c r="C12" s="21" t="s">
        <v>41</v>
      </c>
      <c r="D12" s="24" t="s">
        <v>75</v>
      </c>
      <c r="E12" s="40">
        <f t="shared" si="0"/>
        <v>62</v>
      </c>
      <c r="F12" s="33" t="s">
        <v>51</v>
      </c>
      <c r="G12" s="21"/>
      <c r="H12" s="21"/>
      <c r="I12" s="22"/>
      <c r="J12" s="22"/>
      <c r="K12" s="23" t="s">
        <v>15</v>
      </c>
      <c r="L12" s="23" t="s">
        <v>19</v>
      </c>
      <c r="M12" s="24" t="s">
        <v>59</v>
      </c>
    </row>
    <row r="13" spans="1:13" s="25" customFormat="1" ht="51" customHeight="1" x14ac:dyDescent="0.25">
      <c r="A13" s="35" t="s">
        <v>422</v>
      </c>
      <c r="B13" s="37" t="s">
        <v>48</v>
      </c>
      <c r="C13" s="21" t="s">
        <v>42</v>
      </c>
      <c r="D13" s="24" t="s">
        <v>60</v>
      </c>
      <c r="E13" s="40">
        <f t="shared" si="0"/>
        <v>123</v>
      </c>
      <c r="F13" s="33" t="s">
        <v>18</v>
      </c>
      <c r="G13" s="21"/>
      <c r="H13" s="21"/>
      <c r="I13" s="22"/>
      <c r="J13" s="22"/>
      <c r="K13" s="23" t="s">
        <v>15</v>
      </c>
      <c r="L13" s="23" t="s">
        <v>15</v>
      </c>
      <c r="M13" s="24" t="s">
        <v>63</v>
      </c>
    </row>
    <row r="14" spans="1:13" s="25" customFormat="1" ht="51" customHeight="1" x14ac:dyDescent="0.25">
      <c r="A14" s="35" t="s">
        <v>422</v>
      </c>
      <c r="B14" s="37" t="s">
        <v>48</v>
      </c>
      <c r="C14" s="21" t="s">
        <v>43</v>
      </c>
      <c r="D14" s="24" t="s">
        <v>61</v>
      </c>
      <c r="E14" s="40">
        <f t="shared" si="0"/>
        <v>125</v>
      </c>
      <c r="F14" s="33" t="s">
        <v>18</v>
      </c>
      <c r="G14" s="21"/>
      <c r="H14" s="21"/>
      <c r="I14" s="22"/>
      <c r="J14" s="22"/>
      <c r="K14" s="23" t="s">
        <v>15</v>
      </c>
      <c r="L14" s="23" t="s">
        <v>15</v>
      </c>
      <c r="M14" s="24" t="s">
        <v>64</v>
      </c>
    </row>
    <row r="15" spans="1:13" s="25" customFormat="1" ht="51" customHeight="1" x14ac:dyDescent="0.25">
      <c r="A15" s="35" t="s">
        <v>422</v>
      </c>
      <c r="B15" s="37" t="s">
        <v>48</v>
      </c>
      <c r="C15" s="21" t="s">
        <v>44</v>
      </c>
      <c r="D15" s="24" t="s">
        <v>62</v>
      </c>
      <c r="E15" s="40">
        <f t="shared" si="0"/>
        <v>124</v>
      </c>
      <c r="F15" s="33" t="s">
        <v>18</v>
      </c>
      <c r="G15" s="21"/>
      <c r="H15" s="21"/>
      <c r="I15" s="22"/>
      <c r="J15" s="22"/>
      <c r="K15" s="23" t="s">
        <v>15</v>
      </c>
      <c r="L15" s="23" t="s">
        <v>15</v>
      </c>
      <c r="M15" s="24" t="s">
        <v>65</v>
      </c>
    </row>
    <row r="16" spans="1:13" s="25" customFormat="1" ht="51" customHeight="1" x14ac:dyDescent="0.25">
      <c r="A16" s="35" t="s">
        <v>422</v>
      </c>
      <c r="B16" s="37" t="s">
        <v>48</v>
      </c>
      <c r="C16" s="21" t="s">
        <v>70</v>
      </c>
      <c r="D16" s="24" t="s">
        <v>73</v>
      </c>
      <c r="E16" s="40">
        <f t="shared" si="0"/>
        <v>91</v>
      </c>
      <c r="F16" s="21" t="s">
        <v>18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68</v>
      </c>
    </row>
    <row r="17" spans="1:13" s="25" customFormat="1" ht="51" customHeight="1" x14ac:dyDescent="0.25">
      <c r="A17" s="35" t="s">
        <v>422</v>
      </c>
      <c r="B17" s="37" t="s">
        <v>50</v>
      </c>
      <c r="C17" s="21" t="s">
        <v>36</v>
      </c>
      <c r="D17" s="24" t="s">
        <v>53</v>
      </c>
      <c r="E17" s="40">
        <f t="shared" si="0"/>
        <v>43</v>
      </c>
      <c r="F17" s="21" t="s">
        <v>18</v>
      </c>
      <c r="G17" s="21"/>
      <c r="H17" s="21"/>
      <c r="I17" s="21"/>
      <c r="J17" s="21"/>
      <c r="K17" s="23" t="s">
        <v>15</v>
      </c>
      <c r="L17" s="23" t="s">
        <v>19</v>
      </c>
      <c r="M17" s="24" t="s">
        <v>66</v>
      </c>
    </row>
    <row r="18" spans="1:13" s="25" customFormat="1" ht="51" customHeight="1" x14ac:dyDescent="0.25">
      <c r="A18" s="35" t="s">
        <v>422</v>
      </c>
      <c r="B18" s="37" t="s">
        <v>50</v>
      </c>
      <c r="C18" s="21" t="s">
        <v>49</v>
      </c>
      <c r="D18" s="24" t="s">
        <v>54</v>
      </c>
      <c r="E18" s="40">
        <f t="shared" si="0"/>
        <v>64</v>
      </c>
      <c r="F18" s="38" t="s">
        <v>71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67</v>
      </c>
    </row>
    <row r="19" spans="1:13" s="25" customFormat="1" ht="51" customHeight="1" x14ac:dyDescent="0.25">
      <c r="A19" s="35" t="s">
        <v>422</v>
      </c>
      <c r="B19" s="37" t="s">
        <v>50</v>
      </c>
      <c r="C19" s="21" t="s">
        <v>37</v>
      </c>
      <c r="D19" s="24" t="s">
        <v>55</v>
      </c>
      <c r="E19" s="40">
        <f t="shared" si="0"/>
        <v>49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69</v>
      </c>
    </row>
    <row r="20" spans="1:13" s="25" customFormat="1" ht="51" customHeight="1" x14ac:dyDescent="0.25">
      <c r="A20" s="35" t="s">
        <v>422</v>
      </c>
      <c r="B20" s="37" t="s">
        <v>50</v>
      </c>
      <c r="C20" s="21" t="s">
        <v>52</v>
      </c>
      <c r="D20" s="24" t="s">
        <v>73</v>
      </c>
      <c r="E20" s="40">
        <f t="shared" si="0"/>
        <v>91</v>
      </c>
      <c r="F20" s="21" t="s">
        <v>18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68</v>
      </c>
    </row>
    <row r="21" spans="1:13" s="25" customFormat="1" ht="51" customHeight="1" x14ac:dyDescent="0.25">
      <c r="A21" s="35" t="s">
        <v>422</v>
      </c>
      <c r="B21" s="37" t="s">
        <v>100</v>
      </c>
      <c r="C21" s="21" t="s">
        <v>76</v>
      </c>
      <c r="D21" s="24" t="s">
        <v>84</v>
      </c>
      <c r="E21" s="40">
        <f t="shared" si="0"/>
        <v>44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19</v>
      </c>
      <c r="M21" s="24" t="s">
        <v>101</v>
      </c>
    </row>
    <row r="22" spans="1:13" s="25" customFormat="1" ht="51" customHeight="1" x14ac:dyDescent="0.25">
      <c r="A22" s="35" t="s">
        <v>422</v>
      </c>
      <c r="B22" s="37" t="s">
        <v>100</v>
      </c>
      <c r="C22" s="21" t="s">
        <v>85</v>
      </c>
      <c r="D22" s="24" t="s">
        <v>77</v>
      </c>
      <c r="E22" s="40">
        <f t="shared" si="0"/>
        <v>20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19</v>
      </c>
      <c r="M22" s="24" t="s">
        <v>92</v>
      </c>
    </row>
    <row r="23" spans="1:13" s="25" customFormat="1" ht="51" customHeight="1" x14ac:dyDescent="0.25">
      <c r="A23" s="35" t="s">
        <v>422</v>
      </c>
      <c r="B23" s="37" t="s">
        <v>100</v>
      </c>
      <c r="C23" s="21" t="s">
        <v>86</v>
      </c>
      <c r="D23" s="24" t="s">
        <v>87</v>
      </c>
      <c r="E23" s="40">
        <f t="shared" si="0"/>
        <v>27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19</v>
      </c>
      <c r="M23" s="24" t="s">
        <v>91</v>
      </c>
    </row>
    <row r="24" spans="1:13" s="25" customFormat="1" ht="51" customHeight="1" x14ac:dyDescent="0.25">
      <c r="A24" s="35" t="s">
        <v>422</v>
      </c>
      <c r="B24" s="37" t="s">
        <v>100</v>
      </c>
      <c r="C24" s="21" t="s">
        <v>89</v>
      </c>
      <c r="D24" s="24" t="s">
        <v>90</v>
      </c>
      <c r="E24" s="40">
        <f t="shared" si="0"/>
        <v>31</v>
      </c>
      <c r="F24" s="21" t="s">
        <v>18</v>
      </c>
      <c r="G24" s="21"/>
      <c r="H24" s="21"/>
      <c r="I24" s="21"/>
      <c r="J24" s="21"/>
      <c r="K24" s="23" t="s">
        <v>15</v>
      </c>
      <c r="L24" s="23" t="s">
        <v>19</v>
      </c>
      <c r="M24" s="24" t="s">
        <v>99</v>
      </c>
    </row>
    <row r="25" spans="1:13" s="25" customFormat="1" ht="51" customHeight="1" x14ac:dyDescent="0.25">
      <c r="A25" s="35" t="s">
        <v>422</v>
      </c>
      <c r="B25" s="37" t="s">
        <v>100</v>
      </c>
      <c r="C25" s="21" t="s">
        <v>98</v>
      </c>
      <c r="D25" s="24" t="s">
        <v>88</v>
      </c>
      <c r="E25" s="40">
        <f t="shared" si="0"/>
        <v>33</v>
      </c>
      <c r="F25" s="21" t="s">
        <v>18</v>
      </c>
      <c r="G25" s="21"/>
      <c r="H25" s="21"/>
      <c r="I25" s="21"/>
      <c r="J25" s="21"/>
      <c r="K25" s="23" t="s">
        <v>15</v>
      </c>
      <c r="L25" s="23" t="s">
        <v>19</v>
      </c>
      <c r="M25" s="24" t="s">
        <v>93</v>
      </c>
    </row>
    <row r="26" spans="1:13" s="25" customFormat="1" ht="51" customHeight="1" x14ac:dyDescent="0.25">
      <c r="A26" s="35" t="s">
        <v>422</v>
      </c>
      <c r="B26" s="37" t="s">
        <v>20</v>
      </c>
      <c r="C26" s="21" t="s">
        <v>81</v>
      </c>
      <c r="D26" s="24" t="s">
        <v>82</v>
      </c>
      <c r="E26" s="40">
        <f t="shared" si="0"/>
        <v>47</v>
      </c>
      <c r="F26" s="21" t="s">
        <v>18</v>
      </c>
      <c r="G26" s="21"/>
      <c r="H26" s="21"/>
      <c r="I26" s="21"/>
      <c r="J26" s="21"/>
      <c r="K26" s="23" t="s">
        <v>15</v>
      </c>
      <c r="L26" s="23" t="s">
        <v>15</v>
      </c>
      <c r="M26" s="24" t="s">
        <v>103</v>
      </c>
    </row>
    <row r="27" spans="1:13" s="25" customFormat="1" ht="51" customHeight="1" x14ac:dyDescent="0.25">
      <c r="A27" s="35" t="s">
        <v>422</v>
      </c>
      <c r="B27" s="37" t="s">
        <v>20</v>
      </c>
      <c r="C27" s="21" t="s">
        <v>80</v>
      </c>
      <c r="D27" s="24" t="s">
        <v>102</v>
      </c>
      <c r="E27" s="40">
        <f t="shared" si="0"/>
        <v>64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19</v>
      </c>
      <c r="M27" s="24" t="s">
        <v>104</v>
      </c>
    </row>
    <row r="28" spans="1:13" s="25" customFormat="1" ht="51" customHeight="1" x14ac:dyDescent="0.25">
      <c r="A28" s="35" t="s">
        <v>422</v>
      </c>
      <c r="B28" s="37" t="s">
        <v>20</v>
      </c>
      <c r="C28" s="21" t="s">
        <v>78</v>
      </c>
      <c r="D28" s="24" t="s">
        <v>83</v>
      </c>
      <c r="E28" s="40">
        <f t="shared" si="0"/>
        <v>48</v>
      </c>
      <c r="F28" s="21" t="s">
        <v>51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105</v>
      </c>
    </row>
    <row r="29" spans="1:13" s="25" customFormat="1" ht="51" customHeight="1" x14ac:dyDescent="0.25">
      <c r="A29" s="35" t="s">
        <v>422</v>
      </c>
      <c r="B29" s="37" t="s">
        <v>20</v>
      </c>
      <c r="C29" s="21" t="s">
        <v>21</v>
      </c>
      <c r="D29" s="24" t="s">
        <v>79</v>
      </c>
      <c r="E29" s="40">
        <f t="shared" si="0"/>
        <v>77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19</v>
      </c>
      <c r="M29" s="24" t="s">
        <v>106</v>
      </c>
    </row>
    <row r="30" spans="1:13" s="25" customFormat="1" ht="51" customHeight="1" x14ac:dyDescent="0.25">
      <c r="A30" s="35" t="s">
        <v>422</v>
      </c>
      <c r="B30" s="37" t="s">
        <v>34</v>
      </c>
      <c r="C30" s="21" t="s">
        <v>268</v>
      </c>
      <c r="D30" s="24" t="s">
        <v>269</v>
      </c>
      <c r="E30" s="40">
        <f t="shared" si="0"/>
        <v>62</v>
      </c>
      <c r="F30" s="21" t="s">
        <v>51</v>
      </c>
      <c r="G30" s="21"/>
      <c r="H30" s="21"/>
      <c r="I30" s="22"/>
      <c r="J30" s="22"/>
      <c r="K30" s="23" t="s">
        <v>15</v>
      </c>
      <c r="L30" s="23" t="s">
        <v>15</v>
      </c>
      <c r="M30" s="24" t="s">
        <v>287</v>
      </c>
    </row>
    <row r="31" spans="1:13" s="25" customFormat="1" ht="51" customHeight="1" x14ac:dyDescent="0.25">
      <c r="A31" s="35" t="s">
        <v>422</v>
      </c>
      <c r="B31" s="37" t="s">
        <v>34</v>
      </c>
      <c r="C31" s="21" t="s">
        <v>267</v>
      </c>
      <c r="D31" s="21" t="s">
        <v>267</v>
      </c>
      <c r="E31" s="40">
        <f t="shared" si="0"/>
        <v>52</v>
      </c>
      <c r="F31" s="21" t="s">
        <v>51</v>
      </c>
      <c r="G31" s="21"/>
      <c r="H31" s="21"/>
      <c r="I31" s="22"/>
      <c r="J31" s="22"/>
      <c r="K31" s="23" t="s">
        <v>15</v>
      </c>
      <c r="L31" s="23" t="s">
        <v>15</v>
      </c>
      <c r="M31" s="24" t="s">
        <v>287</v>
      </c>
    </row>
    <row r="32" spans="1:13" s="25" customFormat="1" ht="51" customHeight="1" x14ac:dyDescent="0.25">
      <c r="A32" s="35" t="s">
        <v>422</v>
      </c>
      <c r="B32" s="37" t="s">
        <v>26</v>
      </c>
      <c r="C32" s="21" t="s">
        <v>271</v>
      </c>
      <c r="D32" s="21" t="s">
        <v>270</v>
      </c>
      <c r="E32" s="40">
        <f t="shared" si="0"/>
        <v>43</v>
      </c>
      <c r="F32" s="21" t="s">
        <v>51</v>
      </c>
      <c r="G32" s="21"/>
      <c r="H32" s="21"/>
      <c r="I32" s="22"/>
      <c r="J32" s="22"/>
      <c r="K32" s="23" t="s">
        <v>15</v>
      </c>
      <c r="L32" s="23" t="s">
        <v>15</v>
      </c>
      <c r="M32" s="24" t="s">
        <v>286</v>
      </c>
    </row>
    <row r="33" spans="1:13" s="25" customFormat="1" ht="51" customHeight="1" x14ac:dyDescent="0.25">
      <c r="A33" s="35" t="s">
        <v>422</v>
      </c>
      <c r="B33" s="37" t="s">
        <v>26</v>
      </c>
      <c r="C33" s="21" t="s">
        <v>272</v>
      </c>
      <c r="D33" s="24" t="s">
        <v>273</v>
      </c>
      <c r="E33" s="40">
        <f t="shared" si="0"/>
        <v>46</v>
      </c>
      <c r="F33" s="21" t="s">
        <v>51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286</v>
      </c>
    </row>
    <row r="34" spans="1:13" s="25" customFormat="1" ht="51" customHeight="1" x14ac:dyDescent="0.25">
      <c r="A34" s="35" t="s">
        <v>422</v>
      </c>
      <c r="B34" s="37" t="s">
        <v>26</v>
      </c>
      <c r="C34" s="21" t="s">
        <v>274</v>
      </c>
      <c r="D34" s="24" t="s">
        <v>275</v>
      </c>
      <c r="E34" s="40">
        <f t="shared" si="0"/>
        <v>33</v>
      </c>
      <c r="F34" s="21" t="s">
        <v>51</v>
      </c>
      <c r="G34" s="21"/>
      <c r="H34" s="21"/>
      <c r="I34" s="21"/>
      <c r="J34" s="21"/>
      <c r="K34" s="23" t="s">
        <v>15</v>
      </c>
      <c r="L34" s="23" t="s">
        <v>15</v>
      </c>
      <c r="M34" s="24" t="s">
        <v>286</v>
      </c>
    </row>
    <row r="35" spans="1:13" s="25" customFormat="1" ht="51" customHeight="1" x14ac:dyDescent="0.25">
      <c r="A35" s="35" t="s">
        <v>422</v>
      </c>
      <c r="B35" s="37" t="s">
        <v>26</v>
      </c>
      <c r="C35" s="21" t="s">
        <v>276</v>
      </c>
      <c r="D35" s="24" t="s">
        <v>277</v>
      </c>
      <c r="E35" s="40">
        <f t="shared" si="0"/>
        <v>53</v>
      </c>
      <c r="F35" s="21" t="s">
        <v>51</v>
      </c>
      <c r="G35" s="21"/>
      <c r="H35" s="21"/>
      <c r="I35" s="21"/>
      <c r="J35" s="21"/>
      <c r="K35" s="23" t="s">
        <v>15</v>
      </c>
      <c r="L35" s="23" t="s">
        <v>15</v>
      </c>
      <c r="M35" s="24" t="s">
        <v>286</v>
      </c>
    </row>
    <row r="36" spans="1:13" s="25" customFormat="1" ht="51" customHeight="1" x14ac:dyDescent="0.25">
      <c r="A36" s="35" t="s">
        <v>422</v>
      </c>
      <c r="B36" s="37" t="s">
        <v>26</v>
      </c>
      <c r="C36" s="21" t="s">
        <v>278</v>
      </c>
      <c r="D36" s="24" t="s">
        <v>280</v>
      </c>
      <c r="E36" s="40">
        <f t="shared" si="0"/>
        <v>85</v>
      </c>
      <c r="F36" s="21" t="s">
        <v>51</v>
      </c>
      <c r="G36" s="21"/>
      <c r="H36" s="21"/>
      <c r="I36" s="21"/>
      <c r="J36" s="21"/>
      <c r="K36" s="23" t="s">
        <v>15</v>
      </c>
      <c r="L36" s="23" t="s">
        <v>15</v>
      </c>
      <c r="M36" s="24" t="s">
        <v>286</v>
      </c>
    </row>
    <row r="37" spans="1:13" s="25" customFormat="1" ht="51" customHeight="1" x14ac:dyDescent="0.25">
      <c r="A37" s="35" t="s">
        <v>422</v>
      </c>
      <c r="B37" s="37" t="s">
        <v>26</v>
      </c>
      <c r="C37" s="21" t="s">
        <v>279</v>
      </c>
      <c r="D37" s="24" t="s">
        <v>281</v>
      </c>
      <c r="E37" s="40">
        <f t="shared" si="0"/>
        <v>103</v>
      </c>
      <c r="F37" s="21" t="s">
        <v>51</v>
      </c>
      <c r="G37" s="21"/>
      <c r="H37" s="21"/>
      <c r="I37" s="21"/>
      <c r="J37" s="21"/>
      <c r="K37" s="23" t="s">
        <v>15</v>
      </c>
      <c r="L37" s="23" t="s">
        <v>15</v>
      </c>
      <c r="M37" s="24" t="s">
        <v>286</v>
      </c>
    </row>
    <row r="38" spans="1:13" s="25" customFormat="1" ht="51" customHeight="1" x14ac:dyDescent="0.25">
      <c r="A38" s="35" t="s">
        <v>422</v>
      </c>
      <c r="B38" s="37" t="s">
        <v>26</v>
      </c>
      <c r="C38" s="21" t="s">
        <v>282</v>
      </c>
      <c r="D38" s="21" t="s">
        <v>282</v>
      </c>
      <c r="E38" s="40">
        <f t="shared" si="0"/>
        <v>49</v>
      </c>
      <c r="F38" s="21" t="s">
        <v>51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286</v>
      </c>
    </row>
    <row r="39" spans="1:13" s="25" customFormat="1" ht="51" customHeight="1" x14ac:dyDescent="0.25">
      <c r="A39" s="35" t="s">
        <v>422</v>
      </c>
      <c r="B39" s="37" t="s">
        <v>26</v>
      </c>
      <c r="C39" s="21" t="s">
        <v>283</v>
      </c>
      <c r="D39" s="21" t="s">
        <v>283</v>
      </c>
      <c r="E39" s="40">
        <f t="shared" si="0"/>
        <v>68</v>
      </c>
      <c r="F39" s="21" t="s">
        <v>51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286</v>
      </c>
    </row>
    <row r="40" spans="1:13" s="25" customFormat="1" ht="51" customHeight="1" x14ac:dyDescent="0.25">
      <c r="A40" s="35" t="s">
        <v>422</v>
      </c>
      <c r="B40" s="37" t="s">
        <v>26</v>
      </c>
      <c r="C40" s="21" t="s">
        <v>284</v>
      </c>
      <c r="D40" s="24" t="s">
        <v>285</v>
      </c>
      <c r="E40" s="40">
        <f t="shared" si="0"/>
        <v>89</v>
      </c>
      <c r="F40" s="21" t="s">
        <v>51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286</v>
      </c>
    </row>
    <row r="41" spans="1:13" s="25" customFormat="1" ht="51" customHeight="1" x14ac:dyDescent="0.25">
      <c r="A41" s="51" t="s">
        <v>422</v>
      </c>
      <c r="B41" s="51" t="s">
        <v>423</v>
      </c>
      <c r="C41" s="59" t="s">
        <v>366</v>
      </c>
      <c r="D41" s="53" t="s">
        <v>424</v>
      </c>
      <c r="E41" s="60">
        <f>LEN(D41)</f>
        <v>35</v>
      </c>
      <c r="F41" s="59" t="s">
        <v>18</v>
      </c>
      <c r="G41" s="59"/>
      <c r="H41" s="59"/>
      <c r="I41" s="59"/>
      <c r="J41" s="59"/>
      <c r="K41" s="61" t="s">
        <v>15</v>
      </c>
      <c r="L41" s="61" t="s">
        <v>15</v>
      </c>
      <c r="M41" s="53" t="s">
        <v>425</v>
      </c>
    </row>
  </sheetData>
  <autoFilter ref="A6:M6"/>
  <sortState ref="A42:D47">
    <sortCondition ref="C42:C47"/>
  </sortState>
  <mergeCells count="2">
    <mergeCell ref="C3:J4"/>
    <mergeCell ref="C2:J2"/>
  </mergeCells>
  <conditionalFormatting sqref="E7:E40">
    <cfRule type="cellIs" dxfId="14" priority="5" operator="greaterThan">
      <formula>104</formula>
    </cfRule>
  </conditionalFormatting>
  <conditionalFormatting sqref="E41">
    <cfRule type="cellIs" dxfId="13" priority="1" operator="greaterThan">
      <formula>104</formula>
    </cfRule>
  </conditionalFormatting>
  <dataValidations count="1">
    <dataValidation type="list" allowBlank="1" showInputMessage="1" showErrorMessage="1" sqref="K7:L4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31"/>
  <sheetViews>
    <sheetView showGridLines="0" zoomScaleNormal="100" workbookViewId="0">
      <pane xSplit="3" ySplit="6" topLeftCell="D21" activePane="bottomRight" state="frozen"/>
      <selection pane="topRight" activeCell="D1" sqref="D1"/>
      <selection pane="bottomLeft" activeCell="A7" sqref="A7"/>
      <selection pane="bottomRight" activeCell="B24" sqref="B24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bestFit="1" customWidth="1"/>
    <col min="10" max="10" width="14.5703125" style="19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7" t="s">
        <v>1</v>
      </c>
      <c r="D2" s="57"/>
      <c r="E2" s="57"/>
      <c r="F2" s="57"/>
      <c r="G2" s="57"/>
      <c r="H2" s="57"/>
      <c r="I2" s="57"/>
      <c r="J2" s="57"/>
      <c r="K2" s="20"/>
      <c r="L2" s="20"/>
      <c r="M2" s="27"/>
    </row>
    <row r="3" spans="1:13" ht="15" customHeight="1" x14ac:dyDescent="0.25">
      <c r="A3" s="34"/>
      <c r="B3" s="34"/>
      <c r="C3" s="56" t="s">
        <v>0</v>
      </c>
      <c r="D3" s="56"/>
      <c r="E3" s="56"/>
      <c r="F3" s="56"/>
      <c r="G3" s="56"/>
      <c r="H3" s="56"/>
      <c r="I3" s="56"/>
      <c r="J3" s="56"/>
      <c r="K3" s="3"/>
      <c r="L3" s="3"/>
      <c r="M3" s="27"/>
    </row>
    <row r="4" spans="1:13" ht="15" customHeight="1" x14ac:dyDescent="0.25">
      <c r="A4" s="34"/>
      <c r="B4" s="34"/>
      <c r="C4" s="56"/>
      <c r="D4" s="56"/>
      <c r="E4" s="56"/>
      <c r="F4" s="56"/>
      <c r="G4" s="56"/>
      <c r="H4" s="56"/>
      <c r="I4" s="56"/>
      <c r="J4" s="56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43" t="s">
        <v>107</v>
      </c>
      <c r="B7" s="43" t="s">
        <v>110</v>
      </c>
      <c r="C7" s="24" t="s">
        <v>139</v>
      </c>
      <c r="D7" s="24" t="s">
        <v>115</v>
      </c>
      <c r="E7" s="40">
        <f>LEN(D7)</f>
        <v>57</v>
      </c>
      <c r="F7" s="44" t="s">
        <v>18</v>
      </c>
      <c r="G7" s="24"/>
      <c r="H7" s="24"/>
      <c r="I7" s="45"/>
      <c r="J7" s="45"/>
      <c r="K7" s="46" t="s">
        <v>15</v>
      </c>
      <c r="L7" s="46" t="s">
        <v>15</v>
      </c>
      <c r="M7" s="24" t="s">
        <v>194</v>
      </c>
    </row>
    <row r="8" spans="1:13" s="25" customFormat="1" ht="51" customHeight="1" x14ac:dyDescent="0.25">
      <c r="A8" s="43" t="s">
        <v>107</v>
      </c>
      <c r="B8" s="43" t="s">
        <v>110</v>
      </c>
      <c r="C8" s="24" t="s">
        <v>140</v>
      </c>
      <c r="D8" s="24" t="s">
        <v>116</v>
      </c>
      <c r="E8" s="40">
        <f t="shared" ref="E8:E29" si="0">LEN(D8)</f>
        <v>59</v>
      </c>
      <c r="F8" s="44" t="s">
        <v>18</v>
      </c>
      <c r="G8" s="24"/>
      <c r="H8" s="24"/>
      <c r="I8" s="45"/>
      <c r="J8" s="45"/>
      <c r="K8" s="46" t="s">
        <v>15</v>
      </c>
      <c r="L8" s="46" t="s">
        <v>15</v>
      </c>
      <c r="M8" s="24" t="s">
        <v>195</v>
      </c>
    </row>
    <row r="9" spans="1:13" s="25" customFormat="1" ht="51" customHeight="1" x14ac:dyDescent="0.25">
      <c r="A9" s="43" t="s">
        <v>107</v>
      </c>
      <c r="B9" s="43" t="s">
        <v>110</v>
      </c>
      <c r="C9" s="24" t="s">
        <v>141</v>
      </c>
      <c r="D9" s="24" t="s">
        <v>114</v>
      </c>
      <c r="E9" s="40">
        <f t="shared" si="0"/>
        <v>94</v>
      </c>
      <c r="F9" s="24" t="s">
        <v>51</v>
      </c>
      <c r="G9" s="24"/>
      <c r="H9" s="24"/>
      <c r="I9" s="24"/>
      <c r="J9" s="24"/>
      <c r="K9" s="46" t="s">
        <v>15</v>
      </c>
      <c r="L9" s="46" t="s">
        <v>15</v>
      </c>
      <c r="M9" s="24" t="s">
        <v>196</v>
      </c>
    </row>
    <row r="10" spans="1:13" s="25" customFormat="1" ht="114.75" x14ac:dyDescent="0.25">
      <c r="A10" s="43" t="s">
        <v>107</v>
      </c>
      <c r="B10" s="43" t="s">
        <v>108</v>
      </c>
      <c r="C10" s="24" t="s">
        <v>142</v>
      </c>
      <c r="D10" s="24" t="s">
        <v>117</v>
      </c>
      <c r="E10" s="40">
        <f t="shared" si="0"/>
        <v>64</v>
      </c>
      <c r="F10" s="44" t="s">
        <v>18</v>
      </c>
      <c r="G10" s="24"/>
      <c r="H10" s="24"/>
      <c r="I10" s="45"/>
      <c r="J10" s="45"/>
      <c r="K10" s="46" t="s">
        <v>15</v>
      </c>
      <c r="L10" s="46" t="s">
        <v>15</v>
      </c>
      <c r="M10" s="24" t="s">
        <v>197</v>
      </c>
    </row>
    <row r="11" spans="1:13" s="25" customFormat="1" ht="51" customHeight="1" x14ac:dyDescent="0.25">
      <c r="A11" s="43" t="s">
        <v>107</v>
      </c>
      <c r="B11" s="43" t="s">
        <v>108</v>
      </c>
      <c r="C11" s="24" t="s">
        <v>143</v>
      </c>
      <c r="D11" s="24" t="s">
        <v>118</v>
      </c>
      <c r="E11" s="40">
        <f t="shared" si="0"/>
        <v>92</v>
      </c>
      <c r="F11" s="44" t="s">
        <v>51</v>
      </c>
      <c r="G11" s="24"/>
      <c r="H11" s="24"/>
      <c r="I11" s="45"/>
      <c r="J11" s="45"/>
      <c r="K11" s="46" t="s">
        <v>15</v>
      </c>
      <c r="L11" s="46" t="s">
        <v>15</v>
      </c>
      <c r="M11" s="24" t="s">
        <v>198</v>
      </c>
    </row>
    <row r="12" spans="1:13" s="25" customFormat="1" ht="51" customHeight="1" x14ac:dyDescent="0.25">
      <c r="A12" s="43" t="s">
        <v>107</v>
      </c>
      <c r="B12" s="43" t="s">
        <v>109</v>
      </c>
      <c r="C12" s="24" t="s">
        <v>144</v>
      </c>
      <c r="D12" s="24" t="s">
        <v>119</v>
      </c>
      <c r="E12" s="40">
        <f t="shared" si="0"/>
        <v>48</v>
      </c>
      <c r="F12" s="44" t="s">
        <v>18</v>
      </c>
      <c r="G12" s="24"/>
      <c r="H12" s="24"/>
      <c r="I12" s="45"/>
      <c r="J12" s="45"/>
      <c r="K12" s="46" t="s">
        <v>15</v>
      </c>
      <c r="L12" s="46" t="s">
        <v>15</v>
      </c>
      <c r="M12" s="24" t="s">
        <v>199</v>
      </c>
    </row>
    <row r="13" spans="1:13" s="25" customFormat="1" ht="51" customHeight="1" x14ac:dyDescent="0.25">
      <c r="A13" s="43" t="s">
        <v>107</v>
      </c>
      <c r="B13" s="43" t="s">
        <v>109</v>
      </c>
      <c r="C13" s="24" t="s">
        <v>145</v>
      </c>
      <c r="D13" s="24" t="s">
        <v>120</v>
      </c>
      <c r="E13" s="40">
        <f t="shared" si="0"/>
        <v>31</v>
      </c>
      <c r="F13" s="44" t="s">
        <v>51</v>
      </c>
      <c r="G13" s="24"/>
      <c r="H13" s="24"/>
      <c r="I13" s="45"/>
      <c r="J13" s="45"/>
      <c r="K13" s="46" t="s">
        <v>15</v>
      </c>
      <c r="L13" s="46" t="s">
        <v>15</v>
      </c>
      <c r="M13" s="24" t="s">
        <v>200</v>
      </c>
    </row>
    <row r="14" spans="1:13" s="25" customFormat="1" ht="51" customHeight="1" x14ac:dyDescent="0.25">
      <c r="A14" s="43" t="s">
        <v>107</v>
      </c>
      <c r="B14" s="43" t="s">
        <v>122</v>
      </c>
      <c r="C14" s="24" t="s">
        <v>146</v>
      </c>
      <c r="D14" s="24" t="s">
        <v>121</v>
      </c>
      <c r="E14" s="40">
        <f t="shared" si="0"/>
        <v>92</v>
      </c>
      <c r="F14" s="44" t="s">
        <v>51</v>
      </c>
      <c r="G14" s="24"/>
      <c r="H14" s="24"/>
      <c r="I14" s="45"/>
      <c r="J14" s="45"/>
      <c r="K14" s="46" t="s">
        <v>15</v>
      </c>
      <c r="L14" s="46" t="s">
        <v>15</v>
      </c>
      <c r="M14" s="24" t="s">
        <v>201</v>
      </c>
    </row>
    <row r="15" spans="1:13" s="25" customFormat="1" ht="51" customHeight="1" x14ac:dyDescent="0.25">
      <c r="A15" s="43" t="s">
        <v>107</v>
      </c>
      <c r="B15" s="43" t="s">
        <v>112</v>
      </c>
      <c r="C15" s="24" t="s">
        <v>124</v>
      </c>
      <c r="D15" s="24" t="s">
        <v>123</v>
      </c>
      <c r="E15" s="40">
        <f t="shared" si="0"/>
        <v>22</v>
      </c>
      <c r="F15" s="44" t="s">
        <v>51</v>
      </c>
      <c r="G15" s="24"/>
      <c r="H15" s="24"/>
      <c r="I15" s="45"/>
      <c r="J15" s="45"/>
      <c r="K15" s="46" t="s">
        <v>15</v>
      </c>
      <c r="L15" s="46" t="s">
        <v>15</v>
      </c>
      <c r="M15" s="24" t="s">
        <v>202</v>
      </c>
    </row>
    <row r="16" spans="1:13" s="25" customFormat="1" ht="51" customHeight="1" x14ac:dyDescent="0.25">
      <c r="A16" s="43" t="s">
        <v>107</v>
      </c>
      <c r="B16" s="43" t="s">
        <v>112</v>
      </c>
      <c r="C16" s="24" t="s">
        <v>125</v>
      </c>
      <c r="D16" s="24" t="s">
        <v>126</v>
      </c>
      <c r="E16" s="40">
        <f t="shared" si="0"/>
        <v>51</v>
      </c>
      <c r="F16" s="24" t="s">
        <v>51</v>
      </c>
      <c r="G16" s="24"/>
      <c r="H16" s="24"/>
      <c r="I16" s="24"/>
      <c r="J16" s="24"/>
      <c r="K16" s="46" t="s">
        <v>15</v>
      </c>
      <c r="L16" s="46" t="s">
        <v>15</v>
      </c>
      <c r="M16" s="24" t="s">
        <v>203</v>
      </c>
    </row>
    <row r="17" spans="1:13" s="25" customFormat="1" ht="51" customHeight="1" x14ac:dyDescent="0.25">
      <c r="A17" s="43" t="s">
        <v>107</v>
      </c>
      <c r="B17" s="43" t="s">
        <v>113</v>
      </c>
      <c r="C17" s="24" t="s">
        <v>127</v>
      </c>
      <c r="D17" s="24" t="s">
        <v>128</v>
      </c>
      <c r="E17" s="40">
        <f t="shared" si="0"/>
        <v>29</v>
      </c>
      <c r="F17" s="24" t="s">
        <v>51</v>
      </c>
      <c r="G17" s="24"/>
      <c r="H17" s="24"/>
      <c r="I17" s="24"/>
      <c r="J17" s="24"/>
      <c r="K17" s="46" t="s">
        <v>15</v>
      </c>
      <c r="L17" s="46" t="s">
        <v>15</v>
      </c>
      <c r="M17" s="24" t="s">
        <v>204</v>
      </c>
    </row>
    <row r="18" spans="1:13" s="25" customFormat="1" ht="51" customHeight="1" x14ac:dyDescent="0.25">
      <c r="A18" s="43" t="s">
        <v>107</v>
      </c>
      <c r="B18" s="43" t="s">
        <v>111</v>
      </c>
      <c r="C18" s="24" t="s">
        <v>129</v>
      </c>
      <c r="D18" s="24" t="s">
        <v>130</v>
      </c>
      <c r="E18" s="40">
        <f t="shared" si="0"/>
        <v>55</v>
      </c>
      <c r="F18" s="24" t="s">
        <v>51</v>
      </c>
      <c r="G18" s="24"/>
      <c r="H18" s="24"/>
      <c r="I18" s="24"/>
      <c r="J18" s="24"/>
      <c r="K18" s="46" t="s">
        <v>15</v>
      </c>
      <c r="L18" s="46" t="s">
        <v>15</v>
      </c>
      <c r="M18" s="24" t="s">
        <v>205</v>
      </c>
    </row>
    <row r="19" spans="1:13" s="25" customFormat="1" ht="51" customHeight="1" x14ac:dyDescent="0.25">
      <c r="A19" s="43" t="s">
        <v>107</v>
      </c>
      <c r="B19" s="43" t="s">
        <v>111</v>
      </c>
      <c r="C19" s="24" t="s">
        <v>131</v>
      </c>
      <c r="D19" s="24" t="s">
        <v>135</v>
      </c>
      <c r="E19" s="40">
        <f t="shared" si="0"/>
        <v>64</v>
      </c>
      <c r="F19" s="24" t="s">
        <v>51</v>
      </c>
      <c r="G19" s="24"/>
      <c r="H19" s="24"/>
      <c r="I19" s="24"/>
      <c r="J19" s="24"/>
      <c r="K19" s="46" t="s">
        <v>15</v>
      </c>
      <c r="L19" s="46" t="s">
        <v>15</v>
      </c>
      <c r="M19" s="24" t="s">
        <v>206</v>
      </c>
    </row>
    <row r="20" spans="1:13" s="25" customFormat="1" ht="51" customHeight="1" x14ac:dyDescent="0.25">
      <c r="A20" s="43" t="s">
        <v>107</v>
      </c>
      <c r="B20" s="43" t="s">
        <v>111</v>
      </c>
      <c r="C20" s="24" t="s">
        <v>133</v>
      </c>
      <c r="D20" s="24" t="s">
        <v>134</v>
      </c>
      <c r="E20" s="40">
        <f t="shared" si="0"/>
        <v>70</v>
      </c>
      <c r="F20" s="24" t="s">
        <v>18</v>
      </c>
      <c r="G20" s="24"/>
      <c r="H20" s="24"/>
      <c r="I20" s="24"/>
      <c r="J20" s="24"/>
      <c r="K20" s="46" t="s">
        <v>15</v>
      </c>
      <c r="L20" s="46" t="s">
        <v>15</v>
      </c>
      <c r="M20" s="24" t="s">
        <v>207</v>
      </c>
    </row>
    <row r="21" spans="1:13" s="25" customFormat="1" ht="51" customHeight="1" x14ac:dyDescent="0.25">
      <c r="A21" s="43" t="s">
        <v>107</v>
      </c>
      <c r="B21" s="43" t="s">
        <v>111</v>
      </c>
      <c r="C21" s="24" t="s">
        <v>132</v>
      </c>
      <c r="D21" s="24" t="s">
        <v>132</v>
      </c>
      <c r="E21" s="40">
        <f t="shared" si="0"/>
        <v>24</v>
      </c>
      <c r="F21" s="24" t="s">
        <v>51</v>
      </c>
      <c r="G21" s="24"/>
      <c r="H21" s="24"/>
      <c r="I21" s="24"/>
      <c r="J21" s="24"/>
      <c r="K21" s="46" t="s">
        <v>15</v>
      </c>
      <c r="L21" s="46" t="s">
        <v>15</v>
      </c>
      <c r="M21" s="24" t="s">
        <v>208</v>
      </c>
    </row>
    <row r="22" spans="1:13" s="25" customFormat="1" ht="51" customHeight="1" x14ac:dyDescent="0.25">
      <c r="A22" s="52" t="s">
        <v>107</v>
      </c>
      <c r="B22" s="43" t="s">
        <v>262</v>
      </c>
      <c r="C22" s="24" t="s">
        <v>261</v>
      </c>
      <c r="D22" s="24" t="s">
        <v>263</v>
      </c>
      <c r="E22" s="40">
        <f t="shared" ref="E22" si="1">LEN(D22)</f>
        <v>95</v>
      </c>
      <c r="F22" s="24" t="s">
        <v>51</v>
      </c>
      <c r="G22" s="24"/>
      <c r="H22" s="24"/>
      <c r="I22" s="24"/>
      <c r="J22" s="24"/>
      <c r="K22" s="46" t="s">
        <v>15</v>
      </c>
      <c r="L22" s="46" t="s">
        <v>15</v>
      </c>
      <c r="M22" s="24" t="s">
        <v>264</v>
      </c>
    </row>
    <row r="23" spans="1:13" s="25" customFormat="1" ht="51" customHeight="1" x14ac:dyDescent="0.25">
      <c r="A23" s="43" t="s">
        <v>107</v>
      </c>
      <c r="B23" s="43" t="s">
        <v>391</v>
      </c>
      <c r="C23" s="24" t="s">
        <v>211</v>
      </c>
      <c r="D23" s="24" t="s">
        <v>212</v>
      </c>
      <c r="E23" s="40">
        <f t="shared" si="0"/>
        <v>44</v>
      </c>
      <c r="F23" s="24" t="s">
        <v>51</v>
      </c>
      <c r="G23" s="24"/>
      <c r="H23" s="24"/>
      <c r="I23" s="24"/>
      <c r="J23" s="24"/>
      <c r="K23" s="46" t="s">
        <v>15</v>
      </c>
      <c r="L23" s="46" t="s">
        <v>15</v>
      </c>
      <c r="M23" s="24" t="s">
        <v>213</v>
      </c>
    </row>
    <row r="24" spans="1:13" s="25" customFormat="1" ht="51" customHeight="1" x14ac:dyDescent="0.25">
      <c r="A24" s="52" t="s">
        <v>107</v>
      </c>
      <c r="B24" s="43" t="s">
        <v>391</v>
      </c>
      <c r="C24" s="24" t="s">
        <v>355</v>
      </c>
      <c r="D24" s="24" t="s">
        <v>355</v>
      </c>
      <c r="E24" s="40">
        <f t="shared" ref="E24" si="2">LEN(D24)</f>
        <v>52</v>
      </c>
      <c r="F24" s="24" t="s">
        <v>18</v>
      </c>
      <c r="G24" s="24"/>
      <c r="H24" s="24"/>
      <c r="I24" s="24"/>
      <c r="J24" s="24"/>
      <c r="K24" s="46" t="s">
        <v>15</v>
      </c>
      <c r="L24" s="46" t="s">
        <v>15</v>
      </c>
      <c r="M24" s="24" t="s">
        <v>392</v>
      </c>
    </row>
    <row r="25" spans="1:13" s="25" customFormat="1" ht="51" customHeight="1" x14ac:dyDescent="0.25">
      <c r="A25" s="43" t="s">
        <v>107</v>
      </c>
      <c r="B25" s="43" t="s">
        <v>136</v>
      </c>
      <c r="C25" s="24" t="s">
        <v>137</v>
      </c>
      <c r="D25" s="24" t="s">
        <v>137</v>
      </c>
      <c r="E25" s="40">
        <f t="shared" si="0"/>
        <v>47</v>
      </c>
      <c r="F25" s="24" t="s">
        <v>51</v>
      </c>
      <c r="G25" s="24"/>
      <c r="H25" s="24"/>
      <c r="I25" s="24"/>
      <c r="J25" s="24"/>
      <c r="K25" s="46" t="s">
        <v>15</v>
      </c>
      <c r="L25" s="46" t="s">
        <v>15</v>
      </c>
      <c r="M25" s="24" t="s">
        <v>214</v>
      </c>
    </row>
    <row r="26" spans="1:13" s="25" customFormat="1" ht="51" customHeight="1" x14ac:dyDescent="0.25">
      <c r="A26" s="43" t="s">
        <v>107</v>
      </c>
      <c r="B26" s="43" t="s">
        <v>138</v>
      </c>
      <c r="C26" s="24" t="s">
        <v>215</v>
      </c>
      <c r="D26" s="24" t="s">
        <v>239</v>
      </c>
      <c r="E26" s="40">
        <f t="shared" si="0"/>
        <v>64</v>
      </c>
      <c r="F26" s="24" t="s">
        <v>18</v>
      </c>
      <c r="G26" s="24"/>
      <c r="H26" s="24"/>
      <c r="I26" s="24"/>
      <c r="J26" s="24"/>
      <c r="K26" s="46" t="s">
        <v>15</v>
      </c>
      <c r="L26" s="46" t="s">
        <v>15</v>
      </c>
      <c r="M26" s="24" t="s">
        <v>220</v>
      </c>
    </row>
    <row r="27" spans="1:13" s="25" customFormat="1" ht="51" customHeight="1" x14ac:dyDescent="0.25">
      <c r="A27" s="43" t="s">
        <v>107</v>
      </c>
      <c r="B27" s="43" t="s">
        <v>138</v>
      </c>
      <c r="C27" s="24" t="s">
        <v>216</v>
      </c>
      <c r="D27" s="24" t="s">
        <v>240</v>
      </c>
      <c r="E27" s="40">
        <f t="shared" ref="E27" si="3">LEN(D27)</f>
        <v>20</v>
      </c>
      <c r="F27" s="24" t="s">
        <v>18</v>
      </c>
      <c r="G27" s="24"/>
      <c r="H27" s="24"/>
      <c r="I27" s="24"/>
      <c r="J27" s="24"/>
      <c r="K27" s="46" t="s">
        <v>15</v>
      </c>
      <c r="L27" s="46" t="s">
        <v>15</v>
      </c>
      <c r="M27" s="24" t="s">
        <v>219</v>
      </c>
    </row>
    <row r="28" spans="1:13" s="25" customFormat="1" ht="51" customHeight="1" x14ac:dyDescent="0.25">
      <c r="A28" s="43" t="s">
        <v>107</v>
      </c>
      <c r="B28" s="43" t="s">
        <v>138</v>
      </c>
      <c r="C28" s="24" t="s">
        <v>217</v>
      </c>
      <c r="D28" s="24" t="s">
        <v>239</v>
      </c>
      <c r="E28" s="40">
        <f t="shared" si="0"/>
        <v>64</v>
      </c>
      <c r="F28" s="21" t="s">
        <v>51</v>
      </c>
      <c r="G28" s="21"/>
      <c r="H28" s="21"/>
      <c r="I28" s="21"/>
      <c r="J28" s="21"/>
      <c r="K28" s="46" t="s">
        <v>15</v>
      </c>
      <c r="L28" s="46" t="s">
        <v>15</v>
      </c>
      <c r="M28" s="24" t="s">
        <v>221</v>
      </c>
    </row>
    <row r="29" spans="1:13" s="25" customFormat="1" ht="51" customHeight="1" x14ac:dyDescent="0.25">
      <c r="A29" s="43" t="s">
        <v>107</v>
      </c>
      <c r="B29" s="43" t="s">
        <v>138</v>
      </c>
      <c r="C29" s="24" t="s">
        <v>218</v>
      </c>
      <c r="D29" s="24" t="s">
        <v>240</v>
      </c>
      <c r="E29" s="40">
        <f t="shared" si="0"/>
        <v>20</v>
      </c>
      <c r="F29" s="21" t="s">
        <v>51</v>
      </c>
      <c r="G29" s="21"/>
      <c r="H29" s="21"/>
      <c r="I29" s="21"/>
      <c r="J29" s="21"/>
      <c r="K29" s="46" t="s">
        <v>15</v>
      </c>
      <c r="L29" s="46" t="s">
        <v>15</v>
      </c>
      <c r="M29" s="24" t="s">
        <v>222</v>
      </c>
    </row>
    <row r="30" spans="1:13" s="25" customFormat="1" ht="51" customHeight="1" x14ac:dyDescent="0.25">
      <c r="A30" s="43" t="s">
        <v>107</v>
      </c>
      <c r="B30" s="43" t="s">
        <v>351</v>
      </c>
      <c r="C30" s="24" t="s">
        <v>352</v>
      </c>
      <c r="D30" s="24" t="s">
        <v>354</v>
      </c>
      <c r="E30" s="40">
        <f t="shared" ref="E30" si="4">LEN(D30)</f>
        <v>93</v>
      </c>
      <c r="F30" s="21" t="s">
        <v>51</v>
      </c>
      <c r="G30" s="21"/>
      <c r="H30" s="21"/>
      <c r="I30" s="21"/>
      <c r="J30" s="21"/>
      <c r="K30" s="46" t="s">
        <v>15</v>
      </c>
      <c r="L30" s="46" t="s">
        <v>15</v>
      </c>
      <c r="M30" s="24" t="s">
        <v>222</v>
      </c>
    </row>
    <row r="31" spans="1:13" s="25" customFormat="1" ht="51" customHeight="1" x14ac:dyDescent="0.25">
      <c r="A31" s="43" t="s">
        <v>107</v>
      </c>
      <c r="B31" s="43" t="s">
        <v>351</v>
      </c>
      <c r="C31" s="24" t="s">
        <v>353</v>
      </c>
      <c r="D31" s="24"/>
      <c r="E31" s="40">
        <f t="shared" ref="E31" si="5">LEN(D31)</f>
        <v>0</v>
      </c>
      <c r="F31" s="21" t="s">
        <v>51</v>
      </c>
      <c r="G31" s="21"/>
      <c r="H31" s="21"/>
      <c r="I31" s="21"/>
      <c r="J31" s="21"/>
      <c r="K31" s="46" t="s">
        <v>15</v>
      </c>
      <c r="L31" s="46" t="s">
        <v>15</v>
      </c>
      <c r="M31" s="24" t="s">
        <v>222</v>
      </c>
    </row>
  </sheetData>
  <autoFilter ref="A6:M6"/>
  <mergeCells count="2">
    <mergeCell ref="C2:J2"/>
    <mergeCell ref="C3:J4"/>
  </mergeCells>
  <conditionalFormatting sqref="E7:E21 E28:E29 E23 E25:E26">
    <cfRule type="cellIs" dxfId="12" priority="8" operator="greaterThan">
      <formula>104</formula>
    </cfRule>
  </conditionalFormatting>
  <conditionalFormatting sqref="E27">
    <cfRule type="cellIs" dxfId="11" priority="5" operator="greaterThan">
      <formula>104</formula>
    </cfRule>
  </conditionalFormatting>
  <conditionalFormatting sqref="E22">
    <cfRule type="cellIs" dxfId="10" priority="4" operator="greaterThan">
      <formula>104</formula>
    </cfRule>
  </conditionalFormatting>
  <conditionalFormatting sqref="E30">
    <cfRule type="cellIs" dxfId="9" priority="3" operator="greaterThan">
      <formula>104</formula>
    </cfRule>
  </conditionalFormatting>
  <conditionalFormatting sqref="E31">
    <cfRule type="cellIs" dxfId="8" priority="2" operator="greaterThan">
      <formula>104</formula>
    </cfRule>
  </conditionalFormatting>
  <conditionalFormatting sqref="E24">
    <cfRule type="cellIs" dxfId="7" priority="1" operator="greaterThan">
      <formula>104</formula>
    </cfRule>
  </conditionalFormatting>
  <dataValidations count="1">
    <dataValidation type="list" allowBlank="1" showInputMessage="1" showErrorMessage="1" sqref="K7:L31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L34"/>
  <sheetViews>
    <sheetView showGridLines="0" zoomScaleNormal="100" workbookViewId="0">
      <pane xSplit="3" ySplit="6" topLeftCell="L7" activePane="bottomRight" state="frozen"/>
      <selection pane="topRight" activeCell="D1" sqref="D1"/>
      <selection pane="bottomLeft" activeCell="A7" sqref="A7"/>
      <selection pane="bottomRight" activeCell="B4" sqref="B4"/>
    </sheetView>
  </sheetViews>
  <sheetFormatPr defaultRowHeight="15" x14ac:dyDescent="0.25"/>
  <cols>
    <col min="1" max="1" width="27.85546875" style="36" customWidth="1"/>
    <col min="2" max="2" width="31.28515625" style="36" customWidth="1"/>
    <col min="3" max="3" width="58.5703125" style="19" customWidth="1"/>
    <col min="4" max="4" width="55.140625" style="30" customWidth="1"/>
    <col min="5" max="5" width="16.42578125" style="19" bestFit="1" customWidth="1"/>
    <col min="6" max="6" width="18.42578125" style="19" customWidth="1"/>
    <col min="7" max="7" width="13.7109375" style="19" customWidth="1"/>
    <col min="8" max="8" width="13.85546875" style="19" bestFit="1" customWidth="1"/>
    <col min="9" max="9" width="14.5703125" style="19" bestFit="1" customWidth="1"/>
    <col min="10" max="11" width="13.7109375" style="26" customWidth="1"/>
    <col min="12" max="12" width="60.7109375" style="30" customWidth="1"/>
    <col min="13" max="16384" width="9.140625" style="19"/>
  </cols>
  <sheetData>
    <row r="1" spans="1:12" x14ac:dyDescent="0.25">
      <c r="A1" s="34"/>
      <c r="B1" s="34"/>
      <c r="C1" s="17"/>
      <c r="D1" s="27"/>
      <c r="E1" s="17"/>
      <c r="F1" s="17"/>
      <c r="G1" s="17"/>
      <c r="H1" s="17"/>
      <c r="I1" s="17"/>
      <c r="J1" s="18"/>
      <c r="K1" s="18"/>
      <c r="L1" s="27"/>
    </row>
    <row r="2" spans="1:12" ht="15.75" x14ac:dyDescent="0.25">
      <c r="A2" s="34"/>
      <c r="B2" s="34"/>
      <c r="C2" s="57" t="s">
        <v>1</v>
      </c>
      <c r="D2" s="57"/>
      <c r="E2" s="57"/>
      <c r="F2" s="57"/>
      <c r="G2" s="57"/>
      <c r="H2" s="57"/>
      <c r="I2" s="57"/>
      <c r="J2" s="20"/>
      <c r="K2" s="20"/>
      <c r="L2" s="27"/>
    </row>
    <row r="3" spans="1:12" ht="15" customHeight="1" x14ac:dyDescent="0.25">
      <c r="A3" s="34"/>
      <c r="B3" s="34"/>
      <c r="C3" s="56" t="s">
        <v>0</v>
      </c>
      <c r="D3" s="56"/>
      <c r="E3" s="56"/>
      <c r="F3" s="56"/>
      <c r="G3" s="56"/>
      <c r="H3" s="56"/>
      <c r="I3" s="56"/>
      <c r="J3" s="3"/>
      <c r="K3" s="3"/>
      <c r="L3" s="27"/>
    </row>
    <row r="4" spans="1:12" ht="15" customHeight="1" x14ac:dyDescent="0.25">
      <c r="A4" s="34"/>
      <c r="B4" s="34"/>
      <c r="C4" s="56"/>
      <c r="D4" s="56"/>
      <c r="E4" s="56"/>
      <c r="F4" s="56"/>
      <c r="G4" s="56"/>
      <c r="H4" s="56"/>
      <c r="I4" s="56"/>
      <c r="J4" s="3"/>
      <c r="K4" s="3"/>
      <c r="L4" s="28" t="s">
        <v>2</v>
      </c>
    </row>
    <row r="5" spans="1:12" x14ac:dyDescent="0.25">
      <c r="A5" s="34"/>
      <c r="B5" s="34"/>
      <c r="C5" s="17"/>
      <c r="D5" s="27"/>
      <c r="E5" s="17"/>
      <c r="F5" s="17"/>
      <c r="G5" s="17"/>
      <c r="H5" s="17"/>
      <c r="I5" s="17"/>
      <c r="J5" s="18"/>
      <c r="K5" s="18"/>
      <c r="L5" s="29">
        <f>'CAT Negócio'!M5</f>
        <v>42342</v>
      </c>
    </row>
    <row r="6" spans="1:12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3" t="s">
        <v>6</v>
      </c>
      <c r="F6" s="13" t="s">
        <v>12</v>
      </c>
      <c r="G6" s="13" t="s">
        <v>9</v>
      </c>
      <c r="H6" s="13" t="s">
        <v>10</v>
      </c>
      <c r="I6" s="13" t="s">
        <v>11</v>
      </c>
      <c r="J6" s="15" t="s">
        <v>13</v>
      </c>
      <c r="K6" s="15" t="s">
        <v>16</v>
      </c>
      <c r="L6" s="15" t="s">
        <v>14</v>
      </c>
    </row>
    <row r="7" spans="1:12" s="25" customFormat="1" ht="51" customHeight="1" x14ac:dyDescent="0.25">
      <c r="A7" s="35" t="s">
        <v>148</v>
      </c>
      <c r="B7" s="37" t="s">
        <v>156</v>
      </c>
      <c r="C7" s="21" t="s">
        <v>320</v>
      </c>
      <c r="D7" s="24" t="s">
        <v>149</v>
      </c>
      <c r="E7" s="33" t="s">
        <v>51</v>
      </c>
      <c r="F7" s="21"/>
      <c r="G7" s="21"/>
      <c r="H7" s="22"/>
      <c r="I7" s="22"/>
      <c r="J7" s="23"/>
      <c r="K7" s="23"/>
      <c r="L7" s="24" t="s">
        <v>157</v>
      </c>
    </row>
    <row r="8" spans="1:12" s="25" customFormat="1" ht="51" customHeight="1" x14ac:dyDescent="0.25">
      <c r="A8" s="35" t="s">
        <v>148</v>
      </c>
      <c r="B8" s="37" t="s">
        <v>156</v>
      </c>
      <c r="C8" s="21" t="s">
        <v>319</v>
      </c>
      <c r="D8" s="24" t="s">
        <v>150</v>
      </c>
      <c r="E8" s="33" t="s">
        <v>51</v>
      </c>
      <c r="F8" s="21"/>
      <c r="G8" s="21"/>
      <c r="H8" s="22"/>
      <c r="I8" s="22"/>
      <c r="J8" s="23"/>
      <c r="K8" s="23"/>
      <c r="L8" s="24" t="s">
        <v>157</v>
      </c>
    </row>
    <row r="9" spans="1:12" s="25" customFormat="1" ht="51" customHeight="1" x14ac:dyDescent="0.25">
      <c r="A9" s="35" t="s">
        <v>148</v>
      </c>
      <c r="B9" s="37" t="s">
        <v>156</v>
      </c>
      <c r="C9" s="21" t="s">
        <v>318</v>
      </c>
      <c r="D9" s="24" t="s">
        <v>151</v>
      </c>
      <c r="E9" s="33" t="s">
        <v>51</v>
      </c>
      <c r="F9" s="21"/>
      <c r="G9" s="21"/>
      <c r="H9" s="21"/>
      <c r="I9" s="21"/>
      <c r="J9" s="23"/>
      <c r="K9" s="23"/>
      <c r="L9" s="24" t="s">
        <v>157</v>
      </c>
    </row>
    <row r="10" spans="1:12" s="25" customFormat="1" ht="51" customHeight="1" x14ac:dyDescent="0.25">
      <c r="A10" s="35" t="s">
        <v>148</v>
      </c>
      <c r="B10" s="37" t="s">
        <v>156</v>
      </c>
      <c r="C10" s="21" t="s">
        <v>315</v>
      </c>
      <c r="D10" s="24" t="s">
        <v>152</v>
      </c>
      <c r="E10" s="33" t="s">
        <v>51</v>
      </c>
      <c r="F10" s="21"/>
      <c r="G10" s="21"/>
      <c r="H10" s="22"/>
      <c r="I10" s="22"/>
      <c r="J10" s="23"/>
      <c r="K10" s="23"/>
      <c r="L10" s="24" t="s">
        <v>157</v>
      </c>
    </row>
    <row r="11" spans="1:12" s="25" customFormat="1" ht="51" customHeight="1" x14ac:dyDescent="0.25">
      <c r="A11" s="35" t="s">
        <v>148</v>
      </c>
      <c r="B11" s="37" t="s">
        <v>156</v>
      </c>
      <c r="C11" s="21" t="s">
        <v>314</v>
      </c>
      <c r="D11" s="24" t="s">
        <v>153</v>
      </c>
      <c r="E11" s="33" t="s">
        <v>51</v>
      </c>
      <c r="F11" s="21"/>
      <c r="G11" s="21"/>
      <c r="H11" s="22"/>
      <c r="I11" s="22"/>
      <c r="J11" s="23"/>
      <c r="K11" s="23"/>
      <c r="L11" s="24" t="s">
        <v>157</v>
      </c>
    </row>
    <row r="12" spans="1:12" s="25" customFormat="1" ht="51" customHeight="1" x14ac:dyDescent="0.25">
      <c r="A12" s="35" t="s">
        <v>148</v>
      </c>
      <c r="B12" s="37" t="s">
        <v>156</v>
      </c>
      <c r="C12" s="21" t="s">
        <v>316</v>
      </c>
      <c r="D12" s="24" t="s">
        <v>154</v>
      </c>
      <c r="E12" s="33" t="s">
        <v>51</v>
      </c>
      <c r="F12" s="21"/>
      <c r="G12" s="21"/>
      <c r="H12" s="22"/>
      <c r="I12" s="22"/>
      <c r="J12" s="23"/>
      <c r="K12" s="23"/>
      <c r="L12" s="24" t="s">
        <v>157</v>
      </c>
    </row>
    <row r="13" spans="1:12" s="25" customFormat="1" ht="51" customHeight="1" x14ac:dyDescent="0.25">
      <c r="A13" s="35" t="s">
        <v>148</v>
      </c>
      <c r="B13" s="37" t="s">
        <v>156</v>
      </c>
      <c r="C13" s="21" t="s">
        <v>317</v>
      </c>
      <c r="D13" s="24" t="s">
        <v>155</v>
      </c>
      <c r="E13" s="33" t="s">
        <v>51</v>
      </c>
      <c r="F13" s="21"/>
      <c r="G13" s="21"/>
      <c r="H13" s="22"/>
      <c r="I13" s="22"/>
      <c r="J13" s="23"/>
      <c r="K13" s="23"/>
      <c r="L13" s="24" t="s">
        <v>157</v>
      </c>
    </row>
    <row r="14" spans="1:12" s="25" customFormat="1" ht="51" customHeight="1" x14ac:dyDescent="0.25">
      <c r="A14" s="35" t="s">
        <v>148</v>
      </c>
      <c r="B14" s="37" t="s">
        <v>324</v>
      </c>
      <c r="C14" s="21" t="s">
        <v>303</v>
      </c>
      <c r="D14" s="24" t="s">
        <v>304</v>
      </c>
      <c r="E14" s="33" t="s">
        <v>51</v>
      </c>
      <c r="F14" s="21"/>
      <c r="G14" s="21"/>
      <c r="H14" s="22"/>
      <c r="I14" s="22"/>
      <c r="J14" s="23"/>
      <c r="K14" s="23"/>
      <c r="L14" s="24" t="s">
        <v>163</v>
      </c>
    </row>
    <row r="15" spans="1:12" s="25" customFormat="1" ht="51" customHeight="1" x14ac:dyDescent="0.25">
      <c r="A15" s="35" t="s">
        <v>148</v>
      </c>
      <c r="B15" s="37" t="s">
        <v>324</v>
      </c>
      <c r="C15" s="21" t="s">
        <v>302</v>
      </c>
      <c r="D15" s="24" t="s">
        <v>305</v>
      </c>
      <c r="E15" s="33" t="s">
        <v>51</v>
      </c>
      <c r="F15" s="21"/>
      <c r="G15" s="21"/>
      <c r="H15" s="22"/>
      <c r="I15" s="22"/>
      <c r="J15" s="23"/>
      <c r="K15" s="23"/>
      <c r="L15" s="24" t="s">
        <v>163</v>
      </c>
    </row>
    <row r="16" spans="1:12" s="25" customFormat="1" ht="51" customHeight="1" x14ac:dyDescent="0.25">
      <c r="A16" s="35" t="s">
        <v>148</v>
      </c>
      <c r="B16" s="37" t="s">
        <v>324</v>
      </c>
      <c r="C16" s="21" t="s">
        <v>301</v>
      </c>
      <c r="D16" s="24" t="s">
        <v>306</v>
      </c>
      <c r="E16" s="33" t="s">
        <v>51</v>
      </c>
      <c r="F16" s="21"/>
      <c r="G16" s="21"/>
      <c r="H16" s="21"/>
      <c r="I16" s="21"/>
      <c r="J16" s="23"/>
      <c r="K16" s="23"/>
      <c r="L16" s="24" t="s">
        <v>163</v>
      </c>
    </row>
    <row r="17" spans="1:12" s="25" customFormat="1" ht="51" customHeight="1" x14ac:dyDescent="0.25">
      <c r="A17" s="35" t="s">
        <v>148</v>
      </c>
      <c r="B17" s="37" t="s">
        <v>324</v>
      </c>
      <c r="C17" s="21" t="s">
        <v>300</v>
      </c>
      <c r="D17" s="24" t="s">
        <v>307</v>
      </c>
      <c r="E17" s="33" t="s">
        <v>51</v>
      </c>
      <c r="F17" s="21"/>
      <c r="G17" s="21"/>
      <c r="H17" s="21"/>
      <c r="I17" s="21"/>
      <c r="J17" s="23"/>
      <c r="K17" s="23"/>
      <c r="L17" s="24" t="s">
        <v>163</v>
      </c>
    </row>
    <row r="18" spans="1:12" s="25" customFormat="1" ht="51" customHeight="1" x14ac:dyDescent="0.25">
      <c r="A18" s="35" t="s">
        <v>148</v>
      </c>
      <c r="B18" s="37" t="s">
        <v>324</v>
      </c>
      <c r="C18" s="21" t="s">
        <v>299</v>
      </c>
      <c r="D18" s="24" t="s">
        <v>308</v>
      </c>
      <c r="E18" s="33" t="s">
        <v>51</v>
      </c>
      <c r="F18" s="21"/>
      <c r="G18" s="21"/>
      <c r="H18" s="21"/>
      <c r="I18" s="21"/>
      <c r="J18" s="23"/>
      <c r="K18" s="23"/>
      <c r="L18" s="24" t="s">
        <v>163</v>
      </c>
    </row>
    <row r="19" spans="1:12" s="25" customFormat="1" ht="51" customHeight="1" x14ac:dyDescent="0.25">
      <c r="A19" s="35" t="s">
        <v>148</v>
      </c>
      <c r="B19" s="37" t="s">
        <v>324</v>
      </c>
      <c r="C19" s="21" t="s">
        <v>298</v>
      </c>
      <c r="D19" s="24" t="s">
        <v>309</v>
      </c>
      <c r="E19" s="33" t="s">
        <v>51</v>
      </c>
      <c r="F19" s="21"/>
      <c r="G19" s="21"/>
      <c r="H19" s="21"/>
      <c r="I19" s="21"/>
      <c r="J19" s="23"/>
      <c r="K19" s="23"/>
      <c r="L19" s="24" t="s">
        <v>163</v>
      </c>
    </row>
    <row r="20" spans="1:12" s="25" customFormat="1" ht="51" customHeight="1" x14ac:dyDescent="0.25">
      <c r="A20" s="35" t="s">
        <v>148</v>
      </c>
      <c r="B20" s="37" t="s">
        <v>324</v>
      </c>
      <c r="C20" s="21" t="s">
        <v>297</v>
      </c>
      <c r="D20" s="24" t="s">
        <v>310</v>
      </c>
      <c r="E20" s="33" t="s">
        <v>51</v>
      </c>
      <c r="F20" s="21"/>
      <c r="G20" s="21"/>
      <c r="H20" s="21"/>
      <c r="I20" s="21"/>
      <c r="J20" s="23"/>
      <c r="K20" s="23"/>
      <c r="L20" s="24" t="s">
        <v>163</v>
      </c>
    </row>
    <row r="21" spans="1:12" s="25" customFormat="1" ht="51" customHeight="1" x14ac:dyDescent="0.25">
      <c r="A21" s="35" t="s">
        <v>148</v>
      </c>
      <c r="B21" s="37" t="s">
        <v>324</v>
      </c>
      <c r="C21" s="21" t="s">
        <v>159</v>
      </c>
      <c r="D21" s="24" t="s">
        <v>160</v>
      </c>
      <c r="E21" s="38" t="s">
        <v>158</v>
      </c>
      <c r="F21" s="21"/>
      <c r="G21" s="21"/>
      <c r="H21" s="21"/>
      <c r="I21" s="21"/>
      <c r="J21" s="23"/>
      <c r="K21" s="23"/>
      <c r="L21" s="24" t="s">
        <v>164</v>
      </c>
    </row>
    <row r="22" spans="1:12" s="25" customFormat="1" ht="51" customHeight="1" x14ac:dyDescent="0.25">
      <c r="A22" s="35" t="s">
        <v>148</v>
      </c>
      <c r="B22" s="37" t="s">
        <v>325</v>
      </c>
      <c r="C22" s="21" t="s">
        <v>161</v>
      </c>
      <c r="D22" s="24" t="s">
        <v>162</v>
      </c>
      <c r="E22" s="38" t="s">
        <v>158</v>
      </c>
      <c r="F22" s="21"/>
      <c r="G22" s="21"/>
      <c r="H22" s="21"/>
      <c r="I22" s="21"/>
      <c r="J22" s="23"/>
      <c r="K22" s="23"/>
      <c r="L22" s="24" t="s">
        <v>164</v>
      </c>
    </row>
    <row r="23" spans="1:12" s="25" customFormat="1" ht="51" customHeight="1" x14ac:dyDescent="0.25">
      <c r="A23" s="35" t="s">
        <v>148</v>
      </c>
      <c r="B23" s="37" t="s">
        <v>323</v>
      </c>
      <c r="C23" s="21" t="s">
        <v>296</v>
      </c>
      <c r="D23" s="24" t="s">
        <v>311</v>
      </c>
      <c r="E23" s="21" t="s">
        <v>51</v>
      </c>
      <c r="F23" s="21"/>
      <c r="G23" s="21"/>
      <c r="H23" s="21"/>
      <c r="I23" s="21"/>
      <c r="J23" s="23"/>
      <c r="K23" s="23"/>
      <c r="L23" s="24" t="s">
        <v>165</v>
      </c>
    </row>
    <row r="24" spans="1:12" s="25" customFormat="1" ht="51" customHeight="1" x14ac:dyDescent="0.25">
      <c r="A24" s="35" t="s">
        <v>148</v>
      </c>
      <c r="B24" s="37" t="s">
        <v>323</v>
      </c>
      <c r="C24" s="24" t="s">
        <v>294</v>
      </c>
      <c r="D24" s="24" t="s">
        <v>312</v>
      </c>
      <c r="E24" s="21" t="s">
        <v>51</v>
      </c>
      <c r="F24" s="21"/>
      <c r="G24" s="21"/>
      <c r="H24" s="21"/>
      <c r="I24" s="21"/>
      <c r="J24" s="23"/>
      <c r="K24" s="23"/>
      <c r="L24" s="24" t="s">
        <v>167</v>
      </c>
    </row>
    <row r="25" spans="1:12" s="25" customFormat="1" ht="51" customHeight="1" x14ac:dyDescent="0.25">
      <c r="A25" s="35" t="s">
        <v>148</v>
      </c>
      <c r="B25" s="37" t="s">
        <v>323</v>
      </c>
      <c r="C25" s="24" t="s">
        <v>293</v>
      </c>
      <c r="D25" s="24" t="s">
        <v>166</v>
      </c>
      <c r="E25" s="38" t="s">
        <v>158</v>
      </c>
      <c r="F25" s="21"/>
      <c r="G25" s="21"/>
      <c r="H25" s="21"/>
      <c r="I25" s="21"/>
      <c r="J25" s="23"/>
      <c r="K25" s="23"/>
      <c r="L25" s="24" t="s">
        <v>165</v>
      </c>
    </row>
    <row r="26" spans="1:12" s="25" customFormat="1" ht="51" customHeight="1" x14ac:dyDescent="0.25">
      <c r="A26" s="35" t="s">
        <v>148</v>
      </c>
      <c r="B26" s="37" t="s">
        <v>323</v>
      </c>
      <c r="C26" s="24" t="s">
        <v>295</v>
      </c>
      <c r="D26" s="24" t="s">
        <v>312</v>
      </c>
      <c r="E26" s="21" t="s">
        <v>51</v>
      </c>
      <c r="F26" s="21"/>
      <c r="G26" s="21"/>
      <c r="H26" s="21"/>
      <c r="I26" s="21"/>
      <c r="J26" s="23"/>
      <c r="K26" s="23"/>
      <c r="L26" s="24" t="s">
        <v>167</v>
      </c>
    </row>
    <row r="27" spans="1:12" s="25" customFormat="1" ht="51" customHeight="1" x14ac:dyDescent="0.25">
      <c r="A27" s="35" t="s">
        <v>148</v>
      </c>
      <c r="B27" s="37" t="s">
        <v>323</v>
      </c>
      <c r="C27" s="24" t="s">
        <v>292</v>
      </c>
      <c r="D27" s="24" t="s">
        <v>166</v>
      </c>
      <c r="E27" s="38" t="s">
        <v>158</v>
      </c>
      <c r="F27" s="21"/>
      <c r="G27" s="21"/>
      <c r="H27" s="21"/>
      <c r="I27" s="21"/>
      <c r="J27" s="23"/>
      <c r="K27" s="23"/>
      <c r="L27" s="24" t="s">
        <v>165</v>
      </c>
    </row>
    <row r="28" spans="1:12" s="25" customFormat="1" ht="51" customHeight="1" x14ac:dyDescent="0.25">
      <c r="A28" s="35" t="s">
        <v>148</v>
      </c>
      <c r="B28" s="37" t="s">
        <v>323</v>
      </c>
      <c r="C28" s="21" t="s">
        <v>290</v>
      </c>
      <c r="D28" s="24" t="s">
        <v>168</v>
      </c>
      <c r="E28" s="21" t="s">
        <v>51</v>
      </c>
      <c r="F28" s="21"/>
      <c r="G28" s="21"/>
      <c r="H28" s="21"/>
      <c r="I28" s="21"/>
      <c r="J28" s="23"/>
      <c r="K28" s="23"/>
      <c r="L28" s="24" t="s">
        <v>169</v>
      </c>
    </row>
    <row r="29" spans="1:12" s="25" customFormat="1" ht="51" customHeight="1" x14ac:dyDescent="0.25">
      <c r="A29" s="35" t="s">
        <v>148</v>
      </c>
      <c r="B29" s="37" t="s">
        <v>323</v>
      </c>
      <c r="C29" s="21" t="s">
        <v>291</v>
      </c>
      <c r="D29" s="24" t="s">
        <v>170</v>
      </c>
      <c r="E29" s="38" t="s">
        <v>158</v>
      </c>
      <c r="F29" s="21"/>
      <c r="G29" s="21"/>
      <c r="H29" s="21"/>
      <c r="I29" s="21"/>
      <c r="J29" s="23"/>
      <c r="K29" s="23"/>
      <c r="L29" s="24" t="s">
        <v>165</v>
      </c>
    </row>
    <row r="30" spans="1:12" s="25" customFormat="1" ht="51" customHeight="1" x14ac:dyDescent="0.25">
      <c r="A30" s="35" t="s">
        <v>148</v>
      </c>
      <c r="B30" s="37" t="s">
        <v>323</v>
      </c>
      <c r="C30" s="21" t="s">
        <v>171</v>
      </c>
      <c r="D30" s="24" t="s">
        <v>172</v>
      </c>
      <c r="E30" s="21" t="s">
        <v>51</v>
      </c>
      <c r="F30" s="21"/>
      <c r="G30" s="21"/>
      <c r="H30" s="21"/>
      <c r="I30" s="21"/>
      <c r="J30" s="23"/>
      <c r="K30" s="23"/>
      <c r="L30" s="24" t="s">
        <v>169</v>
      </c>
    </row>
    <row r="31" spans="1:12" s="25" customFormat="1" ht="51" customHeight="1" x14ac:dyDescent="0.25">
      <c r="A31" s="35" t="s">
        <v>148</v>
      </c>
      <c r="B31" s="37" t="s">
        <v>323</v>
      </c>
      <c r="C31" s="21" t="s">
        <v>173</v>
      </c>
      <c r="D31" s="24" t="s">
        <v>174</v>
      </c>
      <c r="E31" s="38" t="s">
        <v>158</v>
      </c>
      <c r="F31" s="21"/>
      <c r="G31" s="21"/>
      <c r="H31" s="21"/>
      <c r="I31" s="21"/>
      <c r="J31" s="23"/>
      <c r="K31" s="23"/>
      <c r="L31" s="24" t="s">
        <v>165</v>
      </c>
    </row>
    <row r="32" spans="1:12" s="25" customFormat="1" ht="51" customHeight="1" x14ac:dyDescent="0.25">
      <c r="A32" s="35" t="s">
        <v>148</v>
      </c>
      <c r="B32" s="37" t="s">
        <v>323</v>
      </c>
      <c r="C32" s="21" t="s">
        <v>289</v>
      </c>
      <c r="D32" s="24" t="s">
        <v>313</v>
      </c>
      <c r="E32" s="21" t="s">
        <v>51</v>
      </c>
      <c r="F32" s="21"/>
      <c r="G32" s="21"/>
      <c r="H32" s="21"/>
      <c r="I32" s="21"/>
      <c r="J32" s="23"/>
      <c r="K32" s="23"/>
      <c r="L32" s="24" t="s">
        <v>175</v>
      </c>
    </row>
    <row r="33" spans="1:12" s="25" customFormat="1" ht="51" customHeight="1" x14ac:dyDescent="0.25">
      <c r="A33" s="35" t="s">
        <v>148</v>
      </c>
      <c r="B33" s="37" t="s">
        <v>323</v>
      </c>
      <c r="C33" s="21" t="s">
        <v>288</v>
      </c>
      <c r="D33" s="24" t="s">
        <v>176</v>
      </c>
      <c r="E33" s="38" t="s">
        <v>158</v>
      </c>
      <c r="F33" s="21"/>
      <c r="G33" s="21"/>
      <c r="H33" s="21"/>
      <c r="I33" s="21"/>
      <c r="J33" s="23"/>
      <c r="K33" s="23"/>
      <c r="L33" s="24" t="s">
        <v>165</v>
      </c>
    </row>
    <row r="34" spans="1:12" s="25" customFormat="1" ht="51" customHeight="1" x14ac:dyDescent="0.25">
      <c r="A34" s="35" t="s">
        <v>148</v>
      </c>
      <c r="B34" s="37" t="s">
        <v>323</v>
      </c>
      <c r="C34" s="21" t="s">
        <v>321</v>
      </c>
      <c r="D34" s="24" t="s">
        <v>73</v>
      </c>
      <c r="E34" s="21" t="s">
        <v>51</v>
      </c>
      <c r="F34" s="21"/>
      <c r="G34" s="21"/>
      <c r="H34" s="22"/>
      <c r="I34" s="22"/>
      <c r="J34" s="23"/>
      <c r="K34" s="23"/>
      <c r="L34" s="24" t="s">
        <v>68</v>
      </c>
    </row>
  </sheetData>
  <mergeCells count="2">
    <mergeCell ref="C2:I2"/>
    <mergeCell ref="C3:I4"/>
  </mergeCells>
  <dataValidations disablePrompts="1" count="1">
    <dataValidation type="list" allowBlank="1" showInputMessage="1" showErrorMessage="1" sqref="J7:K34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41"/>
  <sheetViews>
    <sheetView showGridLines="0"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7" sqref="A7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6.285156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19" customWidth="1"/>
    <col min="8" max="8" width="13.7109375" style="19" customWidth="1"/>
    <col min="9" max="9" width="13.85546875" style="19" customWidth="1"/>
    <col min="10" max="10" width="14.5703125" style="19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7"/>
      <c r="H1" s="17"/>
      <c r="I1" s="17"/>
      <c r="J1" s="17"/>
      <c r="K1" s="18"/>
      <c r="L1" s="18"/>
      <c r="M1" s="27"/>
    </row>
    <row r="2" spans="1:13" ht="15.75" x14ac:dyDescent="0.25">
      <c r="A2" s="34"/>
      <c r="B2" s="34"/>
      <c r="C2" s="57" t="s">
        <v>1</v>
      </c>
      <c r="D2" s="57"/>
      <c r="E2" s="57"/>
      <c r="F2" s="57"/>
      <c r="G2" s="57"/>
      <c r="H2" s="57"/>
      <c r="I2" s="57"/>
      <c r="J2" s="57"/>
      <c r="K2" s="20"/>
      <c r="L2" s="20"/>
      <c r="M2" s="27"/>
    </row>
    <row r="3" spans="1:13" ht="15" customHeight="1" x14ac:dyDescent="0.25">
      <c r="A3" s="34"/>
      <c r="B3" s="34"/>
      <c r="C3" s="56" t="s">
        <v>0</v>
      </c>
      <c r="D3" s="56"/>
      <c r="E3" s="56"/>
      <c r="F3" s="56"/>
      <c r="G3" s="56"/>
      <c r="H3" s="56"/>
      <c r="I3" s="56"/>
      <c r="J3" s="56"/>
      <c r="K3" s="3"/>
      <c r="L3" s="3"/>
      <c r="M3" s="27"/>
    </row>
    <row r="4" spans="1:13" ht="15" customHeight="1" x14ac:dyDescent="0.25">
      <c r="A4" s="34"/>
      <c r="B4" s="34"/>
      <c r="C4" s="56"/>
      <c r="D4" s="56"/>
      <c r="E4" s="56"/>
      <c r="F4" s="56"/>
      <c r="G4" s="56"/>
      <c r="H4" s="56"/>
      <c r="I4" s="56"/>
      <c r="J4" s="56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7"/>
      <c r="H5" s="17"/>
      <c r="I5" s="17"/>
      <c r="J5" s="17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51" customHeight="1" x14ac:dyDescent="0.25">
      <c r="A7" s="51" t="s">
        <v>428</v>
      </c>
      <c r="B7" s="51" t="s">
        <v>245</v>
      </c>
      <c r="C7" s="21" t="s">
        <v>247</v>
      </c>
      <c r="D7" s="24" t="s">
        <v>348</v>
      </c>
      <c r="E7" s="40">
        <f>LEN(D7)</f>
        <v>103</v>
      </c>
      <c r="F7" s="44" t="s">
        <v>238</v>
      </c>
      <c r="G7" s="46" t="s">
        <v>225</v>
      </c>
      <c r="H7" s="46" t="s">
        <v>224</v>
      </c>
      <c r="I7" s="47" t="s">
        <v>243</v>
      </c>
      <c r="J7" s="47" t="s">
        <v>192</v>
      </c>
      <c r="K7" s="23" t="s">
        <v>15</v>
      </c>
      <c r="L7" s="46" t="s">
        <v>15</v>
      </c>
      <c r="M7" s="24" t="s">
        <v>250</v>
      </c>
    </row>
    <row r="8" spans="1:13" s="25" customFormat="1" ht="51" customHeight="1" x14ac:dyDescent="0.25">
      <c r="A8" s="51" t="s">
        <v>428</v>
      </c>
      <c r="B8" s="51" t="s">
        <v>245</v>
      </c>
      <c r="C8" s="21" t="s">
        <v>246</v>
      </c>
      <c r="D8" s="24" t="s">
        <v>350</v>
      </c>
      <c r="E8" s="40">
        <f>LEN(D8)</f>
        <v>81</v>
      </c>
      <c r="F8" s="44" t="s">
        <v>238</v>
      </c>
      <c r="G8" s="46" t="s">
        <v>225</v>
      </c>
      <c r="H8" s="46" t="s">
        <v>224</v>
      </c>
      <c r="I8" s="47" t="s">
        <v>243</v>
      </c>
      <c r="J8" s="47" t="s">
        <v>192</v>
      </c>
      <c r="K8" s="23" t="s">
        <v>15</v>
      </c>
      <c r="L8" s="46" t="s">
        <v>15</v>
      </c>
      <c r="M8" s="24" t="s">
        <v>249</v>
      </c>
    </row>
    <row r="9" spans="1:13" s="25" customFormat="1" ht="51" customHeight="1" x14ac:dyDescent="0.25">
      <c r="A9" s="51" t="s">
        <v>428</v>
      </c>
      <c r="B9" s="51" t="s">
        <v>245</v>
      </c>
      <c r="C9" s="21" t="s">
        <v>248</v>
      </c>
      <c r="D9" s="24" t="s">
        <v>349</v>
      </c>
      <c r="E9" s="40">
        <f>LEN(D9)</f>
        <v>83</v>
      </c>
      <c r="F9" s="44" t="s">
        <v>238</v>
      </c>
      <c r="G9" s="46" t="s">
        <v>225</v>
      </c>
      <c r="H9" s="46" t="s">
        <v>224</v>
      </c>
      <c r="I9" s="47" t="s">
        <v>243</v>
      </c>
      <c r="J9" s="47" t="s">
        <v>192</v>
      </c>
      <c r="K9" s="23" t="s">
        <v>15</v>
      </c>
      <c r="L9" s="46" t="s">
        <v>15</v>
      </c>
      <c r="M9" s="24" t="s">
        <v>251</v>
      </c>
    </row>
    <row r="10" spans="1:13" s="25" customFormat="1" ht="51" customHeight="1" x14ac:dyDescent="0.25">
      <c r="A10" s="51" t="s">
        <v>428</v>
      </c>
      <c r="B10" s="51" t="s">
        <v>331</v>
      </c>
      <c r="C10" s="21" t="s">
        <v>381</v>
      </c>
      <c r="D10" s="24" t="s">
        <v>333</v>
      </c>
      <c r="E10" s="40">
        <f>LEN(D10)</f>
        <v>78</v>
      </c>
      <c r="F10" s="21" t="s">
        <v>18</v>
      </c>
      <c r="G10" s="21"/>
      <c r="H10" s="21"/>
      <c r="I10" s="21"/>
      <c r="J10" s="21"/>
      <c r="K10" s="23" t="s">
        <v>15</v>
      </c>
      <c r="L10" s="23" t="s">
        <v>15</v>
      </c>
      <c r="M10" s="24" t="s">
        <v>253</v>
      </c>
    </row>
    <row r="11" spans="1:13" s="25" customFormat="1" ht="51" customHeight="1" x14ac:dyDescent="0.25">
      <c r="A11" s="51" t="s">
        <v>428</v>
      </c>
      <c r="B11" s="51" t="s">
        <v>331</v>
      </c>
      <c r="C11" s="21" t="s">
        <v>365</v>
      </c>
      <c r="D11" s="21" t="s">
        <v>365</v>
      </c>
      <c r="E11" s="40">
        <f>LEN(D11)</f>
        <v>35</v>
      </c>
      <c r="F11" s="21" t="s">
        <v>51</v>
      </c>
      <c r="G11" s="21"/>
      <c r="H11" s="21"/>
      <c r="I11" s="21"/>
      <c r="J11" s="21"/>
      <c r="K11" s="23" t="s">
        <v>15</v>
      </c>
      <c r="L11" s="23" t="s">
        <v>15</v>
      </c>
      <c r="M11" s="24" t="s">
        <v>395</v>
      </c>
    </row>
    <row r="12" spans="1:13" s="25" customFormat="1" ht="51" customHeight="1" x14ac:dyDescent="0.25">
      <c r="A12" s="51" t="s">
        <v>428</v>
      </c>
      <c r="B12" s="51" t="s">
        <v>331</v>
      </c>
      <c r="C12" s="21" t="s">
        <v>394</v>
      </c>
      <c r="D12" s="24" t="s">
        <v>332</v>
      </c>
      <c r="E12" s="40">
        <f>LEN(D12)</f>
        <v>33</v>
      </c>
      <c r="F12" s="21" t="s">
        <v>18</v>
      </c>
      <c r="G12" s="21"/>
      <c r="H12" s="21"/>
      <c r="I12" s="21"/>
      <c r="J12" s="21"/>
      <c r="K12" s="23" t="s">
        <v>15</v>
      </c>
      <c r="L12" s="23" t="s">
        <v>15</v>
      </c>
      <c r="M12" s="24" t="s">
        <v>252</v>
      </c>
    </row>
    <row r="13" spans="1:13" s="25" customFormat="1" ht="51" customHeight="1" x14ac:dyDescent="0.25">
      <c r="A13" s="51" t="s">
        <v>428</v>
      </c>
      <c r="B13" s="51" t="s">
        <v>331</v>
      </c>
      <c r="C13" s="21" t="s">
        <v>380</v>
      </c>
      <c r="D13" s="24" t="s">
        <v>382</v>
      </c>
      <c r="E13" s="40">
        <f>LEN(D13)</f>
        <v>67</v>
      </c>
      <c r="F13" s="21" t="s">
        <v>18</v>
      </c>
      <c r="G13" s="21"/>
      <c r="H13" s="21"/>
      <c r="I13" s="21"/>
      <c r="J13" s="21"/>
      <c r="K13" s="23" t="s">
        <v>15</v>
      </c>
      <c r="L13" s="23" t="s">
        <v>15</v>
      </c>
      <c r="M13" s="24" t="s">
        <v>396</v>
      </c>
    </row>
    <row r="14" spans="1:13" s="25" customFormat="1" ht="51" customHeight="1" x14ac:dyDescent="0.25">
      <c r="A14" s="51" t="s">
        <v>428</v>
      </c>
      <c r="B14" s="51" t="s">
        <v>347</v>
      </c>
      <c r="C14" s="21" t="s">
        <v>364</v>
      </c>
      <c r="D14" s="21" t="s">
        <v>364</v>
      </c>
      <c r="E14" s="40">
        <f>LEN(D14)</f>
        <v>31</v>
      </c>
      <c r="F14" s="21" t="s">
        <v>51</v>
      </c>
      <c r="G14" s="21"/>
      <c r="H14" s="21"/>
      <c r="I14" s="21"/>
      <c r="J14" s="21"/>
      <c r="K14" s="23" t="s">
        <v>15</v>
      </c>
      <c r="L14" s="23" t="s">
        <v>15</v>
      </c>
      <c r="M14" s="24" t="s">
        <v>418</v>
      </c>
    </row>
    <row r="15" spans="1:13" s="25" customFormat="1" ht="51" customHeight="1" x14ac:dyDescent="0.25">
      <c r="A15" s="51" t="s">
        <v>428</v>
      </c>
      <c r="B15" s="51" t="s">
        <v>347</v>
      </c>
      <c r="C15" s="21" t="s">
        <v>346</v>
      </c>
      <c r="D15" s="21" t="s">
        <v>346</v>
      </c>
      <c r="E15" s="40">
        <f>LEN(D15)</f>
        <v>34</v>
      </c>
      <c r="F15" s="21" t="s">
        <v>51</v>
      </c>
      <c r="G15" s="21"/>
      <c r="H15" s="21"/>
      <c r="I15" s="21"/>
      <c r="J15" s="21"/>
      <c r="K15" s="23" t="s">
        <v>15</v>
      </c>
      <c r="L15" s="23" t="s">
        <v>15</v>
      </c>
      <c r="M15" s="24" t="s">
        <v>416</v>
      </c>
    </row>
    <row r="16" spans="1:13" s="25" customFormat="1" ht="51" customHeight="1" x14ac:dyDescent="0.25">
      <c r="A16" s="51" t="s">
        <v>428</v>
      </c>
      <c r="B16" s="51" t="s">
        <v>347</v>
      </c>
      <c r="C16" s="21" t="s">
        <v>371</v>
      </c>
      <c r="D16" s="24" t="s">
        <v>372</v>
      </c>
      <c r="E16" s="40">
        <f>LEN(D16)</f>
        <v>70</v>
      </c>
      <c r="F16" s="21" t="s">
        <v>51</v>
      </c>
      <c r="G16" s="21"/>
      <c r="H16" s="21"/>
      <c r="I16" s="21"/>
      <c r="J16" s="21"/>
      <c r="K16" s="23" t="s">
        <v>15</v>
      </c>
      <c r="L16" s="23" t="s">
        <v>15</v>
      </c>
      <c r="M16" s="24" t="s">
        <v>421</v>
      </c>
    </row>
    <row r="17" spans="1:13" s="25" customFormat="1" ht="51" customHeight="1" x14ac:dyDescent="0.25">
      <c r="A17" s="51" t="s">
        <v>428</v>
      </c>
      <c r="B17" s="51" t="s">
        <v>347</v>
      </c>
      <c r="C17" s="21" t="s">
        <v>370</v>
      </c>
      <c r="D17" s="24" t="s">
        <v>373</v>
      </c>
      <c r="E17" s="40">
        <f>LEN(D17)</f>
        <v>39</v>
      </c>
      <c r="F17" s="21" t="s">
        <v>51</v>
      </c>
      <c r="G17" s="21"/>
      <c r="H17" s="21"/>
      <c r="I17" s="21"/>
      <c r="J17" s="21"/>
      <c r="K17" s="23" t="s">
        <v>15</v>
      </c>
      <c r="L17" s="23" t="s">
        <v>15</v>
      </c>
      <c r="M17" s="24" t="s">
        <v>420</v>
      </c>
    </row>
    <row r="18" spans="1:13" s="25" customFormat="1" ht="51" customHeight="1" x14ac:dyDescent="0.25">
      <c r="A18" s="51" t="s">
        <v>428</v>
      </c>
      <c r="B18" s="51" t="s">
        <v>347</v>
      </c>
      <c r="C18" s="21" t="s">
        <v>376</v>
      </c>
      <c r="D18" s="24" t="s">
        <v>375</v>
      </c>
      <c r="E18" s="40">
        <f>LEN(D18)</f>
        <v>55</v>
      </c>
      <c r="F18" s="21" t="s">
        <v>51</v>
      </c>
      <c r="G18" s="21"/>
      <c r="H18" s="21"/>
      <c r="I18" s="21"/>
      <c r="J18" s="21"/>
      <c r="K18" s="23" t="s">
        <v>15</v>
      </c>
      <c r="L18" s="23" t="s">
        <v>15</v>
      </c>
      <c r="M18" s="24" t="s">
        <v>421</v>
      </c>
    </row>
    <row r="19" spans="1:13" s="25" customFormat="1" ht="51" customHeight="1" x14ac:dyDescent="0.25">
      <c r="A19" s="51" t="s">
        <v>428</v>
      </c>
      <c r="B19" s="51" t="s">
        <v>347</v>
      </c>
      <c r="C19" s="21" t="s">
        <v>363</v>
      </c>
      <c r="D19" s="21" t="s">
        <v>363</v>
      </c>
      <c r="E19" s="40">
        <f>LEN(D19)</f>
        <v>35</v>
      </c>
      <c r="F19" s="21" t="s">
        <v>51</v>
      </c>
      <c r="G19" s="21"/>
      <c r="H19" s="21"/>
      <c r="I19" s="21"/>
      <c r="J19" s="21"/>
      <c r="K19" s="23" t="s">
        <v>15</v>
      </c>
      <c r="L19" s="23" t="s">
        <v>15</v>
      </c>
      <c r="M19" s="24" t="s">
        <v>417</v>
      </c>
    </row>
    <row r="20" spans="1:13" s="25" customFormat="1" ht="51" customHeight="1" x14ac:dyDescent="0.25">
      <c r="A20" s="51" t="s">
        <v>428</v>
      </c>
      <c r="B20" s="51" t="s">
        <v>347</v>
      </c>
      <c r="C20" s="21" t="s">
        <v>369</v>
      </c>
      <c r="D20" s="24" t="s">
        <v>415</v>
      </c>
      <c r="E20" s="40">
        <f>LEN(D20)</f>
        <v>40</v>
      </c>
      <c r="F20" s="21" t="s">
        <v>51</v>
      </c>
      <c r="G20" s="21"/>
      <c r="H20" s="21"/>
      <c r="I20" s="21"/>
      <c r="J20" s="21"/>
      <c r="K20" s="23" t="s">
        <v>15</v>
      </c>
      <c r="L20" s="23" t="s">
        <v>15</v>
      </c>
      <c r="M20" s="24" t="s">
        <v>419</v>
      </c>
    </row>
    <row r="21" spans="1:13" s="25" customFormat="1" ht="51" customHeight="1" x14ac:dyDescent="0.25">
      <c r="A21" s="51" t="s">
        <v>428</v>
      </c>
      <c r="B21" s="51" t="s">
        <v>330</v>
      </c>
      <c r="C21" s="21" t="s">
        <v>387</v>
      </c>
      <c r="D21" s="24" t="s">
        <v>387</v>
      </c>
      <c r="E21" s="40">
        <f>LEN(D21)</f>
        <v>45</v>
      </c>
      <c r="F21" s="21" t="s">
        <v>18</v>
      </c>
      <c r="G21" s="21"/>
      <c r="H21" s="21"/>
      <c r="I21" s="21"/>
      <c r="J21" s="21"/>
      <c r="K21" s="23" t="s">
        <v>15</v>
      </c>
      <c r="L21" s="23" t="s">
        <v>15</v>
      </c>
      <c r="M21" s="24" t="s">
        <v>388</v>
      </c>
    </row>
    <row r="22" spans="1:13" s="25" customFormat="1" ht="51" customHeight="1" x14ac:dyDescent="0.25">
      <c r="A22" s="51" t="s">
        <v>428</v>
      </c>
      <c r="B22" s="51" t="s">
        <v>330</v>
      </c>
      <c r="C22" s="21" t="s">
        <v>244</v>
      </c>
      <c r="D22" s="24" t="s">
        <v>339</v>
      </c>
      <c r="E22" s="40">
        <f>LEN(D22)</f>
        <v>46</v>
      </c>
      <c r="F22" s="21" t="s">
        <v>18</v>
      </c>
      <c r="G22" s="21"/>
      <c r="H22" s="21"/>
      <c r="I22" s="21"/>
      <c r="J22" s="21"/>
      <c r="K22" s="23" t="s">
        <v>15</v>
      </c>
      <c r="L22" s="23" t="s">
        <v>15</v>
      </c>
      <c r="M22" s="24" t="s">
        <v>407</v>
      </c>
    </row>
    <row r="23" spans="1:13" s="25" customFormat="1" ht="51" customHeight="1" x14ac:dyDescent="0.25">
      <c r="A23" s="51" t="s">
        <v>428</v>
      </c>
      <c r="B23" s="51" t="s">
        <v>330</v>
      </c>
      <c r="C23" s="21" t="s">
        <v>342</v>
      </c>
      <c r="D23" s="24" t="s">
        <v>340</v>
      </c>
      <c r="E23" s="40">
        <f>LEN(D23)</f>
        <v>39</v>
      </c>
      <c r="F23" s="21" t="s">
        <v>18</v>
      </c>
      <c r="G23" s="21"/>
      <c r="H23" s="21"/>
      <c r="I23" s="21"/>
      <c r="J23" s="21"/>
      <c r="K23" s="23" t="s">
        <v>15</v>
      </c>
      <c r="L23" s="23" t="s">
        <v>15</v>
      </c>
      <c r="M23" s="24" t="s">
        <v>405</v>
      </c>
    </row>
    <row r="24" spans="1:13" s="25" customFormat="1" ht="51" customHeight="1" x14ac:dyDescent="0.25">
      <c r="A24" s="51" t="s">
        <v>428</v>
      </c>
      <c r="B24" s="51" t="s">
        <v>330</v>
      </c>
      <c r="C24" s="21" t="s">
        <v>344</v>
      </c>
      <c r="D24" s="24" t="s">
        <v>408</v>
      </c>
      <c r="E24" s="40">
        <f>LEN(D24)</f>
        <v>40</v>
      </c>
      <c r="F24" s="21" t="s">
        <v>18</v>
      </c>
      <c r="G24" s="21"/>
      <c r="H24" s="21"/>
      <c r="I24" s="22"/>
      <c r="J24" s="22"/>
      <c r="K24" s="23" t="s">
        <v>15</v>
      </c>
      <c r="L24" s="23" t="s">
        <v>15</v>
      </c>
      <c r="M24" s="24" t="s">
        <v>409</v>
      </c>
    </row>
    <row r="25" spans="1:13" s="25" customFormat="1" ht="51" customHeight="1" x14ac:dyDescent="0.25">
      <c r="A25" s="51" t="s">
        <v>428</v>
      </c>
      <c r="B25" s="51" t="s">
        <v>330</v>
      </c>
      <c r="C25" s="21" t="s">
        <v>345</v>
      </c>
      <c r="D25" s="24" t="s">
        <v>337</v>
      </c>
      <c r="E25" s="40">
        <f>LEN(D25)</f>
        <v>36</v>
      </c>
      <c r="F25" s="21" t="s">
        <v>18</v>
      </c>
      <c r="G25" s="21"/>
      <c r="H25" s="21"/>
      <c r="I25" s="22"/>
      <c r="J25" s="22"/>
      <c r="K25" s="23" t="s">
        <v>15</v>
      </c>
      <c r="L25" s="23" t="s">
        <v>19</v>
      </c>
      <c r="M25" s="24" t="s">
        <v>400</v>
      </c>
    </row>
    <row r="26" spans="1:13" s="25" customFormat="1" ht="51" customHeight="1" x14ac:dyDescent="0.25">
      <c r="A26" s="51" t="s">
        <v>428</v>
      </c>
      <c r="B26" s="51" t="s">
        <v>330</v>
      </c>
      <c r="C26" s="21" t="s">
        <v>398</v>
      </c>
      <c r="D26" s="24" t="s">
        <v>399</v>
      </c>
      <c r="E26" s="40">
        <f>LEN(D26)</f>
        <v>37</v>
      </c>
      <c r="F26" s="21" t="s">
        <v>18</v>
      </c>
      <c r="G26" s="21"/>
      <c r="H26" s="21"/>
      <c r="I26" s="22"/>
      <c r="J26" s="22"/>
      <c r="K26" s="23" t="s">
        <v>15</v>
      </c>
      <c r="L26" s="23" t="s">
        <v>15</v>
      </c>
      <c r="M26" s="24" t="s">
        <v>414</v>
      </c>
    </row>
    <row r="27" spans="1:13" s="25" customFormat="1" ht="51" customHeight="1" x14ac:dyDescent="0.25">
      <c r="A27" s="51" t="s">
        <v>428</v>
      </c>
      <c r="B27" s="51" t="s">
        <v>330</v>
      </c>
      <c r="C27" s="21" t="s">
        <v>383</v>
      </c>
      <c r="D27" s="24" t="s">
        <v>385</v>
      </c>
      <c r="E27" s="40">
        <f>LEN(D27)</f>
        <v>42</v>
      </c>
      <c r="F27" s="21" t="s">
        <v>18</v>
      </c>
      <c r="G27" s="21"/>
      <c r="H27" s="21"/>
      <c r="I27" s="21"/>
      <c r="J27" s="21"/>
      <c r="K27" s="23" t="s">
        <v>15</v>
      </c>
      <c r="L27" s="23" t="s">
        <v>15</v>
      </c>
      <c r="M27" s="24" t="s">
        <v>386</v>
      </c>
    </row>
    <row r="28" spans="1:13" s="25" customFormat="1" ht="51" customHeight="1" x14ac:dyDescent="0.25">
      <c r="A28" s="51" t="s">
        <v>428</v>
      </c>
      <c r="B28" s="51" t="s">
        <v>330</v>
      </c>
      <c r="C28" s="21" t="s">
        <v>358</v>
      </c>
      <c r="D28" s="24" t="s">
        <v>357</v>
      </c>
      <c r="E28" s="40">
        <f>LEN(D28)</f>
        <v>36</v>
      </c>
      <c r="F28" s="21" t="s">
        <v>18</v>
      </c>
      <c r="G28" s="21"/>
      <c r="H28" s="21"/>
      <c r="I28" s="21"/>
      <c r="J28" s="21"/>
      <c r="K28" s="23" t="s">
        <v>15</v>
      </c>
      <c r="L28" s="23" t="s">
        <v>15</v>
      </c>
      <c r="M28" s="24" t="s">
        <v>410</v>
      </c>
    </row>
    <row r="29" spans="1:13" s="25" customFormat="1" ht="51" customHeight="1" x14ac:dyDescent="0.25">
      <c r="A29" s="51" t="s">
        <v>428</v>
      </c>
      <c r="B29" s="51" t="s">
        <v>330</v>
      </c>
      <c r="C29" s="21" t="s">
        <v>356</v>
      </c>
      <c r="D29" s="24" t="s">
        <v>356</v>
      </c>
      <c r="E29" s="40">
        <f>LEN(D29)</f>
        <v>29</v>
      </c>
      <c r="F29" s="21" t="s">
        <v>18</v>
      </c>
      <c r="G29" s="21"/>
      <c r="H29" s="21"/>
      <c r="I29" s="21"/>
      <c r="J29" s="21"/>
      <c r="K29" s="23" t="s">
        <v>15</v>
      </c>
      <c r="L29" s="23" t="s">
        <v>15</v>
      </c>
      <c r="M29" s="24" t="s">
        <v>406</v>
      </c>
    </row>
    <row r="30" spans="1:13" s="25" customFormat="1" ht="51" customHeight="1" x14ac:dyDescent="0.25">
      <c r="A30" s="51" t="s">
        <v>428</v>
      </c>
      <c r="B30" s="51" t="s">
        <v>330</v>
      </c>
      <c r="C30" s="21" t="s">
        <v>384</v>
      </c>
      <c r="D30" s="24" t="s">
        <v>384</v>
      </c>
      <c r="E30" s="40">
        <f>LEN(D30)</f>
        <v>29</v>
      </c>
      <c r="F30" s="21" t="s">
        <v>18</v>
      </c>
      <c r="G30" s="21"/>
      <c r="H30" s="21"/>
      <c r="I30" s="21"/>
      <c r="J30" s="21"/>
      <c r="K30" s="23" t="s">
        <v>15</v>
      </c>
      <c r="L30" s="23" t="s">
        <v>15</v>
      </c>
      <c r="M30" s="24" t="s">
        <v>389</v>
      </c>
    </row>
    <row r="31" spans="1:13" s="25" customFormat="1" ht="51" customHeight="1" x14ac:dyDescent="0.25">
      <c r="A31" s="51" t="s">
        <v>428</v>
      </c>
      <c r="B31" s="51" t="s">
        <v>330</v>
      </c>
      <c r="C31" s="21" t="s">
        <v>343</v>
      </c>
      <c r="D31" s="24" t="s">
        <v>341</v>
      </c>
      <c r="E31" s="40">
        <f>LEN(D31)</f>
        <v>8</v>
      </c>
      <c r="F31" s="21" t="s">
        <v>18</v>
      </c>
      <c r="G31" s="21"/>
      <c r="H31" s="21"/>
      <c r="I31" s="21"/>
      <c r="J31" s="21"/>
      <c r="K31" s="23" t="s">
        <v>15</v>
      </c>
      <c r="L31" s="23" t="s">
        <v>15</v>
      </c>
      <c r="M31" s="24" t="s">
        <v>397</v>
      </c>
    </row>
    <row r="32" spans="1:13" s="25" customFormat="1" ht="51" customHeight="1" x14ac:dyDescent="0.25">
      <c r="A32" s="51" t="s">
        <v>428</v>
      </c>
      <c r="B32" s="51" t="s">
        <v>330</v>
      </c>
      <c r="C32" s="21" t="s">
        <v>367</v>
      </c>
      <c r="D32" s="24" t="s">
        <v>368</v>
      </c>
      <c r="E32" s="40">
        <f>LEN(D32)</f>
        <v>30</v>
      </c>
      <c r="F32" s="21" t="s">
        <v>18</v>
      </c>
      <c r="G32" s="21"/>
      <c r="H32" s="21"/>
      <c r="I32" s="21"/>
      <c r="J32" s="21"/>
      <c r="K32" s="23" t="s">
        <v>15</v>
      </c>
      <c r="L32" s="23" t="s">
        <v>15</v>
      </c>
      <c r="M32" s="24" t="s">
        <v>411</v>
      </c>
    </row>
    <row r="33" spans="1:13" s="25" customFormat="1" ht="51" customHeight="1" x14ac:dyDescent="0.25">
      <c r="A33" s="51" t="s">
        <v>428</v>
      </c>
      <c r="B33" s="51" t="s">
        <v>330</v>
      </c>
      <c r="C33" s="21" t="s">
        <v>377</v>
      </c>
      <c r="D33" s="24" t="s">
        <v>377</v>
      </c>
      <c r="E33" s="40">
        <f>LEN(D33)</f>
        <v>43</v>
      </c>
      <c r="F33" s="21" t="s">
        <v>18</v>
      </c>
      <c r="G33" s="21"/>
      <c r="H33" s="21"/>
      <c r="I33" s="21"/>
      <c r="J33" s="21"/>
      <c r="K33" s="23" t="s">
        <v>15</v>
      </c>
      <c r="L33" s="23" t="s">
        <v>15</v>
      </c>
      <c r="M33" s="24" t="s">
        <v>412</v>
      </c>
    </row>
    <row r="34" spans="1:13" s="25" customFormat="1" ht="51" customHeight="1" x14ac:dyDescent="0.25">
      <c r="A34" s="51" t="s">
        <v>428</v>
      </c>
      <c r="B34" s="51" t="s">
        <v>330</v>
      </c>
      <c r="C34" s="21" t="s">
        <v>362</v>
      </c>
      <c r="D34" s="24" t="s">
        <v>336</v>
      </c>
      <c r="E34" s="40">
        <f>LEN(D34)</f>
        <v>55</v>
      </c>
      <c r="F34" s="21" t="s">
        <v>18</v>
      </c>
      <c r="G34" s="21"/>
      <c r="H34" s="21"/>
      <c r="I34" s="22"/>
      <c r="J34" s="22"/>
      <c r="K34" s="23" t="s">
        <v>15</v>
      </c>
      <c r="L34" s="23" t="s">
        <v>15</v>
      </c>
      <c r="M34" s="24" t="s">
        <v>402</v>
      </c>
    </row>
    <row r="35" spans="1:13" s="25" customFormat="1" ht="51" customHeight="1" x14ac:dyDescent="0.25">
      <c r="A35" s="51" t="s">
        <v>428</v>
      </c>
      <c r="B35" s="51" t="s">
        <v>330</v>
      </c>
      <c r="C35" s="21" t="s">
        <v>361</v>
      </c>
      <c r="D35" s="24" t="s">
        <v>335</v>
      </c>
      <c r="E35" s="40">
        <f>LEN(D35)</f>
        <v>32</v>
      </c>
      <c r="F35" s="21" t="s">
        <v>18</v>
      </c>
      <c r="G35" s="21"/>
      <c r="H35" s="21"/>
      <c r="I35" s="22"/>
      <c r="J35" s="22"/>
      <c r="K35" s="23" t="s">
        <v>15</v>
      </c>
      <c r="L35" s="23" t="s">
        <v>15</v>
      </c>
      <c r="M35" s="24" t="s">
        <v>401</v>
      </c>
    </row>
    <row r="36" spans="1:13" s="25" customFormat="1" ht="51" customHeight="1" x14ac:dyDescent="0.25">
      <c r="A36" s="51" t="s">
        <v>428</v>
      </c>
      <c r="B36" s="51" t="s">
        <v>330</v>
      </c>
      <c r="C36" s="21" t="s">
        <v>359</v>
      </c>
      <c r="D36" s="24" t="s">
        <v>338</v>
      </c>
      <c r="E36" s="40">
        <f>LEN(D36)</f>
        <v>62</v>
      </c>
      <c r="F36" s="21" t="s">
        <v>18</v>
      </c>
      <c r="G36" s="21"/>
      <c r="H36" s="21"/>
      <c r="I36" s="22"/>
      <c r="J36" s="22"/>
      <c r="K36" s="23" t="s">
        <v>15</v>
      </c>
      <c r="L36" s="23" t="s">
        <v>15</v>
      </c>
      <c r="M36" s="24" t="s">
        <v>404</v>
      </c>
    </row>
    <row r="37" spans="1:13" s="25" customFormat="1" ht="51" customHeight="1" x14ac:dyDescent="0.25">
      <c r="A37" s="51" t="s">
        <v>428</v>
      </c>
      <c r="B37" s="51" t="s">
        <v>330</v>
      </c>
      <c r="C37" s="21" t="s">
        <v>360</v>
      </c>
      <c r="D37" s="24" t="s">
        <v>334</v>
      </c>
      <c r="E37" s="40">
        <f>LEN(D37)</f>
        <v>57</v>
      </c>
      <c r="F37" s="21" t="s">
        <v>18</v>
      </c>
      <c r="G37" s="21"/>
      <c r="H37" s="21"/>
      <c r="I37" s="22"/>
      <c r="J37" s="22"/>
      <c r="K37" s="23" t="s">
        <v>15</v>
      </c>
      <c r="L37" s="23" t="s">
        <v>15</v>
      </c>
      <c r="M37" s="24" t="s">
        <v>403</v>
      </c>
    </row>
    <row r="38" spans="1:13" s="25" customFormat="1" ht="51" customHeight="1" x14ac:dyDescent="0.25">
      <c r="A38" s="51" t="s">
        <v>428</v>
      </c>
      <c r="B38" s="51" t="s">
        <v>330</v>
      </c>
      <c r="C38" s="21" t="s">
        <v>327</v>
      </c>
      <c r="D38" s="21" t="s">
        <v>427</v>
      </c>
      <c r="E38" s="40">
        <f>LEN(D38)</f>
        <v>43</v>
      </c>
      <c r="F38" s="21" t="s">
        <v>18</v>
      </c>
      <c r="G38" s="21"/>
      <c r="H38" s="21"/>
      <c r="I38" s="21"/>
      <c r="J38" s="21"/>
      <c r="K38" s="23" t="s">
        <v>15</v>
      </c>
      <c r="L38" s="23" t="s">
        <v>15</v>
      </c>
      <c r="M38" s="24" t="s">
        <v>426</v>
      </c>
    </row>
    <row r="39" spans="1:13" s="25" customFormat="1" ht="51" customHeight="1" x14ac:dyDescent="0.25">
      <c r="A39" s="51" t="s">
        <v>428</v>
      </c>
      <c r="B39" s="51" t="s">
        <v>330</v>
      </c>
      <c r="C39" s="21" t="s">
        <v>374</v>
      </c>
      <c r="D39" s="24" t="s">
        <v>375</v>
      </c>
      <c r="E39" s="40">
        <f>LEN(D39)</f>
        <v>55</v>
      </c>
      <c r="F39" s="21" t="s">
        <v>18</v>
      </c>
      <c r="G39" s="21"/>
      <c r="H39" s="21"/>
      <c r="I39" s="21"/>
      <c r="J39" s="21"/>
      <c r="K39" s="23" t="s">
        <v>15</v>
      </c>
      <c r="L39" s="23" t="s">
        <v>15</v>
      </c>
      <c r="M39" s="24" t="s">
        <v>413</v>
      </c>
    </row>
    <row r="40" spans="1:13" s="25" customFormat="1" ht="51" customHeight="1" x14ac:dyDescent="0.25">
      <c r="A40" s="51" t="s">
        <v>428</v>
      </c>
      <c r="B40" s="51" t="s">
        <v>330</v>
      </c>
      <c r="C40" s="21" t="s">
        <v>378</v>
      </c>
      <c r="D40" s="24" t="s">
        <v>379</v>
      </c>
      <c r="E40" s="40">
        <f>LEN(D40)</f>
        <v>37</v>
      </c>
      <c r="F40" s="21" t="s">
        <v>18</v>
      </c>
      <c r="G40" s="21"/>
      <c r="H40" s="21"/>
      <c r="I40" s="21"/>
      <c r="J40" s="21"/>
      <c r="K40" s="23" t="s">
        <v>15</v>
      </c>
      <c r="L40" s="23" t="s">
        <v>15</v>
      </c>
      <c r="M40" s="24" t="s">
        <v>390</v>
      </c>
    </row>
    <row r="41" spans="1:13" x14ac:dyDescent="0.25">
      <c r="D41" s="48"/>
    </row>
  </sheetData>
  <autoFilter ref="A6:M40">
    <sortState ref="A7:M40">
      <sortCondition ref="B7:B40"/>
      <sortCondition ref="C7:C40"/>
    </sortState>
  </autoFilter>
  <mergeCells count="2">
    <mergeCell ref="C2:J2"/>
    <mergeCell ref="C3:J4"/>
  </mergeCells>
  <conditionalFormatting sqref="E18:E40 E7:E15">
    <cfRule type="cellIs" dxfId="6" priority="5" operator="greaterThan">
      <formula>104</formula>
    </cfRule>
  </conditionalFormatting>
  <conditionalFormatting sqref="E17">
    <cfRule type="cellIs" dxfId="4" priority="2" operator="greaterThan">
      <formula>104</formula>
    </cfRule>
  </conditionalFormatting>
  <conditionalFormatting sqref="E16">
    <cfRule type="cellIs" dxfId="3" priority="1" operator="greaterThan">
      <formula>104</formula>
    </cfRule>
  </conditionalFormatting>
  <dataValidations count="1">
    <dataValidation type="list" allowBlank="1" showInputMessage="1" showErrorMessage="1" sqref="K7:L40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68E1E"/>
  </sheetPr>
  <dimension ref="A1:M15"/>
  <sheetViews>
    <sheetView showGridLines="0" zoomScaleNormal="100" workbookViewId="0">
      <pane xSplit="3" ySplit="6" topLeftCell="D13" activePane="bottomRight" state="frozen"/>
      <selection pane="topRight" activeCell="D1" sqref="D1"/>
      <selection pane="bottomLeft" activeCell="A7" sqref="A7"/>
      <selection pane="bottomRight" activeCell="D15" sqref="D15"/>
    </sheetView>
  </sheetViews>
  <sheetFormatPr defaultRowHeight="18.75" x14ac:dyDescent="0.25"/>
  <cols>
    <col min="1" max="1" width="27.85546875" style="36" customWidth="1"/>
    <col min="2" max="2" width="22.28515625" style="36" bestFit="1" customWidth="1"/>
    <col min="3" max="3" width="42.5703125" style="19" bestFit="1" customWidth="1"/>
    <col min="4" max="4" width="55.140625" style="30" customWidth="1"/>
    <col min="5" max="5" width="5.5703125" style="41" bestFit="1" customWidth="1"/>
    <col min="6" max="6" width="16.42578125" style="19" bestFit="1" customWidth="1"/>
    <col min="7" max="7" width="18.42578125" style="26" customWidth="1"/>
    <col min="8" max="8" width="13.7109375" style="26" customWidth="1"/>
    <col min="9" max="9" width="13.85546875" style="26" bestFit="1" customWidth="1"/>
    <col min="10" max="10" width="14.5703125" style="26" bestFit="1" customWidth="1"/>
    <col min="11" max="12" width="13.7109375" style="26" customWidth="1"/>
    <col min="13" max="13" width="60.7109375" style="30" customWidth="1"/>
    <col min="14" max="16384" width="9.140625" style="19"/>
  </cols>
  <sheetData>
    <row r="1" spans="1:13" x14ac:dyDescent="0.25">
      <c r="A1" s="34"/>
      <c r="B1" s="34"/>
      <c r="C1" s="17"/>
      <c r="D1" s="27"/>
      <c r="E1" s="39"/>
      <c r="F1" s="17"/>
      <c r="G1" s="18"/>
      <c r="H1" s="18"/>
      <c r="I1" s="18"/>
      <c r="J1" s="18"/>
      <c r="K1" s="18"/>
      <c r="L1" s="18"/>
      <c r="M1" s="27"/>
    </row>
    <row r="2" spans="1:13" ht="15.75" x14ac:dyDescent="0.25">
      <c r="A2" s="34"/>
      <c r="B2" s="34"/>
      <c r="C2" s="57" t="s">
        <v>1</v>
      </c>
      <c r="D2" s="57"/>
      <c r="E2" s="57"/>
      <c r="F2" s="57"/>
      <c r="G2" s="57"/>
      <c r="H2" s="57"/>
      <c r="I2" s="57"/>
      <c r="J2" s="57"/>
      <c r="K2" s="20"/>
      <c r="L2" s="20"/>
      <c r="M2" s="27"/>
    </row>
    <row r="3" spans="1:13" ht="15" customHeight="1" x14ac:dyDescent="0.25">
      <c r="A3" s="34"/>
      <c r="B3" s="34"/>
      <c r="C3" s="56" t="s">
        <v>0</v>
      </c>
      <c r="D3" s="56"/>
      <c r="E3" s="56"/>
      <c r="F3" s="56"/>
      <c r="G3" s="56"/>
      <c r="H3" s="56"/>
      <c r="I3" s="56"/>
      <c r="J3" s="56"/>
      <c r="K3" s="3"/>
      <c r="L3" s="3"/>
      <c r="M3" s="27"/>
    </row>
    <row r="4" spans="1:13" ht="15" customHeight="1" x14ac:dyDescent="0.25">
      <c r="A4" s="34"/>
      <c r="B4" s="34"/>
      <c r="C4" s="56"/>
      <c r="D4" s="56"/>
      <c r="E4" s="56"/>
      <c r="F4" s="56"/>
      <c r="G4" s="56"/>
      <c r="H4" s="56"/>
      <c r="I4" s="56"/>
      <c r="J4" s="56"/>
      <c r="K4" s="3"/>
      <c r="L4" s="3"/>
      <c r="M4" s="28" t="s">
        <v>2</v>
      </c>
    </row>
    <row r="5" spans="1:13" x14ac:dyDescent="0.25">
      <c r="A5" s="34"/>
      <c r="B5" s="34"/>
      <c r="C5" s="17"/>
      <c r="D5" s="27"/>
      <c r="E5" s="39"/>
      <c r="F5" s="17"/>
      <c r="G5" s="18"/>
      <c r="H5" s="18"/>
      <c r="I5" s="18"/>
      <c r="J5" s="18"/>
      <c r="K5" s="18"/>
      <c r="L5" s="18"/>
      <c r="M5" s="29">
        <f>'CAT Negócio'!M5</f>
        <v>42342</v>
      </c>
    </row>
    <row r="6" spans="1:13" s="14" customFormat="1" ht="27" customHeight="1" x14ac:dyDescent="0.25">
      <c r="A6" s="13" t="s">
        <v>4</v>
      </c>
      <c r="B6" s="13" t="s">
        <v>5</v>
      </c>
      <c r="C6" s="13" t="s">
        <v>3</v>
      </c>
      <c r="D6" s="15" t="s">
        <v>38</v>
      </c>
      <c r="E6" s="15" t="s">
        <v>94</v>
      </c>
      <c r="F6" s="13" t="s">
        <v>6</v>
      </c>
      <c r="G6" s="13" t="s">
        <v>12</v>
      </c>
      <c r="H6" s="13" t="s">
        <v>9</v>
      </c>
      <c r="I6" s="13" t="s">
        <v>10</v>
      </c>
      <c r="J6" s="13" t="s">
        <v>11</v>
      </c>
      <c r="K6" s="15" t="s">
        <v>13</v>
      </c>
      <c r="L6" s="15" t="s">
        <v>16</v>
      </c>
      <c r="M6" s="15" t="s">
        <v>14</v>
      </c>
    </row>
    <row r="7" spans="1:13" s="25" customFormat="1" ht="63.75" x14ac:dyDescent="0.25">
      <c r="A7" s="35" t="s">
        <v>183</v>
      </c>
      <c r="B7" s="35" t="s">
        <v>182</v>
      </c>
      <c r="C7" s="21" t="s">
        <v>241</v>
      </c>
      <c r="D7" s="24" t="s">
        <v>184</v>
      </c>
      <c r="E7" s="40">
        <f>LEN(D7)</f>
        <v>33</v>
      </c>
      <c r="F7" s="44" t="s">
        <v>237</v>
      </c>
      <c r="G7" s="46" t="s">
        <v>225</v>
      </c>
      <c r="H7" s="46" t="s">
        <v>193</v>
      </c>
      <c r="I7" s="47" t="s">
        <v>243</v>
      </c>
      <c r="J7" s="47" t="s">
        <v>192</v>
      </c>
      <c r="K7" s="46" t="s">
        <v>15</v>
      </c>
      <c r="L7" s="46" t="s">
        <v>15</v>
      </c>
      <c r="M7" s="24" t="s">
        <v>228</v>
      </c>
    </row>
    <row r="8" spans="1:13" s="25" customFormat="1" ht="102" x14ac:dyDescent="0.25">
      <c r="A8" s="35" t="s">
        <v>183</v>
      </c>
      <c r="B8" s="35" t="s">
        <v>182</v>
      </c>
      <c r="C8" s="21" t="s">
        <v>179</v>
      </c>
      <c r="D8" s="24" t="s">
        <v>188</v>
      </c>
      <c r="E8" s="40">
        <f t="shared" ref="E8:E15" si="0">LEN(D8)</f>
        <v>33</v>
      </c>
      <c r="F8" s="44" t="s">
        <v>238</v>
      </c>
      <c r="G8" s="46" t="s">
        <v>225</v>
      </c>
      <c r="H8" s="46" t="s">
        <v>224</v>
      </c>
      <c r="I8" s="47" t="s">
        <v>243</v>
      </c>
      <c r="J8" s="47" t="s">
        <v>223</v>
      </c>
      <c r="K8" s="46" t="s">
        <v>15</v>
      </c>
      <c r="L8" s="46" t="s">
        <v>15</v>
      </c>
      <c r="M8" s="24" t="s">
        <v>231</v>
      </c>
    </row>
    <row r="9" spans="1:13" s="25" customFormat="1" ht="102" x14ac:dyDescent="0.25">
      <c r="A9" s="35" t="s">
        <v>183</v>
      </c>
      <c r="B9" s="35" t="s">
        <v>182</v>
      </c>
      <c r="C9" s="21" t="s">
        <v>180</v>
      </c>
      <c r="D9" s="24" t="s">
        <v>185</v>
      </c>
      <c r="E9" s="40">
        <f t="shared" si="0"/>
        <v>59</v>
      </c>
      <c r="F9" s="44" t="s">
        <v>238</v>
      </c>
      <c r="G9" s="46" t="s">
        <v>225</v>
      </c>
      <c r="H9" s="46" t="s">
        <v>224</v>
      </c>
      <c r="I9" s="47" t="s">
        <v>243</v>
      </c>
      <c r="J9" s="47" t="s">
        <v>192</v>
      </c>
      <c r="K9" s="46" t="s">
        <v>15</v>
      </c>
      <c r="L9" s="46" t="s">
        <v>15</v>
      </c>
      <c r="M9" s="24" t="s">
        <v>232</v>
      </c>
    </row>
    <row r="10" spans="1:13" s="25" customFormat="1" ht="102" x14ac:dyDescent="0.25">
      <c r="A10" s="35" t="s">
        <v>183</v>
      </c>
      <c r="B10" s="35" t="s">
        <v>182</v>
      </c>
      <c r="C10" s="21" t="s">
        <v>209</v>
      </c>
      <c r="D10" s="24" t="s">
        <v>210</v>
      </c>
      <c r="E10" s="40">
        <f t="shared" ref="E10" si="1">LEN(D10)</f>
        <v>63</v>
      </c>
      <c r="F10" s="44" t="s">
        <v>238</v>
      </c>
      <c r="G10" s="46" t="s">
        <v>225</v>
      </c>
      <c r="H10" s="46" t="s">
        <v>224</v>
      </c>
      <c r="I10" s="47" t="s">
        <v>243</v>
      </c>
      <c r="J10" s="47" t="s">
        <v>192</v>
      </c>
      <c r="K10" s="46" t="s">
        <v>15</v>
      </c>
      <c r="L10" s="46" t="s">
        <v>15</v>
      </c>
      <c r="M10" s="24" t="s">
        <v>233</v>
      </c>
    </row>
    <row r="11" spans="1:13" s="25" customFormat="1" ht="51" x14ac:dyDescent="0.25">
      <c r="A11" s="35" t="s">
        <v>183</v>
      </c>
      <c r="B11" s="35" t="s">
        <v>177</v>
      </c>
      <c r="C11" s="21" t="s">
        <v>242</v>
      </c>
      <c r="D11" s="24" t="s">
        <v>186</v>
      </c>
      <c r="E11" s="40">
        <f t="shared" si="0"/>
        <v>25</v>
      </c>
      <c r="F11" s="44" t="s">
        <v>237</v>
      </c>
      <c r="G11" s="46" t="s">
        <v>225</v>
      </c>
      <c r="H11" s="46" t="s">
        <v>193</v>
      </c>
      <c r="I11" s="47" t="s">
        <v>243</v>
      </c>
      <c r="J11" s="47" t="s">
        <v>192</v>
      </c>
      <c r="K11" s="46" t="s">
        <v>15</v>
      </c>
      <c r="L11" s="46" t="s">
        <v>15</v>
      </c>
      <c r="M11" s="24" t="s">
        <v>229</v>
      </c>
    </row>
    <row r="12" spans="1:13" s="25" customFormat="1" ht="63.75" x14ac:dyDescent="0.25">
      <c r="A12" s="35" t="s">
        <v>183</v>
      </c>
      <c r="B12" s="35" t="s">
        <v>177</v>
      </c>
      <c r="C12" s="21" t="s">
        <v>178</v>
      </c>
      <c r="D12" s="24" t="s">
        <v>187</v>
      </c>
      <c r="E12" s="40">
        <f t="shared" si="0"/>
        <v>26</v>
      </c>
      <c r="F12" s="44" t="s">
        <v>237</v>
      </c>
      <c r="G12" s="46" t="s">
        <v>225</v>
      </c>
      <c r="H12" s="46" t="s">
        <v>224</v>
      </c>
      <c r="I12" s="47" t="s">
        <v>243</v>
      </c>
      <c r="J12" s="47" t="s">
        <v>223</v>
      </c>
      <c r="K12" s="46" t="s">
        <v>15</v>
      </c>
      <c r="L12" s="46" t="s">
        <v>15</v>
      </c>
      <c r="M12" s="24" t="s">
        <v>230</v>
      </c>
    </row>
    <row r="13" spans="1:13" s="25" customFormat="1" ht="63.75" x14ac:dyDescent="0.25">
      <c r="A13" s="35" t="s">
        <v>183</v>
      </c>
      <c r="B13" s="35" t="s">
        <v>177</v>
      </c>
      <c r="C13" s="21" t="s">
        <v>181</v>
      </c>
      <c r="D13" s="24" t="s">
        <v>189</v>
      </c>
      <c r="E13" s="40">
        <f t="shared" si="0"/>
        <v>55</v>
      </c>
      <c r="F13" s="44" t="s">
        <v>237</v>
      </c>
      <c r="G13" s="46" t="s">
        <v>225</v>
      </c>
      <c r="H13" s="46" t="s">
        <v>224</v>
      </c>
      <c r="I13" s="47" t="s">
        <v>243</v>
      </c>
      <c r="J13" s="47" t="s">
        <v>192</v>
      </c>
      <c r="K13" s="46" t="s">
        <v>15</v>
      </c>
      <c r="L13" s="46" t="s">
        <v>15</v>
      </c>
      <c r="M13" s="24" t="s">
        <v>234</v>
      </c>
    </row>
    <row r="14" spans="1:13" s="25" customFormat="1" ht="102" x14ac:dyDescent="0.25">
      <c r="A14" s="35" t="s">
        <v>183</v>
      </c>
      <c r="B14" s="35" t="s">
        <v>190</v>
      </c>
      <c r="C14" s="24" t="s">
        <v>226</v>
      </c>
      <c r="D14" s="24" t="s">
        <v>227</v>
      </c>
      <c r="E14" s="40">
        <f t="shared" si="0"/>
        <v>62</v>
      </c>
      <c r="F14" s="44" t="s">
        <v>238</v>
      </c>
      <c r="G14" s="46" t="s">
        <v>225</v>
      </c>
      <c r="H14" s="46" t="s">
        <v>224</v>
      </c>
      <c r="I14" s="47" t="s">
        <v>243</v>
      </c>
      <c r="J14" s="47" t="s">
        <v>192</v>
      </c>
      <c r="K14" s="46" t="s">
        <v>15</v>
      </c>
      <c r="L14" s="46" t="s">
        <v>15</v>
      </c>
      <c r="M14" s="24" t="s">
        <v>235</v>
      </c>
    </row>
    <row r="15" spans="1:13" s="25" customFormat="1" ht="102" x14ac:dyDescent="0.25">
      <c r="A15" s="35" t="s">
        <v>183</v>
      </c>
      <c r="B15" s="35" t="s">
        <v>190</v>
      </c>
      <c r="C15" s="21" t="s">
        <v>191</v>
      </c>
      <c r="D15" s="53" t="s">
        <v>393</v>
      </c>
      <c r="E15" s="40">
        <f t="shared" si="0"/>
        <v>94</v>
      </c>
      <c r="F15" s="44" t="s">
        <v>238</v>
      </c>
      <c r="G15" s="46" t="s">
        <v>225</v>
      </c>
      <c r="H15" s="46" t="s">
        <v>224</v>
      </c>
      <c r="I15" s="47" t="s">
        <v>243</v>
      </c>
      <c r="J15" s="47" t="s">
        <v>192</v>
      </c>
      <c r="K15" s="46" t="s">
        <v>15</v>
      </c>
      <c r="L15" s="46" t="s">
        <v>15</v>
      </c>
      <c r="M15" s="24" t="s">
        <v>236</v>
      </c>
    </row>
  </sheetData>
  <mergeCells count="2">
    <mergeCell ref="C2:J2"/>
    <mergeCell ref="C3:J4"/>
  </mergeCells>
  <conditionalFormatting sqref="E7">
    <cfRule type="cellIs" dxfId="2" priority="6" operator="greaterThan">
      <formula>104</formula>
    </cfRule>
  </conditionalFormatting>
  <conditionalFormatting sqref="E8:E9 E11:E15">
    <cfRule type="cellIs" dxfId="1" priority="4" operator="greaterThan">
      <formula>104</formula>
    </cfRule>
  </conditionalFormatting>
  <conditionalFormatting sqref="E10">
    <cfRule type="cellIs" dxfId="0" priority="3" operator="greaterThan">
      <formula>104</formula>
    </cfRule>
  </conditionalFormatting>
  <dataValidations count="1">
    <dataValidation type="list" allowBlank="1" showInputMessage="1" showErrorMessage="1" sqref="K7:L15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verticalDpi="0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E1E"/>
  </sheetPr>
  <dimension ref="A1:G29"/>
  <sheetViews>
    <sheetView showGridLines="0" topLeftCell="A3" zoomScaleNormal="100" workbookViewId="0">
      <selection activeCell="C24" sqref="C24"/>
    </sheetView>
  </sheetViews>
  <sheetFormatPr defaultRowHeight="15" x14ac:dyDescent="0.25"/>
  <cols>
    <col min="1" max="1" width="26.85546875" customWidth="1"/>
    <col min="2" max="2" width="17.42578125" customWidth="1"/>
    <col min="3" max="3" width="26" customWidth="1"/>
    <col min="4" max="7" width="17.42578125" customWidth="1"/>
    <col min="8" max="8" width="10.7109375" bestFit="1" customWidth="1"/>
  </cols>
  <sheetData>
    <row r="1" spans="1:7" x14ac:dyDescent="0.25">
      <c r="A1" s="1"/>
      <c r="B1" s="1"/>
      <c r="C1" s="1"/>
      <c r="D1" s="1"/>
      <c r="E1" s="1"/>
      <c r="F1" s="1"/>
      <c r="G1" s="1"/>
    </row>
    <row r="2" spans="1:7" ht="15.75" x14ac:dyDescent="0.25">
      <c r="A2" s="1"/>
      <c r="B2" s="58" t="s">
        <v>1</v>
      </c>
      <c r="C2" s="58"/>
      <c r="D2" s="58"/>
      <c r="E2" s="58"/>
      <c r="F2" s="58"/>
      <c r="G2" s="1"/>
    </row>
    <row r="3" spans="1:7" ht="15" customHeight="1" x14ac:dyDescent="0.25">
      <c r="A3" s="1"/>
      <c r="B3" s="56" t="s">
        <v>22</v>
      </c>
      <c r="C3" s="56"/>
      <c r="D3" s="56"/>
      <c r="E3" s="56"/>
      <c r="F3" s="31"/>
      <c r="G3" s="1"/>
    </row>
    <row r="4" spans="1:7" ht="15" customHeight="1" x14ac:dyDescent="0.25">
      <c r="A4" s="1"/>
      <c r="B4" s="56"/>
      <c r="C4" s="56"/>
      <c r="D4" s="56"/>
      <c r="E4" s="56"/>
      <c r="F4" s="31"/>
      <c r="G4" s="4" t="s">
        <v>2</v>
      </c>
    </row>
    <row r="5" spans="1:7" x14ac:dyDescent="0.25">
      <c r="A5" s="1"/>
      <c r="B5" s="1"/>
      <c r="C5" s="1"/>
      <c r="D5" s="1"/>
      <c r="E5" s="1"/>
      <c r="F5" s="1"/>
      <c r="G5" s="7">
        <v>42339</v>
      </c>
    </row>
    <row r="7" spans="1:7" x14ac:dyDescent="0.25">
      <c r="A7" s="16" t="s">
        <v>72</v>
      </c>
      <c r="C7" s="50" t="s">
        <v>322</v>
      </c>
    </row>
    <row r="8" spans="1:7" x14ac:dyDescent="0.25">
      <c r="A8" s="32" t="s">
        <v>8</v>
      </c>
      <c r="C8" s="16" t="s">
        <v>148</v>
      </c>
    </row>
    <row r="9" spans="1:7" x14ac:dyDescent="0.25">
      <c r="A9" s="32" t="s">
        <v>20</v>
      </c>
      <c r="C9" s="32" t="s">
        <v>156</v>
      </c>
    </row>
    <row r="10" spans="1:7" x14ac:dyDescent="0.25">
      <c r="A10" s="32" t="s">
        <v>23</v>
      </c>
      <c r="C10" s="32" t="s">
        <v>324</v>
      </c>
    </row>
    <row r="11" spans="1:7" x14ac:dyDescent="0.25">
      <c r="A11" s="32" t="s">
        <v>47</v>
      </c>
      <c r="C11" s="32" t="s">
        <v>325</v>
      </c>
    </row>
    <row r="12" spans="1:7" x14ac:dyDescent="0.25">
      <c r="A12" s="32" t="s">
        <v>48</v>
      </c>
      <c r="C12" s="32" t="s">
        <v>323</v>
      </c>
    </row>
    <row r="13" spans="1:7" x14ac:dyDescent="0.25">
      <c r="A13" s="32" t="s">
        <v>50</v>
      </c>
      <c r="C13" s="16" t="s">
        <v>17</v>
      </c>
    </row>
    <row r="14" spans="1:7" x14ac:dyDescent="0.25">
      <c r="A14" s="32" t="s">
        <v>31</v>
      </c>
    </row>
    <row r="15" spans="1:7" x14ac:dyDescent="0.25">
      <c r="A15" s="32" t="s">
        <v>33</v>
      </c>
    </row>
    <row r="16" spans="1:7" x14ac:dyDescent="0.25">
      <c r="A16" s="32" t="s">
        <v>26</v>
      </c>
      <c r="C16" s="50" t="s">
        <v>322</v>
      </c>
    </row>
    <row r="17" spans="1:3" x14ac:dyDescent="0.25">
      <c r="A17" s="32" t="s">
        <v>34</v>
      </c>
      <c r="C17" s="16" t="s">
        <v>147</v>
      </c>
    </row>
    <row r="18" spans="1:3" x14ac:dyDescent="0.25">
      <c r="A18" s="32" t="s">
        <v>28</v>
      </c>
      <c r="C18" s="32" t="s">
        <v>245</v>
      </c>
    </row>
    <row r="19" spans="1:3" x14ac:dyDescent="0.25">
      <c r="A19" s="32" t="s">
        <v>24</v>
      </c>
      <c r="C19" s="32" t="s">
        <v>256</v>
      </c>
    </row>
    <row r="20" spans="1:3" x14ac:dyDescent="0.25">
      <c r="A20" s="32" t="s">
        <v>25</v>
      </c>
      <c r="C20" s="32" t="s">
        <v>260</v>
      </c>
    </row>
    <row r="21" spans="1:3" x14ac:dyDescent="0.25">
      <c r="A21" s="32" t="s">
        <v>32</v>
      </c>
      <c r="C21" s="32" t="s">
        <v>258</v>
      </c>
    </row>
    <row r="22" spans="1:3" x14ac:dyDescent="0.25">
      <c r="A22" s="32" t="s">
        <v>27</v>
      </c>
      <c r="C22" s="32" t="s">
        <v>255</v>
      </c>
    </row>
    <row r="23" spans="1:3" x14ac:dyDescent="0.25">
      <c r="A23" s="32" t="s">
        <v>29</v>
      </c>
      <c r="C23" s="32" t="s">
        <v>257</v>
      </c>
    </row>
    <row r="24" spans="1:3" x14ac:dyDescent="0.25">
      <c r="A24" s="16" t="s">
        <v>17</v>
      </c>
      <c r="C24" s="32" t="s">
        <v>326</v>
      </c>
    </row>
    <row r="25" spans="1:3" x14ac:dyDescent="0.25">
      <c r="C25" s="32" t="s">
        <v>259</v>
      </c>
    </row>
    <row r="26" spans="1:3" x14ac:dyDescent="0.25">
      <c r="C26" s="32" t="s">
        <v>328</v>
      </c>
    </row>
    <row r="27" spans="1:3" x14ac:dyDescent="0.25">
      <c r="C27" s="32" t="s">
        <v>254</v>
      </c>
    </row>
    <row r="28" spans="1:3" x14ac:dyDescent="0.25">
      <c r="C28" s="16" t="s">
        <v>329</v>
      </c>
    </row>
    <row r="29" spans="1:3" x14ac:dyDescent="0.25">
      <c r="C29" s="16" t="s">
        <v>17</v>
      </c>
    </row>
  </sheetData>
  <mergeCells count="2">
    <mergeCell ref="B2:F2"/>
    <mergeCell ref="B3:E4"/>
  </mergeCells>
  <pageMargins left="0.511811024" right="0.511811024" top="0.78740157499999996" bottom="0.78740157499999996" header="0.31496062000000002" footer="0.31496062000000002"/>
  <pageSetup paperSize="9" orientation="portrait" verticalDpi="0" r:id="rId4"/>
  <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68E1E"/>
  </sheetPr>
  <dimension ref="A1:C19"/>
  <sheetViews>
    <sheetView zoomScale="160" zoomScaleNormal="160" workbookViewId="0">
      <selection activeCell="A2" sqref="A2"/>
    </sheetView>
  </sheetViews>
  <sheetFormatPr defaultRowHeight="15" x14ac:dyDescent="0.25"/>
  <cols>
    <col min="1" max="1" width="20.85546875" bestFit="1" customWidth="1"/>
    <col min="2" max="2" width="10.42578125" bestFit="1" customWidth="1"/>
    <col min="3" max="3" width="19.42578125" bestFit="1" customWidth="1"/>
  </cols>
  <sheetData>
    <row r="1" spans="1:3" x14ac:dyDescent="0.25">
      <c r="A1" t="s">
        <v>265</v>
      </c>
      <c r="B1" t="s">
        <v>266</v>
      </c>
    </row>
    <row r="2" spans="1:3" x14ac:dyDescent="0.25">
      <c r="A2" s="21" t="s">
        <v>29</v>
      </c>
      <c r="B2" t="s">
        <v>95</v>
      </c>
    </row>
    <row r="3" spans="1:3" x14ac:dyDescent="0.25">
      <c r="A3" s="21" t="s">
        <v>8</v>
      </c>
      <c r="B3" t="s">
        <v>95</v>
      </c>
    </row>
    <row r="4" spans="1:3" x14ac:dyDescent="0.25">
      <c r="A4" s="21" t="s">
        <v>31</v>
      </c>
      <c r="B4" t="s">
        <v>95</v>
      </c>
    </row>
    <row r="5" spans="1:3" hidden="1" x14ac:dyDescent="0.25">
      <c r="A5" s="42" t="s">
        <v>47</v>
      </c>
      <c r="B5" t="s">
        <v>96</v>
      </c>
    </row>
    <row r="6" spans="1:3" x14ac:dyDescent="0.25">
      <c r="A6" s="21" t="s">
        <v>33</v>
      </c>
      <c r="B6" t="s">
        <v>95</v>
      </c>
    </row>
    <row r="7" spans="1:3" hidden="1" x14ac:dyDescent="0.25">
      <c r="A7" s="42" t="s">
        <v>26</v>
      </c>
      <c r="B7" t="s">
        <v>96</v>
      </c>
    </row>
    <row r="8" spans="1:3" hidden="1" x14ac:dyDescent="0.25">
      <c r="A8" s="42" t="s">
        <v>34</v>
      </c>
      <c r="B8" t="s">
        <v>96</v>
      </c>
      <c r="C8" s="21" t="s">
        <v>35</v>
      </c>
    </row>
    <row r="9" spans="1:3" hidden="1" x14ac:dyDescent="0.25">
      <c r="A9" s="42" t="s">
        <v>20</v>
      </c>
      <c r="B9" t="s">
        <v>96</v>
      </c>
    </row>
    <row r="10" spans="1:3" x14ac:dyDescent="0.25">
      <c r="A10" s="21" t="s">
        <v>28</v>
      </c>
      <c r="B10" t="s">
        <v>95</v>
      </c>
    </row>
    <row r="11" spans="1:3" hidden="1" x14ac:dyDescent="0.25">
      <c r="A11" s="42" t="s">
        <v>48</v>
      </c>
      <c r="B11" t="s">
        <v>96</v>
      </c>
    </row>
    <row r="12" spans="1:3" hidden="1" x14ac:dyDescent="0.25">
      <c r="A12" s="38" t="s">
        <v>24</v>
      </c>
      <c r="B12" t="s">
        <v>96</v>
      </c>
    </row>
    <row r="13" spans="1:3" x14ac:dyDescent="0.25">
      <c r="A13" s="21" t="s">
        <v>97</v>
      </c>
      <c r="B13" t="s">
        <v>95</v>
      </c>
    </row>
    <row r="14" spans="1:3" x14ac:dyDescent="0.25">
      <c r="A14" s="21" t="s">
        <v>25</v>
      </c>
      <c r="B14" t="s">
        <v>95</v>
      </c>
    </row>
    <row r="15" spans="1:3" x14ac:dyDescent="0.25">
      <c r="A15" s="21" t="s">
        <v>32</v>
      </c>
      <c r="B15" t="s">
        <v>95</v>
      </c>
    </row>
    <row r="16" spans="1:3" hidden="1" x14ac:dyDescent="0.25">
      <c r="A16" s="42" t="s">
        <v>30</v>
      </c>
      <c r="B16" t="s">
        <v>96</v>
      </c>
    </row>
    <row r="17" spans="1:2" x14ac:dyDescent="0.25">
      <c r="A17" s="21" t="s">
        <v>23</v>
      </c>
      <c r="B17" t="s">
        <v>95</v>
      </c>
    </row>
    <row r="18" spans="1:2" x14ac:dyDescent="0.25">
      <c r="A18" s="21" t="s">
        <v>27</v>
      </c>
      <c r="B18" t="s">
        <v>95</v>
      </c>
    </row>
    <row r="19" spans="1:2" hidden="1" x14ac:dyDescent="0.25">
      <c r="A19" s="49" t="s">
        <v>100</v>
      </c>
      <c r="B19" t="s">
        <v>96</v>
      </c>
    </row>
  </sheetData>
  <autoFilter ref="A1:C19">
    <filterColumn colId="1">
      <filters>
        <filter val="BackOffice"/>
      </filters>
    </filterColumn>
    <sortState ref="A7:C12">
      <sortCondition sortBy="cellColor" ref="A1:A19" dxfId="15"/>
    </sortState>
  </autoFilter>
  <sortState ref="A1:A30">
    <sortCondition ref="A1:A30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Informações Básicas</vt:lpstr>
      <vt:lpstr>CAT Negócio</vt:lpstr>
      <vt:lpstr>CAT Escritório</vt:lpstr>
      <vt:lpstr>CAT Atendimento</vt:lpstr>
      <vt:lpstr>CAT TIpTI</vt:lpstr>
      <vt:lpstr>CAT GA</vt:lpstr>
      <vt:lpstr>Protótipo</vt:lpstr>
      <vt:lpstr>Escopo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Filho</dc:creator>
  <cp:lastModifiedBy>Jorge Filho</cp:lastModifiedBy>
  <cp:lastPrinted>2015-12-01T15:28:32Z</cp:lastPrinted>
  <dcterms:created xsi:type="dcterms:W3CDTF">2015-12-01T15:08:57Z</dcterms:created>
  <dcterms:modified xsi:type="dcterms:W3CDTF">2015-12-04T14:06:18Z</dcterms:modified>
</cp:coreProperties>
</file>