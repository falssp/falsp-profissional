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hidePivotFieldList="1" defaultThemeVersion="124226"/>
  <bookViews>
    <workbookView xWindow="240" yWindow="645" windowWidth="14805" windowHeight="7470" tabRatio="649"/>
  </bookViews>
  <sheets>
    <sheet name="Resumo" sheetId="2" r:id="rId1"/>
    <sheet name="fat" sheetId="15" state="hidden" r:id="rId2"/>
    <sheet name="CHAMADOS NOK" sheetId="14" r:id="rId3"/>
    <sheet name="Plano de ação" sheetId="9" r:id="rId4"/>
    <sheet name="PRODUTIVIDADE" sheetId="10" r:id="rId5"/>
    <sheet name="PESQUISA DE SATISFACAO" sheetId="11" r:id="rId6"/>
    <sheet name="Orçamento 2015" sheetId="16" state="hidden" r:id="rId7"/>
  </sheets>
  <calcPr calcId="145621"/>
</workbook>
</file>

<file path=xl/calcChain.xml><?xml version="1.0" encoding="utf-8"?>
<calcChain xmlns="http://schemas.openxmlformats.org/spreadsheetml/2006/main">
  <c r="L22" i="2" l="1"/>
  <c r="K22" i="2"/>
  <c r="J22" i="2"/>
  <c r="I22" i="2"/>
  <c r="R22" i="2"/>
  <c r="Q22" i="2"/>
  <c r="P22" i="2"/>
  <c r="O22" i="2"/>
  <c r="C27" i="15" l="1"/>
  <c r="D27" i="15"/>
  <c r="E27" i="15"/>
  <c r="F27" i="15"/>
  <c r="I279" i="16" l="1"/>
  <c r="J279" i="16"/>
  <c r="K279" i="16"/>
  <c r="L279" i="16"/>
  <c r="M279" i="16"/>
  <c r="N279" i="16"/>
  <c r="O279" i="16"/>
  <c r="P279" i="16"/>
  <c r="Q279" i="16"/>
  <c r="R279" i="16"/>
  <c r="S279" i="16"/>
  <c r="T279" i="16"/>
  <c r="U279" i="16"/>
  <c r="F6" i="15"/>
  <c r="E6" i="15"/>
  <c r="D6" i="15"/>
  <c r="C6" i="15"/>
  <c r="B6" i="15"/>
  <c r="F7" i="15"/>
  <c r="E7" i="15"/>
  <c r="D7" i="15"/>
  <c r="C7" i="15"/>
  <c r="B7" i="15"/>
  <c r="F5" i="15"/>
  <c r="E4" i="15"/>
  <c r="D4" i="15"/>
  <c r="G21" i="2" l="1"/>
  <c r="H21" i="2" s="1"/>
  <c r="G20" i="2"/>
  <c r="H20" i="2" s="1"/>
  <c r="G19" i="2" l="1"/>
  <c r="H19" i="2" s="1"/>
  <c r="G18" i="2" l="1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B27" i="15" l="1"/>
  <c r="E5" i="15" l="1"/>
  <c r="D5" i="15"/>
  <c r="C5" i="15"/>
  <c r="B5" i="15"/>
  <c r="K27" i="10" l="1"/>
  <c r="H27" i="10" s="1"/>
  <c r="K26" i="10"/>
  <c r="H26" i="10" s="1"/>
  <c r="K25" i="10"/>
  <c r="H25" i="10" s="1"/>
  <c r="K24" i="10"/>
  <c r="H24" i="10" s="1"/>
  <c r="AB23" i="2"/>
  <c r="AA23" i="2"/>
  <c r="Z23" i="2"/>
  <c r="A18" i="2" l="1"/>
  <c r="A17" i="2"/>
  <c r="A16" i="2"/>
  <c r="A15" i="2"/>
  <c r="M22" i="2" l="1"/>
  <c r="L27" i="10" l="1"/>
  <c r="L26" i="10"/>
  <c r="L25" i="10"/>
  <c r="L24" i="10"/>
  <c r="M27" i="10"/>
  <c r="M26" i="10"/>
  <c r="M25" i="10"/>
  <c r="M24" i="10"/>
  <c r="X14" i="2" l="1"/>
  <c r="W12" i="2"/>
  <c r="X15" i="2"/>
  <c r="X10" i="2"/>
  <c r="X12" i="2"/>
  <c r="T15" i="2"/>
  <c r="T16" i="2"/>
  <c r="T9" i="2"/>
  <c r="U9" i="2"/>
  <c r="U16" i="2" l="1"/>
  <c r="U14" i="2"/>
  <c r="T14" i="2"/>
  <c r="U15" i="2"/>
  <c r="A14" i="2" l="1"/>
  <c r="A13" i="2"/>
  <c r="A12" i="2"/>
  <c r="A11" i="2"/>
  <c r="A10" i="2"/>
  <c r="A9" i="2"/>
  <c r="A8" i="2"/>
  <c r="A7" i="2"/>
  <c r="A6" i="2"/>
  <c r="A5" i="2"/>
  <c r="A4" i="2"/>
  <c r="V16" i="2" l="1"/>
  <c r="X13" i="2"/>
  <c r="X9" i="2" l="1"/>
  <c r="G7" i="2"/>
  <c r="X8" i="2"/>
  <c r="X4" i="2"/>
  <c r="V8" i="2"/>
  <c r="W7" i="2"/>
  <c r="X6" i="2"/>
  <c r="W11" i="2"/>
  <c r="V7" i="2"/>
  <c r="V15" i="2"/>
  <c r="W15" i="2"/>
  <c r="G9" i="2"/>
  <c r="V9" i="2"/>
  <c r="G6" i="2"/>
  <c r="U6" i="2"/>
  <c r="T6" i="2"/>
  <c r="W9" i="2"/>
  <c r="V14" i="2"/>
  <c r="W14" i="2"/>
  <c r="U4" i="2"/>
  <c r="T4" i="2"/>
  <c r="T12" i="2"/>
  <c r="U12" i="2"/>
  <c r="V12" i="2"/>
  <c r="V11" i="2"/>
  <c r="G4" i="2"/>
  <c r="T7" i="2"/>
  <c r="U7" i="2"/>
  <c r="W6" i="2"/>
  <c r="V10" i="2"/>
  <c r="W10" i="2"/>
  <c r="X16" i="2"/>
  <c r="G5" i="2"/>
  <c r="V5" i="2"/>
  <c r="W5" i="2"/>
  <c r="T13" i="2"/>
  <c r="U13" i="2"/>
  <c r="G11" i="2"/>
  <c r="T11" i="2"/>
  <c r="U11" i="2"/>
  <c r="G10" i="2"/>
  <c r="U10" i="2"/>
  <c r="T10" i="2"/>
  <c r="V6" i="2"/>
  <c r="X5" i="2"/>
  <c r="T5" i="2"/>
  <c r="U5" i="2"/>
  <c r="G8" i="2"/>
  <c r="W8" i="2"/>
  <c r="V13" i="2"/>
  <c r="W13" i="2"/>
  <c r="V4" i="2"/>
  <c r="X7" i="2"/>
  <c r="W4" i="2"/>
  <c r="T8" i="2"/>
  <c r="U8" i="2"/>
  <c r="W16" i="2"/>
  <c r="X11" i="2"/>
  <c r="G22" i="2" l="1"/>
  <c r="H11" i="2"/>
  <c r="H10" i="2"/>
  <c r="H5" i="2"/>
  <c r="H7" i="2"/>
  <c r="H8" i="2"/>
  <c r="H6" i="2"/>
  <c r="H9" i="2"/>
  <c r="H4" i="2"/>
  <c r="V22" i="2"/>
  <c r="X22" i="2"/>
  <c r="W22" i="2"/>
  <c r="T22" i="2"/>
  <c r="U22" i="2"/>
  <c r="AD4" i="2" l="1"/>
  <c r="AD23" i="2" s="1"/>
  <c r="AC23" i="2"/>
  <c r="H22" i="2"/>
</calcChain>
</file>

<file path=xl/sharedStrings.xml><?xml version="1.0" encoding="utf-8"?>
<sst xmlns="http://schemas.openxmlformats.org/spreadsheetml/2006/main" count="2879" uniqueCount="1264">
  <si>
    <t>Solicitação</t>
  </si>
  <si>
    <t>COMPARAÇÃO</t>
  </si>
  <si>
    <t>SOLICITAÇÕES</t>
  </si>
  <si>
    <t>Meta</t>
  </si>
  <si>
    <t>Administrativo</t>
  </si>
  <si>
    <t>FV - GR</t>
  </si>
  <si>
    <t>Missão Crítica</t>
  </si>
  <si>
    <t>FV (GG, GV, GC, GM)</t>
  </si>
  <si>
    <t>FAROL</t>
  </si>
  <si>
    <t>Público</t>
  </si>
  <si>
    <t>Atingido</t>
  </si>
  <si>
    <t>1° Sem</t>
  </si>
  <si>
    <t>2° Sem</t>
  </si>
  <si>
    <t>3° Sem</t>
  </si>
  <si>
    <t>Tendência</t>
  </si>
  <si>
    <t>Antigo</t>
  </si>
  <si>
    <t>Farol</t>
  </si>
  <si>
    <t>HISTÓRICO ULTIMAS 2 SEMANAS
QTD de Chamados</t>
  </si>
  <si>
    <t>Evolução</t>
  </si>
  <si>
    <t>Tempo medido em dias úteis</t>
  </si>
  <si>
    <t>SLA de Chamados</t>
  </si>
  <si>
    <t>EQUIPE</t>
  </si>
  <si>
    <t>META 90%</t>
  </si>
  <si>
    <t>ATINGIDO</t>
  </si>
  <si>
    <t>Vol. Chamados</t>
  </si>
  <si>
    <t>TENDÊNCIA</t>
  </si>
  <si>
    <t>OBSERVAÇÃO / JUSTIFICATIVA</t>
  </si>
  <si>
    <t>ALEXANDRE SIMÃO ALVES DA SILVA</t>
  </si>
  <si>
    <t>CARLOS HENRIQUE UMETA DE MOURA</t>
  </si>
  <si>
    <t>JAYNE RUGIERI DA SILVA</t>
  </si>
  <si>
    <t>ROBERTO JOSE DIAS MENDES</t>
  </si>
  <si>
    <t>4° Sem</t>
  </si>
  <si>
    <t>.</t>
  </si>
  <si>
    <t>Jan</t>
  </si>
  <si>
    <t>Fev</t>
  </si>
  <si>
    <t>Mar</t>
  </si>
  <si>
    <t>HISTORICO MENSAL</t>
  </si>
  <si>
    <t>OK</t>
  </si>
  <si>
    <t>NOK</t>
  </si>
  <si>
    <t>- Assumiu chamado já estourado e manteve na fila de N2;
- Chamados com a categoria incorreta prejudicaram a identificação da solicitação, causando estouro do SLA;
- Chamados cadastrados com o SLA incorreto, causaram o estouro do SLA antes do previsto</t>
  </si>
  <si>
    <t>Abr</t>
  </si>
  <si>
    <t>Número de chamado</t>
  </si>
  <si>
    <t>Data de Abertura</t>
  </si>
  <si>
    <t>Data de Solução</t>
  </si>
  <si>
    <t>Data de Fechamento</t>
  </si>
  <si>
    <t>Sumario</t>
  </si>
  <si>
    <t>Descrição</t>
  </si>
  <si>
    <t>Categoria do Chamado</t>
  </si>
  <si>
    <t>Usuário final afetado</t>
  </si>
  <si>
    <t>Incidente</t>
  </si>
  <si>
    <t>TELEFONIA.MOVEL.MODEM.SOLICITAR NOVO</t>
  </si>
  <si>
    <t>Fat</t>
  </si>
  <si>
    <t>Contest</t>
  </si>
  <si>
    <t>Orçado</t>
  </si>
  <si>
    <t>Jan Red 27%</t>
  </si>
  <si>
    <t>Fev Red 18%</t>
  </si>
  <si>
    <t>Mar Red 14%</t>
  </si>
  <si>
    <t>Abr Red 16%</t>
  </si>
  <si>
    <t>Mai</t>
  </si>
  <si>
    <t>Número de problema</t>
  </si>
  <si>
    <t>Ticket Externo</t>
  </si>
  <si>
    <t>SLA Violado</t>
  </si>
  <si>
    <t>Prioridade</t>
  </si>
  <si>
    <t>Grupo</t>
  </si>
  <si>
    <t>Responsável</t>
  </si>
  <si>
    <t>Gestor</t>
  </si>
  <si>
    <t>Sub_Gestor</t>
  </si>
  <si>
    <t>Origem</t>
  </si>
  <si>
    <t>Localidade</t>
  </si>
  <si>
    <t>Semana</t>
  </si>
  <si>
    <t>Publico</t>
  </si>
  <si>
    <t>Data congelamento</t>
  </si>
  <si>
    <t>Responsavel</t>
  </si>
  <si>
    <t>Equipe</t>
  </si>
  <si>
    <t>Equipe Tratamento Chamado</t>
  </si>
  <si>
    <t>Classe</t>
  </si>
  <si>
    <t>SLA CA</t>
  </si>
  <si>
    <t>Status atual</t>
  </si>
  <si>
    <t>Dt de corte</t>
  </si>
  <si>
    <t>Dt Atualização</t>
  </si>
  <si>
    <t>Qtde horas desde o congelamento</t>
  </si>
  <si>
    <t>Status na data de corte</t>
  </si>
  <si>
    <t>Qtds horas do chamado</t>
  </si>
  <si>
    <t>tempo em dias</t>
  </si>
  <si>
    <t>Faixa Idade</t>
  </si>
  <si>
    <t>One Page</t>
  </si>
  <si>
    <t>SLA CAD</t>
  </si>
  <si>
    <t>Pub. One Page</t>
  </si>
  <si>
    <t>Nenhuma</t>
  </si>
  <si>
    <t>TD-MOBILIDADE - 2 NIVEL - MOBILE FACILITIES</t>
  </si>
  <si>
    <t>SLA 8 h (10x5) (08:00~18:00) (Mon~Fri)</t>
  </si>
  <si>
    <t>BR-PROMOTORAS</t>
  </si>
  <si>
    <t>2 semana</t>
  </si>
  <si>
    <t>Resolvido</t>
  </si>
  <si>
    <t>TD-MOBILIDADE -  2 NIVEL - SOLICITACOES GERAIS</t>
  </si>
  <si>
    <t>1 a 10</t>
  </si>
  <si>
    <t>3</t>
  </si>
  <si>
    <t>Dúvidas</t>
  </si>
  <si>
    <t>VIP</t>
  </si>
  <si>
    <t>BYNA</t>
  </si>
  <si>
    <t>78534</t>
  </si>
  <si>
    <t>Gostaria de solicitar o pacote de serviços roaming e dados ...</t>
  </si>
  <si>
    <t>Gostaria de solicitar o pacote de serviços roaming e dados internacional, devido a auditoria no México</t>
  </si>
  <si>
    <t>TELEFONIA.MOVEL.LINHA.ROAMING INTERNACIONAL</t>
  </si>
  <si>
    <t>SLA 24 h (10x5) (08:00~18:00) (Mon~Fri)</t>
  </si>
  <si>
    <t>ALEX HIDEKI FUNAYAMA</t>
  </si>
  <si>
    <t>BR-SP-CAJAMAR</t>
  </si>
  <si>
    <t>79499</t>
  </si>
  <si>
    <t>Não recebe ligações</t>
  </si>
  <si>
    <t>GR informa que não recebe ligação operadora CLARO. CNO/CN reclamam sobre este fato que é recorrente.
Cel: 11 9 9369 0631
Senha iCloud: adri1234</t>
  </si>
  <si>
    <t>TELEFONIA.MOVEL.CELULAR.NAO FAZ E-OU NAO RECEBE LIGACOES DE VOZ</t>
  </si>
  <si>
    <t>ADRIANA IZILDIA PIRES MARCOLINO</t>
  </si>
  <si>
    <t>SD - PAMELLA SANTOS SILVA</t>
  </si>
  <si>
    <t>70199</t>
  </si>
  <si>
    <t>5</t>
  </si>
  <si>
    <t>Solicita um modem 4G</t>
  </si>
  <si>
    <t>Solicita um modem 4G 
Informações adicionais:
NOME: Fabio vinicius santos / 63662
MATRICULA: 94164
LOGIN: br94164
EMAIL: fabiossilva@natura.net</t>
  </si>
  <si>
    <t>FABIO VINICIUS SANTOS SILVA</t>
  </si>
  <si>
    <t>SD - MARCOS FELIPE GONÇALVES</t>
  </si>
  <si>
    <t>BR-BA-CD-SIMOES-FILHO</t>
  </si>
  <si>
    <t>Novo Colaborador</t>
  </si>
  <si>
    <t>47470</t>
  </si>
  <si>
    <t>aquisição de telefone Nextel</t>
  </si>
  <si>
    <t>aquisição de 2 telefones Nextel</t>
  </si>
  <si>
    <t>TELEFONIA.MOVEL.RADIO.SOLICITACAO NOVO RADIO</t>
  </si>
  <si>
    <t>SLA 4 HORAS - 9X5 (08h-18h)</t>
  </si>
  <si>
    <t>GEISA MARTINS SOLER</t>
  </si>
  <si>
    <t>SD - Alesson Negreiros - Global</t>
  </si>
  <si>
    <t>Rádio</t>
  </si>
  <si>
    <t>21 a 30</t>
  </si>
  <si>
    <t>143679</t>
  </si>
  <si>
    <t xml:space="preserve">Transferência de linha para nome de ex colaborador </t>
  </si>
  <si>
    <t xml:space="preserve">Douglas Barbosa Souza, ex colaborador da natura, fez o pedido para a transferência da linha  11 9 9499 6650 para o seu nome, enviou todos os documentos necessários, porém a solicitação não foi atendida.
Solicita a transferência, que inclusive teve a rede de dados e SMS bloqueados. </t>
  </si>
  <si>
    <t>TELEFONIA.MOVEL.LINHA.TRANSFERÊNCIA DE TITULARIDADE</t>
  </si>
  <si>
    <t>ACHILES PERES DOMINGOS</t>
  </si>
  <si>
    <t>SD - RAFAEL GENSEN GREGORIN CALDEIRA</t>
  </si>
  <si>
    <t>Telefone</t>
  </si>
  <si>
    <t>59684</t>
  </si>
  <si>
    <t>Solicitação de Aparelhos Nextel - Equipe de Manutenção HUB Itupeva</t>
  </si>
  <si>
    <t>Usuário solicita disponibilização de rádios Nextel para equipe de manutenção do HUB Itupeva para suporte da operação.
Colaborador e matrícula:
Marcelo Galvão Gimenes (82462)
José Eder da Silva Pinto (86330)
Wandilson Cotrim Mendes (92091)
Jeferson Rafael A. Figueiredo (88375)
C/C: 30101288
Daniel Ibiapina Ferreira
Matrícula: 84491.
PCM: - Planejamento de Confiabilidade Logística.
Engenharia de Confiabilidade Logística.
Ramal (CD São Paulo): 11 4571-8202. (HUB Itupeva): 4571-8069.</t>
  </si>
  <si>
    <t>DANIEL IBIAPINA FERREIRA</t>
  </si>
  <si>
    <t>BR-SP-HUB ITUPEVA</t>
  </si>
  <si>
    <t>Solicitações Relatorios/Alt. Cadastro/Multa</t>
  </si>
  <si>
    <t>67932</t>
  </si>
  <si>
    <t>78898</t>
  </si>
  <si>
    <t>82642</t>
  </si>
  <si>
    <t>62023</t>
  </si>
  <si>
    <t>44478</t>
  </si>
  <si>
    <t>44206</t>
  </si>
  <si>
    <t>43693</t>
  </si>
  <si>
    <t>Type Symbol</t>
  </si>
  <si>
    <t>Solicitação de ipad</t>
  </si>
  <si>
    <t xml:space="preserve">Gr entrou em contato informando que roubaram o seu ipad no dia 20/02/2015 por volta das 21:00 hs quando ela retornava para casa da reunião da Natura.
Nome: Gizele Luzia de Lucena 
Matrícula:93587
Mobilidade:4988340137
</t>
  </si>
  <si>
    <t>Troca do Modem</t>
  </si>
  <si>
    <t>GR solicita troca do modem, porque o mesmo esa sem sinal de dados.
Enviar um novo para o endereço da GR,
Rua Jua, 197 Apto 11 CEP&gt;: 04138-080  Cidade SP  SP - Bairro Saude</t>
  </si>
  <si>
    <t>Gr informa que o modem da VIVO,esta com problema,pois fala que o modem ou outro dispositivo esta com problema,ou as configurações estão erradas.</t>
  </si>
  <si>
    <t>GR informa que o modem da VIVO,esta com problema,pois fala que o modem ou outro dispositivo esta com problema,ou as configurações estão erradas.</t>
  </si>
  <si>
    <t xml:space="preserve">GR solicita novo aparelho, visto que o que ela tem caiu e quebrou o dispositivo touch. </t>
  </si>
  <si>
    <t>Colaboradora reporta que seu iPhone 4S parou de funcionar.</t>
  </si>
  <si>
    <t xml:space="preserve">Colaboradora reporta que seu iPhone 4S parou de funcionar. Enquanto era usado checar e-mails, e o celular desligou sozinho. Quando é colocado para recarregar, aparece e some o logo da Apple.
</t>
  </si>
  <si>
    <t>Atual aparelho parou de funcionar</t>
  </si>
  <si>
    <t>GR solicita um novo aparelho, pois o atual ela deixou cair em uma poça d'água e não voltou mais a funcionar.</t>
  </si>
  <si>
    <t>Solicitação de novo aparelho</t>
  </si>
  <si>
    <t>Celular caiu e a tela trincou. Usuário solicita novo aparelho.
Matricula: 93719
Localidade: Nasp
Bloco: MI
Departamento: Transporte
E-mail: adrianofigueiredo@natura.net
Ramal: 1144468027
Tel adicional: 3196744171</t>
  </si>
  <si>
    <t>SLA da Categoria</t>
  </si>
  <si>
    <t>TELEFONIA.MOVEL.IPAD.NOTIFICACAO DE PERDA OU ROUBO DE DISPOSITIVO</t>
  </si>
  <si>
    <t>SLA 24 HORAS - 8x5 (08h-17h)</t>
  </si>
  <si>
    <t>GIZELE LUZIA DE LUCENA</t>
  </si>
  <si>
    <t>TELEFONIA.MOVEL.MODEM.FALHA NO ACESSO A DADOS</t>
  </si>
  <si>
    <t>LILIAN CAVICCHIO</t>
  </si>
  <si>
    <t>LUCIA HELENA RAMOS LONGO</t>
  </si>
  <si>
    <t>TELEFONIA.MOVEL.CELULAR.MANUTENCAO DE DISPOSITIVO</t>
  </si>
  <si>
    <t>SLA 360 horas - 9x5 (08h-18h)</t>
  </si>
  <si>
    <t>MARILAINE MACIEL DA ROSA</t>
  </si>
  <si>
    <t>ANA PAULA GOMES BELLUSCI</t>
  </si>
  <si>
    <t>EDILZA SILVA MATOS SOCORRO</t>
  </si>
  <si>
    <t>ADRIANO DE FIGUEREDO</t>
  </si>
  <si>
    <t>1 semana</t>
  </si>
  <si>
    <t>LILIAN TOURINHO NUNES</t>
  </si>
  <si>
    <t>Relatado Por</t>
  </si>
  <si>
    <t>SD - BRUNA SOUSA - GLOBAL</t>
  </si>
  <si>
    <t>2</t>
  </si>
  <si>
    <t>SD - DANIEL FELICIO UNGARO SANTOS</t>
  </si>
  <si>
    <t>1 Nível</t>
  </si>
  <si>
    <t>1</t>
  </si>
  <si>
    <t>SD - LEONARDO MARTINS MORGADO</t>
  </si>
  <si>
    <t>SD - CARLOS AUGUSTO DE SOUSA PEREIRA</t>
  </si>
  <si>
    <t>ROSIMEIRE CARVALHO MORAES</t>
  </si>
  <si>
    <t>31 a 60</t>
  </si>
  <si>
    <t>68374</t>
  </si>
  <si>
    <t>troca de i phone</t>
  </si>
  <si>
    <t xml:space="preserve">Gr solicita troca de aparelho iphone 4s , informa que o celular esta bloqueado para busca por causa de i clod de ultima Gr que não sabe mais a senha .
22  9 9218 9224 celular 
</t>
  </si>
  <si>
    <t>MARIA ANGELICA GOMES RIBEIRO</t>
  </si>
  <si>
    <t>SD - JORGE HENRIQUE PAIVA SANTOS</t>
  </si>
  <si>
    <t>67892</t>
  </si>
  <si>
    <t xml:space="preserve">Usuária solicita outro aparelho </t>
  </si>
  <si>
    <t>Matrícula/CPF&gt; GR- 83308
Nome&gt; Rita de Cassia Maia
Localidade&gt; BR- promotores 
Departamento&gt;   Br- promotores 
Contato&gt; 99-98135-4866
Ocorrência&gt;Solicita um novo Iphone, pois o atual quebrou e está sem funcionamento;
Endereço para envio:
Rua Urbano Santos 482
Apartamento&gt; 1201
Centro- Imperatriz - Maranhão
 CEP&gt;65900-000</t>
  </si>
  <si>
    <t>RITA DE CASSIA MAIA FACCHINI</t>
  </si>
  <si>
    <t>SD - IVETE CARDOSO ALVES</t>
  </si>
  <si>
    <t>SD - GABRIELA DE JESUS DA SILVA</t>
  </si>
  <si>
    <t>157929</t>
  </si>
  <si>
    <t>Adesão ao plano de mobilidade e posterior solicitação de ...</t>
  </si>
  <si>
    <t>Adesão ao plano de mobilidade e posterior solicitação de aparelho.</t>
  </si>
  <si>
    <t>TELEFONIA.MOVEL.LINHA.SOLICITAÇÃO DE NOVA LINHA</t>
  </si>
  <si>
    <t>FERNANDO JIRUS NHONCANCE</t>
  </si>
  <si>
    <t>BR-SP-LAPA</t>
  </si>
  <si>
    <t/>
  </si>
  <si>
    <t>97477</t>
  </si>
  <si>
    <t>Solicitação do novo modem</t>
  </si>
  <si>
    <t>Conforme o chamado 86114 , necessita de modem 3g novo favor verificar.
Nome :JULIANA TABOSA CAMPOS
matricula : 93972
E-mail julianacampos@natura.nety=</t>
  </si>
  <si>
    <t>JULIANA TABOSA CAMPOS</t>
  </si>
  <si>
    <t>SD - MAYARA ARAUJO - GLOBAL</t>
  </si>
  <si>
    <t>119493</t>
  </si>
  <si>
    <t>Solicitação de novo modem</t>
  </si>
  <si>
    <t xml:space="preserve">GR entrou em contato para informar que seu modem não está funcionando. Segundo Luciana, o modem não está reconhecendo o chip </t>
  </si>
  <si>
    <t>LUCIANA SIQUEIRA PEREGRINO GUEDES</t>
  </si>
  <si>
    <t>SD - DIEGO VERAS AMORIM</t>
  </si>
  <si>
    <t>Solic. Linha/Bloqueio/Conf. de serviços</t>
  </si>
  <si>
    <t>Solic.Reparo/Novos Aparelhos e Transf. Linhas</t>
  </si>
  <si>
    <t>Orçamento</t>
  </si>
  <si>
    <t>Fev 
(Fat - Contest) Red 31%</t>
  </si>
  <si>
    <t>Mar 
(Fat - Contest) Red 12%</t>
  </si>
  <si>
    <t>Abr 
(Fat - Contest) Red 33%</t>
  </si>
  <si>
    <t>Mai 
(Fat - Contest) Red 26%</t>
  </si>
  <si>
    <t>Fat - Contest</t>
  </si>
  <si>
    <t>3304010001</t>
  </si>
  <si>
    <t>Telefonia móvel</t>
  </si>
  <si>
    <t>20001039</t>
  </si>
  <si>
    <t>VP Redes - Cosm</t>
  </si>
  <si>
    <t>TI e Telecom</t>
  </si>
  <si>
    <t>Vice Presidência de Redes</t>
  </si>
  <si>
    <t>VP Redes</t>
  </si>
  <si>
    <t>200010393304010001</t>
  </si>
  <si>
    <t>76330004</t>
  </si>
  <si>
    <t>VP Pessoas e Planej. Estratégico</t>
  </si>
  <si>
    <t>Vice Presidência de Pessoas</t>
  </si>
  <si>
    <t>VP Pessoas</t>
  </si>
  <si>
    <t>763300043304010001</t>
  </si>
  <si>
    <t>76800051</t>
  </si>
  <si>
    <t>Ger. RH Unidades, Novos Neg. e Serv. de</t>
  </si>
  <si>
    <t>RH Negócios</t>
  </si>
  <si>
    <t>768000513304010001</t>
  </si>
  <si>
    <t>76232404</t>
  </si>
  <si>
    <t>Ger. RH Inovação</t>
  </si>
  <si>
    <t>762324043304010001</t>
  </si>
  <si>
    <t>76413005</t>
  </si>
  <si>
    <t>Ger. RH Comercial</t>
  </si>
  <si>
    <t>764130053304010001</t>
  </si>
  <si>
    <t>76232403</t>
  </si>
  <si>
    <t>RH Presidência</t>
  </si>
  <si>
    <t>RH Áreas Corporativas e O&amp;L</t>
  </si>
  <si>
    <t>762324033304010001</t>
  </si>
  <si>
    <t>76800050</t>
  </si>
  <si>
    <t>Ger. RH Disponibilização de Produtos</t>
  </si>
  <si>
    <t>768000503304010001</t>
  </si>
  <si>
    <t>76800053</t>
  </si>
  <si>
    <t>Ger. RH DAC, Marca, Fin. e Jur.</t>
  </si>
  <si>
    <t>768000533304010001</t>
  </si>
  <si>
    <t>76800054</t>
  </si>
  <si>
    <t>Ger. RH Ciclo do Pedido</t>
  </si>
  <si>
    <t>768000543304010001</t>
  </si>
  <si>
    <t>76001011</t>
  </si>
  <si>
    <t>Relações Sindicais - Log</t>
  </si>
  <si>
    <t>Relações Sindicais</t>
  </si>
  <si>
    <t>760010113304010001</t>
  </si>
  <si>
    <t>76000174</t>
  </si>
  <si>
    <t>Planejamento de Gestão de Pessoas</t>
  </si>
  <si>
    <t>Relações e evolução organizacional</t>
  </si>
  <si>
    <t>760001743304010001</t>
  </si>
  <si>
    <t>76001010</t>
  </si>
  <si>
    <t>Projetos, Planejamento e Governança - Log</t>
  </si>
  <si>
    <t>Projetos, Planejamento e Governança</t>
  </si>
  <si>
    <t>760010103304010001</t>
  </si>
  <si>
    <t>76232405</t>
  </si>
  <si>
    <t>Ger. RH Remuneração e Benefícios</t>
  </si>
  <si>
    <t>Gestão Remuneração</t>
  </si>
  <si>
    <t>762324053304010001</t>
  </si>
  <si>
    <t>76411003</t>
  </si>
  <si>
    <t>Serviço Social</t>
  </si>
  <si>
    <t>Gestão de Benefícios</t>
  </si>
  <si>
    <t>764110033304010001</t>
  </si>
  <si>
    <t>76800044</t>
  </si>
  <si>
    <t>Saúde</t>
  </si>
  <si>
    <t>768000443304010001</t>
  </si>
  <si>
    <t>76800046</t>
  </si>
  <si>
    <t>Adm RH e Gestão de Terceiros</t>
  </si>
  <si>
    <t>768000463304010001</t>
  </si>
  <si>
    <t>33010128</t>
  </si>
  <si>
    <t>Diretoria de Parcerias &amp; Alianças</t>
  </si>
  <si>
    <t>Diretoria Parcerias &amp; Alianças</t>
  </si>
  <si>
    <t>VP Parcerias &amp; Alianças</t>
  </si>
  <si>
    <t>330101283304010001</t>
  </si>
  <si>
    <t>23610001</t>
  </si>
  <si>
    <t>Vice Presidência de Oper. e Logística</t>
  </si>
  <si>
    <t>Vice Presidência de O&amp;L</t>
  </si>
  <si>
    <t>VP O&amp;L</t>
  </si>
  <si>
    <t>236100013304010001</t>
  </si>
  <si>
    <t>30101140</t>
  </si>
  <si>
    <t>VP Finanças - Cosm</t>
  </si>
  <si>
    <t>Vice Presidência de Finanças</t>
  </si>
  <si>
    <t>VP Finanças</t>
  </si>
  <si>
    <t>301011403304010001</t>
  </si>
  <si>
    <t>20001240</t>
  </si>
  <si>
    <t>Gerência de RH - SULSUDESTE</t>
  </si>
  <si>
    <t>RH UR SULSUDESTE</t>
  </si>
  <si>
    <t>UR SULSUDESTE</t>
  </si>
  <si>
    <t>200012403304010001</t>
  </si>
  <si>
    <t>20001239</t>
  </si>
  <si>
    <t>Gerência de Pl.Vendas - SULSUDESTE</t>
  </si>
  <si>
    <t>Pl Vendas UR SULSUDESTE</t>
  </si>
  <si>
    <t>200012393304010001</t>
  </si>
  <si>
    <t>39334600</t>
  </si>
  <si>
    <t>Setores - GV Via Láctea</t>
  </si>
  <si>
    <t>GM SUL</t>
  </si>
  <si>
    <t>393346003304010001</t>
  </si>
  <si>
    <t>33935720</t>
  </si>
  <si>
    <t>Setores - GV Terra Mattre</t>
  </si>
  <si>
    <t>339357203304010001</t>
  </si>
  <si>
    <t>33935400</t>
  </si>
  <si>
    <t>Setores - GV Ômega</t>
  </si>
  <si>
    <t>339354003304010001</t>
  </si>
  <si>
    <t>30101262</t>
  </si>
  <si>
    <t>Setores - GV Nova Constelação</t>
  </si>
  <si>
    <t>301012623304010001</t>
  </si>
  <si>
    <t>33935300</t>
  </si>
  <si>
    <t>Setores - GV Madre Pérola</t>
  </si>
  <si>
    <t>339353003304010001</t>
  </si>
  <si>
    <t>33937400</t>
  </si>
  <si>
    <t>Setores - GV Estrelas</t>
  </si>
  <si>
    <t>339374003304010001</t>
  </si>
  <si>
    <t>33935200</t>
  </si>
  <si>
    <t>Setores - GV Átria</t>
  </si>
  <si>
    <t>339352003304010001</t>
  </si>
  <si>
    <t>30101205</t>
  </si>
  <si>
    <t>Setores - GV Alto Rio Grande</t>
  </si>
  <si>
    <t>301012053304010001</t>
  </si>
  <si>
    <t>39334601</t>
  </si>
  <si>
    <t>Gerência de Vendas - Via Láctea</t>
  </si>
  <si>
    <t>393346013304010001</t>
  </si>
  <si>
    <t>33935719</t>
  </si>
  <si>
    <t>Gerência de Vendas - Terra Mattre</t>
  </si>
  <si>
    <t>339357193304010001</t>
  </si>
  <si>
    <t>33935401</t>
  </si>
  <si>
    <t>Gerência de Vendas - Ômega</t>
  </si>
  <si>
    <t>339354013304010001</t>
  </si>
  <si>
    <t>30101261</t>
  </si>
  <si>
    <t>Gerência de Vendas - Nova Constelação</t>
  </si>
  <si>
    <t>301012613304010001</t>
  </si>
  <si>
    <t>33935301</t>
  </si>
  <si>
    <t>Gerência de Vendas - Madre Pérola</t>
  </si>
  <si>
    <t>339353013304010001</t>
  </si>
  <si>
    <t>33937401</t>
  </si>
  <si>
    <t>Gerência de Vendas - Estrelas</t>
  </si>
  <si>
    <t>339374013304010001</t>
  </si>
  <si>
    <t>33935201</t>
  </si>
  <si>
    <t>Gerência de Vendas - Átria</t>
  </si>
  <si>
    <t>339352013304010001</t>
  </si>
  <si>
    <t>30101204</t>
  </si>
  <si>
    <t>Gerência de Vendas - Alto Rio Grande</t>
  </si>
  <si>
    <t>301012043304010001</t>
  </si>
  <si>
    <t>20001201</t>
  </si>
  <si>
    <t>Gerência de Mercado SUL</t>
  </si>
  <si>
    <t>200012013304010001</t>
  </si>
  <si>
    <t>33931700</t>
  </si>
  <si>
    <t>Setores - GV Rubi</t>
  </si>
  <si>
    <t>GM SPIL MG</t>
  </si>
  <si>
    <t>339317003304010001</t>
  </si>
  <si>
    <t>39334100</t>
  </si>
  <si>
    <t>Setores - GV Ouro de Minas</t>
  </si>
  <si>
    <t>393341003304010001</t>
  </si>
  <si>
    <t>33931300</t>
  </si>
  <si>
    <t>Setores - GV olimpo</t>
  </si>
  <si>
    <t>339313003304010001</t>
  </si>
  <si>
    <t>39334300</t>
  </si>
  <si>
    <t>Setores - GV Oceano</t>
  </si>
  <si>
    <t>393343003304010001</t>
  </si>
  <si>
    <t>33931500</t>
  </si>
  <si>
    <t>Setores - GV Galáxia</t>
  </si>
  <si>
    <t>339315003304010001</t>
  </si>
  <si>
    <t>33933500</t>
  </si>
  <si>
    <t>Setores - GV Estrelas de Minas</t>
  </si>
  <si>
    <t>339335003304010001</t>
  </si>
  <si>
    <t>33938600</t>
  </si>
  <si>
    <t>Setores - GV Diamantes</t>
  </si>
  <si>
    <t>339386003304010001</t>
  </si>
  <si>
    <t>30101209</t>
  </si>
  <si>
    <t>Setores - GV Atlas</t>
  </si>
  <si>
    <t>301012093304010001</t>
  </si>
  <si>
    <t>33938500</t>
  </si>
  <si>
    <t>Setores - GV Aliança</t>
  </si>
  <si>
    <t>339385003304010001</t>
  </si>
  <si>
    <t>33949007</t>
  </si>
  <si>
    <t>Setores - GV Águia</t>
  </si>
  <si>
    <t>339490073304010001</t>
  </si>
  <si>
    <t>33931701</t>
  </si>
  <si>
    <t>Gerência de Vendas - Rubi</t>
  </si>
  <si>
    <t>339317013304010001</t>
  </si>
  <si>
    <t>39334101</t>
  </si>
  <si>
    <t>Gerência de Vendas - Ouro de Minas</t>
  </si>
  <si>
    <t>393341013304010001</t>
  </si>
  <si>
    <t>33931301</t>
  </si>
  <si>
    <t>Gerência de Vendas - Olimpo</t>
  </si>
  <si>
    <t>339313013304010001</t>
  </si>
  <si>
    <t>39334301</t>
  </si>
  <si>
    <t>Gerência de Vendas - Oceano</t>
  </si>
  <si>
    <t>393343013304010001</t>
  </si>
  <si>
    <t>33931501</t>
  </si>
  <si>
    <t>Gerência de Vendas - Galáxia</t>
  </si>
  <si>
    <t>339315013304010001</t>
  </si>
  <si>
    <t>33933501</t>
  </si>
  <si>
    <t>Gerência de Vendas - Estrelas de Minas</t>
  </si>
  <si>
    <t>339335013304010001</t>
  </si>
  <si>
    <t>33938601</t>
  </si>
  <si>
    <t>Gerência de Vendas - Diamantes</t>
  </si>
  <si>
    <t>339386013304010001</t>
  </si>
  <si>
    <t>30101208</t>
  </si>
  <si>
    <t>Gerência de Vendas - Atlas</t>
  </si>
  <si>
    <t>301012083304010001</t>
  </si>
  <si>
    <t>33938501</t>
  </si>
  <si>
    <t>Gerência de Vendas - Aliança</t>
  </si>
  <si>
    <t>339385013304010001</t>
  </si>
  <si>
    <t>33949002</t>
  </si>
  <si>
    <t>Gerência de Vendas - Águia</t>
  </si>
  <si>
    <t>339490023304010001</t>
  </si>
  <si>
    <t>33933400</t>
  </si>
  <si>
    <t>Setores - GV Vitória</t>
  </si>
  <si>
    <t>GM SPC RJ-ES</t>
  </si>
  <si>
    <t>339334003304010001</t>
  </si>
  <si>
    <t>33938300</t>
  </si>
  <si>
    <t>Setores - GV Solares</t>
  </si>
  <si>
    <t>339383003304010001</t>
  </si>
  <si>
    <t>33932500</t>
  </si>
  <si>
    <t>Setores - GV Sol Nascente</t>
  </si>
  <si>
    <t>339325003304010001</t>
  </si>
  <si>
    <t>33938400</t>
  </si>
  <si>
    <t>Setores - GV Prosperidade</t>
  </si>
  <si>
    <t>339384003304010001</t>
  </si>
  <si>
    <t>33934133</t>
  </si>
  <si>
    <t>Setores - GV Premium</t>
  </si>
  <si>
    <t>339341333304010001</t>
  </si>
  <si>
    <t>33934127</t>
  </si>
  <si>
    <t>Setores - GV Infinitto</t>
  </si>
  <si>
    <t>339341273304010001</t>
  </si>
  <si>
    <t>33933200</t>
  </si>
  <si>
    <t>Setores - GV Guanabara</t>
  </si>
  <si>
    <t>339332003304010001</t>
  </si>
  <si>
    <t>33932400</t>
  </si>
  <si>
    <t>Setores - GV Cristal</t>
  </si>
  <si>
    <t>339324003304010001</t>
  </si>
  <si>
    <t>33933700</t>
  </si>
  <si>
    <t>Setores - GV Crescente</t>
  </si>
  <si>
    <t>339337003304010001</t>
  </si>
  <si>
    <t>33933300</t>
  </si>
  <si>
    <t>Setores - GV Bossa Nova</t>
  </si>
  <si>
    <t>339333003304010001</t>
  </si>
  <si>
    <t>33933401</t>
  </si>
  <si>
    <t>Gerência de Vendas - Vitória</t>
  </si>
  <si>
    <t>339334013304010001</t>
  </si>
  <si>
    <t>33938301</t>
  </si>
  <si>
    <t>Gerência de Vendas - Solares</t>
  </si>
  <si>
    <t>339383013304010001</t>
  </si>
  <si>
    <t>33932501</t>
  </si>
  <si>
    <t>Gerência de Vendas - Sol Nascente</t>
  </si>
  <si>
    <t>339325013304010001</t>
  </si>
  <si>
    <t>33938401</t>
  </si>
  <si>
    <t>Gerência de Vendas - Prosperidade</t>
  </si>
  <si>
    <t>339384013304010001</t>
  </si>
  <si>
    <t>33934128</t>
  </si>
  <si>
    <t>Gerência de Vendas - Premium</t>
  </si>
  <si>
    <t>339341283304010001</t>
  </si>
  <si>
    <t>33934122</t>
  </si>
  <si>
    <t>Gerência de Vendas - Infinitto</t>
  </si>
  <si>
    <t>339341223304010001</t>
  </si>
  <si>
    <t>33933201</t>
  </si>
  <si>
    <t>Gerência de Vendas - Guanabara</t>
  </si>
  <si>
    <t>339332013304010001</t>
  </si>
  <si>
    <t>33932401</t>
  </si>
  <si>
    <t>Gerência de Vendas - Cristal</t>
  </si>
  <si>
    <t>339324013304010001</t>
  </si>
  <si>
    <t>33933701</t>
  </si>
  <si>
    <t>Gerência de Vendas - Crescente</t>
  </si>
  <si>
    <t>339337013304010001</t>
  </si>
  <si>
    <t>33933301</t>
  </si>
  <si>
    <t>Gerência de Vendas - Bossa Nova</t>
  </si>
  <si>
    <t>339333013304010001</t>
  </si>
  <si>
    <t>20001200</t>
  </si>
  <si>
    <t>Gerência de Mercado SPC RJ/ES</t>
  </si>
  <si>
    <t>200012003304010001</t>
  </si>
  <si>
    <t>20001237</t>
  </si>
  <si>
    <t>Gerência Geral - SULSUDESTE</t>
  </si>
  <si>
    <t>Diretoria UR SULSUDESTE</t>
  </si>
  <si>
    <t>200012373304010001</t>
  </si>
  <si>
    <t>20001251</t>
  </si>
  <si>
    <t>Gerência de Segmentação</t>
  </si>
  <si>
    <t>200012513304010001</t>
  </si>
  <si>
    <t>20001224</t>
  </si>
  <si>
    <t>Gerência de RH - CONENO</t>
  </si>
  <si>
    <t>RH UR CONENO</t>
  </si>
  <si>
    <t>UR CONENO</t>
  </si>
  <si>
    <t>200012243304010001</t>
  </si>
  <si>
    <t>20001223</t>
  </si>
  <si>
    <t>Gerência de Pl.Vendas - CONENO</t>
  </si>
  <si>
    <t>Pl Vendas UR CONENO</t>
  </si>
  <si>
    <t>200012233304010001</t>
  </si>
  <si>
    <t>20001225</t>
  </si>
  <si>
    <t>Gerência de MKT - CONENO</t>
  </si>
  <si>
    <t>MKT UR CONENO</t>
  </si>
  <si>
    <t>200012253304010001</t>
  </si>
  <si>
    <t>20001228</t>
  </si>
  <si>
    <t>Envio de SMS - CONENO</t>
  </si>
  <si>
    <t>200012283304010001</t>
  </si>
  <si>
    <t>39334400</t>
  </si>
  <si>
    <t>Setores - GV Terra do Sol</t>
  </si>
  <si>
    <t>GM NE</t>
  </si>
  <si>
    <t>393344003304010001</t>
  </si>
  <si>
    <t>33934900</t>
  </si>
  <si>
    <t>Setores - GV Terra</t>
  </si>
  <si>
    <t>339349003304010001</t>
  </si>
  <si>
    <t>33934300</t>
  </si>
  <si>
    <t>Setores - GV Sol do Nordeste</t>
  </si>
  <si>
    <t>339343003304010001</t>
  </si>
  <si>
    <t>33935727</t>
  </si>
  <si>
    <t>Setores - GV Quarenta Graus</t>
  </si>
  <si>
    <t>339357273304010001</t>
  </si>
  <si>
    <t>33934200</t>
  </si>
  <si>
    <t>Setores - GV Prata</t>
  </si>
  <si>
    <t>339342003304010001</t>
  </si>
  <si>
    <t>20001211</t>
  </si>
  <si>
    <t>SETORES - GV NOVA CE</t>
  </si>
  <si>
    <t>200012113304010001</t>
  </si>
  <si>
    <t>33934400</t>
  </si>
  <si>
    <t>Setores - GV Mercurio</t>
  </si>
  <si>
    <t>339344003304010001</t>
  </si>
  <si>
    <t>39335000</t>
  </si>
  <si>
    <t>Setores - GV Delta</t>
  </si>
  <si>
    <t>393350003304010001</t>
  </si>
  <si>
    <t>33938200</t>
  </si>
  <si>
    <t>Setores - GV Aquarella</t>
  </si>
  <si>
    <t>339382003304010001</t>
  </si>
  <si>
    <t>30101259</t>
  </si>
  <si>
    <t>Setores - Festa do Interior</t>
  </si>
  <si>
    <t>301012593304010001</t>
  </si>
  <si>
    <t>39334401</t>
  </si>
  <si>
    <t>Gerencia de Vendas - Terra do Sol</t>
  </si>
  <si>
    <t>393344013304010001</t>
  </si>
  <si>
    <t>33934901</t>
  </si>
  <si>
    <t>Gerencia de Vendas - Terra</t>
  </si>
  <si>
    <t>339349013304010001</t>
  </si>
  <si>
    <t>33934301</t>
  </si>
  <si>
    <t>Gerencia de Vendas - Sol do Nordeste</t>
  </si>
  <si>
    <t>339343013304010001</t>
  </si>
  <si>
    <t>33935726</t>
  </si>
  <si>
    <t>Gerencia de Vendas - Quarenta Graus</t>
  </si>
  <si>
    <t>339357263304010001</t>
  </si>
  <si>
    <t>33934201</t>
  </si>
  <si>
    <t>Gerencia de Vendas - Prata</t>
  </si>
  <si>
    <t>339342013304010001</t>
  </si>
  <si>
    <t>33934401</t>
  </si>
  <si>
    <t>Gerência de Vendas - Mercúrio</t>
  </si>
  <si>
    <t>339344013304010001</t>
  </si>
  <si>
    <t>20001198</t>
  </si>
  <si>
    <t>Gerencia de Vendas - GV Nova Ceará</t>
  </si>
  <si>
    <t>200011983304010001</t>
  </si>
  <si>
    <t>30101258</t>
  </si>
  <si>
    <t xml:space="preserve">Gerência de Vendas - Festa do Interior </t>
  </si>
  <si>
    <t>301012583304010001</t>
  </si>
  <si>
    <t>39335001</t>
  </si>
  <si>
    <t>Gerencia de Vendas - Delta</t>
  </si>
  <si>
    <t>393350013304010001</t>
  </si>
  <si>
    <t>33938201</t>
  </si>
  <si>
    <t>Gerencia de Vendas - Aquarella</t>
  </si>
  <si>
    <t>339382013304010001</t>
  </si>
  <si>
    <t>20001203</t>
  </si>
  <si>
    <t>Gerência de Mercado NE</t>
  </si>
  <si>
    <t>200012033304010001</t>
  </si>
  <si>
    <t>33935718</t>
  </si>
  <si>
    <t>Setores - GV Pimenta</t>
  </si>
  <si>
    <t>GM CONO</t>
  </si>
  <si>
    <t>339357183304010001</t>
  </si>
  <si>
    <t>33936100</t>
  </si>
  <si>
    <t>Setores - GV Pantaneira</t>
  </si>
  <si>
    <t>339361003304010001</t>
  </si>
  <si>
    <t>33936200</t>
  </si>
  <si>
    <t>Setores - GV Muiraquita</t>
  </si>
  <si>
    <t>339362003304010001</t>
  </si>
  <si>
    <t>39334700</t>
  </si>
  <si>
    <t>Setores - GV Estrelas da Amazônia</t>
  </si>
  <si>
    <t>393347003304010001</t>
  </si>
  <si>
    <t>33934700</t>
  </si>
  <si>
    <t>Setores - GV Alvorada</t>
  </si>
  <si>
    <t>339347003304010001</t>
  </si>
  <si>
    <t>33935723</t>
  </si>
  <si>
    <t>Gerencia de Vendas - Pimenta</t>
  </si>
  <si>
    <t>339357233304010001</t>
  </si>
  <si>
    <t>33936102</t>
  </si>
  <si>
    <t>Gerência de Vendas - Pantaneira</t>
  </si>
  <si>
    <t>339361023304010001</t>
  </si>
  <si>
    <t>33936201</t>
  </si>
  <si>
    <t>Gerência de Vendas - Muiraquitã</t>
  </si>
  <si>
    <t>339362013304010001</t>
  </si>
  <si>
    <t>39334701</t>
  </si>
  <si>
    <t>Gerencia de Vendas - Estrelas da Amazonia</t>
  </si>
  <si>
    <t>393347013304010001</t>
  </si>
  <si>
    <t>33934701</t>
  </si>
  <si>
    <t>Gerência de Vendas - Alvorada</t>
  </si>
  <si>
    <t>339347013304010001</t>
  </si>
  <si>
    <t>20001202</t>
  </si>
  <si>
    <t>Gerência de Mercado CONO</t>
  </si>
  <si>
    <t>200012023304010001</t>
  </si>
  <si>
    <t>33010123</t>
  </si>
  <si>
    <t>Setores - GV Goiás</t>
  </si>
  <si>
    <t>Diretoria UR CONENO</t>
  </si>
  <si>
    <t>330101233304010001</t>
  </si>
  <si>
    <t>20001222</t>
  </si>
  <si>
    <t>Gerência Geral - CONENO</t>
  </si>
  <si>
    <t>200012223304010001</t>
  </si>
  <si>
    <t>33010124</t>
  </si>
  <si>
    <t>Gerência de Vendas - Goiás</t>
  </si>
  <si>
    <t>330101243304010001</t>
  </si>
  <si>
    <t>76600000</t>
  </si>
  <si>
    <t>Diretoria de Sustentabilidade - Log</t>
  </si>
  <si>
    <t>Diretoria Sustentabilidade</t>
  </si>
  <si>
    <t>Sustentabilidade</t>
  </si>
  <si>
    <t>766000003304010001</t>
  </si>
  <si>
    <t>28000146</t>
  </si>
  <si>
    <t>Ger. Desenvol. Relac. com Fornecedores</t>
  </si>
  <si>
    <t>Qualidade e Relacionamento Fornecedores</t>
  </si>
  <si>
    <t>Suprimentos</t>
  </si>
  <si>
    <t>280001463304010001</t>
  </si>
  <si>
    <t>21000014</t>
  </si>
  <si>
    <t>Sustentabilidade Óleos</t>
  </si>
  <si>
    <t>Núcleo da Biodiversidade</t>
  </si>
  <si>
    <t>210000143304010001</t>
  </si>
  <si>
    <t>28000142</t>
  </si>
  <si>
    <t>Gerência de Suprimentos Produto Acabado</t>
  </si>
  <si>
    <t>GSPA</t>
  </si>
  <si>
    <t>280001423304010001</t>
  </si>
  <si>
    <t>28000141</t>
  </si>
  <si>
    <t>Gerência de Supirmentos de Insumos</t>
  </si>
  <si>
    <t>GSI</t>
  </si>
  <si>
    <t>280001413304010001</t>
  </si>
  <si>
    <t>75800033</t>
  </si>
  <si>
    <t>GRC - Departamental</t>
  </si>
  <si>
    <t>GRC</t>
  </si>
  <si>
    <t>758000333304010001</t>
  </si>
  <si>
    <t>21000042</t>
  </si>
  <si>
    <t>Disponibilizaçã Lançtos de Suprimentos</t>
  </si>
  <si>
    <t>DLS</t>
  </si>
  <si>
    <t>210000423304010001</t>
  </si>
  <si>
    <t>23651002</t>
  </si>
  <si>
    <t>Gerência Geral de Suprimentos</t>
  </si>
  <si>
    <t>Diretoria Suprimentos</t>
  </si>
  <si>
    <t>236510023304010001</t>
  </si>
  <si>
    <t>30101278</t>
  </si>
  <si>
    <t>Ger.de Projetos DSC</t>
  </si>
  <si>
    <t>Overhead Projetos DSC</t>
  </si>
  <si>
    <t>Serviços aos Clientes</t>
  </si>
  <si>
    <t>301012783304010001</t>
  </si>
  <si>
    <t>33010126</t>
  </si>
  <si>
    <t>Qualidade Ciclo do Pedido</t>
  </si>
  <si>
    <t>Overhead Planejamento e Qualidade</t>
  </si>
  <si>
    <t>330101263304010001</t>
  </si>
  <si>
    <t>30101280</t>
  </si>
  <si>
    <t>Planejamento DSC - Cosm</t>
  </si>
  <si>
    <t>301012803304010001</t>
  </si>
  <si>
    <t>30101286</t>
  </si>
  <si>
    <t>Gcia Planejamento - Cosm</t>
  </si>
  <si>
    <t>301012863304010001</t>
  </si>
  <si>
    <t>30101212</t>
  </si>
  <si>
    <t>Transportes - Cosm</t>
  </si>
  <si>
    <t>Overhead Distribuição</t>
  </si>
  <si>
    <t>301012123304010001</t>
  </si>
  <si>
    <t>30101284</t>
  </si>
  <si>
    <t>Transportes</t>
  </si>
  <si>
    <t>301012843304010001</t>
  </si>
  <si>
    <t>30101279</t>
  </si>
  <si>
    <t>Gerencia Separação - Cosm</t>
  </si>
  <si>
    <t>301012793304010001</t>
  </si>
  <si>
    <t>38000086</t>
  </si>
  <si>
    <t>Ger. Logísitca de Ciclos não CN e Revist</t>
  </si>
  <si>
    <t>380000863304010001</t>
  </si>
  <si>
    <t>30101275</t>
  </si>
  <si>
    <t>Gcia DSC - UR Sul - Cosm</t>
  </si>
  <si>
    <t>301012753304010001</t>
  </si>
  <si>
    <t>30101287</t>
  </si>
  <si>
    <t>Gcia DSC - UR NENO - Cosm</t>
  </si>
  <si>
    <t>301012873304010001</t>
  </si>
  <si>
    <t>30101277</t>
  </si>
  <si>
    <t>Gcia DSC - UR Central - Cosm</t>
  </si>
  <si>
    <t>301012773304010001</t>
  </si>
  <si>
    <t>30101285</t>
  </si>
  <si>
    <t>Dir. Serviços Client - Cosm</t>
  </si>
  <si>
    <t>Overhead Ciclo do Pedido</t>
  </si>
  <si>
    <t>301012853304010001</t>
  </si>
  <si>
    <t>20001212</t>
  </si>
  <si>
    <t>Gerencia de Atendimento Operações</t>
  </si>
  <si>
    <t>Overhead Atendimento</t>
  </si>
  <si>
    <t>200012123304010001</t>
  </si>
  <si>
    <t>30101112</t>
  </si>
  <si>
    <t>CD Uberlândia - Cosm</t>
  </si>
  <si>
    <t>CD Uberlândia</t>
  </si>
  <si>
    <t>301011123304010001</t>
  </si>
  <si>
    <t>30101281</t>
  </si>
  <si>
    <t>Gerência de Picking CD SP</t>
  </si>
  <si>
    <t>CD SP</t>
  </si>
  <si>
    <t>301012813304010001</t>
  </si>
  <si>
    <t>30101288</t>
  </si>
  <si>
    <t>EngInfra -Conf Logística - CD São Paulo - Cosm</t>
  </si>
  <si>
    <t>301012883304010001</t>
  </si>
  <si>
    <t>38000039</t>
  </si>
  <si>
    <t>CD Rio Grande do Sul - Cosm</t>
  </si>
  <si>
    <t>CD Rio Grande do Sul</t>
  </si>
  <si>
    <t>380000393304010001</t>
  </si>
  <si>
    <t>36000004</t>
  </si>
  <si>
    <t>CD Pernambuco - Cosm</t>
  </si>
  <si>
    <t>CD Pernambuco</t>
  </si>
  <si>
    <t>360000043304010001</t>
  </si>
  <si>
    <t>36000005</t>
  </si>
  <si>
    <t>CD Minas Gerais - Cosm</t>
  </si>
  <si>
    <t>CD Minas Gerais</t>
  </si>
  <si>
    <t>360000053304010001</t>
  </si>
  <si>
    <t>33010115</t>
  </si>
  <si>
    <t>CD Curitiba - Cosm</t>
  </si>
  <si>
    <t>CD Curitiba</t>
  </si>
  <si>
    <t>330101153304010001</t>
  </si>
  <si>
    <t>30101113</t>
  </si>
  <si>
    <t>CD Belém - Cosm</t>
  </si>
  <si>
    <t>CD Belém</t>
  </si>
  <si>
    <t>301011133304010001</t>
  </si>
  <si>
    <t>36000006</t>
  </si>
  <si>
    <t>CD Bahia - Cosm</t>
  </si>
  <si>
    <t>CD Bahia</t>
  </si>
  <si>
    <t>360000063304010001</t>
  </si>
  <si>
    <t>21000026</t>
  </si>
  <si>
    <t>Hub Armazenagem e Frete Transferência</t>
  </si>
  <si>
    <t>Armazenagem</t>
  </si>
  <si>
    <t>210000263304010001</t>
  </si>
  <si>
    <t>33921202</t>
  </si>
  <si>
    <t>Gerência de Treinamento Canal</t>
  </si>
  <si>
    <t>Trein. Com. &amp; Rituais</t>
  </si>
  <si>
    <t>Relacionamento</t>
  </si>
  <si>
    <t>339212023304010001</t>
  </si>
  <si>
    <t>33921103</t>
  </si>
  <si>
    <t>Gerência Movimento Natura</t>
  </si>
  <si>
    <t>Movimento Natura</t>
  </si>
  <si>
    <t>339211033304010001</t>
  </si>
  <si>
    <t>20001087</t>
  </si>
  <si>
    <t>Planejamento e Gestão</t>
  </si>
  <si>
    <t>Ger. Planejamento e gestão</t>
  </si>
  <si>
    <t>200010873304010001</t>
  </si>
  <si>
    <t>33970008</t>
  </si>
  <si>
    <t>Gerência de Eventos</t>
  </si>
  <si>
    <t>Eventos</t>
  </si>
  <si>
    <t>339700083304010001</t>
  </si>
  <si>
    <t>30101252</t>
  </si>
  <si>
    <t>Diretoria de Relacionamento</t>
  </si>
  <si>
    <t>Diretoria Relacionamento</t>
  </si>
  <si>
    <t>301012523304010001</t>
  </si>
  <si>
    <t>20001086</t>
  </si>
  <si>
    <t>Campanhas e premiações</t>
  </si>
  <si>
    <t>Campanha</t>
  </si>
  <si>
    <t>200010863304010001</t>
  </si>
  <si>
    <t>33040003</t>
  </si>
  <si>
    <t>Gerência de Relação com Investidores</t>
  </si>
  <si>
    <t>Relação com Investidores-N2</t>
  </si>
  <si>
    <t>Relação com Investidores</t>
  </si>
  <si>
    <t>330400033304010001</t>
  </si>
  <si>
    <t>76232300</t>
  </si>
  <si>
    <t>Ouvidoria Interna</t>
  </si>
  <si>
    <t>Qualidade das Relações-N2</t>
  </si>
  <si>
    <t>Qualidade das Relações</t>
  </si>
  <si>
    <t>762323003304010001</t>
  </si>
  <si>
    <t>33010010</t>
  </si>
  <si>
    <t>Presidência Operacional II - COSM</t>
  </si>
  <si>
    <t>Presidência-N2</t>
  </si>
  <si>
    <t>Presidência-N1</t>
  </si>
  <si>
    <t>330100103304010001</t>
  </si>
  <si>
    <t>76232200</t>
  </si>
  <si>
    <t>Sistema de Gestão da Qualidade</t>
  </si>
  <si>
    <t>Sistemas de Gestão</t>
  </si>
  <si>
    <t>Plan. Estretégico e SG</t>
  </si>
  <si>
    <t>762322003304010001</t>
  </si>
  <si>
    <t>82500084</t>
  </si>
  <si>
    <t>Pesquisas Planejamento Demanda</t>
  </si>
  <si>
    <t>Planejamento de Demanda</t>
  </si>
  <si>
    <t>Operação Comercial</t>
  </si>
  <si>
    <t>825000843304010001</t>
  </si>
  <si>
    <t>38000090</t>
  </si>
  <si>
    <t>Gerência de Planejamento de Demanda</t>
  </si>
  <si>
    <t>380000903304010001</t>
  </si>
  <si>
    <t>33950002</t>
  </si>
  <si>
    <t>Planejamento de Vendas</t>
  </si>
  <si>
    <t>Planej. Vendas</t>
  </si>
  <si>
    <t>339500023304010001</t>
  </si>
  <si>
    <t>33946001</t>
  </si>
  <si>
    <t>Gerência de Planejamento Mercadológico</t>
  </si>
  <si>
    <t>Planej. Mercadológico</t>
  </si>
  <si>
    <t>339460013304010001</t>
  </si>
  <si>
    <t>30101203</t>
  </si>
  <si>
    <t>Gerência Núcleo de Inteligência Comercia</t>
  </si>
  <si>
    <t>Inteligência Comercial</t>
  </si>
  <si>
    <t>301012033304010001</t>
  </si>
  <si>
    <t>33921105</t>
  </si>
  <si>
    <t>Dir. Gestão Comercial</t>
  </si>
  <si>
    <t>Diretoria Operação Comercial</t>
  </si>
  <si>
    <t>339211053304010001</t>
  </si>
  <si>
    <t>20001023</t>
  </si>
  <si>
    <t>Gcia Vendas B2B - Cosm</t>
  </si>
  <si>
    <t>Vendas B2B</t>
  </si>
  <si>
    <t>Novos Negócios-N1</t>
  </si>
  <si>
    <t>200010233304010001</t>
  </si>
  <si>
    <t>39337735</t>
  </si>
  <si>
    <t>Dir Negócios Brasil</t>
  </si>
  <si>
    <t>Diretoria Negócios Brasil</t>
  </si>
  <si>
    <t>Negócios Brasil-N1</t>
  </si>
  <si>
    <t>393377353304010001</t>
  </si>
  <si>
    <t>20001249</t>
  </si>
  <si>
    <t>Trade Marketing - Cosm.</t>
  </si>
  <si>
    <t>Diretoria Ativação</t>
  </si>
  <si>
    <t>Marketing Ativação</t>
  </si>
  <si>
    <t>200012493304010001</t>
  </si>
  <si>
    <t>20001106</t>
  </si>
  <si>
    <t>Groupers - UN A</t>
  </si>
  <si>
    <t>200011063304010001</t>
  </si>
  <si>
    <t>20001191</t>
  </si>
  <si>
    <t>Grouper - UN C</t>
  </si>
  <si>
    <t>200011913304010001</t>
  </si>
  <si>
    <t>20001190</t>
  </si>
  <si>
    <t>Grouper - UN B</t>
  </si>
  <si>
    <t>200011903304010001</t>
  </si>
  <si>
    <t>20001192</t>
  </si>
  <si>
    <t>Grouper - Presentes</t>
  </si>
  <si>
    <t>200011923304010001</t>
  </si>
  <si>
    <t>20001040</t>
  </si>
  <si>
    <t>Diretoria de MKT Ativação</t>
  </si>
  <si>
    <t>200010403304010001</t>
  </si>
  <si>
    <t>20001252</t>
  </si>
  <si>
    <t>Propaganda - Departamental</t>
  </si>
  <si>
    <t>Comunicação</t>
  </si>
  <si>
    <t>200012523304010001</t>
  </si>
  <si>
    <t>20001193</t>
  </si>
  <si>
    <t>Marketing Digitais</t>
  </si>
  <si>
    <t>200011933304010001</t>
  </si>
  <si>
    <t>33947007</t>
  </si>
  <si>
    <t>Gerência Comunicação Brasil</t>
  </si>
  <si>
    <t>339470073304010001</t>
  </si>
  <si>
    <t>33020030</t>
  </si>
  <si>
    <t>Ger Propag Brasil</t>
  </si>
  <si>
    <t>330200303304010001</t>
  </si>
  <si>
    <t>75800040</t>
  </si>
  <si>
    <t>Gcia CIB - Inov</t>
  </si>
  <si>
    <t>Inteligência Competitiva</t>
  </si>
  <si>
    <t>Marca e Consumidor</t>
  </si>
  <si>
    <t>758000403304010001</t>
  </si>
  <si>
    <t>20001119</t>
  </si>
  <si>
    <t>Apoios e Patrocínios Departamental</t>
  </si>
  <si>
    <t>Apoio e Patrocinio - Depart</t>
  </si>
  <si>
    <t>200011193304010001</t>
  </si>
  <si>
    <t>33010028</t>
  </si>
  <si>
    <t>Societário Brasil - Cosm</t>
  </si>
  <si>
    <t>Societária Brasil/Latam</t>
  </si>
  <si>
    <t>Jurídico</t>
  </si>
  <si>
    <t>330100283304010001</t>
  </si>
  <si>
    <t>33110003</t>
  </si>
  <si>
    <t>Jurídico para Sustentabilidade - Cosm</t>
  </si>
  <si>
    <t>Jurídico para Sustentabilidade</t>
  </si>
  <si>
    <t>331100033304010001</t>
  </si>
  <si>
    <t>38000015</t>
  </si>
  <si>
    <t>Consultivo Comercial</t>
  </si>
  <si>
    <t>Jurídico de Canais de Venda</t>
  </si>
  <si>
    <t>380000153304010001</t>
  </si>
  <si>
    <t>38000016</t>
  </si>
  <si>
    <t>Contencioso cível - Cosm</t>
  </si>
  <si>
    <t>Jur Brasil - Contencioso Volume</t>
  </si>
  <si>
    <t>380000163304010001</t>
  </si>
  <si>
    <t>33110001</t>
  </si>
  <si>
    <t>Diretoria Jurídica - Cosméticos</t>
  </si>
  <si>
    <t>Diretoria Jurídica</t>
  </si>
  <si>
    <t>331100013304010001</t>
  </si>
  <si>
    <t>20001244</t>
  </si>
  <si>
    <t>Gerência de Direito Público</t>
  </si>
  <si>
    <t>Direito Público</t>
  </si>
  <si>
    <t>200012443304010001</t>
  </si>
  <si>
    <t>33010030</t>
  </si>
  <si>
    <t>Contratos Estratégicos</t>
  </si>
  <si>
    <t>Contratos</t>
  </si>
  <si>
    <t>330100303304010001</t>
  </si>
  <si>
    <t>20001043</t>
  </si>
  <si>
    <t>Diretoria de Internacionalização</t>
  </si>
  <si>
    <t>Diretoria Internacionalização</t>
  </si>
  <si>
    <t>Internacionalização</t>
  </si>
  <si>
    <t>200010433304010001</t>
  </si>
  <si>
    <t>28000149</t>
  </si>
  <si>
    <t>DIL - Diretoria de Inovação Logística</t>
  </si>
  <si>
    <t>Diretoria Inovação Logística</t>
  </si>
  <si>
    <t>Inovação Logística</t>
  </si>
  <si>
    <t>280001493304010001</t>
  </si>
  <si>
    <t>33970009</t>
  </si>
  <si>
    <t>Dir Inovação Comercial</t>
  </si>
  <si>
    <t>Diretoria Inov. e Gestão do Modelo Comercial</t>
  </si>
  <si>
    <t>Inovação e Gestão do Modelo Comercial</t>
  </si>
  <si>
    <t>339700093304010001</t>
  </si>
  <si>
    <t>76231006</t>
  </si>
  <si>
    <t>Col. Microinf. Log.</t>
  </si>
  <si>
    <t>Diretoria de Infraestrutura</t>
  </si>
  <si>
    <t>Infraestrutura</t>
  </si>
  <si>
    <t>762310063304010001</t>
  </si>
  <si>
    <t>75300002</t>
  </si>
  <si>
    <t>Col. Microinf. Inov.</t>
  </si>
  <si>
    <t>753000023304010001</t>
  </si>
  <si>
    <t>22000002</t>
  </si>
  <si>
    <t>Col. Microinf. Ind.</t>
  </si>
  <si>
    <t>220000023304010001</t>
  </si>
  <si>
    <t>35000002</t>
  </si>
  <si>
    <t>Col. Microinf. Cosm.</t>
  </si>
  <si>
    <t>350000023304010001</t>
  </si>
  <si>
    <t>21000066</t>
  </si>
  <si>
    <t>TPM - Dir Industrial</t>
  </si>
  <si>
    <t>TPM</t>
  </si>
  <si>
    <t>Industrial</t>
  </si>
  <si>
    <t>210000663304010001</t>
  </si>
  <si>
    <t>23620010</t>
  </si>
  <si>
    <t>DirInd-Seg do Trabalho-Indústria</t>
  </si>
  <si>
    <t>Segurança do Trabalho</t>
  </si>
  <si>
    <t>236200103304010001</t>
  </si>
  <si>
    <t>23652002</t>
  </si>
  <si>
    <t>Qual-Qual de Fornec Insumos e Serviços</t>
  </si>
  <si>
    <t>Qualidade e Meio Ambiente</t>
  </si>
  <si>
    <t>236520023304010001</t>
  </si>
  <si>
    <t>30001009</t>
  </si>
  <si>
    <t>Qualidade - FRSF</t>
  </si>
  <si>
    <t>300010093304010001</t>
  </si>
  <si>
    <t>30001008</t>
  </si>
  <si>
    <t>Qualidade - FRP</t>
  </si>
  <si>
    <t>300010083304010001</t>
  </si>
  <si>
    <t>30001010</t>
  </si>
  <si>
    <t>Qualidade - FRA</t>
  </si>
  <si>
    <t>300010103304010001</t>
  </si>
  <si>
    <t>23010006</t>
  </si>
  <si>
    <t>Qual-Ger da Qualidade e Meio Ambiente</t>
  </si>
  <si>
    <t>230100063304010001</t>
  </si>
  <si>
    <t>23652006</t>
  </si>
  <si>
    <t>Qual-Controle de Qualid Físico-Químico</t>
  </si>
  <si>
    <t>236520063304010001</t>
  </si>
  <si>
    <t>30001058</t>
  </si>
  <si>
    <t>Meio Ambiente e Segurança do Trabalho</t>
  </si>
  <si>
    <t>Gerência de Fábrica</t>
  </si>
  <si>
    <t>300010583304010001</t>
  </si>
  <si>
    <t>30001050</t>
  </si>
  <si>
    <t>Manutenção  - Eletrica</t>
  </si>
  <si>
    <t>300010503304010001</t>
  </si>
  <si>
    <t>30001055</t>
  </si>
  <si>
    <t>Gerência Site</t>
  </si>
  <si>
    <t>300010553304010001</t>
  </si>
  <si>
    <t>30001048</t>
  </si>
  <si>
    <t>Gerência de Fábrica - Ind</t>
  </si>
  <si>
    <t>300010483304010001</t>
  </si>
  <si>
    <t>30001043</t>
  </si>
  <si>
    <t>Coordenador de categoria - Noodle e Óleo</t>
  </si>
  <si>
    <t>300010433304010001</t>
  </si>
  <si>
    <t>23632005</t>
  </si>
  <si>
    <t>GDM - Recebimento Cajamar</t>
  </si>
  <si>
    <t>GDM</t>
  </si>
  <si>
    <t>236320053304010001</t>
  </si>
  <si>
    <t>30001083</t>
  </si>
  <si>
    <t>Manutenção Infra Estrutura Ecoparque</t>
  </si>
  <si>
    <t>Fáb. de Sabonetes</t>
  </si>
  <si>
    <t>300010833304010001</t>
  </si>
  <si>
    <t>22630001</t>
  </si>
  <si>
    <t>Fab-Gerência Rio São Francisco</t>
  </si>
  <si>
    <t>Fáb Rio São Francisco</t>
  </si>
  <si>
    <t>226300013304010001</t>
  </si>
  <si>
    <t>22640001</t>
  </si>
  <si>
    <t>Fab-Gerência Rio da Prata</t>
  </si>
  <si>
    <t>Fáb Rio da Prata</t>
  </si>
  <si>
    <t>226400013304010001</t>
  </si>
  <si>
    <t>22620001</t>
  </si>
  <si>
    <t>Fab-Gerência Rio Amazonas</t>
  </si>
  <si>
    <t>Fáb Rio Amazonas</t>
  </si>
  <si>
    <t>226200013304010001</t>
  </si>
  <si>
    <t>23620012</t>
  </si>
  <si>
    <t>EngInd-Ger Eng Industrial (Melhorias)</t>
  </si>
  <si>
    <t>Engenharia Industrial</t>
  </si>
  <si>
    <t>236200123304010001</t>
  </si>
  <si>
    <t>22630002</t>
  </si>
  <si>
    <t>Fab-Manutenção Rio São Francisco</t>
  </si>
  <si>
    <t>Engenharia de Infra-Estrutura</t>
  </si>
  <si>
    <t>226300023304010001</t>
  </si>
  <si>
    <t>22640002</t>
  </si>
  <si>
    <t>Fab-Manutenção Rio da Prata</t>
  </si>
  <si>
    <t>226400023304010001</t>
  </si>
  <si>
    <t>22620002</t>
  </si>
  <si>
    <t>Fab-Manutenção Rio Amazonas</t>
  </si>
  <si>
    <t>226200023304010001</t>
  </si>
  <si>
    <t>23620002</t>
  </si>
  <si>
    <t>EngInfra-CUT Central Utilidades Tancagem</t>
  </si>
  <si>
    <t>236200023304010001</t>
  </si>
  <si>
    <t>23620001</t>
  </si>
  <si>
    <t>EngInfra-Conf Infra Estr Cajamar</t>
  </si>
  <si>
    <t>236200013304010001</t>
  </si>
  <si>
    <t>23620008</t>
  </si>
  <si>
    <t>EngInfra -ETE / ETA Cajamar</t>
  </si>
  <si>
    <t>236200083304010001</t>
  </si>
  <si>
    <t>26110002</t>
  </si>
  <si>
    <t>EngTec-Engenharia de Tecnologia</t>
  </si>
  <si>
    <t>Eng Tecnologia</t>
  </si>
  <si>
    <t>261100023304010001</t>
  </si>
  <si>
    <t>23620009</t>
  </si>
  <si>
    <t>EngInfra -Eng° Obras - Cajamar</t>
  </si>
  <si>
    <t>236200093304010001</t>
  </si>
  <si>
    <t>26110001</t>
  </si>
  <si>
    <t>DirInd-Diretoria Industrial</t>
  </si>
  <si>
    <t>Diretoria Industrial</t>
  </si>
  <si>
    <t>261100013304010001</t>
  </si>
  <si>
    <t>33010015</t>
  </si>
  <si>
    <t>Despesa Colegiadas do CDA</t>
  </si>
  <si>
    <t>Diretoria Governança Corporativa</t>
  </si>
  <si>
    <t>Governança Corporativa</t>
  </si>
  <si>
    <t>330100153304010001</t>
  </si>
  <si>
    <t>30101136</t>
  </si>
  <si>
    <t>Co-Presidência - Pedro Passos - Log</t>
  </si>
  <si>
    <t>301011363304010001</t>
  </si>
  <si>
    <t>30101135</t>
  </si>
  <si>
    <t>Co-Presidência - Luiz Seabra - Cosm2</t>
  </si>
  <si>
    <t>301011353304010001</t>
  </si>
  <si>
    <t>76000092</t>
  </si>
  <si>
    <t>Gerência de Desenvolvimento</t>
  </si>
  <si>
    <t>Diretoria de RH Corporativo</t>
  </si>
  <si>
    <t>Gestão de Pessoas</t>
  </si>
  <si>
    <t>760000923304010001</t>
  </si>
  <si>
    <t>76000035</t>
  </si>
  <si>
    <t>Diretoria de RH Corporativo - Log</t>
  </si>
  <si>
    <t>760000353304010001</t>
  </si>
  <si>
    <t>76412101</t>
  </si>
  <si>
    <t>Departamental ECN</t>
  </si>
  <si>
    <t>764121013304010001</t>
  </si>
  <si>
    <t>76001007</t>
  </si>
  <si>
    <t>Atração Departamental - Log</t>
  </si>
  <si>
    <t>760010073304010001</t>
  </si>
  <si>
    <t>99210033</t>
  </si>
  <si>
    <t>GFA - Apoio - Cosm</t>
  </si>
  <si>
    <t>Planej Financeiro</t>
  </si>
  <si>
    <t>Finanças Negócios</t>
  </si>
  <si>
    <t>992100333304010001</t>
  </si>
  <si>
    <t>30101141</t>
  </si>
  <si>
    <t>Gerência Planejamento Econômico - Cosm</t>
  </si>
  <si>
    <t>301011413304010001</t>
  </si>
  <si>
    <t>30101253</t>
  </si>
  <si>
    <t>Ger. Financeira UNs e Categorias</t>
  </si>
  <si>
    <t>GFA UNs</t>
  </si>
  <si>
    <t>301012533304010001</t>
  </si>
  <si>
    <t>30101195</t>
  </si>
  <si>
    <t>Ger. Financeira Unidade C - Cosm</t>
  </si>
  <si>
    <t>301011953304010001</t>
  </si>
  <si>
    <t>30101170</t>
  </si>
  <si>
    <t>Ger. Financeira Unidade B</t>
  </si>
  <si>
    <t>301011703304010001</t>
  </si>
  <si>
    <t>30101194</t>
  </si>
  <si>
    <t>Ger. Financeira Unidade A - Cosm</t>
  </si>
  <si>
    <t>301011943304010001</t>
  </si>
  <si>
    <t>75000048</t>
  </si>
  <si>
    <t>GFA P&amp;D-LOG - Inov</t>
  </si>
  <si>
    <t>GFA Inovação</t>
  </si>
  <si>
    <t>750000483304010001</t>
  </si>
  <si>
    <t>30101121</t>
  </si>
  <si>
    <t>GF Marketing - Cosm</t>
  </si>
  <si>
    <t>GFA Comercial</t>
  </si>
  <si>
    <t>301011213304010001</t>
  </si>
  <si>
    <t>30101188</t>
  </si>
  <si>
    <t>Gerência de Finanças_SPC</t>
  </si>
  <si>
    <t>301011883304010001</t>
  </si>
  <si>
    <t>30101161</t>
  </si>
  <si>
    <t>Gerencia de Finanças NENO</t>
  </si>
  <si>
    <t>301011613304010001</t>
  </si>
  <si>
    <t>99210031</t>
  </si>
  <si>
    <t>Dir.Financ. - Cosm</t>
  </si>
  <si>
    <t>Diretoria Finanças Negócios</t>
  </si>
  <si>
    <t>992100313304010001</t>
  </si>
  <si>
    <t>30101142</t>
  </si>
  <si>
    <t>Gerência Financeira Tesouraria - Cosm</t>
  </si>
  <si>
    <t>Tesouraria</t>
  </si>
  <si>
    <t>Finanças Corporativo</t>
  </si>
  <si>
    <t>301011423304010001</t>
  </si>
  <si>
    <t>30101122</t>
  </si>
  <si>
    <t>Planejamento Tributário - Finanças</t>
  </si>
  <si>
    <t xml:space="preserve">Planej Tributário </t>
  </si>
  <si>
    <t>301011223304010001</t>
  </si>
  <si>
    <t>21674015</t>
  </si>
  <si>
    <t>GFA - O&amp;L - Ind</t>
  </si>
  <si>
    <t>GFA O&amp;L</t>
  </si>
  <si>
    <t>216740153304010001</t>
  </si>
  <si>
    <t>30101151</t>
  </si>
  <si>
    <t>GFA - O&amp;L - Cosm</t>
  </si>
  <si>
    <t>301011513304010001</t>
  </si>
  <si>
    <t>30101130</t>
  </si>
  <si>
    <t>Finanças Corporativo - Cosm</t>
  </si>
  <si>
    <t>Diretoria Finanças Corporativo</t>
  </si>
  <si>
    <t>301011303304010001</t>
  </si>
  <si>
    <t>20001243</t>
  </si>
  <si>
    <t>Crédito e Cobrança - Cosm</t>
  </si>
  <si>
    <t>Crédito e Cobrança</t>
  </si>
  <si>
    <t>200012433304010001</t>
  </si>
  <si>
    <t>30101146</t>
  </si>
  <si>
    <t>Gerência Contábil - Cosm</t>
  </si>
  <si>
    <t>Controladoria</t>
  </si>
  <si>
    <t>301011463304010001</t>
  </si>
  <si>
    <t>33040001</t>
  </si>
  <si>
    <t>Controladoria CD</t>
  </si>
  <si>
    <t>330400013304010001</t>
  </si>
  <si>
    <t>28000147</t>
  </si>
  <si>
    <t>PCD - Planejamento de Distribuição</t>
  </si>
  <si>
    <t>Planejamento de Distribuição</t>
  </si>
  <si>
    <t>Disponibilização de Produtos</t>
  </si>
  <si>
    <t>280001473304010001</t>
  </si>
  <si>
    <t>21000055</t>
  </si>
  <si>
    <t>Gerência PCL</t>
  </si>
  <si>
    <t>PCL</t>
  </si>
  <si>
    <t>210000553304010001</t>
  </si>
  <si>
    <t>30001039</t>
  </si>
  <si>
    <t>Gerência Disponibilização de Produtos</t>
  </si>
  <si>
    <t>Disponibilização de Produtos - GDP</t>
  </si>
  <si>
    <t>300010393304010001</t>
  </si>
  <si>
    <t>28000143</t>
  </si>
  <si>
    <t>Gerência de Disponibilização de Lançamen</t>
  </si>
  <si>
    <t>Disponibilização de Lançamento</t>
  </si>
  <si>
    <t>280001433304010001</t>
  </si>
  <si>
    <t>21000043</t>
  </si>
  <si>
    <t>Dir. Disp. de Produtos (Plan. Logístico)</t>
  </si>
  <si>
    <t>Diretoria Disp. de Produtos (Plan. Logístico)</t>
  </si>
  <si>
    <t>210000433304010001</t>
  </si>
  <si>
    <t>21000090</t>
  </si>
  <si>
    <t>Gestão de Performance Logística</t>
  </si>
  <si>
    <t>DDP Projetos, Indic. e Estrat.</t>
  </si>
  <si>
    <t>210000903304010001</t>
  </si>
  <si>
    <t>21000023</t>
  </si>
  <si>
    <t>Ger Projetos Dir Disp Produtos</t>
  </si>
  <si>
    <t>210000233304010001</t>
  </si>
  <si>
    <t>23430001</t>
  </si>
  <si>
    <t>Serviços Administrativos - IND</t>
  </si>
  <si>
    <t>Gestão Patrimonial</t>
  </si>
  <si>
    <t>CSC</t>
  </si>
  <si>
    <t>234300013304010001</t>
  </si>
  <si>
    <t>30101255</t>
  </si>
  <si>
    <t>Gestão de Serviços Patrimoniais</t>
  </si>
  <si>
    <t>CSC-N2</t>
  </si>
  <si>
    <t>301012553304010001</t>
  </si>
  <si>
    <t>30101254</t>
  </si>
  <si>
    <t>Gestão de espaços</t>
  </si>
  <si>
    <t>301012543304010001</t>
  </si>
  <si>
    <t>30101147</t>
  </si>
  <si>
    <t>Gerência Geral CSC - Cosm</t>
  </si>
  <si>
    <t>301011473304010001</t>
  </si>
  <si>
    <t>30101126</t>
  </si>
  <si>
    <t>Gerência Fiscal - Cosm</t>
  </si>
  <si>
    <t>301011263304010001</t>
  </si>
  <si>
    <t>30101128</t>
  </si>
  <si>
    <t>Gerência Financeira e Contábil - Cosm</t>
  </si>
  <si>
    <t>301011283304010001</t>
  </si>
  <si>
    <t>30101127</t>
  </si>
  <si>
    <t>Gerência de Serviços Adm e Comerciais - Cosm3</t>
  </si>
  <si>
    <t>301011273304010001</t>
  </si>
  <si>
    <t>30101158</t>
  </si>
  <si>
    <t>Gerência de Relacionamento e Desempenho - Cosm</t>
  </si>
  <si>
    <t>301011583304010001</t>
  </si>
  <si>
    <t>30101129</t>
  </si>
  <si>
    <t>Gerência de Cadastro</t>
  </si>
  <si>
    <t>301011293304010001</t>
  </si>
  <si>
    <t>30101257</t>
  </si>
  <si>
    <t>Diretoria de Relacionamento (CRM)</t>
  </si>
  <si>
    <t>Diretoria CRM</t>
  </si>
  <si>
    <t>CRM</t>
  </si>
  <si>
    <t>301012573304010001</t>
  </si>
  <si>
    <t>33040006</t>
  </si>
  <si>
    <t>CRM - Plataforma de Campanhas</t>
  </si>
  <si>
    <t>330400063304010001</t>
  </si>
  <si>
    <t>30101143</t>
  </si>
  <si>
    <t>Gerência Auditoria - Cosm</t>
  </si>
  <si>
    <t>Diretoria Auditoria</t>
  </si>
  <si>
    <t>Auditoria</t>
  </si>
  <si>
    <t>301011433304010001</t>
  </si>
  <si>
    <t>30101193</t>
  </si>
  <si>
    <t>Auditoria Técnica</t>
  </si>
  <si>
    <t>301011933304010001</t>
  </si>
  <si>
    <t>30101138</t>
  </si>
  <si>
    <t>Gerência Auditoria Internacional - Cosm</t>
  </si>
  <si>
    <t>Auditoria - Internacional</t>
  </si>
  <si>
    <t>301011383304010001</t>
  </si>
  <si>
    <t>76500001</t>
  </si>
  <si>
    <t>Ger.Relações Instit. Logística</t>
  </si>
  <si>
    <t>Relações Institucionais</t>
  </si>
  <si>
    <t>Assuntos Corporativos</t>
  </si>
  <si>
    <t>765000013304010001</t>
  </si>
  <si>
    <t>82000492</t>
  </si>
  <si>
    <t>Rel. Governamentais</t>
  </si>
  <si>
    <t xml:space="preserve">Relações Governamentais </t>
  </si>
  <si>
    <t>820004923304010001</t>
  </si>
  <si>
    <t>76020005</t>
  </si>
  <si>
    <t>Comunicaçao Institucional</t>
  </si>
  <si>
    <t>Relações com a Mídia</t>
  </si>
  <si>
    <t>760200053304010001</t>
  </si>
  <si>
    <t>33020001</t>
  </si>
  <si>
    <t>Diretoria de Assuntos Corporativos</t>
  </si>
  <si>
    <t>Diretoria Assuntos Corporativos</t>
  </si>
  <si>
    <t>330200013304010001</t>
  </si>
  <si>
    <t>38000022</t>
  </si>
  <si>
    <t>Gcia de Conteúdo e Comun. Institucional</t>
  </si>
  <si>
    <t>Comunicação Institucional</t>
  </si>
  <si>
    <t>380000223304010001</t>
  </si>
  <si>
    <t>12 - Dezembro</t>
  </si>
  <si>
    <t>11 - Novembro</t>
  </si>
  <si>
    <t>10 - Outubro</t>
  </si>
  <si>
    <t>09 - Setembro</t>
  </si>
  <si>
    <t>08 - Agosto</t>
  </si>
  <si>
    <t>07 - Julho</t>
  </si>
  <si>
    <t>06 - Junho</t>
  </si>
  <si>
    <t>05 - Maio</t>
  </si>
  <si>
    <t>04 - Abril</t>
  </si>
  <si>
    <t>03 - Março</t>
  </si>
  <si>
    <t>02 - Fevereiro</t>
  </si>
  <si>
    <t>01 - Janeiro</t>
  </si>
  <si>
    <t>Cod. conta</t>
  </si>
  <si>
    <t>Conta</t>
  </si>
  <si>
    <t>Cód. Centro de Custo</t>
  </si>
  <si>
    <t>Centro de Custo</t>
  </si>
  <si>
    <t>Pacote</t>
  </si>
  <si>
    <t>Gerência</t>
  </si>
  <si>
    <t>Diretoria</t>
  </si>
  <si>
    <t>Mensal</t>
  </si>
  <si>
    <t>Grand Total</t>
  </si>
  <si>
    <t>2015</t>
  </si>
  <si>
    <t>Mai Red 12%</t>
  </si>
  <si>
    <t>Urgência</t>
  </si>
  <si>
    <t>Impacto</t>
  </si>
  <si>
    <t>Causa Raiz Faixa Idade</t>
  </si>
  <si>
    <t>motivo causa Raiz</t>
  </si>
  <si>
    <t>Nenhum</t>
  </si>
  <si>
    <t>Mobilidade</t>
  </si>
  <si>
    <t>Processo VIVO</t>
  </si>
  <si>
    <t>61 a 90</t>
  </si>
  <si>
    <t>157161</t>
  </si>
  <si>
    <t>Redirecionamento de chamadas</t>
  </si>
  <si>
    <t xml:space="preserve">Colaborador(a): Ricardo
Matricula: 93062
Ramal: 11 4446-3173
Contato: 11 94273 3092
Localidade: cajamar
Ocorrência: Colaborador deseja solicitar serviço de redirecionamento de chamada do ramal para o celular. Favor verificar.
</t>
  </si>
  <si>
    <t>TELEFONIA.FIXA.RAMAL.CONFIGURACAO DE FACILIDADES (GRUPO DE CAPTURA, DESVIO DE RAMAL, ETC)</t>
  </si>
  <si>
    <t>SLA 4 h (10x5) (08:00~18:00) (Mon~Fri)</t>
  </si>
  <si>
    <t>RICARDO SILES MENDES</t>
  </si>
  <si>
    <t>SD - JORGE ROBERTO M. SILVA</t>
  </si>
  <si>
    <t>3 semana</t>
  </si>
  <si>
    <t>3-Medio</t>
  </si>
  <si>
    <t>3-Grupo único (médio)</t>
  </si>
  <si>
    <t>2-Alto</t>
  </si>
  <si>
    <t>2-Vários grupos (alto)</t>
  </si>
  <si>
    <t>Aguardando Usuário</t>
  </si>
  <si>
    <t>Enviar Aparelho</t>
  </si>
  <si>
    <t>SD - FERNANDA SZABO MARTIN</t>
  </si>
  <si>
    <t>BR-SP-Nasp</t>
  </si>
  <si>
    <t>JONATAS DE OLIVEIRA</t>
  </si>
  <si>
    <t>n/a</t>
  </si>
  <si>
    <t>Jan
(Fat - Contest) Red 19%</t>
  </si>
  <si>
    <t>Telefonia Móvel</t>
  </si>
  <si>
    <t>Realizar Testes</t>
  </si>
  <si>
    <t>Não Elegível</t>
  </si>
  <si>
    <t>Telefonia Fixa</t>
  </si>
  <si>
    <t>Novo Aparelho</t>
  </si>
  <si>
    <t>Processo Nextel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</si>
</sst>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7" formatCode="[h]:mm:ss;@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Gill Sans MT"/>
      <family val="2"/>
    </font>
    <font>
      <sz val="11"/>
      <color theme="1"/>
      <name val="Gill Sans MT"/>
      <family val="2"/>
    </font>
    <font>
      <b/>
      <sz val="10"/>
      <color rgb="FF000000"/>
      <name val="Gill Sans MT"/>
      <family val="2"/>
    </font>
    <font>
      <b/>
      <sz val="10"/>
      <color theme="1"/>
      <name val="Gill Sans MT"/>
      <family val="2"/>
    </font>
    <font>
      <b/>
      <sz val="16"/>
      <name val="Gill Sans MT"/>
      <family val="2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FFFFFF"/>
      <name val="Gill Sans MT"/>
      <family val="2"/>
    </font>
    <font>
      <b/>
      <sz val="11"/>
      <color rgb="FFFFFFFF"/>
      <name val="Gill Sans MT"/>
      <family val="2"/>
    </font>
    <font>
      <b/>
      <sz val="11"/>
      <color theme="1"/>
      <name val="Gill Sans MT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b/>
      <sz val="16"/>
      <color rgb="FF000000"/>
      <name val="Gill Sans MT"/>
      <family val="2"/>
    </font>
    <font>
      <b/>
      <sz val="11"/>
      <color theme="0"/>
      <name val="Gill Sans MT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4"/>
      <color theme="1"/>
      <name val="Verdana"/>
      <family val="2"/>
    </font>
    <font>
      <sz val="11"/>
      <color rgb="FFFF0000"/>
      <name val="Gill Sans MT"/>
      <family val="2"/>
    </font>
    <font>
      <b/>
      <sz val="12"/>
      <color rgb="FF000000"/>
      <name val="Gill Sans MT"/>
      <family val="2"/>
    </font>
    <font>
      <sz val="11"/>
      <color theme="0"/>
      <name val="Gill Sans MT"/>
      <family val="2"/>
    </font>
    <font>
      <b/>
      <sz val="14"/>
      <color theme="1"/>
      <name val="Gill Sans MT"/>
      <family val="2"/>
    </font>
    <font>
      <b/>
      <sz val="11"/>
      <color rgb="FFFF0000"/>
      <name val="Gill Sans MT"/>
      <family val="2"/>
    </font>
    <font>
      <b/>
      <sz val="10"/>
      <color theme="0" tint="-0.249977111117893"/>
      <name val="Gill Sans MT"/>
      <family val="2"/>
    </font>
    <font>
      <b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sz val="8.25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</patternFill>
    </fill>
    <fill>
      <patternFill patternType="solid">
        <fgColor rgb="FFD4D0C8"/>
      </patternFill>
    </fill>
  </fills>
  <borders count="24">
    <border>
      <left/>
      <right/>
      <top/>
      <bottom/>
      <diagonal/>
    </border>
    <border>
      <left style="medium">
        <color rgb="FFDCE6F2"/>
      </left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/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/>
      <top/>
      <bottom/>
      <diagonal/>
    </border>
    <border>
      <left/>
      <right style="medium">
        <color rgb="FFDCE6F2"/>
      </right>
      <top/>
      <bottom/>
      <diagonal/>
    </border>
    <border>
      <left style="medium">
        <color rgb="FFDCE6F2"/>
      </left>
      <right style="thin">
        <color theme="0"/>
      </right>
      <top style="medium">
        <color rgb="FFDCE6F2"/>
      </top>
      <bottom style="medium">
        <color rgb="FFDCE6F2"/>
      </bottom>
      <diagonal/>
    </border>
    <border>
      <left/>
      <right style="thin">
        <color theme="0"/>
      </right>
      <top style="medium">
        <color rgb="FFDCE6F2"/>
      </top>
      <bottom style="medium">
        <color rgb="FFDCE6F2"/>
      </bottom>
      <diagonal/>
    </border>
    <border>
      <left style="thin">
        <color theme="0"/>
      </left>
      <right style="thin">
        <color theme="0"/>
      </right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 style="medium">
        <color rgb="FFDCE6F2"/>
      </top>
      <bottom/>
      <diagonal/>
    </border>
    <border>
      <left/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/>
      <right style="medium">
        <color rgb="FFDCE6F2"/>
      </right>
      <top style="medium">
        <color rgb="FFDCE6F2"/>
      </top>
      <bottom/>
      <diagonal/>
    </border>
    <border>
      <left style="medium">
        <color rgb="FFDCE6F2"/>
      </left>
      <right/>
      <top/>
      <bottom style="medium">
        <color rgb="FFDCE6F2"/>
      </bottom>
      <diagonal/>
    </border>
    <border>
      <left/>
      <right/>
      <top/>
      <bottom style="medium">
        <color rgb="FFDCE6F2"/>
      </bottom>
      <diagonal/>
    </border>
    <border>
      <left/>
      <right style="medium">
        <color rgb="FFDCE6F2"/>
      </right>
      <top/>
      <bottom style="medium">
        <color rgb="FFDCE6F2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/>
      <bottom/>
      <diagonal/>
    </border>
    <border>
      <left style="medium">
        <color rgb="FFDCE6F2"/>
      </left>
      <right style="medium">
        <color rgb="FFDCE6F2"/>
      </right>
      <top/>
      <bottom style="medium">
        <color rgb="FFDCE6F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3">
    <xf numFmtId="0" fontId="0" fillId="0" borderId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0" fontId="5" fillId="0" borderId="0">
      <alignment vertical="top"/>
    </xf>
    <xf numFmtId="0" fontId="4" fillId="0" borderId="0"/>
    <xf numFmtId="0" fontId="4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2" fillId="0" borderId="0"/>
  </cellStyleXfs>
  <cellXfs count="114">
    <xf numFmtId="0" fontId="0" fillId="0" borderId="0" xfId="0"/>
    <xf numFmtId="0" fontId="7" fillId="6" borderId="4" xfId="0" applyFont="1" applyFill="1" applyBorder="1" applyAlignment="1"/>
    <xf numFmtId="0" fontId="7" fillId="2" borderId="0" xfId="0" applyFont="1" applyFill="1"/>
    <xf numFmtId="9" fontId="7" fillId="2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3" fontId="7" fillId="2" borderId="0" xfId="0" applyNumberFormat="1" applyFont="1" applyFill="1" applyAlignment="1">
      <alignment horizontal="center"/>
    </xf>
    <xf numFmtId="9" fontId="12" fillId="4" borderId="2" xfId="0" applyNumberFormat="1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9" fontId="12" fillId="5" borderId="7" xfId="1" applyFont="1" applyFill="1" applyBorder="1" applyAlignment="1">
      <alignment horizontal="center" vertical="center" wrapText="1" readingOrder="1"/>
    </xf>
    <xf numFmtId="9" fontId="12" fillId="5" borderId="8" xfId="0" applyNumberFormat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6" fillId="3" borderId="1" xfId="0" applyFont="1" applyFill="1" applyBorder="1" applyAlignment="1">
      <alignment vertical="center" wrapText="1" readingOrder="1"/>
    </xf>
    <xf numFmtId="0" fontId="6" fillId="3" borderId="10" xfId="0" applyFont="1" applyFill="1" applyBorder="1" applyAlignment="1">
      <alignment vertical="center" wrapText="1" readingOrder="1"/>
    </xf>
    <xf numFmtId="0" fontId="6" fillId="3" borderId="3" xfId="0" applyFont="1" applyFill="1" applyBorder="1" applyAlignment="1">
      <alignment vertical="center" wrapText="1" readingOrder="1"/>
    </xf>
    <xf numFmtId="9" fontId="12" fillId="4" borderId="3" xfId="0" applyNumberFormat="1" applyFont="1" applyFill="1" applyBorder="1" applyAlignment="1">
      <alignment horizontal="center" vertical="center" wrapText="1" readingOrder="1"/>
    </xf>
    <xf numFmtId="0" fontId="11" fillId="5" borderId="1" xfId="0" applyFont="1" applyFill="1" applyBorder="1" applyAlignment="1">
      <alignment horizontal="center" vertical="center" wrapText="1" readingOrder="1"/>
    </xf>
    <xf numFmtId="0" fontId="8" fillId="8" borderId="0" xfId="0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center" vertical="center" wrapText="1" readingOrder="1"/>
    </xf>
    <xf numFmtId="0" fontId="8" fillId="8" borderId="3" xfId="0" applyFont="1" applyFill="1" applyBorder="1" applyAlignment="1">
      <alignment horizontal="center" vertical="center" wrapText="1" readingOrder="1"/>
    </xf>
    <xf numFmtId="0" fontId="12" fillId="5" borderId="0" xfId="0" applyNumberFormat="1" applyFont="1" applyFill="1" applyBorder="1" applyAlignment="1">
      <alignment horizontal="center" vertical="center" wrapText="1" readingOrder="1"/>
    </xf>
    <xf numFmtId="0" fontId="12" fillId="4" borderId="0" xfId="0" applyNumberFormat="1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9" fontId="12" fillId="4" borderId="9" xfId="0" applyNumberFormat="1" applyFont="1" applyFill="1" applyBorder="1" applyAlignment="1">
      <alignment horizontal="center" vertical="center" wrapText="1" readingOrder="1"/>
    </xf>
    <xf numFmtId="0" fontId="19" fillId="5" borderId="8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5" fillId="6" borderId="0" xfId="0" applyFont="1" applyFill="1" applyBorder="1" applyAlignment="1">
      <alignment horizontal="center" vertical="center" readingOrder="1"/>
    </xf>
    <xf numFmtId="9" fontId="20" fillId="7" borderId="0" xfId="1" applyFont="1" applyFill="1" applyAlignment="1">
      <alignment vertical="center"/>
    </xf>
    <xf numFmtId="9" fontId="20" fillId="7" borderId="0" xfId="1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7" borderId="19" xfId="0" applyFont="1" applyFill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9" fontId="16" fillId="0" borderId="19" xfId="0" applyNumberFormat="1" applyFont="1" applyBorder="1" applyAlignment="1">
      <alignment horizontal="center" vertical="center"/>
    </xf>
    <xf numFmtId="0" fontId="16" fillId="0" borderId="19" xfId="1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4" fillId="2" borderId="0" xfId="0" applyFont="1" applyFill="1"/>
    <xf numFmtId="0" fontId="24" fillId="2" borderId="0" xfId="0" applyFont="1" applyFill="1" applyAlignment="1">
      <alignment horizontal="center" vertical="center" readingOrder="1"/>
    </xf>
    <xf numFmtId="0" fontId="20" fillId="7" borderId="0" xfId="1" applyNumberFormat="1" applyFont="1" applyFill="1" applyAlignment="1">
      <alignment horizontal="center" vertical="center"/>
    </xf>
    <xf numFmtId="9" fontId="15" fillId="7" borderId="0" xfId="1" applyFont="1" applyFill="1" applyAlignment="1">
      <alignment vertical="center"/>
    </xf>
    <xf numFmtId="0" fontId="28" fillId="2" borderId="0" xfId="0" applyFont="1" applyFill="1"/>
    <xf numFmtId="0" fontId="15" fillId="2" borderId="0" xfId="0" applyFont="1" applyFill="1"/>
    <xf numFmtId="0" fontId="26" fillId="2" borderId="0" xfId="0" applyFont="1" applyFill="1"/>
    <xf numFmtId="0" fontId="26" fillId="2" borderId="0" xfId="0" applyFont="1" applyFill="1" applyAlignment="1">
      <alignment horizontal="center" vertical="center" readingOrder="1"/>
    </xf>
    <xf numFmtId="0" fontId="18" fillId="0" borderId="0" xfId="0" applyFont="1" applyAlignment="1">
      <alignment vertical="center" wrapText="1"/>
    </xf>
    <xf numFmtId="0" fontId="19" fillId="7" borderId="8" xfId="0" applyFont="1" applyFill="1" applyBorder="1" applyAlignment="1">
      <alignment horizontal="center" vertical="center" wrapText="1" readingOrder="1"/>
    </xf>
    <xf numFmtId="9" fontId="25" fillId="5" borderId="20" xfId="0" applyNumberFormat="1" applyFont="1" applyFill="1" applyBorder="1" applyAlignment="1">
      <alignment horizontal="center" vertical="center" wrapText="1" readingOrder="1"/>
    </xf>
    <xf numFmtId="9" fontId="25" fillId="4" borderId="10" xfId="0" applyNumberFormat="1" applyFont="1" applyFill="1" applyBorder="1" applyAlignment="1">
      <alignment horizontal="center" vertical="center" wrapText="1" readingOrder="1"/>
    </xf>
    <xf numFmtId="0" fontId="25" fillId="5" borderId="20" xfId="0" applyNumberFormat="1" applyFont="1" applyFill="1" applyBorder="1" applyAlignment="1">
      <alignment horizontal="center" vertical="center" wrapText="1" readingOrder="1"/>
    </xf>
    <xf numFmtId="9" fontId="7" fillId="2" borderId="0" xfId="0" applyNumberFormat="1" applyFont="1" applyFill="1"/>
    <xf numFmtId="0" fontId="27" fillId="7" borderId="0" xfId="1" applyNumberFormat="1" applyFont="1" applyFill="1" applyAlignment="1">
      <alignment horizontal="center" vertical="center"/>
    </xf>
    <xf numFmtId="0" fontId="25" fillId="4" borderId="10" xfId="0" applyNumberFormat="1" applyFont="1" applyFill="1" applyBorder="1" applyAlignment="1">
      <alignment horizontal="center" vertical="center" wrapText="1" readingOrder="1"/>
    </xf>
    <xf numFmtId="9" fontId="29" fillId="8" borderId="3" xfId="0" applyNumberFormat="1" applyFont="1" applyFill="1" applyBorder="1" applyAlignment="1">
      <alignment horizontal="center" vertical="center" wrapText="1" readingOrder="1"/>
    </xf>
    <xf numFmtId="0" fontId="7" fillId="8" borderId="0" xfId="0" applyFont="1" applyFill="1"/>
    <xf numFmtId="0" fontId="30" fillId="0" borderId="19" xfId="1" applyNumberFormat="1" applyFont="1" applyBorder="1" applyAlignment="1">
      <alignment horizontal="center" vertical="center"/>
    </xf>
    <xf numFmtId="9" fontId="30" fillId="0" borderId="19" xfId="1" applyFont="1" applyBorder="1" applyAlignment="1">
      <alignment horizontal="center" vertical="center"/>
    </xf>
    <xf numFmtId="9" fontId="7" fillId="2" borderId="0" xfId="1" applyFont="1" applyFill="1" applyAlignment="1">
      <alignment horizontal="left" vertical="center"/>
    </xf>
    <xf numFmtId="0" fontId="0" fillId="0" borderId="0" xfId="0" applyAlignment="1"/>
    <xf numFmtId="9" fontId="26" fillId="2" borderId="0" xfId="0" applyNumberFormat="1" applyFont="1" applyFill="1"/>
    <xf numFmtId="164" fontId="0" fillId="0" borderId="0" xfId="11" applyNumberFormat="1" applyFont="1"/>
    <xf numFmtId="9" fontId="31" fillId="0" borderId="0" xfId="1" applyFont="1" applyAlignment="1">
      <alignment horizontal="center"/>
    </xf>
    <xf numFmtId="14" fontId="0" fillId="0" borderId="0" xfId="0" applyNumberFormat="1" applyAlignment="1"/>
    <xf numFmtId="0" fontId="12" fillId="5" borderId="6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wrapText="1" readingOrder="1"/>
    </xf>
    <xf numFmtId="9" fontId="15" fillId="2" borderId="0" xfId="1" applyFont="1" applyFill="1" applyAlignment="1">
      <alignment horizontal="center" vertical="center"/>
    </xf>
    <xf numFmtId="22" fontId="0" fillId="0" borderId="0" xfId="0" applyNumberFormat="1" applyAlignment="1"/>
    <xf numFmtId="0" fontId="13" fillId="3" borderId="0" xfId="0" applyFont="1" applyFill="1" applyBorder="1" applyAlignment="1">
      <alignment horizontal="center" vertical="center" textRotation="90" wrapText="1" readingOrder="1"/>
    </xf>
    <xf numFmtId="9" fontId="0" fillId="0" borderId="0" xfId="1" applyFont="1"/>
    <xf numFmtId="164" fontId="21" fillId="7" borderId="0" xfId="11" applyNumberFormat="1" applyFont="1" applyFill="1"/>
    <xf numFmtId="164" fontId="0" fillId="0" borderId="0" xfId="0" applyNumberFormat="1"/>
    <xf numFmtId="0" fontId="32" fillId="0" borderId="0" xfId="12"/>
    <xf numFmtId="4" fontId="32" fillId="0" borderId="0" xfId="12" applyNumberFormat="1"/>
    <xf numFmtId="4" fontId="33" fillId="10" borderId="23" xfId="12" applyNumberFormat="1" applyFont="1" applyFill="1" applyBorder="1" applyAlignment="1">
      <alignment horizontal="right" vertical="center"/>
    </xf>
    <xf numFmtId="49" fontId="33" fillId="11" borderId="23" xfId="12" applyNumberFormat="1" applyFont="1" applyFill="1" applyBorder="1" applyAlignment="1">
      <alignment horizontal="left" vertical="center"/>
    </xf>
    <xf numFmtId="49" fontId="32" fillId="0" borderId="0" xfId="12" applyNumberFormat="1"/>
    <xf numFmtId="0" fontId="14" fillId="3" borderId="0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0" xfId="0" applyFont="1" applyFill="1" applyBorder="1" applyAlignment="1">
      <alignment horizontal="center" vertical="center" wrapText="1" readingOrder="1"/>
    </xf>
    <xf numFmtId="0" fontId="14" fillId="3" borderId="12" xfId="0" applyFont="1" applyFill="1" applyBorder="1" applyAlignment="1">
      <alignment horizontal="center" vertical="center" wrapText="1" readingOrder="1"/>
    </xf>
    <xf numFmtId="0" fontId="14" fillId="3" borderId="13" xfId="0" applyFont="1" applyFill="1" applyBorder="1" applyAlignment="1">
      <alignment horizontal="center" vertical="center" wrapText="1" readingOrder="1"/>
    </xf>
    <xf numFmtId="0" fontId="15" fillId="6" borderId="4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 vertical="center" wrapText="1" readingOrder="1"/>
    </xf>
    <xf numFmtId="0" fontId="13" fillId="3" borderId="11" xfId="0" applyFont="1" applyFill="1" applyBorder="1" applyAlignment="1">
      <alignment horizontal="center" vertical="center" textRotation="90" wrapText="1" readingOrder="1"/>
    </xf>
    <xf numFmtId="0" fontId="13" fillId="3" borderId="5" xfId="0" applyFont="1" applyFill="1" applyBorder="1" applyAlignment="1">
      <alignment horizontal="center" vertical="center" textRotation="90" wrapText="1" readingOrder="1"/>
    </xf>
    <xf numFmtId="9" fontId="20" fillId="7" borderId="9" xfId="1" applyFont="1" applyFill="1" applyBorder="1" applyAlignment="1">
      <alignment horizontal="center" vertical="center"/>
    </xf>
    <xf numFmtId="9" fontId="20" fillId="7" borderId="21" xfId="1" applyFont="1" applyFill="1" applyBorder="1" applyAlignment="1">
      <alignment horizontal="center" vertical="center"/>
    </xf>
    <xf numFmtId="9" fontId="20" fillId="7" borderId="22" xfId="1" applyFont="1" applyFill="1" applyBorder="1" applyAlignment="1">
      <alignment horizontal="center" vertical="center"/>
    </xf>
    <xf numFmtId="9" fontId="20" fillId="7" borderId="9" xfId="0" applyNumberFormat="1" applyFont="1" applyFill="1" applyBorder="1" applyAlignment="1">
      <alignment horizontal="center" vertical="center" wrapText="1" readingOrder="1"/>
    </xf>
    <xf numFmtId="9" fontId="20" fillId="7" borderId="21" xfId="0" applyNumberFormat="1" applyFont="1" applyFill="1" applyBorder="1" applyAlignment="1">
      <alignment horizontal="center" vertical="center" wrapText="1" readingOrder="1"/>
    </xf>
    <xf numFmtId="9" fontId="20" fillId="7" borderId="22" xfId="0" applyNumberFormat="1" applyFont="1" applyFill="1" applyBorder="1" applyAlignment="1">
      <alignment horizontal="center" vertical="center" wrapText="1" readingOrder="1"/>
    </xf>
    <xf numFmtId="0" fontId="16" fillId="0" borderId="16" xfId="0" quotePrefix="1" applyFont="1" applyBorder="1" applyAlignment="1">
      <alignment horizontal="left" vertical="center" wrapText="1"/>
    </xf>
    <xf numFmtId="0" fontId="16" fillId="0" borderId="17" xfId="0" quotePrefix="1" applyFont="1" applyBorder="1" applyAlignment="1">
      <alignment horizontal="left" vertical="center" wrapText="1"/>
    </xf>
    <xf numFmtId="0" fontId="16" fillId="0" borderId="18" xfId="0" quotePrefix="1" applyFont="1" applyBorder="1" applyAlignment="1">
      <alignment horizontal="left" vertical="center" wrapText="1"/>
    </xf>
    <xf numFmtId="0" fontId="22" fillId="9" borderId="15" xfId="0" applyFont="1" applyFill="1" applyBorder="1" applyAlignment="1">
      <alignment horizontal="center"/>
    </xf>
    <xf numFmtId="0" fontId="17" fillId="7" borderId="16" xfId="0" applyFont="1" applyFill="1" applyBorder="1" applyAlignment="1">
      <alignment horizontal="left" vertical="center"/>
    </xf>
    <xf numFmtId="0" fontId="17" fillId="7" borderId="17" xfId="0" applyFont="1" applyFill="1" applyBorder="1" applyAlignment="1">
      <alignment horizontal="left" vertical="center"/>
    </xf>
    <xf numFmtId="0" fontId="17" fillId="7" borderId="18" xfId="0" applyFont="1" applyFill="1" applyBorder="1" applyAlignment="1">
      <alignment horizontal="left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49" fontId="33" fillId="11" borderId="23" xfId="12" applyNumberFormat="1" applyFont="1" applyFill="1" applyBorder="1" applyAlignment="1">
      <alignment horizontal="left" vertical="center"/>
    </xf>
    <xf numFmtId="0" fontId="33" fillId="11" borderId="23" xfId="12" applyFont="1" applyFill="1" applyBorder="1" applyAlignment="1">
      <alignment horizontal="left" vertical="center"/>
    </xf>
    <xf numFmtId="167" fontId="0" fillId="0" borderId="0" xfId="0" applyNumberFormat="1" applyAlignment="1"/>
  </cellXfs>
  <cellStyles count="13">
    <cellStyle name="Moeda 2" xfId="4"/>
    <cellStyle name="Normal" xfId="0" builtinId="0"/>
    <cellStyle name="Normal 10" xfId="6"/>
    <cellStyle name="Normal 2" xfId="3"/>
    <cellStyle name="Normal 2 2" xfId="7"/>
    <cellStyle name="Normal 3" xfId="2"/>
    <cellStyle name="Normal 4" xfId="8"/>
    <cellStyle name="Normal 5" xfId="9"/>
    <cellStyle name="Normal 6" xfId="5"/>
    <cellStyle name="Normal 7" xfId="12"/>
    <cellStyle name="Porcentagem" xfId="1" builtinId="5"/>
    <cellStyle name="Porcentagem 2" xfId="10"/>
    <cellStyle name="Vírgula" xfId="11" builtinId="3"/>
  </cellStyles>
  <dxfs count="4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7" formatCode="[h]:mm:ss;@"/>
      <alignment horizontal="general" vertical="bottom" textRotation="0" wrapText="0" indent="0" justifyLastLine="0" shrinkToFit="0" readingOrder="0"/>
    </dxf>
    <dxf>
      <numFmt numFmtId="167" formatCode="[h]:mm:ss;@"/>
      <alignment horizontal="general" vertical="bottom" textRotation="0" wrapText="0" indent="0" justifyLastLine="0" shrinkToFit="0" readingOrder="0"/>
    </dxf>
    <dxf>
      <numFmt numFmtId="167" formatCode="[h]:mm:ss;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SLA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Resumo!$S$2</c:f>
              <c:strCache>
                <c:ptCount val="1"/>
                <c:pt idx="0">
                  <c:v>Evolução</c:v>
                </c:pt>
              </c:strCache>
            </c:strRef>
          </c:tx>
          <c:invertIfNegative val="0"/>
          <c:dPt>
            <c:idx val="2"/>
            <c:invertIfNegative val="0"/>
            <c:bubble3D val="0"/>
            <c:spPr>
              <a:solidFill>
                <a:schemeClr val="tx2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tx2"/>
              </a:solidFill>
            </c:spPr>
          </c:dPt>
          <c:dPt>
            <c:idx val="4"/>
            <c:invertIfNegative val="0"/>
            <c:bubble3D val="0"/>
            <c:spPr>
              <a:solidFill>
                <a:schemeClr val="tx2"/>
              </a:solidFill>
            </c:spPr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Resumo!$Z$2:$AD$2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Resumo!$Z$23:$AD$23</c:f>
              <c:numCache>
                <c:formatCode>0%</c:formatCode>
                <c:ptCount val="5"/>
                <c:pt idx="0">
                  <c:v>0.66999999999999993</c:v>
                </c:pt>
                <c:pt idx="1">
                  <c:v>0.88390151515151516</c:v>
                </c:pt>
                <c:pt idx="2">
                  <c:v>0.91579324379324389</c:v>
                </c:pt>
                <c:pt idx="3">
                  <c:v>0.94</c:v>
                </c:pt>
                <c:pt idx="4">
                  <c:v>0.96620169352706131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50"/>
        <c:axId val="104937728"/>
        <c:axId val="116135808"/>
      </c:barChart>
      <c:lineChart>
        <c:grouping val="standard"/>
        <c:varyColors val="0"/>
        <c:ser>
          <c:idx val="0"/>
          <c:order val="0"/>
          <c:tx>
            <c:strRef>
              <c:f>Resumo!$F$2</c:f>
              <c:strCache>
                <c:ptCount val="1"/>
                <c:pt idx="0">
                  <c:v>Meta</c:v>
                </c:pt>
              </c:strCache>
            </c:strRef>
          </c:tx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Resumo!$Z$3:$AD$3</c:f>
              <c:numCache>
                <c:formatCode>0%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937728"/>
        <c:axId val="116135808"/>
      </c:lineChart>
      <c:catAx>
        <c:axId val="104937728"/>
        <c:scaling>
          <c:orientation val="minMax"/>
        </c:scaling>
        <c:delete val="0"/>
        <c:axPos val="b"/>
        <c:majorTickMark val="none"/>
        <c:minorTickMark val="none"/>
        <c:tickLblPos val="nextTo"/>
        <c:crossAx val="116135808"/>
        <c:crosses val="autoZero"/>
        <c:auto val="1"/>
        <c:lblAlgn val="ctr"/>
        <c:lblOffset val="100"/>
        <c:noMultiLvlLbl val="0"/>
      </c:catAx>
      <c:valAx>
        <c:axId val="1161358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49377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Faturamento Telecom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fat!$A$3</c:f>
              <c:strCache>
                <c:ptCount val="1"/>
                <c:pt idx="0">
                  <c:v>Fat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fat!$B$1:$F$1</c:f>
              <c:strCache>
                <c:ptCount val="5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</c:strCache>
            </c:strRef>
          </c:cat>
          <c:val>
            <c:numRef>
              <c:f>fat!$B$3:$F$3</c:f>
              <c:numCache>
                <c:formatCode>_-* #,##0_-;\-* #,##0_-;_-* "-"??_-;_-@_-</c:formatCode>
                <c:ptCount val="5"/>
                <c:pt idx="0">
                  <c:v>457018.64000001299</c:v>
                </c:pt>
                <c:pt idx="1">
                  <c:v>428827.97000002099</c:v>
                </c:pt>
                <c:pt idx="2">
                  <c:v>518608.47000004846</c:v>
                </c:pt>
                <c:pt idx="3">
                  <c:v>409057.2700000148</c:v>
                </c:pt>
                <c:pt idx="4">
                  <c:v>456303.600000003</c:v>
                </c:pt>
              </c:numCache>
            </c:numRef>
          </c:val>
        </c:ser>
        <c:ser>
          <c:idx val="0"/>
          <c:order val="1"/>
          <c:tx>
            <c:strRef>
              <c:f>fat!$A$4</c:f>
              <c:strCache>
                <c:ptCount val="1"/>
                <c:pt idx="0">
                  <c:v>Contest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dLbls>
            <c:spPr>
              <a:solidFill>
                <a:srgbClr val="00B050"/>
              </a:solidFill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fat!$B$1:$F$1</c:f>
              <c:strCache>
                <c:ptCount val="5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</c:strCache>
            </c:strRef>
          </c:cat>
          <c:val>
            <c:numRef>
              <c:f>fat!$B$4:$F$4</c:f>
              <c:numCache>
                <c:formatCode>_-* #,##0_-;\-* #,##0_-;_-* "-"??_-;_-@_-</c:formatCode>
                <c:ptCount val="5"/>
                <c:pt idx="0">
                  <c:v>48344.371666666593</c:v>
                </c:pt>
                <c:pt idx="1">
                  <c:v>85964.394333332646</c:v>
                </c:pt>
                <c:pt idx="2">
                  <c:v>72605.185800006788</c:v>
                </c:pt>
                <c:pt idx="3">
                  <c:v>61358.590500002218</c:v>
                </c:pt>
                <c:pt idx="4">
                  <c:v>74982.229333333875</c:v>
                </c:pt>
              </c:numCache>
            </c:numRef>
          </c:val>
        </c:ser>
        <c:ser>
          <c:idx val="3"/>
          <c:order val="2"/>
          <c:tx>
            <c:strRef>
              <c:f>fat!$A$7</c:f>
              <c:strCache>
                <c:ptCount val="1"/>
                <c:pt idx="0">
                  <c:v>Fat - Contest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fat!$B$7:$F$7</c:f>
              <c:numCache>
                <c:formatCode>_-* #,##0_-;\-* #,##0_-;_-* "-"??_-;_-@_-</c:formatCode>
                <c:ptCount val="5"/>
                <c:pt idx="0">
                  <c:v>408674.26833334641</c:v>
                </c:pt>
                <c:pt idx="1">
                  <c:v>342863.57566668832</c:v>
                </c:pt>
                <c:pt idx="2">
                  <c:v>446003.28420004167</c:v>
                </c:pt>
                <c:pt idx="3">
                  <c:v>347698.6795000126</c:v>
                </c:pt>
                <c:pt idx="4">
                  <c:v>381321.3706666691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41056"/>
        <c:axId val="121342592"/>
      </c:barChart>
      <c:lineChart>
        <c:grouping val="standard"/>
        <c:varyColors val="0"/>
        <c:ser>
          <c:idx val="2"/>
          <c:order val="3"/>
          <c:tx>
            <c:strRef>
              <c:f>fat!$A$2</c:f>
              <c:strCache>
                <c:ptCount val="1"/>
                <c:pt idx="0">
                  <c:v>Orçamento</c:v>
                </c:pt>
              </c:strCache>
            </c:strRef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fat!$B$2:$F$2</c:f>
              <c:numCache>
                <c:formatCode>_-* #,##0_-;\-* #,##0_-;_-* "-"??_-;_-@_-</c:formatCode>
                <c:ptCount val="5"/>
                <c:pt idx="0">
                  <c:v>504299.08309500018</c:v>
                </c:pt>
                <c:pt idx="1">
                  <c:v>499706.17079500016</c:v>
                </c:pt>
                <c:pt idx="2">
                  <c:v>504216.39909500018</c:v>
                </c:pt>
                <c:pt idx="3">
                  <c:v>516426.65204500034</c:v>
                </c:pt>
                <c:pt idx="4">
                  <c:v>518306.13776900031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41056"/>
        <c:axId val="121342592"/>
      </c:lineChart>
      <c:catAx>
        <c:axId val="1213410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342592"/>
        <c:crosses val="autoZero"/>
        <c:auto val="1"/>
        <c:lblAlgn val="ctr"/>
        <c:lblOffset val="100"/>
        <c:noMultiLvlLbl val="0"/>
      </c:catAx>
      <c:valAx>
        <c:axId val="12134259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213410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Faturamento Gestão</a:t>
            </a:r>
            <a:r>
              <a:rPr lang="pt-BR" baseline="0"/>
              <a:t> Serviços</a:t>
            </a:r>
            <a:endParaRPr lang="pt-B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fat!$A$25</c:f>
              <c:strCache>
                <c:ptCount val="1"/>
                <c:pt idx="0">
                  <c:v>Fat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fat!$B$24:$F$24</c:f>
              <c:strCache>
                <c:ptCount val="5"/>
                <c:pt idx="0">
                  <c:v>Jan Red 27%</c:v>
                </c:pt>
                <c:pt idx="1">
                  <c:v>Fev Red 18%</c:v>
                </c:pt>
                <c:pt idx="2">
                  <c:v>Mar Red 14%</c:v>
                </c:pt>
                <c:pt idx="3">
                  <c:v>Abr Red 16%</c:v>
                </c:pt>
                <c:pt idx="4">
                  <c:v>Mai Red 12%</c:v>
                </c:pt>
              </c:strCache>
            </c:strRef>
          </c:cat>
          <c:val>
            <c:numRef>
              <c:f>fat!$B$25:$F$25</c:f>
              <c:numCache>
                <c:formatCode>_-* #,##0_-;\-* #,##0_-;_-* "-"??_-;_-@_-</c:formatCode>
                <c:ptCount val="5"/>
                <c:pt idx="0">
                  <c:v>32852.965999999215</c:v>
                </c:pt>
                <c:pt idx="1">
                  <c:v>37032.269197999369</c:v>
                </c:pt>
                <c:pt idx="2">
                  <c:v>38807.33</c:v>
                </c:pt>
                <c:pt idx="3">
                  <c:v>38000</c:v>
                </c:pt>
                <c:pt idx="4">
                  <c:v>39424.18999999942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50"/>
        <c:axId val="136260224"/>
        <c:axId val="136488448"/>
      </c:barChart>
      <c:lineChart>
        <c:grouping val="standard"/>
        <c:varyColors val="0"/>
        <c:ser>
          <c:idx val="0"/>
          <c:order val="1"/>
          <c:tx>
            <c:strRef>
              <c:f>fat!$A$26</c:f>
              <c:strCache>
                <c:ptCount val="1"/>
                <c:pt idx="0">
                  <c:v>Orçado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fat!$B$24:$F$24</c:f>
              <c:strCache>
                <c:ptCount val="5"/>
                <c:pt idx="0">
                  <c:v>Jan Red 27%</c:v>
                </c:pt>
                <c:pt idx="1">
                  <c:v>Fev Red 18%</c:v>
                </c:pt>
                <c:pt idx="2">
                  <c:v>Mar Red 14%</c:v>
                </c:pt>
                <c:pt idx="3">
                  <c:v>Abr Red 16%</c:v>
                </c:pt>
                <c:pt idx="4">
                  <c:v>Mai Red 12%</c:v>
                </c:pt>
              </c:strCache>
            </c:strRef>
          </c:cat>
          <c:val>
            <c:numRef>
              <c:f>fat!$B$26:$F$26</c:f>
              <c:numCache>
                <c:formatCode>_-* #,##0_-;\-* #,##0_-;_-* "-"??_-;_-@_-</c:formatCode>
                <c:ptCount val="5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260224"/>
        <c:axId val="136488448"/>
      </c:lineChart>
      <c:catAx>
        <c:axId val="136260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136488448"/>
        <c:crosses val="autoZero"/>
        <c:auto val="1"/>
        <c:lblAlgn val="ctr"/>
        <c:lblOffset val="100"/>
        <c:noMultiLvlLbl val="0"/>
      </c:catAx>
      <c:valAx>
        <c:axId val="13648844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362602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Produtividade Equipe - Mar/15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EMAIL</c:v>
          </c:tx>
          <c:spPr>
            <a:solidFill>
              <a:schemeClr val="accent6"/>
            </a:solidFill>
          </c:spPr>
          <c:invertIfNegative val="0"/>
          <c:dLbls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374</c:v>
              </c:pt>
              <c:pt idx="1">
                <c:v>307</c:v>
              </c:pt>
              <c:pt idx="2">
                <c:v>60</c:v>
              </c:pt>
              <c:pt idx="3">
                <c:v>37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</c:ser>
        <c:ser>
          <c:idx val="1"/>
          <c:order val="1"/>
          <c:tx>
            <c:v>CHAMADOS</c:v>
          </c:tx>
          <c:invertIfNegative val="0"/>
          <c:dLbls>
            <c:dLbl>
              <c:idx val="5"/>
              <c:layout>
                <c:manualLayout>
                  <c:x val="0"/>
                  <c:y val="-0.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8.5863232137381174E-3"/>
                  <c:y val="-7.0000000000000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30</c:v>
              </c:pt>
              <c:pt idx="1">
                <c:v>23</c:v>
              </c:pt>
              <c:pt idx="2">
                <c:v>46</c:v>
              </c:pt>
              <c:pt idx="3">
                <c:v>26</c:v>
              </c:pt>
              <c:pt idx="4">
                <c:v>39</c:v>
              </c:pt>
              <c:pt idx="5">
                <c:v>9</c:v>
              </c:pt>
              <c:pt idx="6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74824064"/>
        <c:axId val="175010560"/>
      </c:barChart>
      <c:catAx>
        <c:axId val="174824064"/>
        <c:scaling>
          <c:orientation val="minMax"/>
        </c:scaling>
        <c:delete val="0"/>
        <c:axPos val="b"/>
        <c:majorTickMark val="none"/>
        <c:minorTickMark val="none"/>
        <c:tickLblPos val="nextTo"/>
        <c:crossAx val="175010560"/>
        <c:crosses val="autoZero"/>
        <c:auto val="1"/>
        <c:lblAlgn val="ctr"/>
        <c:lblOffset val="100"/>
        <c:noMultiLvlLbl val="0"/>
      </c:catAx>
      <c:valAx>
        <c:axId val="175010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8240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404</c:v>
              </c:pt>
              <c:pt idx="1">
                <c:v>330</c:v>
              </c:pt>
              <c:pt idx="2">
                <c:v>106</c:v>
              </c:pt>
              <c:pt idx="3">
                <c:v>63</c:v>
              </c:pt>
              <c:pt idx="4">
                <c:v>39</c:v>
              </c:pt>
              <c:pt idx="5">
                <c:v>9</c:v>
              </c:pt>
              <c:pt idx="6">
                <c:v>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92320"/>
        <c:axId val="176870144"/>
      </c:lineChart>
      <c:catAx>
        <c:axId val="175192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76870144"/>
        <c:crosses val="autoZero"/>
        <c:auto val="1"/>
        <c:lblAlgn val="ctr"/>
        <c:lblOffset val="100"/>
        <c:noMultiLvlLbl val="0"/>
      </c:catAx>
      <c:valAx>
        <c:axId val="176870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19232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Produtividade Equipe - Mar/15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email</c:v>
          </c:tx>
          <c:spPr>
            <a:solidFill>
              <a:schemeClr val="accent6"/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73</c:v>
              </c:pt>
              <c:pt idx="1">
                <c:v>18</c:v>
              </c:pt>
              <c:pt idx="2">
                <c:v>43</c:v>
              </c:pt>
              <c:pt idx="3">
                <c:v>0</c:v>
              </c:pt>
              <c:pt idx="4">
                <c:v>9</c:v>
              </c:pt>
              <c:pt idx="5">
                <c:v>0</c:v>
              </c:pt>
            </c:numLit>
          </c:val>
        </c:ser>
        <c:ser>
          <c:idx val="1"/>
          <c:order val="1"/>
          <c:tx>
            <c:v>Chamado</c:v>
          </c:tx>
          <c:invertIfNegative val="0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19</c:v>
              </c:pt>
              <c:pt idx="1">
                <c:v>64</c:v>
              </c:pt>
              <c:pt idx="2">
                <c:v>23</c:v>
              </c:pt>
              <c:pt idx="3">
                <c:v>25</c:v>
              </c:pt>
              <c:pt idx="4">
                <c:v>15</c:v>
              </c:pt>
              <c:pt idx="5">
                <c:v>15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3882496"/>
        <c:axId val="203884032"/>
      </c:barChart>
      <c:catAx>
        <c:axId val="203882496"/>
        <c:scaling>
          <c:orientation val="minMax"/>
        </c:scaling>
        <c:delete val="0"/>
        <c:axPos val="b"/>
        <c:majorTickMark val="none"/>
        <c:minorTickMark val="none"/>
        <c:tickLblPos val="nextTo"/>
        <c:crossAx val="203884032"/>
        <c:crosses val="autoZero"/>
        <c:auto val="1"/>
        <c:lblAlgn val="ctr"/>
        <c:lblOffset val="100"/>
        <c:noMultiLvlLbl val="0"/>
      </c:catAx>
      <c:valAx>
        <c:axId val="203884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38824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92</c:v>
              </c:pt>
              <c:pt idx="1">
                <c:v>82</c:v>
              </c:pt>
              <c:pt idx="2">
                <c:v>66</c:v>
              </c:pt>
              <c:pt idx="3">
                <c:v>25</c:v>
              </c:pt>
              <c:pt idx="4">
                <c:v>24</c:v>
              </c:pt>
              <c:pt idx="5">
                <c:v>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22688"/>
        <c:axId val="204324224"/>
      </c:lineChart>
      <c:catAx>
        <c:axId val="204322688"/>
        <c:scaling>
          <c:orientation val="minMax"/>
        </c:scaling>
        <c:delete val="1"/>
        <c:axPos val="b"/>
        <c:majorTickMark val="out"/>
        <c:minorTickMark val="none"/>
        <c:tickLblPos val="nextTo"/>
        <c:crossAx val="204324224"/>
        <c:crosses val="autoZero"/>
        <c:auto val="1"/>
        <c:lblAlgn val="ctr"/>
        <c:lblOffset val="100"/>
        <c:noMultiLvlLbl val="0"/>
      </c:catAx>
      <c:valAx>
        <c:axId val="2043242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43226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Produtividade Equipe - Abr/15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PRODUTIVIDADE!$K$23</c:f>
              <c:strCache>
                <c:ptCount val="1"/>
                <c:pt idx="0">
                  <c:v>Vol. Chamados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PRODUTIVIDADE!$C$24:$C$27</c:f>
              <c:strCache>
                <c:ptCount val="4"/>
                <c:pt idx="0">
                  <c:v>CARLOS HENRIQUE UMETA DE MOURA</c:v>
                </c:pt>
                <c:pt idx="1">
                  <c:v>JAYNE RUGIERI DA SILVA</c:v>
                </c:pt>
                <c:pt idx="2">
                  <c:v>JONATAS DE OLIVEIRA</c:v>
                </c:pt>
                <c:pt idx="3">
                  <c:v>ROBERTO JOSE DIAS MENDES</c:v>
                </c:pt>
              </c:strCache>
            </c:strRef>
          </c:cat>
          <c:val>
            <c:numRef>
              <c:f>PRODUTIVIDADE!$K$24:$K$27</c:f>
              <c:numCache>
                <c:formatCode>General</c:formatCode>
                <c:ptCount val="4"/>
                <c:pt idx="0">
                  <c:v>72</c:v>
                </c:pt>
                <c:pt idx="1">
                  <c:v>136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8857728"/>
        <c:axId val="209245696"/>
      </c:barChart>
      <c:catAx>
        <c:axId val="208857728"/>
        <c:scaling>
          <c:orientation val="minMax"/>
        </c:scaling>
        <c:delete val="0"/>
        <c:axPos val="b"/>
        <c:majorTickMark val="none"/>
        <c:minorTickMark val="none"/>
        <c:tickLblPos val="nextTo"/>
        <c:crossAx val="209245696"/>
        <c:crosses val="autoZero"/>
        <c:auto val="1"/>
        <c:lblAlgn val="ctr"/>
        <c:lblOffset val="100"/>
        <c:noMultiLvlLbl val="0"/>
      </c:catAx>
      <c:valAx>
        <c:axId val="209245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8857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pPr>
                <a:solidFill>
                  <a:schemeClr val="accent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chemeClr val="accent2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PRODUTIVIDADE!$H$24:$H$27</c:f>
              <c:numCache>
                <c:formatCode>0%</c:formatCode>
                <c:ptCount val="4"/>
                <c:pt idx="0">
                  <c:v>0.91666666666666663</c:v>
                </c:pt>
                <c:pt idx="1">
                  <c:v>0.9779411764705882</c:v>
                </c:pt>
                <c:pt idx="2">
                  <c:v>1</c:v>
                </c:pt>
                <c:pt idx="3">
                  <c:v>0.8571428571428571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35872"/>
        <c:axId val="263937408"/>
      </c:lineChart>
      <c:catAx>
        <c:axId val="263935872"/>
        <c:scaling>
          <c:orientation val="minMax"/>
        </c:scaling>
        <c:delete val="1"/>
        <c:axPos val="b"/>
        <c:majorTickMark val="out"/>
        <c:minorTickMark val="none"/>
        <c:tickLblPos val="nextTo"/>
        <c:crossAx val="263937408"/>
        <c:crosses val="autoZero"/>
        <c:auto val="1"/>
        <c:lblAlgn val="ctr"/>
        <c:lblOffset val="100"/>
        <c:noMultiLvlLbl val="0"/>
      </c:catAx>
      <c:valAx>
        <c:axId val="26393740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26393587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68036</xdr:colOff>
      <xdr:row>3</xdr:row>
      <xdr:rowOff>1</xdr:rowOff>
    </xdr:from>
    <xdr:to>
      <xdr:col>40</xdr:col>
      <xdr:colOff>0</xdr:colOff>
      <xdr:row>7</xdr:row>
      <xdr:rowOff>326573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54427</xdr:colOff>
      <xdr:row>7</xdr:row>
      <xdr:rowOff>598714</xdr:rowOff>
    </xdr:from>
    <xdr:to>
      <xdr:col>39</xdr:col>
      <xdr:colOff>598714</xdr:colOff>
      <xdr:row>12</xdr:row>
      <xdr:rowOff>557893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54430</xdr:colOff>
      <xdr:row>13</xdr:row>
      <xdr:rowOff>272143</xdr:rowOff>
    </xdr:from>
    <xdr:to>
      <xdr:col>40</xdr:col>
      <xdr:colOff>1</xdr:colOff>
      <xdr:row>21</xdr:row>
      <xdr:rowOff>285751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133349</xdr:rowOff>
    </xdr:from>
    <xdr:to>
      <xdr:col>19</xdr:col>
      <xdr:colOff>152400</xdr:colOff>
      <xdr:row>28</xdr:row>
      <xdr:rowOff>116096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49"/>
          <a:ext cx="11125200" cy="37165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190499</xdr:colOff>
      <xdr:row>2</xdr:row>
      <xdr:rowOff>0</xdr:rowOff>
    </xdr:from>
    <xdr:to>
      <xdr:col>17</xdr:col>
      <xdr:colOff>590549</xdr:colOff>
      <xdr:row>6</xdr:row>
      <xdr:rowOff>95250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190499</xdr:colOff>
      <xdr:row>2</xdr:row>
      <xdr:rowOff>0</xdr:rowOff>
    </xdr:from>
    <xdr:to>
      <xdr:col>17</xdr:col>
      <xdr:colOff>590549</xdr:colOff>
      <xdr:row>6</xdr:row>
      <xdr:rowOff>95250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190498</xdr:colOff>
      <xdr:row>2</xdr:row>
      <xdr:rowOff>0</xdr:rowOff>
    </xdr:from>
    <xdr:to>
      <xdr:col>19</xdr:col>
      <xdr:colOff>514349</xdr:colOff>
      <xdr:row>6</xdr:row>
      <xdr:rowOff>95250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313764</xdr:colOff>
      <xdr:row>3</xdr:row>
      <xdr:rowOff>123265</xdr:rowOff>
    </xdr:from>
    <xdr:to>
      <xdr:col>13</xdr:col>
      <xdr:colOff>369793</xdr:colOff>
      <xdr:row>21</xdr:row>
      <xdr:rowOff>150575</xdr:rowOff>
    </xdr:to>
    <xdr:pic>
      <xdr:nvPicPr>
        <xdr:cNvPr id="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4470" y="694765"/>
          <a:ext cx="4291852" cy="3456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ela1" displayName="Tabela1" ref="A1:AR20" totalsRowShown="0" headerRowDxfId="7" dataDxfId="6">
  <autoFilter ref="A1:AR20"/>
  <sortState ref="A2:AZ20">
    <sortCondition ref="E2"/>
  </sortState>
  <tableColumns count="44">
    <tableColumn id="1" name="Type Symbol" dataDxfId="45"/>
    <tableColumn id="2" name="Número de chamado" dataDxfId="44"/>
    <tableColumn id="48" name="Causa Raiz Faixa Idade" dataDxfId="2"/>
    <tableColumn id="49" name="motivo causa Raiz" dataDxfId="1"/>
    <tableColumn id="25" name="Semana" dataDxfId="0"/>
    <tableColumn id="4" name="Número de problema" dataDxfId="43"/>
    <tableColumn id="5" name="Ticket Externo" dataDxfId="42"/>
    <tableColumn id="6" name="SLA Violado" dataDxfId="41"/>
    <tableColumn id="7" name="Data de Abertura" dataDxfId="40"/>
    <tableColumn id="8" name="Data de Solução" dataDxfId="39"/>
    <tableColumn id="9" name="Prioridade" dataDxfId="38"/>
    <tableColumn id="10" name="Urgência" dataDxfId="37"/>
    <tableColumn id="11" name="Impacto" dataDxfId="36"/>
    <tableColumn id="12" name="Data de Fechamento" dataDxfId="35"/>
    <tableColumn id="13" name="Sumario" dataDxfId="34"/>
    <tableColumn id="14" name="Descrição" dataDxfId="33"/>
    <tableColumn id="15" name="Grupo" dataDxfId="32"/>
    <tableColumn id="16" name="Categoria do Chamado" dataDxfId="31"/>
    <tableColumn id="17" name="SLA da Categoria" dataDxfId="30"/>
    <tableColumn id="18" name="Usuário final afetado" dataDxfId="29"/>
    <tableColumn id="19" name="Responsável" dataDxfId="28"/>
    <tableColumn id="20" name="Relatado Por" dataDxfId="27"/>
    <tableColumn id="21" name="Gestor" dataDxfId="26"/>
    <tableColumn id="22" name="Sub_Gestor" dataDxfId="25"/>
    <tableColumn id="23" name="Origem" dataDxfId="24"/>
    <tableColumn id="24" name="Localidade" dataDxfId="23"/>
    <tableColumn id="26" name="Publico" dataDxfId="22"/>
    <tableColumn id="27" name="Data congelamento" dataDxfId="21"/>
    <tableColumn id="28" name="Responsavel" dataDxfId="20"/>
    <tableColumn id="29" name="Equipe" dataDxfId="19"/>
    <tableColumn id="30" name="Equipe Tratamento Chamado" dataDxfId="18"/>
    <tableColumn id="31" name="Classe" dataDxfId="17"/>
    <tableColumn id="32" name="SLA CA" dataDxfId="16"/>
    <tableColumn id="33" name="Status atual" dataDxfId="15"/>
    <tableColumn id="34" name="Dt de corte" dataDxfId="14"/>
    <tableColumn id="35" name="Dt Atualização" dataDxfId="13"/>
    <tableColumn id="36" name="Qtde horas desde o congelamento" dataDxfId="5"/>
    <tableColumn id="37" name="Status na data de corte" dataDxfId="12"/>
    <tableColumn id="38" name="Qtds horas do chamado" dataDxfId="4"/>
    <tableColumn id="39" name="tempo em dias" dataDxfId="11"/>
    <tableColumn id="40" name="Faixa Idade" dataDxfId="10"/>
    <tableColumn id="41" name="One Page" dataDxfId="9"/>
    <tableColumn id="42" name="SLA CAD" dataDxfId="3"/>
    <tableColumn id="45" name="Pub. One Pag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"/>
  <sheetViews>
    <sheetView showGridLines="0"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RowHeight="17.25" x14ac:dyDescent="0.35"/>
  <cols>
    <col min="1" max="1" width="0.7109375" style="50" customWidth="1"/>
    <col min="2" max="2" width="5" style="2" customWidth="1"/>
    <col min="3" max="3" width="21.42578125" style="49" customWidth="1"/>
    <col min="4" max="4" width="30.28515625" style="2" customWidth="1"/>
    <col min="5" max="7" width="10.28515625" style="2" customWidth="1"/>
    <col min="8" max="8" width="10.5703125" style="2" customWidth="1"/>
    <col min="9" max="9" width="8.140625" style="2" customWidth="1"/>
    <col min="10" max="10" width="8.5703125" style="2" bestFit="1" customWidth="1"/>
    <col min="11" max="12" width="10.140625" style="2" bestFit="1" customWidth="1"/>
    <col min="13" max="13" width="12.140625" style="2" bestFit="1" customWidth="1"/>
    <col min="14" max="14" width="2.42578125" style="2" customWidth="1"/>
    <col min="15" max="18" width="10.5703125" style="2" customWidth="1"/>
    <col min="19" max="19" width="12" style="2" customWidth="1"/>
    <col min="20" max="20" width="0" style="50" hidden="1" customWidth="1"/>
    <col min="21" max="24" width="9.140625" style="50" hidden="1" customWidth="1"/>
    <col min="25" max="25" width="0.5703125" style="44" customWidth="1"/>
    <col min="26" max="26" width="6.7109375" style="2" bestFit="1" customWidth="1"/>
    <col min="27" max="30" width="8.140625" style="2" customWidth="1"/>
    <col min="31" max="16384" width="9.140625" style="2"/>
  </cols>
  <sheetData>
    <row r="1" spans="1:40" ht="18" thickBot="1" x14ac:dyDescent="0.4">
      <c r="B1" s="86" t="s">
        <v>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90"/>
      <c r="N1" s="1"/>
      <c r="O1" s="86" t="s">
        <v>17</v>
      </c>
      <c r="P1" s="87"/>
      <c r="Q1" s="87"/>
      <c r="R1" s="87"/>
      <c r="S1" s="87"/>
      <c r="Z1" s="83" t="s">
        <v>36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</row>
    <row r="2" spans="1:40" ht="18" thickBot="1" x14ac:dyDescent="0.4">
      <c r="B2" s="15"/>
      <c r="C2" s="17" t="s">
        <v>9</v>
      </c>
      <c r="D2" s="16" t="s">
        <v>0</v>
      </c>
      <c r="E2" s="8" t="s">
        <v>15</v>
      </c>
      <c r="F2" s="8" t="s">
        <v>3</v>
      </c>
      <c r="G2" s="8" t="s">
        <v>10</v>
      </c>
      <c r="H2" s="8" t="s">
        <v>16</v>
      </c>
      <c r="I2" s="8" t="s">
        <v>11</v>
      </c>
      <c r="J2" s="8" t="s">
        <v>12</v>
      </c>
      <c r="K2" s="8" t="s">
        <v>13</v>
      </c>
      <c r="L2" s="8" t="s">
        <v>31</v>
      </c>
      <c r="M2" s="8" t="s">
        <v>14</v>
      </c>
      <c r="N2" s="88"/>
      <c r="O2" s="8" t="s">
        <v>11</v>
      </c>
      <c r="P2" s="8" t="s">
        <v>12</v>
      </c>
      <c r="Q2" s="8" t="s">
        <v>13</v>
      </c>
      <c r="R2" s="8" t="s">
        <v>31</v>
      </c>
      <c r="S2" s="8" t="s">
        <v>18</v>
      </c>
      <c r="Z2" s="8" t="s">
        <v>33</v>
      </c>
      <c r="AA2" s="8" t="s">
        <v>34</v>
      </c>
      <c r="AB2" s="8" t="s">
        <v>35</v>
      </c>
      <c r="AC2" s="8" t="s">
        <v>40</v>
      </c>
      <c r="AD2" s="8" t="s">
        <v>58</v>
      </c>
      <c r="AE2" s="84" t="s">
        <v>18</v>
      </c>
      <c r="AF2" s="85"/>
      <c r="AG2" s="85"/>
      <c r="AH2" s="85"/>
      <c r="AI2" s="85"/>
      <c r="AJ2" s="85"/>
      <c r="AK2" s="85"/>
      <c r="AL2" s="85"/>
      <c r="AM2" s="85"/>
      <c r="AN2" s="85"/>
    </row>
    <row r="3" spans="1:40" ht="7.5" customHeight="1" thickBot="1" x14ac:dyDescent="0.4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0"/>
      <c r="N3" s="88"/>
      <c r="O3" s="20"/>
      <c r="P3" s="20"/>
      <c r="Q3" s="20"/>
      <c r="R3" s="20"/>
      <c r="S3" s="20"/>
      <c r="Z3" s="60">
        <v>0.9</v>
      </c>
      <c r="AA3" s="60">
        <v>0.9</v>
      </c>
      <c r="AB3" s="60">
        <v>0.9</v>
      </c>
      <c r="AC3" s="60">
        <v>0.9</v>
      </c>
      <c r="AD3" s="60">
        <v>0.9</v>
      </c>
      <c r="AE3" s="61"/>
      <c r="AF3" s="61"/>
      <c r="AG3" s="61"/>
      <c r="AH3" s="61"/>
      <c r="AI3" s="61"/>
      <c r="AJ3" s="61"/>
      <c r="AK3" s="61"/>
      <c r="AL3" s="61"/>
      <c r="AM3" s="61"/>
      <c r="AN3" s="61"/>
    </row>
    <row r="4" spans="1:40" s="28" customFormat="1" ht="49.5" customHeight="1" thickBot="1" x14ac:dyDescent="0.3">
      <c r="A4" s="51" t="str">
        <f>$C$4&amp;D4</f>
        <v>AdministrativoDúvidas</v>
      </c>
      <c r="B4" s="91" t="s">
        <v>2</v>
      </c>
      <c r="C4" s="70" t="s">
        <v>4</v>
      </c>
      <c r="D4" s="19" t="s">
        <v>97</v>
      </c>
      <c r="E4" s="9">
        <v>0.8</v>
      </c>
      <c r="F4" s="10">
        <v>0.9</v>
      </c>
      <c r="G4" s="10">
        <f t="shared" ref="G4:G19" si="0">AVERAGE(I4:L4)</f>
        <v>1</v>
      </c>
      <c r="H4" s="27">
        <f t="shared" ref="H4:H22" si="1">IF(G4&lt;F4,-1,1)</f>
        <v>1</v>
      </c>
      <c r="I4" s="10">
        <v>1</v>
      </c>
      <c r="J4" s="10">
        <v>1</v>
      </c>
      <c r="K4" s="10">
        <v>1</v>
      </c>
      <c r="L4" s="10">
        <v>1</v>
      </c>
      <c r="M4" s="56">
        <v>1</v>
      </c>
      <c r="N4" s="89"/>
      <c r="O4" s="23">
        <v>4</v>
      </c>
      <c r="P4" s="23">
        <v>7</v>
      </c>
      <c r="Q4" s="23">
        <v>2</v>
      </c>
      <c r="R4" s="23">
        <v>4</v>
      </c>
      <c r="S4" s="23"/>
      <c r="T4" s="51">
        <f t="shared" ref="T4:T16" si="2">IF(J4&lt;I4,-1,1)</f>
        <v>1</v>
      </c>
      <c r="U4" s="51">
        <f t="shared" ref="U4:U16" si="3">IF(J4&lt;I4,-1,1)</f>
        <v>1</v>
      </c>
      <c r="V4" s="51">
        <f t="shared" ref="V4:V16" si="4">IF(K4&lt;J4,-1,1)</f>
        <v>1</v>
      </c>
      <c r="W4" s="51">
        <f t="shared" ref="W4:W16" si="5">IF(L4&lt;K4,-1,1)</f>
        <v>1</v>
      </c>
      <c r="X4" s="51" t="e">
        <f>IF(#REF!&lt;L4,-1,1)</f>
        <v>#REF!</v>
      </c>
      <c r="Y4" s="45"/>
      <c r="Z4" s="93">
        <v>0.66999999999999993</v>
      </c>
      <c r="AA4" s="93">
        <v>0.88390151515151516</v>
      </c>
      <c r="AB4" s="93">
        <v>0.91579324379324389</v>
      </c>
      <c r="AC4" s="96">
        <v>0.94</v>
      </c>
      <c r="AD4" s="96">
        <f>G22</f>
        <v>0.96620169352706131</v>
      </c>
    </row>
    <row r="5" spans="1:40" s="28" customFormat="1" ht="49.5" customHeight="1" thickBot="1" x14ac:dyDescent="0.3">
      <c r="A5" s="51" t="str">
        <f t="shared" ref="A5:A6" si="6">$C$4&amp;D5</f>
        <v>AdministrativoSolic. Linha/Bloqueio/Conf. de serviços</v>
      </c>
      <c r="B5" s="92"/>
      <c r="C5" s="71"/>
      <c r="D5" s="25" t="s">
        <v>217</v>
      </c>
      <c r="E5" s="26">
        <v>0.8</v>
      </c>
      <c r="F5" s="7">
        <v>0.9</v>
      </c>
      <c r="G5" s="18">
        <f t="shared" si="0"/>
        <v>0.93756684491978604</v>
      </c>
      <c r="H5" s="29">
        <f t="shared" si="1"/>
        <v>1</v>
      </c>
      <c r="I5" s="18">
        <v>0.94117647058823528</v>
      </c>
      <c r="J5" s="18">
        <v>0.90909090909090906</v>
      </c>
      <c r="K5" s="18">
        <v>0.9</v>
      </c>
      <c r="L5" s="18">
        <v>1</v>
      </c>
      <c r="M5" s="59">
        <v>1</v>
      </c>
      <c r="N5" s="89"/>
      <c r="O5" s="24">
        <v>17</v>
      </c>
      <c r="P5" s="24">
        <v>22</v>
      </c>
      <c r="Q5" s="24">
        <v>10</v>
      </c>
      <c r="R5" s="24">
        <v>8</v>
      </c>
      <c r="S5" s="24"/>
      <c r="T5" s="51">
        <f t="shared" si="2"/>
        <v>-1</v>
      </c>
      <c r="U5" s="51">
        <f t="shared" si="3"/>
        <v>-1</v>
      </c>
      <c r="V5" s="51">
        <f t="shared" si="4"/>
        <v>-1</v>
      </c>
      <c r="W5" s="51">
        <f t="shared" si="5"/>
        <v>1</v>
      </c>
      <c r="X5" s="51" t="e">
        <f>IF(#REF!&lt;L5,-1,1)</f>
        <v>#REF!</v>
      </c>
      <c r="Y5" s="45"/>
      <c r="Z5" s="94"/>
      <c r="AA5" s="94"/>
      <c r="AB5" s="94"/>
      <c r="AC5" s="97"/>
      <c r="AD5" s="97"/>
    </row>
    <row r="6" spans="1:40" s="28" customFormat="1" ht="49.5" customHeight="1" thickBot="1" x14ac:dyDescent="0.3">
      <c r="A6" s="51" t="str">
        <f t="shared" si="6"/>
        <v>AdministrativoSolic.Reparo/Novos Aparelhos e Transf. Linhas</v>
      </c>
      <c r="B6" s="92"/>
      <c r="C6" s="70"/>
      <c r="D6" s="19" t="s">
        <v>218</v>
      </c>
      <c r="E6" s="9">
        <v>0.8</v>
      </c>
      <c r="F6" s="10">
        <v>0.9</v>
      </c>
      <c r="G6" s="10">
        <f t="shared" si="0"/>
        <v>0.97115384615384615</v>
      </c>
      <c r="H6" s="27">
        <f t="shared" si="1"/>
        <v>1</v>
      </c>
      <c r="I6" s="10">
        <v>0.88461538461538458</v>
      </c>
      <c r="J6" s="10">
        <v>1</v>
      </c>
      <c r="K6" s="10">
        <v>1</v>
      </c>
      <c r="L6" s="10">
        <v>1</v>
      </c>
      <c r="M6" s="56">
        <v>1</v>
      </c>
      <c r="N6" s="89"/>
      <c r="O6" s="23">
        <v>26</v>
      </c>
      <c r="P6" s="23">
        <v>51</v>
      </c>
      <c r="Q6" s="23">
        <v>28</v>
      </c>
      <c r="R6" s="23">
        <v>24</v>
      </c>
      <c r="S6" s="23"/>
      <c r="T6" s="51">
        <f t="shared" si="2"/>
        <v>1</v>
      </c>
      <c r="U6" s="51">
        <f t="shared" si="3"/>
        <v>1</v>
      </c>
      <c r="V6" s="51">
        <f t="shared" si="4"/>
        <v>1</v>
      </c>
      <c r="W6" s="51">
        <f t="shared" si="5"/>
        <v>1</v>
      </c>
      <c r="X6" s="51" t="e">
        <f>IF(#REF!&lt;L6,-1,1)</f>
        <v>#REF!</v>
      </c>
      <c r="Y6" s="45"/>
      <c r="Z6" s="94"/>
      <c r="AA6" s="94"/>
      <c r="AB6" s="94"/>
      <c r="AC6" s="97"/>
      <c r="AD6" s="97"/>
    </row>
    <row r="7" spans="1:40" s="28" customFormat="1" ht="49.5" customHeight="1" thickBot="1" x14ac:dyDescent="0.3">
      <c r="A7" s="51" t="str">
        <f>$C$7&amp;D7</f>
        <v>Solicitações Relatorios/Alt. Cadastro/Multa</v>
      </c>
      <c r="B7" s="92"/>
      <c r="C7" s="71"/>
      <c r="D7" s="25" t="s">
        <v>142</v>
      </c>
      <c r="E7" s="26">
        <v>0.8</v>
      </c>
      <c r="F7" s="7">
        <v>0.9</v>
      </c>
      <c r="G7" s="18">
        <f t="shared" si="0"/>
        <v>1</v>
      </c>
      <c r="H7" s="29">
        <f t="shared" si="1"/>
        <v>1</v>
      </c>
      <c r="I7" s="18">
        <v>1</v>
      </c>
      <c r="J7" s="18">
        <v>1</v>
      </c>
      <c r="K7" s="18">
        <v>1</v>
      </c>
      <c r="L7" s="18">
        <v>1</v>
      </c>
      <c r="M7" s="55">
        <v>1</v>
      </c>
      <c r="N7" s="89"/>
      <c r="O7" s="24">
        <v>3</v>
      </c>
      <c r="P7" s="24">
        <v>12</v>
      </c>
      <c r="Q7" s="24">
        <v>14</v>
      </c>
      <c r="R7" s="24">
        <v>8</v>
      </c>
      <c r="S7" s="24"/>
      <c r="T7" s="51">
        <f t="shared" si="2"/>
        <v>1</v>
      </c>
      <c r="U7" s="51">
        <f t="shared" si="3"/>
        <v>1</v>
      </c>
      <c r="V7" s="51">
        <f t="shared" si="4"/>
        <v>1</v>
      </c>
      <c r="W7" s="51">
        <f t="shared" si="5"/>
        <v>1</v>
      </c>
      <c r="X7" s="51" t="e">
        <f>IF(#REF!&lt;L7,-1,1)</f>
        <v>#REF!</v>
      </c>
      <c r="Y7" s="45"/>
      <c r="Z7" s="94"/>
      <c r="AA7" s="94"/>
      <c r="AB7" s="94"/>
      <c r="AC7" s="97"/>
      <c r="AD7" s="97"/>
    </row>
    <row r="8" spans="1:40" s="28" customFormat="1" ht="49.5" customHeight="1" thickBot="1" x14ac:dyDescent="0.3">
      <c r="A8" s="51" t="str">
        <f t="shared" ref="A8:A9" si="7">$C$7&amp;D8</f>
        <v>Dúvidas</v>
      </c>
      <c r="B8" s="92"/>
      <c r="C8" s="70" t="s">
        <v>5</v>
      </c>
      <c r="D8" s="19" t="s">
        <v>97</v>
      </c>
      <c r="E8" s="9">
        <v>0.8</v>
      </c>
      <c r="F8" s="10">
        <v>0.9</v>
      </c>
      <c r="G8" s="10">
        <f t="shared" si="0"/>
        <v>1</v>
      </c>
      <c r="H8" s="27">
        <f t="shared" si="1"/>
        <v>1</v>
      </c>
      <c r="I8" s="10">
        <v>1</v>
      </c>
      <c r="J8" s="10">
        <v>1</v>
      </c>
      <c r="K8" s="10">
        <v>1</v>
      </c>
      <c r="L8" s="10">
        <v>1</v>
      </c>
      <c r="M8" s="56">
        <v>1</v>
      </c>
      <c r="N8" s="89"/>
      <c r="O8" s="23">
        <v>3</v>
      </c>
      <c r="P8" s="23">
        <v>2</v>
      </c>
      <c r="Q8" s="23">
        <v>1</v>
      </c>
      <c r="R8" s="23">
        <v>1</v>
      </c>
      <c r="S8" s="23"/>
      <c r="T8" s="51">
        <f t="shared" si="2"/>
        <v>1</v>
      </c>
      <c r="U8" s="51">
        <f t="shared" si="3"/>
        <v>1</v>
      </c>
      <c r="V8" s="51">
        <f t="shared" si="4"/>
        <v>1</v>
      </c>
      <c r="W8" s="51">
        <f t="shared" si="5"/>
        <v>1</v>
      </c>
      <c r="X8" s="51" t="e">
        <f>IF(#REF!&lt;L8,-1,1)</f>
        <v>#REF!</v>
      </c>
      <c r="Y8" s="45"/>
      <c r="Z8" s="94"/>
      <c r="AA8" s="94"/>
      <c r="AB8" s="94"/>
      <c r="AC8" s="97"/>
      <c r="AD8" s="97"/>
    </row>
    <row r="9" spans="1:40" s="28" customFormat="1" ht="49.5" customHeight="1" thickBot="1" x14ac:dyDescent="0.3">
      <c r="A9" s="51" t="str">
        <f t="shared" si="7"/>
        <v>Solic. Linha/Bloqueio/Conf. de serviços</v>
      </c>
      <c r="B9" s="92"/>
      <c r="C9" s="71"/>
      <c r="D9" s="25" t="s">
        <v>217</v>
      </c>
      <c r="E9" s="26">
        <v>0.8</v>
      </c>
      <c r="F9" s="7">
        <v>0.9</v>
      </c>
      <c r="G9" s="18">
        <f t="shared" si="0"/>
        <v>0.85714285714285721</v>
      </c>
      <c r="H9" s="29">
        <f t="shared" si="1"/>
        <v>-1</v>
      </c>
      <c r="I9" s="18">
        <v>0.5</v>
      </c>
      <c r="J9" s="18">
        <v>0.9285714285714286</v>
      </c>
      <c r="K9" s="18">
        <v>1</v>
      </c>
      <c r="L9" s="18">
        <v>1</v>
      </c>
      <c r="M9" s="55">
        <v>1</v>
      </c>
      <c r="N9" s="89"/>
      <c r="O9" s="24">
        <v>4</v>
      </c>
      <c r="P9" s="24">
        <v>14</v>
      </c>
      <c r="Q9" s="24">
        <v>9</v>
      </c>
      <c r="R9" s="24">
        <v>8</v>
      </c>
      <c r="S9" s="24"/>
      <c r="T9" s="51">
        <f t="shared" si="2"/>
        <v>1</v>
      </c>
      <c r="U9" s="51">
        <f t="shared" si="3"/>
        <v>1</v>
      </c>
      <c r="V9" s="51">
        <f t="shared" si="4"/>
        <v>1</v>
      </c>
      <c r="W9" s="51">
        <f t="shared" si="5"/>
        <v>1</v>
      </c>
      <c r="X9" s="51" t="e">
        <f>IF(#REF!&lt;L9,-1,1)</f>
        <v>#REF!</v>
      </c>
      <c r="Y9" s="45"/>
      <c r="Z9" s="94"/>
      <c r="AA9" s="94"/>
      <c r="AB9" s="94"/>
      <c r="AC9" s="97"/>
      <c r="AD9" s="97"/>
    </row>
    <row r="10" spans="1:40" s="28" customFormat="1" ht="49.5" customHeight="1" thickBot="1" x14ac:dyDescent="0.3">
      <c r="A10" s="51" t="str">
        <f>$C$10&amp;D10</f>
        <v>Solic.Reparo/Novos Aparelhos e Transf. Linhas</v>
      </c>
      <c r="B10" s="92"/>
      <c r="C10" s="70"/>
      <c r="D10" s="19" t="s">
        <v>218</v>
      </c>
      <c r="E10" s="9">
        <v>0.8</v>
      </c>
      <c r="F10" s="10">
        <v>0.9</v>
      </c>
      <c r="G10" s="10">
        <f t="shared" si="0"/>
        <v>0.96375</v>
      </c>
      <c r="H10" s="27">
        <f t="shared" si="1"/>
        <v>1</v>
      </c>
      <c r="I10" s="10">
        <v>0.875</v>
      </c>
      <c r="J10" s="10">
        <v>0.98</v>
      </c>
      <c r="K10" s="10">
        <v>1</v>
      </c>
      <c r="L10" s="10">
        <v>1</v>
      </c>
      <c r="M10" s="56">
        <v>1</v>
      </c>
      <c r="N10" s="89"/>
      <c r="O10" s="23">
        <v>48</v>
      </c>
      <c r="P10" s="23">
        <v>50</v>
      </c>
      <c r="Q10" s="23">
        <v>21</v>
      </c>
      <c r="R10" s="23">
        <v>15</v>
      </c>
      <c r="S10" s="23"/>
      <c r="T10" s="51">
        <f t="shared" si="2"/>
        <v>1</v>
      </c>
      <c r="U10" s="51">
        <f t="shared" si="3"/>
        <v>1</v>
      </c>
      <c r="V10" s="51">
        <f t="shared" si="4"/>
        <v>1</v>
      </c>
      <c r="W10" s="51">
        <f t="shared" si="5"/>
        <v>1</v>
      </c>
      <c r="X10" s="51" t="e">
        <f>IF(#REF!&lt;L10,-1,1)</f>
        <v>#REF!</v>
      </c>
      <c r="Y10" s="45"/>
      <c r="Z10" s="94"/>
      <c r="AA10" s="94"/>
      <c r="AB10" s="94"/>
      <c r="AC10" s="97"/>
      <c r="AD10" s="97"/>
    </row>
    <row r="11" spans="1:40" s="28" customFormat="1" ht="49.5" customHeight="1" thickBot="1" x14ac:dyDescent="0.3">
      <c r="A11" s="51" t="str">
        <f t="shared" ref="A11:A12" si="8">$C$10&amp;D11</f>
        <v>Solicitações Relatorios/Alt. Cadastro/Multa</v>
      </c>
      <c r="B11" s="92"/>
      <c r="C11" s="71"/>
      <c r="D11" s="25" t="s">
        <v>142</v>
      </c>
      <c r="E11" s="26">
        <v>0.8</v>
      </c>
      <c r="F11" s="7">
        <v>0.9</v>
      </c>
      <c r="G11" s="18">
        <f t="shared" si="0"/>
        <v>1</v>
      </c>
      <c r="H11" s="29">
        <f t="shared" si="1"/>
        <v>1</v>
      </c>
      <c r="I11" s="18">
        <v>1</v>
      </c>
      <c r="J11" s="18">
        <v>1</v>
      </c>
      <c r="K11" s="18">
        <v>1</v>
      </c>
      <c r="L11" s="18">
        <v>1</v>
      </c>
      <c r="M11" s="59">
        <v>1</v>
      </c>
      <c r="N11" s="30"/>
      <c r="O11" s="24">
        <v>3</v>
      </c>
      <c r="P11" s="24">
        <v>1</v>
      </c>
      <c r="Q11" s="24">
        <v>3</v>
      </c>
      <c r="R11" s="24">
        <v>1</v>
      </c>
      <c r="S11" s="24"/>
      <c r="T11" s="51">
        <f t="shared" si="2"/>
        <v>1</v>
      </c>
      <c r="U11" s="51">
        <f t="shared" si="3"/>
        <v>1</v>
      </c>
      <c r="V11" s="51">
        <f t="shared" si="4"/>
        <v>1</v>
      </c>
      <c r="W11" s="51">
        <f t="shared" si="5"/>
        <v>1</v>
      </c>
      <c r="X11" s="51" t="e">
        <f>IF(#REF!&lt;L11,-1,1)</f>
        <v>#REF!</v>
      </c>
      <c r="Y11" s="45"/>
      <c r="Z11" s="94"/>
      <c r="AA11" s="94"/>
      <c r="AB11" s="94"/>
      <c r="AC11" s="97"/>
      <c r="AD11" s="97"/>
    </row>
    <row r="12" spans="1:40" s="28" customFormat="1" ht="49.5" customHeight="1" thickBot="1" x14ac:dyDescent="0.3">
      <c r="A12" s="51" t="str">
        <f t="shared" si="8"/>
        <v>Dúvidas</v>
      </c>
      <c r="B12" s="92"/>
      <c r="C12" s="70" t="s">
        <v>7</v>
      </c>
      <c r="D12" s="19" t="s">
        <v>97</v>
      </c>
      <c r="E12" s="9">
        <v>0.8</v>
      </c>
      <c r="F12" s="10">
        <v>0.9</v>
      </c>
      <c r="G12" s="10">
        <f t="shared" si="0"/>
        <v>1</v>
      </c>
      <c r="H12" s="27">
        <f t="shared" ref="H12:H18" si="9">IF(G12&lt;F12,-1,1)</f>
        <v>1</v>
      </c>
      <c r="I12" s="10">
        <v>1</v>
      </c>
      <c r="J12" s="10" t="s">
        <v>1256</v>
      </c>
      <c r="K12" s="10" t="s">
        <v>1256</v>
      </c>
      <c r="L12" s="10" t="s">
        <v>1256</v>
      </c>
      <c r="M12" s="56">
        <v>1</v>
      </c>
      <c r="N12" s="30"/>
      <c r="O12" s="23">
        <v>1</v>
      </c>
      <c r="P12" s="23"/>
      <c r="Q12" s="23"/>
      <c r="R12" s="23"/>
      <c r="S12" s="23"/>
      <c r="T12" s="51">
        <f t="shared" si="2"/>
        <v>1</v>
      </c>
      <c r="U12" s="51">
        <f t="shared" si="3"/>
        <v>1</v>
      </c>
      <c r="V12" s="51">
        <f t="shared" si="4"/>
        <v>1</v>
      </c>
      <c r="W12" s="51">
        <f t="shared" si="5"/>
        <v>1</v>
      </c>
      <c r="X12" s="51" t="e">
        <f>IF(#REF!&lt;L12,-1,1)</f>
        <v>#REF!</v>
      </c>
      <c r="Y12" s="45"/>
      <c r="Z12" s="94"/>
      <c r="AA12" s="94"/>
      <c r="AB12" s="94"/>
      <c r="AC12" s="97"/>
      <c r="AD12" s="97"/>
    </row>
    <row r="13" spans="1:40" s="28" customFormat="1" ht="49.5" customHeight="1" thickBot="1" x14ac:dyDescent="0.3">
      <c r="A13" s="51" t="str">
        <f>$C$13&amp;D13</f>
        <v>Solic.Reparo/Novos Aparelhos e Transf. Linhas</v>
      </c>
      <c r="B13" s="92"/>
      <c r="C13" s="71"/>
      <c r="D13" s="25" t="s">
        <v>218</v>
      </c>
      <c r="E13" s="26">
        <v>0.8</v>
      </c>
      <c r="F13" s="7">
        <v>0.9</v>
      </c>
      <c r="G13" s="18">
        <f t="shared" si="0"/>
        <v>1</v>
      </c>
      <c r="H13" s="29">
        <f t="shared" si="9"/>
        <v>1</v>
      </c>
      <c r="I13" s="18">
        <v>1</v>
      </c>
      <c r="J13" s="18">
        <v>1</v>
      </c>
      <c r="K13" s="18">
        <v>1</v>
      </c>
      <c r="L13" s="18" t="s">
        <v>1256</v>
      </c>
      <c r="M13" s="55">
        <v>1</v>
      </c>
      <c r="N13" s="30"/>
      <c r="O13" s="24">
        <v>2</v>
      </c>
      <c r="P13" s="24">
        <v>1</v>
      </c>
      <c r="Q13" s="24">
        <v>1</v>
      </c>
      <c r="R13" s="24"/>
      <c r="S13" s="24"/>
      <c r="T13" s="51">
        <f t="shared" si="2"/>
        <v>1</v>
      </c>
      <c r="U13" s="51">
        <f t="shared" si="3"/>
        <v>1</v>
      </c>
      <c r="V13" s="51">
        <f t="shared" si="4"/>
        <v>1</v>
      </c>
      <c r="W13" s="51">
        <f t="shared" si="5"/>
        <v>1</v>
      </c>
      <c r="X13" s="51" t="e">
        <f>IF(#REF!&lt;L13,-1,1)</f>
        <v>#REF!</v>
      </c>
      <c r="Y13" s="45"/>
      <c r="Z13" s="94"/>
      <c r="AA13" s="94"/>
      <c r="AB13" s="94"/>
      <c r="AC13" s="97"/>
      <c r="AD13" s="97"/>
    </row>
    <row r="14" spans="1:40" s="28" customFormat="1" ht="49.5" customHeight="1" thickBot="1" x14ac:dyDescent="0.3">
      <c r="A14" s="51" t="str">
        <f t="shared" ref="A14" si="10">$C$13&amp;D14</f>
        <v>Solicitações Relatorios/Alt. Cadastro/Multa</v>
      </c>
      <c r="B14" s="92"/>
      <c r="C14" s="70"/>
      <c r="D14" s="19" t="s">
        <v>142</v>
      </c>
      <c r="E14" s="9">
        <v>0.8</v>
      </c>
      <c r="F14" s="10">
        <v>0.9</v>
      </c>
      <c r="G14" s="10">
        <f t="shared" si="0"/>
        <v>1</v>
      </c>
      <c r="H14" s="27">
        <f t="shared" si="9"/>
        <v>1</v>
      </c>
      <c r="I14" s="10">
        <v>1</v>
      </c>
      <c r="J14" s="10">
        <v>1</v>
      </c>
      <c r="K14" s="10" t="s">
        <v>1256</v>
      </c>
      <c r="L14" s="10" t="s">
        <v>1256</v>
      </c>
      <c r="M14" s="56">
        <v>1</v>
      </c>
      <c r="N14" s="30"/>
      <c r="O14" s="23">
        <v>1</v>
      </c>
      <c r="P14" s="23">
        <v>1</v>
      </c>
      <c r="Q14" s="23"/>
      <c r="R14" s="23"/>
      <c r="S14" s="23"/>
      <c r="T14" s="51">
        <f t="shared" si="2"/>
        <v>1</v>
      </c>
      <c r="U14" s="51">
        <f t="shared" si="3"/>
        <v>1</v>
      </c>
      <c r="V14" s="51">
        <f t="shared" si="4"/>
        <v>1</v>
      </c>
      <c r="W14" s="51">
        <f t="shared" si="5"/>
        <v>1</v>
      </c>
      <c r="X14" s="51" t="e">
        <f>IF(#REF!&lt;L14,-1,1)</f>
        <v>#REF!</v>
      </c>
      <c r="Y14" s="45"/>
      <c r="Z14" s="94"/>
      <c r="AA14" s="94"/>
      <c r="AB14" s="94"/>
      <c r="AC14" s="97"/>
      <c r="AD14" s="97"/>
    </row>
    <row r="15" spans="1:40" s="28" customFormat="1" ht="49.5" customHeight="1" thickBot="1" x14ac:dyDescent="0.3">
      <c r="A15" s="51" t="str">
        <f>$C$15&amp;D15</f>
        <v>Missão CríticaDúvidas</v>
      </c>
      <c r="B15" s="92"/>
      <c r="C15" s="71" t="s">
        <v>6</v>
      </c>
      <c r="D15" s="25" t="s">
        <v>97</v>
      </c>
      <c r="E15" s="26">
        <v>0.8</v>
      </c>
      <c r="F15" s="7">
        <v>0.9</v>
      </c>
      <c r="G15" s="18">
        <f t="shared" si="0"/>
        <v>1</v>
      </c>
      <c r="H15" s="29">
        <f t="shared" si="9"/>
        <v>1</v>
      </c>
      <c r="I15" s="18" t="s">
        <v>1256</v>
      </c>
      <c r="J15" s="18">
        <v>1</v>
      </c>
      <c r="K15" s="18">
        <v>1</v>
      </c>
      <c r="L15" s="18" t="s">
        <v>1256</v>
      </c>
      <c r="M15" s="55">
        <v>1</v>
      </c>
      <c r="N15" s="30"/>
      <c r="O15" s="24"/>
      <c r="P15" s="24">
        <v>1</v>
      </c>
      <c r="Q15" s="24">
        <v>1</v>
      </c>
      <c r="R15" s="24"/>
      <c r="S15" s="24"/>
      <c r="T15" s="51">
        <f t="shared" si="2"/>
        <v>-1</v>
      </c>
      <c r="U15" s="51">
        <f t="shared" si="3"/>
        <v>-1</v>
      </c>
      <c r="V15" s="51">
        <f t="shared" si="4"/>
        <v>1</v>
      </c>
      <c r="W15" s="51">
        <f t="shared" si="5"/>
        <v>1</v>
      </c>
      <c r="X15" s="51" t="e">
        <f>IF(#REF!&lt;L15,-1,1)</f>
        <v>#REF!</v>
      </c>
      <c r="Y15" s="45"/>
      <c r="Z15" s="94"/>
      <c r="AA15" s="94"/>
      <c r="AB15" s="94"/>
      <c r="AC15" s="97"/>
      <c r="AD15" s="97"/>
    </row>
    <row r="16" spans="1:40" s="28" customFormat="1" ht="49.5" customHeight="1" thickBot="1" x14ac:dyDescent="0.3">
      <c r="A16" s="51" t="str">
        <f>$C$15&amp;D16</f>
        <v>Missão CríticaSolic. Linha/Bloqueio/Conf. de serviços</v>
      </c>
      <c r="B16" s="92"/>
      <c r="C16" s="70"/>
      <c r="D16" s="19" t="s">
        <v>217</v>
      </c>
      <c r="E16" s="9">
        <v>0.8</v>
      </c>
      <c r="F16" s="10">
        <v>0.9</v>
      </c>
      <c r="G16" s="10">
        <f t="shared" si="0"/>
        <v>1</v>
      </c>
      <c r="H16" s="27">
        <f t="shared" si="9"/>
        <v>1</v>
      </c>
      <c r="I16" s="10">
        <v>1</v>
      </c>
      <c r="J16" s="10">
        <v>1</v>
      </c>
      <c r="K16" s="10" t="s">
        <v>1256</v>
      </c>
      <c r="L16" s="10">
        <v>1</v>
      </c>
      <c r="M16" s="54">
        <v>1</v>
      </c>
      <c r="N16" s="30"/>
      <c r="O16" s="23">
        <v>1</v>
      </c>
      <c r="P16" s="23">
        <v>1</v>
      </c>
      <c r="Q16" s="23"/>
      <c r="R16" s="23">
        <v>2</v>
      </c>
      <c r="S16" s="23"/>
      <c r="T16" s="51">
        <f t="shared" si="2"/>
        <v>1</v>
      </c>
      <c r="U16" s="51">
        <f t="shared" si="3"/>
        <v>1</v>
      </c>
      <c r="V16" s="51">
        <f t="shared" si="4"/>
        <v>1</v>
      </c>
      <c r="W16" s="51">
        <f t="shared" si="5"/>
        <v>-1</v>
      </c>
      <c r="X16" s="51" t="e">
        <f>IF(#REF!&lt;L16,-1,1)</f>
        <v>#REF!</v>
      </c>
      <c r="Y16" s="45"/>
      <c r="Z16" s="94"/>
      <c r="AA16" s="94"/>
      <c r="AB16" s="94"/>
      <c r="AC16" s="97"/>
      <c r="AD16" s="97"/>
    </row>
    <row r="17" spans="1:30" s="28" customFormat="1" ht="49.5" customHeight="1" thickBot="1" x14ac:dyDescent="0.3">
      <c r="A17" s="51" t="str">
        <f>$C$17&amp;D17</f>
        <v>Solic.Reparo/Novos Aparelhos e Transf. Linhas</v>
      </c>
      <c r="B17" s="92"/>
      <c r="C17" s="71"/>
      <c r="D17" s="25" t="s">
        <v>218</v>
      </c>
      <c r="E17" s="26">
        <v>0.8</v>
      </c>
      <c r="F17" s="7">
        <v>0.9</v>
      </c>
      <c r="G17" s="18">
        <f t="shared" si="0"/>
        <v>0.95</v>
      </c>
      <c r="H17" s="29">
        <f t="shared" si="9"/>
        <v>1</v>
      </c>
      <c r="I17" s="18">
        <v>0.8</v>
      </c>
      <c r="J17" s="18">
        <v>1</v>
      </c>
      <c r="K17" s="18">
        <v>1</v>
      </c>
      <c r="L17" s="18">
        <v>1</v>
      </c>
      <c r="M17" s="55">
        <v>1</v>
      </c>
      <c r="N17" s="30"/>
      <c r="O17" s="24">
        <v>10</v>
      </c>
      <c r="P17" s="24">
        <v>6</v>
      </c>
      <c r="Q17" s="24">
        <v>2</v>
      </c>
      <c r="R17" s="24">
        <v>3</v>
      </c>
      <c r="S17" s="24"/>
      <c r="T17" s="51"/>
      <c r="U17" s="51"/>
      <c r="V17" s="51"/>
      <c r="W17" s="51"/>
      <c r="X17" s="51"/>
      <c r="Y17" s="45"/>
      <c r="Z17" s="94"/>
      <c r="AA17" s="94"/>
      <c r="AB17" s="94"/>
      <c r="AC17" s="97"/>
      <c r="AD17" s="97"/>
    </row>
    <row r="18" spans="1:30" s="28" customFormat="1" ht="49.5" customHeight="1" thickBot="1" x14ac:dyDescent="0.3">
      <c r="A18" s="51" t="str">
        <f>$C$17&amp;D18</f>
        <v>Solicitações Relatorios/Alt. Cadastro/Multa</v>
      </c>
      <c r="B18" s="92"/>
      <c r="C18" s="70"/>
      <c r="D18" s="19" t="s">
        <v>142</v>
      </c>
      <c r="E18" s="9">
        <v>0.8</v>
      </c>
      <c r="F18" s="10">
        <v>0.9</v>
      </c>
      <c r="G18" s="10">
        <f t="shared" si="0"/>
        <v>1</v>
      </c>
      <c r="H18" s="27">
        <f t="shared" si="9"/>
        <v>1</v>
      </c>
      <c r="I18" s="10" t="s">
        <v>1256</v>
      </c>
      <c r="J18" s="10">
        <v>1</v>
      </c>
      <c r="K18" s="10" t="s">
        <v>1256</v>
      </c>
      <c r="L18" s="10" t="s">
        <v>1256</v>
      </c>
      <c r="M18" s="54">
        <v>1</v>
      </c>
      <c r="N18" s="30"/>
      <c r="O18" s="23"/>
      <c r="P18" s="23">
        <v>1</v>
      </c>
      <c r="Q18" s="23"/>
      <c r="R18" s="23"/>
      <c r="S18" s="23"/>
      <c r="T18" s="51"/>
      <c r="U18" s="51"/>
      <c r="V18" s="51"/>
      <c r="W18" s="51"/>
      <c r="X18" s="51"/>
      <c r="Y18" s="45"/>
      <c r="Z18" s="94"/>
      <c r="AA18" s="94"/>
      <c r="AB18" s="94"/>
      <c r="AC18" s="97"/>
      <c r="AD18" s="97"/>
    </row>
    <row r="19" spans="1:30" s="28" customFormat="1" ht="49.5" customHeight="1" thickBot="1" x14ac:dyDescent="0.3">
      <c r="A19" s="51"/>
      <c r="B19" s="74"/>
      <c r="C19" s="71" t="s">
        <v>98</v>
      </c>
      <c r="D19" s="25" t="s">
        <v>217</v>
      </c>
      <c r="E19" s="26">
        <v>0.8</v>
      </c>
      <c r="F19" s="7">
        <v>0.9</v>
      </c>
      <c r="G19" s="18">
        <f t="shared" si="0"/>
        <v>1</v>
      </c>
      <c r="H19" s="29">
        <f t="shared" ref="H19" si="11">IF(G19&lt;F19,-1,1)</f>
        <v>1</v>
      </c>
      <c r="I19" s="18" t="s">
        <v>1256</v>
      </c>
      <c r="J19" s="18" t="s">
        <v>1256</v>
      </c>
      <c r="K19" s="18" t="s">
        <v>1256</v>
      </c>
      <c r="L19" s="18">
        <v>1</v>
      </c>
      <c r="M19" s="55">
        <v>1</v>
      </c>
      <c r="N19" s="30"/>
      <c r="O19" s="23"/>
      <c r="P19" s="23"/>
      <c r="Q19" s="23"/>
      <c r="R19" s="23">
        <v>1</v>
      </c>
      <c r="S19" s="23"/>
      <c r="T19" s="51"/>
      <c r="U19" s="51"/>
      <c r="V19" s="51"/>
      <c r="W19" s="51"/>
      <c r="X19" s="51"/>
      <c r="Y19" s="45"/>
      <c r="Z19" s="94"/>
      <c r="AA19" s="94"/>
      <c r="AB19" s="94"/>
      <c r="AC19" s="97"/>
      <c r="AD19" s="97"/>
    </row>
    <row r="20" spans="1:30" s="28" customFormat="1" ht="49.5" customHeight="1" thickBot="1" x14ac:dyDescent="0.3">
      <c r="A20" s="51"/>
      <c r="B20" s="74"/>
      <c r="C20" s="70"/>
      <c r="D20" s="19" t="s">
        <v>218</v>
      </c>
      <c r="E20" s="9">
        <v>0.8</v>
      </c>
      <c r="F20" s="10">
        <v>0.9</v>
      </c>
      <c r="G20" s="10">
        <f t="shared" ref="G20:G21" si="12">AVERAGE(I20:L20)</f>
        <v>1</v>
      </c>
      <c r="H20" s="27">
        <f t="shared" ref="H20:H21" si="13">IF(G20&lt;F20,-1,1)</f>
        <v>1</v>
      </c>
      <c r="I20" s="10">
        <v>1</v>
      </c>
      <c r="J20" s="10">
        <v>1</v>
      </c>
      <c r="K20" s="10">
        <v>1</v>
      </c>
      <c r="L20" s="10">
        <v>1</v>
      </c>
      <c r="M20" s="54">
        <v>1</v>
      </c>
      <c r="N20" s="30"/>
      <c r="O20" s="23">
        <v>2</v>
      </c>
      <c r="P20" s="23">
        <v>2</v>
      </c>
      <c r="Q20" s="23">
        <v>1</v>
      </c>
      <c r="R20" s="23">
        <v>1</v>
      </c>
      <c r="S20" s="23"/>
      <c r="T20" s="51"/>
      <c r="U20" s="51"/>
      <c r="V20" s="51"/>
      <c r="W20" s="51"/>
      <c r="X20" s="51"/>
      <c r="Y20" s="45"/>
      <c r="Z20" s="94"/>
      <c r="AA20" s="94"/>
      <c r="AB20" s="94"/>
      <c r="AC20" s="97"/>
      <c r="AD20" s="97"/>
    </row>
    <row r="21" spans="1:30" s="28" customFormat="1" ht="49.5" customHeight="1" thickBot="1" x14ac:dyDescent="0.3">
      <c r="A21" s="51"/>
      <c r="B21" s="74"/>
      <c r="C21" s="71"/>
      <c r="D21" s="25" t="s">
        <v>142</v>
      </c>
      <c r="E21" s="26">
        <v>0.8</v>
      </c>
      <c r="F21" s="7">
        <v>0.9</v>
      </c>
      <c r="G21" s="18">
        <f t="shared" si="12"/>
        <v>1</v>
      </c>
      <c r="H21" s="29">
        <f t="shared" si="13"/>
        <v>1</v>
      </c>
      <c r="I21" s="18">
        <v>1</v>
      </c>
      <c r="J21" s="18">
        <v>1</v>
      </c>
      <c r="K21" s="18">
        <v>1</v>
      </c>
      <c r="L21" s="18" t="s">
        <v>1256</v>
      </c>
      <c r="M21" s="55">
        <v>1</v>
      </c>
      <c r="N21" s="30"/>
      <c r="O21" s="23">
        <v>1</v>
      </c>
      <c r="P21" s="23">
        <v>2</v>
      </c>
      <c r="Q21" s="23">
        <v>1</v>
      </c>
      <c r="R21" s="23"/>
      <c r="S21" s="23"/>
      <c r="T21" s="51"/>
      <c r="U21" s="51"/>
      <c r="V21" s="51"/>
      <c r="W21" s="51"/>
      <c r="X21" s="51"/>
      <c r="Y21" s="45"/>
      <c r="Z21" s="94"/>
      <c r="AA21" s="94"/>
      <c r="AB21" s="94"/>
      <c r="AC21" s="97"/>
      <c r="AD21" s="97"/>
    </row>
    <row r="22" spans="1:30" s="49" customFormat="1" ht="25.5" thickBot="1" x14ac:dyDescent="0.4">
      <c r="A22" s="51"/>
      <c r="B22" s="47"/>
      <c r="C22" s="31" t="s">
        <v>19</v>
      </c>
      <c r="D22" s="47"/>
      <c r="E22" s="47"/>
      <c r="F22" s="32">
        <v>0.9</v>
      </c>
      <c r="G22" s="32">
        <f>AVERAGE(G4:G11)</f>
        <v>0.96620169352706131</v>
      </c>
      <c r="H22" s="53">
        <f t="shared" si="1"/>
        <v>1</v>
      </c>
      <c r="I22" s="32">
        <f>AVERAGE(I4:I21)</f>
        <v>0.93338612368024132</v>
      </c>
      <c r="J22" s="32">
        <f>AVERAGE(J4:J21)</f>
        <v>0.9886038961038961</v>
      </c>
      <c r="K22" s="32">
        <f>AVERAGE(K4:K21)</f>
        <v>0.99230769230769234</v>
      </c>
      <c r="L22" s="32">
        <f>AVERAGE(L4:L21)</f>
        <v>1</v>
      </c>
      <c r="M22" s="58">
        <f t="shared" ref="M22" si="14">IF(L22&lt;K22,-1,1)</f>
        <v>1</v>
      </c>
      <c r="N22" s="47"/>
      <c r="O22" s="46">
        <f>SUM(O4:O21)</f>
        <v>126</v>
      </c>
      <c r="P22" s="46">
        <f t="shared" ref="P22:R22" si="15">SUM(P4:P21)</f>
        <v>174</v>
      </c>
      <c r="Q22" s="46">
        <f t="shared" si="15"/>
        <v>94</v>
      </c>
      <c r="R22" s="46">
        <f t="shared" si="15"/>
        <v>76</v>
      </c>
      <c r="S22" s="51"/>
      <c r="T22" s="51">
        <f>IF(J22&lt;I22,-1,1)</f>
        <v>1</v>
      </c>
      <c r="U22" s="51">
        <f>IF(J22&lt;I22,-1,1)</f>
        <v>1</v>
      </c>
      <c r="V22" s="51">
        <f>IF(K22&lt;J22,-1,1)</f>
        <v>1</v>
      </c>
      <c r="W22" s="51">
        <f>IF(L22&lt;K22,-1,1)</f>
        <v>1</v>
      </c>
      <c r="X22" s="51" t="e">
        <f>IF(#REF!&lt;L22,-1,1)</f>
        <v>#REF!</v>
      </c>
      <c r="Y22" s="48"/>
      <c r="Z22" s="95"/>
      <c r="AA22" s="95"/>
      <c r="AB22" s="95"/>
      <c r="AC22" s="98"/>
      <c r="AD22" s="98"/>
    </row>
    <row r="23" spans="1:30" x14ac:dyDescent="0.35">
      <c r="B23" s="64"/>
      <c r="C23" s="72"/>
      <c r="J23" s="2" t="s">
        <v>32</v>
      </c>
      <c r="K23" s="57"/>
      <c r="Z23" s="66">
        <f>Z4</f>
        <v>0.66999999999999993</v>
      </c>
      <c r="AA23" s="66">
        <f>AA4</f>
        <v>0.88390151515151516</v>
      </c>
      <c r="AB23" s="66">
        <f>AB4</f>
        <v>0.91579324379324389</v>
      </c>
      <c r="AC23" s="66">
        <f>AC4</f>
        <v>0.94</v>
      </c>
      <c r="AD23" s="66">
        <f>AD4</f>
        <v>0.96620169352706131</v>
      </c>
    </row>
    <row r="24" spans="1:30" x14ac:dyDescent="0.35">
      <c r="B24" s="3"/>
      <c r="C24" s="72"/>
    </row>
    <row r="25" spans="1:30" x14ac:dyDescent="0.35">
      <c r="B25" s="3"/>
      <c r="C25" s="72"/>
    </row>
    <row r="26" spans="1:30" x14ac:dyDescent="0.35">
      <c r="B26" s="3"/>
      <c r="C26" s="72"/>
    </row>
    <row r="27" spans="1:30" x14ac:dyDescent="0.35">
      <c r="B27" s="3"/>
      <c r="C27" s="72"/>
    </row>
    <row r="28" spans="1:30" x14ac:dyDescent="0.35">
      <c r="B28" s="3"/>
      <c r="C28" s="72"/>
    </row>
    <row r="29" spans="1:30" x14ac:dyDescent="0.35"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Z29" s="5"/>
      <c r="AA29" s="5"/>
      <c r="AB29" s="5"/>
      <c r="AC29" s="5"/>
      <c r="AD29" s="5"/>
    </row>
    <row r="30" spans="1:30" x14ac:dyDescent="0.35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Z30" s="6"/>
      <c r="AA30" s="6"/>
      <c r="AB30" s="6"/>
      <c r="AC30" s="6"/>
      <c r="AD30" s="6"/>
    </row>
    <row r="31" spans="1:30" x14ac:dyDescent="0.35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Z31" s="6"/>
      <c r="AA31" s="6"/>
      <c r="AB31" s="6"/>
      <c r="AC31" s="6"/>
      <c r="AD31" s="6"/>
    </row>
  </sheetData>
  <mergeCells count="11">
    <mergeCell ref="Z1:AN1"/>
    <mergeCell ref="AE2:AN2"/>
    <mergeCell ref="O1:S1"/>
    <mergeCell ref="N2:N10"/>
    <mergeCell ref="B1:M1"/>
    <mergeCell ref="B4:B18"/>
    <mergeCell ref="Z4:Z22"/>
    <mergeCell ref="AA4:AA22"/>
    <mergeCell ref="AB4:AB22"/>
    <mergeCell ref="AC4:AC22"/>
    <mergeCell ref="AD4:AD22"/>
  </mergeCells>
  <conditionalFormatting sqref="H4:H5">
    <cfRule type="iconSet" priority="28">
      <iconSet showValue="0">
        <cfvo type="percent" val="0"/>
        <cfvo type="num" val="0"/>
        <cfvo type="num" val="0"/>
      </iconSet>
    </cfRule>
  </conditionalFormatting>
  <conditionalFormatting sqref="H22">
    <cfRule type="iconSet" priority="22">
      <iconSet showValue="0">
        <cfvo type="percent" val="0"/>
        <cfvo type="num" val="0"/>
        <cfvo type="num" val="0"/>
      </iconSet>
    </cfRule>
  </conditionalFormatting>
  <conditionalFormatting sqref="M22 M5">
    <cfRule type="iconSet" priority="21">
      <iconSet iconSet="3Arrows" showValue="0">
        <cfvo type="percent" val="0"/>
        <cfvo type="num" val="0"/>
        <cfvo type="num" val="1"/>
      </iconSet>
    </cfRule>
  </conditionalFormatting>
  <conditionalFormatting sqref="M4">
    <cfRule type="iconSet" priority="16">
      <iconSet iconSet="3Arrows" showValue="0">
        <cfvo type="percent" val="0"/>
        <cfvo type="num" val="0"/>
        <cfvo type="num" val="1"/>
      </iconSet>
    </cfRule>
  </conditionalFormatting>
  <conditionalFormatting sqref="H6:H11">
    <cfRule type="iconSet" priority="54">
      <iconSet showValue="0">
        <cfvo type="percent" val="0"/>
        <cfvo type="num" val="0"/>
        <cfvo type="num" val="0"/>
      </iconSet>
    </cfRule>
  </conditionalFormatting>
  <conditionalFormatting sqref="M6:M11">
    <cfRule type="iconSet" priority="55">
      <iconSet iconSet="3Arrows" showValue="0">
        <cfvo type="percent" val="0"/>
        <cfvo type="num" val="0"/>
        <cfvo type="num" val="1"/>
      </iconSet>
    </cfRule>
  </conditionalFormatting>
  <conditionalFormatting sqref="H12:H19">
    <cfRule type="iconSet" priority="57">
      <iconSet showValue="0">
        <cfvo type="percent" val="0"/>
        <cfvo type="num" val="0"/>
        <cfvo type="num" val="0"/>
      </iconSet>
    </cfRule>
  </conditionalFormatting>
  <conditionalFormatting sqref="M12:M19">
    <cfRule type="iconSet" priority="58">
      <iconSet iconSet="3Arrows" showValue="0">
        <cfvo type="percent" val="0"/>
        <cfvo type="num" val="0"/>
        <cfvo type="num" val="1"/>
      </iconSet>
    </cfRule>
  </conditionalFormatting>
  <conditionalFormatting sqref="H20:H21">
    <cfRule type="iconSet" priority="1">
      <iconSet showValue="0">
        <cfvo type="percent" val="0"/>
        <cfvo type="num" val="0"/>
        <cfvo type="num" val="0"/>
      </iconSet>
    </cfRule>
  </conditionalFormatting>
  <conditionalFormatting sqref="M20:M21">
    <cfRule type="iconSet" priority="2">
      <iconSet iconSet="3Arrows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Resumo!O16:R16</xm:f>
              <xm:sqref>S16</xm:sqref>
            </x14:sparkline>
            <x14:sparkline>
              <xm:f>Resumo!O17:R17</xm:f>
              <xm:sqref>S17</xm:sqref>
            </x14:sparkline>
          </x14:sparklines>
        </x14:sparklineGroup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Resumo!O4:R4</xm:f>
              <xm:sqref>S4</xm:sqref>
            </x14:sparkline>
            <x14:sparkline>
              <xm:f>Resumo!O5:R5</xm:f>
              <xm:sqref>S5</xm:sqref>
            </x14:sparkline>
            <x14:sparkline>
              <xm:f>Resumo!O6:R6</xm:f>
              <xm:sqref>S6</xm:sqref>
            </x14:sparkline>
            <x14:sparkline>
              <xm:f>Resumo!O7:R7</xm:f>
              <xm:sqref>S7</xm:sqref>
            </x14:sparkline>
            <x14:sparkline>
              <xm:f>Resumo!O8:R8</xm:f>
              <xm:sqref>S8</xm:sqref>
            </x14:sparkline>
            <x14:sparkline>
              <xm:f>Resumo!O9:R9</xm:f>
              <xm:sqref>S9</xm:sqref>
            </x14:sparkline>
            <x14:sparkline>
              <xm:f>Resumo!O10:R10</xm:f>
              <xm:sqref>S10</xm:sqref>
            </x14:sparkline>
            <x14:sparkline>
              <xm:f>Resumo!O11:R11</xm:f>
              <xm:sqref>S11</xm:sqref>
            </x14:sparkline>
            <x14:sparkline>
              <xm:f>Resumo!O12:R12</xm:f>
              <xm:sqref>S12</xm:sqref>
            </x14:sparkline>
            <x14:sparkline>
              <xm:f>Resumo!O13:R13</xm:f>
              <xm:sqref>S13</xm:sqref>
            </x14:sparkline>
            <x14:sparkline>
              <xm:f>Resumo!O14:R14</xm:f>
              <xm:sqref>S14</xm:sqref>
            </x14:sparkline>
            <x14:sparkline>
              <xm:f>Resumo!O15:R15</xm:f>
              <xm:sqref>S15</xm:sqref>
            </x14:sparkline>
            <x14:sparkline>
              <xm:f>Resumo!O18:R18</xm:f>
              <xm:sqref>S18</xm:sqref>
            </x14:sparkline>
            <x14:sparkline>
              <xm:f>Resumo!O19:R19</xm:f>
              <xm:sqref>S19</xm:sqref>
            </x14:sparkline>
            <x14:sparkline>
              <xm:f>Resumo!O20:R20</xm:f>
              <xm:sqref>S20</xm:sqref>
            </x14:sparkline>
            <x14:sparkline>
              <xm:f>Resumo!O21:R21</xm:f>
              <xm:sqref>S21</xm:sqref>
            </x14:sparkline>
            <x14:sparkline>
              <xm:f>Resumo!O22:R22</xm:f>
              <xm:sqref>S22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2" workbookViewId="0">
      <selection activeCell="B2" sqref="B2"/>
    </sheetView>
  </sheetViews>
  <sheetFormatPr defaultRowHeight="15" x14ac:dyDescent="0.25"/>
  <cols>
    <col min="2" max="4" width="14.42578125" bestFit="1" customWidth="1"/>
    <col min="5" max="6" width="14.28515625" bestFit="1" customWidth="1"/>
  </cols>
  <sheetData>
    <row r="1" spans="1:7" ht="45.75" thickBot="1" x14ac:dyDescent="0.3">
      <c r="B1" s="8" t="s">
        <v>1257</v>
      </c>
      <c r="C1" s="8" t="s">
        <v>220</v>
      </c>
      <c r="D1" s="8" t="s">
        <v>221</v>
      </c>
      <c r="E1" s="8" t="s">
        <v>222</v>
      </c>
      <c r="F1" s="8" t="s">
        <v>223</v>
      </c>
    </row>
    <row r="2" spans="1:7" x14ac:dyDescent="0.25">
      <c r="A2" t="s">
        <v>219</v>
      </c>
      <c r="B2" s="76">
        <v>504299.08309500018</v>
      </c>
      <c r="C2" s="76">
        <v>499706.17079500016</v>
      </c>
      <c r="D2" s="76">
        <v>504216.39909500018</v>
      </c>
      <c r="E2" s="76">
        <v>516426.65204500034</v>
      </c>
      <c r="F2" s="76">
        <v>518306.13776900031</v>
      </c>
    </row>
    <row r="3" spans="1:7" x14ac:dyDescent="0.25">
      <c r="A3" t="s">
        <v>51</v>
      </c>
      <c r="B3" s="67">
        <v>457018.64000001299</v>
      </c>
      <c r="C3" s="67">
        <v>428827.97000002099</v>
      </c>
      <c r="D3" s="67">
        <v>518608.47000004846</v>
      </c>
      <c r="E3" s="67">
        <v>409057.2700000148</v>
      </c>
      <c r="F3" s="67">
        <v>456303.600000003</v>
      </c>
      <c r="G3" s="75"/>
    </row>
    <row r="4" spans="1:7" x14ac:dyDescent="0.25">
      <c r="A4" t="s">
        <v>52</v>
      </c>
      <c r="B4" s="67">
        <v>48344.371666666593</v>
      </c>
      <c r="C4" s="67">
        <v>85964.394333332646</v>
      </c>
      <c r="D4" s="67">
        <f>D3*14%</f>
        <v>72605.185800006788</v>
      </c>
      <c r="E4" s="67">
        <f>E3*15%</f>
        <v>61358.590500002218</v>
      </c>
      <c r="F4" s="67">
        <v>74982.229333333875</v>
      </c>
    </row>
    <row r="5" spans="1:7" x14ac:dyDescent="0.25">
      <c r="B5" s="68">
        <f>B4/B3</f>
        <v>0.10578205665017343</v>
      </c>
      <c r="C5" s="68">
        <f t="shared" ref="C5:F5" si="0">C4/C3</f>
        <v>0.2004635899410396</v>
      </c>
      <c r="D5" s="68">
        <f t="shared" si="0"/>
        <v>0.14000000000000001</v>
      </c>
      <c r="E5" s="68">
        <f t="shared" si="0"/>
        <v>0.15</v>
      </c>
      <c r="F5" s="68">
        <f t="shared" si="0"/>
        <v>0.16432530739037207</v>
      </c>
    </row>
    <row r="6" spans="1:7" x14ac:dyDescent="0.25">
      <c r="B6" s="75">
        <f>B7/B2-1</f>
        <v>-0.18961925168450067</v>
      </c>
      <c r="C6" s="75">
        <f t="shared" ref="C6:F6" si="1">C7/C2-1</f>
        <v>-0.31386963838926663</v>
      </c>
      <c r="D6" s="75">
        <f t="shared" si="1"/>
        <v>-0.11545264096813024</v>
      </c>
      <c r="E6" s="75">
        <f t="shared" si="1"/>
        <v>-0.32672204634838475</v>
      </c>
      <c r="F6" s="75">
        <f t="shared" si="1"/>
        <v>-0.26429316020058946</v>
      </c>
    </row>
    <row r="7" spans="1:7" x14ac:dyDescent="0.25">
      <c r="A7" t="s">
        <v>224</v>
      </c>
      <c r="B7" s="77">
        <f>B3-B4</f>
        <v>408674.26833334641</v>
      </c>
      <c r="C7" s="77">
        <f>C3-C4</f>
        <v>342863.57566668832</v>
      </c>
      <c r="D7" s="77">
        <f>D3-D4</f>
        <v>446003.28420004167</v>
      </c>
      <c r="E7" s="77">
        <f>E3-E4</f>
        <v>347698.6795000126</v>
      </c>
      <c r="F7" s="77">
        <f>F3-F4</f>
        <v>381321.3706666691</v>
      </c>
    </row>
    <row r="23" spans="1:6" ht="15.75" thickBot="1" x14ac:dyDescent="0.3"/>
    <row r="24" spans="1:6" ht="15.75" thickBot="1" x14ac:dyDescent="0.3">
      <c r="B24" s="8" t="s">
        <v>54</v>
      </c>
      <c r="C24" s="8" t="s">
        <v>55</v>
      </c>
      <c r="D24" s="8" t="s">
        <v>56</v>
      </c>
      <c r="E24" s="8" t="s">
        <v>57</v>
      </c>
      <c r="F24" s="8" t="s">
        <v>1230</v>
      </c>
    </row>
    <row r="25" spans="1:6" x14ac:dyDescent="0.25">
      <c r="A25" t="s">
        <v>51</v>
      </c>
      <c r="B25" s="67">
        <v>32852.965999999215</v>
      </c>
      <c r="C25" s="67">
        <v>37032.269197999369</v>
      </c>
      <c r="D25" s="67">
        <v>38807.33</v>
      </c>
      <c r="E25" s="67">
        <v>38000</v>
      </c>
      <c r="F25" s="67">
        <v>39424.18999999942</v>
      </c>
    </row>
    <row r="26" spans="1:6" x14ac:dyDescent="0.25">
      <c r="A26" t="s">
        <v>53</v>
      </c>
      <c r="B26" s="67">
        <v>45000</v>
      </c>
      <c r="C26" s="67">
        <v>45000</v>
      </c>
      <c r="D26" s="67">
        <v>45000</v>
      </c>
      <c r="E26" s="67">
        <v>45000</v>
      </c>
      <c r="F26" s="67">
        <v>45000</v>
      </c>
    </row>
    <row r="27" spans="1:6" x14ac:dyDescent="0.25">
      <c r="B27" s="68">
        <f>1-B25/B26</f>
        <v>0.26993408888890635</v>
      </c>
      <c r="C27" s="68">
        <f t="shared" ref="C27:F27" si="2">1-C25/C26</f>
        <v>0.17706068448890289</v>
      </c>
      <c r="D27" s="68">
        <f t="shared" si="2"/>
        <v>0.13761488888888884</v>
      </c>
      <c r="E27" s="68">
        <f t="shared" si="2"/>
        <v>0.15555555555555556</v>
      </c>
      <c r="F27" s="68">
        <f t="shared" si="2"/>
        <v>0.12390688888890178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"/>
  <sheetViews>
    <sheetView workbookViewId="0">
      <selection activeCell="F1" sqref="F1:F1048576"/>
    </sheetView>
  </sheetViews>
  <sheetFormatPr defaultRowHeight="15" x14ac:dyDescent="0.25"/>
  <cols>
    <col min="1" max="1" width="14.5703125" style="65" bestFit="1" customWidth="1"/>
    <col min="2" max="2" width="22" style="65" bestFit="1" customWidth="1"/>
    <col min="3" max="3" width="23.140625" style="65" bestFit="1" customWidth="1"/>
    <col min="4" max="4" width="19" style="65" bestFit="1" customWidth="1"/>
    <col min="5" max="5" width="10.28515625" style="65" bestFit="1" customWidth="1"/>
    <col min="6" max="6" width="22.5703125" style="65" hidden="1" customWidth="1"/>
    <col min="7" max="7" width="16" style="65" hidden="1" customWidth="1"/>
    <col min="8" max="8" width="13.7109375" style="65" bestFit="1" customWidth="1"/>
    <col min="9" max="9" width="18.42578125" style="65" bestFit="1" customWidth="1"/>
    <col min="10" max="10" width="17.42578125" style="65" bestFit="1" customWidth="1"/>
    <col min="11" max="11" width="12.5703125" style="65" hidden="1" customWidth="1"/>
    <col min="12" max="12" width="11.140625" style="65" hidden="1" customWidth="1"/>
    <col min="13" max="13" width="21.42578125" style="65" hidden="1" customWidth="1"/>
    <col min="14" max="14" width="21.7109375" style="65" bestFit="1" customWidth="1"/>
    <col min="15" max="15" width="139.42578125" style="65" hidden="1" customWidth="1"/>
    <col min="16" max="16" width="255.7109375" style="65" hidden="1" customWidth="1"/>
    <col min="17" max="17" width="45.5703125" style="65" hidden="1" customWidth="1"/>
    <col min="18" max="18" width="95" style="65" hidden="1" customWidth="1"/>
    <col min="19" max="19" width="36" style="65" hidden="1" customWidth="1"/>
    <col min="20" max="20" width="36.28515625" style="65" hidden="1" customWidth="1"/>
    <col min="21" max="21" width="35" style="65" hidden="1" customWidth="1"/>
    <col min="22" max="22" width="38.7109375" style="65" hidden="1" customWidth="1"/>
    <col min="23" max="23" width="9.28515625" style="65" hidden="1" customWidth="1"/>
    <col min="24" max="24" width="13.5703125" style="65" hidden="1" customWidth="1"/>
    <col min="25" max="25" width="9.85546875" style="65" hidden="1" customWidth="1"/>
    <col min="26" max="26" width="23.28515625" style="65" hidden="1" customWidth="1"/>
    <col min="28" max="28" width="17.28515625" style="65" hidden="1" customWidth="1"/>
    <col min="29" max="29" width="20.7109375" style="65" hidden="1" customWidth="1"/>
    <col min="30" max="30" width="35" style="65" hidden="1" customWidth="1"/>
    <col min="31" max="31" width="11.140625" style="65" hidden="1" customWidth="1"/>
    <col min="32" max="32" width="29.42578125" style="65" hidden="1" customWidth="1"/>
    <col min="33" max="33" width="15.5703125" style="65" bestFit="1" customWidth="1"/>
    <col min="34" max="34" width="9.28515625" style="65" bestFit="1" customWidth="1"/>
    <col min="35" max="35" width="13.5703125" style="65" hidden="1" customWidth="1"/>
    <col min="36" max="36" width="15.85546875" style="65" hidden="1" customWidth="1"/>
    <col min="37" max="37" width="16" style="65" hidden="1" customWidth="1"/>
    <col min="38" max="38" width="18.140625" style="113" hidden="1" customWidth="1"/>
    <col min="39" max="39" width="23.7109375" style="65" hidden="1" customWidth="1"/>
    <col min="40" max="40" width="18.140625" style="113" customWidth="1"/>
    <col min="41" max="41" width="16.5703125" style="65" bestFit="1" customWidth="1"/>
    <col min="42" max="42" width="13.28515625" style="65" bestFit="1" customWidth="1"/>
    <col min="43" max="43" width="43" style="65" bestFit="1" customWidth="1"/>
    <col min="44" max="44" width="18.140625" style="113" customWidth="1"/>
    <col min="45" max="45" width="16.28515625" style="65" bestFit="1" customWidth="1"/>
    <col min="48" max="16384" width="9.140625" style="65"/>
  </cols>
  <sheetData>
    <row r="1" spans="1:47" x14ac:dyDescent="0.25">
      <c r="A1" s="65" t="s">
        <v>150</v>
      </c>
      <c r="B1" s="65" t="s">
        <v>41</v>
      </c>
      <c r="C1" s="65" t="s">
        <v>1233</v>
      </c>
      <c r="D1" s="65" t="s">
        <v>1234</v>
      </c>
      <c r="E1" s="65" t="s">
        <v>69</v>
      </c>
      <c r="F1" s="65" t="s">
        <v>59</v>
      </c>
      <c r="G1" s="65" t="s">
        <v>60</v>
      </c>
      <c r="H1" s="65" t="s">
        <v>61</v>
      </c>
      <c r="I1" s="65" t="s">
        <v>42</v>
      </c>
      <c r="J1" s="65" t="s">
        <v>43</v>
      </c>
      <c r="K1" s="65" t="s">
        <v>62</v>
      </c>
      <c r="L1" s="65" t="s">
        <v>1231</v>
      </c>
      <c r="M1" s="65" t="s">
        <v>1232</v>
      </c>
      <c r="N1" s="65" t="s">
        <v>44</v>
      </c>
      <c r="O1" s="65" t="s">
        <v>45</v>
      </c>
      <c r="P1" s="65" t="s">
        <v>46</v>
      </c>
      <c r="Q1" s="65" t="s">
        <v>63</v>
      </c>
      <c r="R1" s="65" t="s">
        <v>47</v>
      </c>
      <c r="S1" s="65" t="s">
        <v>164</v>
      </c>
      <c r="T1" s="65" t="s">
        <v>48</v>
      </c>
      <c r="U1" s="65" t="s">
        <v>64</v>
      </c>
      <c r="V1" s="65" t="s">
        <v>179</v>
      </c>
      <c r="W1" s="65" t="s">
        <v>65</v>
      </c>
      <c r="X1" s="65" t="s">
        <v>66</v>
      </c>
      <c r="Y1" s="65" t="s">
        <v>67</v>
      </c>
      <c r="Z1" s="65" t="s">
        <v>68</v>
      </c>
      <c r="AA1" s="65" t="s">
        <v>70</v>
      </c>
      <c r="AB1" s="65" t="s">
        <v>71</v>
      </c>
      <c r="AC1" s="65" t="s">
        <v>72</v>
      </c>
      <c r="AD1" s="65" t="s">
        <v>73</v>
      </c>
      <c r="AE1" s="65" t="s">
        <v>74</v>
      </c>
      <c r="AF1" s="65" t="s">
        <v>75</v>
      </c>
      <c r="AG1" s="65" t="s">
        <v>76</v>
      </c>
      <c r="AH1" s="65" t="s">
        <v>77</v>
      </c>
      <c r="AI1" s="65" t="s">
        <v>78</v>
      </c>
      <c r="AJ1" s="65" t="s">
        <v>79</v>
      </c>
      <c r="AK1" s="113" t="s">
        <v>80</v>
      </c>
      <c r="AL1" s="65" t="s">
        <v>81</v>
      </c>
      <c r="AM1" s="113" t="s">
        <v>82</v>
      </c>
      <c r="AN1" s="65" t="s">
        <v>83</v>
      </c>
      <c r="AO1" s="65" t="s">
        <v>84</v>
      </c>
      <c r="AP1" s="65" t="s">
        <v>85</v>
      </c>
      <c r="AQ1" s="113" t="s">
        <v>86</v>
      </c>
      <c r="AR1" s="65" t="s">
        <v>87</v>
      </c>
      <c r="AT1" s="65"/>
      <c r="AU1" s="65"/>
    </row>
    <row r="2" spans="1:47" x14ac:dyDescent="0.25">
      <c r="A2" s="65" t="s">
        <v>0</v>
      </c>
      <c r="B2" s="65" t="s">
        <v>100</v>
      </c>
      <c r="C2" s="65" t="s">
        <v>1251</v>
      </c>
      <c r="D2" s="65" t="s">
        <v>1259</v>
      </c>
      <c r="E2" s="65" t="s">
        <v>177</v>
      </c>
      <c r="H2" s="65">
        <v>1</v>
      </c>
      <c r="I2" s="73">
        <v>42066.6487037037</v>
      </c>
      <c r="J2" s="73">
        <v>42130.482673611114</v>
      </c>
      <c r="K2" s="65" t="s">
        <v>88</v>
      </c>
      <c r="M2" s="65" t="s">
        <v>1235</v>
      </c>
      <c r="N2" s="73">
        <v>42135.691006944442</v>
      </c>
      <c r="O2" s="65" t="s">
        <v>101</v>
      </c>
      <c r="P2" s="65" t="s">
        <v>102</v>
      </c>
      <c r="Q2" s="65" t="s">
        <v>94</v>
      </c>
      <c r="R2" s="65" t="s">
        <v>103</v>
      </c>
      <c r="S2" s="65" t="s">
        <v>104</v>
      </c>
      <c r="T2" s="65" t="s">
        <v>105</v>
      </c>
      <c r="U2" s="65" t="s">
        <v>29</v>
      </c>
      <c r="V2" s="65" t="s">
        <v>105</v>
      </c>
      <c r="Z2" s="65" t="s">
        <v>106</v>
      </c>
      <c r="AA2" s="65" t="s">
        <v>99</v>
      </c>
      <c r="AB2" s="69">
        <v>42130</v>
      </c>
      <c r="AC2" s="65" t="s">
        <v>29</v>
      </c>
      <c r="AD2" s="65" t="s">
        <v>1236</v>
      </c>
      <c r="AE2" s="65" t="s">
        <v>183</v>
      </c>
      <c r="AF2" s="65" t="s">
        <v>1258</v>
      </c>
      <c r="AG2" s="65" t="s">
        <v>38</v>
      </c>
      <c r="AH2" s="65" t="s">
        <v>93</v>
      </c>
      <c r="AI2" s="73">
        <v>42130.482673611114</v>
      </c>
      <c r="AJ2" s="73">
        <v>42130.482673611114</v>
      </c>
      <c r="AK2" s="113">
        <v>0.48267361111111112</v>
      </c>
      <c r="AL2" s="65" t="s">
        <v>93</v>
      </c>
      <c r="AM2" s="113">
        <v>16.601296296296297</v>
      </c>
      <c r="AN2" s="65">
        <v>47</v>
      </c>
      <c r="AO2" s="65" t="s">
        <v>188</v>
      </c>
      <c r="AP2" s="65" t="s">
        <v>217</v>
      </c>
      <c r="AQ2" s="113">
        <v>1</v>
      </c>
      <c r="AR2" s="65" t="s">
        <v>4</v>
      </c>
      <c r="AT2" s="65"/>
      <c r="AU2" s="65"/>
    </row>
    <row r="3" spans="1:47" x14ac:dyDescent="0.25">
      <c r="A3" s="65" t="s">
        <v>49</v>
      </c>
      <c r="B3" s="65" t="s">
        <v>107</v>
      </c>
      <c r="C3" s="65" t="s">
        <v>1251</v>
      </c>
      <c r="D3" s="65" t="s">
        <v>1259</v>
      </c>
      <c r="E3" s="65" t="s">
        <v>177</v>
      </c>
      <c r="H3" s="65">
        <v>1</v>
      </c>
      <c r="I3" s="73">
        <v>42067.476215277777</v>
      </c>
      <c r="J3" s="73">
        <v>42131.559317129628</v>
      </c>
      <c r="K3" s="65" t="s">
        <v>96</v>
      </c>
      <c r="L3" s="65" t="s">
        <v>1247</v>
      </c>
      <c r="M3" s="65" t="s">
        <v>1248</v>
      </c>
      <c r="N3" s="73">
        <v>42137.39266203704</v>
      </c>
      <c r="O3" s="65" t="s">
        <v>108</v>
      </c>
      <c r="P3" s="65" t="s">
        <v>109</v>
      </c>
      <c r="Q3" s="65" t="s">
        <v>89</v>
      </c>
      <c r="R3" s="65" t="s">
        <v>110</v>
      </c>
      <c r="S3" s="65" t="s">
        <v>104</v>
      </c>
      <c r="T3" s="65" t="s">
        <v>111</v>
      </c>
      <c r="U3" s="65" t="s">
        <v>28</v>
      </c>
      <c r="V3" s="65" t="s">
        <v>112</v>
      </c>
      <c r="Z3" s="65" t="s">
        <v>91</v>
      </c>
      <c r="AA3" s="65" t="s">
        <v>5</v>
      </c>
      <c r="AB3" s="69">
        <v>42075</v>
      </c>
      <c r="AC3" s="65" t="s">
        <v>28</v>
      </c>
      <c r="AD3" s="65" t="s">
        <v>1236</v>
      </c>
      <c r="AE3" s="65" t="s">
        <v>183</v>
      </c>
      <c r="AF3" s="65" t="s">
        <v>1258</v>
      </c>
      <c r="AG3" s="65" t="s">
        <v>38</v>
      </c>
      <c r="AH3" s="65" t="s">
        <v>93</v>
      </c>
      <c r="AI3" s="73">
        <v>42131.559317129628</v>
      </c>
      <c r="AJ3" s="73">
        <v>42131.559317129628</v>
      </c>
      <c r="AK3" s="113">
        <v>15.55931712962963</v>
      </c>
      <c r="AL3" s="65" t="s">
        <v>93</v>
      </c>
      <c r="AM3" s="113">
        <v>1.7737847222222221</v>
      </c>
      <c r="AN3" s="65">
        <v>47</v>
      </c>
      <c r="AO3" s="65" t="s">
        <v>188</v>
      </c>
      <c r="AP3" s="65" t="s">
        <v>217</v>
      </c>
      <c r="AQ3" s="113">
        <v>1</v>
      </c>
      <c r="AR3" s="65" t="s">
        <v>5</v>
      </c>
      <c r="AT3" s="65"/>
      <c r="AU3" s="65"/>
    </row>
    <row r="4" spans="1:47" x14ac:dyDescent="0.25">
      <c r="A4" s="65" t="s">
        <v>49</v>
      </c>
      <c r="B4" s="65" t="s">
        <v>144</v>
      </c>
      <c r="C4" s="65" t="s">
        <v>1251</v>
      </c>
      <c r="D4" s="65" t="s">
        <v>1259</v>
      </c>
      <c r="E4" s="65" t="s">
        <v>177</v>
      </c>
      <c r="H4" s="65">
        <v>1</v>
      </c>
      <c r="I4" s="73">
        <v>42066.9143287037</v>
      </c>
      <c r="J4" s="73">
        <v>42128.358518518522</v>
      </c>
      <c r="K4" s="65" t="s">
        <v>96</v>
      </c>
      <c r="L4" s="65" t="s">
        <v>1247</v>
      </c>
      <c r="M4" s="65" t="s">
        <v>1248</v>
      </c>
      <c r="N4" s="73">
        <v>42131.566851851851</v>
      </c>
      <c r="O4" s="65" t="s">
        <v>153</v>
      </c>
      <c r="P4" s="65" t="s">
        <v>154</v>
      </c>
      <c r="Q4" s="65" t="s">
        <v>89</v>
      </c>
      <c r="R4" s="65" t="s">
        <v>168</v>
      </c>
      <c r="S4" s="65" t="s">
        <v>90</v>
      </c>
      <c r="T4" s="65" t="s">
        <v>169</v>
      </c>
      <c r="U4" s="65" t="s">
        <v>28</v>
      </c>
      <c r="V4" s="65" t="s">
        <v>187</v>
      </c>
      <c r="Z4" s="65" t="s">
        <v>91</v>
      </c>
      <c r="AA4" s="65" t="s">
        <v>5</v>
      </c>
      <c r="AB4" s="69">
        <v>42075</v>
      </c>
      <c r="AC4" s="65" t="s">
        <v>28</v>
      </c>
      <c r="AD4" s="65" t="s">
        <v>1236</v>
      </c>
      <c r="AE4" s="65" t="s">
        <v>183</v>
      </c>
      <c r="AF4" s="65" t="s">
        <v>1258</v>
      </c>
      <c r="AG4" s="65" t="s">
        <v>38</v>
      </c>
      <c r="AH4" s="65" t="s">
        <v>93</v>
      </c>
      <c r="AI4" s="73">
        <v>42128.358518518522</v>
      </c>
      <c r="AJ4" s="73">
        <v>42128.358518518522</v>
      </c>
      <c r="AK4" s="113">
        <v>14.233518518518519</v>
      </c>
      <c r="AL4" s="65" t="s">
        <v>93</v>
      </c>
      <c r="AM4" s="113">
        <v>1.7106712962962964</v>
      </c>
      <c r="AN4" s="65">
        <v>45</v>
      </c>
      <c r="AO4" s="65" t="s">
        <v>188</v>
      </c>
      <c r="AP4" s="65" t="s">
        <v>217</v>
      </c>
      <c r="AQ4" s="113">
        <v>0.33333333333333331</v>
      </c>
      <c r="AR4" s="65" t="s">
        <v>5</v>
      </c>
      <c r="AT4" s="65"/>
      <c r="AU4" s="65"/>
    </row>
    <row r="5" spans="1:47" x14ac:dyDescent="0.25">
      <c r="A5" s="65" t="s">
        <v>0</v>
      </c>
      <c r="B5" s="65" t="s">
        <v>113</v>
      </c>
      <c r="C5" s="65" t="s">
        <v>1237</v>
      </c>
      <c r="D5" s="65" t="s">
        <v>1262</v>
      </c>
      <c r="E5" s="65" t="s">
        <v>177</v>
      </c>
      <c r="H5" s="65">
        <v>1</v>
      </c>
      <c r="I5" s="73">
        <v>42060.39230324074</v>
      </c>
      <c r="J5" s="73">
        <v>42130.579456018517</v>
      </c>
      <c r="K5" s="65" t="s">
        <v>114</v>
      </c>
      <c r="M5" s="65" t="s">
        <v>1235</v>
      </c>
      <c r="N5" s="73">
        <v>42136.412800925929</v>
      </c>
      <c r="O5" s="65" t="s">
        <v>115</v>
      </c>
      <c r="P5" s="65" t="s">
        <v>116</v>
      </c>
      <c r="Q5" s="65" t="s">
        <v>89</v>
      </c>
      <c r="R5" s="65" t="s">
        <v>50</v>
      </c>
      <c r="S5" s="65" t="s">
        <v>90</v>
      </c>
      <c r="T5" s="65" t="s">
        <v>117</v>
      </c>
      <c r="U5" s="65" t="s">
        <v>27</v>
      </c>
      <c r="V5" s="65" t="s">
        <v>118</v>
      </c>
      <c r="Z5" s="65" t="s">
        <v>119</v>
      </c>
      <c r="AA5" s="65" t="s">
        <v>120</v>
      </c>
      <c r="AB5" s="69">
        <v>42130</v>
      </c>
      <c r="AC5" s="65" t="s">
        <v>178</v>
      </c>
      <c r="AD5" s="65" t="s">
        <v>1236</v>
      </c>
      <c r="AE5" s="65" t="s">
        <v>183</v>
      </c>
      <c r="AF5" s="65" t="s">
        <v>1258</v>
      </c>
      <c r="AG5" s="65" t="s">
        <v>38</v>
      </c>
      <c r="AH5" s="65" t="s">
        <v>93</v>
      </c>
      <c r="AI5" s="73">
        <v>42130.579456018517</v>
      </c>
      <c r="AJ5" s="73">
        <v>42130.579456018517</v>
      </c>
      <c r="AK5" s="113">
        <v>0.57945601851851858</v>
      </c>
      <c r="AL5" s="65" t="s">
        <v>93</v>
      </c>
      <c r="AM5" s="113">
        <v>18.357696759259259</v>
      </c>
      <c r="AN5" s="65">
        <v>51</v>
      </c>
      <c r="AO5" s="65" t="s">
        <v>188</v>
      </c>
      <c r="AP5" s="65" t="s">
        <v>218</v>
      </c>
      <c r="AQ5" s="113">
        <v>0.33333333333333331</v>
      </c>
      <c r="AR5" s="65" t="s">
        <v>4</v>
      </c>
      <c r="AT5" s="65"/>
      <c r="AU5" s="65"/>
    </row>
    <row r="6" spans="1:47" x14ac:dyDescent="0.25">
      <c r="A6" s="65" t="s">
        <v>0</v>
      </c>
      <c r="B6" s="65" t="s">
        <v>121</v>
      </c>
      <c r="C6" s="65" t="s">
        <v>1263</v>
      </c>
      <c r="D6" s="65">
        <v>0</v>
      </c>
      <c r="E6" s="65" t="s">
        <v>177</v>
      </c>
      <c r="H6" s="65">
        <v>1</v>
      </c>
      <c r="I6" s="73">
        <v>42039.39199074074</v>
      </c>
      <c r="J6" s="73">
        <v>42130.603298611109</v>
      </c>
      <c r="K6" s="65" t="s">
        <v>88</v>
      </c>
      <c r="M6" s="65" t="s">
        <v>1235</v>
      </c>
      <c r="N6" s="73">
        <v>42136.436631944445</v>
      </c>
      <c r="O6" s="65" t="s">
        <v>122</v>
      </c>
      <c r="P6" s="65" t="s">
        <v>123</v>
      </c>
      <c r="Q6" s="65" t="s">
        <v>89</v>
      </c>
      <c r="R6" s="65" t="s">
        <v>124</v>
      </c>
      <c r="S6" s="65" t="s">
        <v>125</v>
      </c>
      <c r="T6" s="65" t="s">
        <v>126</v>
      </c>
      <c r="U6" s="65" t="s">
        <v>28</v>
      </c>
      <c r="V6" s="65" t="s">
        <v>127</v>
      </c>
      <c r="Z6" s="65" t="s">
        <v>106</v>
      </c>
      <c r="AA6" s="65" t="s">
        <v>99</v>
      </c>
      <c r="AB6" s="69">
        <v>42130</v>
      </c>
      <c r="AC6" s="65" t="s">
        <v>28</v>
      </c>
      <c r="AD6" s="65" t="s">
        <v>1236</v>
      </c>
      <c r="AE6" s="65" t="s">
        <v>183</v>
      </c>
      <c r="AF6" s="65" t="s">
        <v>128</v>
      </c>
      <c r="AG6" s="65" t="s">
        <v>38</v>
      </c>
      <c r="AH6" s="65" t="s">
        <v>93</v>
      </c>
      <c r="AI6" s="73">
        <v>42130.603298611109</v>
      </c>
      <c r="AJ6" s="73">
        <v>42130.603298611109</v>
      </c>
      <c r="AK6" s="113">
        <v>0.60329861111111105</v>
      </c>
      <c r="AL6" s="65" t="s">
        <v>93</v>
      </c>
      <c r="AM6" s="113">
        <v>23.983009259259259</v>
      </c>
      <c r="AN6" s="65">
        <v>66</v>
      </c>
      <c r="AO6" s="65" t="s">
        <v>1238</v>
      </c>
      <c r="AP6" s="65" t="s">
        <v>218</v>
      </c>
      <c r="AQ6" s="113">
        <v>0.16666666666666666</v>
      </c>
      <c r="AR6" s="65" t="s">
        <v>4</v>
      </c>
      <c r="AT6" s="65"/>
      <c r="AU6" s="65"/>
    </row>
    <row r="7" spans="1:47" x14ac:dyDescent="0.25">
      <c r="A7" s="65" t="s">
        <v>0</v>
      </c>
      <c r="B7" s="65" t="s">
        <v>130</v>
      </c>
      <c r="C7" s="65" t="s">
        <v>1237</v>
      </c>
      <c r="D7" s="65">
        <v>0</v>
      </c>
      <c r="E7" s="65" t="s">
        <v>177</v>
      </c>
      <c r="H7" s="65">
        <v>1</v>
      </c>
      <c r="I7" s="73">
        <v>42123.365706018521</v>
      </c>
      <c r="J7" s="73">
        <v>42131.408680555556</v>
      </c>
      <c r="K7" s="65" t="s">
        <v>96</v>
      </c>
      <c r="M7" s="65" t="s">
        <v>1235</v>
      </c>
      <c r="N7" s="73">
        <v>42136.617013888892</v>
      </c>
      <c r="O7" s="65" t="s">
        <v>131</v>
      </c>
      <c r="P7" s="65" t="s">
        <v>132</v>
      </c>
      <c r="Q7" s="65" t="s">
        <v>94</v>
      </c>
      <c r="R7" s="65" t="s">
        <v>133</v>
      </c>
      <c r="S7" s="65" t="s">
        <v>104</v>
      </c>
      <c r="T7" s="65" t="s">
        <v>134</v>
      </c>
      <c r="U7" s="65" t="s">
        <v>29</v>
      </c>
      <c r="V7" s="65" t="s">
        <v>135</v>
      </c>
      <c r="Y7" s="65" t="s">
        <v>136</v>
      </c>
      <c r="Z7" s="65" t="s">
        <v>106</v>
      </c>
      <c r="AA7" s="65" t="s">
        <v>99</v>
      </c>
      <c r="AB7" s="69">
        <v>42131</v>
      </c>
      <c r="AC7" s="65" t="s">
        <v>29</v>
      </c>
      <c r="AD7" s="65" t="s">
        <v>1236</v>
      </c>
      <c r="AE7" s="65" t="s">
        <v>183</v>
      </c>
      <c r="AF7" s="65" t="s">
        <v>1258</v>
      </c>
      <c r="AG7" s="65" t="s">
        <v>38</v>
      </c>
      <c r="AH7" s="65" t="s">
        <v>93</v>
      </c>
      <c r="AI7" s="73">
        <v>42131.408680555556</v>
      </c>
      <c r="AJ7" s="73">
        <v>42131.408680555556</v>
      </c>
      <c r="AK7" s="113">
        <v>0.40868055555555555</v>
      </c>
      <c r="AL7" s="65" t="s">
        <v>93</v>
      </c>
      <c r="AM7" s="113">
        <v>1.8842939814814814</v>
      </c>
      <c r="AN7" s="65">
        <v>7</v>
      </c>
      <c r="AO7" s="65" t="s">
        <v>95</v>
      </c>
      <c r="AP7" s="65" t="s">
        <v>218</v>
      </c>
      <c r="AQ7" s="113">
        <v>1</v>
      </c>
      <c r="AR7" s="65" t="s">
        <v>4</v>
      </c>
      <c r="AT7" s="65"/>
      <c r="AU7" s="65"/>
    </row>
    <row r="8" spans="1:47" x14ac:dyDescent="0.25">
      <c r="A8" s="65" t="s">
        <v>0</v>
      </c>
      <c r="B8" s="65" t="s">
        <v>145</v>
      </c>
      <c r="C8" s="65" t="s">
        <v>1237</v>
      </c>
      <c r="D8" s="65" t="s">
        <v>1262</v>
      </c>
      <c r="E8" s="65" t="s">
        <v>177</v>
      </c>
      <c r="H8" s="65">
        <v>1</v>
      </c>
      <c r="I8" s="73">
        <v>42069.657106481478</v>
      </c>
      <c r="J8" s="73">
        <v>42128.705601851849</v>
      </c>
      <c r="K8" s="65" t="s">
        <v>88</v>
      </c>
      <c r="M8" s="65" t="s">
        <v>1235</v>
      </c>
      <c r="N8" s="73">
        <v>42132.538935185185</v>
      </c>
      <c r="O8" s="65" t="s">
        <v>155</v>
      </c>
      <c r="P8" s="65" t="s">
        <v>156</v>
      </c>
      <c r="Q8" s="65" t="s">
        <v>89</v>
      </c>
      <c r="R8" s="65" t="s">
        <v>50</v>
      </c>
      <c r="S8" s="65" t="s">
        <v>90</v>
      </c>
      <c r="T8" s="65" t="s">
        <v>170</v>
      </c>
      <c r="U8" s="65" t="s">
        <v>28</v>
      </c>
      <c r="V8" s="65" t="s">
        <v>180</v>
      </c>
      <c r="Z8" s="65" t="s">
        <v>91</v>
      </c>
      <c r="AA8" s="65" t="s">
        <v>5</v>
      </c>
      <c r="AB8" s="69">
        <v>42128</v>
      </c>
      <c r="AC8" s="65" t="s">
        <v>28</v>
      </c>
      <c r="AD8" s="65" t="s">
        <v>1236</v>
      </c>
      <c r="AE8" s="65" t="s">
        <v>183</v>
      </c>
      <c r="AF8" s="65" t="s">
        <v>1258</v>
      </c>
      <c r="AG8" s="65" t="s">
        <v>38</v>
      </c>
      <c r="AH8" s="65" t="s">
        <v>93</v>
      </c>
      <c r="AI8" s="73">
        <v>42128.705601851849</v>
      </c>
      <c r="AJ8" s="73">
        <v>42128.705601851849</v>
      </c>
      <c r="AK8" s="113">
        <v>0.70560185185185187</v>
      </c>
      <c r="AL8" s="65" t="s">
        <v>93</v>
      </c>
      <c r="AM8" s="113">
        <v>14.717893518518519</v>
      </c>
      <c r="AN8" s="65">
        <v>42</v>
      </c>
      <c r="AO8" s="65" t="s">
        <v>188</v>
      </c>
      <c r="AP8" s="65" t="s">
        <v>218</v>
      </c>
      <c r="AQ8" s="113">
        <v>0.33333333333333331</v>
      </c>
      <c r="AR8" s="65" t="s">
        <v>5</v>
      </c>
      <c r="AT8" s="65"/>
      <c r="AU8" s="65"/>
    </row>
    <row r="9" spans="1:47" x14ac:dyDescent="0.25">
      <c r="A9" s="65" t="s">
        <v>0</v>
      </c>
      <c r="B9" s="65" t="s">
        <v>146</v>
      </c>
      <c r="C9" s="65" t="s">
        <v>1251</v>
      </c>
      <c r="D9" s="65" t="s">
        <v>1252</v>
      </c>
      <c r="E9" s="65" t="s">
        <v>177</v>
      </c>
      <c r="H9" s="65">
        <v>1</v>
      </c>
      <c r="I9" s="73">
        <v>42053.821296296293</v>
      </c>
      <c r="J9" s="73">
        <v>42128.693981481483</v>
      </c>
      <c r="K9" s="65" t="s">
        <v>181</v>
      </c>
      <c r="M9" s="65" t="s">
        <v>1235</v>
      </c>
      <c r="N9" s="73">
        <v>42132.527326388888</v>
      </c>
      <c r="O9" s="65" t="s">
        <v>157</v>
      </c>
      <c r="P9" s="65" t="s">
        <v>157</v>
      </c>
      <c r="Q9" s="65" t="s">
        <v>94</v>
      </c>
      <c r="R9" s="65" t="s">
        <v>171</v>
      </c>
      <c r="S9" s="65" t="s">
        <v>172</v>
      </c>
      <c r="T9" s="65" t="s">
        <v>173</v>
      </c>
      <c r="U9" s="65" t="s">
        <v>27</v>
      </c>
      <c r="V9" s="65" t="s">
        <v>182</v>
      </c>
      <c r="Z9" s="65" t="s">
        <v>91</v>
      </c>
      <c r="AA9" s="65" t="s">
        <v>5</v>
      </c>
      <c r="AB9" s="69">
        <v>42128</v>
      </c>
      <c r="AC9" s="65" t="s">
        <v>178</v>
      </c>
      <c r="AD9" s="65" t="s">
        <v>1236</v>
      </c>
      <c r="AE9" s="65" t="s">
        <v>183</v>
      </c>
      <c r="AF9" s="65" t="s">
        <v>1258</v>
      </c>
      <c r="AG9" s="65" t="s">
        <v>38</v>
      </c>
      <c r="AH9" s="65" t="s">
        <v>93</v>
      </c>
      <c r="AI9" s="73">
        <v>42128.693981481483</v>
      </c>
      <c r="AJ9" s="73">
        <v>42128.693981481483</v>
      </c>
      <c r="AK9" s="113">
        <v>0.69398148148148142</v>
      </c>
      <c r="AL9" s="65" t="s">
        <v>93</v>
      </c>
      <c r="AM9" s="113">
        <v>19.053703703703704</v>
      </c>
      <c r="AN9" s="65">
        <v>54</v>
      </c>
      <c r="AO9" s="65" t="s">
        <v>188</v>
      </c>
      <c r="AP9" s="65" t="s">
        <v>218</v>
      </c>
      <c r="AQ9" s="113">
        <v>15</v>
      </c>
      <c r="AR9" s="65" t="s">
        <v>5</v>
      </c>
      <c r="AT9" s="65"/>
      <c r="AU9" s="65"/>
    </row>
    <row r="10" spans="1:47" x14ac:dyDescent="0.25">
      <c r="A10" s="65" t="s">
        <v>0</v>
      </c>
      <c r="B10" s="65" t="s">
        <v>147</v>
      </c>
      <c r="C10" s="65" t="s">
        <v>1251</v>
      </c>
      <c r="D10" s="65" t="s">
        <v>1252</v>
      </c>
      <c r="E10" s="65" t="s">
        <v>177</v>
      </c>
      <c r="H10" s="65">
        <v>1</v>
      </c>
      <c r="I10" s="73">
        <v>42037.703368055554</v>
      </c>
      <c r="J10" s="73">
        <v>42128.689409722225</v>
      </c>
      <c r="K10" s="65" t="s">
        <v>184</v>
      </c>
      <c r="M10" s="65" t="s">
        <v>1235</v>
      </c>
      <c r="N10" s="73">
        <v>42132.522766203707</v>
      </c>
      <c r="O10" s="65" t="s">
        <v>158</v>
      </c>
      <c r="P10" s="65" t="s">
        <v>159</v>
      </c>
      <c r="Q10" s="65" t="s">
        <v>94</v>
      </c>
      <c r="R10" s="65" t="s">
        <v>171</v>
      </c>
      <c r="S10" s="65" t="s">
        <v>172</v>
      </c>
      <c r="T10" s="65" t="s">
        <v>174</v>
      </c>
      <c r="U10" s="65" t="s">
        <v>27</v>
      </c>
      <c r="V10" s="65" t="s">
        <v>182</v>
      </c>
      <c r="Z10" s="65" t="s">
        <v>91</v>
      </c>
      <c r="AA10" s="65" t="s">
        <v>5</v>
      </c>
      <c r="AB10" s="69">
        <v>42128</v>
      </c>
      <c r="AC10" s="65" t="s">
        <v>178</v>
      </c>
      <c r="AD10" s="65" t="s">
        <v>1236</v>
      </c>
      <c r="AE10" s="65" t="s">
        <v>183</v>
      </c>
      <c r="AF10" s="65" t="s">
        <v>1258</v>
      </c>
      <c r="AG10" s="65" t="s">
        <v>38</v>
      </c>
      <c r="AH10" s="65" t="s">
        <v>93</v>
      </c>
      <c r="AI10" s="73">
        <v>42128.689409722225</v>
      </c>
      <c r="AJ10" s="73">
        <v>42128.689409722225</v>
      </c>
      <c r="AK10" s="113">
        <v>0.6894097222222223</v>
      </c>
      <c r="AL10" s="65" t="s">
        <v>93</v>
      </c>
      <c r="AM10" s="113">
        <v>23.671631944444446</v>
      </c>
      <c r="AN10" s="65">
        <v>66</v>
      </c>
      <c r="AO10" s="65" t="s">
        <v>1238</v>
      </c>
      <c r="AP10" s="65" t="s">
        <v>218</v>
      </c>
      <c r="AQ10" s="113">
        <v>15</v>
      </c>
      <c r="AR10" s="65" t="s">
        <v>5</v>
      </c>
      <c r="AT10" s="65"/>
      <c r="AU10" s="65"/>
    </row>
    <row r="11" spans="1:47" x14ac:dyDescent="0.25">
      <c r="A11" s="65" t="s">
        <v>0</v>
      </c>
      <c r="B11" s="65" t="s">
        <v>148</v>
      </c>
      <c r="C11" s="65" t="s">
        <v>1251</v>
      </c>
      <c r="D11" s="65" t="s">
        <v>1252</v>
      </c>
      <c r="E11" s="65" t="s">
        <v>177</v>
      </c>
      <c r="H11" s="65">
        <v>1</v>
      </c>
      <c r="I11" s="73">
        <v>42037.623888888891</v>
      </c>
      <c r="J11" s="73">
        <v>42128.688900462963</v>
      </c>
      <c r="K11" s="65" t="s">
        <v>184</v>
      </c>
      <c r="M11" s="65" t="s">
        <v>1235</v>
      </c>
      <c r="N11" s="73">
        <v>42132.522256944445</v>
      </c>
      <c r="O11" s="65" t="s">
        <v>160</v>
      </c>
      <c r="P11" s="65" t="s">
        <v>161</v>
      </c>
      <c r="Q11" s="65" t="s">
        <v>94</v>
      </c>
      <c r="R11" s="65" t="s">
        <v>171</v>
      </c>
      <c r="S11" s="65" t="s">
        <v>172</v>
      </c>
      <c r="T11" s="65" t="s">
        <v>175</v>
      </c>
      <c r="U11" s="65" t="s">
        <v>27</v>
      </c>
      <c r="V11" s="65" t="s">
        <v>185</v>
      </c>
      <c r="Z11" s="65" t="s">
        <v>91</v>
      </c>
      <c r="AA11" s="65" t="s">
        <v>5</v>
      </c>
      <c r="AB11" s="69">
        <v>42128</v>
      </c>
      <c r="AC11" s="65" t="s">
        <v>178</v>
      </c>
      <c r="AD11" s="65" t="s">
        <v>1236</v>
      </c>
      <c r="AE11" s="65" t="s">
        <v>183</v>
      </c>
      <c r="AF11" s="65" t="s">
        <v>1258</v>
      </c>
      <c r="AG11" s="65" t="s">
        <v>38</v>
      </c>
      <c r="AH11" s="65" t="s">
        <v>93</v>
      </c>
      <c r="AI11" s="73">
        <v>42128.688900462963</v>
      </c>
      <c r="AJ11" s="73">
        <v>42128.688900462963</v>
      </c>
      <c r="AK11" s="113">
        <v>0.68890046296296292</v>
      </c>
      <c r="AL11" s="65" t="s">
        <v>93</v>
      </c>
      <c r="AM11" s="113">
        <v>23.751111111111111</v>
      </c>
      <c r="AN11" s="65">
        <v>66</v>
      </c>
      <c r="AO11" s="65" t="s">
        <v>1238</v>
      </c>
      <c r="AP11" s="65" t="s">
        <v>218</v>
      </c>
      <c r="AQ11" s="113">
        <v>15</v>
      </c>
      <c r="AR11" s="65" t="s">
        <v>5</v>
      </c>
      <c r="AT11" s="65"/>
      <c r="AU11" s="65"/>
    </row>
    <row r="12" spans="1:47" x14ac:dyDescent="0.25">
      <c r="A12" s="65" t="s">
        <v>49</v>
      </c>
      <c r="B12" s="65" t="s">
        <v>189</v>
      </c>
      <c r="C12" s="65" t="s">
        <v>1251</v>
      </c>
      <c r="D12" s="65" t="s">
        <v>1252</v>
      </c>
      <c r="E12" s="65" t="s">
        <v>177</v>
      </c>
      <c r="H12" s="65">
        <v>1</v>
      </c>
      <c r="I12" s="73">
        <v>42059.360798611109</v>
      </c>
      <c r="J12" s="73">
        <v>42128.694895833331</v>
      </c>
      <c r="K12" s="65" t="s">
        <v>181</v>
      </c>
      <c r="L12" s="65" t="s">
        <v>1249</v>
      </c>
      <c r="M12" s="65" t="s">
        <v>1250</v>
      </c>
      <c r="N12" s="73">
        <v>42132.528240740743</v>
      </c>
      <c r="O12" s="65" t="s">
        <v>190</v>
      </c>
      <c r="P12" s="65" t="s">
        <v>191</v>
      </c>
      <c r="Q12" s="65" t="s">
        <v>89</v>
      </c>
      <c r="R12" s="65" t="s">
        <v>171</v>
      </c>
      <c r="S12" s="65" t="s">
        <v>172</v>
      </c>
      <c r="T12" s="65" t="s">
        <v>192</v>
      </c>
      <c r="U12" s="65" t="s">
        <v>27</v>
      </c>
      <c r="V12" s="65" t="s">
        <v>193</v>
      </c>
      <c r="Z12" s="65" t="s">
        <v>91</v>
      </c>
      <c r="AA12" s="65" t="s">
        <v>5</v>
      </c>
      <c r="AB12" s="69">
        <v>42075</v>
      </c>
      <c r="AC12" s="65" t="s">
        <v>178</v>
      </c>
      <c r="AD12" s="65" t="s">
        <v>1236</v>
      </c>
      <c r="AE12" s="65" t="s">
        <v>183</v>
      </c>
      <c r="AF12" s="65" t="s">
        <v>1258</v>
      </c>
      <c r="AG12" s="65" t="s">
        <v>38</v>
      </c>
      <c r="AH12" s="65" t="s">
        <v>93</v>
      </c>
      <c r="AI12" s="73">
        <v>42128.694895833331</v>
      </c>
      <c r="AJ12" s="73">
        <v>42128.694895833331</v>
      </c>
      <c r="AK12" s="113">
        <v>14.569895833333334</v>
      </c>
      <c r="AL12" s="65" t="s">
        <v>93</v>
      </c>
      <c r="AM12" s="113">
        <v>4.139201388888889</v>
      </c>
      <c r="AN12" s="65">
        <v>50</v>
      </c>
      <c r="AO12" s="65" t="s">
        <v>188</v>
      </c>
      <c r="AP12" s="65" t="s">
        <v>218</v>
      </c>
      <c r="AQ12" s="113">
        <v>15</v>
      </c>
      <c r="AR12" s="65" t="s">
        <v>5</v>
      </c>
      <c r="AT12" s="65"/>
      <c r="AU12" s="65"/>
    </row>
    <row r="13" spans="1:47" x14ac:dyDescent="0.25">
      <c r="A13" s="65" t="s">
        <v>49</v>
      </c>
      <c r="B13" s="65" t="s">
        <v>194</v>
      </c>
      <c r="C13" s="65" t="s">
        <v>1251</v>
      </c>
      <c r="D13" s="65" t="s">
        <v>1252</v>
      </c>
      <c r="E13" s="65" t="s">
        <v>177</v>
      </c>
      <c r="H13" s="65">
        <v>1</v>
      </c>
      <c r="I13" s="73">
        <v>42058.663842592592</v>
      </c>
      <c r="J13" s="73">
        <v>42128.694548611114</v>
      </c>
      <c r="K13" s="65" t="s">
        <v>88</v>
      </c>
      <c r="M13" s="65" t="s">
        <v>1235</v>
      </c>
      <c r="N13" s="73">
        <v>42132.527905092589</v>
      </c>
      <c r="O13" s="65" t="s">
        <v>195</v>
      </c>
      <c r="P13" s="65" t="s">
        <v>196</v>
      </c>
      <c r="Q13" s="65" t="s">
        <v>94</v>
      </c>
      <c r="R13" s="65" t="s">
        <v>171</v>
      </c>
      <c r="S13" s="65" t="s">
        <v>172</v>
      </c>
      <c r="T13" s="65" t="s">
        <v>197</v>
      </c>
      <c r="U13" s="65" t="s">
        <v>27</v>
      </c>
      <c r="V13" s="65" t="s">
        <v>198</v>
      </c>
      <c r="Z13" s="65" t="s">
        <v>91</v>
      </c>
      <c r="AA13" s="65" t="s">
        <v>5</v>
      </c>
      <c r="AB13" s="69">
        <v>42075</v>
      </c>
      <c r="AC13" s="65" t="s">
        <v>178</v>
      </c>
      <c r="AD13" s="65" t="s">
        <v>1236</v>
      </c>
      <c r="AE13" s="65" t="s">
        <v>183</v>
      </c>
      <c r="AF13" s="65" t="s">
        <v>1258</v>
      </c>
      <c r="AG13" s="65" t="s">
        <v>38</v>
      </c>
      <c r="AH13" s="65" t="s">
        <v>93</v>
      </c>
      <c r="AI13" s="73">
        <v>42128.694548611114</v>
      </c>
      <c r="AJ13" s="73">
        <v>42128.694548611114</v>
      </c>
      <c r="AK13" s="113">
        <v>14.569548611111111</v>
      </c>
      <c r="AL13" s="65" t="s">
        <v>93</v>
      </c>
      <c r="AM13" s="113">
        <v>4.2111574074074074</v>
      </c>
      <c r="AN13" s="65">
        <v>51</v>
      </c>
      <c r="AO13" s="65" t="s">
        <v>188</v>
      </c>
      <c r="AP13" s="65" t="s">
        <v>218</v>
      </c>
      <c r="AQ13" s="113">
        <v>15</v>
      </c>
      <c r="AR13" s="65" t="s">
        <v>5</v>
      </c>
      <c r="AT13" s="65"/>
      <c r="AU13" s="65"/>
    </row>
    <row r="14" spans="1:47" x14ac:dyDescent="0.25">
      <c r="A14" s="65" t="s">
        <v>0</v>
      </c>
      <c r="B14" s="65" t="s">
        <v>137</v>
      </c>
      <c r="C14" s="65" t="s">
        <v>1263</v>
      </c>
      <c r="D14" s="65">
        <v>0</v>
      </c>
      <c r="E14" s="65" t="s">
        <v>177</v>
      </c>
      <c r="H14" s="65">
        <v>1</v>
      </c>
      <c r="I14" s="73">
        <v>42048.433981481481</v>
      </c>
      <c r="J14" s="73">
        <v>42129.699953703705</v>
      </c>
      <c r="K14" s="65" t="s">
        <v>96</v>
      </c>
      <c r="M14" s="65" t="s">
        <v>1235</v>
      </c>
      <c r="N14" s="73">
        <v>42135.53329861111</v>
      </c>
      <c r="O14" s="65" t="s">
        <v>138</v>
      </c>
      <c r="P14" s="65" t="s">
        <v>139</v>
      </c>
      <c r="Q14" s="65" t="s">
        <v>89</v>
      </c>
      <c r="R14" s="65" t="s">
        <v>124</v>
      </c>
      <c r="S14" s="65" t="s">
        <v>125</v>
      </c>
      <c r="T14" s="65" t="s">
        <v>140</v>
      </c>
      <c r="U14" s="65" t="s">
        <v>28</v>
      </c>
      <c r="V14" s="65" t="s">
        <v>1253</v>
      </c>
      <c r="Z14" s="65" t="s">
        <v>141</v>
      </c>
      <c r="AA14" s="65" t="s">
        <v>6</v>
      </c>
      <c r="AB14" s="69">
        <v>42129</v>
      </c>
      <c r="AC14" s="65" t="s">
        <v>28</v>
      </c>
      <c r="AD14" s="65" t="s">
        <v>1236</v>
      </c>
      <c r="AE14" s="65" t="s">
        <v>183</v>
      </c>
      <c r="AF14" s="65" t="s">
        <v>128</v>
      </c>
      <c r="AG14" s="65" t="s">
        <v>38</v>
      </c>
      <c r="AH14" s="65" t="s">
        <v>93</v>
      </c>
      <c r="AI14" s="73">
        <v>42129.699953703705</v>
      </c>
      <c r="AJ14" s="73">
        <v>42129.699953703705</v>
      </c>
      <c r="AK14" s="113">
        <v>0.69995370370370369</v>
      </c>
      <c r="AL14" s="65" t="s">
        <v>93</v>
      </c>
      <c r="AM14" s="113">
        <v>20.941018518518518</v>
      </c>
      <c r="AN14" s="65">
        <v>58</v>
      </c>
      <c r="AO14" s="65" t="s">
        <v>188</v>
      </c>
      <c r="AP14" s="65" t="s">
        <v>218</v>
      </c>
      <c r="AQ14" s="113">
        <v>0.16666666666666666</v>
      </c>
      <c r="AR14" s="65" t="s">
        <v>6</v>
      </c>
      <c r="AT14" s="65"/>
      <c r="AU14" s="65"/>
    </row>
    <row r="15" spans="1:47" x14ac:dyDescent="0.25">
      <c r="A15" s="65" t="s">
        <v>0</v>
      </c>
      <c r="B15" s="65" t="s">
        <v>149</v>
      </c>
      <c r="C15" s="65" t="s">
        <v>1251</v>
      </c>
      <c r="D15" s="65" t="s">
        <v>1252</v>
      </c>
      <c r="E15" s="65" t="s">
        <v>177</v>
      </c>
      <c r="H15" s="65">
        <v>1</v>
      </c>
      <c r="I15" s="73">
        <v>42037.50141203704</v>
      </c>
      <c r="J15" s="73">
        <v>42128.686585648145</v>
      </c>
      <c r="K15" s="65" t="s">
        <v>184</v>
      </c>
      <c r="M15" s="65" t="s">
        <v>1235</v>
      </c>
      <c r="N15" s="73">
        <v>42132.519942129627</v>
      </c>
      <c r="O15" s="65" t="s">
        <v>162</v>
      </c>
      <c r="P15" s="65" t="s">
        <v>163</v>
      </c>
      <c r="Q15" s="65" t="s">
        <v>94</v>
      </c>
      <c r="R15" s="65" t="s">
        <v>171</v>
      </c>
      <c r="S15" s="65" t="s">
        <v>172</v>
      </c>
      <c r="T15" s="65" t="s">
        <v>176</v>
      </c>
      <c r="U15" s="65" t="s">
        <v>27</v>
      </c>
      <c r="V15" s="65" t="s">
        <v>186</v>
      </c>
      <c r="Z15" s="65" t="s">
        <v>1254</v>
      </c>
      <c r="AA15" s="65" t="s">
        <v>6</v>
      </c>
      <c r="AB15" s="69">
        <v>42128</v>
      </c>
      <c r="AC15" s="65" t="s">
        <v>178</v>
      </c>
      <c r="AD15" s="65" t="s">
        <v>1236</v>
      </c>
      <c r="AE15" s="65" t="s">
        <v>183</v>
      </c>
      <c r="AF15" s="65" t="s">
        <v>1258</v>
      </c>
      <c r="AG15" s="65" t="s">
        <v>38</v>
      </c>
      <c r="AH15" s="65" t="s">
        <v>93</v>
      </c>
      <c r="AI15" s="73">
        <v>42128.686585648145</v>
      </c>
      <c r="AJ15" s="73">
        <v>42128.686585648145</v>
      </c>
      <c r="AK15" s="113">
        <v>0.68658564814814815</v>
      </c>
      <c r="AL15" s="65" t="s">
        <v>93</v>
      </c>
      <c r="AM15" s="113">
        <v>23.873587962962961</v>
      </c>
      <c r="AN15" s="65">
        <v>66</v>
      </c>
      <c r="AO15" s="65" t="s">
        <v>1238</v>
      </c>
      <c r="AP15" s="65" t="s">
        <v>218</v>
      </c>
      <c r="AQ15" s="113">
        <v>15</v>
      </c>
      <c r="AR15" s="65" t="s">
        <v>6</v>
      </c>
      <c r="AT15" s="65"/>
      <c r="AU15" s="65"/>
    </row>
    <row r="16" spans="1:47" x14ac:dyDescent="0.25">
      <c r="A16" s="65" t="s">
        <v>0</v>
      </c>
      <c r="B16" s="65" t="s">
        <v>200</v>
      </c>
      <c r="C16" s="65" t="s">
        <v>1237</v>
      </c>
      <c r="D16" s="65">
        <v>0</v>
      </c>
      <c r="E16" s="65" t="s">
        <v>92</v>
      </c>
      <c r="H16" s="65">
        <v>1</v>
      </c>
      <c r="I16" s="73">
        <v>42132.670324074075</v>
      </c>
      <c r="J16" s="73">
        <v>42135.749374999999</v>
      </c>
      <c r="K16" s="65" t="s">
        <v>88</v>
      </c>
      <c r="M16" s="65" t="s">
        <v>1235</v>
      </c>
      <c r="N16" s="73">
        <v>42139.541666666664</v>
      </c>
      <c r="O16" s="65" t="s">
        <v>201</v>
      </c>
      <c r="P16" s="65" t="s">
        <v>202</v>
      </c>
      <c r="Q16" s="65" t="s">
        <v>94</v>
      </c>
      <c r="R16" s="65" t="s">
        <v>203</v>
      </c>
      <c r="S16" s="65" t="s">
        <v>104</v>
      </c>
      <c r="T16" s="65" t="s">
        <v>204</v>
      </c>
      <c r="U16" s="65" t="s">
        <v>29</v>
      </c>
      <c r="V16" s="65" t="s">
        <v>204</v>
      </c>
      <c r="Z16" s="65" t="s">
        <v>205</v>
      </c>
      <c r="AA16" s="65" t="s">
        <v>99</v>
      </c>
      <c r="AB16" s="65" t="s">
        <v>206</v>
      </c>
      <c r="AC16" s="65" t="s">
        <v>29</v>
      </c>
      <c r="AD16" s="65" t="s">
        <v>1236</v>
      </c>
      <c r="AE16" s="65" t="s">
        <v>183</v>
      </c>
      <c r="AF16" s="65" t="s">
        <v>1258</v>
      </c>
      <c r="AG16" s="65" t="s">
        <v>38</v>
      </c>
      <c r="AH16" s="65" t="s">
        <v>93</v>
      </c>
      <c r="AI16" s="73">
        <v>42135.749374999999</v>
      </c>
      <c r="AJ16" s="73">
        <v>42135.749374999999</v>
      </c>
      <c r="AK16" s="113">
        <v>0</v>
      </c>
      <c r="AL16" s="65" t="s">
        <v>93</v>
      </c>
      <c r="AM16" s="113">
        <v>0.45405092592592594</v>
      </c>
      <c r="AN16" s="65">
        <v>2</v>
      </c>
      <c r="AO16" s="65" t="s">
        <v>95</v>
      </c>
      <c r="AP16" s="65" t="s">
        <v>217</v>
      </c>
      <c r="AQ16" s="113">
        <v>1</v>
      </c>
      <c r="AR16" s="65" t="s">
        <v>4</v>
      </c>
      <c r="AT16" s="65"/>
      <c r="AU16" s="65"/>
    </row>
    <row r="17" spans="1:47" x14ac:dyDescent="0.25">
      <c r="A17" s="65" t="s">
        <v>49</v>
      </c>
      <c r="B17" s="65" t="s">
        <v>212</v>
      </c>
      <c r="C17" s="65" t="s">
        <v>1251</v>
      </c>
      <c r="D17" s="65" t="s">
        <v>1259</v>
      </c>
      <c r="E17" s="65" t="s">
        <v>92</v>
      </c>
      <c r="H17" s="65">
        <v>1</v>
      </c>
      <c r="I17" s="73">
        <v>42102.362905092596</v>
      </c>
      <c r="J17" s="73">
        <v>42139.388564814813</v>
      </c>
      <c r="K17" s="65" t="s">
        <v>88</v>
      </c>
      <c r="M17" s="65" t="s">
        <v>1235</v>
      </c>
      <c r="N17" s="73">
        <v>42144.596909722219</v>
      </c>
      <c r="O17" s="65" t="s">
        <v>213</v>
      </c>
      <c r="P17" s="65" t="s">
        <v>214</v>
      </c>
      <c r="Q17" s="65" t="s">
        <v>89</v>
      </c>
      <c r="R17" s="65" t="s">
        <v>168</v>
      </c>
      <c r="S17" s="65" t="s">
        <v>90</v>
      </c>
      <c r="T17" s="65" t="s">
        <v>215</v>
      </c>
      <c r="U17" s="65" t="s">
        <v>28</v>
      </c>
      <c r="V17" s="65" t="s">
        <v>216</v>
      </c>
      <c r="Z17" s="65" t="s">
        <v>91</v>
      </c>
      <c r="AA17" s="65" t="s">
        <v>120</v>
      </c>
      <c r="AB17" s="69">
        <v>42103</v>
      </c>
      <c r="AC17" s="65" t="s">
        <v>28</v>
      </c>
      <c r="AD17" s="65" t="s">
        <v>1236</v>
      </c>
      <c r="AE17" s="65" t="s">
        <v>183</v>
      </c>
      <c r="AF17" s="65" t="s">
        <v>1258</v>
      </c>
      <c r="AG17" s="65" t="s">
        <v>38</v>
      </c>
      <c r="AH17" s="65" t="s">
        <v>93</v>
      </c>
      <c r="AI17" s="73">
        <v>42139.388564814813</v>
      </c>
      <c r="AJ17" s="73">
        <v>42139.388564814813</v>
      </c>
      <c r="AK17" s="113">
        <v>10.138564814814815</v>
      </c>
      <c r="AL17" s="65" t="s">
        <v>93</v>
      </c>
      <c r="AM17" s="113">
        <v>1.2094907407407408E-2</v>
      </c>
      <c r="AN17" s="65">
        <v>28</v>
      </c>
      <c r="AO17" s="65" t="s">
        <v>129</v>
      </c>
      <c r="AP17" s="65" t="s">
        <v>217</v>
      </c>
      <c r="AQ17" s="113">
        <v>0.33333333333333331</v>
      </c>
      <c r="AR17" s="65" t="s">
        <v>4</v>
      </c>
      <c r="AT17" s="65"/>
      <c r="AU17" s="65"/>
    </row>
    <row r="18" spans="1:47" x14ac:dyDescent="0.25">
      <c r="A18" s="65" t="s">
        <v>49</v>
      </c>
      <c r="B18" s="65" t="s">
        <v>143</v>
      </c>
      <c r="C18" s="65" t="s">
        <v>1251</v>
      </c>
      <c r="D18" s="65" t="s">
        <v>1252</v>
      </c>
      <c r="E18" s="65" t="s">
        <v>92</v>
      </c>
      <c r="H18" s="65">
        <v>1</v>
      </c>
      <c r="I18" s="73">
        <v>42058.678425925929</v>
      </c>
      <c r="J18" s="73">
        <v>42135.361574074072</v>
      </c>
      <c r="K18" s="65" t="s">
        <v>88</v>
      </c>
      <c r="M18" s="65" t="s">
        <v>1235</v>
      </c>
      <c r="O18" s="65" t="s">
        <v>151</v>
      </c>
      <c r="P18" s="65" t="s">
        <v>152</v>
      </c>
      <c r="Q18" s="65" t="s">
        <v>94</v>
      </c>
      <c r="R18" s="65" t="s">
        <v>165</v>
      </c>
      <c r="S18" s="65" t="s">
        <v>166</v>
      </c>
      <c r="T18" s="65" t="s">
        <v>167</v>
      </c>
      <c r="U18" s="65" t="s">
        <v>27</v>
      </c>
      <c r="V18" s="65" t="s">
        <v>199</v>
      </c>
      <c r="Z18" s="65" t="s">
        <v>91</v>
      </c>
      <c r="AA18" s="65" t="s">
        <v>5</v>
      </c>
      <c r="AB18" s="69">
        <v>42075</v>
      </c>
      <c r="AC18" s="65" t="s">
        <v>28</v>
      </c>
      <c r="AD18" s="65" t="s">
        <v>1236</v>
      </c>
      <c r="AE18" s="65" t="s">
        <v>183</v>
      </c>
      <c r="AF18" s="65" t="s">
        <v>1258</v>
      </c>
      <c r="AG18" s="65" t="s">
        <v>38</v>
      </c>
      <c r="AH18" s="65" t="s">
        <v>93</v>
      </c>
      <c r="AI18" s="73">
        <v>42135.361574074072</v>
      </c>
      <c r="AJ18" s="73">
        <v>42135.361574074072</v>
      </c>
      <c r="AK18" s="113">
        <v>16.111574074074074</v>
      </c>
      <c r="AL18" s="65" t="s">
        <v>93</v>
      </c>
      <c r="AM18" s="113">
        <v>4.196574074074074</v>
      </c>
      <c r="AN18" s="65">
        <v>56</v>
      </c>
      <c r="AO18" s="65" t="s">
        <v>188</v>
      </c>
      <c r="AP18" s="65" t="s">
        <v>217</v>
      </c>
      <c r="AQ18" s="113">
        <v>1</v>
      </c>
      <c r="AR18" s="65" t="s">
        <v>5</v>
      </c>
      <c r="AT18" s="65"/>
      <c r="AU18" s="65"/>
    </row>
    <row r="19" spans="1:47" x14ac:dyDescent="0.25">
      <c r="A19" s="65" t="s">
        <v>0</v>
      </c>
      <c r="B19" s="65" t="s">
        <v>207</v>
      </c>
      <c r="C19" s="65" t="s">
        <v>1237</v>
      </c>
      <c r="D19" s="65" t="s">
        <v>1262</v>
      </c>
      <c r="E19" s="65" t="s">
        <v>92</v>
      </c>
      <c r="H19" s="65">
        <v>1</v>
      </c>
      <c r="I19" s="73">
        <v>42082.357442129629</v>
      </c>
      <c r="J19" s="73">
        <v>42138.659062500003</v>
      </c>
      <c r="K19" s="65" t="s">
        <v>184</v>
      </c>
      <c r="M19" s="65" t="s">
        <v>1235</v>
      </c>
      <c r="N19" s="73">
        <v>42144.492407407408</v>
      </c>
      <c r="O19" s="65" t="s">
        <v>208</v>
      </c>
      <c r="P19" s="65" t="s">
        <v>209</v>
      </c>
      <c r="Q19" s="65" t="s">
        <v>89</v>
      </c>
      <c r="R19" s="65" t="s">
        <v>50</v>
      </c>
      <c r="S19" s="65" t="s">
        <v>90</v>
      </c>
      <c r="T19" s="65" t="s">
        <v>210</v>
      </c>
      <c r="U19" s="65" t="s">
        <v>27</v>
      </c>
      <c r="V19" s="65" t="s">
        <v>211</v>
      </c>
      <c r="Z19" s="65" t="s">
        <v>91</v>
      </c>
      <c r="AA19" s="65" t="s">
        <v>5</v>
      </c>
      <c r="AB19" s="65" t="s">
        <v>206</v>
      </c>
      <c r="AC19" s="65" t="s">
        <v>28</v>
      </c>
      <c r="AD19" s="65" t="s">
        <v>1236</v>
      </c>
      <c r="AE19" s="65" t="s">
        <v>183</v>
      </c>
      <c r="AF19" s="65" t="s">
        <v>1258</v>
      </c>
      <c r="AG19" s="65" t="s">
        <v>38</v>
      </c>
      <c r="AH19" s="65" t="s">
        <v>93</v>
      </c>
      <c r="AI19" s="73">
        <v>42138.659062500003</v>
      </c>
      <c r="AJ19" s="73">
        <v>42138.659062500003</v>
      </c>
      <c r="AK19" s="113">
        <v>0</v>
      </c>
      <c r="AL19" s="65" t="s">
        <v>93</v>
      </c>
      <c r="AM19" s="113">
        <v>15.301620370370371</v>
      </c>
      <c r="AN19" s="65">
        <v>41</v>
      </c>
      <c r="AO19" s="65" t="s">
        <v>188</v>
      </c>
      <c r="AP19" s="65" t="s">
        <v>218</v>
      </c>
      <c r="AQ19" s="113">
        <v>0.33333333333333331</v>
      </c>
      <c r="AR19" s="65" t="s">
        <v>5</v>
      </c>
      <c r="AT19" s="65"/>
      <c r="AU19" s="65"/>
    </row>
    <row r="20" spans="1:47" x14ac:dyDescent="0.25">
      <c r="A20" s="65" t="s">
        <v>0</v>
      </c>
      <c r="B20" s="65" t="s">
        <v>1239</v>
      </c>
      <c r="C20" s="65" t="s">
        <v>1237</v>
      </c>
      <c r="D20" s="65">
        <v>0</v>
      </c>
      <c r="E20" s="65" t="s">
        <v>1246</v>
      </c>
      <c r="H20" s="65">
        <v>1</v>
      </c>
      <c r="I20" s="73">
        <v>42132.417314814818</v>
      </c>
      <c r="J20" s="73">
        <v>42144.399618055555</v>
      </c>
      <c r="K20" s="65" t="s">
        <v>88</v>
      </c>
      <c r="M20" s="65" t="s">
        <v>1235</v>
      </c>
      <c r="N20" s="73">
        <v>42149.607951388891</v>
      </c>
      <c r="O20" s="65" t="s">
        <v>1240</v>
      </c>
      <c r="P20" s="65" t="s">
        <v>1241</v>
      </c>
      <c r="Q20" s="65" t="s">
        <v>94</v>
      </c>
      <c r="R20" s="65" t="s">
        <v>1242</v>
      </c>
      <c r="S20" s="65" t="s">
        <v>1243</v>
      </c>
      <c r="T20" s="65" t="s">
        <v>1244</v>
      </c>
      <c r="U20" s="65" t="s">
        <v>30</v>
      </c>
      <c r="V20" s="65" t="s">
        <v>1245</v>
      </c>
      <c r="Y20" s="65" t="s">
        <v>136</v>
      </c>
      <c r="Z20" s="65" t="s">
        <v>106</v>
      </c>
      <c r="AA20" s="65" t="s">
        <v>1260</v>
      </c>
      <c r="AB20" s="69">
        <v>42144</v>
      </c>
      <c r="AC20" s="65" t="s">
        <v>30</v>
      </c>
      <c r="AD20" s="65" t="s">
        <v>1236</v>
      </c>
      <c r="AE20" s="65" t="s">
        <v>183</v>
      </c>
      <c r="AF20" s="65" t="s">
        <v>1261</v>
      </c>
      <c r="AG20" s="65" t="s">
        <v>38</v>
      </c>
      <c r="AH20" s="65" t="s">
        <v>93</v>
      </c>
      <c r="AI20" s="73">
        <v>42144.399618055555</v>
      </c>
      <c r="AJ20" s="73">
        <v>42144.399618055555</v>
      </c>
      <c r="AK20" s="113">
        <v>0.39961805555555557</v>
      </c>
      <c r="AL20" s="65" t="s">
        <v>93</v>
      </c>
      <c r="AM20" s="113">
        <v>2.5826851851851851</v>
      </c>
      <c r="AN20" s="65">
        <v>9</v>
      </c>
      <c r="AO20" s="65" t="s">
        <v>95</v>
      </c>
      <c r="AP20" s="65" t="s">
        <v>217</v>
      </c>
      <c r="AQ20" s="113">
        <v>0.16666666666666666</v>
      </c>
      <c r="AR20" s="65" t="s">
        <v>4</v>
      </c>
      <c r="AT20" s="65"/>
      <c r="AU20" s="6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"/>
  <sheetViews>
    <sheetView showGridLines="0" workbookViewId="0">
      <pane xSplit="2" ySplit="1" topLeftCell="C2" activePane="bottomRight" state="frozen"/>
      <selection pane="topRight" activeCell="C1" sqref="C1"/>
      <selection pane="bottomLeft" activeCell="A8" sqref="A8"/>
      <selection pane="bottomRight" activeCell="B2" sqref="B2"/>
    </sheetView>
  </sheetViews>
  <sheetFormatPr defaultRowHeight="10.5" x14ac:dyDescent="0.25"/>
  <cols>
    <col min="1" max="4" width="9.140625" style="11"/>
    <col min="5" max="6" width="9.140625" style="12"/>
    <col min="7" max="7" width="9.140625" style="13"/>
    <col min="8" max="9" width="9.140625" style="12"/>
    <col min="10" max="11" width="9.140625" style="52"/>
    <col min="12" max="16384" width="9.140625" style="1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1:T27"/>
  <sheetViews>
    <sheetView showGridLines="0" topLeftCell="B19" workbookViewId="0">
      <selection activeCell="I24" sqref="I24:J27"/>
    </sheetView>
  </sheetViews>
  <sheetFormatPr defaultRowHeight="15" x14ac:dyDescent="0.25"/>
  <cols>
    <col min="1" max="2" width="2.85546875" customWidth="1"/>
    <col min="3" max="3" width="33.28515625" bestFit="1" customWidth="1"/>
    <col min="4" max="4" width="9.140625" style="42"/>
    <col min="7" max="7" width="10.85546875" bestFit="1" customWidth="1"/>
    <col min="8" max="8" width="10.28515625" customWidth="1"/>
    <col min="9" max="9" width="4.7109375" bestFit="1" customWidth="1"/>
    <col min="10" max="10" width="4" bestFit="1" customWidth="1"/>
    <col min="11" max="11" width="14.7109375" bestFit="1" customWidth="1"/>
    <col min="12" max="12" width="6.85546875" bestFit="1" customWidth="1"/>
    <col min="13" max="13" width="11.5703125" bestFit="1" customWidth="1"/>
  </cols>
  <sheetData>
    <row r="21" spans="3:20" s="33" customFormat="1" ht="10.5" x14ac:dyDescent="0.15">
      <c r="D21" s="34"/>
    </row>
    <row r="22" spans="3:20" s="33" customFormat="1" ht="15.75" customHeight="1" x14ac:dyDescent="0.2">
      <c r="C22" s="102" t="s">
        <v>20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</row>
    <row r="23" spans="3:20" s="14" customFormat="1" ht="12.75" customHeight="1" x14ac:dyDescent="0.25">
      <c r="C23" s="103" t="s">
        <v>21</v>
      </c>
      <c r="D23" s="104"/>
      <c r="E23" s="104"/>
      <c r="F23" s="105"/>
      <c r="G23" s="35" t="s">
        <v>22</v>
      </c>
      <c r="H23" s="35" t="s">
        <v>23</v>
      </c>
      <c r="I23" s="35" t="s">
        <v>37</v>
      </c>
      <c r="J23" s="35" t="s">
        <v>38</v>
      </c>
      <c r="K23" s="35" t="s">
        <v>24</v>
      </c>
      <c r="L23" s="35" t="s">
        <v>8</v>
      </c>
      <c r="M23" s="35" t="s">
        <v>25</v>
      </c>
      <c r="N23" s="106" t="s">
        <v>26</v>
      </c>
      <c r="O23" s="107"/>
      <c r="P23" s="107"/>
      <c r="Q23" s="107"/>
      <c r="R23" s="107"/>
      <c r="S23" s="107"/>
      <c r="T23" s="108"/>
    </row>
    <row r="24" spans="3:20" s="14" customFormat="1" ht="74.25" customHeight="1" x14ac:dyDescent="0.25">
      <c r="C24" s="36" t="s">
        <v>28</v>
      </c>
      <c r="D24" s="37"/>
      <c r="E24" s="37"/>
      <c r="F24" s="38"/>
      <c r="G24" s="39">
        <v>0.9</v>
      </c>
      <c r="H24" s="63">
        <f>I24/K24</f>
        <v>0.91666666666666663</v>
      </c>
      <c r="I24" s="40">
        <v>66</v>
      </c>
      <c r="J24" s="40">
        <v>6</v>
      </c>
      <c r="K24" s="62">
        <f>J24+I24</f>
        <v>72</v>
      </c>
      <c r="L24" s="41">
        <f>IF(H24&lt;G24,-1,1)</f>
        <v>1</v>
      </c>
      <c r="M24" s="41">
        <f>IF(H24&lt;G24,-1,1)</f>
        <v>1</v>
      </c>
      <c r="N24" s="99"/>
      <c r="O24" s="109"/>
      <c r="P24" s="109"/>
      <c r="Q24" s="109"/>
      <c r="R24" s="109"/>
      <c r="S24" s="109"/>
      <c r="T24" s="110"/>
    </row>
    <row r="25" spans="3:20" s="14" customFormat="1" ht="74.25" customHeight="1" x14ac:dyDescent="0.25">
      <c r="C25" s="36" t="s">
        <v>29</v>
      </c>
      <c r="D25" s="37"/>
      <c r="E25" s="37"/>
      <c r="F25" s="38"/>
      <c r="G25" s="39">
        <v>0.9</v>
      </c>
      <c r="H25" s="63">
        <f t="shared" ref="H25:H27" si="0">I25/K25</f>
        <v>0.9779411764705882</v>
      </c>
      <c r="I25" s="40">
        <v>133</v>
      </c>
      <c r="J25" s="40">
        <v>3</v>
      </c>
      <c r="K25" s="62">
        <f t="shared" ref="K25:K27" si="1">J25+I25</f>
        <v>136</v>
      </c>
      <c r="L25" s="41">
        <f t="shared" ref="L25:L27" si="2">IF(H25&lt;G25,-1,1)</f>
        <v>1</v>
      </c>
      <c r="M25" s="41">
        <f t="shared" ref="M25:M27" si="3">IF(H25&lt;G25,-1,1)</f>
        <v>1</v>
      </c>
      <c r="N25" s="99"/>
      <c r="O25" s="109"/>
      <c r="P25" s="109"/>
      <c r="Q25" s="109"/>
      <c r="R25" s="109"/>
      <c r="S25" s="109"/>
      <c r="T25" s="110"/>
    </row>
    <row r="26" spans="3:20" s="14" customFormat="1" ht="74.25" customHeight="1" x14ac:dyDescent="0.25">
      <c r="C26" s="36" t="s">
        <v>1255</v>
      </c>
      <c r="D26" s="37"/>
      <c r="E26" s="37"/>
      <c r="F26" s="38"/>
      <c r="G26" s="39">
        <v>0.9</v>
      </c>
      <c r="H26" s="63">
        <f t="shared" si="0"/>
        <v>1</v>
      </c>
      <c r="I26" s="40">
        <v>11</v>
      </c>
      <c r="J26" s="40"/>
      <c r="K26" s="62">
        <f t="shared" si="1"/>
        <v>11</v>
      </c>
      <c r="L26" s="41">
        <f t="shared" si="2"/>
        <v>1</v>
      </c>
      <c r="M26" s="41">
        <f t="shared" si="3"/>
        <v>1</v>
      </c>
      <c r="N26" s="99"/>
      <c r="O26" s="109"/>
      <c r="P26" s="109"/>
      <c r="Q26" s="109"/>
      <c r="R26" s="109"/>
      <c r="S26" s="109"/>
      <c r="T26" s="110"/>
    </row>
    <row r="27" spans="3:20" s="14" customFormat="1" ht="74.25" customHeight="1" x14ac:dyDescent="0.25">
      <c r="C27" s="36" t="s">
        <v>30</v>
      </c>
      <c r="D27" s="37"/>
      <c r="E27" s="37"/>
      <c r="F27" s="38"/>
      <c r="G27" s="39">
        <v>0.9</v>
      </c>
      <c r="H27" s="63">
        <f t="shared" si="0"/>
        <v>0.8571428571428571</v>
      </c>
      <c r="I27" s="40">
        <v>6</v>
      </c>
      <c r="J27" s="40">
        <v>1</v>
      </c>
      <c r="K27" s="62">
        <f t="shared" si="1"/>
        <v>7</v>
      </c>
      <c r="L27" s="41">
        <f t="shared" si="2"/>
        <v>-1</v>
      </c>
      <c r="M27" s="41">
        <f t="shared" si="3"/>
        <v>-1</v>
      </c>
      <c r="N27" s="99" t="s">
        <v>39</v>
      </c>
      <c r="O27" s="100"/>
      <c r="P27" s="100"/>
      <c r="Q27" s="100"/>
      <c r="R27" s="100"/>
      <c r="S27" s="100"/>
      <c r="T27" s="101"/>
    </row>
  </sheetData>
  <mergeCells count="7">
    <mergeCell ref="C22:T22"/>
    <mergeCell ref="N27:T27"/>
    <mergeCell ref="C23:F23"/>
    <mergeCell ref="N23:T23"/>
    <mergeCell ref="N24:T24"/>
    <mergeCell ref="N25:T25"/>
    <mergeCell ref="N26:T26"/>
  </mergeCells>
  <conditionalFormatting sqref="L24:L27">
    <cfRule type="iconSet" priority="63">
      <iconSet showValue="0">
        <cfvo type="percent" val="0"/>
        <cfvo type="num" val="0"/>
        <cfvo type="num" val="0"/>
      </iconSet>
    </cfRule>
  </conditionalFormatting>
  <conditionalFormatting sqref="M24:M27">
    <cfRule type="iconSet" priority="64">
      <iconSet iconSet="3Arrows" showValue="0">
        <cfvo type="percent" val="0"/>
        <cfvo type="num" val="0"/>
        <cfvo type="num" val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85" zoomScaleNormal="85" workbookViewId="0"/>
  </sheetViews>
  <sheetFormatPr defaultRowHeight="15" x14ac:dyDescent="0.25"/>
  <cols>
    <col min="1" max="1" width="9.140625" style="43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9"/>
  <sheetViews>
    <sheetView workbookViewId="0">
      <selection activeCell="A4" sqref="A4"/>
    </sheetView>
  </sheetViews>
  <sheetFormatPr defaultRowHeight="15" x14ac:dyDescent="0.3"/>
  <cols>
    <col min="1" max="1" width="19.28515625" style="78" bestFit="1" customWidth="1"/>
    <col min="2" max="2" width="29" style="78" bestFit="1" customWidth="1"/>
    <col min="3" max="3" width="32.7109375" style="78" bestFit="1" customWidth="1"/>
    <col min="4" max="4" width="9.7109375" style="78" bestFit="1" customWidth="1"/>
    <col min="5" max="5" width="37" style="78" bestFit="1" customWidth="1"/>
    <col min="6" max="6" width="16.140625" style="78" bestFit="1" customWidth="1"/>
    <col min="7" max="7" width="11.7109375" style="78" bestFit="1" customWidth="1"/>
    <col min="8" max="8" width="9.5703125" style="78" bestFit="1" customWidth="1"/>
    <col min="9" max="9" width="9.85546875" style="78" bestFit="1" customWidth="1"/>
    <col min="10" max="10" width="10.7109375" style="78" bestFit="1" customWidth="1"/>
    <col min="11" max="16" width="9.85546875" style="78" bestFit="1" customWidth="1"/>
    <col min="17" max="17" width="10.7109375" style="78" bestFit="1" customWidth="1"/>
    <col min="18" max="18" width="9.85546875" style="78" bestFit="1" customWidth="1"/>
    <col min="19" max="19" width="11.140625" style="78" bestFit="1" customWidth="1"/>
    <col min="20" max="20" width="11" style="78" bestFit="1" customWidth="1"/>
    <col min="21" max="21" width="11.28515625" style="78" bestFit="1" customWidth="1"/>
    <col min="22" max="16384" width="9.140625" style="78"/>
  </cols>
  <sheetData>
    <row r="1" spans="1:21" ht="15" customHeight="1" x14ac:dyDescent="0.3">
      <c r="I1" s="111" t="s">
        <v>1229</v>
      </c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 t="s">
        <v>1228</v>
      </c>
    </row>
    <row r="2" spans="1:21" ht="15" customHeight="1" x14ac:dyDescent="0.3">
      <c r="I2" s="111" t="s">
        <v>1227</v>
      </c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2"/>
    </row>
    <row r="3" spans="1:21" ht="15" customHeight="1" x14ac:dyDescent="0.3">
      <c r="B3" s="81" t="s">
        <v>1226</v>
      </c>
      <c r="C3" s="81" t="s">
        <v>1225</v>
      </c>
      <c r="D3" s="81" t="s">
        <v>1224</v>
      </c>
      <c r="E3" s="81" t="s">
        <v>1223</v>
      </c>
      <c r="F3" s="81" t="s">
        <v>1222</v>
      </c>
      <c r="G3" s="81" t="s">
        <v>1221</v>
      </c>
      <c r="H3" s="81" t="s">
        <v>1220</v>
      </c>
      <c r="I3" s="81" t="s">
        <v>1219</v>
      </c>
      <c r="J3" s="81" t="s">
        <v>1218</v>
      </c>
      <c r="K3" s="81" t="s">
        <v>1217</v>
      </c>
      <c r="L3" s="81" t="s">
        <v>1216</v>
      </c>
      <c r="M3" s="81" t="s">
        <v>1215</v>
      </c>
      <c r="N3" s="81" t="s">
        <v>1214</v>
      </c>
      <c r="O3" s="81" t="s">
        <v>1213</v>
      </c>
      <c r="P3" s="81" t="s">
        <v>1212</v>
      </c>
      <c r="Q3" s="81" t="s">
        <v>1211</v>
      </c>
      <c r="R3" s="81" t="s">
        <v>1210</v>
      </c>
      <c r="S3" s="81" t="s">
        <v>1209</v>
      </c>
      <c r="T3" s="81" t="s">
        <v>1208</v>
      </c>
      <c r="U3" s="112"/>
    </row>
    <row r="4" spans="1:21" ht="15" customHeight="1" x14ac:dyDescent="0.3">
      <c r="A4" s="82" t="s">
        <v>1207</v>
      </c>
      <c r="B4" s="81" t="s">
        <v>1190</v>
      </c>
      <c r="C4" s="81" t="s">
        <v>1206</v>
      </c>
      <c r="D4" s="81" t="s">
        <v>229</v>
      </c>
      <c r="E4" s="81" t="s">
        <v>1205</v>
      </c>
      <c r="F4" s="81" t="s">
        <v>1204</v>
      </c>
      <c r="G4" s="81" t="s">
        <v>226</v>
      </c>
      <c r="H4" s="81" t="s">
        <v>225</v>
      </c>
      <c r="I4" s="80">
        <v>90</v>
      </c>
      <c r="J4" s="80">
        <v>90</v>
      </c>
      <c r="K4" s="80">
        <v>90</v>
      </c>
      <c r="L4" s="80">
        <v>90</v>
      </c>
      <c r="M4" s="80">
        <v>90</v>
      </c>
      <c r="N4" s="80">
        <v>90</v>
      </c>
      <c r="O4" s="80">
        <v>90</v>
      </c>
      <c r="P4" s="80">
        <v>90</v>
      </c>
      <c r="Q4" s="80">
        <v>90</v>
      </c>
      <c r="R4" s="80">
        <v>90</v>
      </c>
      <c r="S4" s="80">
        <v>90</v>
      </c>
      <c r="T4" s="80">
        <v>90</v>
      </c>
      <c r="U4" s="80">
        <v>1080</v>
      </c>
    </row>
    <row r="5" spans="1:21" ht="15" customHeight="1" x14ac:dyDescent="0.3">
      <c r="A5" s="82" t="s">
        <v>1203</v>
      </c>
      <c r="B5" s="81" t="s">
        <v>1190</v>
      </c>
      <c r="C5" s="81" t="s">
        <v>1202</v>
      </c>
      <c r="D5" s="81" t="s">
        <v>229</v>
      </c>
      <c r="E5" s="81" t="s">
        <v>1201</v>
      </c>
      <c r="F5" s="81" t="s">
        <v>1200</v>
      </c>
      <c r="G5" s="81" t="s">
        <v>226</v>
      </c>
      <c r="H5" s="81" t="s">
        <v>225</v>
      </c>
      <c r="I5" s="80">
        <v>129.12</v>
      </c>
      <c r="J5" s="80">
        <v>129.12</v>
      </c>
      <c r="K5" s="80">
        <v>129.12</v>
      </c>
      <c r="L5" s="80">
        <v>165.69</v>
      </c>
      <c r="M5" s="80">
        <v>165.69</v>
      </c>
      <c r="N5" s="80">
        <v>165.69</v>
      </c>
      <c r="O5" s="80">
        <v>171.67</v>
      </c>
      <c r="P5" s="80">
        <v>171.67</v>
      </c>
      <c r="Q5" s="80">
        <v>171.67</v>
      </c>
      <c r="R5" s="80">
        <v>228.17</v>
      </c>
      <c r="S5" s="80">
        <v>228.17</v>
      </c>
      <c r="T5" s="80">
        <v>228.17</v>
      </c>
      <c r="U5" s="80">
        <v>2083.9499999999998</v>
      </c>
    </row>
    <row r="6" spans="1:21" ht="15" customHeight="1" x14ac:dyDescent="0.3">
      <c r="A6" s="82" t="s">
        <v>1199</v>
      </c>
      <c r="B6" s="81" t="s">
        <v>1190</v>
      </c>
      <c r="C6" s="81" t="s">
        <v>1198</v>
      </c>
      <c r="D6" s="81" t="s">
        <v>229</v>
      </c>
      <c r="E6" s="81" t="s">
        <v>1197</v>
      </c>
      <c r="F6" s="81" t="s">
        <v>1196</v>
      </c>
      <c r="G6" s="81" t="s">
        <v>226</v>
      </c>
      <c r="H6" s="81" t="s">
        <v>225</v>
      </c>
      <c r="I6" s="80">
        <v>180</v>
      </c>
      <c r="J6" s="80">
        <v>180</v>
      </c>
      <c r="K6" s="80">
        <v>180</v>
      </c>
      <c r="L6" s="80">
        <v>180</v>
      </c>
      <c r="M6" s="80">
        <v>180</v>
      </c>
      <c r="N6" s="80">
        <v>180</v>
      </c>
      <c r="O6" s="80">
        <v>180</v>
      </c>
      <c r="P6" s="80">
        <v>180</v>
      </c>
      <c r="Q6" s="80">
        <v>180</v>
      </c>
      <c r="R6" s="80">
        <v>180</v>
      </c>
      <c r="S6" s="80">
        <v>180</v>
      </c>
      <c r="T6" s="80">
        <v>180</v>
      </c>
      <c r="U6" s="80">
        <v>2160</v>
      </c>
    </row>
    <row r="7" spans="1:21" ht="15" customHeight="1" x14ac:dyDescent="0.3">
      <c r="A7" s="82" t="s">
        <v>1195</v>
      </c>
      <c r="B7" s="81" t="s">
        <v>1190</v>
      </c>
      <c r="C7" s="81" t="s">
        <v>1194</v>
      </c>
      <c r="D7" s="81" t="s">
        <v>229</v>
      </c>
      <c r="E7" s="81" t="s">
        <v>1193</v>
      </c>
      <c r="F7" s="81" t="s">
        <v>1192</v>
      </c>
      <c r="G7" s="81" t="s">
        <v>226</v>
      </c>
      <c r="H7" s="81" t="s">
        <v>225</v>
      </c>
      <c r="I7" s="80">
        <v>135</v>
      </c>
      <c r="J7" s="80">
        <v>135</v>
      </c>
      <c r="K7" s="80">
        <v>135</v>
      </c>
      <c r="L7" s="80">
        <v>135</v>
      </c>
      <c r="M7" s="80">
        <v>135</v>
      </c>
      <c r="N7" s="80">
        <v>135</v>
      </c>
      <c r="O7" s="80">
        <v>135</v>
      </c>
      <c r="P7" s="80">
        <v>135</v>
      </c>
      <c r="Q7" s="80">
        <v>135</v>
      </c>
      <c r="R7" s="80">
        <v>135</v>
      </c>
      <c r="S7" s="80">
        <v>135</v>
      </c>
      <c r="T7" s="80">
        <v>135</v>
      </c>
      <c r="U7" s="80">
        <v>1620</v>
      </c>
    </row>
    <row r="8" spans="1:21" ht="15" customHeight="1" x14ac:dyDescent="0.3">
      <c r="A8" s="82" t="s">
        <v>1191</v>
      </c>
      <c r="B8" s="81" t="s">
        <v>1190</v>
      </c>
      <c r="C8" s="81" t="s">
        <v>1189</v>
      </c>
      <c r="D8" s="81" t="s">
        <v>229</v>
      </c>
      <c r="E8" s="81" t="s">
        <v>1188</v>
      </c>
      <c r="F8" s="81" t="s">
        <v>1187</v>
      </c>
      <c r="G8" s="81" t="s">
        <v>226</v>
      </c>
      <c r="H8" s="81" t="s">
        <v>225</v>
      </c>
      <c r="I8" s="80">
        <v>90</v>
      </c>
      <c r="J8" s="80">
        <v>90</v>
      </c>
      <c r="K8" s="80">
        <v>90</v>
      </c>
      <c r="L8" s="80">
        <v>90</v>
      </c>
      <c r="M8" s="80">
        <v>90</v>
      </c>
      <c r="N8" s="80">
        <v>90</v>
      </c>
      <c r="O8" s="80">
        <v>90</v>
      </c>
      <c r="P8" s="80">
        <v>90</v>
      </c>
      <c r="Q8" s="80">
        <v>90</v>
      </c>
      <c r="R8" s="80">
        <v>90</v>
      </c>
      <c r="S8" s="80">
        <v>90</v>
      </c>
      <c r="T8" s="80">
        <v>90</v>
      </c>
      <c r="U8" s="80">
        <v>1080</v>
      </c>
    </row>
    <row r="9" spans="1:21" ht="15" customHeight="1" x14ac:dyDescent="0.3">
      <c r="A9" s="82" t="s">
        <v>1186</v>
      </c>
      <c r="B9" s="81" t="s">
        <v>1178</v>
      </c>
      <c r="C9" s="81" t="s">
        <v>1185</v>
      </c>
      <c r="D9" s="81" t="s">
        <v>229</v>
      </c>
      <c r="E9" s="81" t="s">
        <v>1184</v>
      </c>
      <c r="F9" s="81" t="s">
        <v>1183</v>
      </c>
      <c r="G9" s="81" t="s">
        <v>226</v>
      </c>
      <c r="H9" s="81" t="s">
        <v>225</v>
      </c>
      <c r="I9" s="80">
        <v>315</v>
      </c>
      <c r="J9" s="80">
        <v>315</v>
      </c>
      <c r="K9" s="80">
        <v>315</v>
      </c>
      <c r="L9" s="80">
        <v>315</v>
      </c>
      <c r="M9" s="80">
        <v>315</v>
      </c>
      <c r="N9" s="80">
        <v>315</v>
      </c>
      <c r="O9" s="80">
        <v>315</v>
      </c>
      <c r="P9" s="80">
        <v>315</v>
      </c>
      <c r="Q9" s="80">
        <v>315</v>
      </c>
      <c r="R9" s="80">
        <v>315</v>
      </c>
      <c r="S9" s="80">
        <v>315</v>
      </c>
      <c r="T9" s="80">
        <v>315</v>
      </c>
      <c r="U9" s="80">
        <v>3780</v>
      </c>
    </row>
    <row r="10" spans="1:21" ht="15" customHeight="1" x14ac:dyDescent="0.3">
      <c r="A10" s="82" t="s">
        <v>1182</v>
      </c>
      <c r="B10" s="81" t="s">
        <v>1178</v>
      </c>
      <c r="C10" s="81" t="s">
        <v>1177</v>
      </c>
      <c r="D10" s="81" t="s">
        <v>229</v>
      </c>
      <c r="E10" s="81" t="s">
        <v>1181</v>
      </c>
      <c r="F10" s="81" t="s">
        <v>1180</v>
      </c>
      <c r="G10" s="81" t="s">
        <v>226</v>
      </c>
      <c r="H10" s="81" t="s">
        <v>225</v>
      </c>
      <c r="I10" s="80">
        <v>189.38</v>
      </c>
      <c r="J10" s="80">
        <v>189.38</v>
      </c>
      <c r="K10" s="80">
        <v>189.38</v>
      </c>
      <c r="L10" s="80">
        <v>243.01</v>
      </c>
      <c r="M10" s="80">
        <v>243.01</v>
      </c>
      <c r="N10" s="80">
        <v>243.01</v>
      </c>
      <c r="O10" s="80">
        <v>251.77</v>
      </c>
      <c r="P10" s="80">
        <v>251.77</v>
      </c>
      <c r="Q10" s="80">
        <v>251.77</v>
      </c>
      <c r="R10" s="80">
        <v>334.64</v>
      </c>
      <c r="S10" s="80">
        <v>334.64</v>
      </c>
      <c r="T10" s="80">
        <v>334.64</v>
      </c>
      <c r="U10" s="80">
        <v>3056.4</v>
      </c>
    </row>
    <row r="11" spans="1:21" ht="15" customHeight="1" x14ac:dyDescent="0.3">
      <c r="A11" s="82" t="s">
        <v>1179</v>
      </c>
      <c r="B11" s="81" t="s">
        <v>1178</v>
      </c>
      <c r="C11" s="81" t="s">
        <v>1177</v>
      </c>
      <c r="D11" s="81" t="s">
        <v>229</v>
      </c>
      <c r="E11" s="81" t="s">
        <v>1176</v>
      </c>
      <c r="F11" s="81" t="s">
        <v>1175</v>
      </c>
      <c r="G11" s="81" t="s">
        <v>226</v>
      </c>
      <c r="H11" s="81" t="s">
        <v>225</v>
      </c>
      <c r="I11" s="80">
        <v>405</v>
      </c>
      <c r="J11" s="80">
        <v>405</v>
      </c>
      <c r="K11" s="80">
        <v>405</v>
      </c>
      <c r="L11" s="80">
        <v>405</v>
      </c>
      <c r="M11" s="80">
        <v>405</v>
      </c>
      <c r="N11" s="80">
        <v>405</v>
      </c>
      <c r="O11" s="80">
        <v>405</v>
      </c>
      <c r="P11" s="80">
        <v>405</v>
      </c>
      <c r="Q11" s="80">
        <v>405</v>
      </c>
      <c r="R11" s="80">
        <v>405</v>
      </c>
      <c r="S11" s="80">
        <v>405</v>
      </c>
      <c r="T11" s="80">
        <v>405</v>
      </c>
      <c r="U11" s="80">
        <v>4860</v>
      </c>
    </row>
    <row r="12" spans="1:21" ht="15" customHeight="1" x14ac:dyDescent="0.3">
      <c r="A12" s="82" t="s">
        <v>1174</v>
      </c>
      <c r="B12" s="81" t="s">
        <v>1170</v>
      </c>
      <c r="C12" s="81" t="s">
        <v>1169</v>
      </c>
      <c r="D12" s="81" t="s">
        <v>229</v>
      </c>
      <c r="E12" s="81" t="s">
        <v>1173</v>
      </c>
      <c r="F12" s="81" t="s">
        <v>1172</v>
      </c>
      <c r="G12" s="81" t="s">
        <v>226</v>
      </c>
      <c r="H12" s="81" t="s">
        <v>225</v>
      </c>
      <c r="I12" s="80">
        <v>90000</v>
      </c>
      <c r="J12" s="80">
        <v>90000</v>
      </c>
      <c r="K12" s="80">
        <v>90000</v>
      </c>
      <c r="L12" s="80">
        <v>97362.592000000004</v>
      </c>
      <c r="M12" s="80">
        <v>97362.592000000004</v>
      </c>
      <c r="N12" s="80">
        <v>97362.592000000004</v>
      </c>
      <c r="O12" s="80">
        <v>97362.592000000004</v>
      </c>
      <c r="P12" s="80">
        <v>97362.592000000004</v>
      </c>
      <c r="Q12" s="80">
        <v>97362.592000000004</v>
      </c>
      <c r="R12" s="80">
        <v>97362.592000000004</v>
      </c>
      <c r="S12" s="80">
        <v>97362.592000000004</v>
      </c>
      <c r="T12" s="80">
        <v>97362.592000000004</v>
      </c>
      <c r="U12" s="80">
        <v>1146263.328</v>
      </c>
    </row>
    <row r="13" spans="1:21" ht="15" customHeight="1" x14ac:dyDescent="0.3">
      <c r="A13" s="82" t="s">
        <v>1171</v>
      </c>
      <c r="B13" s="81" t="s">
        <v>1170</v>
      </c>
      <c r="C13" s="81" t="s">
        <v>1169</v>
      </c>
      <c r="D13" s="81" t="s">
        <v>229</v>
      </c>
      <c r="E13" s="81" t="s">
        <v>1168</v>
      </c>
      <c r="F13" s="81" t="s">
        <v>1167</v>
      </c>
      <c r="G13" s="81" t="s">
        <v>226</v>
      </c>
      <c r="H13" s="81" t="s">
        <v>225</v>
      </c>
      <c r="I13" s="80">
        <v>360</v>
      </c>
      <c r="J13" s="80">
        <v>360</v>
      </c>
      <c r="K13" s="80">
        <v>360</v>
      </c>
      <c r="L13" s="80">
        <v>360</v>
      </c>
      <c r="M13" s="80">
        <v>360</v>
      </c>
      <c r="N13" s="80">
        <v>360</v>
      </c>
      <c r="O13" s="80">
        <v>360</v>
      </c>
      <c r="P13" s="80">
        <v>360</v>
      </c>
      <c r="Q13" s="80">
        <v>360</v>
      </c>
      <c r="R13" s="80">
        <v>360</v>
      </c>
      <c r="S13" s="80">
        <v>360</v>
      </c>
      <c r="T13" s="80">
        <v>360</v>
      </c>
      <c r="U13" s="80">
        <v>4320</v>
      </c>
    </row>
    <row r="14" spans="1:21" ht="15" customHeight="1" x14ac:dyDescent="0.3">
      <c r="A14" s="82" t="s">
        <v>1166</v>
      </c>
      <c r="B14" s="81" t="s">
        <v>1140</v>
      </c>
      <c r="C14" s="81" t="s">
        <v>1144</v>
      </c>
      <c r="D14" s="81" t="s">
        <v>229</v>
      </c>
      <c r="E14" s="81" t="s">
        <v>1165</v>
      </c>
      <c r="F14" s="81" t="s">
        <v>1164</v>
      </c>
      <c r="G14" s="81" t="s">
        <v>226</v>
      </c>
      <c r="H14" s="81" t="s">
        <v>225</v>
      </c>
      <c r="I14" s="80">
        <v>135</v>
      </c>
      <c r="J14" s="80">
        <v>135</v>
      </c>
      <c r="K14" s="80">
        <v>135</v>
      </c>
      <c r="L14" s="80">
        <v>135</v>
      </c>
      <c r="M14" s="80">
        <v>135</v>
      </c>
      <c r="N14" s="80">
        <v>135</v>
      </c>
      <c r="O14" s="80">
        <v>135</v>
      </c>
      <c r="P14" s="80">
        <v>135</v>
      </c>
      <c r="Q14" s="80">
        <v>135</v>
      </c>
      <c r="R14" s="80">
        <v>135</v>
      </c>
      <c r="S14" s="80">
        <v>135</v>
      </c>
      <c r="T14" s="80">
        <v>135</v>
      </c>
      <c r="U14" s="80">
        <v>1620</v>
      </c>
    </row>
    <row r="15" spans="1:21" ht="15" customHeight="1" x14ac:dyDescent="0.3">
      <c r="A15" s="82" t="s">
        <v>1163</v>
      </c>
      <c r="B15" s="81" t="s">
        <v>1140</v>
      </c>
      <c r="C15" s="81" t="s">
        <v>1144</v>
      </c>
      <c r="D15" s="81" t="s">
        <v>229</v>
      </c>
      <c r="E15" s="81" t="s">
        <v>1162</v>
      </c>
      <c r="F15" s="81" t="s">
        <v>1161</v>
      </c>
      <c r="G15" s="81" t="s">
        <v>226</v>
      </c>
      <c r="H15" s="81" t="s">
        <v>225</v>
      </c>
      <c r="I15" s="80">
        <v>225</v>
      </c>
      <c r="J15" s="80">
        <v>225</v>
      </c>
      <c r="K15" s="80">
        <v>225</v>
      </c>
      <c r="L15" s="80">
        <v>225</v>
      </c>
      <c r="M15" s="80">
        <v>225</v>
      </c>
      <c r="N15" s="80">
        <v>225</v>
      </c>
      <c r="O15" s="80">
        <v>225</v>
      </c>
      <c r="P15" s="80">
        <v>225</v>
      </c>
      <c r="Q15" s="80">
        <v>225</v>
      </c>
      <c r="R15" s="80">
        <v>225</v>
      </c>
      <c r="S15" s="80">
        <v>225</v>
      </c>
      <c r="T15" s="80">
        <v>225</v>
      </c>
      <c r="U15" s="80">
        <v>2700</v>
      </c>
    </row>
    <row r="16" spans="1:21" ht="15" customHeight="1" x14ac:dyDescent="0.3">
      <c r="A16" s="82" t="s">
        <v>1160</v>
      </c>
      <c r="B16" s="81" t="s">
        <v>1140</v>
      </c>
      <c r="C16" s="81" t="s">
        <v>1144</v>
      </c>
      <c r="D16" s="81" t="s">
        <v>229</v>
      </c>
      <c r="E16" s="81" t="s">
        <v>1159</v>
      </c>
      <c r="F16" s="81" t="s">
        <v>1158</v>
      </c>
      <c r="G16" s="81" t="s">
        <v>226</v>
      </c>
      <c r="H16" s="81" t="s">
        <v>225</v>
      </c>
      <c r="I16" s="80">
        <v>180</v>
      </c>
      <c r="J16" s="80">
        <v>180</v>
      </c>
      <c r="K16" s="80">
        <v>180</v>
      </c>
      <c r="L16" s="80">
        <v>180</v>
      </c>
      <c r="M16" s="80">
        <v>180</v>
      </c>
      <c r="N16" s="80">
        <v>180</v>
      </c>
      <c r="O16" s="80">
        <v>180</v>
      </c>
      <c r="P16" s="80">
        <v>180</v>
      </c>
      <c r="Q16" s="80">
        <v>180</v>
      </c>
      <c r="R16" s="80">
        <v>180</v>
      </c>
      <c r="S16" s="80">
        <v>180</v>
      </c>
      <c r="T16" s="80">
        <v>180</v>
      </c>
      <c r="U16" s="80">
        <v>2160</v>
      </c>
    </row>
    <row r="17" spans="1:21" ht="15" customHeight="1" x14ac:dyDescent="0.3">
      <c r="A17" s="82" t="s">
        <v>1157</v>
      </c>
      <c r="B17" s="81" t="s">
        <v>1140</v>
      </c>
      <c r="C17" s="81" t="s">
        <v>1144</v>
      </c>
      <c r="D17" s="81" t="s">
        <v>229</v>
      </c>
      <c r="E17" s="81" t="s">
        <v>1156</v>
      </c>
      <c r="F17" s="81" t="s">
        <v>1155</v>
      </c>
      <c r="G17" s="81" t="s">
        <v>226</v>
      </c>
      <c r="H17" s="81" t="s">
        <v>225</v>
      </c>
      <c r="I17" s="80">
        <v>225</v>
      </c>
      <c r="J17" s="80">
        <v>225</v>
      </c>
      <c r="K17" s="80">
        <v>225</v>
      </c>
      <c r="L17" s="80">
        <v>225</v>
      </c>
      <c r="M17" s="80">
        <v>225</v>
      </c>
      <c r="N17" s="80">
        <v>225</v>
      </c>
      <c r="O17" s="80">
        <v>225</v>
      </c>
      <c r="P17" s="80">
        <v>225</v>
      </c>
      <c r="Q17" s="80">
        <v>225</v>
      </c>
      <c r="R17" s="80">
        <v>225</v>
      </c>
      <c r="S17" s="80">
        <v>225</v>
      </c>
      <c r="T17" s="80">
        <v>225</v>
      </c>
      <c r="U17" s="80">
        <v>2700</v>
      </c>
    </row>
    <row r="18" spans="1:21" ht="15" customHeight="1" x14ac:dyDescent="0.3">
      <c r="A18" s="82" t="s">
        <v>1154</v>
      </c>
      <c r="B18" s="81" t="s">
        <v>1140</v>
      </c>
      <c r="C18" s="81" t="s">
        <v>1144</v>
      </c>
      <c r="D18" s="81" t="s">
        <v>229</v>
      </c>
      <c r="E18" s="81" t="s">
        <v>1153</v>
      </c>
      <c r="F18" s="81" t="s">
        <v>1152</v>
      </c>
      <c r="G18" s="81" t="s">
        <v>226</v>
      </c>
      <c r="H18" s="81" t="s">
        <v>225</v>
      </c>
      <c r="I18" s="80">
        <v>180</v>
      </c>
      <c r="J18" s="80">
        <v>180</v>
      </c>
      <c r="K18" s="80">
        <v>180</v>
      </c>
      <c r="L18" s="80">
        <v>180</v>
      </c>
      <c r="M18" s="80">
        <v>180</v>
      </c>
      <c r="N18" s="80">
        <v>180</v>
      </c>
      <c r="O18" s="80">
        <v>180</v>
      </c>
      <c r="P18" s="80">
        <v>180</v>
      </c>
      <c r="Q18" s="80">
        <v>180</v>
      </c>
      <c r="R18" s="80">
        <v>180</v>
      </c>
      <c r="S18" s="80">
        <v>180</v>
      </c>
      <c r="T18" s="80">
        <v>180</v>
      </c>
      <c r="U18" s="80">
        <v>2160</v>
      </c>
    </row>
    <row r="19" spans="1:21" ht="15" customHeight="1" x14ac:dyDescent="0.3">
      <c r="A19" s="82" t="s">
        <v>1151</v>
      </c>
      <c r="B19" s="81" t="s">
        <v>1140</v>
      </c>
      <c r="C19" s="81" t="s">
        <v>1144</v>
      </c>
      <c r="D19" s="81" t="s">
        <v>229</v>
      </c>
      <c r="E19" s="81" t="s">
        <v>1150</v>
      </c>
      <c r="F19" s="81" t="s">
        <v>1149</v>
      </c>
      <c r="G19" s="81" t="s">
        <v>226</v>
      </c>
      <c r="H19" s="81" t="s">
        <v>225</v>
      </c>
      <c r="I19" s="80">
        <v>45</v>
      </c>
      <c r="J19" s="80">
        <v>45</v>
      </c>
      <c r="K19" s="80">
        <v>45</v>
      </c>
      <c r="L19" s="80">
        <v>45</v>
      </c>
      <c r="M19" s="80">
        <v>45</v>
      </c>
      <c r="N19" s="80">
        <v>45</v>
      </c>
      <c r="O19" s="80">
        <v>45</v>
      </c>
      <c r="P19" s="80">
        <v>45</v>
      </c>
      <c r="Q19" s="80">
        <v>45</v>
      </c>
      <c r="R19" s="80">
        <v>45</v>
      </c>
      <c r="S19" s="80">
        <v>45</v>
      </c>
      <c r="T19" s="80">
        <v>45</v>
      </c>
      <c r="U19" s="80">
        <v>540</v>
      </c>
    </row>
    <row r="20" spans="1:21" ht="15" customHeight="1" x14ac:dyDescent="0.3">
      <c r="A20" s="82" t="s">
        <v>1148</v>
      </c>
      <c r="B20" s="81" t="s">
        <v>1140</v>
      </c>
      <c r="C20" s="81" t="s">
        <v>1144</v>
      </c>
      <c r="D20" s="81" t="s">
        <v>229</v>
      </c>
      <c r="E20" s="81" t="s">
        <v>1147</v>
      </c>
      <c r="F20" s="81" t="s">
        <v>1146</v>
      </c>
      <c r="G20" s="81" t="s">
        <v>226</v>
      </c>
      <c r="H20" s="81" t="s">
        <v>225</v>
      </c>
      <c r="I20" s="80">
        <v>135</v>
      </c>
      <c r="J20" s="80">
        <v>135</v>
      </c>
      <c r="K20" s="80">
        <v>135</v>
      </c>
      <c r="L20" s="80">
        <v>135</v>
      </c>
      <c r="M20" s="80">
        <v>135</v>
      </c>
      <c r="N20" s="80">
        <v>135</v>
      </c>
      <c r="O20" s="80">
        <v>135</v>
      </c>
      <c r="P20" s="80">
        <v>135</v>
      </c>
      <c r="Q20" s="80">
        <v>135</v>
      </c>
      <c r="R20" s="80">
        <v>135</v>
      </c>
      <c r="S20" s="80">
        <v>135</v>
      </c>
      <c r="T20" s="80">
        <v>135</v>
      </c>
      <c r="U20" s="80">
        <v>1620</v>
      </c>
    </row>
    <row r="21" spans="1:21" ht="15" customHeight="1" x14ac:dyDescent="0.3">
      <c r="A21" s="82" t="s">
        <v>1145</v>
      </c>
      <c r="B21" s="81" t="s">
        <v>1140</v>
      </c>
      <c r="C21" s="81" t="s">
        <v>1144</v>
      </c>
      <c r="D21" s="81" t="s">
        <v>229</v>
      </c>
      <c r="E21" s="81" t="s">
        <v>1143</v>
      </c>
      <c r="F21" s="81" t="s">
        <v>1142</v>
      </c>
      <c r="G21" s="81" t="s">
        <v>226</v>
      </c>
      <c r="H21" s="81" t="s">
        <v>225</v>
      </c>
      <c r="I21" s="80">
        <v>360</v>
      </c>
      <c r="J21" s="80">
        <v>360</v>
      </c>
      <c r="K21" s="80">
        <v>360</v>
      </c>
      <c r="L21" s="80">
        <v>360</v>
      </c>
      <c r="M21" s="80">
        <v>360</v>
      </c>
      <c r="N21" s="80">
        <v>360</v>
      </c>
      <c r="O21" s="80">
        <v>360</v>
      </c>
      <c r="P21" s="80">
        <v>360</v>
      </c>
      <c r="Q21" s="80">
        <v>360</v>
      </c>
      <c r="R21" s="80">
        <v>360</v>
      </c>
      <c r="S21" s="80">
        <v>360</v>
      </c>
      <c r="T21" s="80">
        <v>360</v>
      </c>
      <c r="U21" s="80">
        <v>4320</v>
      </c>
    </row>
    <row r="22" spans="1:21" ht="15" customHeight="1" x14ac:dyDescent="0.3">
      <c r="A22" s="82" t="s">
        <v>1141</v>
      </c>
      <c r="B22" s="81" t="s">
        <v>1140</v>
      </c>
      <c r="C22" s="81" t="s">
        <v>1139</v>
      </c>
      <c r="D22" s="81" t="s">
        <v>229</v>
      </c>
      <c r="E22" s="81" t="s">
        <v>1138</v>
      </c>
      <c r="F22" s="81" t="s">
        <v>1137</v>
      </c>
      <c r="G22" s="81" t="s">
        <v>226</v>
      </c>
      <c r="H22" s="81" t="s">
        <v>225</v>
      </c>
      <c r="I22" s="80">
        <v>23.59</v>
      </c>
      <c r="J22" s="80">
        <v>23.59</v>
      </c>
      <c r="K22" s="80">
        <v>23.59</v>
      </c>
      <c r="L22" s="80">
        <v>30.27</v>
      </c>
      <c r="M22" s="80">
        <v>30.27</v>
      </c>
      <c r="N22" s="80">
        <v>30.27</v>
      </c>
      <c r="O22" s="80">
        <v>31.37</v>
      </c>
      <c r="P22" s="80">
        <v>31.37</v>
      </c>
      <c r="Q22" s="80">
        <v>31.37</v>
      </c>
      <c r="R22" s="80">
        <v>41.69</v>
      </c>
      <c r="S22" s="80">
        <v>41.69</v>
      </c>
      <c r="T22" s="80">
        <v>41.69</v>
      </c>
      <c r="U22" s="80">
        <v>380.76</v>
      </c>
    </row>
    <row r="23" spans="1:21" ht="15" customHeight="1" x14ac:dyDescent="0.3">
      <c r="A23" s="82" t="s">
        <v>1136</v>
      </c>
      <c r="B23" s="81" t="s">
        <v>1112</v>
      </c>
      <c r="C23" s="81" t="s">
        <v>1132</v>
      </c>
      <c r="D23" s="81" t="s">
        <v>229</v>
      </c>
      <c r="E23" s="81" t="s">
        <v>1135</v>
      </c>
      <c r="F23" s="81" t="s">
        <v>1134</v>
      </c>
      <c r="G23" s="81" t="s">
        <v>226</v>
      </c>
      <c r="H23" s="81" t="s">
        <v>225</v>
      </c>
      <c r="I23" s="80">
        <v>315</v>
      </c>
      <c r="J23" s="80">
        <v>315</v>
      </c>
      <c r="K23" s="80">
        <v>315</v>
      </c>
      <c r="L23" s="80">
        <v>315</v>
      </c>
      <c r="M23" s="80">
        <v>315</v>
      </c>
      <c r="N23" s="80">
        <v>360</v>
      </c>
      <c r="O23" s="80">
        <v>360</v>
      </c>
      <c r="P23" s="80">
        <v>360</v>
      </c>
      <c r="Q23" s="80">
        <v>360</v>
      </c>
      <c r="R23" s="80">
        <v>360</v>
      </c>
      <c r="S23" s="80">
        <v>360</v>
      </c>
      <c r="T23" s="80">
        <v>360</v>
      </c>
      <c r="U23" s="80">
        <v>4095</v>
      </c>
    </row>
    <row r="24" spans="1:21" ht="15" customHeight="1" x14ac:dyDescent="0.3">
      <c r="A24" s="82" t="s">
        <v>1133</v>
      </c>
      <c r="B24" s="81" t="s">
        <v>1112</v>
      </c>
      <c r="C24" s="81" t="s">
        <v>1132</v>
      </c>
      <c r="D24" s="81" t="s">
        <v>229</v>
      </c>
      <c r="E24" s="81" t="s">
        <v>1131</v>
      </c>
      <c r="F24" s="81" t="s">
        <v>1130</v>
      </c>
      <c r="G24" s="81" t="s">
        <v>226</v>
      </c>
      <c r="H24" s="81" t="s">
        <v>225</v>
      </c>
      <c r="I24" s="80">
        <v>117.64</v>
      </c>
      <c r="J24" s="80">
        <v>117.64</v>
      </c>
      <c r="K24" s="80">
        <v>117.64</v>
      </c>
      <c r="L24" s="80">
        <v>150.96</v>
      </c>
      <c r="M24" s="80">
        <v>150.96</v>
      </c>
      <c r="N24" s="80">
        <v>150.96</v>
      </c>
      <c r="O24" s="80">
        <v>156.4</v>
      </c>
      <c r="P24" s="80">
        <v>156.4</v>
      </c>
      <c r="Q24" s="80">
        <v>156.4</v>
      </c>
      <c r="R24" s="80">
        <v>207.87</v>
      </c>
      <c r="S24" s="80">
        <v>207.87</v>
      </c>
      <c r="T24" s="80">
        <v>207.87</v>
      </c>
      <c r="U24" s="80">
        <v>1898.61</v>
      </c>
    </row>
    <row r="25" spans="1:21" ht="15" customHeight="1" x14ac:dyDescent="0.3">
      <c r="A25" s="82" t="s">
        <v>1129</v>
      </c>
      <c r="B25" s="81" t="s">
        <v>1112</v>
      </c>
      <c r="C25" s="81" t="s">
        <v>1128</v>
      </c>
      <c r="D25" s="81" t="s">
        <v>229</v>
      </c>
      <c r="E25" s="81" t="s">
        <v>1127</v>
      </c>
      <c r="F25" s="81" t="s">
        <v>1126</v>
      </c>
      <c r="G25" s="81" t="s">
        <v>226</v>
      </c>
      <c r="H25" s="81" t="s">
        <v>225</v>
      </c>
      <c r="I25" s="80">
        <v>90</v>
      </c>
      <c r="J25" s="80">
        <v>90</v>
      </c>
      <c r="K25" s="80">
        <v>90</v>
      </c>
      <c r="L25" s="80">
        <v>90</v>
      </c>
      <c r="M25" s="80">
        <v>90</v>
      </c>
      <c r="N25" s="80">
        <v>90</v>
      </c>
      <c r="O25" s="80">
        <v>90</v>
      </c>
      <c r="P25" s="80">
        <v>90</v>
      </c>
      <c r="Q25" s="80">
        <v>90</v>
      </c>
      <c r="R25" s="80">
        <v>90</v>
      </c>
      <c r="S25" s="80">
        <v>90</v>
      </c>
      <c r="T25" s="80">
        <v>90</v>
      </c>
      <c r="U25" s="80">
        <v>1080</v>
      </c>
    </row>
    <row r="26" spans="1:21" ht="15" customHeight="1" x14ac:dyDescent="0.3">
      <c r="A26" s="82" t="s">
        <v>1125</v>
      </c>
      <c r="B26" s="81" t="s">
        <v>1112</v>
      </c>
      <c r="C26" s="81" t="s">
        <v>1124</v>
      </c>
      <c r="D26" s="81" t="s">
        <v>229</v>
      </c>
      <c r="E26" s="81" t="s">
        <v>1123</v>
      </c>
      <c r="F26" s="81" t="s">
        <v>1122</v>
      </c>
      <c r="G26" s="81" t="s">
        <v>226</v>
      </c>
      <c r="H26" s="81" t="s">
        <v>225</v>
      </c>
      <c r="I26" s="80">
        <v>990</v>
      </c>
      <c r="J26" s="80">
        <v>990</v>
      </c>
      <c r="K26" s="80">
        <v>990</v>
      </c>
      <c r="L26" s="80">
        <v>990</v>
      </c>
      <c r="M26" s="80">
        <v>990</v>
      </c>
      <c r="N26" s="80">
        <v>990</v>
      </c>
      <c r="O26" s="80">
        <v>990</v>
      </c>
      <c r="P26" s="80">
        <v>990</v>
      </c>
      <c r="Q26" s="80">
        <v>990</v>
      </c>
      <c r="R26" s="80">
        <v>990</v>
      </c>
      <c r="S26" s="80">
        <v>990</v>
      </c>
      <c r="T26" s="80">
        <v>990</v>
      </c>
      <c r="U26" s="80">
        <v>11880</v>
      </c>
    </row>
    <row r="27" spans="1:21" ht="15" customHeight="1" x14ac:dyDescent="0.3">
      <c r="A27" s="82" t="s">
        <v>1121</v>
      </c>
      <c r="B27" s="81" t="s">
        <v>1112</v>
      </c>
      <c r="C27" s="81" t="s">
        <v>1120</v>
      </c>
      <c r="D27" s="81" t="s">
        <v>229</v>
      </c>
      <c r="E27" s="81" t="s">
        <v>1119</v>
      </c>
      <c r="F27" s="81" t="s">
        <v>1118</v>
      </c>
      <c r="G27" s="81" t="s">
        <v>226</v>
      </c>
      <c r="H27" s="81" t="s">
        <v>225</v>
      </c>
      <c r="I27" s="80">
        <v>273.87</v>
      </c>
      <c r="J27" s="80">
        <v>273.87</v>
      </c>
      <c r="K27" s="80">
        <v>273.87</v>
      </c>
      <c r="L27" s="80">
        <v>351.44</v>
      </c>
      <c r="M27" s="80">
        <v>351.44</v>
      </c>
      <c r="N27" s="80">
        <v>351.44</v>
      </c>
      <c r="O27" s="80">
        <v>364.11</v>
      </c>
      <c r="P27" s="80">
        <v>364.11</v>
      </c>
      <c r="Q27" s="80">
        <v>364.11</v>
      </c>
      <c r="R27" s="80">
        <v>483.94</v>
      </c>
      <c r="S27" s="80">
        <v>483.94</v>
      </c>
      <c r="T27" s="80">
        <v>483.94</v>
      </c>
      <c r="U27" s="80">
        <v>4420.08</v>
      </c>
    </row>
    <row r="28" spans="1:21" ht="15" customHeight="1" x14ac:dyDescent="0.3">
      <c r="A28" s="82" t="s">
        <v>1117</v>
      </c>
      <c r="B28" s="81" t="s">
        <v>1112</v>
      </c>
      <c r="C28" s="81" t="s">
        <v>1116</v>
      </c>
      <c r="D28" s="81" t="s">
        <v>229</v>
      </c>
      <c r="E28" s="81" t="s">
        <v>1115</v>
      </c>
      <c r="F28" s="81" t="s">
        <v>1114</v>
      </c>
      <c r="G28" s="81" t="s">
        <v>226</v>
      </c>
      <c r="H28" s="81" t="s">
        <v>225</v>
      </c>
      <c r="I28" s="80">
        <v>2835</v>
      </c>
      <c r="J28" s="80">
        <v>2835</v>
      </c>
      <c r="K28" s="80">
        <v>2835</v>
      </c>
      <c r="L28" s="80">
        <v>2835</v>
      </c>
      <c r="M28" s="80">
        <v>2835</v>
      </c>
      <c r="N28" s="80">
        <v>2835</v>
      </c>
      <c r="O28" s="80">
        <v>2835</v>
      </c>
      <c r="P28" s="80">
        <v>2835</v>
      </c>
      <c r="Q28" s="80">
        <v>2880</v>
      </c>
      <c r="R28" s="80">
        <v>2880</v>
      </c>
      <c r="S28" s="80">
        <v>2880</v>
      </c>
      <c r="T28" s="80">
        <v>2880</v>
      </c>
      <c r="U28" s="80">
        <v>34200</v>
      </c>
    </row>
    <row r="29" spans="1:21" ht="15" customHeight="1" x14ac:dyDescent="0.3">
      <c r="A29" s="82" t="s">
        <v>1113</v>
      </c>
      <c r="B29" s="81" t="s">
        <v>1112</v>
      </c>
      <c r="C29" s="81" t="s">
        <v>1111</v>
      </c>
      <c r="D29" s="81" t="s">
        <v>229</v>
      </c>
      <c r="E29" s="81" t="s">
        <v>1110</v>
      </c>
      <c r="F29" s="81" t="s">
        <v>1109</v>
      </c>
      <c r="G29" s="81" t="s">
        <v>226</v>
      </c>
      <c r="H29" s="81" t="s">
        <v>225</v>
      </c>
      <c r="I29" s="80">
        <v>765</v>
      </c>
      <c r="J29" s="80">
        <v>765</v>
      </c>
      <c r="K29" s="80">
        <v>765</v>
      </c>
      <c r="L29" s="80">
        <v>765</v>
      </c>
      <c r="M29" s="80">
        <v>765</v>
      </c>
      <c r="N29" s="80">
        <v>765</v>
      </c>
      <c r="O29" s="80">
        <v>765</v>
      </c>
      <c r="P29" s="80">
        <v>765</v>
      </c>
      <c r="Q29" s="80">
        <v>765</v>
      </c>
      <c r="R29" s="80">
        <v>765</v>
      </c>
      <c r="S29" s="80">
        <v>765</v>
      </c>
      <c r="T29" s="80">
        <v>765</v>
      </c>
      <c r="U29" s="80">
        <v>9180</v>
      </c>
    </row>
    <row r="30" spans="1:21" ht="15" customHeight="1" x14ac:dyDescent="0.3">
      <c r="A30" s="82" t="s">
        <v>1108</v>
      </c>
      <c r="B30" s="81" t="s">
        <v>1081</v>
      </c>
      <c r="C30" s="81" t="s">
        <v>1104</v>
      </c>
      <c r="D30" s="81" t="s">
        <v>229</v>
      </c>
      <c r="E30" s="81" t="s">
        <v>1107</v>
      </c>
      <c r="F30" s="81" t="s">
        <v>1106</v>
      </c>
      <c r="G30" s="81" t="s">
        <v>226</v>
      </c>
      <c r="H30" s="81" t="s">
        <v>225</v>
      </c>
      <c r="I30" s="80">
        <v>45</v>
      </c>
      <c r="J30" s="80">
        <v>45</v>
      </c>
      <c r="K30" s="80">
        <v>45</v>
      </c>
      <c r="L30" s="80">
        <v>45</v>
      </c>
      <c r="M30" s="80">
        <v>45</v>
      </c>
      <c r="N30" s="80">
        <v>45</v>
      </c>
      <c r="O30" s="80">
        <v>45</v>
      </c>
      <c r="P30" s="80">
        <v>45</v>
      </c>
      <c r="Q30" s="80">
        <v>45</v>
      </c>
      <c r="R30" s="80">
        <v>45</v>
      </c>
      <c r="S30" s="80">
        <v>45</v>
      </c>
      <c r="T30" s="80">
        <v>45</v>
      </c>
      <c r="U30" s="80">
        <v>540</v>
      </c>
    </row>
    <row r="31" spans="1:21" ht="15" customHeight="1" x14ac:dyDescent="0.3">
      <c r="A31" s="82" t="s">
        <v>1105</v>
      </c>
      <c r="B31" s="81" t="s">
        <v>1081</v>
      </c>
      <c r="C31" s="81" t="s">
        <v>1104</v>
      </c>
      <c r="D31" s="81" t="s">
        <v>229</v>
      </c>
      <c r="E31" s="81" t="s">
        <v>1103</v>
      </c>
      <c r="F31" s="81" t="s">
        <v>1102</v>
      </c>
      <c r="G31" s="81" t="s">
        <v>226</v>
      </c>
      <c r="H31" s="81" t="s">
        <v>225</v>
      </c>
      <c r="I31" s="80">
        <v>270</v>
      </c>
      <c r="J31" s="80">
        <v>270</v>
      </c>
      <c r="K31" s="80">
        <v>270</v>
      </c>
      <c r="L31" s="80">
        <v>270</v>
      </c>
      <c r="M31" s="80">
        <v>270</v>
      </c>
      <c r="N31" s="80">
        <v>270</v>
      </c>
      <c r="O31" s="80">
        <v>270</v>
      </c>
      <c r="P31" s="80">
        <v>270</v>
      </c>
      <c r="Q31" s="80">
        <v>270</v>
      </c>
      <c r="R31" s="80">
        <v>270</v>
      </c>
      <c r="S31" s="80">
        <v>270</v>
      </c>
      <c r="T31" s="80">
        <v>270</v>
      </c>
      <c r="U31" s="80">
        <v>3240</v>
      </c>
    </row>
    <row r="32" spans="1:21" ht="15" customHeight="1" x14ac:dyDescent="0.3">
      <c r="A32" s="82" t="s">
        <v>1101</v>
      </c>
      <c r="B32" s="81" t="s">
        <v>1081</v>
      </c>
      <c r="C32" s="81" t="s">
        <v>1100</v>
      </c>
      <c r="D32" s="81" t="s">
        <v>229</v>
      </c>
      <c r="E32" s="81" t="s">
        <v>1099</v>
      </c>
      <c r="F32" s="81" t="s">
        <v>1098</v>
      </c>
      <c r="G32" s="81" t="s">
        <v>226</v>
      </c>
      <c r="H32" s="81" t="s">
        <v>225</v>
      </c>
      <c r="I32" s="80">
        <v>108</v>
      </c>
      <c r="J32" s="80">
        <v>108</v>
      </c>
      <c r="K32" s="80">
        <v>108</v>
      </c>
      <c r="L32" s="80">
        <v>108</v>
      </c>
      <c r="M32" s="80">
        <v>108</v>
      </c>
      <c r="N32" s="80">
        <v>108</v>
      </c>
      <c r="O32" s="80">
        <v>108</v>
      </c>
      <c r="P32" s="80">
        <v>108</v>
      </c>
      <c r="Q32" s="80">
        <v>108</v>
      </c>
      <c r="R32" s="80">
        <v>108</v>
      </c>
      <c r="S32" s="80">
        <v>108</v>
      </c>
      <c r="T32" s="80">
        <v>108</v>
      </c>
      <c r="U32" s="80">
        <v>1296</v>
      </c>
    </row>
    <row r="33" spans="1:21" ht="15" customHeight="1" x14ac:dyDescent="0.3">
      <c r="A33" s="82" t="s">
        <v>1097</v>
      </c>
      <c r="B33" s="81" t="s">
        <v>1081</v>
      </c>
      <c r="C33" s="81" t="s">
        <v>1096</v>
      </c>
      <c r="D33" s="81" t="s">
        <v>229</v>
      </c>
      <c r="E33" s="81" t="s">
        <v>1095</v>
      </c>
      <c r="F33" s="81" t="s">
        <v>1094</v>
      </c>
      <c r="G33" s="81" t="s">
        <v>226</v>
      </c>
      <c r="H33" s="81" t="s">
        <v>225</v>
      </c>
      <c r="I33" s="80">
        <v>54</v>
      </c>
      <c r="J33" s="80">
        <v>54</v>
      </c>
      <c r="K33" s="80">
        <v>54</v>
      </c>
      <c r="L33" s="80">
        <v>54</v>
      </c>
      <c r="M33" s="80">
        <v>54</v>
      </c>
      <c r="N33" s="80">
        <v>54</v>
      </c>
      <c r="O33" s="80">
        <v>54</v>
      </c>
      <c r="P33" s="80">
        <v>54</v>
      </c>
      <c r="Q33" s="80">
        <v>54</v>
      </c>
      <c r="R33" s="80">
        <v>54</v>
      </c>
      <c r="S33" s="80">
        <v>54</v>
      </c>
      <c r="T33" s="80">
        <v>54</v>
      </c>
      <c r="U33" s="80">
        <v>648</v>
      </c>
    </row>
    <row r="34" spans="1:21" ht="15" customHeight="1" x14ac:dyDescent="0.3">
      <c r="A34" s="82" t="s">
        <v>1093</v>
      </c>
      <c r="B34" s="81" t="s">
        <v>1081</v>
      </c>
      <c r="C34" s="81" t="s">
        <v>1089</v>
      </c>
      <c r="D34" s="81" t="s">
        <v>229</v>
      </c>
      <c r="E34" s="81" t="s">
        <v>1092</v>
      </c>
      <c r="F34" s="81" t="s">
        <v>1091</v>
      </c>
      <c r="G34" s="81" t="s">
        <v>226</v>
      </c>
      <c r="H34" s="81" t="s">
        <v>225</v>
      </c>
      <c r="I34" s="80">
        <v>90</v>
      </c>
      <c r="J34" s="80">
        <v>90</v>
      </c>
      <c r="K34" s="80">
        <v>90</v>
      </c>
      <c r="L34" s="80">
        <v>90</v>
      </c>
      <c r="M34" s="80">
        <v>90</v>
      </c>
      <c r="N34" s="80">
        <v>90</v>
      </c>
      <c r="O34" s="80">
        <v>90</v>
      </c>
      <c r="P34" s="80">
        <v>90</v>
      </c>
      <c r="Q34" s="80">
        <v>90</v>
      </c>
      <c r="R34" s="80">
        <v>90</v>
      </c>
      <c r="S34" s="80">
        <v>90</v>
      </c>
      <c r="T34" s="80">
        <v>90</v>
      </c>
      <c r="U34" s="80">
        <v>1080</v>
      </c>
    </row>
    <row r="35" spans="1:21" ht="15" customHeight="1" x14ac:dyDescent="0.3">
      <c r="A35" s="82" t="s">
        <v>1090</v>
      </c>
      <c r="B35" s="81" t="s">
        <v>1081</v>
      </c>
      <c r="C35" s="81" t="s">
        <v>1089</v>
      </c>
      <c r="D35" s="81" t="s">
        <v>229</v>
      </c>
      <c r="E35" s="81" t="s">
        <v>1088</v>
      </c>
      <c r="F35" s="81" t="s">
        <v>1087</v>
      </c>
      <c r="G35" s="81" t="s">
        <v>226</v>
      </c>
      <c r="H35" s="81" t="s">
        <v>225</v>
      </c>
      <c r="I35" s="80">
        <v>225</v>
      </c>
      <c r="J35" s="80">
        <v>225</v>
      </c>
      <c r="K35" s="80">
        <v>225</v>
      </c>
      <c r="L35" s="80">
        <v>225</v>
      </c>
      <c r="M35" s="80">
        <v>225</v>
      </c>
      <c r="N35" s="80">
        <v>225</v>
      </c>
      <c r="O35" s="80">
        <v>225</v>
      </c>
      <c r="P35" s="80">
        <v>225</v>
      </c>
      <c r="Q35" s="80">
        <v>225</v>
      </c>
      <c r="R35" s="80">
        <v>225</v>
      </c>
      <c r="S35" s="80">
        <v>225</v>
      </c>
      <c r="T35" s="80">
        <v>225</v>
      </c>
      <c r="U35" s="80">
        <v>2700</v>
      </c>
    </row>
    <row r="36" spans="1:21" ht="15" customHeight="1" x14ac:dyDescent="0.3">
      <c r="A36" s="82" t="s">
        <v>1086</v>
      </c>
      <c r="B36" s="81" t="s">
        <v>1081</v>
      </c>
      <c r="C36" s="81" t="s">
        <v>1085</v>
      </c>
      <c r="D36" s="81" t="s">
        <v>229</v>
      </c>
      <c r="E36" s="81" t="s">
        <v>1084</v>
      </c>
      <c r="F36" s="81" t="s">
        <v>1083</v>
      </c>
      <c r="G36" s="81" t="s">
        <v>226</v>
      </c>
      <c r="H36" s="81" t="s">
        <v>225</v>
      </c>
      <c r="I36" s="80">
        <v>90</v>
      </c>
      <c r="J36" s="80">
        <v>90</v>
      </c>
      <c r="K36" s="80">
        <v>90</v>
      </c>
      <c r="L36" s="80">
        <v>90</v>
      </c>
      <c r="M36" s="80">
        <v>90</v>
      </c>
      <c r="N36" s="80">
        <v>90</v>
      </c>
      <c r="O36" s="80">
        <v>90</v>
      </c>
      <c r="P36" s="80">
        <v>90</v>
      </c>
      <c r="Q36" s="80">
        <v>90</v>
      </c>
      <c r="R36" s="80">
        <v>90</v>
      </c>
      <c r="S36" s="80">
        <v>90</v>
      </c>
      <c r="T36" s="80">
        <v>90</v>
      </c>
      <c r="U36" s="80">
        <v>1080</v>
      </c>
    </row>
    <row r="37" spans="1:21" ht="15" customHeight="1" x14ac:dyDescent="0.3">
      <c r="A37" s="82" t="s">
        <v>1082</v>
      </c>
      <c r="B37" s="81" t="s">
        <v>1081</v>
      </c>
      <c r="C37" s="81" t="s">
        <v>1080</v>
      </c>
      <c r="D37" s="81" t="s">
        <v>229</v>
      </c>
      <c r="E37" s="81" t="s">
        <v>1079</v>
      </c>
      <c r="F37" s="81" t="s">
        <v>1078</v>
      </c>
      <c r="G37" s="81" t="s">
        <v>226</v>
      </c>
      <c r="H37" s="81" t="s">
        <v>225</v>
      </c>
      <c r="I37" s="80">
        <v>108</v>
      </c>
      <c r="J37" s="80">
        <v>108</v>
      </c>
      <c r="K37" s="80">
        <v>108</v>
      </c>
      <c r="L37" s="80">
        <v>108</v>
      </c>
      <c r="M37" s="80">
        <v>108</v>
      </c>
      <c r="N37" s="80">
        <v>108</v>
      </c>
      <c r="O37" s="80">
        <v>108</v>
      </c>
      <c r="P37" s="80">
        <v>108</v>
      </c>
      <c r="Q37" s="80">
        <v>108</v>
      </c>
      <c r="R37" s="80">
        <v>108</v>
      </c>
      <c r="S37" s="80">
        <v>108</v>
      </c>
      <c r="T37" s="80">
        <v>108</v>
      </c>
      <c r="U37" s="80">
        <v>1296</v>
      </c>
    </row>
    <row r="38" spans="1:21" ht="15" customHeight="1" x14ac:dyDescent="0.3">
      <c r="A38" s="82" t="s">
        <v>1077</v>
      </c>
      <c r="B38" s="81" t="s">
        <v>1042</v>
      </c>
      <c r="C38" s="81" t="s">
        <v>1076</v>
      </c>
      <c r="D38" s="81" t="s">
        <v>229</v>
      </c>
      <c r="E38" s="81" t="s">
        <v>1075</v>
      </c>
      <c r="F38" s="81" t="s">
        <v>1074</v>
      </c>
      <c r="G38" s="81" t="s">
        <v>226</v>
      </c>
      <c r="H38" s="81" t="s">
        <v>225</v>
      </c>
      <c r="I38" s="80">
        <v>90</v>
      </c>
      <c r="J38" s="80">
        <v>90</v>
      </c>
      <c r="K38" s="80">
        <v>90</v>
      </c>
      <c r="L38" s="80">
        <v>90</v>
      </c>
      <c r="M38" s="80">
        <v>90</v>
      </c>
      <c r="N38" s="80">
        <v>90</v>
      </c>
      <c r="O38" s="80">
        <v>90</v>
      </c>
      <c r="P38" s="80">
        <v>90</v>
      </c>
      <c r="Q38" s="80">
        <v>90</v>
      </c>
      <c r="R38" s="80">
        <v>90</v>
      </c>
      <c r="S38" s="80">
        <v>90</v>
      </c>
      <c r="T38" s="80">
        <v>90</v>
      </c>
      <c r="U38" s="80">
        <v>1080</v>
      </c>
    </row>
    <row r="39" spans="1:21" ht="15" customHeight="1" x14ac:dyDescent="0.3">
      <c r="A39" s="82" t="s">
        <v>1073</v>
      </c>
      <c r="B39" s="81" t="s">
        <v>1042</v>
      </c>
      <c r="C39" s="81" t="s">
        <v>1066</v>
      </c>
      <c r="D39" s="81" t="s">
        <v>229</v>
      </c>
      <c r="E39" s="81" t="s">
        <v>1072</v>
      </c>
      <c r="F39" s="81" t="s">
        <v>1071</v>
      </c>
      <c r="G39" s="81" t="s">
        <v>226</v>
      </c>
      <c r="H39" s="81" t="s">
        <v>225</v>
      </c>
      <c r="I39" s="80">
        <v>54</v>
      </c>
      <c r="J39" s="80">
        <v>54</v>
      </c>
      <c r="K39" s="80">
        <v>54</v>
      </c>
      <c r="L39" s="80">
        <v>54</v>
      </c>
      <c r="M39" s="80">
        <v>54</v>
      </c>
      <c r="N39" s="80">
        <v>54</v>
      </c>
      <c r="O39" s="80">
        <v>54</v>
      </c>
      <c r="P39" s="80">
        <v>54</v>
      </c>
      <c r="Q39" s="80">
        <v>54</v>
      </c>
      <c r="R39" s="80">
        <v>54</v>
      </c>
      <c r="S39" s="80">
        <v>54</v>
      </c>
      <c r="T39" s="80">
        <v>54</v>
      </c>
      <c r="U39" s="80">
        <v>648</v>
      </c>
    </row>
    <row r="40" spans="1:21" ht="15" customHeight="1" x14ac:dyDescent="0.3">
      <c r="A40" s="82" t="s">
        <v>1070</v>
      </c>
      <c r="B40" s="81" t="s">
        <v>1042</v>
      </c>
      <c r="C40" s="81" t="s">
        <v>1066</v>
      </c>
      <c r="D40" s="81" t="s">
        <v>229</v>
      </c>
      <c r="E40" s="81" t="s">
        <v>1069</v>
      </c>
      <c r="F40" s="81" t="s">
        <v>1068</v>
      </c>
      <c r="G40" s="81" t="s">
        <v>226</v>
      </c>
      <c r="H40" s="81" t="s">
        <v>225</v>
      </c>
      <c r="I40" s="80">
        <v>90</v>
      </c>
      <c r="J40" s="80">
        <v>90</v>
      </c>
      <c r="K40" s="80">
        <v>90</v>
      </c>
      <c r="L40" s="80">
        <v>90</v>
      </c>
      <c r="M40" s="80">
        <v>90</v>
      </c>
      <c r="N40" s="80">
        <v>90</v>
      </c>
      <c r="O40" s="80">
        <v>90</v>
      </c>
      <c r="P40" s="80">
        <v>90</v>
      </c>
      <c r="Q40" s="80">
        <v>90</v>
      </c>
      <c r="R40" s="80">
        <v>90</v>
      </c>
      <c r="S40" s="80">
        <v>90</v>
      </c>
      <c r="T40" s="80">
        <v>90</v>
      </c>
      <c r="U40" s="80">
        <v>1080</v>
      </c>
    </row>
    <row r="41" spans="1:21" ht="15" customHeight="1" x14ac:dyDescent="0.3">
      <c r="A41" s="82" t="s">
        <v>1067</v>
      </c>
      <c r="B41" s="81" t="s">
        <v>1042</v>
      </c>
      <c r="C41" s="81" t="s">
        <v>1066</v>
      </c>
      <c r="D41" s="81" t="s">
        <v>229</v>
      </c>
      <c r="E41" s="81" t="s">
        <v>1065</v>
      </c>
      <c r="F41" s="81" t="s">
        <v>1064</v>
      </c>
      <c r="G41" s="81" t="s">
        <v>226</v>
      </c>
      <c r="H41" s="81" t="s">
        <v>225</v>
      </c>
      <c r="I41" s="80">
        <v>315</v>
      </c>
      <c r="J41" s="80">
        <v>315</v>
      </c>
      <c r="K41" s="80">
        <v>315</v>
      </c>
      <c r="L41" s="80">
        <v>315</v>
      </c>
      <c r="M41" s="80">
        <v>315</v>
      </c>
      <c r="N41" s="80">
        <v>315</v>
      </c>
      <c r="O41" s="80">
        <v>315</v>
      </c>
      <c r="P41" s="80">
        <v>315</v>
      </c>
      <c r="Q41" s="80">
        <v>315</v>
      </c>
      <c r="R41" s="80">
        <v>315</v>
      </c>
      <c r="S41" s="80">
        <v>315</v>
      </c>
      <c r="T41" s="80">
        <v>315</v>
      </c>
      <c r="U41" s="80">
        <v>3780</v>
      </c>
    </row>
    <row r="42" spans="1:21" ht="15" customHeight="1" x14ac:dyDescent="0.3">
      <c r="A42" s="82" t="s">
        <v>1063</v>
      </c>
      <c r="B42" s="81" t="s">
        <v>1042</v>
      </c>
      <c r="C42" s="81" t="s">
        <v>1062</v>
      </c>
      <c r="D42" s="81" t="s">
        <v>229</v>
      </c>
      <c r="E42" s="81" t="s">
        <v>1061</v>
      </c>
      <c r="F42" s="81" t="s">
        <v>1060</v>
      </c>
      <c r="G42" s="81" t="s">
        <v>226</v>
      </c>
      <c r="H42" s="81" t="s">
        <v>225</v>
      </c>
      <c r="I42" s="80">
        <v>90</v>
      </c>
      <c r="J42" s="80">
        <v>90</v>
      </c>
      <c r="K42" s="80">
        <v>90</v>
      </c>
      <c r="L42" s="80">
        <v>90</v>
      </c>
      <c r="M42" s="80">
        <v>90</v>
      </c>
      <c r="N42" s="80">
        <v>90</v>
      </c>
      <c r="O42" s="80">
        <v>90</v>
      </c>
      <c r="P42" s="80">
        <v>90</v>
      </c>
      <c r="Q42" s="80">
        <v>90</v>
      </c>
      <c r="R42" s="80">
        <v>90</v>
      </c>
      <c r="S42" s="80">
        <v>90</v>
      </c>
      <c r="T42" s="80">
        <v>90</v>
      </c>
      <c r="U42" s="80">
        <v>1080</v>
      </c>
    </row>
    <row r="43" spans="1:21" ht="15" customHeight="1" x14ac:dyDescent="0.3">
      <c r="A43" s="82" t="s">
        <v>1059</v>
      </c>
      <c r="B43" s="81" t="s">
        <v>1042</v>
      </c>
      <c r="C43" s="81" t="s">
        <v>1049</v>
      </c>
      <c r="D43" s="81" t="s">
        <v>229</v>
      </c>
      <c r="E43" s="81" t="s">
        <v>1058</v>
      </c>
      <c r="F43" s="81" t="s">
        <v>1057</v>
      </c>
      <c r="G43" s="81" t="s">
        <v>226</v>
      </c>
      <c r="H43" s="81" t="s">
        <v>225</v>
      </c>
      <c r="I43" s="80">
        <v>90</v>
      </c>
      <c r="J43" s="80">
        <v>90</v>
      </c>
      <c r="K43" s="80">
        <v>90</v>
      </c>
      <c r="L43" s="80">
        <v>90</v>
      </c>
      <c r="M43" s="80">
        <v>90</v>
      </c>
      <c r="N43" s="80">
        <v>90</v>
      </c>
      <c r="O43" s="80">
        <v>90</v>
      </c>
      <c r="P43" s="80">
        <v>90</v>
      </c>
      <c r="Q43" s="80">
        <v>90</v>
      </c>
      <c r="R43" s="80">
        <v>90</v>
      </c>
      <c r="S43" s="80">
        <v>90</v>
      </c>
      <c r="T43" s="80">
        <v>90</v>
      </c>
      <c r="U43" s="80">
        <v>1080</v>
      </c>
    </row>
    <row r="44" spans="1:21" ht="15" customHeight="1" x14ac:dyDescent="0.3">
      <c r="A44" s="82" t="s">
        <v>1056</v>
      </c>
      <c r="B44" s="81" t="s">
        <v>1042</v>
      </c>
      <c r="C44" s="81" t="s">
        <v>1049</v>
      </c>
      <c r="D44" s="81" t="s">
        <v>229</v>
      </c>
      <c r="E44" s="81" t="s">
        <v>1055</v>
      </c>
      <c r="F44" s="81" t="s">
        <v>1054</v>
      </c>
      <c r="G44" s="81" t="s">
        <v>226</v>
      </c>
      <c r="H44" s="81" t="s">
        <v>225</v>
      </c>
      <c r="I44" s="80">
        <v>90</v>
      </c>
      <c r="J44" s="80">
        <v>90</v>
      </c>
      <c r="K44" s="80">
        <v>90</v>
      </c>
      <c r="L44" s="80">
        <v>90</v>
      </c>
      <c r="M44" s="80">
        <v>90</v>
      </c>
      <c r="N44" s="80">
        <v>90</v>
      </c>
      <c r="O44" s="80">
        <v>90</v>
      </c>
      <c r="P44" s="80">
        <v>90</v>
      </c>
      <c r="Q44" s="80">
        <v>90</v>
      </c>
      <c r="R44" s="80">
        <v>90</v>
      </c>
      <c r="S44" s="80">
        <v>90</v>
      </c>
      <c r="T44" s="80">
        <v>90</v>
      </c>
      <c r="U44" s="80">
        <v>1080</v>
      </c>
    </row>
    <row r="45" spans="1:21" ht="15" customHeight="1" x14ac:dyDescent="0.3">
      <c r="A45" s="82" t="s">
        <v>1053</v>
      </c>
      <c r="B45" s="81" t="s">
        <v>1042</v>
      </c>
      <c r="C45" s="81" t="s">
        <v>1049</v>
      </c>
      <c r="D45" s="81" t="s">
        <v>229</v>
      </c>
      <c r="E45" s="81" t="s">
        <v>1052</v>
      </c>
      <c r="F45" s="81" t="s">
        <v>1051</v>
      </c>
      <c r="G45" s="81" t="s">
        <v>226</v>
      </c>
      <c r="H45" s="81" t="s">
        <v>225</v>
      </c>
      <c r="I45" s="80">
        <v>90</v>
      </c>
      <c r="J45" s="80">
        <v>90</v>
      </c>
      <c r="K45" s="80">
        <v>90</v>
      </c>
      <c r="L45" s="80">
        <v>90</v>
      </c>
      <c r="M45" s="80">
        <v>90</v>
      </c>
      <c r="N45" s="80">
        <v>90</v>
      </c>
      <c r="O45" s="80">
        <v>90</v>
      </c>
      <c r="P45" s="80">
        <v>90</v>
      </c>
      <c r="Q45" s="80">
        <v>90</v>
      </c>
      <c r="R45" s="80">
        <v>90</v>
      </c>
      <c r="S45" s="80">
        <v>90</v>
      </c>
      <c r="T45" s="80">
        <v>90</v>
      </c>
      <c r="U45" s="80">
        <v>1080</v>
      </c>
    </row>
    <row r="46" spans="1:21" ht="15" customHeight="1" x14ac:dyDescent="0.3">
      <c r="A46" s="82" t="s">
        <v>1050</v>
      </c>
      <c r="B46" s="81" t="s">
        <v>1042</v>
      </c>
      <c r="C46" s="81" t="s">
        <v>1049</v>
      </c>
      <c r="D46" s="81" t="s">
        <v>229</v>
      </c>
      <c r="E46" s="81" t="s">
        <v>1048</v>
      </c>
      <c r="F46" s="81" t="s">
        <v>1047</v>
      </c>
      <c r="G46" s="81" t="s">
        <v>226</v>
      </c>
      <c r="H46" s="81" t="s">
        <v>225</v>
      </c>
      <c r="I46" s="80">
        <v>45</v>
      </c>
      <c r="J46" s="80">
        <v>45</v>
      </c>
      <c r="K46" s="80">
        <v>45</v>
      </c>
      <c r="L46" s="80">
        <v>45</v>
      </c>
      <c r="M46" s="80">
        <v>45</v>
      </c>
      <c r="N46" s="80">
        <v>45</v>
      </c>
      <c r="O46" s="80">
        <v>45</v>
      </c>
      <c r="P46" s="80">
        <v>45</v>
      </c>
      <c r="Q46" s="80">
        <v>45</v>
      </c>
      <c r="R46" s="80">
        <v>45</v>
      </c>
      <c r="S46" s="80">
        <v>45</v>
      </c>
      <c r="T46" s="80">
        <v>45</v>
      </c>
      <c r="U46" s="80">
        <v>540</v>
      </c>
    </row>
    <row r="47" spans="1:21" ht="15" customHeight="1" x14ac:dyDescent="0.3">
      <c r="A47" s="82" t="s">
        <v>1046</v>
      </c>
      <c r="B47" s="81" t="s">
        <v>1042</v>
      </c>
      <c r="C47" s="81" t="s">
        <v>1041</v>
      </c>
      <c r="D47" s="81" t="s">
        <v>229</v>
      </c>
      <c r="E47" s="81" t="s">
        <v>1045</v>
      </c>
      <c r="F47" s="81" t="s">
        <v>1044</v>
      </c>
      <c r="G47" s="81" t="s">
        <v>226</v>
      </c>
      <c r="H47" s="81" t="s">
        <v>225</v>
      </c>
      <c r="I47" s="80">
        <v>96.83</v>
      </c>
      <c r="J47" s="80">
        <v>96.83</v>
      </c>
      <c r="K47" s="80">
        <v>96.83</v>
      </c>
      <c r="L47" s="80">
        <v>124.26</v>
      </c>
      <c r="M47" s="80">
        <v>124.26</v>
      </c>
      <c r="N47" s="80">
        <v>124.26</v>
      </c>
      <c r="O47" s="80">
        <v>128.74</v>
      </c>
      <c r="P47" s="80">
        <v>128.74</v>
      </c>
      <c r="Q47" s="80">
        <v>128.74</v>
      </c>
      <c r="R47" s="80">
        <v>171.11</v>
      </c>
      <c r="S47" s="80">
        <v>171.11</v>
      </c>
      <c r="T47" s="80">
        <v>171.11</v>
      </c>
      <c r="U47" s="80">
        <v>1562.82</v>
      </c>
    </row>
    <row r="48" spans="1:21" ht="15" customHeight="1" x14ac:dyDescent="0.3">
      <c r="A48" s="82" t="s">
        <v>1043</v>
      </c>
      <c r="B48" s="81" t="s">
        <v>1042</v>
      </c>
      <c r="C48" s="81" t="s">
        <v>1041</v>
      </c>
      <c r="D48" s="81" t="s">
        <v>229</v>
      </c>
      <c r="E48" s="81" t="s">
        <v>1040</v>
      </c>
      <c r="F48" s="81" t="s">
        <v>1039</v>
      </c>
      <c r="G48" s="81" t="s">
        <v>226</v>
      </c>
      <c r="H48" s="81" t="s">
        <v>225</v>
      </c>
      <c r="I48" s="80">
        <v>45</v>
      </c>
      <c r="J48" s="80">
        <v>45</v>
      </c>
      <c r="K48" s="80">
        <v>45</v>
      </c>
      <c r="L48" s="80">
        <v>45</v>
      </c>
      <c r="M48" s="80">
        <v>45</v>
      </c>
      <c r="N48" s="80">
        <v>45</v>
      </c>
      <c r="O48" s="80">
        <v>45</v>
      </c>
      <c r="P48" s="80">
        <v>45</v>
      </c>
      <c r="Q48" s="80">
        <v>45</v>
      </c>
      <c r="R48" s="80">
        <v>45</v>
      </c>
      <c r="S48" s="80">
        <v>45</v>
      </c>
      <c r="T48" s="80">
        <v>45</v>
      </c>
      <c r="U48" s="80">
        <v>540</v>
      </c>
    </row>
    <row r="49" spans="1:21" ht="15" customHeight="1" x14ac:dyDescent="0.3">
      <c r="A49" s="82" t="s">
        <v>1038</v>
      </c>
      <c r="B49" s="81" t="s">
        <v>1028</v>
      </c>
      <c r="C49" s="81" t="s">
        <v>1027</v>
      </c>
      <c r="D49" s="81" t="s">
        <v>229</v>
      </c>
      <c r="E49" s="81" t="s">
        <v>1037</v>
      </c>
      <c r="F49" s="81" t="s">
        <v>1036</v>
      </c>
      <c r="G49" s="81" t="s">
        <v>226</v>
      </c>
      <c r="H49" s="81" t="s">
        <v>225</v>
      </c>
      <c r="I49" s="80">
        <v>270</v>
      </c>
      <c r="J49" s="80">
        <v>270</v>
      </c>
      <c r="K49" s="80">
        <v>270</v>
      </c>
      <c r="L49" s="80">
        <v>270</v>
      </c>
      <c r="M49" s="80">
        <v>270</v>
      </c>
      <c r="N49" s="80">
        <v>270</v>
      </c>
      <c r="O49" s="80">
        <v>270</v>
      </c>
      <c r="P49" s="80">
        <v>270</v>
      </c>
      <c r="Q49" s="80">
        <v>270</v>
      </c>
      <c r="R49" s="80">
        <v>270</v>
      </c>
      <c r="S49" s="80">
        <v>270</v>
      </c>
      <c r="T49" s="80">
        <v>270</v>
      </c>
      <c r="U49" s="80">
        <v>3240</v>
      </c>
    </row>
    <row r="50" spans="1:21" ht="15" customHeight="1" x14ac:dyDescent="0.3">
      <c r="A50" s="82" t="s">
        <v>1035</v>
      </c>
      <c r="B50" s="81" t="s">
        <v>1028</v>
      </c>
      <c r="C50" s="81" t="s">
        <v>1027</v>
      </c>
      <c r="D50" s="81" t="s">
        <v>229</v>
      </c>
      <c r="E50" s="81" t="s">
        <v>1034</v>
      </c>
      <c r="F50" s="81" t="s">
        <v>1033</v>
      </c>
      <c r="G50" s="81" t="s">
        <v>226</v>
      </c>
      <c r="H50" s="81" t="s">
        <v>225</v>
      </c>
      <c r="I50" s="80">
        <v>315</v>
      </c>
      <c r="J50" s="80">
        <v>315</v>
      </c>
      <c r="K50" s="80">
        <v>315</v>
      </c>
      <c r="L50" s="80">
        <v>315</v>
      </c>
      <c r="M50" s="80">
        <v>315</v>
      </c>
      <c r="N50" s="80">
        <v>315</v>
      </c>
      <c r="O50" s="80">
        <v>315</v>
      </c>
      <c r="P50" s="80">
        <v>315</v>
      </c>
      <c r="Q50" s="80">
        <v>315</v>
      </c>
      <c r="R50" s="80">
        <v>315</v>
      </c>
      <c r="S50" s="80">
        <v>315</v>
      </c>
      <c r="T50" s="80">
        <v>315</v>
      </c>
      <c r="U50" s="80">
        <v>3780</v>
      </c>
    </row>
    <row r="51" spans="1:21" ht="15" customHeight="1" x14ac:dyDescent="0.3">
      <c r="A51" s="82" t="s">
        <v>1032</v>
      </c>
      <c r="B51" s="81" t="s">
        <v>1028</v>
      </c>
      <c r="C51" s="81" t="s">
        <v>1027</v>
      </c>
      <c r="D51" s="81" t="s">
        <v>229</v>
      </c>
      <c r="E51" s="81" t="s">
        <v>1031</v>
      </c>
      <c r="F51" s="81" t="s">
        <v>1030</v>
      </c>
      <c r="G51" s="81" t="s">
        <v>226</v>
      </c>
      <c r="H51" s="81" t="s">
        <v>225</v>
      </c>
      <c r="I51" s="80">
        <v>180</v>
      </c>
      <c r="J51" s="80">
        <v>180</v>
      </c>
      <c r="K51" s="80">
        <v>180</v>
      </c>
      <c r="L51" s="80">
        <v>180</v>
      </c>
      <c r="M51" s="80">
        <v>180</v>
      </c>
      <c r="N51" s="80">
        <v>180</v>
      </c>
      <c r="O51" s="80">
        <v>180</v>
      </c>
      <c r="P51" s="80">
        <v>180</v>
      </c>
      <c r="Q51" s="80">
        <v>180</v>
      </c>
      <c r="R51" s="80">
        <v>180</v>
      </c>
      <c r="S51" s="80">
        <v>180</v>
      </c>
      <c r="T51" s="80">
        <v>180</v>
      </c>
      <c r="U51" s="80">
        <v>2160</v>
      </c>
    </row>
    <row r="52" spans="1:21" ht="15" customHeight="1" x14ac:dyDescent="0.3">
      <c r="A52" s="82" t="s">
        <v>1029</v>
      </c>
      <c r="B52" s="81" t="s">
        <v>1028</v>
      </c>
      <c r="C52" s="81" t="s">
        <v>1027</v>
      </c>
      <c r="D52" s="81" t="s">
        <v>229</v>
      </c>
      <c r="E52" s="81" t="s">
        <v>1026</v>
      </c>
      <c r="F52" s="81" t="s">
        <v>1025</v>
      </c>
      <c r="G52" s="81" t="s">
        <v>226</v>
      </c>
      <c r="H52" s="81" t="s">
        <v>225</v>
      </c>
      <c r="I52" s="80">
        <v>180</v>
      </c>
      <c r="J52" s="80">
        <v>180</v>
      </c>
      <c r="K52" s="80">
        <v>180</v>
      </c>
      <c r="L52" s="80">
        <v>180</v>
      </c>
      <c r="M52" s="80">
        <v>180</v>
      </c>
      <c r="N52" s="80">
        <v>180</v>
      </c>
      <c r="O52" s="80">
        <v>180</v>
      </c>
      <c r="P52" s="80">
        <v>180</v>
      </c>
      <c r="Q52" s="80">
        <v>180</v>
      </c>
      <c r="R52" s="80">
        <v>180</v>
      </c>
      <c r="S52" s="80">
        <v>180</v>
      </c>
      <c r="T52" s="80">
        <v>180</v>
      </c>
      <c r="U52" s="80">
        <v>2160</v>
      </c>
    </row>
    <row r="53" spans="1:21" ht="15" customHeight="1" x14ac:dyDescent="0.3">
      <c r="A53" s="82" t="s">
        <v>1024</v>
      </c>
      <c r="B53" s="81" t="s">
        <v>1017</v>
      </c>
      <c r="C53" s="81" t="s">
        <v>1016</v>
      </c>
      <c r="D53" s="81" t="s">
        <v>229</v>
      </c>
      <c r="E53" s="81" t="s">
        <v>1023</v>
      </c>
      <c r="F53" s="81" t="s">
        <v>1022</v>
      </c>
      <c r="G53" s="81" t="s">
        <v>226</v>
      </c>
      <c r="H53" s="81" t="s">
        <v>225</v>
      </c>
      <c r="I53" s="80">
        <v>63.13</v>
      </c>
      <c r="J53" s="80">
        <v>63.13</v>
      </c>
      <c r="K53" s="80">
        <v>63.13</v>
      </c>
      <c r="L53" s="80">
        <v>81</v>
      </c>
      <c r="M53" s="80">
        <v>81</v>
      </c>
      <c r="N53" s="80">
        <v>81</v>
      </c>
      <c r="O53" s="80">
        <v>83.92</v>
      </c>
      <c r="P53" s="80">
        <v>83.92</v>
      </c>
      <c r="Q53" s="80">
        <v>83.92</v>
      </c>
      <c r="R53" s="80">
        <v>111.55</v>
      </c>
      <c r="S53" s="80">
        <v>111.55</v>
      </c>
      <c r="T53" s="80">
        <v>111.55</v>
      </c>
      <c r="U53" s="80">
        <v>1018.8</v>
      </c>
    </row>
    <row r="54" spans="1:21" ht="15" customHeight="1" x14ac:dyDescent="0.3">
      <c r="A54" s="82" t="s">
        <v>1021</v>
      </c>
      <c r="B54" s="81" t="s">
        <v>1017</v>
      </c>
      <c r="C54" s="81" t="s">
        <v>1016</v>
      </c>
      <c r="D54" s="81" t="s">
        <v>229</v>
      </c>
      <c r="E54" s="81" t="s">
        <v>1020</v>
      </c>
      <c r="F54" s="81" t="s">
        <v>1019</v>
      </c>
      <c r="G54" s="81" t="s">
        <v>226</v>
      </c>
      <c r="H54" s="81" t="s">
        <v>225</v>
      </c>
      <c r="I54" s="80">
        <v>63.13</v>
      </c>
      <c r="J54" s="80">
        <v>63.13</v>
      </c>
      <c r="K54" s="80">
        <v>63.13</v>
      </c>
      <c r="L54" s="80">
        <v>81</v>
      </c>
      <c r="M54" s="80">
        <v>81</v>
      </c>
      <c r="N54" s="80">
        <v>81</v>
      </c>
      <c r="O54" s="80">
        <v>83.92</v>
      </c>
      <c r="P54" s="80">
        <v>83.92</v>
      </c>
      <c r="Q54" s="80">
        <v>83.92</v>
      </c>
      <c r="R54" s="80">
        <v>111.55</v>
      </c>
      <c r="S54" s="80">
        <v>111.55</v>
      </c>
      <c r="T54" s="80">
        <v>111.55</v>
      </c>
      <c r="U54" s="80">
        <v>1018.8</v>
      </c>
    </row>
    <row r="55" spans="1:21" ht="15" customHeight="1" x14ac:dyDescent="0.3">
      <c r="A55" s="82" t="s">
        <v>1018</v>
      </c>
      <c r="B55" s="81" t="s">
        <v>1017</v>
      </c>
      <c r="C55" s="81" t="s">
        <v>1016</v>
      </c>
      <c r="D55" s="81" t="s">
        <v>229</v>
      </c>
      <c r="E55" s="81" t="s">
        <v>1015</v>
      </c>
      <c r="F55" s="81" t="s">
        <v>1014</v>
      </c>
      <c r="G55" s="81" t="s">
        <v>226</v>
      </c>
      <c r="H55" s="81" t="s">
        <v>225</v>
      </c>
      <c r="I55" s="80">
        <v>0.01</v>
      </c>
      <c r="J55" s="80">
        <v>0.01</v>
      </c>
      <c r="K55" s="80">
        <v>0.01</v>
      </c>
      <c r="L55" s="80">
        <v>0.01</v>
      </c>
      <c r="M55" s="80">
        <v>0.01</v>
      </c>
      <c r="N55" s="80">
        <v>0.01</v>
      </c>
      <c r="O55" s="80">
        <v>0.01</v>
      </c>
      <c r="P55" s="80">
        <v>0.01</v>
      </c>
      <c r="Q55" s="80">
        <v>0.01</v>
      </c>
      <c r="R55" s="80">
        <v>0.01</v>
      </c>
      <c r="S55" s="80">
        <v>0.01</v>
      </c>
      <c r="T55" s="80">
        <v>0.01</v>
      </c>
      <c r="U55" s="80">
        <v>0.12</v>
      </c>
    </row>
    <row r="56" spans="1:21" ht="15" customHeight="1" x14ac:dyDescent="0.3">
      <c r="A56" s="82" t="s">
        <v>1013</v>
      </c>
      <c r="B56" s="81" t="s">
        <v>919</v>
      </c>
      <c r="C56" s="81" t="s">
        <v>1012</v>
      </c>
      <c r="D56" s="81" t="s">
        <v>229</v>
      </c>
      <c r="E56" s="81" t="s">
        <v>1011</v>
      </c>
      <c r="F56" s="81" t="s">
        <v>1010</v>
      </c>
      <c r="G56" s="81" t="s">
        <v>226</v>
      </c>
      <c r="H56" s="81" t="s">
        <v>225</v>
      </c>
      <c r="I56" s="80">
        <v>198</v>
      </c>
      <c r="J56" s="80">
        <v>198</v>
      </c>
      <c r="K56" s="80">
        <v>198</v>
      </c>
      <c r="L56" s="80">
        <v>198</v>
      </c>
      <c r="M56" s="80">
        <v>198</v>
      </c>
      <c r="N56" s="80">
        <v>198</v>
      </c>
      <c r="O56" s="80">
        <v>198</v>
      </c>
      <c r="P56" s="80">
        <v>198</v>
      </c>
      <c r="Q56" s="80">
        <v>198</v>
      </c>
      <c r="R56" s="80">
        <v>198</v>
      </c>
      <c r="S56" s="80">
        <v>198</v>
      </c>
      <c r="T56" s="80">
        <v>198</v>
      </c>
      <c r="U56" s="80">
        <v>2376</v>
      </c>
    </row>
    <row r="57" spans="1:21" ht="15" customHeight="1" x14ac:dyDescent="0.3">
      <c r="A57" s="82" t="s">
        <v>1009</v>
      </c>
      <c r="B57" s="81" t="s">
        <v>919</v>
      </c>
      <c r="C57" s="81" t="s">
        <v>1005</v>
      </c>
      <c r="D57" s="81" t="s">
        <v>229</v>
      </c>
      <c r="E57" s="81" t="s">
        <v>1008</v>
      </c>
      <c r="F57" s="81" t="s">
        <v>1007</v>
      </c>
      <c r="G57" s="81" t="s">
        <v>226</v>
      </c>
      <c r="H57" s="81" t="s">
        <v>225</v>
      </c>
      <c r="I57" s="80">
        <v>100</v>
      </c>
      <c r="J57" s="80">
        <v>100</v>
      </c>
      <c r="K57" s="80">
        <v>100</v>
      </c>
      <c r="L57" s="80">
        <v>100</v>
      </c>
      <c r="M57" s="80">
        <v>100</v>
      </c>
      <c r="N57" s="80">
        <v>100</v>
      </c>
      <c r="O57" s="80">
        <v>145</v>
      </c>
      <c r="P57" s="80">
        <v>145</v>
      </c>
      <c r="Q57" s="80">
        <v>145</v>
      </c>
      <c r="R57" s="80">
        <v>145</v>
      </c>
      <c r="S57" s="80">
        <v>145</v>
      </c>
      <c r="T57" s="80">
        <v>145</v>
      </c>
      <c r="U57" s="80">
        <v>1470</v>
      </c>
    </row>
    <row r="58" spans="1:21" ht="15" customHeight="1" x14ac:dyDescent="0.3">
      <c r="A58" s="82" t="s">
        <v>1006</v>
      </c>
      <c r="B58" s="81" t="s">
        <v>919</v>
      </c>
      <c r="C58" s="81" t="s">
        <v>1005</v>
      </c>
      <c r="D58" s="81" t="s">
        <v>229</v>
      </c>
      <c r="E58" s="81" t="s">
        <v>1004</v>
      </c>
      <c r="F58" s="81" t="s">
        <v>1003</v>
      </c>
      <c r="G58" s="81" t="s">
        <v>226</v>
      </c>
      <c r="H58" s="81" t="s">
        <v>225</v>
      </c>
      <c r="I58" s="80">
        <v>5105</v>
      </c>
      <c r="J58" s="80">
        <v>5105</v>
      </c>
      <c r="K58" s="80">
        <v>5105</v>
      </c>
      <c r="L58" s="80">
        <v>5105</v>
      </c>
      <c r="M58" s="80">
        <v>5105</v>
      </c>
      <c r="N58" s="80">
        <v>5105</v>
      </c>
      <c r="O58" s="80">
        <v>5105</v>
      </c>
      <c r="P58" s="80">
        <v>5105</v>
      </c>
      <c r="Q58" s="80">
        <v>5105</v>
      </c>
      <c r="R58" s="80">
        <v>5105</v>
      </c>
      <c r="S58" s="80">
        <v>5105</v>
      </c>
      <c r="T58" s="80">
        <v>5105</v>
      </c>
      <c r="U58" s="80">
        <v>61260</v>
      </c>
    </row>
    <row r="59" spans="1:21" ht="15" customHeight="1" x14ac:dyDescent="0.3">
      <c r="A59" s="82" t="s">
        <v>1002</v>
      </c>
      <c r="B59" s="81" t="s">
        <v>919</v>
      </c>
      <c r="C59" s="81" t="s">
        <v>986</v>
      </c>
      <c r="D59" s="81" t="s">
        <v>229</v>
      </c>
      <c r="E59" s="81" t="s">
        <v>1001</v>
      </c>
      <c r="F59" s="81" t="s">
        <v>1000</v>
      </c>
      <c r="G59" s="81" t="s">
        <v>226</v>
      </c>
      <c r="H59" s="81" t="s">
        <v>225</v>
      </c>
      <c r="I59" s="80">
        <v>366</v>
      </c>
      <c r="J59" s="80">
        <v>366</v>
      </c>
      <c r="K59" s="80">
        <v>366</v>
      </c>
      <c r="L59" s="80">
        <v>366</v>
      </c>
      <c r="M59" s="80">
        <v>366</v>
      </c>
      <c r="N59" s="80">
        <v>366</v>
      </c>
      <c r="O59" s="80">
        <v>366</v>
      </c>
      <c r="P59" s="80">
        <v>366</v>
      </c>
      <c r="Q59" s="80">
        <v>366</v>
      </c>
      <c r="R59" s="80">
        <v>366</v>
      </c>
      <c r="S59" s="80">
        <v>366</v>
      </c>
      <c r="T59" s="80">
        <v>366</v>
      </c>
      <c r="U59" s="80">
        <v>4392</v>
      </c>
    </row>
    <row r="60" spans="1:21" ht="15" customHeight="1" x14ac:dyDescent="0.3">
      <c r="A60" s="82" t="s">
        <v>999</v>
      </c>
      <c r="B60" s="81" t="s">
        <v>919</v>
      </c>
      <c r="C60" s="81" t="s">
        <v>986</v>
      </c>
      <c r="D60" s="81" t="s">
        <v>229</v>
      </c>
      <c r="E60" s="81" t="s">
        <v>998</v>
      </c>
      <c r="F60" s="81" t="s">
        <v>997</v>
      </c>
      <c r="G60" s="81" t="s">
        <v>226</v>
      </c>
      <c r="H60" s="81" t="s">
        <v>225</v>
      </c>
      <c r="I60" s="80">
        <v>1207.4970000000001</v>
      </c>
      <c r="J60" s="80">
        <v>421.76130000000001</v>
      </c>
      <c r="K60" s="80">
        <v>666.51959999999997</v>
      </c>
      <c r="L60" s="80">
        <v>1013.23035</v>
      </c>
      <c r="M60" s="80">
        <v>2643.4243820000002</v>
      </c>
      <c r="N60" s="80">
        <v>2200.4284499999999</v>
      </c>
      <c r="O60" s="80">
        <v>764.14814999999999</v>
      </c>
      <c r="P60" s="80">
        <v>1128.9213</v>
      </c>
      <c r="Q60" s="80">
        <v>992.55870000000004</v>
      </c>
      <c r="R60" s="80">
        <v>1128.9213</v>
      </c>
      <c r="S60" s="80">
        <v>1128.9213</v>
      </c>
      <c r="T60" s="80">
        <v>1128.9213</v>
      </c>
      <c r="U60" s="80">
        <v>14425.253132</v>
      </c>
    </row>
    <row r="61" spans="1:21" ht="15" customHeight="1" x14ac:dyDescent="0.3">
      <c r="A61" s="82" t="s">
        <v>996</v>
      </c>
      <c r="B61" s="81" t="s">
        <v>919</v>
      </c>
      <c r="C61" s="81" t="s">
        <v>986</v>
      </c>
      <c r="D61" s="81" t="s">
        <v>229</v>
      </c>
      <c r="E61" s="81" t="s">
        <v>995</v>
      </c>
      <c r="F61" s="81" t="s">
        <v>994</v>
      </c>
      <c r="G61" s="81" t="s">
        <v>226</v>
      </c>
      <c r="H61" s="81" t="s">
        <v>225</v>
      </c>
      <c r="I61" s="80">
        <v>61</v>
      </c>
      <c r="J61" s="80">
        <v>61</v>
      </c>
      <c r="K61" s="80">
        <v>61</v>
      </c>
      <c r="L61" s="80">
        <v>61</v>
      </c>
      <c r="M61" s="80">
        <v>61</v>
      </c>
      <c r="N61" s="80">
        <v>61</v>
      </c>
      <c r="O61" s="80">
        <v>61</v>
      </c>
      <c r="P61" s="80">
        <v>61</v>
      </c>
      <c r="Q61" s="80">
        <v>61</v>
      </c>
      <c r="R61" s="80">
        <v>122</v>
      </c>
      <c r="S61" s="80">
        <v>61</v>
      </c>
      <c r="T61" s="80">
        <v>61</v>
      </c>
      <c r="U61" s="80">
        <v>793</v>
      </c>
    </row>
    <row r="62" spans="1:21" ht="15" customHeight="1" x14ac:dyDescent="0.3">
      <c r="A62" s="82" t="s">
        <v>993</v>
      </c>
      <c r="B62" s="81" t="s">
        <v>919</v>
      </c>
      <c r="C62" s="81" t="s">
        <v>986</v>
      </c>
      <c r="D62" s="81" t="s">
        <v>229</v>
      </c>
      <c r="E62" s="81" t="s">
        <v>992</v>
      </c>
      <c r="F62" s="81" t="s">
        <v>991</v>
      </c>
      <c r="G62" s="81" t="s">
        <v>226</v>
      </c>
      <c r="H62" s="81" t="s">
        <v>225</v>
      </c>
      <c r="I62" s="80">
        <v>790.08</v>
      </c>
      <c r="J62" s="80">
        <v>0</v>
      </c>
      <c r="K62" s="80">
        <v>1580.16</v>
      </c>
      <c r="L62" s="80">
        <v>790.08</v>
      </c>
      <c r="M62" s="80">
        <v>790.08</v>
      </c>
      <c r="N62" s="80">
        <v>790.08</v>
      </c>
      <c r="O62" s="80">
        <v>790.08</v>
      </c>
      <c r="P62" s="80">
        <v>790.08</v>
      </c>
      <c r="Q62" s="80">
        <v>790.08</v>
      </c>
      <c r="R62" s="80">
        <v>790.08</v>
      </c>
      <c r="S62" s="80">
        <v>790.08</v>
      </c>
      <c r="T62" s="80">
        <v>790.08</v>
      </c>
      <c r="U62" s="80">
        <v>9480.9599999999991</v>
      </c>
    </row>
    <row r="63" spans="1:21" ht="15" customHeight="1" x14ac:dyDescent="0.3">
      <c r="A63" s="82" t="s">
        <v>990</v>
      </c>
      <c r="B63" s="81" t="s">
        <v>919</v>
      </c>
      <c r="C63" s="81" t="s">
        <v>986</v>
      </c>
      <c r="D63" s="81" t="s">
        <v>229</v>
      </c>
      <c r="E63" s="81" t="s">
        <v>989</v>
      </c>
      <c r="F63" s="81" t="s">
        <v>988</v>
      </c>
      <c r="G63" s="81" t="s">
        <v>226</v>
      </c>
      <c r="H63" s="81" t="s">
        <v>225</v>
      </c>
      <c r="I63" s="80">
        <v>662.7</v>
      </c>
      <c r="J63" s="80">
        <v>662.7</v>
      </c>
      <c r="K63" s="80">
        <v>662.7</v>
      </c>
      <c r="L63" s="80">
        <v>662.7</v>
      </c>
      <c r="M63" s="80">
        <v>662.7</v>
      </c>
      <c r="N63" s="80">
        <v>662.7</v>
      </c>
      <c r="O63" s="80">
        <v>662.7</v>
      </c>
      <c r="P63" s="80">
        <v>662.7</v>
      </c>
      <c r="Q63" s="80">
        <v>662.7</v>
      </c>
      <c r="R63" s="80">
        <v>662.7</v>
      </c>
      <c r="S63" s="80">
        <v>662.7</v>
      </c>
      <c r="T63" s="80">
        <v>662.7</v>
      </c>
      <c r="U63" s="80">
        <v>7952.4</v>
      </c>
    </row>
    <row r="64" spans="1:21" ht="15" customHeight="1" x14ac:dyDescent="0.3">
      <c r="A64" s="82" t="s">
        <v>987</v>
      </c>
      <c r="B64" s="81" t="s">
        <v>919</v>
      </c>
      <c r="C64" s="81" t="s">
        <v>986</v>
      </c>
      <c r="D64" s="81" t="s">
        <v>229</v>
      </c>
      <c r="E64" s="81" t="s">
        <v>985</v>
      </c>
      <c r="F64" s="81" t="s">
        <v>984</v>
      </c>
      <c r="G64" s="81" t="s">
        <v>226</v>
      </c>
      <c r="H64" s="81" t="s">
        <v>225</v>
      </c>
      <c r="I64" s="80">
        <v>636.87</v>
      </c>
      <c r="J64" s="80">
        <v>0</v>
      </c>
      <c r="K64" s="80">
        <v>318.435</v>
      </c>
      <c r="L64" s="80">
        <v>318.435</v>
      </c>
      <c r="M64" s="80">
        <v>426.59349200000003</v>
      </c>
      <c r="N64" s="80">
        <v>318.435</v>
      </c>
      <c r="O64" s="80">
        <v>318.435</v>
      </c>
      <c r="P64" s="80">
        <v>318.435</v>
      </c>
      <c r="Q64" s="80">
        <v>334.41</v>
      </c>
      <c r="R64" s="80">
        <v>121.41</v>
      </c>
      <c r="S64" s="80">
        <v>121.41</v>
      </c>
      <c r="T64" s="80">
        <v>121.41</v>
      </c>
      <c r="U64" s="80">
        <v>3354.2784919999999</v>
      </c>
    </row>
    <row r="65" spans="1:21" ht="15" customHeight="1" x14ac:dyDescent="0.3">
      <c r="A65" s="82" t="s">
        <v>983</v>
      </c>
      <c r="B65" s="81" t="s">
        <v>919</v>
      </c>
      <c r="C65" s="81" t="s">
        <v>982</v>
      </c>
      <c r="D65" s="81" t="s">
        <v>229</v>
      </c>
      <c r="E65" s="81" t="s">
        <v>981</v>
      </c>
      <c r="F65" s="81" t="s">
        <v>980</v>
      </c>
      <c r="G65" s="81" t="s">
        <v>226</v>
      </c>
      <c r="H65" s="81" t="s">
        <v>225</v>
      </c>
      <c r="I65" s="80">
        <v>419.65</v>
      </c>
      <c r="J65" s="80">
        <v>419.65</v>
      </c>
      <c r="K65" s="80">
        <v>419.65</v>
      </c>
      <c r="L65" s="80">
        <v>538.51</v>
      </c>
      <c r="M65" s="80">
        <v>538.51</v>
      </c>
      <c r="N65" s="80">
        <v>538.51</v>
      </c>
      <c r="O65" s="80">
        <v>557.91</v>
      </c>
      <c r="P65" s="80">
        <v>557.91</v>
      </c>
      <c r="Q65" s="80">
        <v>557.91</v>
      </c>
      <c r="R65" s="80">
        <v>741.53</v>
      </c>
      <c r="S65" s="80">
        <v>741.53</v>
      </c>
      <c r="T65" s="80">
        <v>741.53</v>
      </c>
      <c r="U65" s="80">
        <v>6772.8</v>
      </c>
    </row>
    <row r="66" spans="1:21" ht="15" customHeight="1" x14ac:dyDescent="0.3">
      <c r="A66" s="82" t="s">
        <v>979</v>
      </c>
      <c r="B66" s="81" t="s">
        <v>919</v>
      </c>
      <c r="C66" s="81" t="s">
        <v>978</v>
      </c>
      <c r="D66" s="81" t="s">
        <v>229</v>
      </c>
      <c r="E66" s="81" t="s">
        <v>977</v>
      </c>
      <c r="F66" s="81" t="s">
        <v>976</v>
      </c>
      <c r="G66" s="81" t="s">
        <v>226</v>
      </c>
      <c r="H66" s="81" t="s">
        <v>225</v>
      </c>
      <c r="I66" s="80">
        <v>5079.0429999999997</v>
      </c>
      <c r="J66" s="80">
        <v>5079.0429999999997</v>
      </c>
      <c r="K66" s="80">
        <v>5079.0429999999997</v>
      </c>
      <c r="L66" s="80">
        <v>5079.0429999999997</v>
      </c>
      <c r="M66" s="80">
        <v>5079.0429999999997</v>
      </c>
      <c r="N66" s="80">
        <v>5079.0429999999997</v>
      </c>
      <c r="O66" s="80">
        <v>5079.0429999999997</v>
      </c>
      <c r="P66" s="80">
        <v>5079.0429999999997</v>
      </c>
      <c r="Q66" s="80">
        <v>5079.0429999999997</v>
      </c>
      <c r="R66" s="80">
        <v>5079.0429999999997</v>
      </c>
      <c r="S66" s="80">
        <v>5079.0429999999997</v>
      </c>
      <c r="T66" s="80">
        <v>5079.0429999999997</v>
      </c>
      <c r="U66" s="80">
        <v>60948.516000000003</v>
      </c>
    </row>
    <row r="67" spans="1:21" ht="15" customHeight="1" x14ac:dyDescent="0.3">
      <c r="A67" s="82" t="s">
        <v>975</v>
      </c>
      <c r="B67" s="81" t="s">
        <v>919</v>
      </c>
      <c r="C67" s="81" t="s">
        <v>974</v>
      </c>
      <c r="D67" s="81" t="s">
        <v>229</v>
      </c>
      <c r="E67" s="81" t="s">
        <v>973</v>
      </c>
      <c r="F67" s="81" t="s">
        <v>972</v>
      </c>
      <c r="G67" s="81" t="s">
        <v>226</v>
      </c>
      <c r="H67" s="81" t="s">
        <v>225</v>
      </c>
      <c r="I67" s="80">
        <v>1037</v>
      </c>
      <c r="J67" s="80">
        <v>1037</v>
      </c>
      <c r="K67" s="80">
        <v>1037</v>
      </c>
      <c r="L67" s="80">
        <v>1037</v>
      </c>
      <c r="M67" s="80">
        <v>1037</v>
      </c>
      <c r="N67" s="80">
        <v>1037</v>
      </c>
      <c r="O67" s="80">
        <v>1037</v>
      </c>
      <c r="P67" s="80">
        <v>1037</v>
      </c>
      <c r="Q67" s="80">
        <v>1037</v>
      </c>
      <c r="R67" s="80">
        <v>1037</v>
      </c>
      <c r="S67" s="80">
        <v>1037</v>
      </c>
      <c r="T67" s="80">
        <v>1037</v>
      </c>
      <c r="U67" s="80">
        <v>12444</v>
      </c>
    </row>
    <row r="68" spans="1:21" ht="15" customHeight="1" x14ac:dyDescent="0.3">
      <c r="A68" s="82" t="s">
        <v>971</v>
      </c>
      <c r="B68" s="81" t="s">
        <v>919</v>
      </c>
      <c r="C68" s="81" t="s">
        <v>970</v>
      </c>
      <c r="D68" s="81" t="s">
        <v>229</v>
      </c>
      <c r="E68" s="81" t="s">
        <v>969</v>
      </c>
      <c r="F68" s="81" t="s">
        <v>968</v>
      </c>
      <c r="G68" s="81" t="s">
        <v>226</v>
      </c>
      <c r="H68" s="81" t="s">
        <v>225</v>
      </c>
      <c r="I68" s="80">
        <v>1844.4</v>
      </c>
      <c r="J68" s="80">
        <v>950.17340000000002</v>
      </c>
      <c r="K68" s="80">
        <v>1659.0483999999999</v>
      </c>
      <c r="L68" s="80">
        <v>2367.3085999999998</v>
      </c>
      <c r="M68" s="80">
        <v>4609.4417999999996</v>
      </c>
      <c r="N68" s="80">
        <v>1836.1425999999999</v>
      </c>
      <c r="O68" s="80">
        <v>3439.9544000000001</v>
      </c>
      <c r="P68" s="80">
        <v>3801.4780000000001</v>
      </c>
      <c r="Q68" s="80">
        <v>-403.41480000000001</v>
      </c>
      <c r="R68" s="80">
        <v>1658.529</v>
      </c>
      <c r="S68" s="80">
        <v>1658.529</v>
      </c>
      <c r="T68" s="80">
        <v>1658.529</v>
      </c>
      <c r="U68" s="80">
        <v>25080.1194</v>
      </c>
    </row>
    <row r="69" spans="1:21" ht="15" customHeight="1" x14ac:dyDescent="0.3">
      <c r="A69" s="82" t="s">
        <v>967</v>
      </c>
      <c r="B69" s="81" t="s">
        <v>919</v>
      </c>
      <c r="C69" s="81" t="s">
        <v>966</v>
      </c>
      <c r="D69" s="81" t="s">
        <v>229</v>
      </c>
      <c r="E69" s="81" t="s">
        <v>965</v>
      </c>
      <c r="F69" s="81" t="s">
        <v>964</v>
      </c>
      <c r="G69" s="81" t="s">
        <v>226</v>
      </c>
      <c r="H69" s="81" t="s">
        <v>225</v>
      </c>
      <c r="I69" s="80">
        <v>94</v>
      </c>
      <c r="J69" s="80">
        <v>94</v>
      </c>
      <c r="K69" s="80">
        <v>94</v>
      </c>
      <c r="L69" s="80">
        <v>94</v>
      </c>
      <c r="M69" s="80">
        <v>94</v>
      </c>
      <c r="N69" s="80">
        <v>94</v>
      </c>
      <c r="O69" s="80">
        <v>94</v>
      </c>
      <c r="P69" s="80">
        <v>94</v>
      </c>
      <c r="Q69" s="80">
        <v>94</v>
      </c>
      <c r="R69" s="80">
        <v>94</v>
      </c>
      <c r="S69" s="80">
        <v>94</v>
      </c>
      <c r="T69" s="80">
        <v>94</v>
      </c>
      <c r="U69" s="80">
        <v>1128</v>
      </c>
    </row>
    <row r="70" spans="1:21" ht="15" customHeight="1" x14ac:dyDescent="0.3">
      <c r="A70" s="82" t="s">
        <v>963</v>
      </c>
      <c r="B70" s="81" t="s">
        <v>919</v>
      </c>
      <c r="C70" s="81" t="s">
        <v>962</v>
      </c>
      <c r="D70" s="81" t="s">
        <v>229</v>
      </c>
      <c r="E70" s="81" t="s">
        <v>961</v>
      </c>
      <c r="F70" s="81" t="s">
        <v>960</v>
      </c>
      <c r="G70" s="81" t="s">
        <v>226</v>
      </c>
      <c r="H70" s="81" t="s">
        <v>225</v>
      </c>
      <c r="I70" s="80">
        <v>1599.42</v>
      </c>
      <c r="J70" s="80">
        <v>1599.42</v>
      </c>
      <c r="K70" s="80">
        <v>1599.42</v>
      </c>
      <c r="L70" s="80">
        <v>1599.42</v>
      </c>
      <c r="M70" s="80">
        <v>1599.42</v>
      </c>
      <c r="N70" s="80">
        <v>1599.42</v>
      </c>
      <c r="O70" s="80">
        <v>1599.42</v>
      </c>
      <c r="P70" s="80">
        <v>1599.42</v>
      </c>
      <c r="Q70" s="80">
        <v>1599.42</v>
      </c>
      <c r="R70" s="80">
        <v>1599.42</v>
      </c>
      <c r="S70" s="80">
        <v>1599.42</v>
      </c>
      <c r="T70" s="80">
        <v>1599.42</v>
      </c>
      <c r="U70" s="80">
        <v>19193.04</v>
      </c>
    </row>
    <row r="71" spans="1:21" ht="15" customHeight="1" x14ac:dyDescent="0.3">
      <c r="A71" s="82" t="s">
        <v>959</v>
      </c>
      <c r="B71" s="81" t="s">
        <v>919</v>
      </c>
      <c r="C71" s="81" t="s">
        <v>946</v>
      </c>
      <c r="D71" s="81" t="s">
        <v>229</v>
      </c>
      <c r="E71" s="81" t="s">
        <v>958</v>
      </c>
      <c r="F71" s="81" t="s">
        <v>957</v>
      </c>
      <c r="G71" s="81" t="s">
        <v>226</v>
      </c>
      <c r="H71" s="81" t="s">
        <v>225</v>
      </c>
      <c r="I71" s="80">
        <v>100</v>
      </c>
      <c r="J71" s="80">
        <v>100</v>
      </c>
      <c r="K71" s="80">
        <v>100</v>
      </c>
      <c r="L71" s="80">
        <v>100</v>
      </c>
      <c r="M71" s="80">
        <v>100</v>
      </c>
      <c r="N71" s="80">
        <v>100</v>
      </c>
      <c r="O71" s="80">
        <v>100</v>
      </c>
      <c r="P71" s="80">
        <v>100</v>
      </c>
      <c r="Q71" s="80">
        <v>100</v>
      </c>
      <c r="R71" s="80">
        <v>100</v>
      </c>
      <c r="S71" s="80">
        <v>100</v>
      </c>
      <c r="T71" s="80">
        <v>100</v>
      </c>
      <c r="U71" s="80">
        <v>1200</v>
      </c>
    </row>
    <row r="72" spans="1:21" ht="15" customHeight="1" x14ac:dyDescent="0.3">
      <c r="A72" s="82" t="s">
        <v>956</v>
      </c>
      <c r="B72" s="81" t="s">
        <v>919</v>
      </c>
      <c r="C72" s="81" t="s">
        <v>946</v>
      </c>
      <c r="D72" s="81" t="s">
        <v>229</v>
      </c>
      <c r="E72" s="81" t="s">
        <v>955</v>
      </c>
      <c r="F72" s="81" t="s">
        <v>954</v>
      </c>
      <c r="G72" s="81" t="s">
        <v>226</v>
      </c>
      <c r="H72" s="81" t="s">
        <v>225</v>
      </c>
      <c r="I72" s="80">
        <v>200</v>
      </c>
      <c r="J72" s="80">
        <v>200</v>
      </c>
      <c r="K72" s="80">
        <v>200</v>
      </c>
      <c r="L72" s="80">
        <v>200</v>
      </c>
      <c r="M72" s="80">
        <v>200</v>
      </c>
      <c r="N72" s="80">
        <v>200</v>
      </c>
      <c r="O72" s="80">
        <v>200</v>
      </c>
      <c r="P72" s="80">
        <v>200</v>
      </c>
      <c r="Q72" s="80">
        <v>200</v>
      </c>
      <c r="R72" s="80">
        <v>200</v>
      </c>
      <c r="S72" s="80">
        <v>200</v>
      </c>
      <c r="T72" s="80">
        <v>200</v>
      </c>
      <c r="U72" s="80">
        <v>2400</v>
      </c>
    </row>
    <row r="73" spans="1:21" ht="15" customHeight="1" x14ac:dyDescent="0.3">
      <c r="A73" s="82" t="s">
        <v>953</v>
      </c>
      <c r="B73" s="81" t="s">
        <v>919</v>
      </c>
      <c r="C73" s="81" t="s">
        <v>946</v>
      </c>
      <c r="D73" s="81" t="s">
        <v>229</v>
      </c>
      <c r="E73" s="81" t="s">
        <v>952</v>
      </c>
      <c r="F73" s="81" t="s">
        <v>951</v>
      </c>
      <c r="G73" s="81" t="s">
        <v>226</v>
      </c>
      <c r="H73" s="81" t="s">
        <v>225</v>
      </c>
      <c r="I73" s="80">
        <v>200</v>
      </c>
      <c r="J73" s="80">
        <v>200</v>
      </c>
      <c r="K73" s="80">
        <v>200</v>
      </c>
      <c r="L73" s="80">
        <v>200</v>
      </c>
      <c r="M73" s="80">
        <v>200</v>
      </c>
      <c r="N73" s="80">
        <v>200</v>
      </c>
      <c r="O73" s="80">
        <v>200</v>
      </c>
      <c r="P73" s="80">
        <v>200</v>
      </c>
      <c r="Q73" s="80">
        <v>200</v>
      </c>
      <c r="R73" s="80">
        <v>200</v>
      </c>
      <c r="S73" s="80">
        <v>200</v>
      </c>
      <c r="T73" s="80">
        <v>200</v>
      </c>
      <c r="U73" s="80">
        <v>2400</v>
      </c>
    </row>
    <row r="74" spans="1:21" ht="15" customHeight="1" x14ac:dyDescent="0.3">
      <c r="A74" s="82" t="s">
        <v>950</v>
      </c>
      <c r="B74" s="81" t="s">
        <v>919</v>
      </c>
      <c r="C74" s="81" t="s">
        <v>946</v>
      </c>
      <c r="D74" s="81" t="s">
        <v>229</v>
      </c>
      <c r="E74" s="81" t="s">
        <v>949</v>
      </c>
      <c r="F74" s="81" t="s">
        <v>948</v>
      </c>
      <c r="G74" s="81" t="s">
        <v>226</v>
      </c>
      <c r="H74" s="81" t="s">
        <v>225</v>
      </c>
      <c r="I74" s="80">
        <v>200</v>
      </c>
      <c r="J74" s="80">
        <v>200</v>
      </c>
      <c r="K74" s="80">
        <v>200</v>
      </c>
      <c r="L74" s="80">
        <v>200</v>
      </c>
      <c r="M74" s="80">
        <v>200</v>
      </c>
      <c r="N74" s="80">
        <v>200</v>
      </c>
      <c r="O74" s="80">
        <v>200</v>
      </c>
      <c r="P74" s="80">
        <v>200</v>
      </c>
      <c r="Q74" s="80">
        <v>200</v>
      </c>
      <c r="R74" s="80">
        <v>200</v>
      </c>
      <c r="S74" s="80">
        <v>200</v>
      </c>
      <c r="T74" s="80">
        <v>200</v>
      </c>
      <c r="U74" s="80">
        <v>2400</v>
      </c>
    </row>
    <row r="75" spans="1:21" ht="15" customHeight="1" x14ac:dyDescent="0.3">
      <c r="A75" s="82" t="s">
        <v>947</v>
      </c>
      <c r="B75" s="81" t="s">
        <v>919</v>
      </c>
      <c r="C75" s="81" t="s">
        <v>946</v>
      </c>
      <c r="D75" s="81" t="s">
        <v>229</v>
      </c>
      <c r="E75" s="81" t="s">
        <v>945</v>
      </c>
      <c r="F75" s="81" t="s">
        <v>944</v>
      </c>
      <c r="G75" s="81" t="s">
        <v>226</v>
      </c>
      <c r="H75" s="81" t="s">
        <v>225</v>
      </c>
      <c r="I75" s="80">
        <v>90</v>
      </c>
      <c r="J75" s="80">
        <v>90</v>
      </c>
      <c r="K75" s="80">
        <v>90</v>
      </c>
      <c r="L75" s="80">
        <v>90</v>
      </c>
      <c r="M75" s="80">
        <v>90</v>
      </c>
      <c r="N75" s="80">
        <v>90</v>
      </c>
      <c r="O75" s="80">
        <v>90</v>
      </c>
      <c r="P75" s="80">
        <v>90</v>
      </c>
      <c r="Q75" s="80">
        <v>90</v>
      </c>
      <c r="R75" s="80">
        <v>90</v>
      </c>
      <c r="S75" s="80">
        <v>90</v>
      </c>
      <c r="T75" s="80">
        <v>90</v>
      </c>
      <c r="U75" s="80">
        <v>1080</v>
      </c>
    </row>
    <row r="76" spans="1:21" ht="15" customHeight="1" x14ac:dyDescent="0.3">
      <c r="A76" s="82" t="s">
        <v>943</v>
      </c>
      <c r="B76" s="81" t="s">
        <v>919</v>
      </c>
      <c r="C76" s="81" t="s">
        <v>927</v>
      </c>
      <c r="D76" s="81" t="s">
        <v>229</v>
      </c>
      <c r="E76" s="81" t="s">
        <v>942</v>
      </c>
      <c r="F76" s="81" t="s">
        <v>941</v>
      </c>
      <c r="G76" s="81" t="s">
        <v>226</v>
      </c>
      <c r="H76" s="81" t="s">
        <v>225</v>
      </c>
      <c r="I76" s="80">
        <v>125</v>
      </c>
      <c r="J76" s="80">
        <v>125</v>
      </c>
      <c r="K76" s="80">
        <v>125</v>
      </c>
      <c r="L76" s="80">
        <v>125</v>
      </c>
      <c r="M76" s="80">
        <v>125</v>
      </c>
      <c r="N76" s="80">
        <v>125</v>
      </c>
      <c r="O76" s="80">
        <v>125</v>
      </c>
      <c r="P76" s="80">
        <v>125</v>
      </c>
      <c r="Q76" s="80">
        <v>125</v>
      </c>
      <c r="R76" s="80">
        <v>125</v>
      </c>
      <c r="S76" s="80">
        <v>125</v>
      </c>
      <c r="T76" s="80">
        <v>125</v>
      </c>
      <c r="U76" s="80">
        <v>1500</v>
      </c>
    </row>
    <row r="77" spans="1:21" ht="15" customHeight="1" x14ac:dyDescent="0.3">
      <c r="A77" s="82" t="s">
        <v>940</v>
      </c>
      <c r="B77" s="81" t="s">
        <v>919</v>
      </c>
      <c r="C77" s="81" t="s">
        <v>927</v>
      </c>
      <c r="D77" s="81" t="s">
        <v>229</v>
      </c>
      <c r="E77" s="81" t="s">
        <v>939</v>
      </c>
      <c r="F77" s="81" t="s">
        <v>938</v>
      </c>
      <c r="G77" s="81" t="s">
        <v>226</v>
      </c>
      <c r="H77" s="81" t="s">
        <v>225</v>
      </c>
      <c r="I77" s="80">
        <v>180</v>
      </c>
      <c r="J77" s="80">
        <v>180</v>
      </c>
      <c r="K77" s="80">
        <v>180</v>
      </c>
      <c r="L77" s="80">
        <v>180</v>
      </c>
      <c r="M77" s="80">
        <v>180</v>
      </c>
      <c r="N77" s="80">
        <v>180</v>
      </c>
      <c r="O77" s="80">
        <v>180</v>
      </c>
      <c r="P77" s="80">
        <v>180</v>
      </c>
      <c r="Q77" s="80">
        <v>180</v>
      </c>
      <c r="R77" s="80">
        <v>180</v>
      </c>
      <c r="S77" s="80">
        <v>180</v>
      </c>
      <c r="T77" s="80">
        <v>180</v>
      </c>
      <c r="U77" s="80">
        <v>2160</v>
      </c>
    </row>
    <row r="78" spans="1:21" ht="15" customHeight="1" x14ac:dyDescent="0.3">
      <c r="A78" s="82" t="s">
        <v>937</v>
      </c>
      <c r="B78" s="81" t="s">
        <v>919</v>
      </c>
      <c r="C78" s="81" t="s">
        <v>927</v>
      </c>
      <c r="D78" s="81" t="s">
        <v>229</v>
      </c>
      <c r="E78" s="81" t="s">
        <v>936</v>
      </c>
      <c r="F78" s="81" t="s">
        <v>935</v>
      </c>
      <c r="G78" s="81" t="s">
        <v>226</v>
      </c>
      <c r="H78" s="81" t="s">
        <v>225</v>
      </c>
      <c r="I78" s="80">
        <v>183</v>
      </c>
      <c r="J78" s="80">
        <v>183</v>
      </c>
      <c r="K78" s="80">
        <v>183</v>
      </c>
      <c r="L78" s="80">
        <v>183</v>
      </c>
      <c r="M78" s="80">
        <v>183</v>
      </c>
      <c r="N78" s="80">
        <v>183</v>
      </c>
      <c r="O78" s="80">
        <v>183</v>
      </c>
      <c r="P78" s="80">
        <v>183</v>
      </c>
      <c r="Q78" s="80">
        <v>183</v>
      </c>
      <c r="R78" s="80">
        <v>183</v>
      </c>
      <c r="S78" s="80">
        <v>183</v>
      </c>
      <c r="T78" s="80">
        <v>183</v>
      </c>
      <c r="U78" s="80">
        <v>2196</v>
      </c>
    </row>
    <row r="79" spans="1:21" ht="15" customHeight="1" x14ac:dyDescent="0.3">
      <c r="A79" s="82" t="s">
        <v>934</v>
      </c>
      <c r="B79" s="81" t="s">
        <v>919</v>
      </c>
      <c r="C79" s="81" t="s">
        <v>927</v>
      </c>
      <c r="D79" s="81" t="s">
        <v>229</v>
      </c>
      <c r="E79" s="81" t="s">
        <v>933</v>
      </c>
      <c r="F79" s="81" t="s">
        <v>932</v>
      </c>
      <c r="G79" s="81" t="s">
        <v>226</v>
      </c>
      <c r="H79" s="81" t="s">
        <v>225</v>
      </c>
      <c r="I79" s="80">
        <v>200</v>
      </c>
      <c r="J79" s="80">
        <v>200</v>
      </c>
      <c r="K79" s="80">
        <v>200</v>
      </c>
      <c r="L79" s="80">
        <v>200</v>
      </c>
      <c r="M79" s="80">
        <v>200</v>
      </c>
      <c r="N79" s="80">
        <v>200</v>
      </c>
      <c r="O79" s="80">
        <v>200</v>
      </c>
      <c r="P79" s="80">
        <v>200</v>
      </c>
      <c r="Q79" s="80">
        <v>200</v>
      </c>
      <c r="R79" s="80">
        <v>200</v>
      </c>
      <c r="S79" s="80">
        <v>200</v>
      </c>
      <c r="T79" s="80">
        <v>200</v>
      </c>
      <c r="U79" s="80">
        <v>2400</v>
      </c>
    </row>
    <row r="80" spans="1:21" ht="15" customHeight="1" x14ac:dyDescent="0.3">
      <c r="A80" s="82" t="s">
        <v>931</v>
      </c>
      <c r="B80" s="81" t="s">
        <v>919</v>
      </c>
      <c r="C80" s="81" t="s">
        <v>927</v>
      </c>
      <c r="D80" s="81" t="s">
        <v>229</v>
      </c>
      <c r="E80" s="81" t="s">
        <v>930</v>
      </c>
      <c r="F80" s="81" t="s">
        <v>929</v>
      </c>
      <c r="G80" s="81" t="s">
        <v>226</v>
      </c>
      <c r="H80" s="81" t="s">
        <v>225</v>
      </c>
      <c r="I80" s="80">
        <v>183</v>
      </c>
      <c r="J80" s="80">
        <v>183</v>
      </c>
      <c r="K80" s="80">
        <v>183</v>
      </c>
      <c r="L80" s="80">
        <v>183</v>
      </c>
      <c r="M80" s="80">
        <v>183</v>
      </c>
      <c r="N80" s="80">
        <v>183</v>
      </c>
      <c r="O80" s="80">
        <v>183</v>
      </c>
      <c r="P80" s="80">
        <v>183</v>
      </c>
      <c r="Q80" s="80">
        <v>183</v>
      </c>
      <c r="R80" s="80">
        <v>183</v>
      </c>
      <c r="S80" s="80">
        <v>183</v>
      </c>
      <c r="T80" s="80">
        <v>183</v>
      </c>
      <c r="U80" s="80">
        <v>2196</v>
      </c>
    </row>
    <row r="81" spans="1:21" ht="15" customHeight="1" x14ac:dyDescent="0.3">
      <c r="A81" s="82" t="s">
        <v>928</v>
      </c>
      <c r="B81" s="81" t="s">
        <v>919</v>
      </c>
      <c r="C81" s="81" t="s">
        <v>927</v>
      </c>
      <c r="D81" s="81" t="s">
        <v>229</v>
      </c>
      <c r="E81" s="81" t="s">
        <v>926</v>
      </c>
      <c r="F81" s="81" t="s">
        <v>925</v>
      </c>
      <c r="G81" s="81" t="s">
        <v>226</v>
      </c>
      <c r="H81" s="81" t="s">
        <v>225</v>
      </c>
      <c r="I81" s="80">
        <v>22.5</v>
      </c>
      <c r="J81" s="80">
        <v>22.5</v>
      </c>
      <c r="K81" s="80">
        <v>22.5</v>
      </c>
      <c r="L81" s="80">
        <v>22.5</v>
      </c>
      <c r="M81" s="80">
        <v>22.5</v>
      </c>
      <c r="N81" s="80">
        <v>22.5</v>
      </c>
      <c r="O81" s="80">
        <v>22.5</v>
      </c>
      <c r="P81" s="80">
        <v>22.5</v>
      </c>
      <c r="Q81" s="80">
        <v>22.5</v>
      </c>
      <c r="R81" s="80">
        <v>22.5</v>
      </c>
      <c r="S81" s="80">
        <v>22.5</v>
      </c>
      <c r="T81" s="80">
        <v>22.5</v>
      </c>
      <c r="U81" s="80">
        <v>270</v>
      </c>
    </row>
    <row r="82" spans="1:21" ht="15" customHeight="1" x14ac:dyDescent="0.3">
      <c r="A82" s="82" t="s">
        <v>924</v>
      </c>
      <c r="B82" s="81" t="s">
        <v>919</v>
      </c>
      <c r="C82" s="81" t="s">
        <v>923</v>
      </c>
      <c r="D82" s="81" t="s">
        <v>229</v>
      </c>
      <c r="E82" s="81" t="s">
        <v>922</v>
      </c>
      <c r="F82" s="81" t="s">
        <v>921</v>
      </c>
      <c r="G82" s="81" t="s">
        <v>226</v>
      </c>
      <c r="H82" s="81" t="s">
        <v>225</v>
      </c>
      <c r="I82" s="80">
        <v>800</v>
      </c>
      <c r="J82" s="80">
        <v>800</v>
      </c>
      <c r="K82" s="80">
        <v>800</v>
      </c>
      <c r="L82" s="80">
        <v>800</v>
      </c>
      <c r="M82" s="80">
        <v>800</v>
      </c>
      <c r="N82" s="80">
        <v>800</v>
      </c>
      <c r="O82" s="80">
        <v>800</v>
      </c>
      <c r="P82" s="80">
        <v>800</v>
      </c>
      <c r="Q82" s="80">
        <v>800</v>
      </c>
      <c r="R82" s="80">
        <v>800</v>
      </c>
      <c r="S82" s="80">
        <v>800</v>
      </c>
      <c r="T82" s="80">
        <v>800</v>
      </c>
      <c r="U82" s="80">
        <v>9600</v>
      </c>
    </row>
    <row r="83" spans="1:21" ht="15" customHeight="1" x14ac:dyDescent="0.3">
      <c r="A83" s="82" t="s">
        <v>920</v>
      </c>
      <c r="B83" s="81" t="s">
        <v>919</v>
      </c>
      <c r="C83" s="81" t="s">
        <v>918</v>
      </c>
      <c r="D83" s="81" t="s">
        <v>229</v>
      </c>
      <c r="E83" s="81" t="s">
        <v>917</v>
      </c>
      <c r="F83" s="81" t="s">
        <v>916</v>
      </c>
      <c r="G83" s="81" t="s">
        <v>226</v>
      </c>
      <c r="H83" s="81" t="s">
        <v>225</v>
      </c>
      <c r="I83" s="80">
        <v>45</v>
      </c>
      <c r="J83" s="80">
        <v>45</v>
      </c>
      <c r="K83" s="80">
        <v>45</v>
      </c>
      <c r="L83" s="80">
        <v>45</v>
      </c>
      <c r="M83" s="80">
        <v>45</v>
      </c>
      <c r="N83" s="80">
        <v>45</v>
      </c>
      <c r="O83" s="80">
        <v>45</v>
      </c>
      <c r="P83" s="80">
        <v>45</v>
      </c>
      <c r="Q83" s="80">
        <v>45</v>
      </c>
      <c r="R83" s="80">
        <v>45</v>
      </c>
      <c r="S83" s="80">
        <v>45</v>
      </c>
      <c r="T83" s="80">
        <v>45</v>
      </c>
      <c r="U83" s="80">
        <v>540</v>
      </c>
    </row>
    <row r="84" spans="1:21" ht="15" customHeight="1" x14ac:dyDescent="0.3">
      <c r="A84" s="82" t="s">
        <v>915</v>
      </c>
      <c r="B84" s="81" t="s">
        <v>905</v>
      </c>
      <c r="C84" s="81" t="s">
        <v>904</v>
      </c>
      <c r="D84" s="81" t="s">
        <v>229</v>
      </c>
      <c r="E84" s="81" t="s">
        <v>914</v>
      </c>
      <c r="F84" s="81" t="s">
        <v>913</v>
      </c>
      <c r="G84" s="81" t="s">
        <v>226</v>
      </c>
      <c r="H84" s="81" t="s">
        <v>225</v>
      </c>
      <c r="I84" s="80">
        <v>43650</v>
      </c>
      <c r="J84" s="80">
        <v>43650</v>
      </c>
      <c r="K84" s="80">
        <v>43650</v>
      </c>
      <c r="L84" s="80">
        <v>43650</v>
      </c>
      <c r="M84" s="80">
        <v>43650</v>
      </c>
      <c r="N84" s="80">
        <v>43650</v>
      </c>
      <c r="O84" s="80">
        <v>43650</v>
      </c>
      <c r="P84" s="80">
        <v>43650</v>
      </c>
      <c r="Q84" s="80">
        <v>43650</v>
      </c>
      <c r="R84" s="80">
        <v>43650</v>
      </c>
      <c r="S84" s="80">
        <v>43650</v>
      </c>
      <c r="T84" s="80">
        <v>43650</v>
      </c>
      <c r="U84" s="80">
        <v>523800</v>
      </c>
    </row>
    <row r="85" spans="1:21" ht="15" customHeight="1" x14ac:dyDescent="0.3">
      <c r="A85" s="82" t="s">
        <v>912</v>
      </c>
      <c r="B85" s="81" t="s">
        <v>905</v>
      </c>
      <c r="C85" s="81" t="s">
        <v>904</v>
      </c>
      <c r="D85" s="81" t="s">
        <v>229</v>
      </c>
      <c r="E85" s="81" t="s">
        <v>911</v>
      </c>
      <c r="F85" s="81" t="s">
        <v>910</v>
      </c>
      <c r="G85" s="81" t="s">
        <v>226</v>
      </c>
      <c r="H85" s="81" t="s">
        <v>225</v>
      </c>
      <c r="I85" s="80">
        <v>4860</v>
      </c>
      <c r="J85" s="80">
        <v>4860</v>
      </c>
      <c r="K85" s="80">
        <v>4860</v>
      </c>
      <c r="L85" s="80">
        <v>4860</v>
      </c>
      <c r="M85" s="80">
        <v>4860</v>
      </c>
      <c r="N85" s="80">
        <v>4860</v>
      </c>
      <c r="O85" s="80">
        <v>4860</v>
      </c>
      <c r="P85" s="80">
        <v>4860</v>
      </c>
      <c r="Q85" s="80">
        <v>4860</v>
      </c>
      <c r="R85" s="80">
        <v>4860</v>
      </c>
      <c r="S85" s="80">
        <v>4860</v>
      </c>
      <c r="T85" s="80">
        <v>4860</v>
      </c>
      <c r="U85" s="80">
        <v>58320</v>
      </c>
    </row>
    <row r="86" spans="1:21" ht="15" customHeight="1" x14ac:dyDescent="0.3">
      <c r="A86" s="82" t="s">
        <v>909</v>
      </c>
      <c r="B86" s="81" t="s">
        <v>905</v>
      </c>
      <c r="C86" s="81" t="s">
        <v>904</v>
      </c>
      <c r="D86" s="81" t="s">
        <v>229</v>
      </c>
      <c r="E86" s="81" t="s">
        <v>908</v>
      </c>
      <c r="F86" s="81" t="s">
        <v>907</v>
      </c>
      <c r="G86" s="81" t="s">
        <v>226</v>
      </c>
      <c r="H86" s="81" t="s">
        <v>225</v>
      </c>
      <c r="I86" s="80">
        <v>3510</v>
      </c>
      <c r="J86" s="80">
        <v>3510</v>
      </c>
      <c r="K86" s="80">
        <v>3510</v>
      </c>
      <c r="L86" s="80">
        <v>3510</v>
      </c>
      <c r="M86" s="80">
        <v>3510</v>
      </c>
      <c r="N86" s="80">
        <v>3510</v>
      </c>
      <c r="O86" s="80">
        <v>3510</v>
      </c>
      <c r="P86" s="80">
        <v>3510</v>
      </c>
      <c r="Q86" s="80">
        <v>3510</v>
      </c>
      <c r="R86" s="80">
        <v>3510</v>
      </c>
      <c r="S86" s="80">
        <v>3510</v>
      </c>
      <c r="T86" s="80">
        <v>3510</v>
      </c>
      <c r="U86" s="80">
        <v>42120</v>
      </c>
    </row>
    <row r="87" spans="1:21" ht="15" customHeight="1" x14ac:dyDescent="0.3">
      <c r="A87" s="82" t="s">
        <v>906</v>
      </c>
      <c r="B87" s="81" t="s">
        <v>905</v>
      </c>
      <c r="C87" s="81" t="s">
        <v>904</v>
      </c>
      <c r="D87" s="81" t="s">
        <v>229</v>
      </c>
      <c r="E87" s="81" t="s">
        <v>903</v>
      </c>
      <c r="F87" s="81" t="s">
        <v>902</v>
      </c>
      <c r="G87" s="81" t="s">
        <v>226</v>
      </c>
      <c r="H87" s="81" t="s">
        <v>225</v>
      </c>
      <c r="I87" s="80">
        <v>3510</v>
      </c>
      <c r="J87" s="80">
        <v>3510</v>
      </c>
      <c r="K87" s="80">
        <v>3510</v>
      </c>
      <c r="L87" s="80">
        <v>3510</v>
      </c>
      <c r="M87" s="80">
        <v>3510</v>
      </c>
      <c r="N87" s="80">
        <v>3510</v>
      </c>
      <c r="O87" s="80">
        <v>3510</v>
      </c>
      <c r="P87" s="80">
        <v>3510</v>
      </c>
      <c r="Q87" s="80">
        <v>3510</v>
      </c>
      <c r="R87" s="80">
        <v>3510</v>
      </c>
      <c r="S87" s="80">
        <v>3510</v>
      </c>
      <c r="T87" s="80">
        <v>3510</v>
      </c>
      <c r="U87" s="80">
        <v>42120</v>
      </c>
    </row>
    <row r="88" spans="1:21" ht="15" customHeight="1" x14ac:dyDescent="0.3">
      <c r="A88" s="82" t="s">
        <v>901</v>
      </c>
      <c r="B88" s="81" t="s">
        <v>900</v>
      </c>
      <c r="C88" s="81" t="s">
        <v>899</v>
      </c>
      <c r="D88" s="81" t="s">
        <v>229</v>
      </c>
      <c r="E88" s="81" t="s">
        <v>898</v>
      </c>
      <c r="F88" s="81" t="s">
        <v>897</v>
      </c>
      <c r="G88" s="81" t="s">
        <v>226</v>
      </c>
      <c r="H88" s="81" t="s">
        <v>225</v>
      </c>
      <c r="I88" s="80">
        <v>81.239999999999995</v>
      </c>
      <c r="J88" s="80">
        <v>81.239999999999995</v>
      </c>
      <c r="K88" s="80">
        <v>81.239999999999995</v>
      </c>
      <c r="L88" s="80">
        <v>104.25</v>
      </c>
      <c r="M88" s="80">
        <v>104.25</v>
      </c>
      <c r="N88" s="80">
        <v>104.25</v>
      </c>
      <c r="O88" s="80">
        <v>108.01</v>
      </c>
      <c r="P88" s="80">
        <v>108.01</v>
      </c>
      <c r="Q88" s="80">
        <v>108.01</v>
      </c>
      <c r="R88" s="80">
        <v>143.56</v>
      </c>
      <c r="S88" s="80">
        <v>143.56</v>
      </c>
      <c r="T88" s="80">
        <v>143.56</v>
      </c>
      <c r="U88" s="80">
        <v>1311.18</v>
      </c>
    </row>
    <row r="89" spans="1:21" ht="15" customHeight="1" x14ac:dyDescent="0.3">
      <c r="A89" s="82" t="s">
        <v>896</v>
      </c>
      <c r="B89" s="81" t="s">
        <v>895</v>
      </c>
      <c r="C89" s="81" t="s">
        <v>894</v>
      </c>
      <c r="D89" s="81" t="s">
        <v>229</v>
      </c>
      <c r="E89" s="81" t="s">
        <v>893</v>
      </c>
      <c r="F89" s="81" t="s">
        <v>892</v>
      </c>
      <c r="G89" s="81" t="s">
        <v>226</v>
      </c>
      <c r="H89" s="81" t="s">
        <v>225</v>
      </c>
      <c r="I89" s="80">
        <v>225</v>
      </c>
      <c r="J89" s="80">
        <v>225</v>
      </c>
      <c r="K89" s="80">
        <v>225</v>
      </c>
      <c r="L89" s="80">
        <v>225</v>
      </c>
      <c r="M89" s="80">
        <v>225</v>
      </c>
      <c r="N89" s="80">
        <v>225</v>
      </c>
      <c r="O89" s="80">
        <v>225</v>
      </c>
      <c r="P89" s="80">
        <v>225</v>
      </c>
      <c r="Q89" s="80">
        <v>225</v>
      </c>
      <c r="R89" s="80">
        <v>225</v>
      </c>
      <c r="S89" s="80">
        <v>225</v>
      </c>
      <c r="T89" s="80">
        <v>225</v>
      </c>
      <c r="U89" s="80">
        <v>2700</v>
      </c>
    </row>
    <row r="90" spans="1:21" ht="15" customHeight="1" x14ac:dyDescent="0.3">
      <c r="A90" s="82" t="s">
        <v>891</v>
      </c>
      <c r="B90" s="81" t="s">
        <v>890</v>
      </c>
      <c r="C90" s="81" t="s">
        <v>889</v>
      </c>
      <c r="D90" s="81" t="s">
        <v>229</v>
      </c>
      <c r="E90" s="81" t="s">
        <v>888</v>
      </c>
      <c r="F90" s="81" t="s">
        <v>887</v>
      </c>
      <c r="G90" s="81" t="s">
        <v>226</v>
      </c>
      <c r="H90" s="81" t="s">
        <v>225</v>
      </c>
      <c r="I90" s="80">
        <v>90</v>
      </c>
      <c r="J90" s="80">
        <v>90</v>
      </c>
      <c r="K90" s="80">
        <v>90</v>
      </c>
      <c r="L90" s="80">
        <v>90</v>
      </c>
      <c r="M90" s="80">
        <v>90</v>
      </c>
      <c r="N90" s="80">
        <v>90</v>
      </c>
      <c r="O90" s="80">
        <v>90</v>
      </c>
      <c r="P90" s="80">
        <v>90</v>
      </c>
      <c r="Q90" s="80">
        <v>90</v>
      </c>
      <c r="R90" s="80">
        <v>90</v>
      </c>
      <c r="S90" s="80">
        <v>90</v>
      </c>
      <c r="T90" s="80">
        <v>90</v>
      </c>
      <c r="U90" s="80">
        <v>1080</v>
      </c>
    </row>
    <row r="91" spans="1:21" ht="15" customHeight="1" x14ac:dyDescent="0.3">
      <c r="A91" s="82" t="s">
        <v>886</v>
      </c>
      <c r="B91" s="81" t="s">
        <v>861</v>
      </c>
      <c r="C91" s="81" t="s">
        <v>885</v>
      </c>
      <c r="D91" s="81" t="s">
        <v>229</v>
      </c>
      <c r="E91" s="81" t="s">
        <v>884</v>
      </c>
      <c r="F91" s="81" t="s">
        <v>883</v>
      </c>
      <c r="G91" s="81" t="s">
        <v>226</v>
      </c>
      <c r="H91" s="81" t="s">
        <v>225</v>
      </c>
      <c r="I91" s="80">
        <v>45</v>
      </c>
      <c r="J91" s="80">
        <v>45</v>
      </c>
      <c r="K91" s="80">
        <v>45</v>
      </c>
      <c r="L91" s="80">
        <v>45</v>
      </c>
      <c r="M91" s="80">
        <v>45</v>
      </c>
      <c r="N91" s="80">
        <v>45</v>
      </c>
      <c r="O91" s="80">
        <v>45</v>
      </c>
      <c r="P91" s="80">
        <v>45</v>
      </c>
      <c r="Q91" s="80">
        <v>45</v>
      </c>
      <c r="R91" s="80">
        <v>45</v>
      </c>
      <c r="S91" s="80">
        <v>45</v>
      </c>
      <c r="T91" s="80">
        <v>45</v>
      </c>
      <c r="U91" s="80">
        <v>540</v>
      </c>
    </row>
    <row r="92" spans="1:21" ht="15" customHeight="1" x14ac:dyDescent="0.3">
      <c r="A92" s="82" t="s">
        <v>882</v>
      </c>
      <c r="B92" s="81" t="s">
        <v>861</v>
      </c>
      <c r="C92" s="81" t="s">
        <v>881</v>
      </c>
      <c r="D92" s="81" t="s">
        <v>229</v>
      </c>
      <c r="E92" s="81" t="s">
        <v>880</v>
      </c>
      <c r="F92" s="81" t="s">
        <v>879</v>
      </c>
      <c r="G92" s="81" t="s">
        <v>226</v>
      </c>
      <c r="H92" s="81" t="s">
        <v>225</v>
      </c>
      <c r="I92" s="80">
        <v>630</v>
      </c>
      <c r="J92" s="80">
        <v>630</v>
      </c>
      <c r="K92" s="80">
        <v>630</v>
      </c>
      <c r="L92" s="80">
        <v>630</v>
      </c>
      <c r="M92" s="80">
        <v>630</v>
      </c>
      <c r="N92" s="80">
        <v>630</v>
      </c>
      <c r="O92" s="80">
        <v>630</v>
      </c>
      <c r="P92" s="80">
        <v>630</v>
      </c>
      <c r="Q92" s="80">
        <v>630</v>
      </c>
      <c r="R92" s="80">
        <v>630</v>
      </c>
      <c r="S92" s="80">
        <v>630</v>
      </c>
      <c r="T92" s="80">
        <v>630</v>
      </c>
      <c r="U92" s="80">
        <v>7560</v>
      </c>
    </row>
    <row r="93" spans="1:21" ht="15" customHeight="1" x14ac:dyDescent="0.3">
      <c r="A93" s="82" t="s">
        <v>878</v>
      </c>
      <c r="B93" s="81" t="s">
        <v>861</v>
      </c>
      <c r="C93" s="81" t="s">
        <v>877</v>
      </c>
      <c r="D93" s="81" t="s">
        <v>229</v>
      </c>
      <c r="E93" s="81" t="s">
        <v>876</v>
      </c>
      <c r="F93" s="81" t="s">
        <v>875</v>
      </c>
      <c r="G93" s="81" t="s">
        <v>226</v>
      </c>
      <c r="H93" s="81" t="s">
        <v>225</v>
      </c>
      <c r="I93" s="80">
        <v>495</v>
      </c>
      <c r="J93" s="80">
        <v>495</v>
      </c>
      <c r="K93" s="80">
        <v>495</v>
      </c>
      <c r="L93" s="80">
        <v>495</v>
      </c>
      <c r="M93" s="80">
        <v>495</v>
      </c>
      <c r="N93" s="80">
        <v>495</v>
      </c>
      <c r="O93" s="80">
        <v>495</v>
      </c>
      <c r="P93" s="80">
        <v>495</v>
      </c>
      <c r="Q93" s="80">
        <v>495</v>
      </c>
      <c r="R93" s="80">
        <v>495</v>
      </c>
      <c r="S93" s="80">
        <v>495</v>
      </c>
      <c r="T93" s="80">
        <v>495</v>
      </c>
      <c r="U93" s="80">
        <v>5940</v>
      </c>
    </row>
    <row r="94" spans="1:21" ht="15" customHeight="1" x14ac:dyDescent="0.3">
      <c r="A94" s="82" t="s">
        <v>874</v>
      </c>
      <c r="B94" s="81" t="s">
        <v>861</v>
      </c>
      <c r="C94" s="81" t="s">
        <v>873</v>
      </c>
      <c r="D94" s="81" t="s">
        <v>229</v>
      </c>
      <c r="E94" s="81" t="s">
        <v>872</v>
      </c>
      <c r="F94" s="81" t="s">
        <v>871</v>
      </c>
      <c r="G94" s="81" t="s">
        <v>226</v>
      </c>
      <c r="H94" s="81" t="s">
        <v>225</v>
      </c>
      <c r="I94" s="80">
        <v>135</v>
      </c>
      <c r="J94" s="80">
        <v>135</v>
      </c>
      <c r="K94" s="80">
        <v>135</v>
      </c>
      <c r="L94" s="80">
        <v>135</v>
      </c>
      <c r="M94" s="80">
        <v>135</v>
      </c>
      <c r="N94" s="80">
        <v>135</v>
      </c>
      <c r="O94" s="80">
        <v>135</v>
      </c>
      <c r="P94" s="80">
        <v>135</v>
      </c>
      <c r="Q94" s="80">
        <v>135</v>
      </c>
      <c r="R94" s="80">
        <v>135</v>
      </c>
      <c r="S94" s="80">
        <v>135</v>
      </c>
      <c r="T94" s="80">
        <v>135</v>
      </c>
      <c r="U94" s="80">
        <v>1620</v>
      </c>
    </row>
    <row r="95" spans="1:21" ht="15" customHeight="1" x14ac:dyDescent="0.3">
      <c r="A95" s="82" t="s">
        <v>870</v>
      </c>
      <c r="B95" s="81" t="s">
        <v>861</v>
      </c>
      <c r="C95" s="81" t="s">
        <v>869</v>
      </c>
      <c r="D95" s="81" t="s">
        <v>229</v>
      </c>
      <c r="E95" s="81" t="s">
        <v>868</v>
      </c>
      <c r="F95" s="81" t="s">
        <v>867</v>
      </c>
      <c r="G95" s="81" t="s">
        <v>226</v>
      </c>
      <c r="H95" s="81" t="s">
        <v>225</v>
      </c>
      <c r="I95" s="80">
        <v>180</v>
      </c>
      <c r="J95" s="80">
        <v>180</v>
      </c>
      <c r="K95" s="80">
        <v>180</v>
      </c>
      <c r="L95" s="80">
        <v>180</v>
      </c>
      <c r="M95" s="80">
        <v>180</v>
      </c>
      <c r="N95" s="80">
        <v>180</v>
      </c>
      <c r="O95" s="80">
        <v>180</v>
      </c>
      <c r="P95" s="80">
        <v>180</v>
      </c>
      <c r="Q95" s="80">
        <v>180</v>
      </c>
      <c r="R95" s="80">
        <v>180</v>
      </c>
      <c r="S95" s="80">
        <v>180</v>
      </c>
      <c r="T95" s="80">
        <v>180</v>
      </c>
      <c r="U95" s="80">
        <v>2160</v>
      </c>
    </row>
    <row r="96" spans="1:21" ht="15" customHeight="1" x14ac:dyDescent="0.3">
      <c r="A96" s="82" t="s">
        <v>866</v>
      </c>
      <c r="B96" s="81" t="s">
        <v>861</v>
      </c>
      <c r="C96" s="81" t="s">
        <v>865</v>
      </c>
      <c r="D96" s="81" t="s">
        <v>229</v>
      </c>
      <c r="E96" s="81" t="s">
        <v>864</v>
      </c>
      <c r="F96" s="81" t="s">
        <v>863</v>
      </c>
      <c r="G96" s="81" t="s">
        <v>226</v>
      </c>
      <c r="H96" s="81" t="s">
        <v>225</v>
      </c>
      <c r="I96" s="80">
        <v>180</v>
      </c>
      <c r="J96" s="80">
        <v>180</v>
      </c>
      <c r="K96" s="80">
        <v>180</v>
      </c>
      <c r="L96" s="80">
        <v>180</v>
      </c>
      <c r="M96" s="80">
        <v>180</v>
      </c>
      <c r="N96" s="80">
        <v>180</v>
      </c>
      <c r="O96" s="80">
        <v>180</v>
      </c>
      <c r="P96" s="80">
        <v>180</v>
      </c>
      <c r="Q96" s="80">
        <v>180</v>
      </c>
      <c r="R96" s="80">
        <v>180</v>
      </c>
      <c r="S96" s="80">
        <v>180</v>
      </c>
      <c r="T96" s="80">
        <v>180</v>
      </c>
      <c r="U96" s="80">
        <v>2160</v>
      </c>
    </row>
    <row r="97" spans="1:21" ht="15" customHeight="1" x14ac:dyDescent="0.3">
      <c r="A97" s="82" t="s">
        <v>862</v>
      </c>
      <c r="B97" s="81" t="s">
        <v>861</v>
      </c>
      <c r="C97" s="81" t="s">
        <v>860</v>
      </c>
      <c r="D97" s="81" t="s">
        <v>229</v>
      </c>
      <c r="E97" s="81" t="s">
        <v>859</v>
      </c>
      <c r="F97" s="81" t="s">
        <v>858</v>
      </c>
      <c r="G97" s="81" t="s">
        <v>226</v>
      </c>
      <c r="H97" s="81" t="s">
        <v>225</v>
      </c>
      <c r="I97" s="80">
        <v>180</v>
      </c>
      <c r="J97" s="80">
        <v>180</v>
      </c>
      <c r="K97" s="80">
        <v>180</v>
      </c>
      <c r="L97" s="80">
        <v>180</v>
      </c>
      <c r="M97" s="80">
        <v>180</v>
      </c>
      <c r="N97" s="80">
        <v>180</v>
      </c>
      <c r="O97" s="80">
        <v>180</v>
      </c>
      <c r="P97" s="80">
        <v>180</v>
      </c>
      <c r="Q97" s="80">
        <v>180</v>
      </c>
      <c r="R97" s="80">
        <v>180</v>
      </c>
      <c r="S97" s="80">
        <v>180</v>
      </c>
      <c r="T97" s="80">
        <v>180</v>
      </c>
      <c r="U97" s="80">
        <v>2160</v>
      </c>
    </row>
    <row r="98" spans="1:21" ht="15" customHeight="1" x14ac:dyDescent="0.3">
      <c r="A98" s="82" t="s">
        <v>857</v>
      </c>
      <c r="B98" s="81" t="s">
        <v>852</v>
      </c>
      <c r="C98" s="81" t="s">
        <v>856</v>
      </c>
      <c r="D98" s="81" t="s">
        <v>229</v>
      </c>
      <c r="E98" s="81" t="s">
        <v>855</v>
      </c>
      <c r="F98" s="81" t="s">
        <v>854</v>
      </c>
      <c r="G98" s="81" t="s">
        <v>226</v>
      </c>
      <c r="H98" s="81" t="s">
        <v>225</v>
      </c>
      <c r="I98" s="80">
        <v>85.78</v>
      </c>
      <c r="J98" s="80">
        <v>85.78</v>
      </c>
      <c r="K98" s="80">
        <v>85.78</v>
      </c>
      <c r="L98" s="80">
        <v>110.07</v>
      </c>
      <c r="M98" s="80">
        <v>110.07</v>
      </c>
      <c r="N98" s="80">
        <v>110.07</v>
      </c>
      <c r="O98" s="80">
        <v>114.04</v>
      </c>
      <c r="P98" s="80">
        <v>114.04</v>
      </c>
      <c r="Q98" s="80">
        <v>114.04</v>
      </c>
      <c r="R98" s="80">
        <v>151.57</v>
      </c>
      <c r="S98" s="80">
        <v>151.57</v>
      </c>
      <c r="T98" s="80">
        <v>151.57</v>
      </c>
      <c r="U98" s="80">
        <v>1384.38</v>
      </c>
    </row>
    <row r="99" spans="1:21" ht="15" customHeight="1" x14ac:dyDescent="0.3">
      <c r="A99" s="82" t="s">
        <v>853</v>
      </c>
      <c r="B99" s="81" t="s">
        <v>852</v>
      </c>
      <c r="C99" s="81" t="s">
        <v>851</v>
      </c>
      <c r="D99" s="81" t="s">
        <v>229</v>
      </c>
      <c r="E99" s="81" t="s">
        <v>850</v>
      </c>
      <c r="F99" s="81" t="s">
        <v>849</v>
      </c>
      <c r="G99" s="81" t="s">
        <v>226</v>
      </c>
      <c r="H99" s="81" t="s">
        <v>225</v>
      </c>
      <c r="I99" s="80">
        <v>225</v>
      </c>
      <c r="J99" s="80">
        <v>225</v>
      </c>
      <c r="K99" s="80">
        <v>225</v>
      </c>
      <c r="L99" s="80">
        <v>225</v>
      </c>
      <c r="M99" s="80">
        <v>225</v>
      </c>
      <c r="N99" s="80">
        <v>225</v>
      </c>
      <c r="O99" s="80">
        <v>225</v>
      </c>
      <c r="P99" s="80">
        <v>225</v>
      </c>
      <c r="Q99" s="80">
        <v>225</v>
      </c>
      <c r="R99" s="80">
        <v>225</v>
      </c>
      <c r="S99" s="80">
        <v>225</v>
      </c>
      <c r="T99" s="80">
        <v>225</v>
      </c>
      <c r="U99" s="80">
        <v>2700</v>
      </c>
    </row>
    <row r="100" spans="1:21" ht="15" customHeight="1" x14ac:dyDescent="0.3">
      <c r="A100" s="82" t="s">
        <v>848</v>
      </c>
      <c r="B100" s="81" t="s">
        <v>819</v>
      </c>
      <c r="C100" s="81" t="s">
        <v>838</v>
      </c>
      <c r="D100" s="81" t="s">
        <v>229</v>
      </c>
      <c r="E100" s="81" t="s">
        <v>847</v>
      </c>
      <c r="F100" s="81" t="s">
        <v>846</v>
      </c>
      <c r="G100" s="81" t="s">
        <v>226</v>
      </c>
      <c r="H100" s="81" t="s">
        <v>225</v>
      </c>
      <c r="I100" s="80">
        <v>160</v>
      </c>
      <c r="J100" s="80">
        <v>160</v>
      </c>
      <c r="K100" s="80">
        <v>160</v>
      </c>
      <c r="L100" s="80">
        <v>160</v>
      </c>
      <c r="M100" s="80">
        <v>160</v>
      </c>
      <c r="N100" s="80">
        <v>160</v>
      </c>
      <c r="O100" s="80">
        <v>160</v>
      </c>
      <c r="P100" s="80">
        <v>160</v>
      </c>
      <c r="Q100" s="80">
        <v>160</v>
      </c>
      <c r="R100" s="80">
        <v>160</v>
      </c>
      <c r="S100" s="80">
        <v>160</v>
      </c>
      <c r="T100" s="80">
        <v>160</v>
      </c>
      <c r="U100" s="80">
        <v>1920</v>
      </c>
    </row>
    <row r="101" spans="1:21" ht="15" customHeight="1" x14ac:dyDescent="0.3">
      <c r="A101" s="82" t="s">
        <v>845</v>
      </c>
      <c r="B101" s="81" t="s">
        <v>819</v>
      </c>
      <c r="C101" s="81" t="s">
        <v>838</v>
      </c>
      <c r="D101" s="81" t="s">
        <v>229</v>
      </c>
      <c r="E101" s="81" t="s">
        <v>844</v>
      </c>
      <c r="F101" s="81" t="s">
        <v>843</v>
      </c>
      <c r="G101" s="81" t="s">
        <v>226</v>
      </c>
      <c r="H101" s="81" t="s">
        <v>225</v>
      </c>
      <c r="I101" s="80">
        <v>225</v>
      </c>
      <c r="J101" s="80">
        <v>225</v>
      </c>
      <c r="K101" s="80">
        <v>225</v>
      </c>
      <c r="L101" s="80">
        <v>225</v>
      </c>
      <c r="M101" s="80">
        <v>225</v>
      </c>
      <c r="N101" s="80">
        <v>225</v>
      </c>
      <c r="O101" s="80">
        <v>225</v>
      </c>
      <c r="P101" s="80">
        <v>225</v>
      </c>
      <c r="Q101" s="80">
        <v>225</v>
      </c>
      <c r="R101" s="80">
        <v>225</v>
      </c>
      <c r="S101" s="80">
        <v>225</v>
      </c>
      <c r="T101" s="80">
        <v>225</v>
      </c>
      <c r="U101" s="80">
        <v>2700</v>
      </c>
    </row>
    <row r="102" spans="1:21" ht="15" customHeight="1" x14ac:dyDescent="0.3">
      <c r="A102" s="82" t="s">
        <v>842</v>
      </c>
      <c r="B102" s="81" t="s">
        <v>819</v>
      </c>
      <c r="C102" s="81" t="s">
        <v>838</v>
      </c>
      <c r="D102" s="81" t="s">
        <v>229</v>
      </c>
      <c r="E102" s="81" t="s">
        <v>841</v>
      </c>
      <c r="F102" s="81" t="s">
        <v>840</v>
      </c>
      <c r="G102" s="81" t="s">
        <v>226</v>
      </c>
      <c r="H102" s="81" t="s">
        <v>225</v>
      </c>
      <c r="I102" s="80">
        <v>225</v>
      </c>
      <c r="J102" s="80">
        <v>225</v>
      </c>
      <c r="K102" s="80">
        <v>225</v>
      </c>
      <c r="L102" s="80">
        <v>225</v>
      </c>
      <c r="M102" s="80">
        <v>225</v>
      </c>
      <c r="N102" s="80">
        <v>225</v>
      </c>
      <c r="O102" s="80">
        <v>225</v>
      </c>
      <c r="P102" s="80">
        <v>225</v>
      </c>
      <c r="Q102" s="80">
        <v>225</v>
      </c>
      <c r="R102" s="80">
        <v>225</v>
      </c>
      <c r="S102" s="80">
        <v>225</v>
      </c>
      <c r="T102" s="80">
        <v>225</v>
      </c>
      <c r="U102" s="80">
        <v>2700</v>
      </c>
    </row>
    <row r="103" spans="1:21" ht="15" customHeight="1" x14ac:dyDescent="0.3">
      <c r="A103" s="82" t="s">
        <v>839</v>
      </c>
      <c r="B103" s="81" t="s">
        <v>819</v>
      </c>
      <c r="C103" s="81" t="s">
        <v>838</v>
      </c>
      <c r="D103" s="81" t="s">
        <v>229</v>
      </c>
      <c r="E103" s="81" t="s">
        <v>837</v>
      </c>
      <c r="F103" s="81" t="s">
        <v>836</v>
      </c>
      <c r="G103" s="81" t="s">
        <v>226</v>
      </c>
      <c r="H103" s="81" t="s">
        <v>225</v>
      </c>
      <c r="I103" s="80">
        <v>135</v>
      </c>
      <c r="J103" s="80">
        <v>0</v>
      </c>
      <c r="K103" s="80">
        <v>0</v>
      </c>
      <c r="L103" s="80">
        <v>0</v>
      </c>
      <c r="M103" s="80">
        <v>0</v>
      </c>
      <c r="N103" s="80">
        <v>0</v>
      </c>
      <c r="O103" s="80">
        <v>0</v>
      </c>
      <c r="P103" s="80">
        <v>0</v>
      </c>
      <c r="Q103" s="80">
        <v>0</v>
      </c>
      <c r="R103" s="80">
        <v>0</v>
      </c>
      <c r="S103" s="80">
        <v>0</v>
      </c>
      <c r="T103" s="80">
        <v>0</v>
      </c>
      <c r="U103" s="80">
        <v>135</v>
      </c>
    </row>
    <row r="104" spans="1:21" ht="15" customHeight="1" x14ac:dyDescent="0.3">
      <c r="A104" s="82" t="s">
        <v>835</v>
      </c>
      <c r="B104" s="81" t="s">
        <v>819</v>
      </c>
      <c r="C104" s="81" t="s">
        <v>818</v>
      </c>
      <c r="D104" s="81" t="s">
        <v>229</v>
      </c>
      <c r="E104" s="81" t="s">
        <v>834</v>
      </c>
      <c r="F104" s="81" t="s">
        <v>833</v>
      </c>
      <c r="G104" s="81" t="s">
        <v>226</v>
      </c>
      <c r="H104" s="81" t="s">
        <v>225</v>
      </c>
      <c r="I104" s="80">
        <v>91.01</v>
      </c>
      <c r="J104" s="80">
        <v>91.01</v>
      </c>
      <c r="K104" s="80">
        <v>91.01</v>
      </c>
      <c r="L104" s="80">
        <v>116.78</v>
      </c>
      <c r="M104" s="80">
        <v>116.78</v>
      </c>
      <c r="N104" s="80">
        <v>116.78</v>
      </c>
      <c r="O104" s="80">
        <v>120.99</v>
      </c>
      <c r="P104" s="80">
        <v>120.99</v>
      </c>
      <c r="Q104" s="80">
        <v>120.99</v>
      </c>
      <c r="R104" s="80">
        <v>160.81</v>
      </c>
      <c r="S104" s="80">
        <v>160.81</v>
      </c>
      <c r="T104" s="80">
        <v>160.81</v>
      </c>
      <c r="U104" s="80">
        <v>1468.77</v>
      </c>
    </row>
    <row r="105" spans="1:21" ht="15" customHeight="1" x14ac:dyDescent="0.3">
      <c r="A105" s="82" t="s">
        <v>832</v>
      </c>
      <c r="B105" s="81" t="s">
        <v>819</v>
      </c>
      <c r="C105" s="81" t="s">
        <v>818</v>
      </c>
      <c r="D105" s="81" t="s">
        <v>229</v>
      </c>
      <c r="E105" s="81" t="s">
        <v>831</v>
      </c>
      <c r="F105" s="81" t="s">
        <v>830</v>
      </c>
      <c r="G105" s="81" t="s">
        <v>226</v>
      </c>
      <c r="H105" s="81" t="s">
        <v>225</v>
      </c>
      <c r="I105" s="80">
        <v>360</v>
      </c>
      <c r="J105" s="80">
        <v>360</v>
      </c>
      <c r="K105" s="80">
        <v>360</v>
      </c>
      <c r="L105" s="80">
        <v>360</v>
      </c>
      <c r="M105" s="80">
        <v>360</v>
      </c>
      <c r="N105" s="80">
        <v>360</v>
      </c>
      <c r="O105" s="80">
        <v>360</v>
      </c>
      <c r="P105" s="80">
        <v>360</v>
      </c>
      <c r="Q105" s="80">
        <v>360</v>
      </c>
      <c r="R105" s="80">
        <v>360</v>
      </c>
      <c r="S105" s="80">
        <v>360</v>
      </c>
      <c r="T105" s="80">
        <v>360</v>
      </c>
      <c r="U105" s="80">
        <v>4320</v>
      </c>
    </row>
    <row r="106" spans="1:21" ht="15" customHeight="1" x14ac:dyDescent="0.3">
      <c r="A106" s="82" t="s">
        <v>829</v>
      </c>
      <c r="B106" s="81" t="s">
        <v>819</v>
      </c>
      <c r="C106" s="81" t="s">
        <v>818</v>
      </c>
      <c r="D106" s="81" t="s">
        <v>229</v>
      </c>
      <c r="E106" s="81" t="s">
        <v>828</v>
      </c>
      <c r="F106" s="81" t="s">
        <v>827</v>
      </c>
      <c r="G106" s="81" t="s">
        <v>226</v>
      </c>
      <c r="H106" s="81" t="s">
        <v>225</v>
      </c>
      <c r="I106" s="80">
        <v>315</v>
      </c>
      <c r="J106" s="80">
        <v>315</v>
      </c>
      <c r="K106" s="80">
        <v>315</v>
      </c>
      <c r="L106" s="80">
        <v>315</v>
      </c>
      <c r="M106" s="80">
        <v>315</v>
      </c>
      <c r="N106" s="80">
        <v>315</v>
      </c>
      <c r="O106" s="80">
        <v>315</v>
      </c>
      <c r="P106" s="80">
        <v>315</v>
      </c>
      <c r="Q106" s="80">
        <v>315</v>
      </c>
      <c r="R106" s="80">
        <v>315</v>
      </c>
      <c r="S106" s="80">
        <v>315</v>
      </c>
      <c r="T106" s="80">
        <v>315</v>
      </c>
      <c r="U106" s="80">
        <v>3780</v>
      </c>
    </row>
    <row r="107" spans="1:21" ht="15" customHeight="1" x14ac:dyDescent="0.3">
      <c r="A107" s="82" t="s">
        <v>826</v>
      </c>
      <c r="B107" s="81" t="s">
        <v>819</v>
      </c>
      <c r="C107" s="81" t="s">
        <v>818</v>
      </c>
      <c r="D107" s="81" t="s">
        <v>229</v>
      </c>
      <c r="E107" s="81" t="s">
        <v>825</v>
      </c>
      <c r="F107" s="81" t="s">
        <v>824</v>
      </c>
      <c r="G107" s="81" t="s">
        <v>226</v>
      </c>
      <c r="H107" s="81" t="s">
        <v>225</v>
      </c>
      <c r="I107" s="80">
        <v>450</v>
      </c>
      <c r="J107" s="80">
        <v>450</v>
      </c>
      <c r="K107" s="80">
        <v>450</v>
      </c>
      <c r="L107" s="80">
        <v>450</v>
      </c>
      <c r="M107" s="80">
        <v>450</v>
      </c>
      <c r="N107" s="80">
        <v>450</v>
      </c>
      <c r="O107" s="80">
        <v>450</v>
      </c>
      <c r="P107" s="80">
        <v>450</v>
      </c>
      <c r="Q107" s="80">
        <v>450</v>
      </c>
      <c r="R107" s="80">
        <v>450</v>
      </c>
      <c r="S107" s="80">
        <v>450</v>
      </c>
      <c r="T107" s="80">
        <v>450</v>
      </c>
      <c r="U107" s="80">
        <v>5400</v>
      </c>
    </row>
    <row r="108" spans="1:21" ht="15" customHeight="1" x14ac:dyDescent="0.3">
      <c r="A108" s="82" t="s">
        <v>823</v>
      </c>
      <c r="B108" s="81" t="s">
        <v>819</v>
      </c>
      <c r="C108" s="81" t="s">
        <v>818</v>
      </c>
      <c r="D108" s="81" t="s">
        <v>229</v>
      </c>
      <c r="E108" s="81" t="s">
        <v>822</v>
      </c>
      <c r="F108" s="81" t="s">
        <v>821</v>
      </c>
      <c r="G108" s="81" t="s">
        <v>226</v>
      </c>
      <c r="H108" s="81" t="s">
        <v>225</v>
      </c>
      <c r="I108" s="80">
        <v>315</v>
      </c>
      <c r="J108" s="80">
        <v>315</v>
      </c>
      <c r="K108" s="80">
        <v>315</v>
      </c>
      <c r="L108" s="80">
        <v>315</v>
      </c>
      <c r="M108" s="80">
        <v>315</v>
      </c>
      <c r="N108" s="80">
        <v>315</v>
      </c>
      <c r="O108" s="80">
        <v>315</v>
      </c>
      <c r="P108" s="80">
        <v>315</v>
      </c>
      <c r="Q108" s="80">
        <v>315</v>
      </c>
      <c r="R108" s="80">
        <v>315</v>
      </c>
      <c r="S108" s="80">
        <v>315</v>
      </c>
      <c r="T108" s="80">
        <v>315</v>
      </c>
      <c r="U108" s="80">
        <v>3780</v>
      </c>
    </row>
    <row r="109" spans="1:21" ht="15" customHeight="1" x14ac:dyDescent="0.3">
      <c r="A109" s="82" t="s">
        <v>820</v>
      </c>
      <c r="B109" s="81" t="s">
        <v>819</v>
      </c>
      <c r="C109" s="81" t="s">
        <v>818</v>
      </c>
      <c r="D109" s="81" t="s">
        <v>229</v>
      </c>
      <c r="E109" s="81" t="s">
        <v>817</v>
      </c>
      <c r="F109" s="81" t="s">
        <v>816</v>
      </c>
      <c r="G109" s="81" t="s">
        <v>226</v>
      </c>
      <c r="H109" s="81" t="s">
        <v>225</v>
      </c>
      <c r="I109" s="80">
        <v>315</v>
      </c>
      <c r="J109" s="80">
        <v>315</v>
      </c>
      <c r="K109" s="80">
        <v>315</v>
      </c>
      <c r="L109" s="80">
        <v>315</v>
      </c>
      <c r="M109" s="80">
        <v>315</v>
      </c>
      <c r="N109" s="80">
        <v>315</v>
      </c>
      <c r="O109" s="80">
        <v>315</v>
      </c>
      <c r="P109" s="80">
        <v>315</v>
      </c>
      <c r="Q109" s="80">
        <v>315</v>
      </c>
      <c r="R109" s="80">
        <v>315</v>
      </c>
      <c r="S109" s="80">
        <v>315</v>
      </c>
      <c r="T109" s="80">
        <v>315</v>
      </c>
      <c r="U109" s="80">
        <v>3780</v>
      </c>
    </row>
    <row r="110" spans="1:21" ht="15" customHeight="1" x14ac:dyDescent="0.3">
      <c r="A110" s="82" t="s">
        <v>815</v>
      </c>
      <c r="B110" s="81" t="s">
        <v>814</v>
      </c>
      <c r="C110" s="81" t="s">
        <v>813</v>
      </c>
      <c r="D110" s="81" t="s">
        <v>229</v>
      </c>
      <c r="E110" s="81" t="s">
        <v>812</v>
      </c>
      <c r="F110" s="81" t="s">
        <v>811</v>
      </c>
      <c r="G110" s="81" t="s">
        <v>226</v>
      </c>
      <c r="H110" s="81" t="s">
        <v>225</v>
      </c>
      <c r="I110" s="80">
        <v>45</v>
      </c>
      <c r="J110" s="80">
        <v>45</v>
      </c>
      <c r="K110" s="80">
        <v>45</v>
      </c>
      <c r="L110" s="80">
        <v>45</v>
      </c>
      <c r="M110" s="80">
        <v>45</v>
      </c>
      <c r="N110" s="80">
        <v>45</v>
      </c>
      <c r="O110" s="80">
        <v>45</v>
      </c>
      <c r="P110" s="80">
        <v>45</v>
      </c>
      <c r="Q110" s="80">
        <v>45</v>
      </c>
      <c r="R110" s="80">
        <v>45</v>
      </c>
      <c r="S110" s="80">
        <v>45</v>
      </c>
      <c r="T110" s="80">
        <v>45</v>
      </c>
      <c r="U110" s="80">
        <v>540</v>
      </c>
    </row>
    <row r="111" spans="1:21" ht="15" customHeight="1" x14ac:dyDescent="0.3">
      <c r="A111" s="82" t="s">
        <v>810</v>
      </c>
      <c r="B111" s="81" t="s">
        <v>809</v>
      </c>
      <c r="C111" s="81" t="s">
        <v>808</v>
      </c>
      <c r="D111" s="81" t="s">
        <v>229</v>
      </c>
      <c r="E111" s="81" t="s">
        <v>807</v>
      </c>
      <c r="F111" s="81" t="s">
        <v>806</v>
      </c>
      <c r="G111" s="81" t="s">
        <v>226</v>
      </c>
      <c r="H111" s="81" t="s">
        <v>225</v>
      </c>
      <c r="I111" s="80">
        <v>315.63</v>
      </c>
      <c r="J111" s="80">
        <v>315.63</v>
      </c>
      <c r="K111" s="80">
        <v>315.63</v>
      </c>
      <c r="L111" s="80">
        <v>405.02</v>
      </c>
      <c r="M111" s="80">
        <v>405.02</v>
      </c>
      <c r="N111" s="80">
        <v>405.02</v>
      </c>
      <c r="O111" s="80">
        <v>419.62</v>
      </c>
      <c r="P111" s="80">
        <v>419.62</v>
      </c>
      <c r="Q111" s="80">
        <v>419.62</v>
      </c>
      <c r="R111" s="80">
        <v>557.73</v>
      </c>
      <c r="S111" s="80">
        <v>557.73</v>
      </c>
      <c r="T111" s="80">
        <v>557.73</v>
      </c>
      <c r="U111" s="80">
        <v>5094</v>
      </c>
    </row>
    <row r="112" spans="1:21" ht="15" customHeight="1" x14ac:dyDescent="0.3">
      <c r="A112" s="82" t="s">
        <v>805</v>
      </c>
      <c r="B112" s="81" t="s">
        <v>785</v>
      </c>
      <c r="C112" s="81" t="s">
        <v>804</v>
      </c>
      <c r="D112" s="81" t="s">
        <v>229</v>
      </c>
      <c r="E112" s="81" t="s">
        <v>803</v>
      </c>
      <c r="F112" s="81" t="s">
        <v>802</v>
      </c>
      <c r="G112" s="81" t="s">
        <v>226</v>
      </c>
      <c r="H112" s="81" t="s">
        <v>225</v>
      </c>
      <c r="I112" s="80">
        <v>63.13</v>
      </c>
      <c r="J112" s="80">
        <v>63.13</v>
      </c>
      <c r="K112" s="80">
        <v>63.13</v>
      </c>
      <c r="L112" s="80">
        <v>81</v>
      </c>
      <c r="M112" s="80">
        <v>81</v>
      </c>
      <c r="N112" s="80">
        <v>81</v>
      </c>
      <c r="O112" s="80">
        <v>83.92</v>
      </c>
      <c r="P112" s="80">
        <v>83.92</v>
      </c>
      <c r="Q112" s="80">
        <v>83.92</v>
      </c>
      <c r="R112" s="80">
        <v>111.55</v>
      </c>
      <c r="S112" s="80">
        <v>111.55</v>
      </c>
      <c r="T112" s="80">
        <v>111.55</v>
      </c>
      <c r="U112" s="80">
        <v>1018.8</v>
      </c>
    </row>
    <row r="113" spans="1:21" ht="15" customHeight="1" x14ac:dyDescent="0.3">
      <c r="A113" s="82" t="s">
        <v>801</v>
      </c>
      <c r="B113" s="81" t="s">
        <v>785</v>
      </c>
      <c r="C113" s="81" t="s">
        <v>800</v>
      </c>
      <c r="D113" s="81" t="s">
        <v>229</v>
      </c>
      <c r="E113" s="81" t="s">
        <v>799</v>
      </c>
      <c r="F113" s="81" t="s">
        <v>798</v>
      </c>
      <c r="G113" s="81" t="s">
        <v>226</v>
      </c>
      <c r="H113" s="81" t="s">
        <v>225</v>
      </c>
      <c r="I113" s="80">
        <v>180</v>
      </c>
      <c r="J113" s="80">
        <v>180</v>
      </c>
      <c r="K113" s="80">
        <v>180</v>
      </c>
      <c r="L113" s="80">
        <v>180</v>
      </c>
      <c r="M113" s="80">
        <v>180</v>
      </c>
      <c r="N113" s="80">
        <v>180</v>
      </c>
      <c r="O113" s="80">
        <v>180</v>
      </c>
      <c r="P113" s="80">
        <v>180</v>
      </c>
      <c r="Q113" s="80">
        <v>180</v>
      </c>
      <c r="R113" s="80">
        <v>180</v>
      </c>
      <c r="S113" s="80">
        <v>180</v>
      </c>
      <c r="T113" s="80">
        <v>180</v>
      </c>
      <c r="U113" s="80">
        <v>2160</v>
      </c>
    </row>
    <row r="114" spans="1:21" ht="15" customHeight="1" x14ac:dyDescent="0.3">
      <c r="A114" s="82" t="s">
        <v>797</v>
      </c>
      <c r="B114" s="81" t="s">
        <v>785</v>
      </c>
      <c r="C114" s="81" t="s">
        <v>796</v>
      </c>
      <c r="D114" s="81" t="s">
        <v>229</v>
      </c>
      <c r="E114" s="81" t="s">
        <v>795</v>
      </c>
      <c r="F114" s="81" t="s">
        <v>794</v>
      </c>
      <c r="G114" s="81" t="s">
        <v>226</v>
      </c>
      <c r="H114" s="81" t="s">
        <v>225</v>
      </c>
      <c r="I114" s="80">
        <v>1400</v>
      </c>
      <c r="J114" s="80">
        <v>1400</v>
      </c>
      <c r="K114" s="80">
        <v>1400</v>
      </c>
      <c r="L114" s="80">
        <v>1400</v>
      </c>
      <c r="M114" s="80">
        <v>1400</v>
      </c>
      <c r="N114" s="80">
        <v>1400</v>
      </c>
      <c r="O114" s="80">
        <v>1400</v>
      </c>
      <c r="P114" s="80">
        <v>1400</v>
      </c>
      <c r="Q114" s="80">
        <v>1400</v>
      </c>
      <c r="R114" s="80">
        <v>1400</v>
      </c>
      <c r="S114" s="80">
        <v>1400</v>
      </c>
      <c r="T114" s="80">
        <v>1400</v>
      </c>
      <c r="U114" s="80">
        <v>16800</v>
      </c>
    </row>
    <row r="115" spans="1:21" ht="15" customHeight="1" x14ac:dyDescent="0.3">
      <c r="A115" s="82" t="s">
        <v>793</v>
      </c>
      <c r="B115" s="81" t="s">
        <v>785</v>
      </c>
      <c r="C115" s="81" t="s">
        <v>792</v>
      </c>
      <c r="D115" s="81" t="s">
        <v>229</v>
      </c>
      <c r="E115" s="81" t="s">
        <v>791</v>
      </c>
      <c r="F115" s="81" t="s">
        <v>790</v>
      </c>
      <c r="G115" s="81" t="s">
        <v>226</v>
      </c>
      <c r="H115" s="81" t="s">
        <v>225</v>
      </c>
      <c r="I115" s="80">
        <v>450</v>
      </c>
      <c r="J115" s="80">
        <v>450</v>
      </c>
      <c r="K115" s="80">
        <v>450</v>
      </c>
      <c r="L115" s="80">
        <v>450</v>
      </c>
      <c r="M115" s="80">
        <v>450</v>
      </c>
      <c r="N115" s="80">
        <v>450</v>
      </c>
      <c r="O115" s="80">
        <v>450</v>
      </c>
      <c r="P115" s="80">
        <v>450</v>
      </c>
      <c r="Q115" s="80">
        <v>450</v>
      </c>
      <c r="R115" s="80">
        <v>450</v>
      </c>
      <c r="S115" s="80">
        <v>450</v>
      </c>
      <c r="T115" s="80">
        <v>450</v>
      </c>
      <c r="U115" s="80">
        <v>5400</v>
      </c>
    </row>
    <row r="116" spans="1:21" ht="15" customHeight="1" x14ac:dyDescent="0.3">
      <c r="A116" s="82" t="s">
        <v>789</v>
      </c>
      <c r="B116" s="81" t="s">
        <v>785</v>
      </c>
      <c r="C116" s="81" t="s">
        <v>784</v>
      </c>
      <c r="D116" s="81" t="s">
        <v>229</v>
      </c>
      <c r="E116" s="81" t="s">
        <v>788</v>
      </c>
      <c r="F116" s="81" t="s">
        <v>787</v>
      </c>
      <c r="G116" s="81" t="s">
        <v>226</v>
      </c>
      <c r="H116" s="81" t="s">
        <v>225</v>
      </c>
      <c r="I116" s="80">
        <v>630</v>
      </c>
      <c r="J116" s="80">
        <v>630</v>
      </c>
      <c r="K116" s="80">
        <v>630</v>
      </c>
      <c r="L116" s="80">
        <v>630</v>
      </c>
      <c r="M116" s="80">
        <v>630</v>
      </c>
      <c r="N116" s="80">
        <v>630</v>
      </c>
      <c r="O116" s="80">
        <v>630</v>
      </c>
      <c r="P116" s="80">
        <v>630</v>
      </c>
      <c r="Q116" s="80">
        <v>630</v>
      </c>
      <c r="R116" s="80">
        <v>630</v>
      </c>
      <c r="S116" s="80">
        <v>630</v>
      </c>
      <c r="T116" s="80">
        <v>630</v>
      </c>
      <c r="U116" s="80">
        <v>7560</v>
      </c>
    </row>
    <row r="117" spans="1:21" ht="15" customHeight="1" x14ac:dyDescent="0.3">
      <c r="A117" s="82" t="s">
        <v>786</v>
      </c>
      <c r="B117" s="81" t="s">
        <v>785</v>
      </c>
      <c r="C117" s="81" t="s">
        <v>784</v>
      </c>
      <c r="D117" s="81" t="s">
        <v>229</v>
      </c>
      <c r="E117" s="81" t="s">
        <v>783</v>
      </c>
      <c r="F117" s="81" t="s">
        <v>782</v>
      </c>
      <c r="G117" s="81" t="s">
        <v>226</v>
      </c>
      <c r="H117" s="81" t="s">
        <v>225</v>
      </c>
      <c r="I117" s="80">
        <v>13450.92</v>
      </c>
      <c r="J117" s="80">
        <v>13450.92</v>
      </c>
      <c r="K117" s="80">
        <v>13450.92</v>
      </c>
      <c r="L117" s="80">
        <v>13450.92</v>
      </c>
      <c r="M117" s="80">
        <v>13450.92</v>
      </c>
      <c r="N117" s="80">
        <v>13450.92</v>
      </c>
      <c r="O117" s="80">
        <v>13450.92</v>
      </c>
      <c r="P117" s="80">
        <v>13450.92</v>
      </c>
      <c r="Q117" s="80">
        <v>13450.92</v>
      </c>
      <c r="R117" s="80">
        <v>13450.92</v>
      </c>
      <c r="S117" s="80">
        <v>13450.92</v>
      </c>
      <c r="T117" s="80">
        <v>13450.92</v>
      </c>
      <c r="U117" s="80">
        <v>161411.04</v>
      </c>
    </row>
    <row r="118" spans="1:21" ht="15" customHeight="1" x14ac:dyDescent="0.3">
      <c r="A118" s="82" t="s">
        <v>781</v>
      </c>
      <c r="B118" s="81" t="s">
        <v>780</v>
      </c>
      <c r="C118" s="81" t="s">
        <v>779</v>
      </c>
      <c r="D118" s="81" t="s">
        <v>229</v>
      </c>
      <c r="E118" s="81" t="s">
        <v>778</v>
      </c>
      <c r="F118" s="81" t="s">
        <v>777</v>
      </c>
      <c r="G118" s="81" t="s">
        <v>226</v>
      </c>
      <c r="H118" s="81" t="s">
        <v>225</v>
      </c>
      <c r="I118" s="80">
        <v>1404</v>
      </c>
      <c r="J118" s="80">
        <v>1404</v>
      </c>
      <c r="K118" s="80">
        <v>1404</v>
      </c>
      <c r="L118" s="80">
        <v>1404</v>
      </c>
      <c r="M118" s="80">
        <v>1404</v>
      </c>
      <c r="N118" s="80">
        <v>1404</v>
      </c>
      <c r="O118" s="80">
        <v>1404</v>
      </c>
      <c r="P118" s="80">
        <v>1404</v>
      </c>
      <c r="Q118" s="80">
        <v>1404</v>
      </c>
      <c r="R118" s="80">
        <v>1404</v>
      </c>
      <c r="S118" s="80">
        <v>1404</v>
      </c>
      <c r="T118" s="80">
        <v>1404</v>
      </c>
      <c r="U118" s="80">
        <v>16848</v>
      </c>
    </row>
    <row r="119" spans="1:21" ht="15" customHeight="1" x14ac:dyDescent="0.3">
      <c r="A119" s="82" t="s">
        <v>776</v>
      </c>
      <c r="B119" s="81" t="s">
        <v>775</v>
      </c>
      <c r="C119" s="81" t="s">
        <v>774</v>
      </c>
      <c r="D119" s="81" t="s">
        <v>229</v>
      </c>
      <c r="E119" s="81" t="s">
        <v>773</v>
      </c>
      <c r="F119" s="81" t="s">
        <v>772</v>
      </c>
      <c r="G119" s="81" t="s">
        <v>226</v>
      </c>
      <c r="H119" s="81" t="s">
        <v>225</v>
      </c>
      <c r="I119" s="80">
        <v>300</v>
      </c>
      <c r="J119" s="80">
        <v>300</v>
      </c>
      <c r="K119" s="80">
        <v>300</v>
      </c>
      <c r="L119" s="80">
        <v>300</v>
      </c>
      <c r="M119" s="80">
        <v>300</v>
      </c>
      <c r="N119" s="80">
        <v>300</v>
      </c>
      <c r="O119" s="80">
        <v>300</v>
      </c>
      <c r="P119" s="80">
        <v>300</v>
      </c>
      <c r="Q119" s="80">
        <v>300</v>
      </c>
      <c r="R119" s="80">
        <v>300</v>
      </c>
      <c r="S119" s="80">
        <v>300</v>
      </c>
      <c r="T119" s="80">
        <v>300</v>
      </c>
      <c r="U119" s="80">
        <v>3600</v>
      </c>
    </row>
    <row r="120" spans="1:21" ht="15" customHeight="1" x14ac:dyDescent="0.3">
      <c r="A120" s="82" t="s">
        <v>771</v>
      </c>
      <c r="B120" s="81" t="s">
        <v>770</v>
      </c>
      <c r="C120" s="81" t="s">
        <v>769</v>
      </c>
      <c r="D120" s="81" t="s">
        <v>229</v>
      </c>
      <c r="E120" s="81" t="s">
        <v>768</v>
      </c>
      <c r="F120" s="81" t="s">
        <v>767</v>
      </c>
      <c r="G120" s="81" t="s">
        <v>226</v>
      </c>
      <c r="H120" s="81" t="s">
        <v>225</v>
      </c>
      <c r="I120" s="80">
        <v>90</v>
      </c>
      <c r="J120" s="80">
        <v>90</v>
      </c>
      <c r="K120" s="80">
        <v>90</v>
      </c>
      <c r="L120" s="80">
        <v>90</v>
      </c>
      <c r="M120" s="80">
        <v>90</v>
      </c>
      <c r="N120" s="80">
        <v>90</v>
      </c>
      <c r="O120" s="80">
        <v>90</v>
      </c>
      <c r="P120" s="80">
        <v>90</v>
      </c>
      <c r="Q120" s="80">
        <v>90</v>
      </c>
      <c r="R120" s="80">
        <v>90</v>
      </c>
      <c r="S120" s="80">
        <v>90</v>
      </c>
      <c r="T120" s="80">
        <v>90</v>
      </c>
      <c r="U120" s="80">
        <v>1080</v>
      </c>
    </row>
    <row r="121" spans="1:21" ht="15" customHeight="1" x14ac:dyDescent="0.3">
      <c r="A121" s="82" t="s">
        <v>766</v>
      </c>
      <c r="B121" s="81" t="s">
        <v>765</v>
      </c>
      <c r="C121" s="81" t="s">
        <v>764</v>
      </c>
      <c r="D121" s="81" t="s">
        <v>229</v>
      </c>
      <c r="E121" s="81" t="s">
        <v>763</v>
      </c>
      <c r="F121" s="81" t="s">
        <v>762</v>
      </c>
      <c r="G121" s="81" t="s">
        <v>226</v>
      </c>
      <c r="H121" s="81" t="s">
        <v>225</v>
      </c>
      <c r="I121" s="80">
        <v>135</v>
      </c>
      <c r="J121" s="80">
        <v>135</v>
      </c>
      <c r="K121" s="80">
        <v>135</v>
      </c>
      <c r="L121" s="80">
        <v>135</v>
      </c>
      <c r="M121" s="80">
        <v>135</v>
      </c>
      <c r="N121" s="80">
        <v>135</v>
      </c>
      <c r="O121" s="80">
        <v>135</v>
      </c>
      <c r="P121" s="80">
        <v>135</v>
      </c>
      <c r="Q121" s="80">
        <v>135</v>
      </c>
      <c r="R121" s="80">
        <v>135</v>
      </c>
      <c r="S121" s="80">
        <v>135</v>
      </c>
      <c r="T121" s="80">
        <v>135</v>
      </c>
      <c r="U121" s="80">
        <v>1620</v>
      </c>
    </row>
    <row r="122" spans="1:21" ht="15" customHeight="1" x14ac:dyDescent="0.3">
      <c r="A122" s="82" t="s">
        <v>761</v>
      </c>
      <c r="B122" s="81" t="s">
        <v>740</v>
      </c>
      <c r="C122" s="81" t="s">
        <v>760</v>
      </c>
      <c r="D122" s="81" t="s">
        <v>229</v>
      </c>
      <c r="E122" s="81" t="s">
        <v>759</v>
      </c>
      <c r="F122" s="81" t="s">
        <v>758</v>
      </c>
      <c r="G122" s="81" t="s">
        <v>226</v>
      </c>
      <c r="H122" s="81" t="s">
        <v>225</v>
      </c>
      <c r="I122" s="80">
        <v>99</v>
      </c>
      <c r="J122" s="80">
        <v>99</v>
      </c>
      <c r="K122" s="80">
        <v>99</v>
      </c>
      <c r="L122" s="80">
        <v>99</v>
      </c>
      <c r="M122" s="80">
        <v>99</v>
      </c>
      <c r="N122" s="80">
        <v>99</v>
      </c>
      <c r="O122" s="80">
        <v>99</v>
      </c>
      <c r="P122" s="80">
        <v>99</v>
      </c>
      <c r="Q122" s="80">
        <v>99</v>
      </c>
      <c r="R122" s="80">
        <v>99</v>
      </c>
      <c r="S122" s="80">
        <v>99</v>
      </c>
      <c r="T122" s="80">
        <v>99</v>
      </c>
      <c r="U122" s="80">
        <v>1188</v>
      </c>
    </row>
    <row r="123" spans="1:21" ht="15" customHeight="1" x14ac:dyDescent="0.3">
      <c r="A123" s="82" t="s">
        <v>757</v>
      </c>
      <c r="B123" s="81" t="s">
        <v>740</v>
      </c>
      <c r="C123" s="81" t="s">
        <v>756</v>
      </c>
      <c r="D123" s="81" t="s">
        <v>229</v>
      </c>
      <c r="E123" s="81" t="s">
        <v>755</v>
      </c>
      <c r="F123" s="81" t="s">
        <v>754</v>
      </c>
      <c r="G123" s="81" t="s">
        <v>226</v>
      </c>
      <c r="H123" s="81" t="s">
        <v>225</v>
      </c>
      <c r="I123" s="80">
        <v>144</v>
      </c>
      <c r="J123" s="80">
        <v>144</v>
      </c>
      <c r="K123" s="80">
        <v>144</v>
      </c>
      <c r="L123" s="80">
        <v>144</v>
      </c>
      <c r="M123" s="80">
        <v>144</v>
      </c>
      <c r="N123" s="80">
        <v>144</v>
      </c>
      <c r="O123" s="80">
        <v>144</v>
      </c>
      <c r="P123" s="80">
        <v>144</v>
      </c>
      <c r="Q123" s="80">
        <v>144</v>
      </c>
      <c r="R123" s="80">
        <v>144</v>
      </c>
      <c r="S123" s="80">
        <v>144</v>
      </c>
      <c r="T123" s="80">
        <v>144</v>
      </c>
      <c r="U123" s="80">
        <v>1728</v>
      </c>
    </row>
    <row r="124" spans="1:21" ht="15" customHeight="1" x14ac:dyDescent="0.3">
      <c r="A124" s="82" t="s">
        <v>753</v>
      </c>
      <c r="B124" s="81" t="s">
        <v>740</v>
      </c>
      <c r="C124" s="81" t="s">
        <v>752</v>
      </c>
      <c r="D124" s="81" t="s">
        <v>229</v>
      </c>
      <c r="E124" s="81" t="s">
        <v>751</v>
      </c>
      <c r="F124" s="81" t="s">
        <v>750</v>
      </c>
      <c r="G124" s="81" t="s">
        <v>226</v>
      </c>
      <c r="H124" s="81" t="s">
        <v>225</v>
      </c>
      <c r="I124" s="80">
        <v>614</v>
      </c>
      <c r="J124" s="80">
        <v>614</v>
      </c>
      <c r="K124" s="80">
        <v>614</v>
      </c>
      <c r="L124" s="80">
        <v>614</v>
      </c>
      <c r="M124" s="80">
        <v>614</v>
      </c>
      <c r="N124" s="80">
        <v>614</v>
      </c>
      <c r="O124" s="80">
        <v>614</v>
      </c>
      <c r="P124" s="80">
        <v>614</v>
      </c>
      <c r="Q124" s="80">
        <v>614</v>
      </c>
      <c r="R124" s="80">
        <v>614</v>
      </c>
      <c r="S124" s="80">
        <v>614</v>
      </c>
      <c r="T124" s="80">
        <v>614</v>
      </c>
      <c r="U124" s="80">
        <v>7368</v>
      </c>
    </row>
    <row r="125" spans="1:21" ht="15" customHeight="1" x14ac:dyDescent="0.3">
      <c r="A125" s="82" t="s">
        <v>749</v>
      </c>
      <c r="B125" s="81" t="s">
        <v>740</v>
      </c>
      <c r="C125" s="81" t="s">
        <v>748</v>
      </c>
      <c r="D125" s="81" t="s">
        <v>229</v>
      </c>
      <c r="E125" s="81" t="s">
        <v>747</v>
      </c>
      <c r="F125" s="81" t="s">
        <v>746</v>
      </c>
      <c r="G125" s="81" t="s">
        <v>226</v>
      </c>
      <c r="H125" s="81" t="s">
        <v>225</v>
      </c>
      <c r="I125" s="80">
        <v>180</v>
      </c>
      <c r="J125" s="80">
        <v>180</v>
      </c>
      <c r="K125" s="80">
        <v>180</v>
      </c>
      <c r="L125" s="80">
        <v>180</v>
      </c>
      <c r="M125" s="80">
        <v>180</v>
      </c>
      <c r="N125" s="80">
        <v>180</v>
      </c>
      <c r="O125" s="80">
        <v>180</v>
      </c>
      <c r="P125" s="80">
        <v>180</v>
      </c>
      <c r="Q125" s="80">
        <v>180</v>
      </c>
      <c r="R125" s="80">
        <v>180</v>
      </c>
      <c r="S125" s="80">
        <v>180</v>
      </c>
      <c r="T125" s="80">
        <v>180</v>
      </c>
      <c r="U125" s="80">
        <v>2160</v>
      </c>
    </row>
    <row r="126" spans="1:21" ht="15" customHeight="1" x14ac:dyDescent="0.3">
      <c r="A126" s="82" t="s">
        <v>745</v>
      </c>
      <c r="B126" s="81" t="s">
        <v>740</v>
      </c>
      <c r="C126" s="81" t="s">
        <v>744</v>
      </c>
      <c r="D126" s="81" t="s">
        <v>229</v>
      </c>
      <c r="E126" s="81" t="s">
        <v>743</v>
      </c>
      <c r="F126" s="81" t="s">
        <v>742</v>
      </c>
      <c r="G126" s="81" t="s">
        <v>226</v>
      </c>
      <c r="H126" s="81" t="s">
        <v>225</v>
      </c>
      <c r="I126" s="80">
        <v>150</v>
      </c>
      <c r="J126" s="80">
        <v>150</v>
      </c>
      <c r="K126" s="80">
        <v>150</v>
      </c>
      <c r="L126" s="80">
        <v>150</v>
      </c>
      <c r="M126" s="80">
        <v>150</v>
      </c>
      <c r="N126" s="80">
        <v>150</v>
      </c>
      <c r="O126" s="80">
        <v>150</v>
      </c>
      <c r="P126" s="80">
        <v>150</v>
      </c>
      <c r="Q126" s="80">
        <v>150</v>
      </c>
      <c r="R126" s="80">
        <v>150</v>
      </c>
      <c r="S126" s="80">
        <v>150</v>
      </c>
      <c r="T126" s="80">
        <v>150</v>
      </c>
      <c r="U126" s="80">
        <v>1800</v>
      </c>
    </row>
    <row r="127" spans="1:21" ht="15" customHeight="1" x14ac:dyDescent="0.3">
      <c r="A127" s="82" t="s">
        <v>741</v>
      </c>
      <c r="B127" s="81" t="s">
        <v>740</v>
      </c>
      <c r="C127" s="81" t="s">
        <v>739</v>
      </c>
      <c r="D127" s="81" t="s">
        <v>229</v>
      </c>
      <c r="E127" s="81" t="s">
        <v>738</v>
      </c>
      <c r="F127" s="81" t="s">
        <v>737</v>
      </c>
      <c r="G127" s="81" t="s">
        <v>226</v>
      </c>
      <c r="H127" s="81" t="s">
        <v>225</v>
      </c>
      <c r="I127" s="80">
        <v>198</v>
      </c>
      <c r="J127" s="80">
        <v>198</v>
      </c>
      <c r="K127" s="80">
        <v>198</v>
      </c>
      <c r="L127" s="80">
        <v>198</v>
      </c>
      <c r="M127" s="80">
        <v>198</v>
      </c>
      <c r="N127" s="80">
        <v>198</v>
      </c>
      <c r="O127" s="80">
        <v>198</v>
      </c>
      <c r="P127" s="80">
        <v>198</v>
      </c>
      <c r="Q127" s="80">
        <v>198</v>
      </c>
      <c r="R127" s="80">
        <v>198</v>
      </c>
      <c r="S127" s="80">
        <v>198</v>
      </c>
      <c r="T127" s="80">
        <v>198</v>
      </c>
      <c r="U127" s="80">
        <v>2376</v>
      </c>
    </row>
    <row r="128" spans="1:21" ht="15" customHeight="1" x14ac:dyDescent="0.3">
      <c r="A128" s="82" t="s">
        <v>736</v>
      </c>
      <c r="B128" s="81" t="s">
        <v>656</v>
      </c>
      <c r="C128" s="81" t="s">
        <v>735</v>
      </c>
      <c r="D128" s="81" t="s">
        <v>229</v>
      </c>
      <c r="E128" s="81" t="s">
        <v>734</v>
      </c>
      <c r="F128" s="81" t="s">
        <v>733</v>
      </c>
      <c r="G128" s="81" t="s">
        <v>226</v>
      </c>
      <c r="H128" s="81" t="s">
        <v>225</v>
      </c>
      <c r="I128" s="80">
        <v>1080</v>
      </c>
      <c r="J128" s="80">
        <v>1080</v>
      </c>
      <c r="K128" s="80">
        <v>1125</v>
      </c>
      <c r="L128" s="80">
        <v>1080</v>
      </c>
      <c r="M128" s="80">
        <v>1080</v>
      </c>
      <c r="N128" s="80">
        <v>1125</v>
      </c>
      <c r="O128" s="80">
        <v>1080</v>
      </c>
      <c r="P128" s="80">
        <v>1080</v>
      </c>
      <c r="Q128" s="80">
        <v>1080</v>
      </c>
      <c r="R128" s="80">
        <v>1080</v>
      </c>
      <c r="S128" s="80">
        <v>1080</v>
      </c>
      <c r="T128" s="80">
        <v>1125</v>
      </c>
      <c r="U128" s="80">
        <v>13095</v>
      </c>
    </row>
    <row r="129" spans="1:21" ht="15" customHeight="1" x14ac:dyDescent="0.3">
      <c r="A129" s="82" t="s">
        <v>732</v>
      </c>
      <c r="B129" s="81" t="s">
        <v>656</v>
      </c>
      <c r="C129" s="81" t="s">
        <v>731</v>
      </c>
      <c r="D129" s="81" t="s">
        <v>229</v>
      </c>
      <c r="E129" s="81" t="s">
        <v>730</v>
      </c>
      <c r="F129" s="81" t="s">
        <v>729</v>
      </c>
      <c r="G129" s="81" t="s">
        <v>226</v>
      </c>
      <c r="H129" s="81" t="s">
        <v>225</v>
      </c>
      <c r="I129" s="80">
        <v>45</v>
      </c>
      <c r="J129" s="80">
        <v>45</v>
      </c>
      <c r="K129" s="80">
        <v>45</v>
      </c>
      <c r="L129" s="80">
        <v>45</v>
      </c>
      <c r="M129" s="80">
        <v>45</v>
      </c>
      <c r="N129" s="80">
        <v>45</v>
      </c>
      <c r="O129" s="80">
        <v>45</v>
      </c>
      <c r="P129" s="80">
        <v>45</v>
      </c>
      <c r="Q129" s="80">
        <v>45</v>
      </c>
      <c r="R129" s="80">
        <v>45</v>
      </c>
      <c r="S129" s="80">
        <v>45</v>
      </c>
      <c r="T129" s="80">
        <v>45</v>
      </c>
      <c r="U129" s="80">
        <v>540</v>
      </c>
    </row>
    <row r="130" spans="1:21" ht="15" customHeight="1" x14ac:dyDescent="0.3">
      <c r="A130" s="82" t="s">
        <v>728</v>
      </c>
      <c r="B130" s="81" t="s">
        <v>656</v>
      </c>
      <c r="C130" s="81" t="s">
        <v>727</v>
      </c>
      <c r="D130" s="81" t="s">
        <v>229</v>
      </c>
      <c r="E130" s="81" t="s">
        <v>726</v>
      </c>
      <c r="F130" s="81" t="s">
        <v>725</v>
      </c>
      <c r="G130" s="81" t="s">
        <v>226</v>
      </c>
      <c r="H130" s="81" t="s">
        <v>225</v>
      </c>
      <c r="I130" s="80">
        <v>45</v>
      </c>
      <c r="J130" s="80">
        <v>45</v>
      </c>
      <c r="K130" s="80">
        <v>45</v>
      </c>
      <c r="L130" s="80">
        <v>45</v>
      </c>
      <c r="M130" s="80">
        <v>45</v>
      </c>
      <c r="N130" s="80">
        <v>45</v>
      </c>
      <c r="O130" s="80">
        <v>45</v>
      </c>
      <c r="P130" s="80">
        <v>45</v>
      </c>
      <c r="Q130" s="80">
        <v>45</v>
      </c>
      <c r="R130" s="80">
        <v>45</v>
      </c>
      <c r="S130" s="80">
        <v>45</v>
      </c>
      <c r="T130" s="80">
        <v>45</v>
      </c>
      <c r="U130" s="80">
        <v>540</v>
      </c>
    </row>
    <row r="131" spans="1:21" ht="15" customHeight="1" x14ac:dyDescent="0.3">
      <c r="A131" s="82" t="s">
        <v>724</v>
      </c>
      <c r="B131" s="81" t="s">
        <v>656</v>
      </c>
      <c r="C131" s="81" t="s">
        <v>723</v>
      </c>
      <c r="D131" s="81" t="s">
        <v>229</v>
      </c>
      <c r="E131" s="81" t="s">
        <v>722</v>
      </c>
      <c r="F131" s="81" t="s">
        <v>721</v>
      </c>
      <c r="G131" s="81" t="s">
        <v>226</v>
      </c>
      <c r="H131" s="81" t="s">
        <v>225</v>
      </c>
      <c r="I131" s="80">
        <v>90</v>
      </c>
      <c r="J131" s="80">
        <v>90</v>
      </c>
      <c r="K131" s="80">
        <v>90</v>
      </c>
      <c r="L131" s="80">
        <v>135</v>
      </c>
      <c r="M131" s="80">
        <v>90</v>
      </c>
      <c r="N131" s="80">
        <v>90</v>
      </c>
      <c r="O131" s="80">
        <v>135</v>
      </c>
      <c r="P131" s="80">
        <v>90</v>
      </c>
      <c r="Q131" s="80">
        <v>90</v>
      </c>
      <c r="R131" s="80">
        <v>135</v>
      </c>
      <c r="S131" s="80">
        <v>90</v>
      </c>
      <c r="T131" s="80">
        <v>90</v>
      </c>
      <c r="U131" s="80">
        <v>1215</v>
      </c>
    </row>
    <row r="132" spans="1:21" ht="15" customHeight="1" x14ac:dyDescent="0.3">
      <c r="A132" s="82" t="s">
        <v>720</v>
      </c>
      <c r="B132" s="81" t="s">
        <v>656</v>
      </c>
      <c r="C132" s="81" t="s">
        <v>719</v>
      </c>
      <c r="D132" s="81" t="s">
        <v>229</v>
      </c>
      <c r="E132" s="81" t="s">
        <v>718</v>
      </c>
      <c r="F132" s="81" t="s">
        <v>717</v>
      </c>
      <c r="G132" s="81" t="s">
        <v>226</v>
      </c>
      <c r="H132" s="81" t="s">
        <v>225</v>
      </c>
      <c r="I132" s="80">
        <v>90</v>
      </c>
      <c r="J132" s="80">
        <v>90</v>
      </c>
      <c r="K132" s="80">
        <v>90</v>
      </c>
      <c r="L132" s="80">
        <v>90</v>
      </c>
      <c r="M132" s="80">
        <v>90</v>
      </c>
      <c r="N132" s="80">
        <v>90</v>
      </c>
      <c r="O132" s="80">
        <v>90</v>
      </c>
      <c r="P132" s="80">
        <v>90</v>
      </c>
      <c r="Q132" s="80">
        <v>90</v>
      </c>
      <c r="R132" s="80">
        <v>90</v>
      </c>
      <c r="S132" s="80">
        <v>90</v>
      </c>
      <c r="T132" s="80">
        <v>90</v>
      </c>
      <c r="U132" s="80">
        <v>1080</v>
      </c>
    </row>
    <row r="133" spans="1:21" ht="15" customHeight="1" x14ac:dyDescent="0.3">
      <c r="A133" s="82" t="s">
        <v>716</v>
      </c>
      <c r="B133" s="81" t="s">
        <v>656</v>
      </c>
      <c r="C133" s="81" t="s">
        <v>715</v>
      </c>
      <c r="D133" s="81" t="s">
        <v>229</v>
      </c>
      <c r="E133" s="81" t="s">
        <v>714</v>
      </c>
      <c r="F133" s="81" t="s">
        <v>713</v>
      </c>
      <c r="G133" s="81" t="s">
        <v>226</v>
      </c>
      <c r="H133" s="81" t="s">
        <v>225</v>
      </c>
      <c r="I133" s="80">
        <v>180</v>
      </c>
      <c r="J133" s="80">
        <v>180</v>
      </c>
      <c r="K133" s="80">
        <v>180</v>
      </c>
      <c r="L133" s="80">
        <v>180</v>
      </c>
      <c r="M133" s="80">
        <v>180</v>
      </c>
      <c r="N133" s="80">
        <v>180</v>
      </c>
      <c r="O133" s="80">
        <v>180</v>
      </c>
      <c r="P133" s="80">
        <v>180</v>
      </c>
      <c r="Q133" s="80">
        <v>180</v>
      </c>
      <c r="R133" s="80">
        <v>180</v>
      </c>
      <c r="S133" s="80">
        <v>180</v>
      </c>
      <c r="T133" s="80">
        <v>180</v>
      </c>
      <c r="U133" s="80">
        <v>2160</v>
      </c>
    </row>
    <row r="134" spans="1:21" ht="15" customHeight="1" x14ac:dyDescent="0.3">
      <c r="A134" s="82" t="s">
        <v>712</v>
      </c>
      <c r="B134" s="81" t="s">
        <v>656</v>
      </c>
      <c r="C134" s="81" t="s">
        <v>711</v>
      </c>
      <c r="D134" s="81" t="s">
        <v>229</v>
      </c>
      <c r="E134" s="81" t="s">
        <v>710</v>
      </c>
      <c r="F134" s="81" t="s">
        <v>709</v>
      </c>
      <c r="G134" s="81" t="s">
        <v>226</v>
      </c>
      <c r="H134" s="81" t="s">
        <v>225</v>
      </c>
      <c r="I134" s="80">
        <v>270</v>
      </c>
      <c r="J134" s="80">
        <v>270</v>
      </c>
      <c r="K134" s="80">
        <v>270</v>
      </c>
      <c r="L134" s="80">
        <v>270</v>
      </c>
      <c r="M134" s="80">
        <v>270</v>
      </c>
      <c r="N134" s="80">
        <v>270</v>
      </c>
      <c r="O134" s="80">
        <v>270</v>
      </c>
      <c r="P134" s="80">
        <v>270</v>
      </c>
      <c r="Q134" s="80">
        <v>270</v>
      </c>
      <c r="R134" s="80">
        <v>270</v>
      </c>
      <c r="S134" s="80">
        <v>270</v>
      </c>
      <c r="T134" s="80">
        <v>270</v>
      </c>
      <c r="U134" s="80">
        <v>3240</v>
      </c>
    </row>
    <row r="135" spans="1:21" ht="15" customHeight="1" x14ac:dyDescent="0.3">
      <c r="A135" s="82" t="s">
        <v>708</v>
      </c>
      <c r="B135" s="81" t="s">
        <v>656</v>
      </c>
      <c r="C135" s="81" t="s">
        <v>704</v>
      </c>
      <c r="D135" s="81" t="s">
        <v>229</v>
      </c>
      <c r="E135" s="81" t="s">
        <v>707</v>
      </c>
      <c r="F135" s="81" t="s">
        <v>706</v>
      </c>
      <c r="G135" s="81" t="s">
        <v>226</v>
      </c>
      <c r="H135" s="81" t="s">
        <v>225</v>
      </c>
      <c r="I135" s="80">
        <v>90</v>
      </c>
      <c r="J135" s="80">
        <v>90</v>
      </c>
      <c r="K135" s="80">
        <v>90</v>
      </c>
      <c r="L135" s="80">
        <v>90</v>
      </c>
      <c r="M135" s="80">
        <v>90</v>
      </c>
      <c r="N135" s="80">
        <v>90</v>
      </c>
      <c r="O135" s="80">
        <v>90</v>
      </c>
      <c r="P135" s="80">
        <v>90</v>
      </c>
      <c r="Q135" s="80">
        <v>90</v>
      </c>
      <c r="R135" s="80">
        <v>90</v>
      </c>
      <c r="S135" s="80">
        <v>90</v>
      </c>
      <c r="T135" s="80">
        <v>90</v>
      </c>
      <c r="U135" s="80">
        <v>1080</v>
      </c>
    </row>
    <row r="136" spans="1:21" ht="15" customHeight="1" x14ac:dyDescent="0.3">
      <c r="A136" s="82" t="s">
        <v>705</v>
      </c>
      <c r="B136" s="81" t="s">
        <v>656</v>
      </c>
      <c r="C136" s="81" t="s">
        <v>704</v>
      </c>
      <c r="D136" s="81" t="s">
        <v>229</v>
      </c>
      <c r="E136" s="81" t="s">
        <v>703</v>
      </c>
      <c r="F136" s="81" t="s">
        <v>702</v>
      </c>
      <c r="G136" s="81" t="s">
        <v>226</v>
      </c>
      <c r="H136" s="81" t="s">
        <v>225</v>
      </c>
      <c r="I136" s="80">
        <v>1080</v>
      </c>
      <c r="J136" s="80">
        <v>1080</v>
      </c>
      <c r="K136" s="80">
        <v>1080</v>
      </c>
      <c r="L136" s="80">
        <v>1080</v>
      </c>
      <c r="M136" s="80">
        <v>1080</v>
      </c>
      <c r="N136" s="80">
        <v>1080</v>
      </c>
      <c r="O136" s="80">
        <v>1080</v>
      </c>
      <c r="P136" s="80">
        <v>1080</v>
      </c>
      <c r="Q136" s="80">
        <v>1080</v>
      </c>
      <c r="R136" s="80">
        <v>1080</v>
      </c>
      <c r="S136" s="80">
        <v>1080</v>
      </c>
      <c r="T136" s="80">
        <v>1080</v>
      </c>
      <c r="U136" s="80">
        <v>12960</v>
      </c>
    </row>
    <row r="137" spans="1:21" ht="15" customHeight="1" x14ac:dyDescent="0.3">
      <c r="A137" s="82" t="s">
        <v>701</v>
      </c>
      <c r="B137" s="81" t="s">
        <v>656</v>
      </c>
      <c r="C137" s="81" t="s">
        <v>700</v>
      </c>
      <c r="D137" s="81" t="s">
        <v>229</v>
      </c>
      <c r="E137" s="81" t="s">
        <v>699</v>
      </c>
      <c r="F137" s="81" t="s">
        <v>698</v>
      </c>
      <c r="G137" s="81" t="s">
        <v>226</v>
      </c>
      <c r="H137" s="81" t="s">
        <v>225</v>
      </c>
      <c r="I137" s="80">
        <v>90</v>
      </c>
      <c r="J137" s="80">
        <v>90</v>
      </c>
      <c r="K137" s="80">
        <v>90</v>
      </c>
      <c r="L137" s="80">
        <v>90</v>
      </c>
      <c r="M137" s="80">
        <v>90</v>
      </c>
      <c r="N137" s="80">
        <v>90</v>
      </c>
      <c r="O137" s="80">
        <v>90</v>
      </c>
      <c r="P137" s="80">
        <v>90</v>
      </c>
      <c r="Q137" s="80">
        <v>90</v>
      </c>
      <c r="R137" s="80">
        <v>90</v>
      </c>
      <c r="S137" s="80">
        <v>90</v>
      </c>
      <c r="T137" s="80">
        <v>90</v>
      </c>
      <c r="U137" s="80">
        <v>1080</v>
      </c>
    </row>
    <row r="138" spans="1:21" ht="15" customHeight="1" x14ac:dyDescent="0.3">
      <c r="A138" s="82" t="s">
        <v>697</v>
      </c>
      <c r="B138" s="81" t="s">
        <v>656</v>
      </c>
      <c r="C138" s="81" t="s">
        <v>696</v>
      </c>
      <c r="D138" s="81" t="s">
        <v>229</v>
      </c>
      <c r="E138" s="81" t="s">
        <v>695</v>
      </c>
      <c r="F138" s="81" t="s">
        <v>694</v>
      </c>
      <c r="G138" s="81" t="s">
        <v>226</v>
      </c>
      <c r="H138" s="81" t="s">
        <v>225</v>
      </c>
      <c r="I138" s="80">
        <v>21331</v>
      </c>
      <c r="J138" s="80">
        <v>19338</v>
      </c>
      <c r="K138" s="80">
        <v>21119</v>
      </c>
      <c r="L138" s="80">
        <v>22013</v>
      </c>
      <c r="M138" s="80">
        <v>19957</v>
      </c>
      <c r="N138" s="80">
        <v>21581</v>
      </c>
      <c r="O138" s="80">
        <v>22130</v>
      </c>
      <c r="P138" s="80">
        <v>20019</v>
      </c>
      <c r="Q138" s="80">
        <v>21335</v>
      </c>
      <c r="R138" s="80">
        <v>23553</v>
      </c>
      <c r="S138" s="80">
        <v>21569</v>
      </c>
      <c r="T138" s="80">
        <v>21850</v>
      </c>
      <c r="U138" s="80">
        <v>255795</v>
      </c>
    </row>
    <row r="139" spans="1:21" ht="15" customHeight="1" x14ac:dyDescent="0.3">
      <c r="A139" s="82" t="s">
        <v>693</v>
      </c>
      <c r="B139" s="81" t="s">
        <v>656</v>
      </c>
      <c r="C139" s="81" t="s">
        <v>692</v>
      </c>
      <c r="D139" s="81" t="s">
        <v>229</v>
      </c>
      <c r="E139" s="81" t="s">
        <v>691</v>
      </c>
      <c r="F139" s="81" t="s">
        <v>690</v>
      </c>
      <c r="G139" s="81" t="s">
        <v>226</v>
      </c>
      <c r="H139" s="81" t="s">
        <v>225</v>
      </c>
      <c r="I139" s="80">
        <v>45</v>
      </c>
      <c r="J139" s="80">
        <v>45</v>
      </c>
      <c r="K139" s="80">
        <v>45</v>
      </c>
      <c r="L139" s="80">
        <v>45</v>
      </c>
      <c r="M139" s="80">
        <v>45</v>
      </c>
      <c r="N139" s="80">
        <v>45</v>
      </c>
      <c r="O139" s="80">
        <v>45</v>
      </c>
      <c r="P139" s="80">
        <v>45</v>
      </c>
      <c r="Q139" s="80">
        <v>45</v>
      </c>
      <c r="R139" s="80">
        <v>45</v>
      </c>
      <c r="S139" s="80">
        <v>45</v>
      </c>
      <c r="T139" s="80">
        <v>45</v>
      </c>
      <c r="U139" s="80">
        <v>540</v>
      </c>
    </row>
    <row r="140" spans="1:21" ht="15" customHeight="1" x14ac:dyDescent="0.3">
      <c r="A140" s="82" t="s">
        <v>689</v>
      </c>
      <c r="B140" s="81" t="s">
        <v>656</v>
      </c>
      <c r="C140" s="81" t="s">
        <v>670</v>
      </c>
      <c r="D140" s="81" t="s">
        <v>229</v>
      </c>
      <c r="E140" s="81" t="s">
        <v>688</v>
      </c>
      <c r="F140" s="81" t="s">
        <v>687</v>
      </c>
      <c r="G140" s="81" t="s">
        <v>226</v>
      </c>
      <c r="H140" s="81" t="s">
        <v>225</v>
      </c>
      <c r="I140" s="80">
        <v>45</v>
      </c>
      <c r="J140" s="80">
        <v>45</v>
      </c>
      <c r="K140" s="80">
        <v>45</v>
      </c>
      <c r="L140" s="80">
        <v>45</v>
      </c>
      <c r="M140" s="80">
        <v>45</v>
      </c>
      <c r="N140" s="80">
        <v>45</v>
      </c>
      <c r="O140" s="80">
        <v>45</v>
      </c>
      <c r="P140" s="80">
        <v>45</v>
      </c>
      <c r="Q140" s="80">
        <v>45</v>
      </c>
      <c r="R140" s="80">
        <v>45</v>
      </c>
      <c r="S140" s="80">
        <v>45</v>
      </c>
      <c r="T140" s="80">
        <v>45</v>
      </c>
      <c r="U140" s="80">
        <v>540</v>
      </c>
    </row>
    <row r="141" spans="1:21" ht="15" customHeight="1" x14ac:dyDescent="0.3">
      <c r="A141" s="82" t="s">
        <v>686</v>
      </c>
      <c r="B141" s="81" t="s">
        <v>656</v>
      </c>
      <c r="C141" s="81" t="s">
        <v>670</v>
      </c>
      <c r="D141" s="81" t="s">
        <v>229</v>
      </c>
      <c r="E141" s="81" t="s">
        <v>685</v>
      </c>
      <c r="F141" s="81" t="s">
        <v>684</v>
      </c>
      <c r="G141" s="81" t="s">
        <v>226</v>
      </c>
      <c r="H141" s="81" t="s">
        <v>225</v>
      </c>
      <c r="I141" s="80">
        <v>45</v>
      </c>
      <c r="J141" s="80">
        <v>45</v>
      </c>
      <c r="K141" s="80">
        <v>45</v>
      </c>
      <c r="L141" s="80">
        <v>45</v>
      </c>
      <c r="M141" s="80">
        <v>45</v>
      </c>
      <c r="N141" s="80">
        <v>45</v>
      </c>
      <c r="O141" s="80">
        <v>45</v>
      </c>
      <c r="P141" s="80">
        <v>45</v>
      </c>
      <c r="Q141" s="80">
        <v>45</v>
      </c>
      <c r="R141" s="80">
        <v>45</v>
      </c>
      <c r="S141" s="80">
        <v>45</v>
      </c>
      <c r="T141" s="80">
        <v>45</v>
      </c>
      <c r="U141" s="80">
        <v>540</v>
      </c>
    </row>
    <row r="142" spans="1:21" ht="15" customHeight="1" x14ac:dyDescent="0.3">
      <c r="A142" s="82" t="s">
        <v>683</v>
      </c>
      <c r="B142" s="81" t="s">
        <v>656</v>
      </c>
      <c r="C142" s="81" t="s">
        <v>670</v>
      </c>
      <c r="D142" s="81" t="s">
        <v>229</v>
      </c>
      <c r="E142" s="81" t="s">
        <v>682</v>
      </c>
      <c r="F142" s="81" t="s">
        <v>681</v>
      </c>
      <c r="G142" s="81" t="s">
        <v>226</v>
      </c>
      <c r="H142" s="81" t="s">
        <v>225</v>
      </c>
      <c r="I142" s="80">
        <v>45</v>
      </c>
      <c r="J142" s="80">
        <v>45</v>
      </c>
      <c r="K142" s="80">
        <v>45</v>
      </c>
      <c r="L142" s="80">
        <v>45</v>
      </c>
      <c r="M142" s="80">
        <v>45</v>
      </c>
      <c r="N142" s="80">
        <v>45</v>
      </c>
      <c r="O142" s="80">
        <v>45</v>
      </c>
      <c r="P142" s="80">
        <v>45</v>
      </c>
      <c r="Q142" s="80">
        <v>45</v>
      </c>
      <c r="R142" s="80">
        <v>45</v>
      </c>
      <c r="S142" s="80">
        <v>45</v>
      </c>
      <c r="T142" s="80">
        <v>45</v>
      </c>
      <c r="U142" s="80">
        <v>540</v>
      </c>
    </row>
    <row r="143" spans="1:21" ht="15" customHeight="1" x14ac:dyDescent="0.3">
      <c r="A143" s="82" t="s">
        <v>680</v>
      </c>
      <c r="B143" s="81" t="s">
        <v>656</v>
      </c>
      <c r="C143" s="81" t="s">
        <v>670</v>
      </c>
      <c r="D143" s="81" t="s">
        <v>229</v>
      </c>
      <c r="E143" s="81" t="s">
        <v>679</v>
      </c>
      <c r="F143" s="81" t="s">
        <v>678</v>
      </c>
      <c r="G143" s="81" t="s">
        <v>226</v>
      </c>
      <c r="H143" s="81" t="s">
        <v>225</v>
      </c>
      <c r="I143" s="80">
        <v>45</v>
      </c>
      <c r="J143" s="80">
        <v>45</v>
      </c>
      <c r="K143" s="80">
        <v>45</v>
      </c>
      <c r="L143" s="80">
        <v>45</v>
      </c>
      <c r="M143" s="80">
        <v>45</v>
      </c>
      <c r="N143" s="80">
        <v>45</v>
      </c>
      <c r="O143" s="80">
        <v>45</v>
      </c>
      <c r="P143" s="80">
        <v>45</v>
      </c>
      <c r="Q143" s="80">
        <v>45</v>
      </c>
      <c r="R143" s="80">
        <v>45</v>
      </c>
      <c r="S143" s="80">
        <v>45</v>
      </c>
      <c r="T143" s="80">
        <v>45</v>
      </c>
      <c r="U143" s="80">
        <v>540</v>
      </c>
    </row>
    <row r="144" spans="1:21" ht="15" customHeight="1" x14ac:dyDescent="0.3">
      <c r="A144" s="82" t="s">
        <v>677</v>
      </c>
      <c r="B144" s="81" t="s">
        <v>656</v>
      </c>
      <c r="C144" s="81" t="s">
        <v>670</v>
      </c>
      <c r="D144" s="81" t="s">
        <v>229</v>
      </c>
      <c r="E144" s="81" t="s">
        <v>676</v>
      </c>
      <c r="F144" s="81" t="s">
        <v>675</v>
      </c>
      <c r="G144" s="81" t="s">
        <v>226</v>
      </c>
      <c r="H144" s="81" t="s">
        <v>225</v>
      </c>
      <c r="I144" s="80">
        <v>315</v>
      </c>
      <c r="J144" s="80">
        <v>315</v>
      </c>
      <c r="K144" s="80">
        <v>315</v>
      </c>
      <c r="L144" s="80">
        <v>315</v>
      </c>
      <c r="M144" s="80">
        <v>315</v>
      </c>
      <c r="N144" s="80">
        <v>315</v>
      </c>
      <c r="O144" s="80">
        <v>315</v>
      </c>
      <c r="P144" s="80">
        <v>315</v>
      </c>
      <c r="Q144" s="80">
        <v>315</v>
      </c>
      <c r="R144" s="80">
        <v>315</v>
      </c>
      <c r="S144" s="80">
        <v>315</v>
      </c>
      <c r="T144" s="80">
        <v>315</v>
      </c>
      <c r="U144" s="80">
        <v>3780</v>
      </c>
    </row>
    <row r="145" spans="1:21" ht="15" customHeight="1" x14ac:dyDescent="0.3">
      <c r="A145" s="82" t="s">
        <v>674</v>
      </c>
      <c r="B145" s="81" t="s">
        <v>656</v>
      </c>
      <c r="C145" s="81" t="s">
        <v>670</v>
      </c>
      <c r="D145" s="81" t="s">
        <v>229</v>
      </c>
      <c r="E145" s="81" t="s">
        <v>673</v>
      </c>
      <c r="F145" s="81" t="s">
        <v>672</v>
      </c>
      <c r="G145" s="81" t="s">
        <v>226</v>
      </c>
      <c r="H145" s="81" t="s">
        <v>225</v>
      </c>
      <c r="I145" s="80">
        <v>3870</v>
      </c>
      <c r="J145" s="80">
        <v>3870</v>
      </c>
      <c r="K145" s="80">
        <v>3870</v>
      </c>
      <c r="L145" s="80">
        <v>3870</v>
      </c>
      <c r="M145" s="80">
        <v>3870</v>
      </c>
      <c r="N145" s="80">
        <v>3870</v>
      </c>
      <c r="O145" s="80">
        <v>3870</v>
      </c>
      <c r="P145" s="80">
        <v>3870</v>
      </c>
      <c r="Q145" s="80">
        <v>3870</v>
      </c>
      <c r="R145" s="80">
        <v>3870</v>
      </c>
      <c r="S145" s="80">
        <v>3870</v>
      </c>
      <c r="T145" s="80">
        <v>3870</v>
      </c>
      <c r="U145" s="80">
        <v>46440</v>
      </c>
    </row>
    <row r="146" spans="1:21" ht="15" customHeight="1" x14ac:dyDescent="0.3">
      <c r="A146" s="82" t="s">
        <v>671</v>
      </c>
      <c r="B146" s="81" t="s">
        <v>656</v>
      </c>
      <c r="C146" s="81" t="s">
        <v>670</v>
      </c>
      <c r="D146" s="81" t="s">
        <v>229</v>
      </c>
      <c r="E146" s="81" t="s">
        <v>669</v>
      </c>
      <c r="F146" s="81" t="s">
        <v>668</v>
      </c>
      <c r="G146" s="81" t="s">
        <v>226</v>
      </c>
      <c r="H146" s="81" t="s">
        <v>225</v>
      </c>
      <c r="I146" s="80">
        <v>135</v>
      </c>
      <c r="J146" s="80">
        <v>135</v>
      </c>
      <c r="K146" s="80">
        <v>135</v>
      </c>
      <c r="L146" s="80">
        <v>135</v>
      </c>
      <c r="M146" s="80">
        <v>135</v>
      </c>
      <c r="N146" s="80">
        <v>135</v>
      </c>
      <c r="O146" s="80">
        <v>135</v>
      </c>
      <c r="P146" s="80">
        <v>135</v>
      </c>
      <c r="Q146" s="80">
        <v>135</v>
      </c>
      <c r="R146" s="80">
        <v>135</v>
      </c>
      <c r="S146" s="80">
        <v>90</v>
      </c>
      <c r="T146" s="80">
        <v>90</v>
      </c>
      <c r="U146" s="80">
        <v>1530</v>
      </c>
    </row>
    <row r="147" spans="1:21" ht="15" customHeight="1" x14ac:dyDescent="0.3">
      <c r="A147" s="82" t="s">
        <v>667</v>
      </c>
      <c r="B147" s="81" t="s">
        <v>656</v>
      </c>
      <c r="C147" s="81" t="s">
        <v>660</v>
      </c>
      <c r="D147" s="81" t="s">
        <v>229</v>
      </c>
      <c r="E147" s="81" t="s">
        <v>666</v>
      </c>
      <c r="F147" s="81" t="s">
        <v>665</v>
      </c>
      <c r="G147" s="81" t="s">
        <v>226</v>
      </c>
      <c r="H147" s="81" t="s">
        <v>225</v>
      </c>
      <c r="I147" s="80">
        <v>270</v>
      </c>
      <c r="J147" s="80">
        <v>270</v>
      </c>
      <c r="K147" s="80">
        <v>270</v>
      </c>
      <c r="L147" s="80">
        <v>270</v>
      </c>
      <c r="M147" s="80">
        <v>270</v>
      </c>
      <c r="N147" s="80">
        <v>270</v>
      </c>
      <c r="O147" s="80">
        <v>270</v>
      </c>
      <c r="P147" s="80">
        <v>270</v>
      </c>
      <c r="Q147" s="80">
        <v>270</v>
      </c>
      <c r="R147" s="80">
        <v>270</v>
      </c>
      <c r="S147" s="80">
        <v>270</v>
      </c>
      <c r="T147" s="80">
        <v>270</v>
      </c>
      <c r="U147" s="80">
        <v>3240</v>
      </c>
    </row>
    <row r="148" spans="1:21" ht="15" customHeight="1" x14ac:dyDescent="0.3">
      <c r="A148" s="82" t="s">
        <v>664</v>
      </c>
      <c r="B148" s="81" t="s">
        <v>656</v>
      </c>
      <c r="C148" s="81" t="s">
        <v>660</v>
      </c>
      <c r="D148" s="81" t="s">
        <v>229</v>
      </c>
      <c r="E148" s="81" t="s">
        <v>663</v>
      </c>
      <c r="F148" s="81" t="s">
        <v>662</v>
      </c>
      <c r="G148" s="81" t="s">
        <v>226</v>
      </c>
      <c r="H148" s="81" t="s">
        <v>225</v>
      </c>
      <c r="I148" s="80">
        <v>145</v>
      </c>
      <c r="J148" s="80">
        <v>145</v>
      </c>
      <c r="K148" s="80">
        <v>145</v>
      </c>
      <c r="L148" s="80">
        <v>145</v>
      </c>
      <c r="M148" s="80">
        <v>145</v>
      </c>
      <c r="N148" s="80">
        <v>145</v>
      </c>
      <c r="O148" s="80">
        <v>145</v>
      </c>
      <c r="P148" s="80">
        <v>145</v>
      </c>
      <c r="Q148" s="80">
        <v>145</v>
      </c>
      <c r="R148" s="80">
        <v>145</v>
      </c>
      <c r="S148" s="80">
        <v>145</v>
      </c>
      <c r="T148" s="80">
        <v>145</v>
      </c>
      <c r="U148" s="80">
        <v>1740</v>
      </c>
    </row>
    <row r="149" spans="1:21" ht="15" customHeight="1" x14ac:dyDescent="0.3">
      <c r="A149" s="82" t="s">
        <v>661</v>
      </c>
      <c r="B149" s="81" t="s">
        <v>656</v>
      </c>
      <c r="C149" s="81" t="s">
        <v>660</v>
      </c>
      <c r="D149" s="81" t="s">
        <v>229</v>
      </c>
      <c r="E149" s="81" t="s">
        <v>659</v>
      </c>
      <c r="F149" s="81" t="s">
        <v>658</v>
      </c>
      <c r="G149" s="81" t="s">
        <v>226</v>
      </c>
      <c r="H149" s="81" t="s">
        <v>225</v>
      </c>
      <c r="I149" s="80">
        <v>135</v>
      </c>
      <c r="J149" s="80">
        <v>135</v>
      </c>
      <c r="K149" s="80">
        <v>135</v>
      </c>
      <c r="L149" s="80">
        <v>135</v>
      </c>
      <c r="M149" s="80">
        <v>135</v>
      </c>
      <c r="N149" s="80">
        <v>135</v>
      </c>
      <c r="O149" s="80">
        <v>135</v>
      </c>
      <c r="P149" s="80">
        <v>135</v>
      </c>
      <c r="Q149" s="80">
        <v>135</v>
      </c>
      <c r="R149" s="80">
        <v>135</v>
      </c>
      <c r="S149" s="80">
        <v>135</v>
      </c>
      <c r="T149" s="80">
        <v>135</v>
      </c>
      <c r="U149" s="80">
        <v>1620</v>
      </c>
    </row>
    <row r="150" spans="1:21" ht="15" customHeight="1" x14ac:dyDescent="0.3">
      <c r="A150" s="82" t="s">
        <v>657</v>
      </c>
      <c r="B150" s="81" t="s">
        <v>656</v>
      </c>
      <c r="C150" s="81" t="s">
        <v>655</v>
      </c>
      <c r="D150" s="81" t="s">
        <v>229</v>
      </c>
      <c r="E150" s="81" t="s">
        <v>654</v>
      </c>
      <c r="F150" s="81" t="s">
        <v>653</v>
      </c>
      <c r="G150" s="81" t="s">
        <v>226</v>
      </c>
      <c r="H150" s="81" t="s">
        <v>225</v>
      </c>
      <c r="I150" s="80">
        <v>45</v>
      </c>
      <c r="J150" s="80">
        <v>45</v>
      </c>
      <c r="K150" s="80">
        <v>45</v>
      </c>
      <c r="L150" s="80">
        <v>45</v>
      </c>
      <c r="M150" s="80">
        <v>45</v>
      </c>
      <c r="N150" s="80">
        <v>45</v>
      </c>
      <c r="O150" s="80">
        <v>45</v>
      </c>
      <c r="P150" s="80">
        <v>45</v>
      </c>
      <c r="Q150" s="80">
        <v>45</v>
      </c>
      <c r="R150" s="80">
        <v>45</v>
      </c>
      <c r="S150" s="80">
        <v>45</v>
      </c>
      <c r="T150" s="80">
        <v>45</v>
      </c>
      <c r="U150" s="80">
        <v>540</v>
      </c>
    </row>
    <row r="151" spans="1:21" ht="15" customHeight="1" x14ac:dyDescent="0.3">
      <c r="A151" s="82" t="s">
        <v>652</v>
      </c>
      <c r="B151" s="81" t="s">
        <v>627</v>
      </c>
      <c r="C151" s="81" t="s">
        <v>651</v>
      </c>
      <c r="D151" s="81" t="s">
        <v>229</v>
      </c>
      <c r="E151" s="81" t="s">
        <v>650</v>
      </c>
      <c r="F151" s="81" t="s">
        <v>649</v>
      </c>
      <c r="G151" s="81" t="s">
        <v>226</v>
      </c>
      <c r="H151" s="81" t="s">
        <v>225</v>
      </c>
      <c r="I151" s="80">
        <v>1500</v>
      </c>
      <c r="J151" s="80">
        <v>1500</v>
      </c>
      <c r="K151" s="80">
        <v>1500</v>
      </c>
      <c r="L151" s="80">
        <v>1500</v>
      </c>
      <c r="M151" s="80">
        <v>1500</v>
      </c>
      <c r="N151" s="80">
        <v>1500</v>
      </c>
      <c r="O151" s="80">
        <v>1500</v>
      </c>
      <c r="P151" s="80">
        <v>1500</v>
      </c>
      <c r="Q151" s="80">
        <v>1500</v>
      </c>
      <c r="R151" s="80">
        <v>1500</v>
      </c>
      <c r="S151" s="80">
        <v>1500</v>
      </c>
      <c r="T151" s="80">
        <v>1500</v>
      </c>
      <c r="U151" s="80">
        <v>18000</v>
      </c>
    </row>
    <row r="152" spans="1:21" ht="15" customHeight="1" x14ac:dyDescent="0.3">
      <c r="A152" s="82" t="s">
        <v>648</v>
      </c>
      <c r="B152" s="81" t="s">
        <v>627</v>
      </c>
      <c r="C152" s="81" t="s">
        <v>647</v>
      </c>
      <c r="D152" s="81" t="s">
        <v>229</v>
      </c>
      <c r="E152" s="81" t="s">
        <v>646</v>
      </c>
      <c r="F152" s="81" t="s">
        <v>645</v>
      </c>
      <c r="G152" s="81" t="s">
        <v>226</v>
      </c>
      <c r="H152" s="81" t="s">
        <v>225</v>
      </c>
      <c r="I152" s="80">
        <v>350</v>
      </c>
      <c r="J152" s="80">
        <v>350</v>
      </c>
      <c r="K152" s="80">
        <v>350</v>
      </c>
      <c r="L152" s="80">
        <v>350</v>
      </c>
      <c r="M152" s="80">
        <v>350</v>
      </c>
      <c r="N152" s="80">
        <v>505.04</v>
      </c>
      <c r="O152" s="80">
        <v>505.39</v>
      </c>
      <c r="P152" s="80">
        <v>505.39</v>
      </c>
      <c r="Q152" s="80">
        <v>505.39</v>
      </c>
      <c r="R152" s="80">
        <v>505.36</v>
      </c>
      <c r="S152" s="80">
        <v>505.36</v>
      </c>
      <c r="T152" s="80">
        <v>505.36</v>
      </c>
      <c r="U152" s="80">
        <v>5287.29</v>
      </c>
    </row>
    <row r="153" spans="1:21" ht="15" customHeight="1" x14ac:dyDescent="0.3">
      <c r="A153" s="82" t="s">
        <v>644</v>
      </c>
      <c r="B153" s="81" t="s">
        <v>627</v>
      </c>
      <c r="C153" s="81" t="s">
        <v>643</v>
      </c>
      <c r="D153" s="81" t="s">
        <v>229</v>
      </c>
      <c r="E153" s="81" t="s">
        <v>642</v>
      </c>
      <c r="F153" s="81" t="s">
        <v>641</v>
      </c>
      <c r="G153" s="81" t="s">
        <v>226</v>
      </c>
      <c r="H153" s="81" t="s">
        <v>225</v>
      </c>
      <c r="I153" s="80">
        <v>145</v>
      </c>
      <c r="J153" s="80">
        <v>145</v>
      </c>
      <c r="K153" s="80">
        <v>145</v>
      </c>
      <c r="L153" s="80">
        <v>145</v>
      </c>
      <c r="M153" s="80">
        <v>145</v>
      </c>
      <c r="N153" s="80">
        <v>145</v>
      </c>
      <c r="O153" s="80">
        <v>145</v>
      </c>
      <c r="P153" s="80">
        <v>145</v>
      </c>
      <c r="Q153" s="80">
        <v>145</v>
      </c>
      <c r="R153" s="80">
        <v>145</v>
      </c>
      <c r="S153" s="80">
        <v>145</v>
      </c>
      <c r="T153" s="80">
        <v>145</v>
      </c>
      <c r="U153" s="80">
        <v>1740</v>
      </c>
    </row>
    <row r="154" spans="1:21" ht="15" customHeight="1" x14ac:dyDescent="0.3">
      <c r="A154" s="82" t="s">
        <v>640</v>
      </c>
      <c r="B154" s="81" t="s">
        <v>627</v>
      </c>
      <c r="C154" s="81" t="s">
        <v>639</v>
      </c>
      <c r="D154" s="81" t="s">
        <v>229</v>
      </c>
      <c r="E154" s="81" t="s">
        <v>638</v>
      </c>
      <c r="F154" s="81" t="s">
        <v>637</v>
      </c>
      <c r="G154" s="81" t="s">
        <v>226</v>
      </c>
      <c r="H154" s="81" t="s">
        <v>225</v>
      </c>
      <c r="I154" s="80">
        <v>315</v>
      </c>
      <c r="J154" s="80">
        <v>315</v>
      </c>
      <c r="K154" s="80">
        <v>315</v>
      </c>
      <c r="L154" s="80">
        <v>315</v>
      </c>
      <c r="M154" s="80">
        <v>315</v>
      </c>
      <c r="N154" s="80">
        <v>315</v>
      </c>
      <c r="O154" s="80">
        <v>315</v>
      </c>
      <c r="P154" s="80">
        <v>315</v>
      </c>
      <c r="Q154" s="80">
        <v>315</v>
      </c>
      <c r="R154" s="80">
        <v>315</v>
      </c>
      <c r="S154" s="80">
        <v>315</v>
      </c>
      <c r="T154" s="80">
        <v>315</v>
      </c>
      <c r="U154" s="80">
        <v>3780</v>
      </c>
    </row>
    <row r="155" spans="1:21" ht="15" customHeight="1" x14ac:dyDescent="0.3">
      <c r="A155" s="82" t="s">
        <v>636</v>
      </c>
      <c r="B155" s="81" t="s">
        <v>627</v>
      </c>
      <c r="C155" s="81" t="s">
        <v>635</v>
      </c>
      <c r="D155" s="81" t="s">
        <v>229</v>
      </c>
      <c r="E155" s="81" t="s">
        <v>634</v>
      </c>
      <c r="F155" s="81" t="s">
        <v>633</v>
      </c>
      <c r="G155" s="81" t="s">
        <v>226</v>
      </c>
      <c r="H155" s="81" t="s">
        <v>225</v>
      </c>
      <c r="I155" s="80">
        <v>225</v>
      </c>
      <c r="J155" s="80">
        <v>225</v>
      </c>
      <c r="K155" s="80">
        <v>225</v>
      </c>
      <c r="L155" s="80">
        <v>225</v>
      </c>
      <c r="M155" s="80">
        <v>225</v>
      </c>
      <c r="N155" s="80">
        <v>225</v>
      </c>
      <c r="O155" s="80">
        <v>225</v>
      </c>
      <c r="P155" s="80">
        <v>225</v>
      </c>
      <c r="Q155" s="80">
        <v>225</v>
      </c>
      <c r="R155" s="80">
        <v>225</v>
      </c>
      <c r="S155" s="80">
        <v>225</v>
      </c>
      <c r="T155" s="80">
        <v>225</v>
      </c>
      <c r="U155" s="80">
        <v>2700</v>
      </c>
    </row>
    <row r="156" spans="1:21" ht="15" customHeight="1" x14ac:dyDescent="0.3">
      <c r="A156" s="82" t="s">
        <v>632</v>
      </c>
      <c r="B156" s="81" t="s">
        <v>627</v>
      </c>
      <c r="C156" s="81" t="s">
        <v>631</v>
      </c>
      <c r="D156" s="81" t="s">
        <v>229</v>
      </c>
      <c r="E156" s="81" t="s">
        <v>630</v>
      </c>
      <c r="F156" s="81" t="s">
        <v>629</v>
      </c>
      <c r="G156" s="81" t="s">
        <v>226</v>
      </c>
      <c r="H156" s="81" t="s">
        <v>225</v>
      </c>
      <c r="I156" s="80">
        <v>840</v>
      </c>
      <c r="J156" s="80">
        <v>672</v>
      </c>
      <c r="K156" s="80">
        <v>504</v>
      </c>
      <c r="L156" s="80">
        <v>2016</v>
      </c>
      <c r="M156" s="80">
        <v>2016</v>
      </c>
      <c r="N156" s="80">
        <v>1512</v>
      </c>
      <c r="O156" s="80">
        <v>1008</v>
      </c>
      <c r="P156" s="80">
        <v>1344</v>
      </c>
      <c r="Q156" s="80">
        <v>1512</v>
      </c>
      <c r="R156" s="80">
        <v>1848</v>
      </c>
      <c r="S156" s="80">
        <v>1848</v>
      </c>
      <c r="T156" s="80">
        <v>1680</v>
      </c>
      <c r="U156" s="80">
        <v>16800</v>
      </c>
    </row>
    <row r="157" spans="1:21" ht="15" customHeight="1" x14ac:dyDescent="0.3">
      <c r="A157" s="82" t="s">
        <v>628</v>
      </c>
      <c r="B157" s="81" t="s">
        <v>627</v>
      </c>
      <c r="C157" s="81" t="s">
        <v>626</v>
      </c>
      <c r="D157" s="81" t="s">
        <v>229</v>
      </c>
      <c r="E157" s="81" t="s">
        <v>625</v>
      </c>
      <c r="F157" s="81" t="s">
        <v>624</v>
      </c>
      <c r="G157" s="81" t="s">
        <v>226</v>
      </c>
      <c r="H157" s="81" t="s">
        <v>225</v>
      </c>
      <c r="I157" s="80">
        <v>180</v>
      </c>
      <c r="J157" s="80">
        <v>180</v>
      </c>
      <c r="K157" s="80">
        <v>180</v>
      </c>
      <c r="L157" s="80">
        <v>180</v>
      </c>
      <c r="M157" s="80">
        <v>180</v>
      </c>
      <c r="N157" s="80">
        <v>180</v>
      </c>
      <c r="O157" s="80">
        <v>180</v>
      </c>
      <c r="P157" s="80">
        <v>180</v>
      </c>
      <c r="Q157" s="80">
        <v>180</v>
      </c>
      <c r="R157" s="80">
        <v>180</v>
      </c>
      <c r="S157" s="80">
        <v>180</v>
      </c>
      <c r="T157" s="80">
        <v>180</v>
      </c>
      <c r="U157" s="80">
        <v>2160</v>
      </c>
    </row>
    <row r="158" spans="1:21" ht="15" customHeight="1" x14ac:dyDescent="0.3">
      <c r="A158" s="82" t="s">
        <v>623</v>
      </c>
      <c r="B158" s="81" t="s">
        <v>622</v>
      </c>
      <c r="C158" s="81" t="s">
        <v>621</v>
      </c>
      <c r="D158" s="81" t="s">
        <v>229</v>
      </c>
      <c r="E158" s="81" t="s">
        <v>620</v>
      </c>
      <c r="F158" s="81" t="s">
        <v>619</v>
      </c>
      <c r="G158" s="81" t="s">
        <v>226</v>
      </c>
      <c r="H158" s="81" t="s">
        <v>225</v>
      </c>
      <c r="I158" s="80">
        <v>0</v>
      </c>
      <c r="J158" s="80">
        <v>810</v>
      </c>
      <c r="K158" s="80">
        <v>810</v>
      </c>
      <c r="L158" s="80">
        <v>810</v>
      </c>
      <c r="M158" s="80">
        <v>810</v>
      </c>
      <c r="N158" s="80">
        <v>810</v>
      </c>
      <c r="O158" s="80">
        <v>810</v>
      </c>
      <c r="P158" s="80">
        <v>810</v>
      </c>
      <c r="Q158" s="80">
        <v>810</v>
      </c>
      <c r="R158" s="80">
        <v>810</v>
      </c>
      <c r="S158" s="80">
        <v>810</v>
      </c>
      <c r="T158" s="80">
        <v>810</v>
      </c>
      <c r="U158" s="80">
        <v>8910</v>
      </c>
    </row>
    <row r="159" spans="1:21" ht="15" customHeight="1" x14ac:dyDescent="0.3">
      <c r="A159" s="82" t="s">
        <v>618</v>
      </c>
      <c r="B159" s="81" t="s">
        <v>498</v>
      </c>
      <c r="C159" s="81" t="s">
        <v>611</v>
      </c>
      <c r="D159" s="81" t="s">
        <v>229</v>
      </c>
      <c r="E159" s="81" t="s">
        <v>617</v>
      </c>
      <c r="F159" s="81" t="s">
        <v>616</v>
      </c>
      <c r="G159" s="81" t="s">
        <v>226</v>
      </c>
      <c r="H159" s="81" t="s">
        <v>225</v>
      </c>
      <c r="I159" s="80">
        <v>230</v>
      </c>
      <c r="J159" s="80">
        <v>230</v>
      </c>
      <c r="K159" s="80">
        <v>230</v>
      </c>
      <c r="L159" s="80">
        <v>230</v>
      </c>
      <c r="M159" s="80">
        <v>230</v>
      </c>
      <c r="N159" s="80">
        <v>230</v>
      </c>
      <c r="O159" s="80">
        <v>230</v>
      </c>
      <c r="P159" s="80">
        <v>230</v>
      </c>
      <c r="Q159" s="80">
        <v>230</v>
      </c>
      <c r="R159" s="80">
        <v>230</v>
      </c>
      <c r="S159" s="80">
        <v>230</v>
      </c>
      <c r="T159" s="80">
        <v>230</v>
      </c>
      <c r="U159" s="80">
        <v>2760</v>
      </c>
    </row>
    <row r="160" spans="1:21" ht="15" customHeight="1" x14ac:dyDescent="0.3">
      <c r="A160" s="82" t="s">
        <v>615</v>
      </c>
      <c r="B160" s="81" t="s">
        <v>498</v>
      </c>
      <c r="C160" s="81" t="s">
        <v>611</v>
      </c>
      <c r="D160" s="81" t="s">
        <v>229</v>
      </c>
      <c r="E160" s="81" t="s">
        <v>614</v>
      </c>
      <c r="F160" s="81" t="s">
        <v>613</v>
      </c>
      <c r="G160" s="81" t="s">
        <v>226</v>
      </c>
      <c r="H160" s="81" t="s">
        <v>225</v>
      </c>
      <c r="I160" s="80">
        <v>230</v>
      </c>
      <c r="J160" s="80">
        <v>230</v>
      </c>
      <c r="K160" s="80">
        <v>230</v>
      </c>
      <c r="L160" s="80">
        <v>230</v>
      </c>
      <c r="M160" s="80">
        <v>230</v>
      </c>
      <c r="N160" s="80">
        <v>230</v>
      </c>
      <c r="O160" s="80">
        <v>230</v>
      </c>
      <c r="P160" s="80">
        <v>230</v>
      </c>
      <c r="Q160" s="80">
        <v>230</v>
      </c>
      <c r="R160" s="80">
        <v>230</v>
      </c>
      <c r="S160" s="80">
        <v>230</v>
      </c>
      <c r="T160" s="80">
        <v>230</v>
      </c>
      <c r="U160" s="80">
        <v>2760</v>
      </c>
    </row>
    <row r="161" spans="1:21" ht="15" customHeight="1" x14ac:dyDescent="0.3">
      <c r="A161" s="82" t="s">
        <v>612</v>
      </c>
      <c r="B161" s="81" t="s">
        <v>498</v>
      </c>
      <c r="C161" s="81" t="s">
        <v>611</v>
      </c>
      <c r="D161" s="81" t="s">
        <v>229</v>
      </c>
      <c r="E161" s="81" t="s">
        <v>610</v>
      </c>
      <c r="F161" s="81" t="s">
        <v>609</v>
      </c>
      <c r="G161" s="81" t="s">
        <v>226</v>
      </c>
      <c r="H161" s="81" t="s">
        <v>225</v>
      </c>
      <c r="I161" s="80">
        <v>4006.5793269999999</v>
      </c>
      <c r="J161" s="80">
        <v>4006.5793269999999</v>
      </c>
      <c r="K161" s="80">
        <v>4006.5793269999999</v>
      </c>
      <c r="L161" s="80">
        <v>4006.5793269999999</v>
      </c>
      <c r="M161" s="80">
        <v>4006.5793269999999</v>
      </c>
      <c r="N161" s="80">
        <v>4006.5793269999999</v>
      </c>
      <c r="O161" s="80">
        <v>6009.8689899999999</v>
      </c>
      <c r="P161" s="80">
        <v>6009.8689899999999</v>
      </c>
      <c r="Q161" s="80">
        <v>6009.8689899999999</v>
      </c>
      <c r="R161" s="80">
        <v>6009.8689899999999</v>
      </c>
      <c r="S161" s="80">
        <v>6009.8689899999999</v>
      </c>
      <c r="T161" s="80">
        <v>6009.8689899999999</v>
      </c>
      <c r="U161" s="80">
        <v>60098.689901999998</v>
      </c>
    </row>
    <row r="162" spans="1:21" ht="15" customHeight="1" x14ac:dyDescent="0.3">
      <c r="A162" s="82" t="s">
        <v>608</v>
      </c>
      <c r="B162" s="81" t="s">
        <v>498</v>
      </c>
      <c r="C162" s="81" t="s">
        <v>577</v>
      </c>
      <c r="D162" s="81" t="s">
        <v>229</v>
      </c>
      <c r="E162" s="81" t="s">
        <v>607</v>
      </c>
      <c r="F162" s="81" t="s">
        <v>606</v>
      </c>
      <c r="G162" s="81" t="s">
        <v>226</v>
      </c>
      <c r="H162" s="81" t="s">
        <v>225</v>
      </c>
      <c r="I162" s="80">
        <v>689.7</v>
      </c>
      <c r="J162" s="80">
        <v>689.7</v>
      </c>
      <c r="K162" s="80">
        <v>689.7</v>
      </c>
      <c r="L162" s="80">
        <v>689.7</v>
      </c>
      <c r="M162" s="80">
        <v>689.7</v>
      </c>
      <c r="N162" s="80">
        <v>689.7</v>
      </c>
      <c r="O162" s="80">
        <v>689.7</v>
      </c>
      <c r="P162" s="80">
        <v>689.7</v>
      </c>
      <c r="Q162" s="80">
        <v>689.7</v>
      </c>
      <c r="R162" s="80">
        <v>689.7</v>
      </c>
      <c r="S162" s="80">
        <v>689.7</v>
      </c>
      <c r="T162" s="80">
        <v>689.7</v>
      </c>
      <c r="U162" s="80">
        <v>8276.4</v>
      </c>
    </row>
    <row r="163" spans="1:21" ht="15" customHeight="1" x14ac:dyDescent="0.3">
      <c r="A163" s="82" t="s">
        <v>605</v>
      </c>
      <c r="B163" s="81" t="s">
        <v>498</v>
      </c>
      <c r="C163" s="81" t="s">
        <v>577</v>
      </c>
      <c r="D163" s="81" t="s">
        <v>229</v>
      </c>
      <c r="E163" s="81" t="s">
        <v>604</v>
      </c>
      <c r="F163" s="81" t="s">
        <v>603</v>
      </c>
      <c r="G163" s="81" t="s">
        <v>226</v>
      </c>
      <c r="H163" s="81" t="s">
        <v>225</v>
      </c>
      <c r="I163" s="80">
        <v>230</v>
      </c>
      <c r="J163" s="80">
        <v>230</v>
      </c>
      <c r="K163" s="80">
        <v>230</v>
      </c>
      <c r="L163" s="80">
        <v>230</v>
      </c>
      <c r="M163" s="80">
        <v>230</v>
      </c>
      <c r="N163" s="80">
        <v>230</v>
      </c>
      <c r="O163" s="80">
        <v>230</v>
      </c>
      <c r="P163" s="80">
        <v>230</v>
      </c>
      <c r="Q163" s="80">
        <v>230</v>
      </c>
      <c r="R163" s="80">
        <v>230</v>
      </c>
      <c r="S163" s="80">
        <v>230</v>
      </c>
      <c r="T163" s="80">
        <v>230</v>
      </c>
      <c r="U163" s="80">
        <v>2760</v>
      </c>
    </row>
    <row r="164" spans="1:21" ht="15" customHeight="1" x14ac:dyDescent="0.3">
      <c r="A164" s="82" t="s">
        <v>602</v>
      </c>
      <c r="B164" s="81" t="s">
        <v>498</v>
      </c>
      <c r="C164" s="81" t="s">
        <v>577</v>
      </c>
      <c r="D164" s="81" t="s">
        <v>229</v>
      </c>
      <c r="E164" s="81" t="s">
        <v>601</v>
      </c>
      <c r="F164" s="81" t="s">
        <v>600</v>
      </c>
      <c r="G164" s="81" t="s">
        <v>226</v>
      </c>
      <c r="H164" s="81" t="s">
        <v>225</v>
      </c>
      <c r="I164" s="80">
        <v>230</v>
      </c>
      <c r="J164" s="80">
        <v>230</v>
      </c>
      <c r="K164" s="80">
        <v>230</v>
      </c>
      <c r="L164" s="80">
        <v>230</v>
      </c>
      <c r="M164" s="80">
        <v>230</v>
      </c>
      <c r="N164" s="80">
        <v>230</v>
      </c>
      <c r="O164" s="80">
        <v>230</v>
      </c>
      <c r="P164" s="80">
        <v>230</v>
      </c>
      <c r="Q164" s="80">
        <v>230</v>
      </c>
      <c r="R164" s="80">
        <v>230</v>
      </c>
      <c r="S164" s="80">
        <v>230</v>
      </c>
      <c r="T164" s="80">
        <v>230</v>
      </c>
      <c r="U164" s="80">
        <v>2760</v>
      </c>
    </row>
    <row r="165" spans="1:21" ht="15" customHeight="1" x14ac:dyDescent="0.3">
      <c r="A165" s="82" t="s">
        <v>599</v>
      </c>
      <c r="B165" s="81" t="s">
        <v>498</v>
      </c>
      <c r="C165" s="81" t="s">
        <v>577</v>
      </c>
      <c r="D165" s="81" t="s">
        <v>229</v>
      </c>
      <c r="E165" s="81" t="s">
        <v>598</v>
      </c>
      <c r="F165" s="81" t="s">
        <v>597</v>
      </c>
      <c r="G165" s="81" t="s">
        <v>226</v>
      </c>
      <c r="H165" s="81" t="s">
        <v>225</v>
      </c>
      <c r="I165" s="80">
        <v>230</v>
      </c>
      <c r="J165" s="80">
        <v>230</v>
      </c>
      <c r="K165" s="80">
        <v>230</v>
      </c>
      <c r="L165" s="80">
        <v>230</v>
      </c>
      <c r="M165" s="80">
        <v>230</v>
      </c>
      <c r="N165" s="80">
        <v>230</v>
      </c>
      <c r="O165" s="80">
        <v>230</v>
      </c>
      <c r="P165" s="80">
        <v>230</v>
      </c>
      <c r="Q165" s="80">
        <v>230</v>
      </c>
      <c r="R165" s="80">
        <v>230</v>
      </c>
      <c r="S165" s="80">
        <v>230</v>
      </c>
      <c r="T165" s="80">
        <v>230</v>
      </c>
      <c r="U165" s="80">
        <v>2760</v>
      </c>
    </row>
    <row r="166" spans="1:21" ht="15" customHeight="1" x14ac:dyDescent="0.3">
      <c r="A166" s="82" t="s">
        <v>596</v>
      </c>
      <c r="B166" s="81" t="s">
        <v>498</v>
      </c>
      <c r="C166" s="81" t="s">
        <v>577</v>
      </c>
      <c r="D166" s="81" t="s">
        <v>229</v>
      </c>
      <c r="E166" s="81" t="s">
        <v>595</v>
      </c>
      <c r="F166" s="81" t="s">
        <v>594</v>
      </c>
      <c r="G166" s="81" t="s">
        <v>226</v>
      </c>
      <c r="H166" s="81" t="s">
        <v>225</v>
      </c>
      <c r="I166" s="80">
        <v>230</v>
      </c>
      <c r="J166" s="80">
        <v>230</v>
      </c>
      <c r="K166" s="80">
        <v>230</v>
      </c>
      <c r="L166" s="80">
        <v>230</v>
      </c>
      <c r="M166" s="80">
        <v>230</v>
      </c>
      <c r="N166" s="80">
        <v>230</v>
      </c>
      <c r="O166" s="80">
        <v>230</v>
      </c>
      <c r="P166" s="80">
        <v>230</v>
      </c>
      <c r="Q166" s="80">
        <v>230</v>
      </c>
      <c r="R166" s="80">
        <v>230</v>
      </c>
      <c r="S166" s="80">
        <v>230</v>
      </c>
      <c r="T166" s="80">
        <v>230</v>
      </c>
      <c r="U166" s="80">
        <v>2760</v>
      </c>
    </row>
    <row r="167" spans="1:21" ht="15" customHeight="1" x14ac:dyDescent="0.3">
      <c r="A167" s="82" t="s">
        <v>593</v>
      </c>
      <c r="B167" s="81" t="s">
        <v>498</v>
      </c>
      <c r="C167" s="81" t="s">
        <v>577</v>
      </c>
      <c r="D167" s="81" t="s">
        <v>229</v>
      </c>
      <c r="E167" s="81" t="s">
        <v>592</v>
      </c>
      <c r="F167" s="81" t="s">
        <v>591</v>
      </c>
      <c r="G167" s="81" t="s">
        <v>226</v>
      </c>
      <c r="H167" s="81" t="s">
        <v>225</v>
      </c>
      <c r="I167" s="80">
        <v>230</v>
      </c>
      <c r="J167" s="80">
        <v>230</v>
      </c>
      <c r="K167" s="80">
        <v>230</v>
      </c>
      <c r="L167" s="80">
        <v>230</v>
      </c>
      <c r="M167" s="80">
        <v>230</v>
      </c>
      <c r="N167" s="80">
        <v>230</v>
      </c>
      <c r="O167" s="80">
        <v>230</v>
      </c>
      <c r="P167" s="80">
        <v>230</v>
      </c>
      <c r="Q167" s="80">
        <v>230</v>
      </c>
      <c r="R167" s="80">
        <v>230</v>
      </c>
      <c r="S167" s="80">
        <v>230</v>
      </c>
      <c r="T167" s="80">
        <v>230</v>
      </c>
      <c r="U167" s="80">
        <v>2760</v>
      </c>
    </row>
    <row r="168" spans="1:21" ht="15" customHeight="1" x14ac:dyDescent="0.3">
      <c r="A168" s="82" t="s">
        <v>590</v>
      </c>
      <c r="B168" s="81" t="s">
        <v>498</v>
      </c>
      <c r="C168" s="81" t="s">
        <v>577</v>
      </c>
      <c r="D168" s="81" t="s">
        <v>229</v>
      </c>
      <c r="E168" s="81" t="s">
        <v>589</v>
      </c>
      <c r="F168" s="81" t="s">
        <v>588</v>
      </c>
      <c r="G168" s="81" t="s">
        <v>226</v>
      </c>
      <c r="H168" s="81" t="s">
        <v>225</v>
      </c>
      <c r="I168" s="80">
        <v>3338.8183779999999</v>
      </c>
      <c r="J168" s="80">
        <v>3338.8183779999999</v>
      </c>
      <c r="K168" s="80">
        <v>3338.8183779999999</v>
      </c>
      <c r="L168" s="80">
        <v>3338.8183779999999</v>
      </c>
      <c r="M168" s="80">
        <v>3338.8183779999999</v>
      </c>
      <c r="N168" s="80">
        <v>3338.8183779999999</v>
      </c>
      <c r="O168" s="80">
        <v>5008.2275680000002</v>
      </c>
      <c r="P168" s="80">
        <v>5008.2275680000002</v>
      </c>
      <c r="Q168" s="80">
        <v>5008.2275680000002</v>
      </c>
      <c r="R168" s="80">
        <v>5008.2275680000002</v>
      </c>
      <c r="S168" s="80">
        <v>5008.2275680000002</v>
      </c>
      <c r="T168" s="80">
        <v>5008.2275680000002</v>
      </c>
      <c r="U168" s="80">
        <v>50082.275675999997</v>
      </c>
    </row>
    <row r="169" spans="1:21" ht="15" customHeight="1" x14ac:dyDescent="0.3">
      <c r="A169" s="82" t="s">
        <v>587</v>
      </c>
      <c r="B169" s="81" t="s">
        <v>498</v>
      </c>
      <c r="C169" s="81" t="s">
        <v>577</v>
      </c>
      <c r="D169" s="81" t="s">
        <v>229</v>
      </c>
      <c r="E169" s="81" t="s">
        <v>586</v>
      </c>
      <c r="F169" s="81" t="s">
        <v>585</v>
      </c>
      <c r="G169" s="81" t="s">
        <v>226</v>
      </c>
      <c r="H169" s="81" t="s">
        <v>225</v>
      </c>
      <c r="I169" s="80">
        <v>4006.5793269999999</v>
      </c>
      <c r="J169" s="80">
        <v>4006.5793269999999</v>
      </c>
      <c r="K169" s="80">
        <v>4006.5793269999999</v>
      </c>
      <c r="L169" s="80">
        <v>4006.5793269999999</v>
      </c>
      <c r="M169" s="80">
        <v>4006.5793269999999</v>
      </c>
      <c r="N169" s="80">
        <v>4006.5793269999999</v>
      </c>
      <c r="O169" s="80">
        <v>6009.8689899999999</v>
      </c>
      <c r="P169" s="80">
        <v>6009.8689899999999</v>
      </c>
      <c r="Q169" s="80">
        <v>6009.8689899999999</v>
      </c>
      <c r="R169" s="80">
        <v>6009.8689899999999</v>
      </c>
      <c r="S169" s="80">
        <v>6009.8689899999999</v>
      </c>
      <c r="T169" s="80">
        <v>6009.8689899999999</v>
      </c>
      <c r="U169" s="80">
        <v>60098.689901999998</v>
      </c>
    </row>
    <row r="170" spans="1:21" ht="15" customHeight="1" x14ac:dyDescent="0.3">
      <c r="A170" s="82" t="s">
        <v>584</v>
      </c>
      <c r="B170" s="81" t="s">
        <v>498</v>
      </c>
      <c r="C170" s="81" t="s">
        <v>577</v>
      </c>
      <c r="D170" s="81" t="s">
        <v>229</v>
      </c>
      <c r="E170" s="81" t="s">
        <v>583</v>
      </c>
      <c r="F170" s="81" t="s">
        <v>582</v>
      </c>
      <c r="G170" s="81" t="s">
        <v>226</v>
      </c>
      <c r="H170" s="81" t="s">
        <v>225</v>
      </c>
      <c r="I170" s="80">
        <v>2837.9959629999998</v>
      </c>
      <c r="J170" s="80">
        <v>2837.9959629999998</v>
      </c>
      <c r="K170" s="80">
        <v>2837.9959629999998</v>
      </c>
      <c r="L170" s="80">
        <v>2837.9959629999998</v>
      </c>
      <c r="M170" s="80">
        <v>2837.9959629999998</v>
      </c>
      <c r="N170" s="80">
        <v>2837.9959629999998</v>
      </c>
      <c r="O170" s="80">
        <v>4256.9939439999998</v>
      </c>
      <c r="P170" s="80">
        <v>4256.9939439999998</v>
      </c>
      <c r="Q170" s="80">
        <v>4256.9939439999998</v>
      </c>
      <c r="R170" s="80">
        <v>4256.9939439999998</v>
      </c>
      <c r="S170" s="80">
        <v>4256.9939439999998</v>
      </c>
      <c r="T170" s="80">
        <v>4256.9939439999998</v>
      </c>
      <c r="U170" s="80">
        <v>42569.939442000003</v>
      </c>
    </row>
    <row r="171" spans="1:21" ht="15" customHeight="1" x14ac:dyDescent="0.3">
      <c r="A171" s="82" t="s">
        <v>581</v>
      </c>
      <c r="B171" s="81" t="s">
        <v>498</v>
      </c>
      <c r="C171" s="81" t="s">
        <v>577</v>
      </c>
      <c r="D171" s="81" t="s">
        <v>229</v>
      </c>
      <c r="E171" s="81" t="s">
        <v>580</v>
      </c>
      <c r="F171" s="81" t="s">
        <v>579</v>
      </c>
      <c r="G171" s="81" t="s">
        <v>226</v>
      </c>
      <c r="H171" s="81" t="s">
        <v>225</v>
      </c>
      <c r="I171" s="80">
        <v>4340.4632099999999</v>
      </c>
      <c r="J171" s="80">
        <v>4340.4632099999999</v>
      </c>
      <c r="K171" s="80">
        <v>4340.4632099999999</v>
      </c>
      <c r="L171" s="80">
        <v>4340.4632099999999</v>
      </c>
      <c r="M171" s="80">
        <v>4340.4632099999999</v>
      </c>
      <c r="N171" s="80">
        <v>4340.4632099999999</v>
      </c>
      <c r="O171" s="80">
        <v>6510.6948149999998</v>
      </c>
      <c r="P171" s="80">
        <v>6510.6948149999998</v>
      </c>
      <c r="Q171" s="80">
        <v>6510.6948149999998</v>
      </c>
      <c r="R171" s="80">
        <v>6510.6948149999998</v>
      </c>
      <c r="S171" s="80">
        <v>6510.6948149999998</v>
      </c>
      <c r="T171" s="80">
        <v>6510.6948149999998</v>
      </c>
      <c r="U171" s="80">
        <v>65106.948149999997</v>
      </c>
    </row>
    <row r="172" spans="1:21" ht="15" customHeight="1" x14ac:dyDescent="0.3">
      <c r="A172" s="82" t="s">
        <v>578</v>
      </c>
      <c r="B172" s="81" t="s">
        <v>498</v>
      </c>
      <c r="C172" s="81" t="s">
        <v>577</v>
      </c>
      <c r="D172" s="81" t="s">
        <v>229</v>
      </c>
      <c r="E172" s="81" t="s">
        <v>576</v>
      </c>
      <c r="F172" s="81" t="s">
        <v>575</v>
      </c>
      <c r="G172" s="81" t="s">
        <v>226</v>
      </c>
      <c r="H172" s="81" t="s">
        <v>225</v>
      </c>
      <c r="I172" s="80">
        <v>3839.6407939999999</v>
      </c>
      <c r="J172" s="80">
        <v>3839.6407939999999</v>
      </c>
      <c r="K172" s="80">
        <v>3839.6407939999999</v>
      </c>
      <c r="L172" s="80">
        <v>3839.6407939999999</v>
      </c>
      <c r="M172" s="80">
        <v>3839.6407939999999</v>
      </c>
      <c r="N172" s="80">
        <v>3839.6407939999999</v>
      </c>
      <c r="O172" s="80">
        <v>5759.4611910000003</v>
      </c>
      <c r="P172" s="80">
        <v>5759.4611910000003</v>
      </c>
      <c r="Q172" s="80">
        <v>5759.4611910000003</v>
      </c>
      <c r="R172" s="80">
        <v>5759.4611910000003</v>
      </c>
      <c r="S172" s="80">
        <v>5759.4611910000003</v>
      </c>
      <c r="T172" s="80">
        <v>5759.4611910000003</v>
      </c>
      <c r="U172" s="80">
        <v>57594.61191</v>
      </c>
    </row>
    <row r="173" spans="1:21" ht="15" customHeight="1" x14ac:dyDescent="0.3">
      <c r="A173" s="82" t="s">
        <v>574</v>
      </c>
      <c r="B173" s="81" t="s">
        <v>498</v>
      </c>
      <c r="C173" s="81" t="s">
        <v>513</v>
      </c>
      <c r="D173" s="81" t="s">
        <v>229</v>
      </c>
      <c r="E173" s="81" t="s">
        <v>573</v>
      </c>
      <c r="F173" s="81" t="s">
        <v>572</v>
      </c>
      <c r="G173" s="81" t="s">
        <v>226</v>
      </c>
      <c r="H173" s="81" t="s">
        <v>225</v>
      </c>
      <c r="I173" s="80">
        <v>690</v>
      </c>
      <c r="J173" s="80">
        <v>690</v>
      </c>
      <c r="K173" s="80">
        <v>690</v>
      </c>
      <c r="L173" s="80">
        <v>690</v>
      </c>
      <c r="M173" s="80">
        <v>690</v>
      </c>
      <c r="N173" s="80">
        <v>690</v>
      </c>
      <c r="O173" s="80">
        <v>690</v>
      </c>
      <c r="P173" s="80">
        <v>690</v>
      </c>
      <c r="Q173" s="80">
        <v>690</v>
      </c>
      <c r="R173" s="80">
        <v>690</v>
      </c>
      <c r="S173" s="80">
        <v>690</v>
      </c>
      <c r="T173" s="80">
        <v>690</v>
      </c>
      <c r="U173" s="80">
        <v>8280</v>
      </c>
    </row>
    <row r="174" spans="1:21" ht="15" customHeight="1" x14ac:dyDescent="0.3">
      <c r="A174" s="82" t="s">
        <v>571</v>
      </c>
      <c r="B174" s="81" t="s">
        <v>498</v>
      </c>
      <c r="C174" s="81" t="s">
        <v>513</v>
      </c>
      <c r="D174" s="81" t="s">
        <v>229</v>
      </c>
      <c r="E174" s="81" t="s">
        <v>570</v>
      </c>
      <c r="F174" s="81" t="s">
        <v>569</v>
      </c>
      <c r="G174" s="81" t="s">
        <v>226</v>
      </c>
      <c r="H174" s="81" t="s">
        <v>225</v>
      </c>
      <c r="I174" s="80">
        <v>230</v>
      </c>
      <c r="J174" s="80">
        <v>230</v>
      </c>
      <c r="K174" s="80">
        <v>230</v>
      </c>
      <c r="L174" s="80">
        <v>230</v>
      </c>
      <c r="M174" s="80">
        <v>230</v>
      </c>
      <c r="N174" s="80">
        <v>230</v>
      </c>
      <c r="O174" s="80">
        <v>230</v>
      </c>
      <c r="P174" s="80">
        <v>230</v>
      </c>
      <c r="Q174" s="80">
        <v>230</v>
      </c>
      <c r="R174" s="80">
        <v>230</v>
      </c>
      <c r="S174" s="80">
        <v>230</v>
      </c>
      <c r="T174" s="80">
        <v>230</v>
      </c>
      <c r="U174" s="80">
        <v>2760</v>
      </c>
    </row>
    <row r="175" spans="1:21" ht="15" customHeight="1" x14ac:dyDescent="0.3">
      <c r="A175" s="82" t="s">
        <v>568</v>
      </c>
      <c r="B175" s="81" t="s">
        <v>498</v>
      </c>
      <c r="C175" s="81" t="s">
        <v>513</v>
      </c>
      <c r="D175" s="81" t="s">
        <v>229</v>
      </c>
      <c r="E175" s="81" t="s">
        <v>567</v>
      </c>
      <c r="F175" s="81" t="s">
        <v>566</v>
      </c>
      <c r="G175" s="81" t="s">
        <v>226</v>
      </c>
      <c r="H175" s="81" t="s">
        <v>225</v>
      </c>
      <c r="I175" s="80">
        <v>230</v>
      </c>
      <c r="J175" s="80">
        <v>230</v>
      </c>
      <c r="K175" s="80">
        <v>230</v>
      </c>
      <c r="L175" s="80">
        <v>230</v>
      </c>
      <c r="M175" s="80">
        <v>230</v>
      </c>
      <c r="N175" s="80">
        <v>230</v>
      </c>
      <c r="O175" s="80">
        <v>230</v>
      </c>
      <c r="P175" s="80">
        <v>230</v>
      </c>
      <c r="Q175" s="80">
        <v>230</v>
      </c>
      <c r="R175" s="80">
        <v>230</v>
      </c>
      <c r="S175" s="80">
        <v>230</v>
      </c>
      <c r="T175" s="80">
        <v>230</v>
      </c>
      <c r="U175" s="80">
        <v>2760</v>
      </c>
    </row>
    <row r="176" spans="1:21" ht="15" customHeight="1" x14ac:dyDescent="0.3">
      <c r="A176" s="82" t="s">
        <v>565</v>
      </c>
      <c r="B176" s="81" t="s">
        <v>498</v>
      </c>
      <c r="C176" s="81" t="s">
        <v>513</v>
      </c>
      <c r="D176" s="81" t="s">
        <v>229</v>
      </c>
      <c r="E176" s="81" t="s">
        <v>564</v>
      </c>
      <c r="F176" s="81" t="s">
        <v>563</v>
      </c>
      <c r="G176" s="81" t="s">
        <v>226</v>
      </c>
      <c r="H176" s="81" t="s">
        <v>225</v>
      </c>
      <c r="I176" s="80">
        <v>230</v>
      </c>
      <c r="J176" s="80">
        <v>230</v>
      </c>
      <c r="K176" s="80">
        <v>230</v>
      </c>
      <c r="L176" s="80">
        <v>230</v>
      </c>
      <c r="M176" s="80">
        <v>230</v>
      </c>
      <c r="N176" s="80">
        <v>230</v>
      </c>
      <c r="O176" s="80">
        <v>230</v>
      </c>
      <c r="P176" s="80">
        <v>230</v>
      </c>
      <c r="Q176" s="80">
        <v>230</v>
      </c>
      <c r="R176" s="80">
        <v>230</v>
      </c>
      <c r="S176" s="80">
        <v>230</v>
      </c>
      <c r="T176" s="80">
        <v>230</v>
      </c>
      <c r="U176" s="80">
        <v>2760</v>
      </c>
    </row>
    <row r="177" spans="1:21" ht="15" customHeight="1" x14ac:dyDescent="0.3">
      <c r="A177" s="82" t="s">
        <v>562</v>
      </c>
      <c r="B177" s="81" t="s">
        <v>498</v>
      </c>
      <c r="C177" s="81" t="s">
        <v>513</v>
      </c>
      <c r="D177" s="81" t="s">
        <v>229</v>
      </c>
      <c r="E177" s="81" t="s">
        <v>561</v>
      </c>
      <c r="F177" s="81" t="s">
        <v>560</v>
      </c>
      <c r="G177" s="81" t="s">
        <v>226</v>
      </c>
      <c r="H177" s="81" t="s">
        <v>225</v>
      </c>
      <c r="I177" s="80">
        <v>230</v>
      </c>
      <c r="J177" s="80">
        <v>230</v>
      </c>
      <c r="K177" s="80">
        <v>230</v>
      </c>
      <c r="L177" s="80">
        <v>230</v>
      </c>
      <c r="M177" s="80">
        <v>230</v>
      </c>
      <c r="N177" s="80">
        <v>230</v>
      </c>
      <c r="O177" s="80">
        <v>460</v>
      </c>
      <c r="P177" s="80">
        <v>460</v>
      </c>
      <c r="Q177" s="80">
        <v>460</v>
      </c>
      <c r="R177" s="80">
        <v>460</v>
      </c>
      <c r="S177" s="80">
        <v>460</v>
      </c>
      <c r="T177" s="80">
        <v>460</v>
      </c>
      <c r="U177" s="80">
        <v>4140</v>
      </c>
    </row>
    <row r="178" spans="1:21" ht="15" customHeight="1" x14ac:dyDescent="0.3">
      <c r="A178" s="82" t="s">
        <v>559</v>
      </c>
      <c r="B178" s="81" t="s">
        <v>498</v>
      </c>
      <c r="C178" s="81" t="s">
        <v>513</v>
      </c>
      <c r="D178" s="81" t="s">
        <v>229</v>
      </c>
      <c r="E178" s="81" t="s">
        <v>558</v>
      </c>
      <c r="F178" s="81" t="s">
        <v>557</v>
      </c>
      <c r="G178" s="81" t="s">
        <v>226</v>
      </c>
      <c r="H178" s="81" t="s">
        <v>225</v>
      </c>
      <c r="I178" s="80">
        <v>230</v>
      </c>
      <c r="J178" s="80">
        <v>230</v>
      </c>
      <c r="K178" s="80">
        <v>230</v>
      </c>
      <c r="L178" s="80">
        <v>230</v>
      </c>
      <c r="M178" s="80">
        <v>230</v>
      </c>
      <c r="N178" s="80">
        <v>230</v>
      </c>
      <c r="O178" s="80">
        <v>230</v>
      </c>
      <c r="P178" s="80">
        <v>230</v>
      </c>
      <c r="Q178" s="80">
        <v>230</v>
      </c>
      <c r="R178" s="80">
        <v>230</v>
      </c>
      <c r="S178" s="80">
        <v>230</v>
      </c>
      <c r="T178" s="80">
        <v>230</v>
      </c>
      <c r="U178" s="80">
        <v>2760</v>
      </c>
    </row>
    <row r="179" spans="1:21" ht="15" customHeight="1" x14ac:dyDescent="0.3">
      <c r="A179" s="82" t="s">
        <v>556</v>
      </c>
      <c r="B179" s="81" t="s">
        <v>498</v>
      </c>
      <c r="C179" s="81" t="s">
        <v>513</v>
      </c>
      <c r="D179" s="81" t="s">
        <v>229</v>
      </c>
      <c r="E179" s="81" t="s">
        <v>555</v>
      </c>
      <c r="F179" s="81" t="s">
        <v>554</v>
      </c>
      <c r="G179" s="81" t="s">
        <v>226</v>
      </c>
      <c r="H179" s="81" t="s">
        <v>225</v>
      </c>
      <c r="I179" s="80">
        <v>230</v>
      </c>
      <c r="J179" s="80">
        <v>230</v>
      </c>
      <c r="K179" s="80">
        <v>230</v>
      </c>
      <c r="L179" s="80">
        <v>230</v>
      </c>
      <c r="M179" s="80">
        <v>230</v>
      </c>
      <c r="N179" s="80">
        <v>230</v>
      </c>
      <c r="O179" s="80">
        <v>230</v>
      </c>
      <c r="P179" s="80">
        <v>230</v>
      </c>
      <c r="Q179" s="80">
        <v>230</v>
      </c>
      <c r="R179" s="80">
        <v>230</v>
      </c>
      <c r="S179" s="80">
        <v>230</v>
      </c>
      <c r="T179" s="80">
        <v>230</v>
      </c>
      <c r="U179" s="80">
        <v>2760</v>
      </c>
    </row>
    <row r="180" spans="1:21" ht="15" customHeight="1" x14ac:dyDescent="0.3">
      <c r="A180" s="82" t="s">
        <v>553</v>
      </c>
      <c r="B180" s="81" t="s">
        <v>498</v>
      </c>
      <c r="C180" s="81" t="s">
        <v>513</v>
      </c>
      <c r="D180" s="81" t="s">
        <v>229</v>
      </c>
      <c r="E180" s="81" t="s">
        <v>552</v>
      </c>
      <c r="F180" s="81" t="s">
        <v>551</v>
      </c>
      <c r="G180" s="81" t="s">
        <v>226</v>
      </c>
      <c r="H180" s="81" t="s">
        <v>225</v>
      </c>
      <c r="I180" s="80">
        <v>230</v>
      </c>
      <c r="J180" s="80">
        <v>230</v>
      </c>
      <c r="K180" s="80">
        <v>230</v>
      </c>
      <c r="L180" s="80">
        <v>230</v>
      </c>
      <c r="M180" s="80">
        <v>230</v>
      </c>
      <c r="N180" s="80">
        <v>230</v>
      </c>
      <c r="O180" s="80">
        <v>230</v>
      </c>
      <c r="P180" s="80">
        <v>230</v>
      </c>
      <c r="Q180" s="80">
        <v>230</v>
      </c>
      <c r="R180" s="80">
        <v>230</v>
      </c>
      <c r="S180" s="80">
        <v>230</v>
      </c>
      <c r="T180" s="80">
        <v>230</v>
      </c>
      <c r="U180" s="80">
        <v>2760</v>
      </c>
    </row>
    <row r="181" spans="1:21" ht="15" customHeight="1" x14ac:dyDescent="0.3">
      <c r="A181" s="82" t="s">
        <v>550</v>
      </c>
      <c r="B181" s="81" t="s">
        <v>498</v>
      </c>
      <c r="C181" s="81" t="s">
        <v>513</v>
      </c>
      <c r="D181" s="81" t="s">
        <v>229</v>
      </c>
      <c r="E181" s="81" t="s">
        <v>549</v>
      </c>
      <c r="F181" s="81" t="s">
        <v>548</v>
      </c>
      <c r="G181" s="81" t="s">
        <v>226</v>
      </c>
      <c r="H181" s="81" t="s">
        <v>225</v>
      </c>
      <c r="I181" s="80">
        <v>230</v>
      </c>
      <c r="J181" s="80">
        <v>230</v>
      </c>
      <c r="K181" s="80">
        <v>230</v>
      </c>
      <c r="L181" s="80">
        <v>230</v>
      </c>
      <c r="M181" s="80">
        <v>230</v>
      </c>
      <c r="N181" s="80">
        <v>230</v>
      </c>
      <c r="O181" s="80">
        <v>230</v>
      </c>
      <c r="P181" s="80">
        <v>230</v>
      </c>
      <c r="Q181" s="80">
        <v>230</v>
      </c>
      <c r="R181" s="80">
        <v>230</v>
      </c>
      <c r="S181" s="80">
        <v>230</v>
      </c>
      <c r="T181" s="80">
        <v>230</v>
      </c>
      <c r="U181" s="80">
        <v>2760</v>
      </c>
    </row>
    <row r="182" spans="1:21" ht="15" customHeight="1" x14ac:dyDescent="0.3">
      <c r="A182" s="82" t="s">
        <v>547</v>
      </c>
      <c r="B182" s="81" t="s">
        <v>498</v>
      </c>
      <c r="C182" s="81" t="s">
        <v>513</v>
      </c>
      <c r="D182" s="81" t="s">
        <v>229</v>
      </c>
      <c r="E182" s="81" t="s">
        <v>546</v>
      </c>
      <c r="F182" s="81" t="s">
        <v>545</v>
      </c>
      <c r="G182" s="81" t="s">
        <v>226</v>
      </c>
      <c r="H182" s="81" t="s">
        <v>225</v>
      </c>
      <c r="I182" s="80">
        <v>230</v>
      </c>
      <c r="J182" s="80">
        <v>230</v>
      </c>
      <c r="K182" s="80">
        <v>230</v>
      </c>
      <c r="L182" s="80">
        <v>230</v>
      </c>
      <c r="M182" s="80">
        <v>230</v>
      </c>
      <c r="N182" s="80">
        <v>230</v>
      </c>
      <c r="O182" s="80">
        <v>230</v>
      </c>
      <c r="P182" s="80">
        <v>230</v>
      </c>
      <c r="Q182" s="80">
        <v>230</v>
      </c>
      <c r="R182" s="80">
        <v>230</v>
      </c>
      <c r="S182" s="80">
        <v>230</v>
      </c>
      <c r="T182" s="80">
        <v>230</v>
      </c>
      <c r="U182" s="80">
        <v>2760</v>
      </c>
    </row>
    <row r="183" spans="1:21" ht="15" customHeight="1" x14ac:dyDescent="0.3">
      <c r="A183" s="82" t="s">
        <v>544</v>
      </c>
      <c r="B183" s="81" t="s">
        <v>498</v>
      </c>
      <c r="C183" s="81" t="s">
        <v>513</v>
      </c>
      <c r="D183" s="81" t="s">
        <v>229</v>
      </c>
      <c r="E183" s="81" t="s">
        <v>543</v>
      </c>
      <c r="F183" s="81" t="s">
        <v>542</v>
      </c>
      <c r="G183" s="81" t="s">
        <v>226</v>
      </c>
      <c r="H183" s="81" t="s">
        <v>225</v>
      </c>
      <c r="I183" s="80">
        <v>230</v>
      </c>
      <c r="J183" s="80">
        <v>230</v>
      </c>
      <c r="K183" s="80">
        <v>230</v>
      </c>
      <c r="L183" s="80">
        <v>230</v>
      </c>
      <c r="M183" s="80">
        <v>230</v>
      </c>
      <c r="N183" s="80">
        <v>230</v>
      </c>
      <c r="O183" s="80">
        <v>230</v>
      </c>
      <c r="P183" s="80">
        <v>230</v>
      </c>
      <c r="Q183" s="80">
        <v>230</v>
      </c>
      <c r="R183" s="80">
        <v>230</v>
      </c>
      <c r="S183" s="80">
        <v>230</v>
      </c>
      <c r="T183" s="80">
        <v>230</v>
      </c>
      <c r="U183" s="80">
        <v>2760</v>
      </c>
    </row>
    <row r="184" spans="1:21" ht="15" customHeight="1" x14ac:dyDescent="0.3">
      <c r="A184" s="82" t="s">
        <v>541</v>
      </c>
      <c r="B184" s="81" t="s">
        <v>498</v>
      </c>
      <c r="C184" s="81" t="s">
        <v>513</v>
      </c>
      <c r="D184" s="81" t="s">
        <v>229</v>
      </c>
      <c r="E184" s="81" t="s">
        <v>540</v>
      </c>
      <c r="F184" s="81" t="s">
        <v>539</v>
      </c>
      <c r="G184" s="81" t="s">
        <v>226</v>
      </c>
      <c r="H184" s="81" t="s">
        <v>225</v>
      </c>
      <c r="I184" s="80">
        <v>2504.112079</v>
      </c>
      <c r="J184" s="80">
        <v>2504.112079</v>
      </c>
      <c r="K184" s="80">
        <v>2504.112079</v>
      </c>
      <c r="L184" s="80">
        <v>2504.112079</v>
      </c>
      <c r="M184" s="80">
        <v>2504.112079</v>
      </c>
      <c r="N184" s="80">
        <v>2504.112079</v>
      </c>
      <c r="O184" s="80">
        <v>3756.1681189999999</v>
      </c>
      <c r="P184" s="80">
        <v>3756.1681189999999</v>
      </c>
      <c r="Q184" s="80">
        <v>3756.1681189999999</v>
      </c>
      <c r="R184" s="80">
        <v>3756.1681189999999</v>
      </c>
      <c r="S184" s="80">
        <v>3756.1681189999999</v>
      </c>
      <c r="T184" s="80">
        <v>3756.1681189999999</v>
      </c>
      <c r="U184" s="80">
        <v>37561.681188000002</v>
      </c>
    </row>
    <row r="185" spans="1:21" ht="15" customHeight="1" x14ac:dyDescent="0.3">
      <c r="A185" s="82" t="s">
        <v>538</v>
      </c>
      <c r="B185" s="81" t="s">
        <v>498</v>
      </c>
      <c r="C185" s="81" t="s">
        <v>513</v>
      </c>
      <c r="D185" s="81" t="s">
        <v>229</v>
      </c>
      <c r="E185" s="81" t="s">
        <v>537</v>
      </c>
      <c r="F185" s="81" t="s">
        <v>536</v>
      </c>
      <c r="G185" s="81" t="s">
        <v>226</v>
      </c>
      <c r="H185" s="81" t="s">
        <v>225</v>
      </c>
      <c r="I185" s="80">
        <v>3672.7022619999998</v>
      </c>
      <c r="J185" s="80">
        <v>3672.7022619999998</v>
      </c>
      <c r="K185" s="80">
        <v>3672.7022619999998</v>
      </c>
      <c r="L185" s="80">
        <v>3672.7022619999998</v>
      </c>
      <c r="M185" s="80">
        <v>3672.7022619999998</v>
      </c>
      <c r="N185" s="80">
        <v>3672.7022619999998</v>
      </c>
      <c r="O185" s="80">
        <v>5509.0533930000001</v>
      </c>
      <c r="P185" s="80">
        <v>5509.0533930000001</v>
      </c>
      <c r="Q185" s="80">
        <v>5509.0533930000001</v>
      </c>
      <c r="R185" s="80">
        <v>5509.0533930000001</v>
      </c>
      <c r="S185" s="80">
        <v>5509.0533930000001</v>
      </c>
      <c r="T185" s="80">
        <v>5509.0533930000001</v>
      </c>
      <c r="U185" s="80">
        <v>55090.533929999998</v>
      </c>
    </row>
    <row r="186" spans="1:21" ht="15" customHeight="1" x14ac:dyDescent="0.3">
      <c r="A186" s="82" t="s">
        <v>535</v>
      </c>
      <c r="B186" s="81" t="s">
        <v>498</v>
      </c>
      <c r="C186" s="81" t="s">
        <v>513</v>
      </c>
      <c r="D186" s="81" t="s">
        <v>229</v>
      </c>
      <c r="E186" s="81" t="s">
        <v>534</v>
      </c>
      <c r="F186" s="81" t="s">
        <v>533</v>
      </c>
      <c r="G186" s="81" t="s">
        <v>226</v>
      </c>
      <c r="H186" s="81" t="s">
        <v>225</v>
      </c>
      <c r="I186" s="80">
        <v>3004.934495</v>
      </c>
      <c r="J186" s="80">
        <v>3004.934495</v>
      </c>
      <c r="K186" s="80">
        <v>3004.934495</v>
      </c>
      <c r="L186" s="80">
        <v>3004.934495</v>
      </c>
      <c r="M186" s="80">
        <v>3004.934495</v>
      </c>
      <c r="N186" s="80">
        <v>3004.934495</v>
      </c>
      <c r="O186" s="80">
        <v>4507.4017430000004</v>
      </c>
      <c r="P186" s="80">
        <v>4507.4017430000004</v>
      </c>
      <c r="Q186" s="80">
        <v>4507.4017430000004</v>
      </c>
      <c r="R186" s="80">
        <v>4507.4017430000004</v>
      </c>
      <c r="S186" s="80">
        <v>4507.4017430000004</v>
      </c>
      <c r="T186" s="80">
        <v>4507.4017430000004</v>
      </c>
      <c r="U186" s="80">
        <v>45074.017427999999</v>
      </c>
    </row>
    <row r="187" spans="1:21" ht="15" customHeight="1" x14ac:dyDescent="0.3">
      <c r="A187" s="82" t="s">
        <v>532</v>
      </c>
      <c r="B187" s="81" t="s">
        <v>498</v>
      </c>
      <c r="C187" s="81" t="s">
        <v>513</v>
      </c>
      <c r="D187" s="81" t="s">
        <v>229</v>
      </c>
      <c r="E187" s="81" t="s">
        <v>531</v>
      </c>
      <c r="F187" s="81" t="s">
        <v>530</v>
      </c>
      <c r="G187" s="81" t="s">
        <v>226</v>
      </c>
      <c r="H187" s="81" t="s">
        <v>225</v>
      </c>
      <c r="I187" s="80">
        <v>2504.112079</v>
      </c>
      <c r="J187" s="80">
        <v>2504.112079</v>
      </c>
      <c r="K187" s="80">
        <v>2504.112079</v>
      </c>
      <c r="L187" s="80">
        <v>2504.112079</v>
      </c>
      <c r="M187" s="80">
        <v>2504.112079</v>
      </c>
      <c r="N187" s="80">
        <v>2504.112079</v>
      </c>
      <c r="O187" s="80">
        <v>3756.1681189999999</v>
      </c>
      <c r="P187" s="80">
        <v>3756.1681189999999</v>
      </c>
      <c r="Q187" s="80">
        <v>3756.1681189999999</v>
      </c>
      <c r="R187" s="80">
        <v>3756.1681189999999</v>
      </c>
      <c r="S187" s="80">
        <v>3756.1681189999999</v>
      </c>
      <c r="T187" s="80">
        <v>3756.1681189999999</v>
      </c>
      <c r="U187" s="80">
        <v>37561.681188000002</v>
      </c>
    </row>
    <row r="188" spans="1:21" ht="15" customHeight="1" x14ac:dyDescent="0.3">
      <c r="A188" s="82" t="s">
        <v>529</v>
      </c>
      <c r="B188" s="81" t="s">
        <v>498</v>
      </c>
      <c r="C188" s="81" t="s">
        <v>513</v>
      </c>
      <c r="D188" s="81" t="s">
        <v>229</v>
      </c>
      <c r="E188" s="81" t="s">
        <v>528</v>
      </c>
      <c r="F188" s="81" t="s">
        <v>527</v>
      </c>
      <c r="G188" s="81" t="s">
        <v>226</v>
      </c>
      <c r="H188" s="81" t="s">
        <v>225</v>
      </c>
      <c r="I188" s="80">
        <v>17342.911178999999</v>
      </c>
      <c r="J188" s="80">
        <v>17342.911178999999</v>
      </c>
      <c r="K188" s="80">
        <v>17342.911178999999</v>
      </c>
      <c r="L188" s="80">
        <v>17342.911178999999</v>
      </c>
      <c r="M188" s="80">
        <v>17342.911178999999</v>
      </c>
      <c r="N188" s="80">
        <v>17342.911178999999</v>
      </c>
      <c r="O188" s="80">
        <v>27839.700100999999</v>
      </c>
      <c r="P188" s="80">
        <v>27839.700100999999</v>
      </c>
      <c r="Q188" s="80">
        <v>27839.700100999999</v>
      </c>
      <c r="R188" s="80">
        <v>29347.700100999999</v>
      </c>
      <c r="S188" s="80">
        <v>29347.700100999999</v>
      </c>
      <c r="T188" s="80">
        <v>29347.700100999999</v>
      </c>
      <c r="U188" s="80">
        <v>275619.66768000001</v>
      </c>
    </row>
    <row r="189" spans="1:21" ht="15" customHeight="1" x14ac:dyDescent="0.3">
      <c r="A189" s="82" t="s">
        <v>526</v>
      </c>
      <c r="B189" s="81" t="s">
        <v>498</v>
      </c>
      <c r="C189" s="81" t="s">
        <v>513</v>
      </c>
      <c r="D189" s="81" t="s">
        <v>229</v>
      </c>
      <c r="E189" s="81" t="s">
        <v>525</v>
      </c>
      <c r="F189" s="81" t="s">
        <v>524</v>
      </c>
      <c r="G189" s="81" t="s">
        <v>226</v>
      </c>
      <c r="H189" s="81" t="s">
        <v>225</v>
      </c>
      <c r="I189" s="80">
        <v>4340.4632099999999</v>
      </c>
      <c r="J189" s="80">
        <v>4340.4632099999999</v>
      </c>
      <c r="K189" s="80">
        <v>4340.4632099999999</v>
      </c>
      <c r="L189" s="80">
        <v>4340.4632099999999</v>
      </c>
      <c r="M189" s="80">
        <v>4340.4632099999999</v>
      </c>
      <c r="N189" s="80">
        <v>4340.4632099999999</v>
      </c>
      <c r="O189" s="80">
        <v>6510.6948149999998</v>
      </c>
      <c r="P189" s="80">
        <v>6510.6948149999998</v>
      </c>
      <c r="Q189" s="80">
        <v>6510.6948149999998</v>
      </c>
      <c r="R189" s="80">
        <v>6510.6948149999998</v>
      </c>
      <c r="S189" s="80">
        <v>6510.6948149999998</v>
      </c>
      <c r="T189" s="80">
        <v>6510.6948149999998</v>
      </c>
      <c r="U189" s="80">
        <v>65106.948149999997</v>
      </c>
    </row>
    <row r="190" spans="1:21" ht="15" customHeight="1" x14ac:dyDescent="0.3">
      <c r="A190" s="82" t="s">
        <v>523</v>
      </c>
      <c r="B190" s="81" t="s">
        <v>498</v>
      </c>
      <c r="C190" s="81" t="s">
        <v>513</v>
      </c>
      <c r="D190" s="81" t="s">
        <v>229</v>
      </c>
      <c r="E190" s="81" t="s">
        <v>522</v>
      </c>
      <c r="F190" s="81" t="s">
        <v>521</v>
      </c>
      <c r="G190" s="81" t="s">
        <v>226</v>
      </c>
      <c r="H190" s="81" t="s">
        <v>225</v>
      </c>
      <c r="I190" s="80">
        <v>3171.8798459999998</v>
      </c>
      <c r="J190" s="80">
        <v>3171.8798459999998</v>
      </c>
      <c r="K190" s="80">
        <v>3171.8798459999998</v>
      </c>
      <c r="L190" s="80">
        <v>3171.8798459999998</v>
      </c>
      <c r="M190" s="80">
        <v>3171.8798459999998</v>
      </c>
      <c r="N190" s="80">
        <v>3171.8798459999998</v>
      </c>
      <c r="O190" s="80">
        <v>4757.8197689999997</v>
      </c>
      <c r="P190" s="80">
        <v>4757.8197689999997</v>
      </c>
      <c r="Q190" s="80">
        <v>4757.8197689999997</v>
      </c>
      <c r="R190" s="80">
        <v>4757.8197689999997</v>
      </c>
      <c r="S190" s="80">
        <v>4757.8197689999997</v>
      </c>
      <c r="T190" s="80">
        <v>4757.8197689999997</v>
      </c>
      <c r="U190" s="80">
        <v>47578.197690000001</v>
      </c>
    </row>
    <row r="191" spans="1:21" ht="15" customHeight="1" x14ac:dyDescent="0.3">
      <c r="A191" s="82" t="s">
        <v>520</v>
      </c>
      <c r="B191" s="81" t="s">
        <v>498</v>
      </c>
      <c r="C191" s="81" t="s">
        <v>513</v>
      </c>
      <c r="D191" s="81" t="s">
        <v>229</v>
      </c>
      <c r="E191" s="81" t="s">
        <v>519</v>
      </c>
      <c r="F191" s="81" t="s">
        <v>518</v>
      </c>
      <c r="G191" s="81" t="s">
        <v>226</v>
      </c>
      <c r="H191" s="81" t="s">
        <v>225</v>
      </c>
      <c r="I191" s="80">
        <v>3004.934495</v>
      </c>
      <c r="J191" s="80">
        <v>3004.934495</v>
      </c>
      <c r="K191" s="80">
        <v>3004.934495</v>
      </c>
      <c r="L191" s="80">
        <v>3004.934495</v>
      </c>
      <c r="M191" s="80">
        <v>3004.934495</v>
      </c>
      <c r="N191" s="80">
        <v>3004.934495</v>
      </c>
      <c r="O191" s="80">
        <v>4507.4017430000004</v>
      </c>
      <c r="P191" s="80">
        <v>4507.4017430000004</v>
      </c>
      <c r="Q191" s="80">
        <v>4507.4017430000004</v>
      </c>
      <c r="R191" s="80">
        <v>4507.4017430000004</v>
      </c>
      <c r="S191" s="80">
        <v>4507.4017430000004</v>
      </c>
      <c r="T191" s="80">
        <v>4507.4017430000004</v>
      </c>
      <c r="U191" s="80">
        <v>45074.017427999999</v>
      </c>
    </row>
    <row r="192" spans="1:21" ht="15" customHeight="1" x14ac:dyDescent="0.3">
      <c r="A192" s="82" t="s">
        <v>517</v>
      </c>
      <c r="B192" s="81" t="s">
        <v>498</v>
      </c>
      <c r="C192" s="81" t="s">
        <v>513</v>
      </c>
      <c r="D192" s="81" t="s">
        <v>229</v>
      </c>
      <c r="E192" s="81" t="s">
        <v>516</v>
      </c>
      <c r="F192" s="81" t="s">
        <v>515</v>
      </c>
      <c r="G192" s="81" t="s">
        <v>226</v>
      </c>
      <c r="H192" s="81" t="s">
        <v>225</v>
      </c>
      <c r="I192" s="80">
        <v>4173.5246779999998</v>
      </c>
      <c r="J192" s="80">
        <v>4173.5246779999998</v>
      </c>
      <c r="K192" s="80">
        <v>4173.5246779999998</v>
      </c>
      <c r="L192" s="80">
        <v>4173.5246779999998</v>
      </c>
      <c r="M192" s="80">
        <v>4173.5246779999998</v>
      </c>
      <c r="N192" s="80">
        <v>4173.5246779999998</v>
      </c>
      <c r="O192" s="80">
        <v>6260.2870160000002</v>
      </c>
      <c r="P192" s="80">
        <v>6260.2870160000002</v>
      </c>
      <c r="Q192" s="80">
        <v>6260.2870160000002</v>
      </c>
      <c r="R192" s="80">
        <v>6260.2870160000002</v>
      </c>
      <c r="S192" s="80">
        <v>6260.2870160000002</v>
      </c>
      <c r="T192" s="80">
        <v>6260.2870160000002</v>
      </c>
      <c r="U192" s="80">
        <v>62602.870164</v>
      </c>
    </row>
    <row r="193" spans="1:21" ht="15" customHeight="1" x14ac:dyDescent="0.3">
      <c r="A193" s="82" t="s">
        <v>514</v>
      </c>
      <c r="B193" s="81" t="s">
        <v>498</v>
      </c>
      <c r="C193" s="81" t="s">
        <v>513</v>
      </c>
      <c r="D193" s="81" t="s">
        <v>229</v>
      </c>
      <c r="E193" s="81" t="s">
        <v>512</v>
      </c>
      <c r="F193" s="81" t="s">
        <v>511</v>
      </c>
      <c r="G193" s="81" t="s">
        <v>226</v>
      </c>
      <c r="H193" s="81" t="s">
        <v>225</v>
      </c>
      <c r="I193" s="80">
        <v>4173.5246779999998</v>
      </c>
      <c r="J193" s="80">
        <v>4173.5246779999998</v>
      </c>
      <c r="K193" s="80">
        <v>4173.5246779999998</v>
      </c>
      <c r="L193" s="80">
        <v>4173.5246779999998</v>
      </c>
      <c r="M193" s="80">
        <v>4173.5246779999998</v>
      </c>
      <c r="N193" s="80">
        <v>4173.5246779999998</v>
      </c>
      <c r="O193" s="80">
        <v>6260.2870160000002</v>
      </c>
      <c r="P193" s="80">
        <v>6260.2870160000002</v>
      </c>
      <c r="Q193" s="80">
        <v>6260.2870160000002</v>
      </c>
      <c r="R193" s="80">
        <v>6260.2870160000002</v>
      </c>
      <c r="S193" s="80">
        <v>6260.2870160000002</v>
      </c>
      <c r="T193" s="80">
        <v>6260.2870160000002</v>
      </c>
      <c r="U193" s="80">
        <v>62602.870164</v>
      </c>
    </row>
    <row r="194" spans="1:21" ht="15" customHeight="1" x14ac:dyDescent="0.3">
      <c r="A194" s="82" t="s">
        <v>510</v>
      </c>
      <c r="B194" s="81" t="s">
        <v>498</v>
      </c>
      <c r="C194" s="81" t="s">
        <v>506</v>
      </c>
      <c r="D194" s="81" t="s">
        <v>229</v>
      </c>
      <c r="E194" s="81" t="s">
        <v>509</v>
      </c>
      <c r="F194" s="81" t="s">
        <v>508</v>
      </c>
      <c r="G194" s="81" t="s">
        <v>226</v>
      </c>
      <c r="H194" s="81" t="s">
        <v>225</v>
      </c>
      <c r="I194" s="80">
        <v>10000.030000000001</v>
      </c>
      <c r="J194" s="80">
        <v>10000.030000000001</v>
      </c>
      <c r="K194" s="80">
        <v>10000.030000000001</v>
      </c>
      <c r="L194" s="80">
        <v>10000.030000000001</v>
      </c>
      <c r="M194" s="80">
        <v>10000.030000000001</v>
      </c>
      <c r="N194" s="80">
        <v>10000.030000000001</v>
      </c>
      <c r="O194" s="80">
        <v>10000.030000000001</v>
      </c>
      <c r="P194" s="80">
        <v>10000.030000000001</v>
      </c>
      <c r="Q194" s="80">
        <v>10000.030000000001</v>
      </c>
      <c r="R194" s="80">
        <v>10000.030000000001</v>
      </c>
      <c r="S194" s="80">
        <v>10000.030000000001</v>
      </c>
      <c r="T194" s="80">
        <v>10000.030000000001</v>
      </c>
      <c r="U194" s="80">
        <v>120000.36</v>
      </c>
    </row>
    <row r="195" spans="1:21" ht="15" customHeight="1" x14ac:dyDescent="0.3">
      <c r="A195" s="82" t="s">
        <v>507</v>
      </c>
      <c r="B195" s="81" t="s">
        <v>498</v>
      </c>
      <c r="C195" s="81" t="s">
        <v>506</v>
      </c>
      <c r="D195" s="81" t="s">
        <v>229</v>
      </c>
      <c r="E195" s="81" t="s">
        <v>505</v>
      </c>
      <c r="F195" s="81" t="s">
        <v>504</v>
      </c>
      <c r="G195" s="81" t="s">
        <v>226</v>
      </c>
      <c r="H195" s="81" t="s">
        <v>225</v>
      </c>
      <c r="I195" s="80">
        <v>108</v>
      </c>
      <c r="J195" s="80">
        <v>108</v>
      </c>
      <c r="K195" s="80">
        <v>108</v>
      </c>
      <c r="L195" s="80">
        <v>108</v>
      </c>
      <c r="M195" s="80">
        <v>108</v>
      </c>
      <c r="N195" s="80">
        <v>108</v>
      </c>
      <c r="O195" s="80">
        <v>108</v>
      </c>
      <c r="P195" s="80">
        <v>108</v>
      </c>
      <c r="Q195" s="80">
        <v>108</v>
      </c>
      <c r="R195" s="80">
        <v>108</v>
      </c>
      <c r="S195" s="80">
        <v>108</v>
      </c>
      <c r="T195" s="80">
        <v>108</v>
      </c>
      <c r="U195" s="80">
        <v>1296</v>
      </c>
    </row>
    <row r="196" spans="1:21" ht="15" customHeight="1" x14ac:dyDescent="0.3">
      <c r="A196" s="82" t="s">
        <v>503</v>
      </c>
      <c r="B196" s="81" t="s">
        <v>498</v>
      </c>
      <c r="C196" s="81" t="s">
        <v>502</v>
      </c>
      <c r="D196" s="81" t="s">
        <v>229</v>
      </c>
      <c r="E196" s="81" t="s">
        <v>501</v>
      </c>
      <c r="F196" s="81" t="s">
        <v>500</v>
      </c>
      <c r="G196" s="81" t="s">
        <v>226</v>
      </c>
      <c r="H196" s="81" t="s">
        <v>225</v>
      </c>
      <c r="I196" s="80">
        <v>162</v>
      </c>
      <c r="J196" s="80">
        <v>162</v>
      </c>
      <c r="K196" s="80">
        <v>162</v>
      </c>
      <c r="L196" s="80">
        <v>162</v>
      </c>
      <c r="M196" s="80">
        <v>162</v>
      </c>
      <c r="N196" s="80">
        <v>162</v>
      </c>
      <c r="O196" s="80">
        <v>162</v>
      </c>
      <c r="P196" s="80">
        <v>162</v>
      </c>
      <c r="Q196" s="80">
        <v>162</v>
      </c>
      <c r="R196" s="80">
        <v>162</v>
      </c>
      <c r="S196" s="80">
        <v>162</v>
      </c>
      <c r="T196" s="80">
        <v>162</v>
      </c>
      <c r="U196" s="80">
        <v>1944</v>
      </c>
    </row>
    <row r="197" spans="1:21" ht="15" customHeight="1" x14ac:dyDescent="0.3">
      <c r="A197" s="82" t="s">
        <v>499</v>
      </c>
      <c r="B197" s="81" t="s">
        <v>498</v>
      </c>
      <c r="C197" s="81" t="s">
        <v>497</v>
      </c>
      <c r="D197" s="81" t="s">
        <v>229</v>
      </c>
      <c r="E197" s="81" t="s">
        <v>496</v>
      </c>
      <c r="F197" s="81" t="s">
        <v>495</v>
      </c>
      <c r="G197" s="81" t="s">
        <v>226</v>
      </c>
      <c r="H197" s="81" t="s">
        <v>225</v>
      </c>
      <c r="I197" s="80">
        <v>108</v>
      </c>
      <c r="J197" s="80">
        <v>108</v>
      </c>
      <c r="K197" s="80">
        <v>108</v>
      </c>
      <c r="L197" s="80">
        <v>108</v>
      </c>
      <c r="M197" s="80">
        <v>108</v>
      </c>
      <c r="N197" s="80">
        <v>108</v>
      </c>
      <c r="O197" s="80">
        <v>108</v>
      </c>
      <c r="P197" s="80">
        <v>108</v>
      </c>
      <c r="Q197" s="80">
        <v>108</v>
      </c>
      <c r="R197" s="80">
        <v>108</v>
      </c>
      <c r="S197" s="80">
        <v>108</v>
      </c>
      <c r="T197" s="80">
        <v>108</v>
      </c>
      <c r="U197" s="80">
        <v>1296</v>
      </c>
    </row>
    <row r="198" spans="1:21" ht="15" customHeight="1" x14ac:dyDescent="0.3">
      <c r="A198" s="82" t="s">
        <v>494</v>
      </c>
      <c r="B198" s="81" t="s">
        <v>305</v>
      </c>
      <c r="C198" s="81" t="s">
        <v>490</v>
      </c>
      <c r="D198" s="81" t="s">
        <v>229</v>
      </c>
      <c r="E198" s="81" t="s">
        <v>493</v>
      </c>
      <c r="F198" s="81" t="s">
        <v>492</v>
      </c>
      <c r="G198" s="81" t="s">
        <v>226</v>
      </c>
      <c r="H198" s="81" t="s">
        <v>225</v>
      </c>
      <c r="I198" s="80">
        <v>45</v>
      </c>
      <c r="J198" s="80">
        <v>45</v>
      </c>
      <c r="K198" s="80">
        <v>45</v>
      </c>
      <c r="L198" s="80">
        <v>45</v>
      </c>
      <c r="M198" s="80">
        <v>45</v>
      </c>
      <c r="N198" s="80">
        <v>45</v>
      </c>
      <c r="O198" s="80">
        <v>45</v>
      </c>
      <c r="P198" s="80">
        <v>45</v>
      </c>
      <c r="Q198" s="80">
        <v>45</v>
      </c>
      <c r="R198" s="80">
        <v>45</v>
      </c>
      <c r="S198" s="80">
        <v>45</v>
      </c>
      <c r="T198" s="80">
        <v>45</v>
      </c>
      <c r="U198" s="80">
        <v>540</v>
      </c>
    </row>
    <row r="199" spans="1:21" ht="15" customHeight="1" x14ac:dyDescent="0.3">
      <c r="A199" s="82" t="s">
        <v>491</v>
      </c>
      <c r="B199" s="81" t="s">
        <v>305</v>
      </c>
      <c r="C199" s="81" t="s">
        <v>490</v>
      </c>
      <c r="D199" s="81" t="s">
        <v>229</v>
      </c>
      <c r="E199" s="81" t="s">
        <v>489</v>
      </c>
      <c r="F199" s="81" t="s">
        <v>488</v>
      </c>
      <c r="G199" s="81" t="s">
        <v>226</v>
      </c>
      <c r="H199" s="81" t="s">
        <v>225</v>
      </c>
      <c r="I199" s="80">
        <v>230</v>
      </c>
      <c r="J199" s="80">
        <v>230</v>
      </c>
      <c r="K199" s="80">
        <v>230</v>
      </c>
      <c r="L199" s="80">
        <v>230</v>
      </c>
      <c r="M199" s="80">
        <v>230</v>
      </c>
      <c r="N199" s="80">
        <v>230</v>
      </c>
      <c r="O199" s="80">
        <v>230</v>
      </c>
      <c r="P199" s="80">
        <v>230</v>
      </c>
      <c r="Q199" s="80">
        <v>230</v>
      </c>
      <c r="R199" s="80">
        <v>230</v>
      </c>
      <c r="S199" s="80">
        <v>230</v>
      </c>
      <c r="T199" s="80">
        <v>230</v>
      </c>
      <c r="U199" s="80">
        <v>2760</v>
      </c>
    </row>
    <row r="200" spans="1:21" ht="15" customHeight="1" x14ac:dyDescent="0.3">
      <c r="A200" s="82" t="s">
        <v>487</v>
      </c>
      <c r="B200" s="81" t="s">
        <v>305</v>
      </c>
      <c r="C200" s="81" t="s">
        <v>426</v>
      </c>
      <c r="D200" s="81" t="s">
        <v>229</v>
      </c>
      <c r="E200" s="81" t="s">
        <v>486</v>
      </c>
      <c r="F200" s="81" t="s">
        <v>485</v>
      </c>
      <c r="G200" s="81" t="s">
        <v>226</v>
      </c>
      <c r="H200" s="81" t="s">
        <v>225</v>
      </c>
      <c r="I200" s="80">
        <v>90</v>
      </c>
      <c r="J200" s="80">
        <v>90</v>
      </c>
      <c r="K200" s="80">
        <v>90</v>
      </c>
      <c r="L200" s="80">
        <v>90</v>
      </c>
      <c r="M200" s="80">
        <v>90</v>
      </c>
      <c r="N200" s="80">
        <v>90</v>
      </c>
      <c r="O200" s="80">
        <v>90</v>
      </c>
      <c r="P200" s="80">
        <v>90</v>
      </c>
      <c r="Q200" s="80">
        <v>90</v>
      </c>
      <c r="R200" s="80">
        <v>90</v>
      </c>
      <c r="S200" s="80">
        <v>90</v>
      </c>
      <c r="T200" s="80">
        <v>90</v>
      </c>
      <c r="U200" s="80">
        <v>1080</v>
      </c>
    </row>
    <row r="201" spans="1:21" ht="15" customHeight="1" x14ac:dyDescent="0.3">
      <c r="A201" s="82" t="s">
        <v>484</v>
      </c>
      <c r="B201" s="81" t="s">
        <v>305</v>
      </c>
      <c r="C201" s="81" t="s">
        <v>426</v>
      </c>
      <c r="D201" s="81" t="s">
        <v>229</v>
      </c>
      <c r="E201" s="81" t="s">
        <v>483</v>
      </c>
      <c r="F201" s="81" t="s">
        <v>482</v>
      </c>
      <c r="G201" s="81" t="s">
        <v>226</v>
      </c>
      <c r="H201" s="81" t="s">
        <v>225</v>
      </c>
      <c r="I201" s="80">
        <v>360.39</v>
      </c>
      <c r="J201" s="80">
        <v>360.39</v>
      </c>
      <c r="K201" s="80">
        <v>360.39</v>
      </c>
      <c r="L201" s="80">
        <v>462.46</v>
      </c>
      <c r="M201" s="80">
        <v>462.46</v>
      </c>
      <c r="N201" s="80">
        <v>462.46</v>
      </c>
      <c r="O201" s="80">
        <v>479.13</v>
      </c>
      <c r="P201" s="80">
        <v>479.13</v>
      </c>
      <c r="Q201" s="80">
        <v>479.13</v>
      </c>
      <c r="R201" s="80">
        <v>636.82000000000005</v>
      </c>
      <c r="S201" s="80">
        <v>636.82000000000005</v>
      </c>
      <c r="T201" s="80">
        <v>636.82000000000005</v>
      </c>
      <c r="U201" s="80">
        <v>5816.4</v>
      </c>
    </row>
    <row r="202" spans="1:21" ht="15" customHeight="1" x14ac:dyDescent="0.3">
      <c r="A202" s="82" t="s">
        <v>481</v>
      </c>
      <c r="B202" s="81" t="s">
        <v>305</v>
      </c>
      <c r="C202" s="81" t="s">
        <v>426</v>
      </c>
      <c r="D202" s="81" t="s">
        <v>229</v>
      </c>
      <c r="E202" s="81" t="s">
        <v>480</v>
      </c>
      <c r="F202" s="81" t="s">
        <v>479</v>
      </c>
      <c r="G202" s="81" t="s">
        <v>226</v>
      </c>
      <c r="H202" s="81" t="s">
        <v>225</v>
      </c>
      <c r="I202" s="80">
        <v>360.39</v>
      </c>
      <c r="J202" s="80">
        <v>360.39</v>
      </c>
      <c r="K202" s="80">
        <v>360.39</v>
      </c>
      <c r="L202" s="80">
        <v>462.46</v>
      </c>
      <c r="M202" s="80">
        <v>462.46</v>
      </c>
      <c r="N202" s="80">
        <v>462.46</v>
      </c>
      <c r="O202" s="80">
        <v>479.13</v>
      </c>
      <c r="P202" s="80">
        <v>479.13</v>
      </c>
      <c r="Q202" s="80">
        <v>479.13</v>
      </c>
      <c r="R202" s="80">
        <v>636.82000000000005</v>
      </c>
      <c r="S202" s="80">
        <v>636.82000000000005</v>
      </c>
      <c r="T202" s="80">
        <v>636.82000000000005</v>
      </c>
      <c r="U202" s="80">
        <v>5816.4</v>
      </c>
    </row>
    <row r="203" spans="1:21" ht="15" customHeight="1" x14ac:dyDescent="0.3">
      <c r="A203" s="82" t="s">
        <v>478</v>
      </c>
      <c r="B203" s="81" t="s">
        <v>305</v>
      </c>
      <c r="C203" s="81" t="s">
        <v>426</v>
      </c>
      <c r="D203" s="81" t="s">
        <v>229</v>
      </c>
      <c r="E203" s="81" t="s">
        <v>477</v>
      </c>
      <c r="F203" s="81" t="s">
        <v>476</v>
      </c>
      <c r="G203" s="81" t="s">
        <v>226</v>
      </c>
      <c r="H203" s="81" t="s">
        <v>225</v>
      </c>
      <c r="I203" s="80">
        <v>360.39</v>
      </c>
      <c r="J203" s="80">
        <v>360.39</v>
      </c>
      <c r="K203" s="80">
        <v>360.39</v>
      </c>
      <c r="L203" s="80">
        <v>462.46</v>
      </c>
      <c r="M203" s="80">
        <v>462.46</v>
      </c>
      <c r="N203" s="80">
        <v>462.46</v>
      </c>
      <c r="O203" s="80">
        <v>479.13</v>
      </c>
      <c r="P203" s="80">
        <v>479.13</v>
      </c>
      <c r="Q203" s="80">
        <v>479.13</v>
      </c>
      <c r="R203" s="80">
        <v>636.82000000000005</v>
      </c>
      <c r="S203" s="80">
        <v>636.82000000000005</v>
      </c>
      <c r="T203" s="80">
        <v>636.82000000000005</v>
      </c>
      <c r="U203" s="80">
        <v>5816.4</v>
      </c>
    </row>
    <row r="204" spans="1:21" ht="15" customHeight="1" x14ac:dyDescent="0.3">
      <c r="A204" s="82" t="s">
        <v>475</v>
      </c>
      <c r="B204" s="81" t="s">
        <v>305</v>
      </c>
      <c r="C204" s="81" t="s">
        <v>426</v>
      </c>
      <c r="D204" s="81" t="s">
        <v>229</v>
      </c>
      <c r="E204" s="81" t="s">
        <v>474</v>
      </c>
      <c r="F204" s="81" t="s">
        <v>473</v>
      </c>
      <c r="G204" s="81" t="s">
        <v>226</v>
      </c>
      <c r="H204" s="81" t="s">
        <v>225</v>
      </c>
      <c r="I204" s="80">
        <v>260</v>
      </c>
      <c r="J204" s="80">
        <v>260</v>
      </c>
      <c r="K204" s="80">
        <v>260</v>
      </c>
      <c r="L204" s="80">
        <v>260</v>
      </c>
      <c r="M204" s="80">
        <v>260</v>
      </c>
      <c r="N204" s="80">
        <v>260</v>
      </c>
      <c r="O204" s="80">
        <v>260</v>
      </c>
      <c r="P204" s="80">
        <v>260</v>
      </c>
      <c r="Q204" s="80">
        <v>260</v>
      </c>
      <c r="R204" s="80">
        <v>260</v>
      </c>
      <c r="S204" s="80">
        <v>260</v>
      </c>
      <c r="T204" s="80">
        <v>260</v>
      </c>
      <c r="U204" s="80">
        <v>3120</v>
      </c>
    </row>
    <row r="205" spans="1:21" ht="15" customHeight="1" x14ac:dyDescent="0.3">
      <c r="A205" s="82" t="s">
        <v>472</v>
      </c>
      <c r="B205" s="81" t="s">
        <v>305</v>
      </c>
      <c r="C205" s="81" t="s">
        <v>426</v>
      </c>
      <c r="D205" s="81" t="s">
        <v>229</v>
      </c>
      <c r="E205" s="81" t="s">
        <v>471</v>
      </c>
      <c r="F205" s="81" t="s">
        <v>470</v>
      </c>
      <c r="G205" s="81" t="s">
        <v>226</v>
      </c>
      <c r="H205" s="81" t="s">
        <v>225</v>
      </c>
      <c r="I205" s="80">
        <v>234</v>
      </c>
      <c r="J205" s="80">
        <v>234</v>
      </c>
      <c r="K205" s="80">
        <v>234</v>
      </c>
      <c r="L205" s="80">
        <v>234</v>
      </c>
      <c r="M205" s="80">
        <v>234</v>
      </c>
      <c r="N205" s="80">
        <v>234</v>
      </c>
      <c r="O205" s="80">
        <v>234</v>
      </c>
      <c r="P205" s="80">
        <v>234</v>
      </c>
      <c r="Q205" s="80">
        <v>234</v>
      </c>
      <c r="R205" s="80">
        <v>234</v>
      </c>
      <c r="S205" s="80">
        <v>234</v>
      </c>
      <c r="T205" s="80">
        <v>234</v>
      </c>
      <c r="U205" s="80">
        <v>2808</v>
      </c>
    </row>
    <row r="206" spans="1:21" ht="15" customHeight="1" x14ac:dyDescent="0.3">
      <c r="A206" s="82" t="s">
        <v>469</v>
      </c>
      <c r="B206" s="81" t="s">
        <v>305</v>
      </c>
      <c r="C206" s="81" t="s">
        <v>426</v>
      </c>
      <c r="D206" s="81" t="s">
        <v>229</v>
      </c>
      <c r="E206" s="81" t="s">
        <v>468</v>
      </c>
      <c r="F206" s="81" t="s">
        <v>467</v>
      </c>
      <c r="G206" s="81" t="s">
        <v>226</v>
      </c>
      <c r="H206" s="81" t="s">
        <v>225</v>
      </c>
      <c r="I206" s="80">
        <v>360.39</v>
      </c>
      <c r="J206" s="80">
        <v>360.39</v>
      </c>
      <c r="K206" s="80">
        <v>360.39</v>
      </c>
      <c r="L206" s="80">
        <v>462.46</v>
      </c>
      <c r="M206" s="80">
        <v>462.46</v>
      </c>
      <c r="N206" s="80">
        <v>462.46</v>
      </c>
      <c r="O206" s="80">
        <v>479.13</v>
      </c>
      <c r="P206" s="80">
        <v>479.13</v>
      </c>
      <c r="Q206" s="80">
        <v>479.13</v>
      </c>
      <c r="R206" s="80">
        <v>636.82000000000005</v>
      </c>
      <c r="S206" s="80">
        <v>636.82000000000005</v>
      </c>
      <c r="T206" s="80">
        <v>636.82000000000005</v>
      </c>
      <c r="U206" s="80">
        <v>5816.4</v>
      </c>
    </row>
    <row r="207" spans="1:21" ht="15" customHeight="1" x14ac:dyDescent="0.3">
      <c r="A207" s="82" t="s">
        <v>466</v>
      </c>
      <c r="B207" s="81" t="s">
        <v>305</v>
      </c>
      <c r="C207" s="81" t="s">
        <v>426</v>
      </c>
      <c r="D207" s="81" t="s">
        <v>229</v>
      </c>
      <c r="E207" s="81" t="s">
        <v>465</v>
      </c>
      <c r="F207" s="81" t="s">
        <v>464</v>
      </c>
      <c r="G207" s="81" t="s">
        <v>226</v>
      </c>
      <c r="H207" s="81" t="s">
        <v>225</v>
      </c>
      <c r="I207" s="80">
        <v>360.39</v>
      </c>
      <c r="J207" s="80">
        <v>360.39</v>
      </c>
      <c r="K207" s="80">
        <v>360.39</v>
      </c>
      <c r="L207" s="80">
        <v>462.46</v>
      </c>
      <c r="M207" s="80">
        <v>462.46</v>
      </c>
      <c r="N207" s="80">
        <v>462.46</v>
      </c>
      <c r="O207" s="80">
        <v>479.13</v>
      </c>
      <c r="P207" s="80">
        <v>479.13</v>
      </c>
      <c r="Q207" s="80">
        <v>479.13</v>
      </c>
      <c r="R207" s="80">
        <v>636.82000000000005</v>
      </c>
      <c r="S207" s="80">
        <v>636.82000000000005</v>
      </c>
      <c r="T207" s="80">
        <v>636.82000000000005</v>
      </c>
      <c r="U207" s="80">
        <v>5816.4</v>
      </c>
    </row>
    <row r="208" spans="1:21" ht="15" customHeight="1" x14ac:dyDescent="0.3">
      <c r="A208" s="82" t="s">
        <v>463</v>
      </c>
      <c r="B208" s="81" t="s">
        <v>305</v>
      </c>
      <c r="C208" s="81" t="s">
        <v>426</v>
      </c>
      <c r="D208" s="81" t="s">
        <v>229</v>
      </c>
      <c r="E208" s="81" t="s">
        <v>462</v>
      </c>
      <c r="F208" s="81" t="s">
        <v>461</v>
      </c>
      <c r="G208" s="81" t="s">
        <v>226</v>
      </c>
      <c r="H208" s="81" t="s">
        <v>225</v>
      </c>
      <c r="I208" s="80">
        <v>360.39</v>
      </c>
      <c r="J208" s="80">
        <v>360.39</v>
      </c>
      <c r="K208" s="80">
        <v>360.39</v>
      </c>
      <c r="L208" s="80">
        <v>462.46</v>
      </c>
      <c r="M208" s="80">
        <v>462.46</v>
      </c>
      <c r="N208" s="80">
        <v>462.46</v>
      </c>
      <c r="O208" s="80">
        <v>479.13</v>
      </c>
      <c r="P208" s="80">
        <v>479.13</v>
      </c>
      <c r="Q208" s="80">
        <v>479.13</v>
      </c>
      <c r="R208" s="80">
        <v>636.82000000000005</v>
      </c>
      <c r="S208" s="80">
        <v>636.82000000000005</v>
      </c>
      <c r="T208" s="80">
        <v>636.82000000000005</v>
      </c>
      <c r="U208" s="80">
        <v>5816.4</v>
      </c>
    </row>
    <row r="209" spans="1:21" ht="15" customHeight="1" x14ac:dyDescent="0.3">
      <c r="A209" s="82" t="s">
        <v>460</v>
      </c>
      <c r="B209" s="81" t="s">
        <v>305</v>
      </c>
      <c r="C209" s="81" t="s">
        <v>426</v>
      </c>
      <c r="D209" s="81" t="s">
        <v>229</v>
      </c>
      <c r="E209" s="81" t="s">
        <v>459</v>
      </c>
      <c r="F209" s="81" t="s">
        <v>458</v>
      </c>
      <c r="G209" s="81" t="s">
        <v>226</v>
      </c>
      <c r="H209" s="81" t="s">
        <v>225</v>
      </c>
      <c r="I209" s="80">
        <v>360.39</v>
      </c>
      <c r="J209" s="80">
        <v>360.39</v>
      </c>
      <c r="K209" s="80">
        <v>360.39</v>
      </c>
      <c r="L209" s="80">
        <v>462.46</v>
      </c>
      <c r="M209" s="80">
        <v>462.46</v>
      </c>
      <c r="N209" s="80">
        <v>462.46</v>
      </c>
      <c r="O209" s="80">
        <v>479.13</v>
      </c>
      <c r="P209" s="80">
        <v>479.13</v>
      </c>
      <c r="Q209" s="80">
        <v>479.13</v>
      </c>
      <c r="R209" s="80">
        <v>636.82000000000005</v>
      </c>
      <c r="S209" s="80">
        <v>636.82000000000005</v>
      </c>
      <c r="T209" s="80">
        <v>636.82000000000005</v>
      </c>
      <c r="U209" s="80">
        <v>5816.4</v>
      </c>
    </row>
    <row r="210" spans="1:21" ht="15" customHeight="1" x14ac:dyDescent="0.3">
      <c r="A210" s="82" t="s">
        <v>457</v>
      </c>
      <c r="B210" s="81" t="s">
        <v>305</v>
      </c>
      <c r="C210" s="81" t="s">
        <v>426</v>
      </c>
      <c r="D210" s="81" t="s">
        <v>229</v>
      </c>
      <c r="E210" s="81" t="s">
        <v>456</v>
      </c>
      <c r="F210" s="81" t="s">
        <v>455</v>
      </c>
      <c r="G210" s="81" t="s">
        <v>226</v>
      </c>
      <c r="H210" s="81" t="s">
        <v>225</v>
      </c>
      <c r="I210" s="80">
        <v>260</v>
      </c>
      <c r="J210" s="80">
        <v>260</v>
      </c>
      <c r="K210" s="80">
        <v>260</v>
      </c>
      <c r="L210" s="80">
        <v>260</v>
      </c>
      <c r="M210" s="80">
        <v>260</v>
      </c>
      <c r="N210" s="80">
        <v>260</v>
      </c>
      <c r="O210" s="80">
        <v>260</v>
      </c>
      <c r="P210" s="80">
        <v>260</v>
      </c>
      <c r="Q210" s="80">
        <v>260</v>
      </c>
      <c r="R210" s="80">
        <v>260</v>
      </c>
      <c r="S210" s="80">
        <v>260</v>
      </c>
      <c r="T210" s="80">
        <v>260</v>
      </c>
      <c r="U210" s="80">
        <v>3120</v>
      </c>
    </row>
    <row r="211" spans="1:21" ht="15" customHeight="1" x14ac:dyDescent="0.3">
      <c r="A211" s="82" t="s">
        <v>454</v>
      </c>
      <c r="B211" s="81" t="s">
        <v>305</v>
      </c>
      <c r="C211" s="81" t="s">
        <v>426</v>
      </c>
      <c r="D211" s="81" t="s">
        <v>229</v>
      </c>
      <c r="E211" s="81" t="s">
        <v>453</v>
      </c>
      <c r="F211" s="81" t="s">
        <v>452</v>
      </c>
      <c r="G211" s="81" t="s">
        <v>226</v>
      </c>
      <c r="H211" s="81" t="s">
        <v>225</v>
      </c>
      <c r="I211" s="80">
        <v>5626.0752000000002</v>
      </c>
      <c r="J211" s="80">
        <v>5626.0752000000002</v>
      </c>
      <c r="K211" s="80">
        <v>5626.0752000000002</v>
      </c>
      <c r="L211" s="80">
        <v>5626.0752000000002</v>
      </c>
      <c r="M211" s="80">
        <v>5626.0752000000002</v>
      </c>
      <c r="N211" s="80">
        <v>5626.0752000000002</v>
      </c>
      <c r="O211" s="80">
        <v>5626.0752000000002</v>
      </c>
      <c r="P211" s="80">
        <v>5626.0752000000002</v>
      </c>
      <c r="Q211" s="80">
        <v>5626.0752000000002</v>
      </c>
      <c r="R211" s="80">
        <v>5626.0752000000002</v>
      </c>
      <c r="S211" s="80">
        <v>5626.0752000000002</v>
      </c>
      <c r="T211" s="80">
        <v>5626.0752000000002</v>
      </c>
      <c r="U211" s="80">
        <v>67512.902400000006</v>
      </c>
    </row>
    <row r="212" spans="1:21" ht="15" customHeight="1" x14ac:dyDescent="0.3">
      <c r="A212" s="82" t="s">
        <v>451</v>
      </c>
      <c r="B212" s="81" t="s">
        <v>305</v>
      </c>
      <c r="C212" s="81" t="s">
        <v>426</v>
      </c>
      <c r="D212" s="81" t="s">
        <v>229</v>
      </c>
      <c r="E212" s="81" t="s">
        <v>450</v>
      </c>
      <c r="F212" s="81" t="s">
        <v>449</v>
      </c>
      <c r="G212" s="81" t="s">
        <v>226</v>
      </c>
      <c r="H212" s="81" t="s">
        <v>225</v>
      </c>
      <c r="I212" s="80">
        <v>6618.9120000000003</v>
      </c>
      <c r="J212" s="80">
        <v>6618.9120000000003</v>
      </c>
      <c r="K212" s="80">
        <v>6618.9120000000003</v>
      </c>
      <c r="L212" s="80">
        <v>6618.9120000000003</v>
      </c>
      <c r="M212" s="80">
        <v>6618.9120000000003</v>
      </c>
      <c r="N212" s="80">
        <v>1185.4834289999999</v>
      </c>
      <c r="O212" s="80">
        <v>1185.4834289999999</v>
      </c>
      <c r="P212" s="80">
        <v>1185.4834289999999</v>
      </c>
      <c r="Q212" s="80">
        <v>1185.4834289999999</v>
      </c>
      <c r="R212" s="80">
        <v>1185.4834289999999</v>
      </c>
      <c r="S212" s="80">
        <v>1185.4834289999999</v>
      </c>
      <c r="T212" s="80">
        <v>1185.4834289999999</v>
      </c>
      <c r="U212" s="80">
        <v>41392.944002999997</v>
      </c>
    </row>
    <row r="213" spans="1:21" ht="15" customHeight="1" x14ac:dyDescent="0.3">
      <c r="A213" s="82" t="s">
        <v>448</v>
      </c>
      <c r="B213" s="81" t="s">
        <v>305</v>
      </c>
      <c r="C213" s="81" t="s">
        <v>426</v>
      </c>
      <c r="D213" s="81" t="s">
        <v>229</v>
      </c>
      <c r="E213" s="81" t="s">
        <v>447</v>
      </c>
      <c r="F213" s="81" t="s">
        <v>446</v>
      </c>
      <c r="G213" s="81" t="s">
        <v>226</v>
      </c>
      <c r="H213" s="81" t="s">
        <v>225</v>
      </c>
      <c r="I213" s="80">
        <v>6287.9664000000002</v>
      </c>
      <c r="J213" s="80">
        <v>6287.9664000000002</v>
      </c>
      <c r="K213" s="80">
        <v>6287.9664000000002</v>
      </c>
      <c r="L213" s="80">
        <v>6287.9664000000002</v>
      </c>
      <c r="M213" s="80">
        <v>6287.9664000000002</v>
      </c>
      <c r="N213" s="80">
        <v>6287.9664000000002</v>
      </c>
      <c r="O213" s="80">
        <v>6287.9664000000002</v>
      </c>
      <c r="P213" s="80">
        <v>6287.9664000000002</v>
      </c>
      <c r="Q213" s="80">
        <v>6287.9664000000002</v>
      </c>
      <c r="R213" s="80">
        <v>6287.9664000000002</v>
      </c>
      <c r="S213" s="80">
        <v>6287.9664000000002</v>
      </c>
      <c r="T213" s="80">
        <v>6287.9664000000002</v>
      </c>
      <c r="U213" s="80">
        <v>75455.596799999999</v>
      </c>
    </row>
    <row r="214" spans="1:21" ht="15" customHeight="1" x14ac:dyDescent="0.3">
      <c r="A214" s="82" t="s">
        <v>445</v>
      </c>
      <c r="B214" s="81" t="s">
        <v>305</v>
      </c>
      <c r="C214" s="81" t="s">
        <v>426</v>
      </c>
      <c r="D214" s="81" t="s">
        <v>229</v>
      </c>
      <c r="E214" s="81" t="s">
        <v>444</v>
      </c>
      <c r="F214" s="81" t="s">
        <v>443</v>
      </c>
      <c r="G214" s="81" t="s">
        <v>226</v>
      </c>
      <c r="H214" s="81" t="s">
        <v>225</v>
      </c>
      <c r="I214" s="80">
        <v>5957.0208000000002</v>
      </c>
      <c r="J214" s="80">
        <v>5957.0208000000002</v>
      </c>
      <c r="K214" s="80">
        <v>5957.0208000000002</v>
      </c>
      <c r="L214" s="80">
        <v>5957.0208000000002</v>
      </c>
      <c r="M214" s="80">
        <v>5957.0208000000002</v>
      </c>
      <c r="N214" s="80">
        <v>5957.0208000000002</v>
      </c>
      <c r="O214" s="80">
        <v>5957.0208000000002</v>
      </c>
      <c r="P214" s="80">
        <v>5957.0208000000002</v>
      </c>
      <c r="Q214" s="80">
        <v>5957.0208000000002</v>
      </c>
      <c r="R214" s="80">
        <v>5957.0208000000002</v>
      </c>
      <c r="S214" s="80">
        <v>5957.0208000000002</v>
      </c>
      <c r="T214" s="80">
        <v>5957.0208000000002</v>
      </c>
      <c r="U214" s="80">
        <v>71484.249599999996</v>
      </c>
    </row>
    <row r="215" spans="1:21" ht="15" customHeight="1" x14ac:dyDescent="0.3">
      <c r="A215" s="82" t="s">
        <v>442</v>
      </c>
      <c r="B215" s="81" t="s">
        <v>305</v>
      </c>
      <c r="C215" s="81" t="s">
        <v>426</v>
      </c>
      <c r="D215" s="81" t="s">
        <v>229</v>
      </c>
      <c r="E215" s="81" t="s">
        <v>441</v>
      </c>
      <c r="F215" s="81" t="s">
        <v>440</v>
      </c>
      <c r="G215" s="81" t="s">
        <v>226</v>
      </c>
      <c r="H215" s="81" t="s">
        <v>225</v>
      </c>
      <c r="I215" s="80">
        <v>6287.9664000000002</v>
      </c>
      <c r="J215" s="80">
        <v>6287.9664000000002</v>
      </c>
      <c r="K215" s="80">
        <v>6287.9664000000002</v>
      </c>
      <c r="L215" s="80">
        <v>6287.9664000000002</v>
      </c>
      <c r="M215" s="80">
        <v>6287.9664000000002</v>
      </c>
      <c r="N215" s="80">
        <v>6287.9664000000002</v>
      </c>
      <c r="O215" s="80">
        <v>6287.9664000000002</v>
      </c>
      <c r="P215" s="80">
        <v>6287.9664000000002</v>
      </c>
      <c r="Q215" s="80">
        <v>6287.9664000000002</v>
      </c>
      <c r="R215" s="80">
        <v>6287.9664000000002</v>
      </c>
      <c r="S215" s="80">
        <v>6287.9664000000002</v>
      </c>
      <c r="T215" s="80">
        <v>6287.9664000000002</v>
      </c>
      <c r="U215" s="80">
        <v>75455.596799999999</v>
      </c>
    </row>
    <row r="216" spans="1:21" ht="15" customHeight="1" x14ac:dyDescent="0.3">
      <c r="A216" s="82" t="s">
        <v>439</v>
      </c>
      <c r="B216" s="81" t="s">
        <v>305</v>
      </c>
      <c r="C216" s="81" t="s">
        <v>426</v>
      </c>
      <c r="D216" s="81" t="s">
        <v>229</v>
      </c>
      <c r="E216" s="81" t="s">
        <v>438</v>
      </c>
      <c r="F216" s="81" t="s">
        <v>437</v>
      </c>
      <c r="G216" s="81" t="s">
        <v>226</v>
      </c>
      <c r="H216" s="81" t="s">
        <v>225</v>
      </c>
      <c r="I216" s="80">
        <v>7280.8032000000003</v>
      </c>
      <c r="J216" s="80">
        <v>7280.8032000000003</v>
      </c>
      <c r="K216" s="80">
        <v>7280.8032000000003</v>
      </c>
      <c r="L216" s="80">
        <v>7280.8032000000003</v>
      </c>
      <c r="M216" s="80">
        <v>7280.8032000000003</v>
      </c>
      <c r="N216" s="80">
        <v>7280.8032000000003</v>
      </c>
      <c r="O216" s="80">
        <v>7280.8032000000003</v>
      </c>
      <c r="P216" s="80">
        <v>7280.8032000000003</v>
      </c>
      <c r="Q216" s="80">
        <v>7280.8032000000003</v>
      </c>
      <c r="R216" s="80">
        <v>7280.8032000000003</v>
      </c>
      <c r="S216" s="80">
        <v>7280.8032000000003</v>
      </c>
      <c r="T216" s="80">
        <v>7280.8032000000003</v>
      </c>
      <c r="U216" s="80">
        <v>87369.638399999996</v>
      </c>
    </row>
    <row r="217" spans="1:21" ht="15" customHeight="1" x14ac:dyDescent="0.3">
      <c r="A217" s="82" t="s">
        <v>436</v>
      </c>
      <c r="B217" s="81" t="s">
        <v>305</v>
      </c>
      <c r="C217" s="81" t="s">
        <v>426</v>
      </c>
      <c r="D217" s="81" t="s">
        <v>229</v>
      </c>
      <c r="E217" s="81" t="s">
        <v>435</v>
      </c>
      <c r="F217" s="81" t="s">
        <v>434</v>
      </c>
      <c r="G217" s="81" t="s">
        <v>226</v>
      </c>
      <c r="H217" s="81" t="s">
        <v>225</v>
      </c>
      <c r="I217" s="80">
        <v>6949.8576000000003</v>
      </c>
      <c r="J217" s="80">
        <v>6949.8576000000003</v>
      </c>
      <c r="K217" s="80">
        <v>6949.8576000000003</v>
      </c>
      <c r="L217" s="80">
        <v>6949.8576000000003</v>
      </c>
      <c r="M217" s="80">
        <v>6949.8576000000003</v>
      </c>
      <c r="N217" s="80">
        <v>1516.4290289999999</v>
      </c>
      <c r="O217" s="80">
        <v>1516.4290289999999</v>
      </c>
      <c r="P217" s="80">
        <v>1516.4290289999999</v>
      </c>
      <c r="Q217" s="80">
        <v>1516.4290289999999</v>
      </c>
      <c r="R217" s="80">
        <v>1516.4290289999999</v>
      </c>
      <c r="S217" s="80">
        <v>1516.4290289999999</v>
      </c>
      <c r="T217" s="80">
        <v>1516.4290289999999</v>
      </c>
      <c r="U217" s="80">
        <v>45364.291203000001</v>
      </c>
    </row>
    <row r="218" spans="1:21" ht="15" customHeight="1" x14ac:dyDescent="0.3">
      <c r="A218" s="82" t="s">
        <v>433</v>
      </c>
      <c r="B218" s="81" t="s">
        <v>305</v>
      </c>
      <c r="C218" s="81" t="s">
        <v>426</v>
      </c>
      <c r="D218" s="81" t="s">
        <v>229</v>
      </c>
      <c r="E218" s="81" t="s">
        <v>432</v>
      </c>
      <c r="F218" s="81" t="s">
        <v>431</v>
      </c>
      <c r="G218" s="81" t="s">
        <v>226</v>
      </c>
      <c r="H218" s="81" t="s">
        <v>225</v>
      </c>
      <c r="I218" s="80">
        <v>5957.0208000000002</v>
      </c>
      <c r="J218" s="80">
        <v>5957.0208000000002</v>
      </c>
      <c r="K218" s="80">
        <v>5957.0208000000002</v>
      </c>
      <c r="L218" s="80">
        <v>5957.0208000000002</v>
      </c>
      <c r="M218" s="80">
        <v>5957.0208000000002</v>
      </c>
      <c r="N218" s="80">
        <v>5957.0208000000002</v>
      </c>
      <c r="O218" s="80">
        <v>5957.0208000000002</v>
      </c>
      <c r="P218" s="80">
        <v>5957.0208000000002</v>
      </c>
      <c r="Q218" s="80">
        <v>5957.0208000000002</v>
      </c>
      <c r="R218" s="80">
        <v>5957.0208000000002</v>
      </c>
      <c r="S218" s="80">
        <v>5957.0208000000002</v>
      </c>
      <c r="T218" s="80">
        <v>5957.0208000000002</v>
      </c>
      <c r="U218" s="80">
        <v>71484.249599999996</v>
      </c>
    </row>
    <row r="219" spans="1:21" ht="15" customHeight="1" x14ac:dyDescent="0.3">
      <c r="A219" s="82" t="s">
        <v>430</v>
      </c>
      <c r="B219" s="81" t="s">
        <v>305</v>
      </c>
      <c r="C219" s="81" t="s">
        <v>426</v>
      </c>
      <c r="D219" s="81" t="s">
        <v>229</v>
      </c>
      <c r="E219" s="81" t="s">
        <v>429</v>
      </c>
      <c r="F219" s="81" t="s">
        <v>428</v>
      </c>
      <c r="G219" s="81" t="s">
        <v>226</v>
      </c>
      <c r="H219" s="81" t="s">
        <v>225</v>
      </c>
      <c r="I219" s="80">
        <v>6287.9664000000002</v>
      </c>
      <c r="J219" s="80">
        <v>6287.9664000000002</v>
      </c>
      <c r="K219" s="80">
        <v>6287.9664000000002</v>
      </c>
      <c r="L219" s="80">
        <v>6287.9664000000002</v>
      </c>
      <c r="M219" s="80">
        <v>6287.9664000000002</v>
      </c>
      <c r="N219" s="80">
        <v>6287.9664000000002</v>
      </c>
      <c r="O219" s="80">
        <v>6287.9664000000002</v>
      </c>
      <c r="P219" s="80">
        <v>6287.9664000000002</v>
      </c>
      <c r="Q219" s="80">
        <v>6287.9664000000002</v>
      </c>
      <c r="R219" s="80">
        <v>6287.9664000000002</v>
      </c>
      <c r="S219" s="80">
        <v>6287.9664000000002</v>
      </c>
      <c r="T219" s="80">
        <v>6287.9664000000002</v>
      </c>
      <c r="U219" s="80">
        <v>75455.596799999999</v>
      </c>
    </row>
    <row r="220" spans="1:21" ht="15" customHeight="1" x14ac:dyDescent="0.3">
      <c r="A220" s="82" t="s">
        <v>427</v>
      </c>
      <c r="B220" s="81" t="s">
        <v>305</v>
      </c>
      <c r="C220" s="81" t="s">
        <v>426</v>
      </c>
      <c r="D220" s="81" t="s">
        <v>229</v>
      </c>
      <c r="E220" s="81" t="s">
        <v>425</v>
      </c>
      <c r="F220" s="81" t="s">
        <v>424</v>
      </c>
      <c r="G220" s="81" t="s">
        <v>226</v>
      </c>
      <c r="H220" s="81" t="s">
        <v>225</v>
      </c>
      <c r="I220" s="80">
        <v>5626.0752000000002</v>
      </c>
      <c r="J220" s="80">
        <v>5626.0752000000002</v>
      </c>
      <c r="K220" s="80">
        <v>5626.0752000000002</v>
      </c>
      <c r="L220" s="80">
        <v>5626.0752000000002</v>
      </c>
      <c r="M220" s="80">
        <v>5626.0752000000002</v>
      </c>
      <c r="N220" s="80">
        <v>5626.0752000000002</v>
      </c>
      <c r="O220" s="80">
        <v>5626.0752000000002</v>
      </c>
      <c r="P220" s="80">
        <v>5626.0752000000002</v>
      </c>
      <c r="Q220" s="80">
        <v>5626.0752000000002</v>
      </c>
      <c r="R220" s="80">
        <v>5626.0752000000002</v>
      </c>
      <c r="S220" s="80">
        <v>5626.0752000000002</v>
      </c>
      <c r="T220" s="80">
        <v>5626.0752000000002</v>
      </c>
      <c r="U220" s="80">
        <v>67512.902400000006</v>
      </c>
    </row>
    <row r="221" spans="1:21" ht="15" customHeight="1" x14ac:dyDescent="0.3">
      <c r="A221" s="82" t="s">
        <v>423</v>
      </c>
      <c r="B221" s="81" t="s">
        <v>305</v>
      </c>
      <c r="C221" s="81" t="s">
        <v>365</v>
      </c>
      <c r="D221" s="81" t="s">
        <v>229</v>
      </c>
      <c r="E221" s="81" t="s">
        <v>422</v>
      </c>
      <c r="F221" s="81" t="s">
        <v>421</v>
      </c>
      <c r="G221" s="81" t="s">
        <v>226</v>
      </c>
      <c r="H221" s="81" t="s">
        <v>225</v>
      </c>
      <c r="I221" s="80">
        <v>360.39</v>
      </c>
      <c r="J221" s="80">
        <v>360.39</v>
      </c>
      <c r="K221" s="80">
        <v>360.39</v>
      </c>
      <c r="L221" s="80">
        <v>462.46</v>
      </c>
      <c r="M221" s="80">
        <v>462.46</v>
      </c>
      <c r="N221" s="80">
        <v>462.46</v>
      </c>
      <c r="O221" s="80">
        <v>479.13</v>
      </c>
      <c r="P221" s="80">
        <v>479.13</v>
      </c>
      <c r="Q221" s="80">
        <v>479.13</v>
      </c>
      <c r="R221" s="80">
        <v>636.82000000000005</v>
      </c>
      <c r="S221" s="80">
        <v>636.82000000000005</v>
      </c>
      <c r="T221" s="80">
        <v>636.82000000000005</v>
      </c>
      <c r="U221" s="80">
        <v>5816.4</v>
      </c>
    </row>
    <row r="222" spans="1:21" ht="15" customHeight="1" x14ac:dyDescent="0.3">
      <c r="A222" s="82" t="s">
        <v>420</v>
      </c>
      <c r="B222" s="81" t="s">
        <v>305</v>
      </c>
      <c r="C222" s="81" t="s">
        <v>365</v>
      </c>
      <c r="D222" s="81" t="s">
        <v>229</v>
      </c>
      <c r="E222" s="81" t="s">
        <v>419</v>
      </c>
      <c r="F222" s="81" t="s">
        <v>418</v>
      </c>
      <c r="G222" s="81" t="s">
        <v>226</v>
      </c>
      <c r="H222" s="81" t="s">
        <v>225</v>
      </c>
      <c r="I222" s="80">
        <v>360.39</v>
      </c>
      <c r="J222" s="80">
        <v>360.39</v>
      </c>
      <c r="K222" s="80">
        <v>360.39</v>
      </c>
      <c r="L222" s="80">
        <v>462.46</v>
      </c>
      <c r="M222" s="80">
        <v>462.46</v>
      </c>
      <c r="N222" s="80">
        <v>462.46</v>
      </c>
      <c r="O222" s="80">
        <v>479.13</v>
      </c>
      <c r="P222" s="80">
        <v>479.13</v>
      </c>
      <c r="Q222" s="80">
        <v>479.13</v>
      </c>
      <c r="R222" s="80">
        <v>636.82000000000005</v>
      </c>
      <c r="S222" s="80">
        <v>636.82000000000005</v>
      </c>
      <c r="T222" s="80">
        <v>636.82000000000005</v>
      </c>
      <c r="U222" s="80">
        <v>5816.4</v>
      </c>
    </row>
    <row r="223" spans="1:21" ht="15" customHeight="1" x14ac:dyDescent="0.3">
      <c r="A223" s="82" t="s">
        <v>417</v>
      </c>
      <c r="B223" s="81" t="s">
        <v>305</v>
      </c>
      <c r="C223" s="81" t="s">
        <v>365</v>
      </c>
      <c r="D223" s="81" t="s">
        <v>229</v>
      </c>
      <c r="E223" s="81" t="s">
        <v>416</v>
      </c>
      <c r="F223" s="81" t="s">
        <v>415</v>
      </c>
      <c r="G223" s="81" t="s">
        <v>226</v>
      </c>
      <c r="H223" s="81" t="s">
        <v>225</v>
      </c>
      <c r="I223" s="80">
        <v>299.89999999999998</v>
      </c>
      <c r="J223" s="80">
        <v>299.89999999999998</v>
      </c>
      <c r="K223" s="80">
        <v>299.89999999999998</v>
      </c>
      <c r="L223" s="80">
        <v>299.89999999999998</v>
      </c>
      <c r="M223" s="80">
        <v>299.89999999999998</v>
      </c>
      <c r="N223" s="80">
        <v>299.89999999999998</v>
      </c>
      <c r="O223" s="80">
        <v>299.89999999999998</v>
      </c>
      <c r="P223" s="80">
        <v>299.89999999999998</v>
      </c>
      <c r="Q223" s="80">
        <v>299.89999999999998</v>
      </c>
      <c r="R223" s="80">
        <v>299.89999999999998</v>
      </c>
      <c r="S223" s="80">
        <v>299.89999999999998</v>
      </c>
      <c r="T223" s="80">
        <v>299.89999999999998</v>
      </c>
      <c r="U223" s="80">
        <v>3598.8</v>
      </c>
    </row>
    <row r="224" spans="1:21" ht="15" customHeight="1" x14ac:dyDescent="0.3">
      <c r="A224" s="82" t="s">
        <v>414</v>
      </c>
      <c r="B224" s="81" t="s">
        <v>305</v>
      </c>
      <c r="C224" s="81" t="s">
        <v>365</v>
      </c>
      <c r="D224" s="81" t="s">
        <v>229</v>
      </c>
      <c r="E224" s="81" t="s">
        <v>413</v>
      </c>
      <c r="F224" s="81" t="s">
        <v>412</v>
      </c>
      <c r="G224" s="81" t="s">
        <v>226</v>
      </c>
      <c r="H224" s="81" t="s">
        <v>225</v>
      </c>
      <c r="I224" s="80">
        <v>260</v>
      </c>
      <c r="J224" s="80">
        <v>260</v>
      </c>
      <c r="K224" s="80">
        <v>260</v>
      </c>
      <c r="L224" s="80">
        <v>260</v>
      </c>
      <c r="M224" s="80">
        <v>260</v>
      </c>
      <c r="N224" s="80">
        <v>260</v>
      </c>
      <c r="O224" s="80">
        <v>260</v>
      </c>
      <c r="P224" s="80">
        <v>260</v>
      </c>
      <c r="Q224" s="80">
        <v>260</v>
      </c>
      <c r="R224" s="80">
        <v>260</v>
      </c>
      <c r="S224" s="80">
        <v>260</v>
      </c>
      <c r="T224" s="80">
        <v>260</v>
      </c>
      <c r="U224" s="80">
        <v>3120</v>
      </c>
    </row>
    <row r="225" spans="1:21" ht="15" customHeight="1" x14ac:dyDescent="0.3">
      <c r="A225" s="82" t="s">
        <v>411</v>
      </c>
      <c r="B225" s="81" t="s">
        <v>305</v>
      </c>
      <c r="C225" s="81" t="s">
        <v>365</v>
      </c>
      <c r="D225" s="81" t="s">
        <v>229</v>
      </c>
      <c r="E225" s="81" t="s">
        <v>410</v>
      </c>
      <c r="F225" s="81" t="s">
        <v>409</v>
      </c>
      <c r="G225" s="81" t="s">
        <v>226</v>
      </c>
      <c r="H225" s="81" t="s">
        <v>225</v>
      </c>
      <c r="I225" s="80">
        <v>297.26</v>
      </c>
      <c r="J225" s="80">
        <v>297.26</v>
      </c>
      <c r="K225" s="80">
        <v>297.26</v>
      </c>
      <c r="L225" s="80">
        <v>381.46</v>
      </c>
      <c r="M225" s="80">
        <v>381.46</v>
      </c>
      <c r="N225" s="80">
        <v>381.46</v>
      </c>
      <c r="O225" s="80">
        <v>395.2</v>
      </c>
      <c r="P225" s="80">
        <v>395.2</v>
      </c>
      <c r="Q225" s="80">
        <v>395.2</v>
      </c>
      <c r="R225" s="80">
        <v>525.28</v>
      </c>
      <c r="S225" s="80">
        <v>525.28</v>
      </c>
      <c r="T225" s="80">
        <v>525.28</v>
      </c>
      <c r="U225" s="80">
        <v>4797.6000000000004</v>
      </c>
    </row>
    <row r="226" spans="1:21" ht="15" customHeight="1" x14ac:dyDescent="0.3">
      <c r="A226" s="82" t="s">
        <v>408</v>
      </c>
      <c r="B226" s="81" t="s">
        <v>305</v>
      </c>
      <c r="C226" s="81" t="s">
        <v>365</v>
      </c>
      <c r="D226" s="81" t="s">
        <v>229</v>
      </c>
      <c r="E226" s="81" t="s">
        <v>407</v>
      </c>
      <c r="F226" s="81" t="s">
        <v>406</v>
      </c>
      <c r="G226" s="81" t="s">
        <v>226</v>
      </c>
      <c r="H226" s="81" t="s">
        <v>225</v>
      </c>
      <c r="I226" s="80">
        <v>260</v>
      </c>
      <c r="J226" s="80">
        <v>260</v>
      </c>
      <c r="K226" s="80">
        <v>260</v>
      </c>
      <c r="L226" s="80">
        <v>260</v>
      </c>
      <c r="M226" s="80">
        <v>260</v>
      </c>
      <c r="N226" s="80">
        <v>260</v>
      </c>
      <c r="O226" s="80">
        <v>260</v>
      </c>
      <c r="P226" s="80">
        <v>260</v>
      </c>
      <c r="Q226" s="80">
        <v>260</v>
      </c>
      <c r="R226" s="80">
        <v>260</v>
      </c>
      <c r="S226" s="80">
        <v>260</v>
      </c>
      <c r="T226" s="80">
        <v>260</v>
      </c>
      <c r="U226" s="80">
        <v>3120</v>
      </c>
    </row>
    <row r="227" spans="1:21" ht="15" customHeight="1" x14ac:dyDescent="0.3">
      <c r="A227" s="82" t="s">
        <v>405</v>
      </c>
      <c r="B227" s="81" t="s">
        <v>305</v>
      </c>
      <c r="C227" s="81" t="s">
        <v>365</v>
      </c>
      <c r="D227" s="81" t="s">
        <v>229</v>
      </c>
      <c r="E227" s="81" t="s">
        <v>404</v>
      </c>
      <c r="F227" s="81" t="s">
        <v>403</v>
      </c>
      <c r="G227" s="81" t="s">
        <v>226</v>
      </c>
      <c r="H227" s="81" t="s">
        <v>225</v>
      </c>
      <c r="I227" s="80">
        <v>297.26</v>
      </c>
      <c r="J227" s="80">
        <v>297.26</v>
      </c>
      <c r="K227" s="80">
        <v>297.26</v>
      </c>
      <c r="L227" s="80">
        <v>381.46</v>
      </c>
      <c r="M227" s="80">
        <v>381.46</v>
      </c>
      <c r="N227" s="80">
        <v>381.46</v>
      </c>
      <c r="O227" s="80">
        <v>395.2</v>
      </c>
      <c r="P227" s="80">
        <v>395.2</v>
      </c>
      <c r="Q227" s="80">
        <v>395.2</v>
      </c>
      <c r="R227" s="80">
        <v>525.28</v>
      </c>
      <c r="S227" s="80">
        <v>525.28</v>
      </c>
      <c r="T227" s="80">
        <v>525.28</v>
      </c>
      <c r="U227" s="80">
        <v>4797.6000000000004</v>
      </c>
    </row>
    <row r="228" spans="1:21" ht="15" customHeight="1" x14ac:dyDescent="0.3">
      <c r="A228" s="82" t="s">
        <v>402</v>
      </c>
      <c r="B228" s="81" t="s">
        <v>305</v>
      </c>
      <c r="C228" s="81" t="s">
        <v>365</v>
      </c>
      <c r="D228" s="81" t="s">
        <v>229</v>
      </c>
      <c r="E228" s="81" t="s">
        <v>401</v>
      </c>
      <c r="F228" s="81" t="s">
        <v>400</v>
      </c>
      <c r="G228" s="81" t="s">
        <v>226</v>
      </c>
      <c r="H228" s="81" t="s">
        <v>225</v>
      </c>
      <c r="I228" s="80">
        <v>297.26</v>
      </c>
      <c r="J228" s="80">
        <v>297.26</v>
      </c>
      <c r="K228" s="80">
        <v>297.26</v>
      </c>
      <c r="L228" s="80">
        <v>381.46</v>
      </c>
      <c r="M228" s="80">
        <v>381.46</v>
      </c>
      <c r="N228" s="80">
        <v>381.46</v>
      </c>
      <c r="O228" s="80">
        <v>395.2</v>
      </c>
      <c r="P228" s="80">
        <v>395.2</v>
      </c>
      <c r="Q228" s="80">
        <v>395.2</v>
      </c>
      <c r="R228" s="80">
        <v>525.28</v>
      </c>
      <c r="S228" s="80">
        <v>525.28</v>
      </c>
      <c r="T228" s="80">
        <v>525.28</v>
      </c>
      <c r="U228" s="80">
        <v>4797.6000000000004</v>
      </c>
    </row>
    <row r="229" spans="1:21" ht="15" customHeight="1" x14ac:dyDescent="0.3">
      <c r="A229" s="82" t="s">
        <v>399</v>
      </c>
      <c r="B229" s="81" t="s">
        <v>305</v>
      </c>
      <c r="C229" s="81" t="s">
        <v>365</v>
      </c>
      <c r="D229" s="81" t="s">
        <v>229</v>
      </c>
      <c r="E229" s="81" t="s">
        <v>398</v>
      </c>
      <c r="F229" s="81" t="s">
        <v>397</v>
      </c>
      <c r="G229" s="81" t="s">
        <v>226</v>
      </c>
      <c r="H229" s="81" t="s">
        <v>225</v>
      </c>
      <c r="I229" s="80">
        <v>360.39</v>
      </c>
      <c r="J229" s="80">
        <v>360.39</v>
      </c>
      <c r="K229" s="80">
        <v>360.39</v>
      </c>
      <c r="L229" s="80">
        <v>462.46</v>
      </c>
      <c r="M229" s="80">
        <v>462.46</v>
      </c>
      <c r="N229" s="80">
        <v>462.46</v>
      </c>
      <c r="O229" s="80">
        <v>479.13</v>
      </c>
      <c r="P229" s="80">
        <v>479.13</v>
      </c>
      <c r="Q229" s="80">
        <v>479.13</v>
      </c>
      <c r="R229" s="80">
        <v>636.82000000000005</v>
      </c>
      <c r="S229" s="80">
        <v>636.82000000000005</v>
      </c>
      <c r="T229" s="80">
        <v>636.82000000000005</v>
      </c>
      <c r="U229" s="80">
        <v>5816.4</v>
      </c>
    </row>
    <row r="230" spans="1:21" ht="15" customHeight="1" x14ac:dyDescent="0.3">
      <c r="A230" s="82" t="s">
        <v>396</v>
      </c>
      <c r="B230" s="81" t="s">
        <v>305</v>
      </c>
      <c r="C230" s="81" t="s">
        <v>365</v>
      </c>
      <c r="D230" s="81" t="s">
        <v>229</v>
      </c>
      <c r="E230" s="81" t="s">
        <v>395</v>
      </c>
      <c r="F230" s="81" t="s">
        <v>394</v>
      </c>
      <c r="G230" s="81" t="s">
        <v>226</v>
      </c>
      <c r="H230" s="81" t="s">
        <v>225</v>
      </c>
      <c r="I230" s="80">
        <v>360.39</v>
      </c>
      <c r="J230" s="80">
        <v>360.39</v>
      </c>
      <c r="K230" s="80">
        <v>360.39</v>
      </c>
      <c r="L230" s="80">
        <v>462.46</v>
      </c>
      <c r="M230" s="80">
        <v>462.46</v>
      </c>
      <c r="N230" s="80">
        <v>462.46</v>
      </c>
      <c r="O230" s="80">
        <v>479.13</v>
      </c>
      <c r="P230" s="80">
        <v>479.13</v>
      </c>
      <c r="Q230" s="80">
        <v>479.13</v>
      </c>
      <c r="R230" s="80">
        <v>636.82000000000005</v>
      </c>
      <c r="S230" s="80">
        <v>636.82000000000005</v>
      </c>
      <c r="T230" s="80">
        <v>636.82000000000005</v>
      </c>
      <c r="U230" s="80">
        <v>5816.4</v>
      </c>
    </row>
    <row r="231" spans="1:21" ht="15" customHeight="1" x14ac:dyDescent="0.3">
      <c r="A231" s="82" t="s">
        <v>393</v>
      </c>
      <c r="B231" s="81" t="s">
        <v>305</v>
      </c>
      <c r="C231" s="81" t="s">
        <v>365</v>
      </c>
      <c r="D231" s="81" t="s">
        <v>229</v>
      </c>
      <c r="E231" s="81" t="s">
        <v>392</v>
      </c>
      <c r="F231" s="81" t="s">
        <v>391</v>
      </c>
      <c r="G231" s="81" t="s">
        <v>226</v>
      </c>
      <c r="H231" s="81" t="s">
        <v>225</v>
      </c>
      <c r="I231" s="80">
        <v>6287.9664000000002</v>
      </c>
      <c r="J231" s="80">
        <v>6287.9664000000002</v>
      </c>
      <c r="K231" s="80">
        <v>6287.9664000000002</v>
      </c>
      <c r="L231" s="80">
        <v>6287.9664000000002</v>
      </c>
      <c r="M231" s="80">
        <v>6287.9664000000002</v>
      </c>
      <c r="N231" s="80">
        <v>6287.9664000000002</v>
      </c>
      <c r="O231" s="80">
        <v>6287.9664000000002</v>
      </c>
      <c r="P231" s="80">
        <v>6287.9664000000002</v>
      </c>
      <c r="Q231" s="80">
        <v>6287.9664000000002</v>
      </c>
      <c r="R231" s="80">
        <v>6287.9664000000002</v>
      </c>
      <c r="S231" s="80">
        <v>6287.9664000000002</v>
      </c>
      <c r="T231" s="80">
        <v>6287.9664000000002</v>
      </c>
      <c r="U231" s="80">
        <v>75455.596799999999</v>
      </c>
    </row>
    <row r="232" spans="1:21" ht="15" customHeight="1" x14ac:dyDescent="0.3">
      <c r="A232" s="82" t="s">
        <v>390</v>
      </c>
      <c r="B232" s="81" t="s">
        <v>305</v>
      </c>
      <c r="C232" s="81" t="s">
        <v>365</v>
      </c>
      <c r="D232" s="81" t="s">
        <v>229</v>
      </c>
      <c r="E232" s="81" t="s">
        <v>389</v>
      </c>
      <c r="F232" s="81" t="s">
        <v>388</v>
      </c>
      <c r="G232" s="81" t="s">
        <v>226</v>
      </c>
      <c r="H232" s="81" t="s">
        <v>225</v>
      </c>
      <c r="I232" s="80">
        <v>5957.0208000000002</v>
      </c>
      <c r="J232" s="80">
        <v>5957.0208000000002</v>
      </c>
      <c r="K232" s="80">
        <v>5957.0208000000002</v>
      </c>
      <c r="L232" s="80">
        <v>5957.0208000000002</v>
      </c>
      <c r="M232" s="80">
        <v>5957.0208000000002</v>
      </c>
      <c r="N232" s="80">
        <v>5957.0208000000002</v>
      </c>
      <c r="O232" s="80">
        <v>5957.0208000000002</v>
      </c>
      <c r="P232" s="80">
        <v>5957.0208000000002</v>
      </c>
      <c r="Q232" s="80">
        <v>5957.0208000000002</v>
      </c>
      <c r="R232" s="80">
        <v>5957.0208000000002</v>
      </c>
      <c r="S232" s="80">
        <v>5957.0208000000002</v>
      </c>
      <c r="T232" s="80">
        <v>5957.0208000000002</v>
      </c>
      <c r="U232" s="80">
        <v>71484.249599999996</v>
      </c>
    </row>
    <row r="233" spans="1:21" ht="15" customHeight="1" x14ac:dyDescent="0.3">
      <c r="A233" s="82" t="s">
        <v>387</v>
      </c>
      <c r="B233" s="81" t="s">
        <v>305</v>
      </c>
      <c r="C233" s="81" t="s">
        <v>365</v>
      </c>
      <c r="D233" s="81" t="s">
        <v>229</v>
      </c>
      <c r="E233" s="81" t="s">
        <v>386</v>
      </c>
      <c r="F233" s="81" t="s">
        <v>385</v>
      </c>
      <c r="G233" s="81" t="s">
        <v>226</v>
      </c>
      <c r="H233" s="81" t="s">
        <v>225</v>
      </c>
      <c r="I233" s="80">
        <v>6949.8576000000003</v>
      </c>
      <c r="J233" s="80">
        <v>6949.8576000000003</v>
      </c>
      <c r="K233" s="80">
        <v>6949.8576000000003</v>
      </c>
      <c r="L233" s="80">
        <v>6949.8576000000003</v>
      </c>
      <c r="M233" s="80">
        <v>6949.8576000000003</v>
      </c>
      <c r="N233" s="80">
        <v>6949.8576000000003</v>
      </c>
      <c r="O233" s="80">
        <v>6949.8576000000003</v>
      </c>
      <c r="P233" s="80">
        <v>6949.8576000000003</v>
      </c>
      <c r="Q233" s="80">
        <v>6949.8576000000003</v>
      </c>
      <c r="R233" s="80">
        <v>6949.8576000000003</v>
      </c>
      <c r="S233" s="80">
        <v>6949.8576000000003</v>
      </c>
      <c r="T233" s="80">
        <v>6949.8576000000003</v>
      </c>
      <c r="U233" s="80">
        <v>83398.291200000007</v>
      </c>
    </row>
    <row r="234" spans="1:21" ht="15" customHeight="1" x14ac:dyDescent="0.3">
      <c r="A234" s="82" t="s">
        <v>384</v>
      </c>
      <c r="B234" s="81" t="s">
        <v>305</v>
      </c>
      <c r="C234" s="81" t="s">
        <v>365</v>
      </c>
      <c r="D234" s="81" t="s">
        <v>229</v>
      </c>
      <c r="E234" s="81" t="s">
        <v>383</v>
      </c>
      <c r="F234" s="81" t="s">
        <v>382</v>
      </c>
      <c r="G234" s="81" t="s">
        <v>226</v>
      </c>
      <c r="H234" s="81" t="s">
        <v>225</v>
      </c>
      <c r="I234" s="80">
        <v>5957.0208000000002</v>
      </c>
      <c r="J234" s="80">
        <v>5957.0208000000002</v>
      </c>
      <c r="K234" s="80">
        <v>5957.0208000000002</v>
      </c>
      <c r="L234" s="80">
        <v>5957.0208000000002</v>
      </c>
      <c r="M234" s="80">
        <v>5957.0208000000002</v>
      </c>
      <c r="N234" s="80">
        <v>5957.0208000000002</v>
      </c>
      <c r="O234" s="80">
        <v>5957.0208000000002</v>
      </c>
      <c r="P234" s="80">
        <v>5957.0208000000002</v>
      </c>
      <c r="Q234" s="80">
        <v>5957.0208000000002</v>
      </c>
      <c r="R234" s="80">
        <v>5957.0208000000002</v>
      </c>
      <c r="S234" s="80">
        <v>5957.0208000000002</v>
      </c>
      <c r="T234" s="80">
        <v>5957.0208000000002</v>
      </c>
      <c r="U234" s="80">
        <v>71484.249599999996</v>
      </c>
    </row>
    <row r="235" spans="1:21" ht="15" customHeight="1" x14ac:dyDescent="0.3">
      <c r="A235" s="82" t="s">
        <v>381</v>
      </c>
      <c r="B235" s="81" t="s">
        <v>305</v>
      </c>
      <c r="C235" s="81" t="s">
        <v>365</v>
      </c>
      <c r="D235" s="81" t="s">
        <v>229</v>
      </c>
      <c r="E235" s="81" t="s">
        <v>380</v>
      </c>
      <c r="F235" s="81" t="s">
        <v>379</v>
      </c>
      <c r="G235" s="81" t="s">
        <v>226</v>
      </c>
      <c r="H235" s="81" t="s">
        <v>225</v>
      </c>
      <c r="I235" s="80">
        <v>5295.1296000000002</v>
      </c>
      <c r="J235" s="80">
        <v>5295.1296000000002</v>
      </c>
      <c r="K235" s="80">
        <v>5295.1296000000002</v>
      </c>
      <c r="L235" s="80">
        <v>5295.1296000000002</v>
      </c>
      <c r="M235" s="80">
        <v>5295.1296000000002</v>
      </c>
      <c r="N235" s="80">
        <v>5295.1296000000002</v>
      </c>
      <c r="O235" s="80">
        <v>5295.1296000000002</v>
      </c>
      <c r="P235" s="80">
        <v>5295.1296000000002</v>
      </c>
      <c r="Q235" s="80">
        <v>5295.1296000000002</v>
      </c>
      <c r="R235" s="80">
        <v>5295.1296000000002</v>
      </c>
      <c r="S235" s="80">
        <v>5295.1296000000002</v>
      </c>
      <c r="T235" s="80">
        <v>5295.1296000000002</v>
      </c>
      <c r="U235" s="80">
        <v>63541.555200000003</v>
      </c>
    </row>
    <row r="236" spans="1:21" ht="15" customHeight="1" x14ac:dyDescent="0.3">
      <c r="A236" s="82" t="s">
        <v>378</v>
      </c>
      <c r="B236" s="81" t="s">
        <v>305</v>
      </c>
      <c r="C236" s="81" t="s">
        <v>365</v>
      </c>
      <c r="D236" s="81" t="s">
        <v>229</v>
      </c>
      <c r="E236" s="81" t="s">
        <v>377</v>
      </c>
      <c r="F236" s="81" t="s">
        <v>376</v>
      </c>
      <c r="G236" s="81" t="s">
        <v>226</v>
      </c>
      <c r="H236" s="81" t="s">
        <v>225</v>
      </c>
      <c r="I236" s="80">
        <v>5295.1296000000002</v>
      </c>
      <c r="J236" s="80">
        <v>5295.1296000000002</v>
      </c>
      <c r="K236" s="80">
        <v>5295.1296000000002</v>
      </c>
      <c r="L236" s="80">
        <v>5295.1296000000002</v>
      </c>
      <c r="M236" s="80">
        <v>5295.1296000000002</v>
      </c>
      <c r="N236" s="80">
        <v>5295.1296000000002</v>
      </c>
      <c r="O236" s="80">
        <v>5295.1296000000002</v>
      </c>
      <c r="P236" s="80">
        <v>5295.1296000000002</v>
      </c>
      <c r="Q236" s="80">
        <v>5295.1296000000002</v>
      </c>
      <c r="R236" s="80">
        <v>5295.1296000000002</v>
      </c>
      <c r="S236" s="80">
        <v>5295.1296000000002</v>
      </c>
      <c r="T236" s="80">
        <v>5295.1296000000002</v>
      </c>
      <c r="U236" s="80">
        <v>63541.555200000003</v>
      </c>
    </row>
    <row r="237" spans="1:21" ht="15" customHeight="1" x14ac:dyDescent="0.3">
      <c r="A237" s="82" t="s">
        <v>375</v>
      </c>
      <c r="B237" s="81" t="s">
        <v>305</v>
      </c>
      <c r="C237" s="81" t="s">
        <v>365</v>
      </c>
      <c r="D237" s="81" t="s">
        <v>229</v>
      </c>
      <c r="E237" s="81" t="s">
        <v>374</v>
      </c>
      <c r="F237" s="81" t="s">
        <v>373</v>
      </c>
      <c r="G237" s="81" t="s">
        <v>226</v>
      </c>
      <c r="H237" s="81" t="s">
        <v>225</v>
      </c>
      <c r="I237" s="80">
        <v>4302.2928000000002</v>
      </c>
      <c r="J237" s="80">
        <v>4302.2928000000002</v>
      </c>
      <c r="K237" s="80">
        <v>4302.2928000000002</v>
      </c>
      <c r="L237" s="80">
        <v>4302.2928000000002</v>
      </c>
      <c r="M237" s="80">
        <v>4302.2928000000002</v>
      </c>
      <c r="N237" s="80">
        <v>4302.2928000000002</v>
      </c>
      <c r="O237" s="80">
        <v>4302.2928000000002</v>
      </c>
      <c r="P237" s="80">
        <v>4302.2928000000002</v>
      </c>
      <c r="Q237" s="80">
        <v>4302.2928000000002</v>
      </c>
      <c r="R237" s="80">
        <v>4302.2928000000002</v>
      </c>
      <c r="S237" s="80">
        <v>4302.2928000000002</v>
      </c>
      <c r="T237" s="80">
        <v>4302.2928000000002</v>
      </c>
      <c r="U237" s="80">
        <v>51627.513599999998</v>
      </c>
    </row>
    <row r="238" spans="1:21" ht="15" customHeight="1" x14ac:dyDescent="0.3">
      <c r="A238" s="82" t="s">
        <v>372</v>
      </c>
      <c r="B238" s="81" t="s">
        <v>305</v>
      </c>
      <c r="C238" s="81" t="s">
        <v>365</v>
      </c>
      <c r="D238" s="81" t="s">
        <v>229</v>
      </c>
      <c r="E238" s="81" t="s">
        <v>371</v>
      </c>
      <c r="F238" s="81" t="s">
        <v>370</v>
      </c>
      <c r="G238" s="81" t="s">
        <v>226</v>
      </c>
      <c r="H238" s="81" t="s">
        <v>225</v>
      </c>
      <c r="I238" s="80">
        <v>5957.0208000000002</v>
      </c>
      <c r="J238" s="80">
        <v>5957.0208000000002</v>
      </c>
      <c r="K238" s="80">
        <v>5957.0208000000002</v>
      </c>
      <c r="L238" s="80">
        <v>5957.0208000000002</v>
      </c>
      <c r="M238" s="80">
        <v>5957.0208000000002</v>
      </c>
      <c r="N238" s="80">
        <v>5957.0208000000002</v>
      </c>
      <c r="O238" s="80">
        <v>5957.0208000000002</v>
      </c>
      <c r="P238" s="80">
        <v>5957.0208000000002</v>
      </c>
      <c r="Q238" s="80">
        <v>5957.0208000000002</v>
      </c>
      <c r="R238" s="80">
        <v>5957.0208000000002</v>
      </c>
      <c r="S238" s="80">
        <v>5957.0208000000002</v>
      </c>
      <c r="T238" s="80">
        <v>5957.0208000000002</v>
      </c>
      <c r="U238" s="80">
        <v>71484.249599999996</v>
      </c>
    </row>
    <row r="239" spans="1:21" ht="15" customHeight="1" x14ac:dyDescent="0.3">
      <c r="A239" s="82" t="s">
        <v>369</v>
      </c>
      <c r="B239" s="81" t="s">
        <v>305</v>
      </c>
      <c r="C239" s="81" t="s">
        <v>365</v>
      </c>
      <c r="D239" s="81" t="s">
        <v>229</v>
      </c>
      <c r="E239" s="81" t="s">
        <v>368</v>
      </c>
      <c r="F239" s="81" t="s">
        <v>367</v>
      </c>
      <c r="G239" s="81" t="s">
        <v>226</v>
      </c>
      <c r="H239" s="81" t="s">
        <v>225</v>
      </c>
      <c r="I239" s="80">
        <v>6287.9664000000002</v>
      </c>
      <c r="J239" s="80">
        <v>6287.9664000000002</v>
      </c>
      <c r="K239" s="80">
        <v>6287.9664000000002</v>
      </c>
      <c r="L239" s="80">
        <v>6287.9664000000002</v>
      </c>
      <c r="M239" s="80">
        <v>6287.9664000000002</v>
      </c>
      <c r="N239" s="80">
        <v>6287.9664000000002</v>
      </c>
      <c r="O239" s="80">
        <v>6287.9664000000002</v>
      </c>
      <c r="P239" s="80">
        <v>6287.9664000000002</v>
      </c>
      <c r="Q239" s="80">
        <v>6287.9664000000002</v>
      </c>
      <c r="R239" s="80">
        <v>6287.9664000000002</v>
      </c>
      <c r="S239" s="80">
        <v>6287.9664000000002</v>
      </c>
      <c r="T239" s="80">
        <v>6287.9664000000002</v>
      </c>
      <c r="U239" s="80">
        <v>75455.596799999999</v>
      </c>
    </row>
    <row r="240" spans="1:21" ht="15" customHeight="1" x14ac:dyDescent="0.3">
      <c r="A240" s="82" t="s">
        <v>366</v>
      </c>
      <c r="B240" s="81" t="s">
        <v>305</v>
      </c>
      <c r="C240" s="81" t="s">
        <v>365</v>
      </c>
      <c r="D240" s="81" t="s">
        <v>229</v>
      </c>
      <c r="E240" s="81" t="s">
        <v>364</v>
      </c>
      <c r="F240" s="81" t="s">
        <v>363</v>
      </c>
      <c r="G240" s="81" t="s">
        <v>226</v>
      </c>
      <c r="H240" s="81" t="s">
        <v>225</v>
      </c>
      <c r="I240" s="80">
        <v>6949.8576000000003</v>
      </c>
      <c r="J240" s="80">
        <v>6949.8576000000003</v>
      </c>
      <c r="K240" s="80">
        <v>6949.8576000000003</v>
      </c>
      <c r="L240" s="80">
        <v>6949.8576000000003</v>
      </c>
      <c r="M240" s="80">
        <v>6949.8576000000003</v>
      </c>
      <c r="N240" s="80">
        <v>6949.8576000000003</v>
      </c>
      <c r="O240" s="80">
        <v>6949.8576000000003</v>
      </c>
      <c r="P240" s="80">
        <v>6949.8576000000003</v>
      </c>
      <c r="Q240" s="80">
        <v>6949.8576000000003</v>
      </c>
      <c r="R240" s="80">
        <v>6949.8576000000003</v>
      </c>
      <c r="S240" s="80">
        <v>6949.8576000000003</v>
      </c>
      <c r="T240" s="80">
        <v>6949.8576000000003</v>
      </c>
      <c r="U240" s="80">
        <v>83398.291200000007</v>
      </c>
    </row>
    <row r="241" spans="1:21" ht="15" customHeight="1" x14ac:dyDescent="0.3">
      <c r="A241" s="82" t="s">
        <v>362</v>
      </c>
      <c r="B241" s="81" t="s">
        <v>305</v>
      </c>
      <c r="C241" s="81" t="s">
        <v>313</v>
      </c>
      <c r="D241" s="81" t="s">
        <v>229</v>
      </c>
      <c r="E241" s="81" t="s">
        <v>361</v>
      </c>
      <c r="F241" s="81" t="s">
        <v>360</v>
      </c>
      <c r="G241" s="81" t="s">
        <v>226</v>
      </c>
      <c r="H241" s="81" t="s">
        <v>225</v>
      </c>
      <c r="I241" s="80">
        <v>190</v>
      </c>
      <c r="J241" s="80">
        <v>190</v>
      </c>
      <c r="K241" s="80">
        <v>190</v>
      </c>
      <c r="L241" s="80">
        <v>190</v>
      </c>
      <c r="M241" s="80">
        <v>190</v>
      </c>
      <c r="N241" s="80">
        <v>190</v>
      </c>
      <c r="O241" s="80">
        <v>190</v>
      </c>
      <c r="P241" s="80">
        <v>190</v>
      </c>
      <c r="Q241" s="80">
        <v>190</v>
      </c>
      <c r="R241" s="80">
        <v>190</v>
      </c>
      <c r="S241" s="80">
        <v>190</v>
      </c>
      <c r="T241" s="80">
        <v>190</v>
      </c>
      <c r="U241" s="80">
        <v>2280</v>
      </c>
    </row>
    <row r="242" spans="1:21" ht="15" customHeight="1" x14ac:dyDescent="0.3">
      <c r="A242" s="82" t="s">
        <v>359</v>
      </c>
      <c r="B242" s="81" t="s">
        <v>305</v>
      </c>
      <c r="C242" s="81" t="s">
        <v>313</v>
      </c>
      <c r="D242" s="81" t="s">
        <v>229</v>
      </c>
      <c r="E242" s="81" t="s">
        <v>358</v>
      </c>
      <c r="F242" s="81" t="s">
        <v>357</v>
      </c>
      <c r="G242" s="81" t="s">
        <v>226</v>
      </c>
      <c r="H242" s="81" t="s">
        <v>225</v>
      </c>
      <c r="I242" s="80">
        <v>260</v>
      </c>
      <c r="J242" s="80">
        <v>260</v>
      </c>
      <c r="K242" s="80">
        <v>260</v>
      </c>
      <c r="L242" s="80">
        <v>260</v>
      </c>
      <c r="M242" s="80">
        <v>260</v>
      </c>
      <c r="N242" s="80">
        <v>260</v>
      </c>
      <c r="O242" s="80">
        <v>260</v>
      </c>
      <c r="P242" s="80">
        <v>260</v>
      </c>
      <c r="Q242" s="80">
        <v>260</v>
      </c>
      <c r="R242" s="80">
        <v>260</v>
      </c>
      <c r="S242" s="80">
        <v>260</v>
      </c>
      <c r="T242" s="80">
        <v>260</v>
      </c>
      <c r="U242" s="80">
        <v>3120</v>
      </c>
    </row>
    <row r="243" spans="1:21" ht="15" customHeight="1" x14ac:dyDescent="0.3">
      <c r="A243" s="82" t="s">
        <v>356</v>
      </c>
      <c r="B243" s="81" t="s">
        <v>305</v>
      </c>
      <c r="C243" s="81" t="s">
        <v>313</v>
      </c>
      <c r="D243" s="81" t="s">
        <v>229</v>
      </c>
      <c r="E243" s="81" t="s">
        <v>355</v>
      </c>
      <c r="F243" s="81" t="s">
        <v>354</v>
      </c>
      <c r="G243" s="81" t="s">
        <v>226</v>
      </c>
      <c r="H243" s="81" t="s">
        <v>225</v>
      </c>
      <c r="I243" s="80">
        <v>260</v>
      </c>
      <c r="J243" s="80">
        <v>260</v>
      </c>
      <c r="K243" s="80">
        <v>260</v>
      </c>
      <c r="L243" s="80">
        <v>260</v>
      </c>
      <c r="M243" s="80">
        <v>260</v>
      </c>
      <c r="N243" s="80">
        <v>260</v>
      </c>
      <c r="O243" s="80">
        <v>260</v>
      </c>
      <c r="P243" s="80">
        <v>260</v>
      </c>
      <c r="Q243" s="80">
        <v>260</v>
      </c>
      <c r="R243" s="80">
        <v>260</v>
      </c>
      <c r="S243" s="80">
        <v>260</v>
      </c>
      <c r="T243" s="80">
        <v>260</v>
      </c>
      <c r="U243" s="80">
        <v>3120</v>
      </c>
    </row>
    <row r="244" spans="1:21" ht="15" customHeight="1" x14ac:dyDescent="0.3">
      <c r="A244" s="82" t="s">
        <v>353</v>
      </c>
      <c r="B244" s="81" t="s">
        <v>305</v>
      </c>
      <c r="C244" s="81" t="s">
        <v>313</v>
      </c>
      <c r="D244" s="81" t="s">
        <v>229</v>
      </c>
      <c r="E244" s="81" t="s">
        <v>352</v>
      </c>
      <c r="F244" s="81" t="s">
        <v>351</v>
      </c>
      <c r="G244" s="81" t="s">
        <v>226</v>
      </c>
      <c r="H244" s="81" t="s">
        <v>225</v>
      </c>
      <c r="I244" s="80">
        <v>360.39</v>
      </c>
      <c r="J244" s="80">
        <v>360.39</v>
      </c>
      <c r="K244" s="80">
        <v>360.39</v>
      </c>
      <c r="L244" s="80">
        <v>462.46</v>
      </c>
      <c r="M244" s="80">
        <v>462.46</v>
      </c>
      <c r="N244" s="80">
        <v>462.46</v>
      </c>
      <c r="O244" s="80">
        <v>479.13</v>
      </c>
      <c r="P244" s="80">
        <v>479.13</v>
      </c>
      <c r="Q244" s="80">
        <v>479.13</v>
      </c>
      <c r="R244" s="80">
        <v>636.82000000000005</v>
      </c>
      <c r="S244" s="80">
        <v>636.82000000000005</v>
      </c>
      <c r="T244" s="80">
        <v>636.82000000000005</v>
      </c>
      <c r="U244" s="80">
        <v>5816.4</v>
      </c>
    </row>
    <row r="245" spans="1:21" ht="15" customHeight="1" x14ac:dyDescent="0.3">
      <c r="A245" s="82" t="s">
        <v>350</v>
      </c>
      <c r="B245" s="81" t="s">
        <v>305</v>
      </c>
      <c r="C245" s="81" t="s">
        <v>313</v>
      </c>
      <c r="D245" s="81" t="s">
        <v>229</v>
      </c>
      <c r="E245" s="81" t="s">
        <v>349</v>
      </c>
      <c r="F245" s="81" t="s">
        <v>348</v>
      </c>
      <c r="G245" s="81" t="s">
        <v>226</v>
      </c>
      <c r="H245" s="81" t="s">
        <v>225</v>
      </c>
      <c r="I245" s="80">
        <v>260</v>
      </c>
      <c r="J245" s="80">
        <v>260</v>
      </c>
      <c r="K245" s="80">
        <v>260</v>
      </c>
      <c r="L245" s="80">
        <v>260</v>
      </c>
      <c r="M245" s="80">
        <v>260</v>
      </c>
      <c r="N245" s="80">
        <v>260</v>
      </c>
      <c r="O245" s="80">
        <v>260</v>
      </c>
      <c r="P245" s="80">
        <v>260</v>
      </c>
      <c r="Q245" s="80">
        <v>260</v>
      </c>
      <c r="R245" s="80">
        <v>260</v>
      </c>
      <c r="S245" s="80">
        <v>260</v>
      </c>
      <c r="T245" s="80">
        <v>260</v>
      </c>
      <c r="U245" s="80">
        <v>3120</v>
      </c>
    </row>
    <row r="246" spans="1:21" ht="15" customHeight="1" x14ac:dyDescent="0.3">
      <c r="A246" s="82" t="s">
        <v>347</v>
      </c>
      <c r="B246" s="81" t="s">
        <v>305</v>
      </c>
      <c r="C246" s="81" t="s">
        <v>313</v>
      </c>
      <c r="D246" s="81" t="s">
        <v>229</v>
      </c>
      <c r="E246" s="81" t="s">
        <v>346</v>
      </c>
      <c r="F246" s="81" t="s">
        <v>345</v>
      </c>
      <c r="G246" s="81" t="s">
        <v>226</v>
      </c>
      <c r="H246" s="81" t="s">
        <v>225</v>
      </c>
      <c r="I246" s="80">
        <v>260</v>
      </c>
      <c r="J246" s="80">
        <v>260</v>
      </c>
      <c r="K246" s="80">
        <v>260</v>
      </c>
      <c r="L246" s="80">
        <v>260</v>
      </c>
      <c r="M246" s="80">
        <v>260</v>
      </c>
      <c r="N246" s="80">
        <v>260</v>
      </c>
      <c r="O246" s="80">
        <v>260</v>
      </c>
      <c r="P246" s="80">
        <v>260</v>
      </c>
      <c r="Q246" s="80">
        <v>260</v>
      </c>
      <c r="R246" s="80">
        <v>260</v>
      </c>
      <c r="S246" s="80">
        <v>260</v>
      </c>
      <c r="T246" s="80">
        <v>260</v>
      </c>
      <c r="U246" s="80">
        <v>3120</v>
      </c>
    </row>
    <row r="247" spans="1:21" ht="15" customHeight="1" x14ac:dyDescent="0.3">
      <c r="A247" s="82" t="s">
        <v>344</v>
      </c>
      <c r="B247" s="81" t="s">
        <v>305</v>
      </c>
      <c r="C247" s="81" t="s">
        <v>313</v>
      </c>
      <c r="D247" s="81" t="s">
        <v>229</v>
      </c>
      <c r="E247" s="81" t="s">
        <v>343</v>
      </c>
      <c r="F247" s="81" t="s">
        <v>342</v>
      </c>
      <c r="G247" s="81" t="s">
        <v>226</v>
      </c>
      <c r="H247" s="81" t="s">
        <v>225</v>
      </c>
      <c r="I247" s="80">
        <v>260</v>
      </c>
      <c r="J247" s="80">
        <v>260</v>
      </c>
      <c r="K247" s="80">
        <v>260</v>
      </c>
      <c r="L247" s="80">
        <v>260</v>
      </c>
      <c r="M247" s="80">
        <v>260</v>
      </c>
      <c r="N247" s="80">
        <v>260</v>
      </c>
      <c r="O247" s="80">
        <v>260</v>
      </c>
      <c r="P247" s="80">
        <v>260</v>
      </c>
      <c r="Q247" s="80">
        <v>260</v>
      </c>
      <c r="R247" s="80">
        <v>260</v>
      </c>
      <c r="S247" s="80">
        <v>260</v>
      </c>
      <c r="T247" s="80">
        <v>260</v>
      </c>
      <c r="U247" s="80">
        <v>3120</v>
      </c>
    </row>
    <row r="248" spans="1:21" ht="15" customHeight="1" x14ac:dyDescent="0.3">
      <c r="A248" s="82" t="s">
        <v>341</v>
      </c>
      <c r="B248" s="81" t="s">
        <v>305</v>
      </c>
      <c r="C248" s="81" t="s">
        <v>313</v>
      </c>
      <c r="D248" s="81" t="s">
        <v>229</v>
      </c>
      <c r="E248" s="81" t="s">
        <v>340</v>
      </c>
      <c r="F248" s="81" t="s">
        <v>339</v>
      </c>
      <c r="G248" s="81" t="s">
        <v>226</v>
      </c>
      <c r="H248" s="81" t="s">
        <v>225</v>
      </c>
      <c r="I248" s="80">
        <v>260</v>
      </c>
      <c r="J248" s="80">
        <v>260</v>
      </c>
      <c r="K248" s="80">
        <v>260</v>
      </c>
      <c r="L248" s="80">
        <v>260</v>
      </c>
      <c r="M248" s="80">
        <v>260</v>
      </c>
      <c r="N248" s="80">
        <v>260</v>
      </c>
      <c r="O248" s="80">
        <v>260</v>
      </c>
      <c r="P248" s="80">
        <v>260</v>
      </c>
      <c r="Q248" s="80">
        <v>260</v>
      </c>
      <c r="R248" s="80">
        <v>260</v>
      </c>
      <c r="S248" s="80">
        <v>260</v>
      </c>
      <c r="T248" s="80">
        <v>260</v>
      </c>
      <c r="U248" s="80">
        <v>3120</v>
      </c>
    </row>
    <row r="249" spans="1:21" ht="15" customHeight="1" x14ac:dyDescent="0.3">
      <c r="A249" s="82" t="s">
        <v>338</v>
      </c>
      <c r="B249" s="81" t="s">
        <v>305</v>
      </c>
      <c r="C249" s="81" t="s">
        <v>313</v>
      </c>
      <c r="D249" s="81" t="s">
        <v>229</v>
      </c>
      <c r="E249" s="81" t="s">
        <v>337</v>
      </c>
      <c r="F249" s="81" t="s">
        <v>336</v>
      </c>
      <c r="G249" s="81" t="s">
        <v>226</v>
      </c>
      <c r="H249" s="81" t="s">
        <v>225</v>
      </c>
      <c r="I249" s="80">
        <v>297.26</v>
      </c>
      <c r="J249" s="80">
        <v>297.26</v>
      </c>
      <c r="K249" s="80">
        <v>297.26</v>
      </c>
      <c r="L249" s="80">
        <v>381.46</v>
      </c>
      <c r="M249" s="80">
        <v>381.46</v>
      </c>
      <c r="N249" s="80">
        <v>381.46</v>
      </c>
      <c r="O249" s="80">
        <v>395.2</v>
      </c>
      <c r="P249" s="80">
        <v>395.2</v>
      </c>
      <c r="Q249" s="80">
        <v>395.2</v>
      </c>
      <c r="R249" s="80">
        <v>525.28</v>
      </c>
      <c r="S249" s="80">
        <v>525.28</v>
      </c>
      <c r="T249" s="80">
        <v>525.28</v>
      </c>
      <c r="U249" s="80">
        <v>4797.6000000000004</v>
      </c>
    </row>
    <row r="250" spans="1:21" ht="15" customHeight="1" x14ac:dyDescent="0.3">
      <c r="A250" s="82" t="s">
        <v>335</v>
      </c>
      <c r="B250" s="81" t="s">
        <v>305</v>
      </c>
      <c r="C250" s="81" t="s">
        <v>313</v>
      </c>
      <c r="D250" s="81" t="s">
        <v>229</v>
      </c>
      <c r="E250" s="81" t="s">
        <v>334</v>
      </c>
      <c r="F250" s="81" t="s">
        <v>333</v>
      </c>
      <c r="G250" s="81" t="s">
        <v>226</v>
      </c>
      <c r="H250" s="81" t="s">
        <v>225</v>
      </c>
      <c r="I250" s="80">
        <v>6618.9120000000003</v>
      </c>
      <c r="J250" s="80">
        <v>6618.9120000000003</v>
      </c>
      <c r="K250" s="80">
        <v>6618.9120000000003</v>
      </c>
      <c r="L250" s="80">
        <v>6618.9120000000003</v>
      </c>
      <c r="M250" s="80">
        <v>6618.9120000000003</v>
      </c>
      <c r="N250" s="80">
        <v>6618.9120000000003</v>
      </c>
      <c r="O250" s="80">
        <v>6618.9120000000003</v>
      </c>
      <c r="P250" s="80">
        <v>6618.9120000000003</v>
      </c>
      <c r="Q250" s="80">
        <v>6618.9120000000003</v>
      </c>
      <c r="R250" s="80">
        <v>6618.9120000000003</v>
      </c>
      <c r="S250" s="80">
        <v>6618.9120000000003</v>
      </c>
      <c r="T250" s="80">
        <v>6618.9120000000003</v>
      </c>
      <c r="U250" s="80">
        <v>79426.944000000003</v>
      </c>
    </row>
    <row r="251" spans="1:21" ht="15" customHeight="1" x14ac:dyDescent="0.3">
      <c r="A251" s="82" t="s">
        <v>332</v>
      </c>
      <c r="B251" s="81" t="s">
        <v>305</v>
      </c>
      <c r="C251" s="81" t="s">
        <v>313</v>
      </c>
      <c r="D251" s="81" t="s">
        <v>229</v>
      </c>
      <c r="E251" s="81" t="s">
        <v>331</v>
      </c>
      <c r="F251" s="81" t="s">
        <v>330</v>
      </c>
      <c r="G251" s="81" t="s">
        <v>226</v>
      </c>
      <c r="H251" s="81" t="s">
        <v>225</v>
      </c>
      <c r="I251" s="80">
        <v>6287.9664000000002</v>
      </c>
      <c r="J251" s="80">
        <v>6287.9664000000002</v>
      </c>
      <c r="K251" s="80">
        <v>6287.9664000000002</v>
      </c>
      <c r="L251" s="80">
        <v>6287.9664000000002</v>
      </c>
      <c r="M251" s="80">
        <v>6287.9664000000002</v>
      </c>
      <c r="N251" s="80">
        <v>6287.9664000000002</v>
      </c>
      <c r="O251" s="80">
        <v>6287.9664000000002</v>
      </c>
      <c r="P251" s="80">
        <v>6287.9664000000002</v>
      </c>
      <c r="Q251" s="80">
        <v>6287.9664000000002</v>
      </c>
      <c r="R251" s="80">
        <v>6287.9664000000002</v>
      </c>
      <c r="S251" s="80">
        <v>6287.9664000000002</v>
      </c>
      <c r="T251" s="80">
        <v>6287.9664000000002</v>
      </c>
      <c r="U251" s="80">
        <v>75455.596799999999</v>
      </c>
    </row>
    <row r="252" spans="1:21" ht="15" customHeight="1" x14ac:dyDescent="0.3">
      <c r="A252" s="82" t="s">
        <v>329</v>
      </c>
      <c r="B252" s="81" t="s">
        <v>305</v>
      </c>
      <c r="C252" s="81" t="s">
        <v>313</v>
      </c>
      <c r="D252" s="81" t="s">
        <v>229</v>
      </c>
      <c r="E252" s="81" t="s">
        <v>328</v>
      </c>
      <c r="F252" s="81" t="s">
        <v>327</v>
      </c>
      <c r="G252" s="81" t="s">
        <v>226</v>
      </c>
      <c r="H252" s="81" t="s">
        <v>225</v>
      </c>
      <c r="I252" s="80">
        <v>4964.1840000000002</v>
      </c>
      <c r="J252" s="80">
        <v>4964.1840000000002</v>
      </c>
      <c r="K252" s="80">
        <v>4964.1840000000002</v>
      </c>
      <c r="L252" s="80">
        <v>4964.1840000000002</v>
      </c>
      <c r="M252" s="80">
        <v>4964.1840000000002</v>
      </c>
      <c r="N252" s="80">
        <v>4964.1840000000002</v>
      </c>
      <c r="O252" s="80">
        <v>4964.1840000000002</v>
      </c>
      <c r="P252" s="80">
        <v>4964.1840000000002</v>
      </c>
      <c r="Q252" s="80">
        <v>4964.1840000000002</v>
      </c>
      <c r="R252" s="80">
        <v>4964.1840000000002</v>
      </c>
      <c r="S252" s="80">
        <v>4964.1840000000002</v>
      </c>
      <c r="T252" s="80">
        <v>4964.1840000000002</v>
      </c>
      <c r="U252" s="80">
        <v>59570.207999999999</v>
      </c>
    </row>
    <row r="253" spans="1:21" ht="15" customHeight="1" x14ac:dyDescent="0.3">
      <c r="A253" s="82" t="s">
        <v>326</v>
      </c>
      <c r="B253" s="81" t="s">
        <v>305</v>
      </c>
      <c r="C253" s="81" t="s">
        <v>313</v>
      </c>
      <c r="D253" s="81" t="s">
        <v>229</v>
      </c>
      <c r="E253" s="81" t="s">
        <v>325</v>
      </c>
      <c r="F253" s="81" t="s">
        <v>324</v>
      </c>
      <c r="G253" s="81" t="s">
        <v>226</v>
      </c>
      <c r="H253" s="81" t="s">
        <v>225</v>
      </c>
      <c r="I253" s="80">
        <v>5957.0208000000002</v>
      </c>
      <c r="J253" s="80">
        <v>5957.0208000000002</v>
      </c>
      <c r="K253" s="80">
        <v>5957.0208000000002</v>
      </c>
      <c r="L253" s="80">
        <v>5957.0208000000002</v>
      </c>
      <c r="M253" s="80">
        <v>5957.0208000000002</v>
      </c>
      <c r="N253" s="80">
        <v>5957.0208000000002</v>
      </c>
      <c r="O253" s="80">
        <v>5957.0208000000002</v>
      </c>
      <c r="P253" s="80">
        <v>5957.0208000000002</v>
      </c>
      <c r="Q253" s="80">
        <v>5957.0208000000002</v>
      </c>
      <c r="R253" s="80">
        <v>5957.0208000000002</v>
      </c>
      <c r="S253" s="80">
        <v>5957.0208000000002</v>
      </c>
      <c r="T253" s="80">
        <v>5957.0208000000002</v>
      </c>
      <c r="U253" s="80">
        <v>71484.249599999996</v>
      </c>
    </row>
    <row r="254" spans="1:21" ht="15" customHeight="1" x14ac:dyDescent="0.3">
      <c r="A254" s="82" t="s">
        <v>323</v>
      </c>
      <c r="B254" s="81" t="s">
        <v>305</v>
      </c>
      <c r="C254" s="81" t="s">
        <v>313</v>
      </c>
      <c r="D254" s="81" t="s">
        <v>229</v>
      </c>
      <c r="E254" s="81" t="s">
        <v>322</v>
      </c>
      <c r="F254" s="81" t="s">
        <v>321</v>
      </c>
      <c r="G254" s="81" t="s">
        <v>226</v>
      </c>
      <c r="H254" s="81" t="s">
        <v>225</v>
      </c>
      <c r="I254" s="80">
        <v>4964.1840000000002</v>
      </c>
      <c r="J254" s="80">
        <v>4964.1840000000002</v>
      </c>
      <c r="K254" s="80">
        <v>4964.1840000000002</v>
      </c>
      <c r="L254" s="80">
        <v>4964.1840000000002</v>
      </c>
      <c r="M254" s="80">
        <v>4964.1840000000002</v>
      </c>
      <c r="N254" s="80">
        <v>4964.1840000000002</v>
      </c>
      <c r="O254" s="80">
        <v>4964.1840000000002</v>
      </c>
      <c r="P254" s="80">
        <v>4964.1840000000002</v>
      </c>
      <c r="Q254" s="80">
        <v>4964.1840000000002</v>
      </c>
      <c r="R254" s="80">
        <v>4964.1840000000002</v>
      </c>
      <c r="S254" s="80">
        <v>4964.1840000000002</v>
      </c>
      <c r="T254" s="80">
        <v>4964.1840000000002</v>
      </c>
      <c r="U254" s="80">
        <v>59570.207999999999</v>
      </c>
    </row>
    <row r="255" spans="1:21" ht="15" customHeight="1" x14ac:dyDescent="0.3">
      <c r="A255" s="82" t="s">
        <v>320</v>
      </c>
      <c r="B255" s="81" t="s">
        <v>305</v>
      </c>
      <c r="C255" s="81" t="s">
        <v>313</v>
      </c>
      <c r="D255" s="81" t="s">
        <v>229</v>
      </c>
      <c r="E255" s="81" t="s">
        <v>319</v>
      </c>
      <c r="F255" s="81" t="s">
        <v>318</v>
      </c>
      <c r="G255" s="81" t="s">
        <v>226</v>
      </c>
      <c r="H255" s="81" t="s">
        <v>225</v>
      </c>
      <c r="I255" s="80">
        <v>5957.0208000000002</v>
      </c>
      <c r="J255" s="80">
        <v>5957.0208000000002</v>
      </c>
      <c r="K255" s="80">
        <v>5957.0208000000002</v>
      </c>
      <c r="L255" s="80">
        <v>5957.0208000000002</v>
      </c>
      <c r="M255" s="80">
        <v>5957.0208000000002</v>
      </c>
      <c r="N255" s="80">
        <v>5957.0208000000002</v>
      </c>
      <c r="O255" s="80">
        <v>5957.0208000000002</v>
      </c>
      <c r="P255" s="80">
        <v>5957.0208000000002</v>
      </c>
      <c r="Q255" s="80">
        <v>5957.0208000000002</v>
      </c>
      <c r="R255" s="80">
        <v>5957.0208000000002</v>
      </c>
      <c r="S255" s="80">
        <v>5957.0208000000002</v>
      </c>
      <c r="T255" s="80">
        <v>5957.0208000000002</v>
      </c>
      <c r="U255" s="80">
        <v>71484.249599999996</v>
      </c>
    </row>
    <row r="256" spans="1:21" ht="15" customHeight="1" x14ac:dyDescent="0.3">
      <c r="A256" s="82" t="s">
        <v>317</v>
      </c>
      <c r="B256" s="81" t="s">
        <v>305</v>
      </c>
      <c r="C256" s="81" t="s">
        <v>313</v>
      </c>
      <c r="D256" s="81" t="s">
        <v>229</v>
      </c>
      <c r="E256" s="81" t="s">
        <v>316</v>
      </c>
      <c r="F256" s="81" t="s">
        <v>315</v>
      </c>
      <c r="G256" s="81" t="s">
        <v>226</v>
      </c>
      <c r="H256" s="81" t="s">
        <v>225</v>
      </c>
      <c r="I256" s="80">
        <v>5957.0208000000002</v>
      </c>
      <c r="J256" s="80">
        <v>5957.0208000000002</v>
      </c>
      <c r="K256" s="80">
        <v>5957.0208000000002</v>
      </c>
      <c r="L256" s="80">
        <v>5957.0208000000002</v>
      </c>
      <c r="M256" s="80">
        <v>5957.0208000000002</v>
      </c>
      <c r="N256" s="80">
        <v>5957.0208000000002</v>
      </c>
      <c r="O256" s="80">
        <v>5957.0208000000002</v>
      </c>
      <c r="P256" s="80">
        <v>5957.0208000000002</v>
      </c>
      <c r="Q256" s="80">
        <v>5957.0208000000002</v>
      </c>
      <c r="R256" s="80">
        <v>5957.0208000000002</v>
      </c>
      <c r="S256" s="80">
        <v>5957.0208000000002</v>
      </c>
      <c r="T256" s="80">
        <v>5957.0208000000002</v>
      </c>
      <c r="U256" s="80">
        <v>71484.249599999996</v>
      </c>
    </row>
    <row r="257" spans="1:21" ht="15" customHeight="1" x14ac:dyDescent="0.3">
      <c r="A257" s="82" t="s">
        <v>314</v>
      </c>
      <c r="B257" s="81" t="s">
        <v>305</v>
      </c>
      <c r="C257" s="81" t="s">
        <v>313</v>
      </c>
      <c r="D257" s="81" t="s">
        <v>229</v>
      </c>
      <c r="E257" s="81" t="s">
        <v>312</v>
      </c>
      <c r="F257" s="81" t="s">
        <v>311</v>
      </c>
      <c r="G257" s="81" t="s">
        <v>226</v>
      </c>
      <c r="H257" s="81" t="s">
        <v>225</v>
      </c>
      <c r="I257" s="80">
        <v>5957.0208000000002</v>
      </c>
      <c r="J257" s="80">
        <v>5957.0208000000002</v>
      </c>
      <c r="K257" s="80">
        <v>5957.0208000000002</v>
      </c>
      <c r="L257" s="80">
        <v>5957.0208000000002</v>
      </c>
      <c r="M257" s="80">
        <v>5957.0208000000002</v>
      </c>
      <c r="N257" s="80">
        <v>5957.0208000000002</v>
      </c>
      <c r="O257" s="80">
        <v>5957.0208000000002</v>
      </c>
      <c r="P257" s="80">
        <v>5957.0208000000002</v>
      </c>
      <c r="Q257" s="80">
        <v>5957.0208000000002</v>
      </c>
      <c r="R257" s="80">
        <v>5957.0208000000002</v>
      </c>
      <c r="S257" s="80">
        <v>5957.0208000000002</v>
      </c>
      <c r="T257" s="80">
        <v>5957.0208000000002</v>
      </c>
      <c r="U257" s="80">
        <v>71484.249599999996</v>
      </c>
    </row>
    <row r="258" spans="1:21" ht="15" customHeight="1" x14ac:dyDescent="0.3">
      <c r="A258" s="82" t="s">
        <v>310</v>
      </c>
      <c r="B258" s="81" t="s">
        <v>305</v>
      </c>
      <c r="C258" s="81" t="s">
        <v>309</v>
      </c>
      <c r="D258" s="81" t="s">
        <v>229</v>
      </c>
      <c r="E258" s="81" t="s">
        <v>308</v>
      </c>
      <c r="F258" s="81" t="s">
        <v>307</v>
      </c>
      <c r="G258" s="81" t="s">
        <v>226</v>
      </c>
      <c r="H258" s="81" t="s">
        <v>225</v>
      </c>
      <c r="I258" s="80">
        <v>225</v>
      </c>
      <c r="J258" s="80">
        <v>225</v>
      </c>
      <c r="K258" s="80">
        <v>225</v>
      </c>
      <c r="L258" s="80">
        <v>225</v>
      </c>
      <c r="M258" s="80">
        <v>225</v>
      </c>
      <c r="N258" s="80">
        <v>225</v>
      </c>
      <c r="O258" s="80">
        <v>225</v>
      </c>
      <c r="P258" s="80">
        <v>225</v>
      </c>
      <c r="Q258" s="80">
        <v>225</v>
      </c>
      <c r="R258" s="80">
        <v>225</v>
      </c>
      <c r="S258" s="80">
        <v>225</v>
      </c>
      <c r="T258" s="80">
        <v>225</v>
      </c>
      <c r="U258" s="80">
        <v>2700</v>
      </c>
    </row>
    <row r="259" spans="1:21" ht="15" customHeight="1" x14ac:dyDescent="0.3">
      <c r="A259" s="82" t="s">
        <v>306</v>
      </c>
      <c r="B259" s="81" t="s">
        <v>305</v>
      </c>
      <c r="C259" s="81" t="s">
        <v>304</v>
      </c>
      <c r="D259" s="81" t="s">
        <v>229</v>
      </c>
      <c r="E259" s="81" t="s">
        <v>303</v>
      </c>
      <c r="F259" s="81" t="s">
        <v>302</v>
      </c>
      <c r="G259" s="81" t="s">
        <v>226</v>
      </c>
      <c r="H259" s="81" t="s">
        <v>225</v>
      </c>
      <c r="I259" s="80">
        <v>180</v>
      </c>
      <c r="J259" s="80">
        <v>180</v>
      </c>
      <c r="K259" s="80">
        <v>180</v>
      </c>
      <c r="L259" s="80">
        <v>180</v>
      </c>
      <c r="M259" s="80">
        <v>180</v>
      </c>
      <c r="N259" s="80">
        <v>180</v>
      </c>
      <c r="O259" s="80">
        <v>180</v>
      </c>
      <c r="P259" s="80">
        <v>180</v>
      </c>
      <c r="Q259" s="80">
        <v>180</v>
      </c>
      <c r="R259" s="80">
        <v>180</v>
      </c>
      <c r="S259" s="80">
        <v>180</v>
      </c>
      <c r="T259" s="80">
        <v>180</v>
      </c>
      <c r="U259" s="80">
        <v>2160</v>
      </c>
    </row>
    <row r="260" spans="1:21" ht="15" customHeight="1" x14ac:dyDescent="0.3">
      <c r="A260" s="82" t="s">
        <v>301</v>
      </c>
      <c r="B260" s="81" t="s">
        <v>300</v>
      </c>
      <c r="C260" s="81" t="s">
        <v>299</v>
      </c>
      <c r="D260" s="81" t="s">
        <v>229</v>
      </c>
      <c r="E260" s="81" t="s">
        <v>298</v>
      </c>
      <c r="F260" s="81" t="s">
        <v>297</v>
      </c>
      <c r="G260" s="81" t="s">
        <v>226</v>
      </c>
      <c r="H260" s="81" t="s">
        <v>225</v>
      </c>
      <c r="I260" s="80">
        <v>90</v>
      </c>
      <c r="J260" s="80">
        <v>90</v>
      </c>
      <c r="K260" s="80">
        <v>90</v>
      </c>
      <c r="L260" s="80">
        <v>90</v>
      </c>
      <c r="M260" s="80">
        <v>90</v>
      </c>
      <c r="N260" s="80">
        <v>90</v>
      </c>
      <c r="O260" s="80">
        <v>90</v>
      </c>
      <c r="P260" s="80">
        <v>90</v>
      </c>
      <c r="Q260" s="80">
        <v>90</v>
      </c>
      <c r="R260" s="80">
        <v>90</v>
      </c>
      <c r="S260" s="80">
        <v>90</v>
      </c>
      <c r="T260" s="80">
        <v>90</v>
      </c>
      <c r="U260" s="80">
        <v>1080</v>
      </c>
    </row>
    <row r="261" spans="1:21" ht="15" customHeight="1" x14ac:dyDescent="0.3">
      <c r="A261" s="82" t="s">
        <v>296</v>
      </c>
      <c r="B261" s="81" t="s">
        <v>295</v>
      </c>
      <c r="C261" s="81" t="s">
        <v>294</v>
      </c>
      <c r="D261" s="81" t="s">
        <v>229</v>
      </c>
      <c r="E261" s="81" t="s">
        <v>293</v>
      </c>
      <c r="F261" s="81" t="s">
        <v>292</v>
      </c>
      <c r="G261" s="81" t="s">
        <v>226</v>
      </c>
      <c r="H261" s="81" t="s">
        <v>225</v>
      </c>
      <c r="I261" s="80">
        <v>169.8</v>
      </c>
      <c r="J261" s="80">
        <v>169.8</v>
      </c>
      <c r="K261" s="80">
        <v>169.8</v>
      </c>
      <c r="L261" s="80">
        <v>169.8</v>
      </c>
      <c r="M261" s="80">
        <v>169.8</v>
      </c>
      <c r="N261" s="80">
        <v>169.8</v>
      </c>
      <c r="O261" s="80">
        <v>169.8</v>
      </c>
      <c r="P261" s="80">
        <v>169.8</v>
      </c>
      <c r="Q261" s="80">
        <v>169.8</v>
      </c>
      <c r="R261" s="80">
        <v>169.8</v>
      </c>
      <c r="S261" s="80">
        <v>169.8</v>
      </c>
      <c r="T261" s="80">
        <v>169.8</v>
      </c>
      <c r="U261" s="80">
        <v>2037.6</v>
      </c>
    </row>
    <row r="262" spans="1:21" ht="15" customHeight="1" x14ac:dyDescent="0.3">
      <c r="A262" s="82" t="s">
        <v>291</v>
      </c>
      <c r="B262" s="81" t="s">
        <v>290</v>
      </c>
      <c r="C262" s="81" t="s">
        <v>289</v>
      </c>
      <c r="D262" s="81" t="s">
        <v>229</v>
      </c>
      <c r="E262" s="81" t="s">
        <v>288</v>
      </c>
      <c r="F262" s="81" t="s">
        <v>287</v>
      </c>
      <c r="G262" s="81" t="s">
        <v>226</v>
      </c>
      <c r="H262" s="81" t="s">
        <v>225</v>
      </c>
      <c r="I262" s="80">
        <v>315</v>
      </c>
      <c r="J262" s="80">
        <v>315</v>
      </c>
      <c r="K262" s="80">
        <v>315</v>
      </c>
      <c r="L262" s="80">
        <v>315</v>
      </c>
      <c r="M262" s="80">
        <v>315</v>
      </c>
      <c r="N262" s="80">
        <v>315</v>
      </c>
      <c r="O262" s="80">
        <v>315</v>
      </c>
      <c r="P262" s="80">
        <v>315</v>
      </c>
      <c r="Q262" s="80">
        <v>315</v>
      </c>
      <c r="R262" s="80">
        <v>315</v>
      </c>
      <c r="S262" s="80">
        <v>315</v>
      </c>
      <c r="T262" s="80">
        <v>315</v>
      </c>
      <c r="U262" s="80">
        <v>3780</v>
      </c>
    </row>
    <row r="263" spans="1:21" ht="15" customHeight="1" x14ac:dyDescent="0.3">
      <c r="A263" s="82" t="s">
        <v>286</v>
      </c>
      <c r="B263" s="81" t="s">
        <v>236</v>
      </c>
      <c r="C263" s="81" t="s">
        <v>279</v>
      </c>
      <c r="D263" s="81" t="s">
        <v>229</v>
      </c>
      <c r="E263" s="81" t="s">
        <v>285</v>
      </c>
      <c r="F263" s="81" t="s">
        <v>284</v>
      </c>
      <c r="G263" s="81" t="s">
        <v>226</v>
      </c>
      <c r="H263" s="81" t="s">
        <v>225</v>
      </c>
      <c r="I263" s="80">
        <v>45</v>
      </c>
      <c r="J263" s="80">
        <v>45</v>
      </c>
      <c r="K263" s="80">
        <v>45</v>
      </c>
      <c r="L263" s="80">
        <v>45</v>
      </c>
      <c r="M263" s="80">
        <v>45</v>
      </c>
      <c r="N263" s="80">
        <v>45</v>
      </c>
      <c r="O263" s="80">
        <v>45</v>
      </c>
      <c r="P263" s="80">
        <v>45</v>
      </c>
      <c r="Q263" s="80">
        <v>45</v>
      </c>
      <c r="R263" s="80">
        <v>45</v>
      </c>
      <c r="S263" s="80">
        <v>45</v>
      </c>
      <c r="T263" s="80">
        <v>45</v>
      </c>
      <c r="U263" s="80">
        <v>540</v>
      </c>
    </row>
    <row r="264" spans="1:21" ht="15" customHeight="1" x14ac:dyDescent="0.3">
      <c r="A264" s="82" t="s">
        <v>283</v>
      </c>
      <c r="B264" s="81" t="s">
        <v>236</v>
      </c>
      <c r="C264" s="81" t="s">
        <v>279</v>
      </c>
      <c r="D264" s="81" t="s">
        <v>229</v>
      </c>
      <c r="E264" s="81" t="s">
        <v>282</v>
      </c>
      <c r="F264" s="81" t="s">
        <v>281</v>
      </c>
      <c r="G264" s="81" t="s">
        <v>226</v>
      </c>
      <c r="H264" s="81" t="s">
        <v>225</v>
      </c>
      <c r="I264" s="80">
        <v>45</v>
      </c>
      <c r="J264" s="80">
        <v>45</v>
      </c>
      <c r="K264" s="80">
        <v>45</v>
      </c>
      <c r="L264" s="80">
        <v>45</v>
      </c>
      <c r="M264" s="80">
        <v>45</v>
      </c>
      <c r="N264" s="80">
        <v>90</v>
      </c>
      <c r="O264" s="80">
        <v>90</v>
      </c>
      <c r="P264" s="80">
        <v>90</v>
      </c>
      <c r="Q264" s="80">
        <v>90</v>
      </c>
      <c r="R264" s="80">
        <v>90</v>
      </c>
      <c r="S264" s="80">
        <v>90</v>
      </c>
      <c r="T264" s="80">
        <v>90</v>
      </c>
      <c r="U264" s="80">
        <v>855</v>
      </c>
    </row>
    <row r="265" spans="1:21" ht="15" customHeight="1" x14ac:dyDescent="0.3">
      <c r="A265" s="82" t="s">
        <v>280</v>
      </c>
      <c r="B265" s="81" t="s">
        <v>236</v>
      </c>
      <c r="C265" s="81" t="s">
        <v>279</v>
      </c>
      <c r="D265" s="81" t="s">
        <v>229</v>
      </c>
      <c r="E265" s="81" t="s">
        <v>278</v>
      </c>
      <c r="F265" s="81" t="s">
        <v>277</v>
      </c>
      <c r="G265" s="81" t="s">
        <v>226</v>
      </c>
      <c r="H265" s="81" t="s">
        <v>225</v>
      </c>
      <c r="I265" s="80">
        <v>45</v>
      </c>
      <c r="J265" s="80">
        <v>45</v>
      </c>
      <c r="K265" s="80">
        <v>45</v>
      </c>
      <c r="L265" s="80">
        <v>45</v>
      </c>
      <c r="M265" s="80">
        <v>45</v>
      </c>
      <c r="N265" s="80">
        <v>45</v>
      </c>
      <c r="O265" s="80">
        <v>45</v>
      </c>
      <c r="P265" s="80">
        <v>45</v>
      </c>
      <c r="Q265" s="80">
        <v>45</v>
      </c>
      <c r="R265" s="80">
        <v>45</v>
      </c>
      <c r="S265" s="80">
        <v>45</v>
      </c>
      <c r="T265" s="80">
        <v>45</v>
      </c>
      <c r="U265" s="80">
        <v>540</v>
      </c>
    </row>
    <row r="266" spans="1:21" ht="15" customHeight="1" x14ac:dyDescent="0.3">
      <c r="A266" s="82" t="s">
        <v>276</v>
      </c>
      <c r="B266" s="81" t="s">
        <v>236</v>
      </c>
      <c r="C266" s="81" t="s">
        <v>275</v>
      </c>
      <c r="D266" s="81" t="s">
        <v>229</v>
      </c>
      <c r="E266" s="81" t="s">
        <v>274</v>
      </c>
      <c r="F266" s="81" t="s">
        <v>273</v>
      </c>
      <c r="G266" s="81" t="s">
        <v>226</v>
      </c>
      <c r="H266" s="81" t="s">
        <v>225</v>
      </c>
      <c r="I266" s="80">
        <v>180</v>
      </c>
      <c r="J266" s="80">
        <v>180</v>
      </c>
      <c r="K266" s="80">
        <v>180</v>
      </c>
      <c r="L266" s="80">
        <v>180</v>
      </c>
      <c r="M266" s="80">
        <v>180</v>
      </c>
      <c r="N266" s="80">
        <v>180</v>
      </c>
      <c r="O266" s="80">
        <v>180</v>
      </c>
      <c r="P266" s="80">
        <v>180</v>
      </c>
      <c r="Q266" s="80">
        <v>180</v>
      </c>
      <c r="R266" s="80">
        <v>180</v>
      </c>
      <c r="S266" s="80">
        <v>180</v>
      </c>
      <c r="T266" s="80">
        <v>180</v>
      </c>
      <c r="U266" s="80">
        <v>2160</v>
      </c>
    </row>
    <row r="267" spans="1:21" ht="15" customHeight="1" x14ac:dyDescent="0.3">
      <c r="A267" s="82" t="s">
        <v>272</v>
      </c>
      <c r="B267" s="81" t="s">
        <v>236</v>
      </c>
      <c r="C267" s="81" t="s">
        <v>271</v>
      </c>
      <c r="D267" s="81" t="s">
        <v>229</v>
      </c>
      <c r="E267" s="81" t="s">
        <v>270</v>
      </c>
      <c r="F267" s="81" t="s">
        <v>269</v>
      </c>
      <c r="G267" s="81" t="s">
        <v>226</v>
      </c>
      <c r="H267" s="81" t="s">
        <v>225</v>
      </c>
      <c r="I267" s="80">
        <v>91.363860000000003</v>
      </c>
      <c r="J267" s="80">
        <v>91.363860000000003</v>
      </c>
      <c r="K267" s="80">
        <v>91.363860000000003</v>
      </c>
      <c r="L267" s="80">
        <v>91.363860000000003</v>
      </c>
      <c r="M267" s="80">
        <v>91.363860000000003</v>
      </c>
      <c r="N267" s="80">
        <v>91.363860000000003</v>
      </c>
      <c r="O267" s="80">
        <v>91.363860000000003</v>
      </c>
      <c r="P267" s="80">
        <v>91.363860000000003</v>
      </c>
      <c r="Q267" s="80">
        <v>91.363860000000003</v>
      </c>
      <c r="R267" s="80">
        <v>91.363860000000003</v>
      </c>
      <c r="S267" s="80">
        <v>91.363860000000003</v>
      </c>
      <c r="T267" s="80">
        <v>91.363860000000003</v>
      </c>
      <c r="U267" s="80">
        <v>1096.3663200000001</v>
      </c>
    </row>
    <row r="268" spans="1:21" ht="15" customHeight="1" x14ac:dyDescent="0.3">
      <c r="A268" s="82" t="s">
        <v>268</v>
      </c>
      <c r="B268" s="81" t="s">
        <v>236</v>
      </c>
      <c r="C268" s="81" t="s">
        <v>267</v>
      </c>
      <c r="D268" s="81" t="s">
        <v>229</v>
      </c>
      <c r="E268" s="81" t="s">
        <v>266</v>
      </c>
      <c r="F268" s="81" t="s">
        <v>265</v>
      </c>
      <c r="G268" s="81" t="s">
        <v>226</v>
      </c>
      <c r="H268" s="81" t="s">
        <v>225</v>
      </c>
      <c r="I268" s="80">
        <v>98.837235000000007</v>
      </c>
      <c r="J268" s="80">
        <v>98.837235000000007</v>
      </c>
      <c r="K268" s="80">
        <v>98.837235000000007</v>
      </c>
      <c r="L268" s="80">
        <v>98.837235000000007</v>
      </c>
      <c r="M268" s="80">
        <v>98.837235000000007</v>
      </c>
      <c r="N268" s="80">
        <v>98.837235000000007</v>
      </c>
      <c r="O268" s="80">
        <v>98.837235000000007</v>
      </c>
      <c r="P268" s="80">
        <v>98.837235000000007</v>
      </c>
      <c r="Q268" s="80">
        <v>98.837235000000007</v>
      </c>
      <c r="R268" s="80">
        <v>98.837235000000007</v>
      </c>
      <c r="S268" s="80">
        <v>98.837235000000007</v>
      </c>
      <c r="T268" s="80">
        <v>98.837235000000007</v>
      </c>
      <c r="U268" s="80">
        <v>1186.04682</v>
      </c>
    </row>
    <row r="269" spans="1:21" ht="15" customHeight="1" x14ac:dyDescent="0.3">
      <c r="A269" s="82" t="s">
        <v>264</v>
      </c>
      <c r="B269" s="81" t="s">
        <v>236</v>
      </c>
      <c r="C269" s="81" t="s">
        <v>263</v>
      </c>
      <c r="D269" s="81" t="s">
        <v>229</v>
      </c>
      <c r="E269" s="81" t="s">
        <v>262</v>
      </c>
      <c r="F269" s="81" t="s">
        <v>261</v>
      </c>
      <c r="G269" s="81" t="s">
        <v>226</v>
      </c>
      <c r="H269" s="81" t="s">
        <v>225</v>
      </c>
      <c r="I269" s="80">
        <v>90</v>
      </c>
      <c r="J269" s="80">
        <v>90</v>
      </c>
      <c r="K269" s="80">
        <v>90</v>
      </c>
      <c r="L269" s="80">
        <v>90</v>
      </c>
      <c r="M269" s="80">
        <v>90</v>
      </c>
      <c r="N269" s="80">
        <v>90</v>
      </c>
      <c r="O269" s="80">
        <v>90</v>
      </c>
      <c r="P269" s="80">
        <v>90</v>
      </c>
      <c r="Q269" s="80">
        <v>90</v>
      </c>
      <c r="R269" s="80">
        <v>90</v>
      </c>
      <c r="S269" s="80">
        <v>90</v>
      </c>
      <c r="T269" s="80">
        <v>90</v>
      </c>
      <c r="U269" s="80">
        <v>1080</v>
      </c>
    </row>
    <row r="270" spans="1:21" ht="15" customHeight="1" x14ac:dyDescent="0.3">
      <c r="A270" s="82" t="s">
        <v>260</v>
      </c>
      <c r="B270" s="81" t="s">
        <v>236</v>
      </c>
      <c r="C270" s="81" t="s">
        <v>250</v>
      </c>
      <c r="D270" s="81" t="s">
        <v>229</v>
      </c>
      <c r="E270" s="81" t="s">
        <v>259</v>
      </c>
      <c r="F270" s="81" t="s">
        <v>258</v>
      </c>
      <c r="G270" s="81" t="s">
        <v>226</v>
      </c>
      <c r="H270" s="81" t="s">
        <v>225</v>
      </c>
      <c r="I270" s="80">
        <v>90</v>
      </c>
      <c r="J270" s="80">
        <v>90</v>
      </c>
      <c r="K270" s="80">
        <v>90</v>
      </c>
      <c r="L270" s="80">
        <v>90</v>
      </c>
      <c r="M270" s="80">
        <v>90</v>
      </c>
      <c r="N270" s="80">
        <v>90</v>
      </c>
      <c r="O270" s="80">
        <v>135</v>
      </c>
      <c r="P270" s="80">
        <v>135</v>
      </c>
      <c r="Q270" s="80">
        <v>135</v>
      </c>
      <c r="R270" s="80">
        <v>135</v>
      </c>
      <c r="S270" s="80">
        <v>135</v>
      </c>
      <c r="T270" s="80">
        <v>135</v>
      </c>
      <c r="U270" s="80">
        <v>1350</v>
      </c>
    </row>
    <row r="271" spans="1:21" ht="15" customHeight="1" x14ac:dyDescent="0.3">
      <c r="A271" s="82" t="s">
        <v>257</v>
      </c>
      <c r="B271" s="81" t="s">
        <v>236</v>
      </c>
      <c r="C271" s="81" t="s">
        <v>250</v>
      </c>
      <c r="D271" s="81" t="s">
        <v>229</v>
      </c>
      <c r="E271" s="81" t="s">
        <v>256</v>
      </c>
      <c r="F271" s="81" t="s">
        <v>255</v>
      </c>
      <c r="G271" s="81" t="s">
        <v>226</v>
      </c>
      <c r="H271" s="81" t="s">
        <v>225</v>
      </c>
      <c r="I271" s="80">
        <v>180</v>
      </c>
      <c r="J271" s="80">
        <v>180</v>
      </c>
      <c r="K271" s="80">
        <v>180</v>
      </c>
      <c r="L271" s="80">
        <v>180</v>
      </c>
      <c r="M271" s="80">
        <v>180</v>
      </c>
      <c r="N271" s="80">
        <v>180</v>
      </c>
      <c r="O271" s="80">
        <v>180</v>
      </c>
      <c r="P271" s="80">
        <v>225</v>
      </c>
      <c r="Q271" s="80">
        <v>225</v>
      </c>
      <c r="R271" s="80">
        <v>225</v>
      </c>
      <c r="S271" s="80">
        <v>225</v>
      </c>
      <c r="T271" s="80">
        <v>225</v>
      </c>
      <c r="U271" s="80">
        <v>2385</v>
      </c>
    </row>
    <row r="272" spans="1:21" ht="15" customHeight="1" x14ac:dyDescent="0.3">
      <c r="A272" s="82" t="s">
        <v>254</v>
      </c>
      <c r="B272" s="81" t="s">
        <v>236</v>
      </c>
      <c r="C272" s="81" t="s">
        <v>250</v>
      </c>
      <c r="D272" s="81" t="s">
        <v>229</v>
      </c>
      <c r="E272" s="81" t="s">
        <v>253</v>
      </c>
      <c r="F272" s="81" t="s">
        <v>252</v>
      </c>
      <c r="G272" s="81" t="s">
        <v>226</v>
      </c>
      <c r="H272" s="81" t="s">
        <v>225</v>
      </c>
      <c r="I272" s="80">
        <v>180</v>
      </c>
      <c r="J272" s="80">
        <v>180</v>
      </c>
      <c r="K272" s="80">
        <v>180</v>
      </c>
      <c r="L272" s="80">
        <v>225</v>
      </c>
      <c r="M272" s="80">
        <v>225</v>
      </c>
      <c r="N272" s="80">
        <v>225</v>
      </c>
      <c r="O272" s="80">
        <v>225</v>
      </c>
      <c r="P272" s="80">
        <v>225</v>
      </c>
      <c r="Q272" s="80">
        <v>225</v>
      </c>
      <c r="R272" s="80">
        <v>225</v>
      </c>
      <c r="S272" s="80">
        <v>225</v>
      </c>
      <c r="T272" s="80">
        <v>225</v>
      </c>
      <c r="U272" s="80">
        <v>2565</v>
      </c>
    </row>
    <row r="273" spans="1:21" ht="15" customHeight="1" x14ac:dyDescent="0.3">
      <c r="A273" s="82" t="s">
        <v>251</v>
      </c>
      <c r="B273" s="81" t="s">
        <v>236</v>
      </c>
      <c r="C273" s="81" t="s">
        <v>250</v>
      </c>
      <c r="D273" s="81" t="s">
        <v>229</v>
      </c>
      <c r="E273" s="81" t="s">
        <v>249</v>
      </c>
      <c r="F273" s="81" t="s">
        <v>248</v>
      </c>
      <c r="G273" s="81" t="s">
        <v>226</v>
      </c>
      <c r="H273" s="81" t="s">
        <v>225</v>
      </c>
      <c r="I273" s="80">
        <v>45</v>
      </c>
      <c r="J273" s="80">
        <v>45</v>
      </c>
      <c r="K273" s="80">
        <v>45</v>
      </c>
      <c r="L273" s="80">
        <v>45</v>
      </c>
      <c r="M273" s="80">
        <v>45</v>
      </c>
      <c r="N273" s="80">
        <v>45</v>
      </c>
      <c r="O273" s="80">
        <v>45</v>
      </c>
      <c r="P273" s="80">
        <v>45</v>
      </c>
      <c r="Q273" s="80">
        <v>45</v>
      </c>
      <c r="R273" s="80">
        <v>45</v>
      </c>
      <c r="S273" s="80">
        <v>45</v>
      </c>
      <c r="T273" s="80">
        <v>90</v>
      </c>
      <c r="U273" s="80">
        <v>585</v>
      </c>
    </row>
    <row r="274" spans="1:21" ht="15" customHeight="1" x14ac:dyDescent="0.3">
      <c r="A274" s="82" t="s">
        <v>247</v>
      </c>
      <c r="B274" s="81" t="s">
        <v>236</v>
      </c>
      <c r="C274" s="81" t="s">
        <v>240</v>
      </c>
      <c r="D274" s="81" t="s">
        <v>229</v>
      </c>
      <c r="E274" s="81" t="s">
        <v>246</v>
      </c>
      <c r="F274" s="81" t="s">
        <v>245</v>
      </c>
      <c r="G274" s="81" t="s">
        <v>226</v>
      </c>
      <c r="H274" s="81" t="s">
        <v>225</v>
      </c>
      <c r="I274" s="80">
        <v>310.38749999999999</v>
      </c>
      <c r="J274" s="80">
        <v>310.38749999999999</v>
      </c>
      <c r="K274" s="80">
        <v>310.38749999999999</v>
      </c>
      <c r="L274" s="80">
        <v>310.38749999999999</v>
      </c>
      <c r="M274" s="80">
        <v>310.38749999999999</v>
      </c>
      <c r="N274" s="80">
        <v>310.38749999999999</v>
      </c>
      <c r="O274" s="80">
        <v>310.38749999999999</v>
      </c>
      <c r="P274" s="80">
        <v>310.38749999999999</v>
      </c>
      <c r="Q274" s="80">
        <v>310.38749999999999</v>
      </c>
      <c r="R274" s="80">
        <v>310.38749999999999</v>
      </c>
      <c r="S274" s="80">
        <v>310.38749999999999</v>
      </c>
      <c r="T274" s="80">
        <v>310.38749999999999</v>
      </c>
      <c r="U274" s="80">
        <v>3724.65</v>
      </c>
    </row>
    <row r="275" spans="1:21" ht="15" customHeight="1" x14ac:dyDescent="0.3">
      <c r="A275" s="82" t="s">
        <v>244</v>
      </c>
      <c r="B275" s="81" t="s">
        <v>236</v>
      </c>
      <c r="C275" s="81" t="s">
        <v>240</v>
      </c>
      <c r="D275" s="81" t="s">
        <v>229</v>
      </c>
      <c r="E275" s="81" t="s">
        <v>243</v>
      </c>
      <c r="F275" s="81" t="s">
        <v>242</v>
      </c>
      <c r="G275" s="81" t="s">
        <v>226</v>
      </c>
      <c r="H275" s="81" t="s">
        <v>225</v>
      </c>
      <c r="I275" s="80">
        <v>37.957500000000003</v>
      </c>
      <c r="J275" s="80">
        <v>37.957500000000003</v>
      </c>
      <c r="K275" s="80">
        <v>37.957500000000003</v>
      </c>
      <c r="L275" s="80">
        <v>37.957500000000003</v>
      </c>
      <c r="M275" s="80">
        <v>37.957500000000003</v>
      </c>
      <c r="N275" s="80">
        <v>37.957500000000003</v>
      </c>
      <c r="O275" s="80">
        <v>37.957500000000003</v>
      </c>
      <c r="P275" s="80">
        <v>37.957500000000003</v>
      </c>
      <c r="Q275" s="80">
        <v>37.957500000000003</v>
      </c>
      <c r="R275" s="80">
        <v>37.957500000000003</v>
      </c>
      <c r="S275" s="80">
        <v>37.957500000000003</v>
      </c>
      <c r="T275" s="80">
        <v>37.957500000000003</v>
      </c>
      <c r="U275" s="80">
        <v>455.49</v>
      </c>
    </row>
    <row r="276" spans="1:21" ht="15" customHeight="1" x14ac:dyDescent="0.3">
      <c r="A276" s="82" t="s">
        <v>241</v>
      </c>
      <c r="B276" s="81" t="s">
        <v>236</v>
      </c>
      <c r="C276" s="81" t="s">
        <v>240</v>
      </c>
      <c r="D276" s="81" t="s">
        <v>229</v>
      </c>
      <c r="E276" s="81" t="s">
        <v>239</v>
      </c>
      <c r="F276" s="81" t="s">
        <v>238</v>
      </c>
      <c r="G276" s="81" t="s">
        <v>226</v>
      </c>
      <c r="H276" s="81" t="s">
        <v>225</v>
      </c>
      <c r="I276" s="80">
        <v>407.38499999999999</v>
      </c>
      <c r="J276" s="80">
        <v>407.38499999999999</v>
      </c>
      <c r="K276" s="80">
        <v>407.38499999999999</v>
      </c>
      <c r="L276" s="80">
        <v>407.38499999999999</v>
      </c>
      <c r="M276" s="80">
        <v>407.38499999999999</v>
      </c>
      <c r="N276" s="80">
        <v>407.38499999999999</v>
      </c>
      <c r="O276" s="80">
        <v>407.38499999999999</v>
      </c>
      <c r="P276" s="80">
        <v>407.38499999999999</v>
      </c>
      <c r="Q276" s="80">
        <v>407.38499999999999</v>
      </c>
      <c r="R276" s="80">
        <v>407.38499999999999</v>
      </c>
      <c r="S276" s="80">
        <v>407.38499999999999</v>
      </c>
      <c r="T276" s="80">
        <v>407.38499999999999</v>
      </c>
      <c r="U276" s="80">
        <v>4888.62</v>
      </c>
    </row>
    <row r="277" spans="1:21" ht="15" customHeight="1" x14ac:dyDescent="0.3">
      <c r="A277" s="82" t="s">
        <v>237</v>
      </c>
      <c r="B277" s="81" t="s">
        <v>236</v>
      </c>
      <c r="C277" s="81" t="s">
        <v>235</v>
      </c>
      <c r="D277" s="81" t="s">
        <v>229</v>
      </c>
      <c r="E277" s="81" t="s">
        <v>234</v>
      </c>
      <c r="F277" s="81" t="s">
        <v>233</v>
      </c>
      <c r="G277" s="81" t="s">
        <v>226</v>
      </c>
      <c r="H277" s="81" t="s">
        <v>225</v>
      </c>
      <c r="I277" s="80">
        <v>135</v>
      </c>
      <c r="J277" s="80">
        <v>135</v>
      </c>
      <c r="K277" s="80">
        <v>135</v>
      </c>
      <c r="L277" s="80">
        <v>135</v>
      </c>
      <c r="M277" s="80">
        <v>135</v>
      </c>
      <c r="N277" s="80">
        <v>135</v>
      </c>
      <c r="O277" s="80">
        <v>135</v>
      </c>
      <c r="P277" s="80">
        <v>135</v>
      </c>
      <c r="Q277" s="80">
        <v>135</v>
      </c>
      <c r="R277" s="80">
        <v>135</v>
      </c>
      <c r="S277" s="80">
        <v>135</v>
      </c>
      <c r="T277" s="80">
        <v>135</v>
      </c>
      <c r="U277" s="80">
        <v>1620</v>
      </c>
    </row>
    <row r="278" spans="1:21" ht="15" customHeight="1" x14ac:dyDescent="0.3">
      <c r="A278" s="82" t="s">
        <v>232</v>
      </c>
      <c r="B278" s="81" t="s">
        <v>231</v>
      </c>
      <c r="C278" s="81" t="s">
        <v>230</v>
      </c>
      <c r="D278" s="81" t="s">
        <v>229</v>
      </c>
      <c r="E278" s="81" t="s">
        <v>228</v>
      </c>
      <c r="F278" s="81" t="s">
        <v>227</v>
      </c>
      <c r="G278" s="81" t="s">
        <v>226</v>
      </c>
      <c r="H278" s="81" t="s">
        <v>225</v>
      </c>
      <c r="I278" s="80">
        <v>140</v>
      </c>
      <c r="J278" s="80">
        <v>140</v>
      </c>
      <c r="K278" s="80">
        <v>140</v>
      </c>
      <c r="L278" s="80">
        <v>140</v>
      </c>
      <c r="M278" s="80">
        <v>140</v>
      </c>
      <c r="N278" s="80">
        <v>140</v>
      </c>
      <c r="O278" s="80">
        <v>140</v>
      </c>
      <c r="P278" s="80">
        <v>140</v>
      </c>
      <c r="Q278" s="80">
        <v>140</v>
      </c>
      <c r="R278" s="80">
        <v>140</v>
      </c>
      <c r="S278" s="80">
        <v>140</v>
      </c>
      <c r="T278" s="80">
        <v>140</v>
      </c>
      <c r="U278" s="80">
        <v>1680</v>
      </c>
    </row>
    <row r="279" spans="1:21" x14ac:dyDescent="0.3">
      <c r="I279" s="79">
        <f t="shared" ref="I279:U279" si="0">SUM(I4:I278)</f>
        <v>504299.08309500018</v>
      </c>
      <c r="J279" s="79">
        <f t="shared" si="0"/>
        <v>499706.17079500016</v>
      </c>
      <c r="K279" s="79">
        <f t="shared" si="0"/>
        <v>504216.39909500018</v>
      </c>
      <c r="L279" s="79">
        <f t="shared" si="0"/>
        <v>516426.65204500034</v>
      </c>
      <c r="M279" s="79">
        <f t="shared" si="0"/>
        <v>518306.13776900031</v>
      </c>
      <c r="N279" s="79">
        <f t="shared" si="0"/>
        <v>505524.86700300034</v>
      </c>
      <c r="O279" s="79">
        <f t="shared" si="0"/>
        <v>543362.7998350003</v>
      </c>
      <c r="P279" s="79">
        <f t="shared" si="0"/>
        <v>542314.09658500028</v>
      </c>
      <c r="Q279" s="79">
        <f t="shared" si="0"/>
        <v>539517.81618500035</v>
      </c>
      <c r="R279" s="79">
        <f t="shared" si="0"/>
        <v>548964.57258500031</v>
      </c>
      <c r="S279" s="79">
        <f t="shared" si="0"/>
        <v>546829.57258500042</v>
      </c>
      <c r="T279" s="79">
        <f t="shared" si="0"/>
        <v>547032.57258500042</v>
      </c>
      <c r="U279" s="79">
        <f t="shared" si="0"/>
        <v>6316500.7401620019</v>
      </c>
    </row>
  </sheetData>
  <mergeCells count="3">
    <mergeCell ref="I1:T1"/>
    <mergeCell ref="U1:U3"/>
    <mergeCell ref="I2:T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fat</vt:lpstr>
      <vt:lpstr>CHAMADOS NOK</vt:lpstr>
      <vt:lpstr>Plano de ação</vt:lpstr>
      <vt:lpstr>PRODUTIVIDADE</vt:lpstr>
      <vt:lpstr>PESQUISA DE SATISFACAO</vt:lpstr>
      <vt:lpstr>Orçamento 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2015-06-10T12:26:14Z</dcterms:modified>
</cp:coreProperties>
</file>