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bookViews>
    <workbookView xWindow="600" yWindow="570" windowWidth="14520" windowHeight="7110" activeTab="3"/>
  </bookViews>
  <sheets>
    <sheet name="Instruções Preenchimento" sheetId="12" r:id="rId1"/>
    <sheet name="Necessidades SI" sheetId="11" r:id="rId2"/>
    <sheet name="Briefing_Req" sheetId="5" r:id="rId3"/>
    <sheet name="Estimativa Funcionalidades(DA)" sheetId="9" r:id="rId4"/>
    <sheet name="RefComplex" sheetId="15" r:id="rId5"/>
    <sheet name="Listas" sheetId="13"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xlnm._FilterDatabase" localSheetId="3" hidden="1">'Estimativa Funcionalidades(DA)'!$A$1:$Q$136</definedName>
    <definedName name="_xlnm._FilterDatabase" localSheetId="0" hidden="1">'Instruções Preenchimento'!$A$6:$C$20</definedName>
    <definedName name="_xlnm._FilterDatabase" localSheetId="5" hidden="1">Listas!$A$27:$T$184</definedName>
    <definedName name="_xlnm._FilterDatabase" localSheetId="4" hidden="1">RefComplex!$A$1:$D$100</definedName>
    <definedName name="a" localSheetId="3">[1]Validações!$B$42:$B$48</definedName>
    <definedName name="a">'[2]Custo MOD'!$D$27</definedName>
    <definedName name="ABAP">Listas!$A$193</definedName>
    <definedName name="AREA" localSheetId="3">#REF!</definedName>
    <definedName name="AREA" localSheetId="0">#REF!</definedName>
    <definedName name="AREA">#REF!</definedName>
    <definedName name="_xlnm.Print_Area" localSheetId="3">'Estimativa Funcionalidades(DA)'!#REF!</definedName>
    <definedName name="as" localSheetId="0">[3]Piloto!$A:$J,[3]Piloto!#REF!</definedName>
    <definedName name="as">[3]Piloto!$A:$J,[3]Piloto!#REF!</definedName>
    <definedName name="Avaliacao_Gerencial" localSheetId="3">#REF!</definedName>
    <definedName name="Avaliacao_Gerencial" localSheetId="0">#REF!</definedName>
    <definedName name="Avaliacao_Gerencial">#REF!</definedName>
    <definedName name="base_instalada">[4]Análise!$Z$3</definedName>
    <definedName name="C_Ad_BI">'[4]Custo MOD'!$D$27</definedName>
    <definedName name="C_Ad_CRM">'[4]Custo MOD'!$D$28</definedName>
    <definedName name="C_Ad_Funcional">'[4]Custo MOD'!$D$29</definedName>
    <definedName name="C_Ad_Out_Loc">'[4]Custo MOD'!$D$30</definedName>
    <definedName name="C_Ad_Out_Rem">'[4]Custo MOD'!$D$31</definedName>
    <definedName name="C_Ad_Outsourcing">'[5]Custo MOD'!$D$29</definedName>
    <definedName name="C_Ad_Tec_Fab">'[4]Custo MOD'!$D$32</definedName>
    <definedName name="C_Ad_Tec_Prj">'[4]Custo MOD'!$D$33</definedName>
    <definedName name="C_Ad_Tecnologia">'[5]Custo MOD'!$D$30</definedName>
    <definedName name="Classificacao">[6]Legendas!$R$2:$R$3</definedName>
    <definedName name="comissão">[4]Análise!$Z$2</definedName>
    <definedName name="const" localSheetId="3">#REF!</definedName>
    <definedName name="const" localSheetId="0">#REF!</definedName>
    <definedName name="const">#REF!</definedName>
    <definedName name="custo">[4]Análise!$AG$34</definedName>
    <definedName name="Custo_Admin_BI">'[4]Custo MOD'!$C$27</definedName>
    <definedName name="Custo_Admin_CRM">'[4]Custo MOD'!$C$28</definedName>
    <definedName name="Custo_Admin_Funcional">'[4]Custo MOD'!$C$29</definedName>
    <definedName name="Custo_Admin_Out_Loc">'[4]Custo MOD'!$C$30</definedName>
    <definedName name="Custo_Admin_Out_Rem">'[4]Custo MOD'!$C$31</definedName>
    <definedName name="Custo_Admin_Outsourcing">'[5]Custo MOD'!$C$29</definedName>
    <definedName name="Custo_Admin_Tec_Fab">'[4]Custo MOD'!$C$32</definedName>
    <definedName name="Custo_Admin_Tec_Prj">'[4]Custo MOD'!$C$33</definedName>
    <definedName name="Custo_Admin_Tecnologia">'[5]Custo MOD'!$C$30</definedName>
    <definedName name="d">[2]Análise!$AC$3</definedName>
    <definedName name="diaria">'[4]Desp.não Reemb.'!$E$39</definedName>
    <definedName name="Dimensão">[7]Validações!$B$42:$B$48</definedName>
    <definedName name="ds" localSheetId="0">#REF!</definedName>
    <definedName name="ds">#REF!</definedName>
    <definedName name="esp" localSheetId="3">#REF!</definedName>
    <definedName name="esp" localSheetId="0">#REF!</definedName>
    <definedName name="esp">#REF!</definedName>
    <definedName name="Excel_BuiltIn_Print_Titles_1" localSheetId="3">'[3]Bsc_corp BF'!$A:$K,'[3]Bsc_corp BF'!#REF!</definedName>
    <definedName name="Excel_BuiltIn_Print_Titles_1" localSheetId="0">'[3]Bsc_corp BF'!$A:$K,'[3]Bsc_corp BF'!#REF!</definedName>
    <definedName name="Excel_BuiltIn_Print_Titles_1">'[3]Bsc_corp BF'!$A:$K,'[3]Bsc_corp BF'!#REF!</definedName>
    <definedName name="Excel_BuiltIn_Print_Titles_2" localSheetId="3">[3]Piloto!$A:$J,[3]Piloto!#REF!</definedName>
    <definedName name="Excel_BuiltIn_Print_Titles_2" localSheetId="0">[3]Piloto!$A:$J,[3]Piloto!#REF!</definedName>
    <definedName name="Excel_BuiltIn_Print_Titles_2">[3]Piloto!$A:$J,[3]Piloto!#REF!</definedName>
    <definedName name="Faturamento_total">[4]Análise!$Y$37</definedName>
    <definedName name="Horas_dia">[4]Análise!$U$7</definedName>
    <definedName name="IRPJ_CSSL">[4]Análise!$Z$4</definedName>
    <definedName name="ISS">[4]Análise!$Z$6</definedName>
    <definedName name="L_ABAP">Listas!$B$193:$B$200</definedName>
    <definedName name="listax">Listas!$C$3:$C$20</definedName>
    <definedName name="MLiquida">'[4]Ref-Tx.Venda'!$F$1</definedName>
    <definedName name="Modulos" localSheetId="0">#REF!</definedName>
    <definedName name="Modulos">#REF!</definedName>
    <definedName name="o" localSheetId="0">'[3]Bsc_corp BF'!$A:$K,'[3]Bsc_corp BF'!#REF!</definedName>
    <definedName name="o">'[3]Bsc_corp BF'!$A:$K,'[3]Bsc_corp BF'!#REF!</definedName>
    <definedName name="oi" localSheetId="0">#REF!</definedName>
    <definedName name="oi">#REF!</definedName>
    <definedName name="orientacao">[7]Parametros!$D$1:$D$3</definedName>
    <definedName name="PIS_COFINS">[4]Análise!$Z$5</definedName>
    <definedName name="Pontos" localSheetId="3">#REF!</definedName>
    <definedName name="Pontos" localSheetId="0">#REF!</definedName>
    <definedName name="Pontos">#REF!</definedName>
    <definedName name="Projetos">[8]Dados!$B$30:$B$48</definedName>
    <definedName name="q" localSheetId="3">'[3]Bsc_corp BF'!$A:$K,'[3]Bsc_corp BF'!#REF!</definedName>
    <definedName name="q" localSheetId="0">'[3]Bsc_corp BF'!$A:$K,'[3]Bsc_corp BF'!#REF!</definedName>
    <definedName name="q">'[3]Bsc_corp BF'!$A:$K,'[3]Bsc_corp BF'!#REF!</definedName>
    <definedName name="re" localSheetId="0">#REF!</definedName>
    <definedName name="re">#REF!</definedName>
    <definedName name="rp" localSheetId="0">#REF!</definedName>
    <definedName name="rp">#REF!</definedName>
    <definedName name="rq" localSheetId="0">#REF!</definedName>
    <definedName name="rq">#REF!</definedName>
    <definedName name="rw" localSheetId="0">[3]Piloto!$A:$J,[3]Piloto!#REF!</definedName>
    <definedName name="rw">[3]Piloto!$A:$J,[3]Piloto!#REF!</definedName>
    <definedName name="sd" localSheetId="0">#REF!</definedName>
    <definedName name="sd">#REF!</definedName>
    <definedName name="status">'[9]Calendário Detalhado'!$A$57:$A$59</definedName>
    <definedName name="statusPA">[7]Parametros!$I$1:$I$5</definedName>
    <definedName name="teste" localSheetId="3">#REF!</definedName>
    <definedName name="teste" localSheetId="0">#REF!</definedName>
    <definedName name="teste">#REF!</definedName>
    <definedName name="Tipo_Req" localSheetId="0">#REF!</definedName>
    <definedName name="Tipo_Req">#REF!</definedName>
    <definedName name="trat">[10]Listas!$A$3:$A$6</definedName>
  </definedNames>
  <calcPr calcId="152510"/>
</workbook>
</file>

<file path=xl/calcChain.xml><?xml version="1.0" encoding="utf-8"?>
<calcChain xmlns="http://schemas.openxmlformats.org/spreadsheetml/2006/main">
  <c r="C147" i="9" l="1"/>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146" i="9"/>
  <c r="B634" i="9"/>
  <c r="B633" i="9"/>
  <c r="B632" i="9"/>
  <c r="B631" i="9"/>
  <c r="B630" i="9"/>
  <c r="B629" i="9"/>
  <c r="B628" i="9"/>
  <c r="B627" i="9"/>
  <c r="B626" i="9"/>
  <c r="B625" i="9"/>
  <c r="B624" i="9"/>
  <c r="B623" i="9"/>
  <c r="B622" i="9"/>
  <c r="B621" i="9"/>
  <c r="B620" i="9"/>
  <c r="B619" i="9"/>
  <c r="B618" i="9"/>
  <c r="B617" i="9"/>
  <c r="B616" i="9"/>
  <c r="B615" i="9"/>
  <c r="B614" i="9"/>
  <c r="B613" i="9"/>
  <c r="B612" i="9"/>
  <c r="B611" i="9"/>
  <c r="B610" i="9"/>
  <c r="B609" i="9"/>
  <c r="B608" i="9"/>
  <c r="B607" i="9"/>
  <c r="B606" i="9"/>
  <c r="B605" i="9"/>
  <c r="B604" i="9"/>
  <c r="B603" i="9"/>
  <c r="B602" i="9"/>
  <c r="B601" i="9"/>
  <c r="B600" i="9"/>
  <c r="B599" i="9"/>
  <c r="B598" i="9"/>
  <c r="B597" i="9"/>
  <c r="B596" i="9"/>
  <c r="B595" i="9"/>
  <c r="B594" i="9"/>
  <c r="B593" i="9"/>
  <c r="B592" i="9"/>
  <c r="B591" i="9"/>
  <c r="B590" i="9"/>
  <c r="B589" i="9"/>
  <c r="B588" i="9"/>
  <c r="B587" i="9"/>
  <c r="B586" i="9"/>
  <c r="B585" i="9"/>
  <c r="B584" i="9"/>
  <c r="B583" i="9"/>
  <c r="B582" i="9"/>
  <c r="B581" i="9"/>
  <c r="B580" i="9"/>
  <c r="B579" i="9"/>
  <c r="B578" i="9"/>
  <c r="B577" i="9"/>
  <c r="B576" i="9"/>
  <c r="B575" i="9"/>
  <c r="B574" i="9"/>
  <c r="B573" i="9"/>
  <c r="B572" i="9"/>
  <c r="B571" i="9"/>
  <c r="B570" i="9"/>
  <c r="B569" i="9"/>
  <c r="B568" i="9"/>
  <c r="B567" i="9"/>
  <c r="B566" i="9"/>
  <c r="B565" i="9"/>
  <c r="B564" i="9"/>
  <c r="B563" i="9"/>
  <c r="B562" i="9"/>
  <c r="B561" i="9"/>
  <c r="B560" i="9"/>
  <c r="B559" i="9"/>
  <c r="B558" i="9"/>
  <c r="B557" i="9"/>
  <c r="B556" i="9"/>
  <c r="B555" i="9"/>
  <c r="B554" i="9"/>
  <c r="B553" i="9"/>
  <c r="B552" i="9"/>
  <c r="B551" i="9"/>
  <c r="B550" i="9"/>
  <c r="B549" i="9"/>
  <c r="B548" i="9"/>
  <c r="B547" i="9"/>
  <c r="B546" i="9"/>
  <c r="B545" i="9"/>
  <c r="B544" i="9"/>
  <c r="B543" i="9"/>
  <c r="B542" i="9"/>
  <c r="B541" i="9"/>
  <c r="B540" i="9"/>
  <c r="B539" i="9"/>
  <c r="B538" i="9"/>
  <c r="B537" i="9"/>
  <c r="B536" i="9"/>
  <c r="B535" i="9"/>
  <c r="B534" i="9"/>
  <c r="B533" i="9"/>
  <c r="B532" i="9"/>
  <c r="B531" i="9"/>
  <c r="B530" i="9"/>
  <c r="B529" i="9"/>
  <c r="B528" i="9"/>
  <c r="B527" i="9"/>
  <c r="B526" i="9"/>
  <c r="B525" i="9"/>
  <c r="B524" i="9"/>
  <c r="B523" i="9"/>
  <c r="B522" i="9"/>
  <c r="B521" i="9"/>
  <c r="B520" i="9"/>
  <c r="B519" i="9"/>
  <c r="B518" i="9"/>
  <c r="B517" i="9"/>
  <c r="B516" i="9"/>
  <c r="B515" i="9"/>
  <c r="B514" i="9"/>
  <c r="B513" i="9"/>
  <c r="B512" i="9"/>
  <c r="B511" i="9"/>
  <c r="B510" i="9"/>
  <c r="B509" i="9"/>
  <c r="B508" i="9"/>
  <c r="B507" i="9"/>
  <c r="B506" i="9"/>
  <c r="B505" i="9"/>
  <c r="B504" i="9"/>
  <c r="B503" i="9"/>
  <c r="B502" i="9"/>
  <c r="B501" i="9"/>
  <c r="B500" i="9"/>
  <c r="B499" i="9"/>
  <c r="B498" i="9"/>
  <c r="B497" i="9"/>
  <c r="B496" i="9"/>
  <c r="B495" i="9"/>
  <c r="B494" i="9"/>
  <c r="B493" i="9"/>
  <c r="B492" i="9"/>
  <c r="B491" i="9"/>
  <c r="B490" i="9"/>
  <c r="B489" i="9"/>
  <c r="B488" i="9"/>
  <c r="B487" i="9"/>
  <c r="B486" i="9"/>
  <c r="B485" i="9"/>
  <c r="B484" i="9"/>
  <c r="B483" i="9"/>
  <c r="B482" i="9"/>
  <c r="B481" i="9"/>
  <c r="B480" i="9"/>
  <c r="B479" i="9"/>
  <c r="B478" i="9"/>
  <c r="B477" i="9"/>
  <c r="B476" i="9"/>
  <c r="B475" i="9"/>
  <c r="B474" i="9"/>
  <c r="B473" i="9"/>
  <c r="B472" i="9"/>
  <c r="B471" i="9"/>
  <c r="B470" i="9"/>
  <c r="B469" i="9"/>
  <c r="B468" i="9"/>
  <c r="B467" i="9"/>
  <c r="B466" i="9"/>
  <c r="B465" i="9"/>
  <c r="B464" i="9"/>
  <c r="B463" i="9"/>
  <c r="B462" i="9"/>
  <c r="B461" i="9"/>
  <c r="B460" i="9"/>
  <c r="B459" i="9"/>
  <c r="B458" i="9"/>
  <c r="B457" i="9"/>
  <c r="B456" i="9"/>
  <c r="B455" i="9"/>
  <c r="B454" i="9"/>
  <c r="B453" i="9"/>
  <c r="B452" i="9"/>
  <c r="B451" i="9"/>
  <c r="B450" i="9"/>
  <c r="B449" i="9"/>
  <c r="B448" i="9"/>
  <c r="B447" i="9"/>
  <c r="B446" i="9"/>
  <c r="B445" i="9"/>
  <c r="B444" i="9"/>
  <c r="B443" i="9"/>
  <c r="B442" i="9"/>
  <c r="B441" i="9"/>
  <c r="B440" i="9"/>
  <c r="B439" i="9"/>
  <c r="B438" i="9"/>
  <c r="B437" i="9"/>
  <c r="B436" i="9"/>
  <c r="B435" i="9"/>
  <c r="B434" i="9"/>
  <c r="B433" i="9"/>
  <c r="B432" i="9"/>
  <c r="B431" i="9"/>
  <c r="B430" i="9"/>
  <c r="B429" i="9"/>
  <c r="B428" i="9"/>
  <c r="B427" i="9"/>
  <c r="B426" i="9"/>
  <c r="B425" i="9"/>
  <c r="B424" i="9"/>
  <c r="B423" i="9"/>
  <c r="B422" i="9"/>
  <c r="B421" i="9"/>
  <c r="B420" i="9"/>
  <c r="B419" i="9"/>
  <c r="B418" i="9"/>
  <c r="B417" i="9"/>
  <c r="B416" i="9"/>
  <c r="B415" i="9"/>
  <c r="B414" i="9"/>
  <c r="B413" i="9"/>
  <c r="B412" i="9"/>
  <c r="B411" i="9"/>
  <c r="B410" i="9"/>
  <c r="B409" i="9"/>
  <c r="B408" i="9"/>
  <c r="B407" i="9"/>
  <c r="B406" i="9"/>
  <c r="B405" i="9"/>
  <c r="B404" i="9"/>
  <c r="B403" i="9"/>
  <c r="B402" i="9"/>
  <c r="B401" i="9"/>
  <c r="B400" i="9"/>
  <c r="B399" i="9"/>
  <c r="B398" i="9"/>
  <c r="B397" i="9"/>
  <c r="B396" i="9"/>
  <c r="B395" i="9"/>
  <c r="B394" i="9"/>
  <c r="B393" i="9"/>
  <c r="B392" i="9"/>
  <c r="B391" i="9"/>
  <c r="B390" i="9"/>
  <c r="B389" i="9"/>
  <c r="B388" i="9"/>
  <c r="B387" i="9"/>
  <c r="B386" i="9"/>
  <c r="B385" i="9"/>
  <c r="B384" i="9"/>
  <c r="B383" i="9"/>
  <c r="B382" i="9"/>
  <c r="B381" i="9"/>
  <c r="B380" i="9"/>
  <c r="B379" i="9"/>
  <c r="B378" i="9"/>
  <c r="B377" i="9"/>
  <c r="B376" i="9"/>
  <c r="B375" i="9"/>
  <c r="B374" i="9"/>
  <c r="B373" i="9"/>
  <c r="B372" i="9"/>
  <c r="B371" i="9"/>
  <c r="B370" i="9"/>
  <c r="B369" i="9"/>
  <c r="B368" i="9"/>
  <c r="B367" i="9"/>
  <c r="B366" i="9"/>
  <c r="B365" i="9"/>
  <c r="B364" i="9"/>
  <c r="B363" i="9"/>
  <c r="B362" i="9"/>
  <c r="B361" i="9"/>
  <c r="B360" i="9"/>
  <c r="B359" i="9"/>
  <c r="B358" i="9"/>
  <c r="B357" i="9"/>
  <c r="B356" i="9"/>
  <c r="B355" i="9"/>
  <c r="B354" i="9"/>
  <c r="B353" i="9"/>
  <c r="B352" i="9"/>
  <c r="B351" i="9"/>
  <c r="B350" i="9"/>
  <c r="B349" i="9"/>
  <c r="B348" i="9"/>
  <c r="B347" i="9"/>
  <c r="B346" i="9"/>
  <c r="B345" i="9"/>
  <c r="B344" i="9"/>
  <c r="B343" i="9"/>
  <c r="B342" i="9"/>
  <c r="B341" i="9"/>
  <c r="B340" i="9"/>
  <c r="B339" i="9"/>
  <c r="B338" i="9"/>
  <c r="B337" i="9"/>
  <c r="B336" i="9"/>
  <c r="B335" i="9"/>
  <c r="B334" i="9"/>
  <c r="B333" i="9"/>
  <c r="B332" i="9"/>
  <c r="B331" i="9"/>
  <c r="B330" i="9"/>
  <c r="B329" i="9"/>
  <c r="B328" i="9"/>
  <c r="B327" i="9"/>
  <c r="B326" i="9"/>
  <c r="B325" i="9"/>
  <c r="B324" i="9"/>
  <c r="B323" i="9"/>
  <c r="B322" i="9"/>
  <c r="B321" i="9"/>
  <c r="B320" i="9"/>
  <c r="B319" i="9"/>
  <c r="B318" i="9"/>
  <c r="B317" i="9"/>
  <c r="B316" i="9"/>
  <c r="B315" i="9"/>
  <c r="B314" i="9"/>
  <c r="B313" i="9"/>
  <c r="B312" i="9"/>
  <c r="B311" i="9"/>
  <c r="B310" i="9"/>
  <c r="B309" i="9"/>
  <c r="B308" i="9"/>
  <c r="B307" i="9"/>
  <c r="B306" i="9"/>
  <c r="B305" i="9"/>
  <c r="B304" i="9"/>
  <c r="B303" i="9"/>
  <c r="B302" i="9"/>
  <c r="B301" i="9"/>
  <c r="B300" i="9"/>
  <c r="B299" i="9"/>
  <c r="B298" i="9"/>
  <c r="B297" i="9"/>
  <c r="B296" i="9"/>
  <c r="B295" i="9"/>
  <c r="B294" i="9"/>
  <c r="B293" i="9"/>
  <c r="B292" i="9"/>
  <c r="B291" i="9"/>
  <c r="B290" i="9"/>
  <c r="B289" i="9"/>
  <c r="B288" i="9"/>
  <c r="B287" i="9"/>
  <c r="B286" i="9"/>
  <c r="B285" i="9"/>
  <c r="B284" i="9"/>
  <c r="B283" i="9"/>
  <c r="B282" i="9"/>
  <c r="B281" i="9"/>
  <c r="B280" i="9"/>
  <c r="B279" i="9"/>
  <c r="B278" i="9"/>
  <c r="B277" i="9"/>
  <c r="B276" i="9"/>
  <c r="B275" i="9"/>
  <c r="B274" i="9"/>
  <c r="B273" i="9"/>
  <c r="B272" i="9"/>
  <c r="B271" i="9"/>
  <c r="B270" i="9"/>
  <c r="B269" i="9"/>
  <c r="B268" i="9"/>
  <c r="B267" i="9"/>
  <c r="B266" i="9"/>
  <c r="B265" i="9"/>
  <c r="B264" i="9"/>
  <c r="B263" i="9"/>
  <c r="B262" i="9"/>
  <c r="B261" i="9"/>
  <c r="B260" i="9"/>
  <c r="B259" i="9"/>
  <c r="B258" i="9"/>
  <c r="B257" i="9"/>
  <c r="B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H93" i="9"/>
  <c r="H92" i="9"/>
  <c r="H136" i="9"/>
  <c r="H135" i="9"/>
  <c r="H134" i="9"/>
  <c r="H133" i="9"/>
  <c r="H132" i="9"/>
  <c r="H131" i="9"/>
  <c r="H130" i="9"/>
  <c r="H129" i="9"/>
  <c r="H128" i="9"/>
  <c r="H127" i="9"/>
  <c r="H126" i="9"/>
  <c r="H125" i="9"/>
  <c r="H124" i="9"/>
  <c r="H123" i="9"/>
  <c r="H122" i="9"/>
  <c r="H121" i="9"/>
  <c r="H120" i="9"/>
  <c r="H119" i="9"/>
  <c r="H118" i="9"/>
  <c r="H117" i="9"/>
  <c r="H116" i="9"/>
  <c r="H115" i="9"/>
  <c r="H114" i="9"/>
  <c r="H113" i="9"/>
  <c r="H112" i="9"/>
  <c r="H111" i="9"/>
  <c r="H110" i="9"/>
  <c r="H109" i="9"/>
  <c r="H108" i="9"/>
  <c r="H107" i="9"/>
  <c r="H106" i="9"/>
  <c r="H105" i="9"/>
  <c r="H104" i="9"/>
  <c r="H103" i="9"/>
  <c r="H102" i="9"/>
  <c r="H101" i="9"/>
  <c r="H100" i="9"/>
  <c r="H99" i="9"/>
  <c r="H98" i="9"/>
  <c r="H97" i="9"/>
  <c r="H96" i="9"/>
  <c r="H95" i="9"/>
  <c r="H94" i="9"/>
  <c r="H91" i="9"/>
  <c r="H90" i="9"/>
  <c r="H89" i="9"/>
  <c r="H88" i="9"/>
  <c r="H87" i="9"/>
  <c r="H86" i="9"/>
  <c r="H85" i="9"/>
  <c r="H84" i="9"/>
  <c r="H83" i="9"/>
  <c r="H82" i="9"/>
  <c r="H81" i="9"/>
  <c r="H80" i="9"/>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4" i="9"/>
  <c r="H3" i="9"/>
  <c r="H2" i="9"/>
  <c r="P143" i="9"/>
</calcChain>
</file>

<file path=xl/comments1.xml><?xml version="1.0" encoding="utf-8"?>
<comments xmlns="http://schemas.openxmlformats.org/spreadsheetml/2006/main">
  <authors>
    <author>Fernando Brunetti</author>
  </authors>
  <commentList>
    <comment ref="O145" authorId="0" shapeId="0">
      <text>
        <r>
          <rPr>
            <b/>
            <sz val="9"/>
            <color indexed="81"/>
            <rFont val="Tahoma"/>
            <family val="2"/>
          </rPr>
          <t>Fernando Brunetti:</t>
        </r>
        <r>
          <rPr>
            <sz val="9"/>
            <color indexed="81"/>
            <rFont val="Tahoma"/>
            <family val="2"/>
          </rPr>
          <t xml:space="preserve">
Criação
Alteração (com ou sem cópia)
Exclusão</t>
        </r>
      </text>
    </comment>
  </commentList>
</comments>
</file>

<file path=xl/sharedStrings.xml><?xml version="1.0" encoding="utf-8"?>
<sst xmlns="http://schemas.openxmlformats.org/spreadsheetml/2006/main" count="1226" uniqueCount="327">
  <si>
    <t xml:space="preserve">              Instruções para Preenchimento </t>
  </si>
  <si>
    <t>Abaixo, estão as instruções e a indicação do responsável pelo preenchimento das planilhas e seus respectivos campos para abertura/seguimento das demandas.</t>
  </si>
  <si>
    <t>Os dados já preenchidos nas demais planilhas são apenas exemplos e devem ser eliminados ANTES do início do preenchimento.</t>
  </si>
  <si>
    <t>Planilha Briefing_Req</t>
  </si>
  <si>
    <t>Responsável</t>
  </si>
  <si>
    <t>Campo</t>
  </si>
  <si>
    <t>Preenchimento</t>
  </si>
  <si>
    <t>Conteúdo</t>
  </si>
  <si>
    <t>ID</t>
  </si>
  <si>
    <t>GRP/MD</t>
  </si>
  <si>
    <t>Número Sequencial do Requisito</t>
  </si>
  <si>
    <t>Tipo de Requisito</t>
  </si>
  <si>
    <t>Funcional ou Não-Funcional</t>
  </si>
  <si>
    <t>Requisito</t>
  </si>
  <si>
    <r>
      <rPr>
        <sz val="8"/>
        <color theme="1" tint="0.34998626667073579"/>
        <rFont val="Verdana"/>
        <family val="2"/>
      </rPr>
      <t>Descrever os seguintes níveis e tipos de Requisitos :
1-</t>
    </r>
    <r>
      <rPr>
        <u/>
        <sz val="8"/>
        <color theme="1" tint="0.34998626667073579"/>
        <rFont val="Verdana"/>
        <family val="2"/>
      </rPr>
      <t>Requisito Funcional</t>
    </r>
    <r>
      <rPr>
        <sz val="8"/>
        <color theme="1" tint="0.34998626667073579"/>
        <rFont val="Verdana"/>
        <family val="2"/>
      </rPr>
      <t xml:space="preserve">: Descreve o comportamento observável que será demonstrado pelo sistema e as informações que ele gerenciará. Define o que o sistema fará, ações e resposta do sistema. Para o levantamento, devem ser considerados as seguintes características: Caminho Feliz, Caminho Não feliz (exceção), Analítico, Controle (SOX, ISO, etc), Gestão da Informação, Automatismo, Conversão e Convivência. </t>
    </r>
    <r>
      <rPr>
        <sz val="7"/>
        <color theme="1" tint="0.34998626667073579"/>
        <rFont val="Verdana"/>
        <family val="2"/>
      </rPr>
      <t xml:space="preserve">
1.1 Requisitos de negócio: são os requisitos de mais alto nível da solução. Indicam o escopo a ser desenvolvido : 
1) As razões por que um projeto é iniciado.
2) As métricas que serão usadas para medir o seu sucesso. 
3) Os resultados que o projeto deve alcançar (marcro-funcionaldiades).
4) As razões por que um sistema existe.
1.2 Requisitos das partes interessadas: descrevem as necessidades de uma classe específica de usuários e servem para fazer a ponte entre os requisitos de negócio e da solução. Neste caso, podem ser informado as recomendações de change management (riscos, treinamento, comunicação, mudanças de estrutura, tecnologia ou processo, etc). Não necessariamente todos os projetos terão este tipo de requisito, portanto cabe ao GRP avaliar se há uma necessidade específica para a demanda em questão. 
</t>
    </r>
    <r>
      <rPr>
        <sz val="8"/>
        <color theme="1" tint="0.34998626667073579"/>
        <rFont val="Verdana"/>
        <family val="2"/>
      </rPr>
      <t>2-</t>
    </r>
    <r>
      <rPr>
        <u/>
        <sz val="8"/>
        <color theme="1" tint="0.34998626667073579"/>
        <rFont val="Verdana"/>
        <family val="2"/>
      </rPr>
      <t>Requisito Não Funcional</t>
    </r>
    <r>
      <rPr>
        <sz val="8"/>
        <color theme="1" tint="0.34998626667073579"/>
        <rFont val="Verdana"/>
        <family val="2"/>
      </rPr>
      <t>: Indicam características que o sistema deve ter ou como deve ser. Devem ser considerados : Performance/Disponibilidade (e suas metas), Compatibilidade (Adaptação Browsers, Interação com outros Aplicativos), Portabilidade, Arquivamento (considerando a volumetria esperada para os registros, novos ou existentes de uso intensificados, expectativa de crescimento e necessidade de retenção), Segurança de Informação, Usabilidade e Manutenibilidade (aplicativo testado com facilidade e seus problemas podem ser propriamente diagnosticados). Será também necessário preencher as informações percentual de crescimento por ano da informação e tempo de retenção on-line.</t>
    </r>
  </si>
  <si>
    <t xml:space="preserve">Premissas </t>
  </si>
  <si>
    <t>Quais são as premissas (Premissas são fatores que, para fins de planejamento, são considerados verdadeiros, reais ou certos, sem prova ou demonstração) que devem ser declaradas para atendimento do requisito.</t>
  </si>
  <si>
    <t>Restrições</t>
  </si>
  <si>
    <t>Quais são as restrições (Restrições são fatores que limitam as opções da equipe) que devem ser declaradas para atendimento do requisito.</t>
  </si>
  <si>
    <t>Solicitado Por (Parceiro de Negócio)</t>
  </si>
  <si>
    <t>Nome Completo do patrocinador da demanda</t>
  </si>
  <si>
    <t>Key-User Validador</t>
  </si>
  <si>
    <t xml:space="preserve">Nome Completo do Key user </t>
  </si>
  <si>
    <t>Publico Alvo</t>
  </si>
  <si>
    <t>Qual o publico que será impactado pela execução e implantação do requisito</t>
  </si>
  <si>
    <t>Prioridade</t>
  </si>
  <si>
    <t>Definir a prioridade, sendo (1 - Alta    2 - Média    3 - Baixa)</t>
  </si>
  <si>
    <t>Processo de Negócio</t>
  </si>
  <si>
    <t>Líder de TD da demanda (Aplicações ou Infra)</t>
  </si>
  <si>
    <t>Qual processo de negócio Natura solicitante</t>
  </si>
  <si>
    <t>Sub-processo</t>
  </si>
  <si>
    <t>Qual o sub-processo de negócio Natura solicitante</t>
  </si>
  <si>
    <t>Entradas</t>
  </si>
  <si>
    <t>Entradas que são necessárias para o atendimento do requisito</t>
  </si>
  <si>
    <t>Detalhe do Requisito (Funcional ou Não funcional)</t>
  </si>
  <si>
    <r>
      <t xml:space="preserve">Descrever o detalhe dos requisitos funcionais e não funcionais que o sistema deve prover a seus usuários. É </t>
    </r>
    <r>
      <rPr>
        <b/>
        <sz val="8"/>
        <color theme="1" tint="0.34998626667073579"/>
        <rFont val="Verdana"/>
        <family val="2"/>
      </rPr>
      <t>FUNDAMENTAL:</t>
    </r>
    <r>
      <rPr>
        <sz val="8"/>
        <color theme="1" tint="0.34998626667073579"/>
        <rFont val="Verdana"/>
        <family val="2"/>
      </rPr>
      <t xml:space="preserve"> 
#Detalhar as regras de negocio, explicitando casos de exceção, validações, necessidades de automatismo, regras de reprocessamento/cancelamento
#Detalhar requerimentos relacionados à rastreabilidade do processo (eventuais cockpits e seus respectivos indicadores, forma de cálculo, etc)
#Detalhar as necessidades de indicadores da solução (performance/disponibilidade), monitoramentos, archiving.
#Avaliar sinergia e, caso faça sentido, incluir no escopo eventuais problems conhecidos.
#Especificar, no caso de indicadores analíticos: árvore de decisão, dimensões para análise, fórmula, origem dos dados, periodicidade atualização...
#Detalhar, no caso de sites: público relacionado, tempo de carregamento de conteúdo, governança de conteúdo, padronização linguagem visual, alinhamento marca Natura, regras autenticação.</t>
    </r>
  </si>
  <si>
    <t>Saidas</t>
  </si>
  <si>
    <t>Saidas que são esperadas pelo atendimento do requisito</t>
  </si>
  <si>
    <t>Planilha Estimativa Funcionalidades</t>
  </si>
  <si>
    <t>Requisito Relacionado</t>
  </si>
  <si>
    <t>Numero sequencial do requisito utilizado como referência</t>
  </si>
  <si>
    <t>Funcional ou Não funcional</t>
  </si>
  <si>
    <t>Descrição do Requisito</t>
  </si>
  <si>
    <t>Descrição do Requisito relacionado</t>
  </si>
  <si>
    <t>Atendimento</t>
  </si>
  <si>
    <t>Informa se o mesmo requisito é atendido por alguma funcionalidade 
(Atende, Atende Parcial, Não Atende)</t>
  </si>
  <si>
    <t>Id da Funcionalidade</t>
  </si>
  <si>
    <t>Numero sequencial das funcionalidades utilizada como referência</t>
  </si>
  <si>
    <t>Descrição Funcionalidade</t>
  </si>
  <si>
    <t>Decreva um breve texto do que é a Funcionalidade a ser realizada de acordo com solicitação do usuário</t>
  </si>
  <si>
    <t>Sinergias com outras iniciativas</t>
  </si>
  <si>
    <t>Descrever o escopo das sinergias técnicas de outras iniciativas</t>
  </si>
  <si>
    <t>Edital/Consultoria</t>
  </si>
  <si>
    <t>Especificar se deverá ocorrer edital e quais consultorias que participarão.</t>
  </si>
  <si>
    <t>Responsável pela entrega</t>
  </si>
  <si>
    <t>Descreva o nome do líder do núcleo responsável pela entrega.</t>
  </si>
  <si>
    <t>Sistema ou Módulo Relacionado</t>
  </si>
  <si>
    <t>Descreva o sistema ou módulo que se trata a avaliação de estimativa concretizada pelo fornecedor</t>
  </si>
  <si>
    <t>Forma de Atendimento</t>
  </si>
  <si>
    <t>Indicar a forma como é realizado atendimento do requisito através da funcionalidade
(1 = Desenvolvimento; 2 = Solução de Parceiros; 3 = Configuração Complexa; 4 = Configuração Simples; 5 = Solução Standard (pacote))</t>
  </si>
  <si>
    <t>Tipo de Funcionalidade</t>
  </si>
  <si>
    <t>Escolha o tipo de funcionalidade que se trata a iniciativa:
Relatório,Interface Inbound ,Interface Outbound, Formulários e Telas, Enhacements</t>
  </si>
  <si>
    <t>Complexidade</t>
  </si>
  <si>
    <t>Inserir a complexidade da alteração ou criação no determinado sistema em: muito alta,alta, média, baixa</t>
  </si>
  <si>
    <t>Tecnologia</t>
  </si>
  <si>
    <t>Trata-se da Tecnologia alterada relacionada ao escopo do Projeto ou Evolução: ABAP,Java ou outros</t>
  </si>
  <si>
    <t>Ação</t>
  </si>
  <si>
    <t>Indicar se a funcionalidade é Nova (Criar), se será usada uma funcionalidade existente (Alterar) ou se será necessário eliminar uma funcionalidade (Excluir)</t>
  </si>
  <si>
    <t>Horas Detalhadas</t>
  </si>
  <si>
    <t>Relação de Horas por fase de projeto: Analise,Desenho,Construção,Teste Produto</t>
  </si>
  <si>
    <t xml:space="preserve">      Necessidades de Segurança de Informação
</t>
  </si>
  <si>
    <t>Qual a quantidade estimada de usuários da solução?</t>
  </si>
  <si>
    <r>
      <t xml:space="preserve">Haverá criação de novos perfis? </t>
    </r>
    <r>
      <rPr>
        <i/>
        <sz val="7"/>
        <color theme="1"/>
        <rFont val="Verdana"/>
        <family val="2"/>
      </rPr>
      <t>[criação, alteração, NA]</t>
    </r>
  </si>
  <si>
    <t>1- Área de Planejamento (responsável para reserva de estoque) - 5 Usuários</t>
  </si>
  <si>
    <t>2- Atendimento - 150 Usuários</t>
  </si>
  <si>
    <t>2- Força de vendas - 1000 Usuários</t>
  </si>
  <si>
    <t>...</t>
  </si>
  <si>
    <t>Requisitos</t>
  </si>
  <si>
    <t>#</t>
  </si>
  <si>
    <t>Tipo Requisitos</t>
  </si>
  <si>
    <t>Premissas</t>
  </si>
  <si>
    <t>Solicitado Por
(Parceiro de Negocio)</t>
  </si>
  <si>
    <t>Key-User validador</t>
  </si>
  <si>
    <r>
      <t xml:space="preserve">Prioridade
</t>
    </r>
    <r>
      <rPr>
        <sz val="9"/>
        <color theme="1"/>
        <rFont val="Verdana"/>
        <family val="2"/>
      </rPr>
      <t>1 - Alta
2 - Média
3 - Baixa</t>
    </r>
  </si>
  <si>
    <t xml:space="preserve">Processo de Negocio </t>
  </si>
  <si>
    <t>Sub-Processo</t>
  </si>
  <si>
    <t>Detalhe do requisito</t>
  </si>
  <si>
    <t>Saídas</t>
  </si>
  <si>
    <t>Funcional-Negócio</t>
  </si>
  <si>
    <t>Para materiais que tenham venda como baseline e fazem parte do kit início, é necessário garantir que não haja INA de kit devido a falta de estoque</t>
  </si>
  <si>
    <t>A lista dos componentes que compõe o Kit inicio deve ser informada pela área Comercial</t>
  </si>
  <si>
    <t>Esta Iniciativa precisará ser implementada para atender a Estratégia de Natal.</t>
  </si>
  <si>
    <t>Josie Romero</t>
  </si>
  <si>
    <t>Tobias Favero</t>
  </si>
  <si>
    <t>Novas CNs</t>
  </si>
  <si>
    <t>O&amp;L</t>
  </si>
  <si>
    <t>Planejamento</t>
  </si>
  <si>
    <t>Lista de Códigos de Materiais que compõem o Kit Inicio</t>
  </si>
  <si>
    <t>Garantir disponibilidade de estoque dos materiais que compõem kit início, permitindo que um material tenha sua venda priorizada para o kit (em detrimento a venda baseline)</t>
  </si>
  <si>
    <t>Códigos de Materiais que compõe o Kit Inicio priorizados</t>
  </si>
  <si>
    <t>Cadastro</t>
  </si>
  <si>
    <t>Juliana Delgado</t>
  </si>
  <si>
    <t>Funcional-Partes Interessadas</t>
  </si>
  <si>
    <t>Criar uma consulta que permita filtro por código de material, e o resultado seja Código de Material, Descrição do Material, Qde Resevada, Qde Empenhada e Qde Total em Estoque</t>
  </si>
  <si>
    <t>A consulta irá apresentar as informações do dia, não apresentando o histórico de períodos passados</t>
  </si>
  <si>
    <t>Esta funcionalidade deverá estar disponível apenas para SP Capital</t>
  </si>
  <si>
    <t>Necessidade de gerenciar estoques e informações dos materiais que compõe o Kit Inicio</t>
  </si>
  <si>
    <t>Tela com filtro para selecionar o código de material definidos na Funcionalidade 1.1.
Resultado da consulta deve trazer código de material, descrição, quantidade reservada, quantidade total de estoque.
O resultado da consulta deverá ter um botão que permita o usuário exportar para um arquivo xls.</t>
  </si>
  <si>
    <t>Lista de itens do Kit Inicio com informações para gestão de estoque</t>
  </si>
  <si>
    <t>CRM Marketing</t>
  </si>
  <si>
    <t>Silvana Neves</t>
  </si>
  <si>
    <t>Comercial</t>
  </si>
  <si>
    <t>Alexsandra Reis</t>
  </si>
  <si>
    <t>Não Funcional</t>
  </si>
  <si>
    <t>A consulta do ID2 deve ter tempo de esposta menor que 2 seg.</t>
  </si>
  <si>
    <t>Thiago Sarkissian</t>
  </si>
  <si>
    <t>Não-funcional</t>
  </si>
  <si>
    <t>Distribuição</t>
  </si>
  <si>
    <t>Davi Fugimoto</t>
  </si>
  <si>
    <t>Gestão de Conteudo</t>
  </si>
  <si>
    <t>Lourenço Trevenzolli</t>
  </si>
  <si>
    <t xml:space="preserve">Mobile </t>
  </si>
  <si>
    <t>Cesar Gomes</t>
  </si>
  <si>
    <t>Suprimentos</t>
  </si>
  <si>
    <t>Daniele Mancinelli</t>
  </si>
  <si>
    <t>Industrial</t>
  </si>
  <si>
    <t>Jania Carvalho</t>
  </si>
  <si>
    <t>Plan &amp; Produção</t>
  </si>
  <si>
    <t>Guilherme Kajimoto</t>
  </si>
  <si>
    <t>Finanças</t>
  </si>
  <si>
    <t>Wesley Calegaretti</t>
  </si>
  <si>
    <t>RH e Sustentabilidade</t>
  </si>
  <si>
    <t>Adriano Beraldo</t>
  </si>
  <si>
    <t>Inovação e Marca</t>
  </si>
  <si>
    <t>Eliana Ferreira</t>
  </si>
  <si>
    <t>BI-SAP</t>
  </si>
  <si>
    <t>Priscila Chicaleski</t>
  </si>
  <si>
    <t>BI-Custom</t>
  </si>
  <si>
    <t>James Nakamura</t>
  </si>
  <si>
    <t>CRM Analitico</t>
  </si>
  <si>
    <t>Silvio Vechia</t>
  </si>
  <si>
    <t>N</t>
  </si>
  <si>
    <t>E</t>
  </si>
  <si>
    <t>Adicionado</t>
  </si>
  <si>
    <t>Cancelado</t>
  </si>
  <si>
    <t>Incluído</t>
  </si>
  <si>
    <t>Ampliado</t>
  </si>
  <si>
    <t>Simplificado</t>
  </si>
  <si>
    <t>N/A</t>
  </si>
  <si>
    <t>fim</t>
  </si>
  <si>
    <t>Tipo</t>
  </si>
  <si>
    <t>Concatenação</t>
  </si>
  <si>
    <t>Esforço</t>
  </si>
  <si>
    <t>Teste</t>
  </si>
  <si>
    <t>Xconstruç</t>
  </si>
  <si>
    <t>ABAP</t>
  </si>
  <si>
    <t>Conversão (carga)</t>
  </si>
  <si>
    <t>Baixa</t>
  </si>
  <si>
    <t>baixa</t>
  </si>
  <si>
    <t>ABAP+BOL</t>
  </si>
  <si>
    <t>Conversão (extração)</t>
  </si>
  <si>
    <t>Média</t>
  </si>
  <si>
    <t>média</t>
  </si>
  <si>
    <t>BO</t>
  </si>
  <si>
    <t>Enhacement</t>
  </si>
  <si>
    <t>Alta</t>
  </si>
  <si>
    <t>alta</t>
  </si>
  <si>
    <t>BW</t>
  </si>
  <si>
    <t>Formulário ou Tela</t>
  </si>
  <si>
    <t>Java/WCS</t>
  </si>
  <si>
    <t>Interface Inbound</t>
  </si>
  <si>
    <t>SPGL</t>
  </si>
  <si>
    <t>Mobile</t>
  </si>
  <si>
    <t>Interface Outbound</t>
  </si>
  <si>
    <t>curto</t>
  </si>
  <si>
    <t>POWERCENTER</t>
  </si>
  <si>
    <t>Outros</t>
  </si>
  <si>
    <t>intermed.</t>
  </si>
  <si>
    <t>SAS</t>
  </si>
  <si>
    <t>Relatório</t>
  </si>
  <si>
    <t>longo</t>
  </si>
  <si>
    <t>Sharepoint</t>
  </si>
  <si>
    <t>SOA</t>
  </si>
  <si>
    <t>Gestão</t>
  </si>
  <si>
    <t>normal</t>
  </si>
  <si>
    <t>complexa</t>
  </si>
  <si>
    <t>Information Spaces</t>
  </si>
  <si>
    <t>Relatórios</t>
  </si>
  <si>
    <t>Universos</t>
  </si>
  <si>
    <t>Análise de Impacto</t>
  </si>
  <si>
    <t>Extrator não standard
fonte SAP</t>
  </si>
  <si>
    <t>Extrator standard 
fonte SAP</t>
  </si>
  <si>
    <t>Extrator
fonte não SAP</t>
  </si>
  <si>
    <t>Modelagem
(cubos , DSOs)</t>
  </si>
  <si>
    <t>Enhancement/Evolução em tela existente</t>
  </si>
  <si>
    <t xml:space="preserve">Média </t>
  </si>
  <si>
    <t>CDC</t>
  </si>
  <si>
    <t>ETL</t>
  </si>
  <si>
    <t>Serviço</t>
  </si>
  <si>
    <t>Estimativas por Funcionalidades</t>
  </si>
  <si>
    <t>Complexidade dos Testes
(Integ.+Regr.+Perf.)</t>
  </si>
  <si>
    <t>Tamanho do SPGL</t>
  </si>
  <si>
    <t>Complexidade da Gestão</t>
  </si>
  <si>
    <t>ESFORÇO
(análise a teste unit.) 
[hs]</t>
  </si>
  <si>
    <t>ESFORÇO
(des.+constr.+testes+
SPGL+Gestão) [hs]</t>
  </si>
  <si>
    <t>Tipo Requisito</t>
  </si>
  <si>
    <t>Detalhe do Requisito</t>
  </si>
  <si>
    <t>ID da Funcionalidade</t>
  </si>
  <si>
    <t>Edital/ Consultoria</t>
  </si>
  <si>
    <t>Características Técnicas</t>
  </si>
  <si>
    <t>Detalhamento de Horas</t>
  </si>
  <si>
    <t>Sistema ou Módulo relacionado</t>
  </si>
  <si>
    <t>Forma Atendimento</t>
  </si>
  <si>
    <t>Tipo da Funcionalidade</t>
  </si>
  <si>
    <t>Análise/Desenho</t>
  </si>
  <si>
    <t>Construção</t>
  </si>
  <si>
    <t>Testes Produto</t>
  </si>
  <si>
    <t xml:space="preserve">Esforço por funcionalidade (análise a teste unit.) </t>
  </si>
  <si>
    <t>Atende Parcial</t>
  </si>
  <si>
    <t>1.1</t>
  </si>
  <si>
    <t>Tela/Transação para seleção dos materiais que compoõe o Kit início e o usuário deseja reservar estoque.
Ao Selecionar os itens que serão reservados, na mesma Tela/Transação, habilitar o campo de input da quantidade à reservar</t>
  </si>
  <si>
    <t>SAP_MM</t>
  </si>
  <si>
    <t>3- Solução SaaS</t>
  </si>
  <si>
    <t>Exclusão</t>
  </si>
  <si>
    <t>1.2</t>
  </si>
  <si>
    <t>Desenvolver um parâmetro para definir o percentual do total de estoque livre que se deseja reservar. O mesmo servirá para um usuário definido como Administrador da funcionalidade limitar a qauntidade de unidades que podem ser reservadas para o Kit Início</t>
  </si>
  <si>
    <t>1- Desenvolvimento</t>
  </si>
  <si>
    <t>1.3</t>
  </si>
  <si>
    <t>No Capta: alterar a consulta de estoque no momento do empenho para, na ausência de estoque livre para um material que compõe o Kit Início, deverá consultar o estoque reservado de materiais</t>
  </si>
  <si>
    <t>Capta</t>
  </si>
  <si>
    <t>Atende</t>
  </si>
  <si>
    <t>2.1</t>
  </si>
  <si>
    <t>Reaprov. Serviço</t>
  </si>
  <si>
    <t>Descrição</t>
  </si>
  <si>
    <t>ABAP, ABAP+BOL</t>
  </si>
  <si>
    <t xml:space="preserve">Relatório </t>
  </si>
  <si>
    <r>
      <rPr>
        <b/>
        <sz val="8"/>
        <rFont val="Arial"/>
        <family val="2"/>
      </rPr>
      <t xml:space="preserve">Dados: </t>
    </r>
    <r>
      <rPr>
        <sz val="8"/>
        <rFont val="Arial"/>
        <family val="2"/>
      </rPr>
      <t xml:space="preserve">Relatório com acesso até 3 tabelas ou com leitura de até 1 arquivo externo 
</t>
    </r>
    <r>
      <rPr>
        <b/>
        <sz val="8"/>
        <rFont val="Arial"/>
        <family val="2"/>
      </rPr>
      <t>Lógico:</t>
    </r>
    <r>
      <rPr>
        <sz val="8"/>
        <rFont val="Arial"/>
        <family val="2"/>
      </rPr>
      <t xml:space="preserve"> Ordenação e agrupamento pequeno,não utiliza rotinas externas, com uma única versão que atende todas exigências( regiões)</t>
    </r>
  </si>
  <si>
    <r>
      <rPr>
        <b/>
        <sz val="8"/>
        <rFont val="Arial"/>
        <family val="2"/>
      </rPr>
      <t xml:space="preserve">Dados: </t>
    </r>
    <r>
      <rPr>
        <sz val="8"/>
        <rFont val="Arial"/>
        <family val="2"/>
      </rPr>
      <t xml:space="preserve">Relatório com acesso até 7 tabelas ou com leitura de até 3 arquivo externo 
</t>
    </r>
    <r>
      <rPr>
        <b/>
        <sz val="8"/>
        <rFont val="Arial"/>
        <family val="2"/>
      </rPr>
      <t>Lógico:</t>
    </r>
    <r>
      <rPr>
        <sz val="8"/>
        <rFont val="Arial"/>
        <family val="2"/>
      </rPr>
      <t xml:space="preserve"> Pequena consistência de dados, drill drown, ordenação de calculos moderados,tratamento de campos, pequena variação de regras</t>
    </r>
  </si>
  <si>
    <r>
      <rPr>
        <b/>
        <sz val="8"/>
        <rFont val="Arial"/>
        <family val="2"/>
      </rPr>
      <t xml:space="preserve">Dados: </t>
    </r>
    <r>
      <rPr>
        <sz val="8"/>
        <rFont val="Arial"/>
        <family val="2"/>
      </rPr>
      <t xml:space="preserve">Relatório com acesso de 8 ou mais tabelas ou com leitura de 4 ou mais arquivos externos, dados de mais de um modulos 
</t>
    </r>
    <r>
      <rPr>
        <b/>
        <sz val="8"/>
        <rFont val="Arial"/>
        <family val="2"/>
      </rPr>
      <t>Lógico:</t>
    </r>
    <r>
      <rPr>
        <sz val="8"/>
        <rFont val="Arial"/>
        <family val="2"/>
      </rPr>
      <t xml:space="preserve"> Utilização de varias telas,tratamento de campos,grande variação de regras, layout dos relatórios complexos (janelas, texto, fonte etc) e vários drill downs</t>
    </r>
  </si>
  <si>
    <t>Interface Inbound (Criar WebService com regra de negócio,RFC)</t>
  </si>
  <si>
    <r>
      <rPr>
        <b/>
        <sz val="8"/>
        <rFont val="Arial"/>
        <family val="2"/>
      </rPr>
      <t xml:space="preserve">Dados: </t>
    </r>
    <r>
      <rPr>
        <sz val="8"/>
        <rFont val="Arial"/>
        <family val="2"/>
      </rPr>
      <t xml:space="preserve">1 arquivo externo ou até 3 tipos de registros ou objetos
</t>
    </r>
    <r>
      <rPr>
        <b/>
        <sz val="8"/>
        <rFont val="Arial"/>
        <family val="2"/>
      </rPr>
      <t>Lógico:</t>
    </r>
    <r>
      <rPr>
        <sz val="8"/>
        <rFont val="Arial"/>
        <family val="2"/>
      </rPr>
      <t xml:space="preserve"> Sem log de processamento de erro, sem tratamento de dados, sem reconciliação, até uma transação(BADI,BAPI,Batch input).</t>
    </r>
  </si>
  <si>
    <r>
      <rPr>
        <b/>
        <sz val="8"/>
        <rFont val="Arial"/>
        <family val="2"/>
      </rPr>
      <t xml:space="preserve">Dados: </t>
    </r>
    <r>
      <rPr>
        <sz val="8"/>
        <rFont val="Arial"/>
        <family val="2"/>
      </rPr>
      <t xml:space="preserve">Até 4 arquivos externos ou até 5 tipos de registros ou objetos
</t>
    </r>
    <r>
      <rPr>
        <b/>
        <sz val="8"/>
        <rFont val="Arial"/>
        <family val="2"/>
      </rPr>
      <t>Lógico:</t>
    </r>
    <r>
      <rPr>
        <sz val="8"/>
        <rFont val="Arial"/>
        <family val="2"/>
      </rPr>
      <t xml:space="preserve"> validação simples(Ex:data, cliente existe), retorno de log e erro simples, apenas mensagem ou descrição do erro e reconciliação simples</t>
    </r>
  </si>
  <si>
    <r>
      <rPr>
        <b/>
        <sz val="8"/>
        <rFont val="Arial"/>
        <family val="2"/>
      </rPr>
      <t xml:space="preserve">Dados: </t>
    </r>
    <r>
      <rPr>
        <sz val="8"/>
        <rFont val="Arial"/>
        <family val="2"/>
      </rPr>
      <t xml:space="preserve">Mais que 4 arquivos externos ou mais 5 tipos de registros ou objetos
</t>
    </r>
    <r>
      <rPr>
        <b/>
        <sz val="8"/>
        <rFont val="Arial"/>
        <family val="2"/>
      </rPr>
      <t>Lógico:</t>
    </r>
    <r>
      <rPr>
        <sz val="8"/>
        <rFont val="Arial"/>
        <family val="2"/>
      </rPr>
      <t xml:space="preserve"> mais de 4 transações,validação completa( Ex: credito do cliente), retorno de log e erro completo(motivo do erro trace) e reprocessamento</t>
    </r>
  </si>
  <si>
    <t>Interface Outbound (Consumo de WebService ,RFC)</t>
  </si>
  <si>
    <r>
      <rPr>
        <b/>
        <sz val="8"/>
        <rFont val="Arial"/>
        <family val="2"/>
      </rPr>
      <t xml:space="preserve">Dados: </t>
    </r>
    <r>
      <rPr>
        <sz val="8"/>
        <rFont val="Arial"/>
        <family val="2"/>
      </rPr>
      <t xml:space="preserve">1 arquivo externo ou até 3 tipos de registros ou objetos
</t>
    </r>
    <r>
      <rPr>
        <b/>
        <sz val="8"/>
        <rFont val="Arial"/>
        <family val="2"/>
      </rPr>
      <t>Lógico:</t>
    </r>
    <r>
      <rPr>
        <sz val="8"/>
        <rFont val="Arial"/>
        <family val="2"/>
      </rPr>
      <t xml:space="preserve">  sem tratamento de dados ou leitura de dados de até 5 tabelas ou batch.</t>
    </r>
  </si>
  <si>
    <r>
      <rPr>
        <b/>
        <sz val="8"/>
        <rFont val="Arial"/>
        <family val="2"/>
      </rPr>
      <t xml:space="preserve">Dados: </t>
    </r>
    <r>
      <rPr>
        <sz val="8"/>
        <rFont val="Arial"/>
        <family val="2"/>
      </rPr>
      <t xml:space="preserve">Até 4 arquivos externos ou até 5 tipos de registros ou objetos
</t>
    </r>
    <r>
      <rPr>
        <b/>
        <sz val="8"/>
        <rFont val="Arial"/>
        <family val="2"/>
      </rPr>
      <t>Lógico:</t>
    </r>
    <r>
      <rPr>
        <sz val="8"/>
        <rFont val="Arial"/>
        <family val="2"/>
      </rPr>
      <t xml:space="preserve"> tratamento de dados moderado ou leitura de dados de até 9 tabelas ou batch.</t>
    </r>
  </si>
  <si>
    <r>
      <rPr>
        <b/>
        <sz val="8"/>
        <rFont val="Arial"/>
        <family val="2"/>
      </rPr>
      <t xml:space="preserve">Dados: </t>
    </r>
    <r>
      <rPr>
        <sz val="8"/>
        <rFont val="Arial"/>
        <family val="2"/>
      </rPr>
      <t xml:space="preserve">Mais que 4 arquivos externos ou mais 5 tipos de registros ou objetos
</t>
    </r>
    <r>
      <rPr>
        <b/>
        <sz val="8"/>
        <rFont val="Arial"/>
        <family val="2"/>
      </rPr>
      <t>Lógico:</t>
    </r>
    <r>
      <rPr>
        <sz val="8"/>
        <rFont val="Arial"/>
        <family val="2"/>
      </rPr>
      <t xml:space="preserve"> tratamento de dados complexos ou leitura de dados de 10 ou mais tabelas .</t>
    </r>
  </si>
  <si>
    <t>Formulário ou Tela
(Sapscript,SmartForm, Online)</t>
  </si>
  <si>
    <r>
      <rPr>
        <b/>
        <sz val="8"/>
        <rFont val="Arial"/>
        <family val="2"/>
      </rPr>
      <t xml:space="preserve">Dados:  </t>
    </r>
    <r>
      <rPr>
        <sz val="8"/>
        <rFont val="Arial"/>
        <family val="2"/>
      </rPr>
      <t xml:space="preserve">Leitura e manutenção de até 3 tabelas
</t>
    </r>
    <r>
      <rPr>
        <b/>
        <sz val="8"/>
        <rFont val="Arial"/>
        <family val="2"/>
      </rPr>
      <t>Lógico:</t>
    </r>
    <r>
      <rPr>
        <sz val="8"/>
        <rFont val="Arial"/>
        <family val="2"/>
      </rPr>
      <t xml:space="preserve">  validações simples( Ex: emails,telefone), utilização de ate 2 telas</t>
    </r>
  </si>
  <si>
    <r>
      <rPr>
        <b/>
        <sz val="8"/>
        <rFont val="Arial"/>
        <family val="2"/>
      </rPr>
      <t xml:space="preserve">Dados:  </t>
    </r>
    <r>
      <rPr>
        <sz val="8"/>
        <rFont val="Arial"/>
        <family val="2"/>
      </rPr>
      <t xml:space="preserve">Leitura e manutenção de até 5 tabelas
</t>
    </r>
    <r>
      <rPr>
        <b/>
        <sz val="8"/>
        <rFont val="Arial"/>
        <family val="2"/>
      </rPr>
      <t>Lógico:</t>
    </r>
    <r>
      <rPr>
        <sz val="8"/>
        <rFont val="Arial"/>
        <family val="2"/>
      </rPr>
      <t xml:space="preserve">  regras de negócio/validações significativas( Ex: cliente existe), drill drown, 1 transação ou utilização de um componente de tela simples (table-control,paginação) </t>
    </r>
  </si>
  <si>
    <r>
      <rPr>
        <b/>
        <sz val="8"/>
        <rFont val="Arial"/>
        <family val="2"/>
      </rPr>
      <t xml:space="preserve">Dados:  </t>
    </r>
    <r>
      <rPr>
        <sz val="8"/>
        <rFont val="Arial"/>
        <family val="2"/>
      </rPr>
      <t xml:space="preserve">Leitura e manutenção de mais do que 5 tabelas
</t>
    </r>
    <r>
      <rPr>
        <b/>
        <sz val="8"/>
        <rFont val="Arial"/>
        <family val="2"/>
      </rPr>
      <t>Lógico:</t>
    </r>
    <r>
      <rPr>
        <sz val="8"/>
        <rFont val="Arial"/>
        <family val="2"/>
      </rPr>
      <t xml:space="preserve">  Atualizações com tela inicial e subtelas(menu),validações complexas(Ex: credito do cliente) , drill drown, mais de 1 transação ou 4 telas, chamada de rotina externa, utilização de um componente complexo em mais de 1 tela (table-control,paginação)</t>
    </r>
  </si>
  <si>
    <t>Enhacement 
(Transações,Batch input,Userexit,BADI,Include)</t>
  </si>
  <si>
    <r>
      <rPr>
        <b/>
        <sz val="8"/>
        <rFont val="Arial"/>
        <family val="2"/>
      </rPr>
      <t>Dados:</t>
    </r>
    <r>
      <rPr>
        <sz val="8"/>
        <rFont val="Arial"/>
        <family val="2"/>
      </rPr>
      <t xml:space="preserve"> Programas com seleção de até 2 tabelas
</t>
    </r>
    <r>
      <rPr>
        <b/>
        <sz val="8"/>
        <rFont val="Arial"/>
        <family val="2"/>
      </rPr>
      <t>Lógico:</t>
    </r>
    <r>
      <rPr>
        <sz val="8"/>
        <rFont val="Arial"/>
        <family val="2"/>
      </rPr>
      <t>Poucas alterações na camada visual (alterações em telas do SAP) logica e física, apenas consultas sem atualizações de banco,validações simples( Ex: emails,telefone).</t>
    </r>
  </si>
  <si>
    <r>
      <rPr>
        <b/>
        <sz val="8"/>
        <rFont val="Arial"/>
        <family val="2"/>
      </rPr>
      <t>Dados</t>
    </r>
    <r>
      <rPr>
        <sz val="8"/>
        <rFont val="Arial"/>
        <family val="2"/>
      </rPr>
      <t xml:space="preserve">: Programas com seleção de até 5 tabelas com consistência/captura de dados, a
</t>
    </r>
    <r>
      <rPr>
        <b/>
        <sz val="8"/>
        <rFont val="Arial"/>
        <family val="2"/>
      </rPr>
      <t>Lógico:</t>
    </r>
    <r>
      <rPr>
        <sz val="8"/>
        <rFont val="Arial"/>
        <family val="2"/>
      </rPr>
      <t>atualização em banco e alterações na camada visual  (alterações em telas existentes), regras de negócio/validações significativas( Ex: cliente existe), até 2 funções externas</t>
    </r>
  </si>
  <si>
    <r>
      <rPr>
        <b/>
        <sz val="8"/>
        <rFont val="Arial"/>
        <family val="2"/>
      </rPr>
      <t>Dados:</t>
    </r>
    <r>
      <rPr>
        <sz val="8"/>
        <rFont val="Arial"/>
        <family val="2"/>
      </rPr>
      <t xml:space="preserve"> Programas com seleção de mais do que 5 tabelas com consistência/captura de dados, 
</t>
    </r>
    <r>
      <rPr>
        <b/>
        <sz val="8"/>
        <rFont val="Arial"/>
        <family val="2"/>
      </rPr>
      <t>Lógico</t>
    </r>
    <r>
      <rPr>
        <sz val="8"/>
        <rFont val="Arial"/>
        <family val="2"/>
      </rPr>
      <t>: Grande número de alterações na camada visual (novas telas), validações complexas(Ex: credito do cliente) , mais do que 3 funções externas</t>
    </r>
  </si>
  <si>
    <t>Alteração em regras de negócio ou sistemas origem que impactem apenas 1 fluxo de informação dentro do BW.</t>
  </si>
  <si>
    <t>Alteração em regras de negócio ou sistemas origem que impactem mais de 1 fluxo de informação dentro do BW.</t>
  </si>
  <si>
    <t>Alteração complexas em regras de negócio ou sistemas origem que impactem fluxos complexos de informação dentro do BW.</t>
  </si>
  <si>
    <r>
      <rPr>
        <b/>
        <sz val="8"/>
        <color theme="1"/>
        <rFont val="Arial"/>
        <family val="2"/>
      </rPr>
      <t>Dados:</t>
    </r>
    <r>
      <rPr>
        <sz val="8"/>
        <color theme="1"/>
        <rFont val="Arial"/>
        <family val="2"/>
      </rPr>
      <t xml:space="preserve"> Seleção de 1 tabela de origem. 
</t>
    </r>
    <r>
      <rPr>
        <b/>
        <sz val="8"/>
        <color theme="1"/>
        <rFont val="Arial"/>
        <family val="2"/>
      </rPr>
      <t>Lógico:</t>
    </r>
    <r>
      <rPr>
        <sz val="8"/>
        <color theme="1"/>
        <rFont val="Arial"/>
        <family val="2"/>
      </rPr>
      <t xml:space="preserve"> Filtro simples ou sem filtros.</t>
    </r>
  </si>
  <si>
    <r>
      <rPr>
        <b/>
        <sz val="8"/>
        <color theme="1"/>
        <rFont val="Arial"/>
        <family val="2"/>
      </rPr>
      <t>Dados:</t>
    </r>
    <r>
      <rPr>
        <sz val="8"/>
        <color theme="1"/>
        <rFont val="Arial"/>
        <family val="2"/>
      </rPr>
      <t xml:space="preserve"> Seleção de dados a partir de mais de uma tabela.
</t>
    </r>
    <r>
      <rPr>
        <b/>
        <sz val="8"/>
        <color theme="1"/>
        <rFont val="Arial"/>
        <family val="2"/>
      </rPr>
      <t>Lógico:</t>
    </r>
    <r>
      <rPr>
        <sz val="8"/>
        <color theme="1"/>
        <rFont val="Arial"/>
        <family val="2"/>
      </rPr>
      <t xml:space="preserve"> Regras de negócio, filtros e cálculos simples.</t>
    </r>
  </si>
  <si>
    <r>
      <rPr>
        <b/>
        <sz val="8"/>
        <color theme="1"/>
        <rFont val="Arial"/>
        <family val="2"/>
      </rPr>
      <t>Dados:</t>
    </r>
    <r>
      <rPr>
        <sz val="8"/>
        <color theme="1"/>
        <rFont val="Arial"/>
        <family val="2"/>
      </rPr>
      <t xml:space="preserve"> Seleção de dados a partir de diversas tabelas, em bancos de dados diferentes (BW, Oracle).
</t>
    </r>
    <r>
      <rPr>
        <b/>
        <sz val="8"/>
        <color theme="1"/>
        <rFont val="Arial"/>
        <family val="2"/>
      </rPr>
      <t xml:space="preserve">Lógico: </t>
    </r>
    <r>
      <rPr>
        <sz val="8"/>
        <color theme="1"/>
        <rFont val="Arial"/>
        <family val="2"/>
      </rPr>
      <t>Regras de negócio complexas, mudança de granularidade dos dados e cálculos e consolidações não-triviais.</t>
    </r>
  </si>
  <si>
    <r>
      <rPr>
        <b/>
        <sz val="8"/>
        <color theme="1"/>
        <rFont val="Arial"/>
        <family val="2"/>
      </rPr>
      <t xml:space="preserve">Dados: </t>
    </r>
    <r>
      <rPr>
        <sz val="8"/>
        <color theme="1"/>
        <rFont val="Arial"/>
        <family val="2"/>
      </rPr>
      <t xml:space="preserve">Seleção de 1 tabela de origem. 
</t>
    </r>
    <r>
      <rPr>
        <b/>
        <sz val="8"/>
        <color theme="1"/>
        <rFont val="Arial"/>
        <family val="2"/>
      </rPr>
      <t xml:space="preserve">Lógico: </t>
    </r>
    <r>
      <rPr>
        <sz val="8"/>
        <color theme="1"/>
        <rFont val="Arial"/>
        <family val="2"/>
      </rPr>
      <t>Mapa com pouca ou nehuma transformação envolvida no workflow.</t>
    </r>
  </si>
  <si>
    <r>
      <rPr>
        <b/>
        <sz val="8"/>
        <color theme="1"/>
        <rFont val="Arial"/>
        <family val="2"/>
      </rPr>
      <t>Dados:</t>
    </r>
    <r>
      <rPr>
        <sz val="8"/>
        <color theme="1"/>
        <rFont val="Arial"/>
        <family val="2"/>
      </rPr>
      <t xml:space="preserve"> Extração de dados a partir de mais de uma tabela.
</t>
    </r>
    <r>
      <rPr>
        <b/>
        <sz val="8"/>
        <color theme="1"/>
        <rFont val="Arial"/>
        <family val="2"/>
      </rPr>
      <t>Lógico:</t>
    </r>
    <r>
      <rPr>
        <sz val="8"/>
        <color theme="1"/>
        <rFont val="Arial"/>
        <family val="2"/>
      </rPr>
      <t xml:space="preserve"> Workflows com mais de um mapa e transformações simples (Extract, Filter) envolvidas.</t>
    </r>
  </si>
  <si>
    <r>
      <rPr>
        <b/>
        <sz val="8"/>
        <color theme="1"/>
        <rFont val="Arial"/>
        <family val="2"/>
      </rPr>
      <t xml:space="preserve">Dados: </t>
    </r>
    <r>
      <rPr>
        <sz val="8"/>
        <color theme="1"/>
        <rFont val="Arial"/>
        <family val="2"/>
      </rPr>
      <t xml:space="preserve">Extração de dados a partir de mais de uma tabela.
</t>
    </r>
    <r>
      <rPr>
        <b/>
        <sz val="8"/>
        <color theme="1"/>
        <rFont val="Arial"/>
        <family val="2"/>
      </rPr>
      <t xml:space="preserve">Lógico: </t>
    </r>
    <r>
      <rPr>
        <sz val="8"/>
        <color theme="1"/>
        <rFont val="Arial"/>
        <family val="2"/>
      </rPr>
      <t>Workflows com vários mapa, transformações não triviais(Aggregator, Joiner, Router, LookUps) e/ou loops envolvidos.</t>
    </r>
  </si>
  <si>
    <r>
      <rPr>
        <b/>
        <sz val="8"/>
        <color theme="1"/>
        <rFont val="Arial"/>
        <family val="2"/>
      </rPr>
      <t>Dados:</t>
    </r>
    <r>
      <rPr>
        <sz val="8"/>
        <color theme="1"/>
        <rFont val="Arial"/>
        <family val="2"/>
      </rPr>
      <t xml:space="preserve"> Seleção de 1 tabela de origem. 
</t>
    </r>
    <r>
      <rPr>
        <b/>
        <sz val="8"/>
        <color theme="1"/>
        <rFont val="Arial"/>
        <family val="2"/>
      </rPr>
      <t xml:space="preserve">Lógico: </t>
    </r>
    <r>
      <rPr>
        <sz val="8"/>
        <color theme="1"/>
        <rFont val="Arial"/>
        <family val="2"/>
      </rPr>
      <t>Mapa com pouca ou nehuma transformação envolvida no workflow.</t>
    </r>
  </si>
  <si>
    <t>ETL CDC</t>
  </si>
  <si>
    <r>
      <rPr>
        <b/>
        <sz val="8"/>
        <color theme="1"/>
        <rFont val="Arial"/>
        <family val="2"/>
      </rPr>
      <t xml:space="preserve">Dados: </t>
    </r>
    <r>
      <rPr>
        <sz val="8"/>
        <color theme="1"/>
        <rFont val="Arial"/>
        <family val="2"/>
      </rPr>
      <t xml:space="preserve">Extração de dados a partir de mais de uma tabela.
</t>
    </r>
    <r>
      <rPr>
        <b/>
        <sz val="8"/>
        <color theme="1"/>
        <rFont val="Arial"/>
        <family val="2"/>
      </rPr>
      <t xml:space="preserve">Lógico: </t>
    </r>
    <r>
      <rPr>
        <sz val="8"/>
        <color theme="1"/>
        <rFont val="Arial"/>
        <family val="2"/>
      </rPr>
      <t>Workflows com mais de um mapa e transformações simples (Extract, Filter) envolvidas.</t>
    </r>
  </si>
  <si>
    <r>
      <rPr>
        <b/>
        <sz val="8"/>
        <color theme="1"/>
        <rFont val="Arial"/>
        <family val="2"/>
      </rPr>
      <t xml:space="preserve">Dados: </t>
    </r>
    <r>
      <rPr>
        <sz val="8"/>
        <color theme="1"/>
        <rFont val="Arial"/>
        <family val="2"/>
      </rPr>
      <t xml:space="preserve">Extração de baixa volumetria, sem carga inicial histórica
</t>
    </r>
    <r>
      <rPr>
        <b/>
        <sz val="8"/>
        <color theme="1"/>
        <rFont val="Arial"/>
        <family val="2"/>
      </rPr>
      <t>Lógico:</t>
    </r>
    <r>
      <rPr>
        <sz val="8"/>
        <color theme="1"/>
        <rFont val="Arial"/>
        <family val="2"/>
      </rPr>
      <t xml:space="preserve"> sem filtros, transformações e badis</t>
    </r>
  </si>
  <si>
    <r>
      <rPr>
        <b/>
        <sz val="8"/>
        <color theme="1"/>
        <rFont val="Arial"/>
        <family val="2"/>
      </rPr>
      <t xml:space="preserve">Dados: </t>
    </r>
    <r>
      <rPr>
        <sz val="8"/>
        <color theme="1"/>
        <rFont val="Arial"/>
        <family val="2"/>
      </rPr>
      <t xml:space="preserve">Extração de média volumetria, com ou sem carga inicial histórica
</t>
    </r>
    <r>
      <rPr>
        <b/>
        <sz val="8"/>
        <color theme="1"/>
        <rFont val="Arial"/>
        <family val="2"/>
      </rPr>
      <t>Lógico:</t>
    </r>
    <r>
      <rPr>
        <sz val="8"/>
        <color theme="1"/>
        <rFont val="Arial"/>
        <family val="2"/>
      </rPr>
      <t xml:space="preserve"> com alguns filtros, transformações e badis</t>
    </r>
  </si>
  <si>
    <r>
      <rPr>
        <b/>
        <sz val="8"/>
        <color theme="1"/>
        <rFont val="Arial"/>
        <family val="2"/>
      </rPr>
      <t xml:space="preserve">Dados: </t>
    </r>
    <r>
      <rPr>
        <sz val="8"/>
        <color theme="1"/>
        <rFont val="Arial"/>
        <family val="2"/>
      </rPr>
      <t xml:space="preserve">Extração de alta volumetria, com ou sem carga inicial histórica
</t>
    </r>
    <r>
      <rPr>
        <b/>
        <sz val="8"/>
        <color theme="1"/>
        <rFont val="Arial"/>
        <family val="2"/>
      </rPr>
      <t xml:space="preserve">Lógico: </t>
    </r>
    <r>
      <rPr>
        <sz val="8"/>
        <color theme="1"/>
        <rFont val="Arial"/>
        <family val="2"/>
      </rPr>
      <t>com alguns ou muitos filtros, transformações e badis</t>
    </r>
  </si>
  <si>
    <r>
      <rPr>
        <b/>
        <sz val="8"/>
        <color theme="1"/>
        <rFont val="Arial"/>
        <family val="2"/>
      </rPr>
      <t xml:space="preserve">Dados: </t>
    </r>
    <r>
      <rPr>
        <sz val="8"/>
        <color theme="1"/>
        <rFont val="Arial"/>
        <family val="2"/>
      </rPr>
      <t xml:space="preserve">Extração de dados a partir de uma tabela e que possua campos de controle de delta, sem carga inicial histórica.
</t>
    </r>
    <r>
      <rPr>
        <b/>
        <sz val="8"/>
        <color theme="1"/>
        <rFont val="Arial"/>
        <family val="2"/>
      </rPr>
      <t xml:space="preserve">Lógico: </t>
    </r>
    <r>
      <rPr>
        <sz val="8"/>
        <color theme="1"/>
        <rFont val="Arial"/>
        <family val="2"/>
      </rPr>
      <t>sem filtros e poucas transformações de dados (ABAP de baixa complexidade).</t>
    </r>
  </si>
  <si>
    <r>
      <rPr>
        <b/>
        <sz val="8"/>
        <color theme="1"/>
        <rFont val="Arial"/>
        <family val="2"/>
      </rPr>
      <t xml:space="preserve">Dados: </t>
    </r>
    <r>
      <rPr>
        <sz val="8"/>
        <color theme="1"/>
        <rFont val="Arial"/>
        <family val="2"/>
      </rPr>
      <t xml:space="preserve">Extração de dados a partir de uma ou mais tabelas, de média volumetria e que possua campos de controle de delta, com ou sem carga inicial histórica.
</t>
    </r>
    <r>
      <rPr>
        <b/>
        <sz val="8"/>
        <color theme="1"/>
        <rFont val="Arial"/>
        <family val="2"/>
      </rPr>
      <t>Lógico:</t>
    </r>
    <r>
      <rPr>
        <sz val="8"/>
        <color theme="1"/>
        <rFont val="Arial"/>
        <family val="2"/>
      </rPr>
      <t xml:space="preserve"> com alguns filtros e transformações de dados (ABAP de média complexidade).</t>
    </r>
  </si>
  <si>
    <r>
      <rPr>
        <b/>
        <sz val="8"/>
        <color theme="1"/>
        <rFont val="Arial"/>
        <family val="2"/>
      </rPr>
      <t xml:space="preserve">Dados: </t>
    </r>
    <r>
      <rPr>
        <sz val="8"/>
        <color theme="1"/>
        <rFont val="Arial"/>
        <family val="2"/>
      </rPr>
      <t xml:space="preserve">Extração de dados a partir de uma ou mais tabelas, de alta ou média volumetria e que não possua campos de controle de delta,com ou sem carga inicial histórica.
</t>
    </r>
    <r>
      <rPr>
        <b/>
        <sz val="8"/>
        <color theme="1"/>
        <rFont val="Arial"/>
        <family val="2"/>
      </rPr>
      <t xml:space="preserve">Lógico: </t>
    </r>
    <r>
      <rPr>
        <sz val="8"/>
        <color theme="1"/>
        <rFont val="Arial"/>
        <family val="2"/>
      </rPr>
      <t>com filtros e transformações de dados (ABAP de alta complexidade com joins, lookups e etc...).</t>
    </r>
  </si>
  <si>
    <r>
      <rPr>
        <b/>
        <sz val="8"/>
        <color theme="1"/>
        <rFont val="Arial"/>
        <family val="2"/>
      </rPr>
      <t>Dados:</t>
    </r>
    <r>
      <rPr>
        <sz val="8"/>
        <color theme="1"/>
        <rFont val="Arial"/>
        <family val="2"/>
      </rPr>
      <t xml:space="preserve"> Extração de baixa volumetria, baixa periodicidade sem necessidade do GDP ou carga de arquivo flat file, sem carga inicial histórica.
</t>
    </r>
    <r>
      <rPr>
        <b/>
        <sz val="8"/>
        <color theme="1"/>
        <rFont val="Arial"/>
        <family val="2"/>
      </rPr>
      <t xml:space="preserve">Lógico: </t>
    </r>
    <r>
      <rPr>
        <sz val="8"/>
        <color theme="1"/>
        <rFont val="Arial"/>
        <family val="2"/>
      </rPr>
      <t xml:space="preserve">Leitura de views ou tabelas existentes no sistema de origem. </t>
    </r>
  </si>
  <si>
    <r>
      <rPr>
        <b/>
        <sz val="8"/>
        <color theme="1"/>
        <rFont val="Arial"/>
        <family val="2"/>
      </rPr>
      <t xml:space="preserve">Dados: </t>
    </r>
    <r>
      <rPr>
        <sz val="8"/>
        <color theme="1"/>
        <rFont val="Arial"/>
        <family val="2"/>
      </rPr>
      <t xml:space="preserve">Extração de média volumetria, média periodicidade com ou sem necessidade do GDP, com ou sem carga inicial histórica.
</t>
    </r>
    <r>
      <rPr>
        <b/>
        <sz val="8"/>
        <color theme="1"/>
        <rFont val="Arial"/>
        <family val="2"/>
      </rPr>
      <t xml:space="preserve">Lógico: </t>
    </r>
    <r>
      <rPr>
        <sz val="8"/>
        <color theme="1"/>
        <rFont val="Arial"/>
        <family val="2"/>
      </rPr>
      <t>Leitura de views ou tabelas que deverão ser criadas no ambiente de origem.</t>
    </r>
  </si>
  <si>
    <r>
      <rPr>
        <b/>
        <sz val="8"/>
        <color theme="1"/>
        <rFont val="Arial"/>
        <family val="2"/>
      </rPr>
      <t xml:space="preserve">Dados: </t>
    </r>
    <r>
      <rPr>
        <sz val="8"/>
        <color theme="1"/>
        <rFont val="Arial"/>
        <family val="2"/>
      </rPr>
      <t xml:space="preserve">Extração de alta volumetria, com necessidade do GDP, originados de sistemas críticos (CAPTA), com ou sem carga inicial histórica.
</t>
    </r>
    <r>
      <rPr>
        <b/>
        <sz val="8"/>
        <color theme="1"/>
        <rFont val="Arial"/>
        <family val="2"/>
      </rPr>
      <t xml:space="preserve">Lógico: </t>
    </r>
    <r>
      <rPr>
        <sz val="8"/>
        <color theme="1"/>
        <rFont val="Arial"/>
        <family val="2"/>
      </rPr>
      <t>Leitura de views ou tabelas que deverão ser criadas no GDP.</t>
    </r>
  </si>
  <si>
    <r>
      <rPr>
        <b/>
        <sz val="8"/>
        <color theme="1"/>
        <rFont val="Arial"/>
        <family val="2"/>
      </rPr>
      <t xml:space="preserve">Dados: </t>
    </r>
    <r>
      <rPr>
        <sz val="8"/>
        <color theme="1"/>
        <rFont val="Arial"/>
        <family val="2"/>
      </rPr>
      <t xml:space="preserve">Carga originada de apenas 1 data source com baixa ou média volumetria.
</t>
    </r>
    <r>
      <rPr>
        <b/>
        <sz val="8"/>
        <color theme="1"/>
        <rFont val="Arial"/>
        <family val="2"/>
      </rPr>
      <t xml:space="preserve">Lógico: </t>
    </r>
    <r>
      <rPr>
        <sz val="8"/>
        <color theme="1"/>
        <rFont val="Arial"/>
        <family val="2"/>
      </rPr>
      <t>Transformações simples, sem lookups em DSOs fora do fluxo entregue.</t>
    </r>
  </si>
  <si>
    <r>
      <rPr>
        <b/>
        <sz val="8"/>
        <color theme="1"/>
        <rFont val="Arial"/>
        <family val="2"/>
      </rPr>
      <t xml:space="preserve">Dados: </t>
    </r>
    <r>
      <rPr>
        <sz val="8"/>
        <color theme="1"/>
        <rFont val="Arial"/>
        <family val="2"/>
      </rPr>
      <t xml:space="preserve">Carga originada de 1 ou mais data sources com baixa ou média volumetria.
</t>
    </r>
    <r>
      <rPr>
        <b/>
        <sz val="8"/>
        <color theme="1"/>
        <rFont val="Arial"/>
        <family val="2"/>
      </rPr>
      <t xml:space="preserve">Lógico: </t>
    </r>
    <r>
      <rPr>
        <sz val="8"/>
        <color theme="1"/>
        <rFont val="Arial"/>
        <family val="2"/>
      </rPr>
      <t>Transformações médias, regras de negócio de média complexidade, com poucos lookups em DSOs fora do fluxo entregue.</t>
    </r>
  </si>
  <si>
    <r>
      <rPr>
        <b/>
        <sz val="8"/>
        <color theme="1"/>
        <rFont val="Arial"/>
        <family val="2"/>
      </rPr>
      <t xml:space="preserve">Dados: </t>
    </r>
    <r>
      <rPr>
        <sz val="8"/>
        <color theme="1"/>
        <rFont val="Arial"/>
        <family val="2"/>
      </rPr>
      <t xml:space="preserve">Carga originada de 1 ou mais data sources com média ou alta volumetria.
</t>
    </r>
    <r>
      <rPr>
        <b/>
        <sz val="8"/>
        <color theme="1"/>
        <rFont val="Arial"/>
        <family val="2"/>
      </rPr>
      <t>Lógico:</t>
    </r>
    <r>
      <rPr>
        <sz val="8"/>
        <color theme="1"/>
        <rFont val="Arial"/>
        <family val="2"/>
      </rPr>
      <t xml:space="preserve"> Transformações complexas, regras de negócio de alta complexidade, com lookups em DSOs fora do fluxo entregue e com alteração na granularidade dos dados.</t>
    </r>
  </si>
  <si>
    <r>
      <rPr>
        <b/>
        <sz val="8"/>
        <color theme="1"/>
        <rFont val="Arial"/>
        <family val="2"/>
      </rPr>
      <t xml:space="preserve">Dados: </t>
    </r>
    <r>
      <rPr>
        <sz val="8"/>
        <color theme="1"/>
        <rFont val="Arial"/>
        <family val="2"/>
      </rPr>
      <t xml:space="preserve">Complexidade do Universo baixa
</t>
    </r>
    <r>
      <rPr>
        <b/>
        <sz val="8"/>
        <color theme="1"/>
        <rFont val="Arial"/>
        <family val="2"/>
      </rPr>
      <t>Lógico:</t>
    </r>
    <r>
      <rPr>
        <sz val="8"/>
        <color theme="1"/>
        <rFont val="Arial"/>
        <family val="2"/>
      </rPr>
      <t xml:space="preserve"> Origem em somente um universo, uma tabela ou gráfico a ser apresentado e filtros simples no where.</t>
    </r>
  </si>
  <si>
    <r>
      <rPr>
        <b/>
        <sz val="8"/>
        <color theme="1"/>
        <rFont val="Arial"/>
        <family val="2"/>
      </rPr>
      <t xml:space="preserve">Dados: </t>
    </r>
    <r>
      <rPr>
        <sz val="8"/>
        <color theme="1"/>
        <rFont val="Arial"/>
        <family val="2"/>
      </rPr>
      <t xml:space="preserve">Complexidade do Universo média.
</t>
    </r>
    <r>
      <rPr>
        <b/>
        <sz val="8"/>
        <color theme="1"/>
        <rFont val="Arial"/>
        <family val="2"/>
      </rPr>
      <t>Lógico:</t>
    </r>
    <r>
      <rPr>
        <sz val="8"/>
        <color theme="1"/>
        <rFont val="Arial"/>
        <family val="2"/>
      </rPr>
      <t xml:space="preserve"> Origem em somente um universo, com mais de uma tabela ou graficos a serem apresentados e filtros e calculos no where.</t>
    </r>
  </si>
  <si>
    <r>
      <rPr>
        <b/>
        <sz val="8"/>
        <color theme="1"/>
        <rFont val="Arial"/>
        <family val="2"/>
      </rPr>
      <t xml:space="preserve">Dados: </t>
    </r>
    <r>
      <rPr>
        <sz val="8"/>
        <color theme="1"/>
        <rFont val="Arial"/>
        <family val="2"/>
      </rPr>
      <t xml:space="preserve">Complexidade do Universo alta.
</t>
    </r>
    <r>
      <rPr>
        <b/>
        <sz val="8"/>
        <color theme="1"/>
        <rFont val="Arial"/>
        <family val="2"/>
      </rPr>
      <t xml:space="preserve">Lógico: </t>
    </r>
    <r>
      <rPr>
        <sz val="8"/>
        <color theme="1"/>
        <rFont val="Arial"/>
        <family val="2"/>
      </rPr>
      <t>Origem no cruzamento entre universos, com grande quantidade de cálulos e métricas.</t>
    </r>
  </si>
  <si>
    <r>
      <rPr>
        <b/>
        <sz val="8"/>
        <color theme="1"/>
        <rFont val="Arial"/>
        <family val="2"/>
      </rPr>
      <t xml:space="preserve">Dados: </t>
    </r>
    <r>
      <rPr>
        <sz val="8"/>
        <color theme="1"/>
        <rFont val="Arial"/>
        <family val="2"/>
      </rPr>
      <t xml:space="preserve">Quantidade de registros até 10.000 e um join e sem alteração na cardinalidade dos dados.
</t>
    </r>
    <r>
      <rPr>
        <b/>
        <sz val="8"/>
        <color theme="1"/>
        <rFont val="Arial"/>
        <family val="2"/>
      </rPr>
      <t xml:space="preserve">Lógico: </t>
    </r>
    <r>
      <rPr>
        <sz val="8"/>
        <color theme="1"/>
        <rFont val="Arial"/>
        <family val="2"/>
      </rPr>
      <t>Poucos indicadores básicos.</t>
    </r>
  </si>
  <si>
    <r>
      <rPr>
        <b/>
        <sz val="8"/>
        <color theme="1"/>
        <rFont val="Arial"/>
        <family val="2"/>
      </rPr>
      <t xml:space="preserve">Dados: </t>
    </r>
    <r>
      <rPr>
        <sz val="8"/>
        <color theme="1"/>
        <rFont val="Arial"/>
        <family val="2"/>
      </rPr>
      <t xml:space="preserve">Quantidade de registros até 100.000 e de 2 a 3 joins ou com alteração na cardinalidade dos dados.
</t>
    </r>
    <r>
      <rPr>
        <b/>
        <sz val="8"/>
        <color theme="1"/>
        <rFont val="Arial"/>
        <family val="2"/>
      </rPr>
      <t xml:space="preserve">Lógico: </t>
    </r>
    <r>
      <rPr>
        <sz val="8"/>
        <color theme="1"/>
        <rFont val="Arial"/>
        <family val="2"/>
      </rPr>
      <t>Indicadores básicos e poucos restritos e cálculos.</t>
    </r>
  </si>
  <si>
    <r>
      <rPr>
        <b/>
        <sz val="8"/>
        <color theme="1"/>
        <rFont val="Arial"/>
        <family val="2"/>
      </rPr>
      <t xml:space="preserve">Dados: </t>
    </r>
    <r>
      <rPr>
        <sz val="8"/>
        <color theme="1"/>
        <rFont val="Arial"/>
        <family val="2"/>
      </rPr>
      <t xml:space="preserve">quantidades de registros maior que 100.000,  mais do que 3 joins e alteração na cardinalidade dos dados
</t>
    </r>
    <r>
      <rPr>
        <b/>
        <sz val="8"/>
        <color theme="1"/>
        <rFont val="Arial"/>
        <family val="2"/>
      </rPr>
      <t xml:space="preserve">Lógico: </t>
    </r>
    <r>
      <rPr>
        <sz val="8"/>
        <color theme="1"/>
        <rFont val="Arial"/>
        <family val="2"/>
      </rPr>
      <t>Indicadores básicos, restritos e cálculos.</t>
    </r>
  </si>
  <si>
    <r>
      <rPr>
        <b/>
        <sz val="8"/>
        <color theme="1"/>
        <rFont val="Arial"/>
        <family val="2"/>
      </rPr>
      <t>Dados:</t>
    </r>
    <r>
      <rPr>
        <sz val="8"/>
        <color theme="1"/>
        <rFont val="Arial"/>
        <family val="2"/>
      </rPr>
      <t xml:space="preserve"> Complexidade do Universo baixa.
</t>
    </r>
    <r>
      <rPr>
        <b/>
        <sz val="8"/>
        <color theme="1"/>
        <rFont val="Arial"/>
        <family val="2"/>
      </rPr>
      <t xml:space="preserve">Lógico: </t>
    </r>
    <r>
      <rPr>
        <sz val="8"/>
        <color theme="1"/>
        <rFont val="Arial"/>
        <family val="2"/>
      </rPr>
      <t>Abaixo de 10 objetos (measures, filters, facets)</t>
    </r>
  </si>
  <si>
    <r>
      <rPr>
        <b/>
        <sz val="8"/>
        <color theme="1"/>
        <rFont val="Arial"/>
        <family val="2"/>
      </rPr>
      <t xml:space="preserve">Dados: </t>
    </r>
    <r>
      <rPr>
        <sz val="8"/>
        <color theme="1"/>
        <rFont val="Arial"/>
        <family val="2"/>
      </rPr>
      <t xml:space="preserve">Complexidade do Universo média.
</t>
    </r>
    <r>
      <rPr>
        <b/>
        <sz val="8"/>
        <color theme="1"/>
        <rFont val="Arial"/>
        <family val="2"/>
      </rPr>
      <t xml:space="preserve">Lógico: </t>
    </r>
    <r>
      <rPr>
        <sz val="8"/>
        <color theme="1"/>
        <rFont val="Arial"/>
        <family val="2"/>
      </rPr>
      <t>Abaixo de 20 e acima de 10 objetos (measures, filters, facets)</t>
    </r>
  </si>
  <si>
    <r>
      <rPr>
        <b/>
        <sz val="8"/>
        <color theme="1"/>
        <rFont val="Arial"/>
        <family val="2"/>
      </rPr>
      <t xml:space="preserve">Dados: </t>
    </r>
    <r>
      <rPr>
        <sz val="8"/>
        <color theme="1"/>
        <rFont val="Arial"/>
        <family val="2"/>
      </rPr>
      <t xml:space="preserve">Complexidade do Universo alta.
</t>
    </r>
    <r>
      <rPr>
        <b/>
        <sz val="8"/>
        <color theme="1"/>
        <rFont val="Arial"/>
        <family val="2"/>
      </rPr>
      <t xml:space="preserve">Lógico: </t>
    </r>
    <r>
      <rPr>
        <sz val="8"/>
        <color theme="1"/>
        <rFont val="Arial"/>
        <family val="2"/>
      </rPr>
      <t>Acima de 20 objetos (measures, filters, facets)</t>
    </r>
  </si>
  <si>
    <r>
      <rPr>
        <b/>
        <sz val="8"/>
        <rFont val="Arial"/>
        <family val="2"/>
      </rPr>
      <t xml:space="preserve">Dados: </t>
    </r>
    <r>
      <rPr>
        <sz val="8"/>
        <rFont val="Arial"/>
        <family val="2"/>
      </rPr>
      <t xml:space="preserve">1 arquivo externo ou até 3 tipos de registros ou objetos
</t>
    </r>
    <r>
      <rPr>
        <b/>
        <sz val="8"/>
        <rFont val="Arial"/>
        <family val="2"/>
      </rPr>
      <t>Lógico:</t>
    </r>
    <r>
      <rPr>
        <sz val="8"/>
        <rFont val="Arial"/>
        <family val="2"/>
      </rPr>
      <t xml:space="preserve"> Sem log de processamento de erro, sem tratamento de dados.</t>
    </r>
  </si>
  <si>
    <r>
      <rPr>
        <b/>
        <sz val="8"/>
        <rFont val="Arial"/>
        <family val="2"/>
      </rPr>
      <t xml:space="preserve">Dados: </t>
    </r>
    <r>
      <rPr>
        <sz val="8"/>
        <rFont val="Arial"/>
        <family val="2"/>
      </rPr>
      <t xml:space="preserve">Até 4 arquivos externos ou até 5 tipos de registros ou objetos
</t>
    </r>
    <r>
      <rPr>
        <b/>
        <sz val="8"/>
        <rFont val="Arial"/>
        <family val="2"/>
      </rPr>
      <t>Lógico:</t>
    </r>
    <r>
      <rPr>
        <sz val="8"/>
        <rFont val="Arial"/>
        <family val="2"/>
      </rPr>
      <t xml:space="preserve"> validação simples (Ex:data, registro existe), retorno de log e erro simples, apenas mensagem ou descrição do erro.</t>
    </r>
  </si>
  <si>
    <r>
      <rPr>
        <b/>
        <sz val="8"/>
        <rFont val="Arial"/>
        <family val="2"/>
      </rPr>
      <t xml:space="preserve">Dados: </t>
    </r>
    <r>
      <rPr>
        <sz val="8"/>
        <rFont val="Arial"/>
        <family val="2"/>
      </rPr>
      <t xml:space="preserve">Mais que 4 arquivos externos ou mais 5 tipos de registros ou objetos
</t>
    </r>
    <r>
      <rPr>
        <b/>
        <sz val="8"/>
        <rFont val="Arial"/>
        <family val="2"/>
      </rPr>
      <t>Lógico:</t>
    </r>
    <r>
      <rPr>
        <sz val="8"/>
        <rFont val="Arial"/>
        <family val="2"/>
      </rPr>
      <t xml:space="preserve"> invocações de serviços,validação de dados transacionais (Ex: credito do cliente), retorno de log e erro completo (motivo do erro trace) e reprocessamento.</t>
    </r>
  </si>
  <si>
    <r>
      <rPr>
        <b/>
        <sz val="8"/>
        <rFont val="Arial"/>
        <family val="2"/>
      </rPr>
      <t>Dados:</t>
    </r>
    <r>
      <rPr>
        <sz val="8"/>
        <rFont val="Arial"/>
        <family val="2"/>
      </rPr>
      <t xml:space="preserve"> Sem manipulação de dados
</t>
    </r>
    <r>
      <rPr>
        <b/>
        <sz val="8"/>
        <rFont val="Arial"/>
        <family val="2"/>
      </rPr>
      <t xml:space="preserve">Lógico: </t>
    </r>
    <r>
      <rPr>
        <sz val="8"/>
        <rFont val="Arial"/>
        <family val="2"/>
      </rPr>
      <t>Poucas alterações na camada visual logica e física, apenas consultas sem atualizações de banco,validações simples( Ex:Dígito verificador de CPF).</t>
    </r>
  </si>
  <si>
    <r>
      <rPr>
        <b/>
        <sz val="8"/>
        <rFont val="Arial"/>
        <family val="2"/>
      </rPr>
      <t>Dados</t>
    </r>
    <r>
      <rPr>
        <sz val="8"/>
        <rFont val="Arial"/>
        <family val="2"/>
      </rPr>
      <t xml:space="preserve">: Programas com seleção de até 5 tabelas com consistência/captura de dados.
</t>
    </r>
    <r>
      <rPr>
        <b/>
        <sz val="8"/>
        <rFont val="Arial"/>
        <family val="2"/>
      </rPr>
      <t xml:space="preserve">Lógico: </t>
    </r>
    <r>
      <rPr>
        <sz val="8"/>
        <rFont val="Arial"/>
        <family val="2"/>
      </rPr>
      <t>Atualização em banco local de metadados, alteração em invocação de serviço e alterações na camada visual (alterações em telas existentes), regras de negócio/validações significativas( Ex: cliente existe), invocação de até 2 funções de bibliotecas fora do conjunto nativo do WebCenter Sites.</t>
    </r>
  </si>
  <si>
    <r>
      <rPr>
        <b/>
        <sz val="8"/>
        <rFont val="Arial"/>
        <family val="2"/>
      </rPr>
      <t>Dados:</t>
    </r>
    <r>
      <rPr>
        <sz val="8"/>
        <rFont val="Arial"/>
        <family val="2"/>
      </rPr>
      <t xml:space="preserve"> Programas com seleção de mais do que 5 tabelas com consistência/captura de dados, 
</t>
    </r>
    <r>
      <rPr>
        <b/>
        <sz val="8"/>
        <rFont val="Arial"/>
        <family val="2"/>
      </rPr>
      <t>Lógico</t>
    </r>
    <r>
      <rPr>
        <sz val="8"/>
        <rFont val="Arial"/>
        <family val="2"/>
      </rPr>
      <t>: Grande número de alterações na camada visual (novas telas), validações complexas(Ex: credito do cliente) , invocação de 3 ou mais funções de bibliotecas fora do conjunto nativo do WebCenter Sites, inclusão de invocação de serviço.</t>
    </r>
  </si>
  <si>
    <r>
      <rPr>
        <b/>
        <sz val="8"/>
        <rFont val="Arial"/>
        <family val="2"/>
      </rPr>
      <t xml:space="preserve">Dados:  </t>
    </r>
    <r>
      <rPr>
        <sz val="8"/>
        <rFont val="Arial"/>
        <family val="2"/>
      </rPr>
      <t xml:space="preserve">Leitura e manutenção de até 3 tabelas
</t>
    </r>
    <r>
      <rPr>
        <b/>
        <sz val="8"/>
        <rFont val="Arial"/>
        <family val="2"/>
      </rPr>
      <t>Lógico:</t>
    </r>
    <r>
      <rPr>
        <sz val="8"/>
        <rFont val="Arial"/>
        <family val="2"/>
      </rPr>
      <t xml:space="preserve"> Validações simples restritas à camada de apresentação, sem invocação de serviços (Ex: digito verificador de CPF), utilização de até 2 telas</t>
    </r>
  </si>
  <si>
    <r>
      <rPr>
        <b/>
        <sz val="8"/>
        <rFont val="Arial"/>
        <family val="2"/>
      </rPr>
      <t xml:space="preserve">Dados:  </t>
    </r>
    <r>
      <rPr>
        <sz val="8"/>
        <rFont val="Arial"/>
        <family val="2"/>
      </rPr>
      <t xml:space="preserve">Leitura e manutenção de até 5 tabelas
</t>
    </r>
    <r>
      <rPr>
        <b/>
        <sz val="8"/>
        <rFont val="Arial"/>
        <family val="2"/>
      </rPr>
      <t>Lógico:</t>
    </r>
    <r>
      <rPr>
        <sz val="8"/>
        <rFont val="Arial"/>
        <family val="2"/>
      </rPr>
      <t xml:space="preserve">  Regras de negócio/validações que demandam a invocação de um serviço (Ex: cliente existe), drill drown, 1 transação ou utilização de um componente de tela simples (table-control,paginação) </t>
    </r>
  </si>
  <si>
    <r>
      <rPr>
        <b/>
        <sz val="8"/>
        <rFont val="Arial"/>
        <family val="2"/>
      </rPr>
      <t xml:space="preserve">Dados:  </t>
    </r>
    <r>
      <rPr>
        <sz val="8"/>
        <rFont val="Arial"/>
        <family val="2"/>
      </rPr>
      <t xml:space="preserve">Leitura e manutenção de mais do que 5 tabelas
</t>
    </r>
    <r>
      <rPr>
        <b/>
        <sz val="8"/>
        <rFont val="Arial"/>
        <family val="2"/>
      </rPr>
      <t>Lógico:</t>
    </r>
    <r>
      <rPr>
        <sz val="8"/>
        <rFont val="Arial"/>
        <family val="2"/>
      </rPr>
      <t xml:space="preserve"> Atualizações com tela inicial e subtelas(menu),validações que exija a invocação de mais de um serviço (Ex: credito do cliente) , drill drown, mais de 1 transação ou 4 telas, chamada de rotina externa (funções de bibliotecas fora do conjunto nativo do WebCenter Sites), utilização de um componente complexo em mais de 1 tela (table-control,paginação)</t>
    </r>
  </si>
  <si>
    <r>
      <rPr>
        <b/>
        <sz val="8"/>
        <rFont val="Arial"/>
        <family val="2"/>
      </rPr>
      <t xml:space="preserve">Dados: </t>
    </r>
    <r>
      <rPr>
        <sz val="8"/>
        <rFont val="Arial"/>
        <family val="2"/>
      </rPr>
      <t xml:space="preserve">Até 4 arquivos externos ou até 5 tipos de registros ou objetos
</t>
    </r>
    <r>
      <rPr>
        <b/>
        <sz val="8"/>
        <rFont val="Arial"/>
        <family val="2"/>
      </rPr>
      <t>Lógico:</t>
    </r>
    <r>
      <rPr>
        <sz val="8"/>
        <rFont val="Arial"/>
        <family val="2"/>
      </rPr>
      <t xml:space="preserve"> validação simples (Ex:data, cliente existe), retorno de log e erro simples, apenas mensagem ou descrição do erro.</t>
    </r>
  </si>
  <si>
    <r>
      <rPr>
        <b/>
        <sz val="8"/>
        <rFont val="Arial"/>
        <family val="2"/>
      </rPr>
      <t xml:space="preserve">Dados: </t>
    </r>
    <r>
      <rPr>
        <sz val="8"/>
        <rFont val="Arial"/>
        <family val="2"/>
      </rPr>
      <t xml:space="preserve">Mais que 4 arquivos externos ou mais 5 tipos de registros ou objetos
</t>
    </r>
    <r>
      <rPr>
        <b/>
        <sz val="8"/>
        <rFont val="Arial"/>
        <family val="2"/>
      </rPr>
      <t>Lógico:</t>
    </r>
    <r>
      <rPr>
        <sz val="8"/>
        <rFont val="Arial"/>
        <family val="2"/>
      </rPr>
      <t xml:space="preserve"> mais de 4 transações,validação completa (Ex: credito do cliente), retorno de log e erro completo(motivo do erro trace) e reprocessamento.</t>
    </r>
  </si>
  <si>
    <r>
      <rPr>
        <b/>
        <sz val="8"/>
        <rFont val="Arial"/>
        <family val="2"/>
      </rPr>
      <t xml:space="preserve">Dados: </t>
    </r>
    <r>
      <rPr>
        <sz val="8"/>
        <rFont val="Arial"/>
        <family val="2"/>
      </rPr>
      <t xml:space="preserve">Relatório com acesso até 3 tabelas ou com leitura de até 1 arquivo externo 
</t>
    </r>
    <r>
      <rPr>
        <b/>
        <sz val="8"/>
        <rFont val="Arial"/>
        <family val="2"/>
      </rPr>
      <t>Lógico:</t>
    </r>
    <r>
      <rPr>
        <sz val="8"/>
        <rFont val="Arial"/>
        <family val="2"/>
      </rPr>
      <t xml:space="preserve"> Ordenação e agrupamento pequeno,não utiliza rotinas externas, com uma única versão que atende todas exigências (regiões).</t>
    </r>
  </si>
  <si>
    <r>
      <rPr>
        <b/>
        <sz val="8"/>
        <rFont val="Arial"/>
        <family val="2"/>
      </rPr>
      <t xml:space="preserve">Dados: </t>
    </r>
    <r>
      <rPr>
        <sz val="8"/>
        <rFont val="Arial"/>
        <family val="2"/>
      </rPr>
      <t xml:space="preserve">Relatório com acesso até 7 tabelas ou com leitura de até 3 arquivo externo 
</t>
    </r>
    <r>
      <rPr>
        <b/>
        <sz val="8"/>
        <rFont val="Arial"/>
        <family val="2"/>
      </rPr>
      <t>Lógico:</t>
    </r>
    <r>
      <rPr>
        <sz val="8"/>
        <rFont val="Arial"/>
        <family val="2"/>
      </rPr>
      <t xml:space="preserve"> Checagem simples de consistência de dados, drill drown, ordenação de calculos moderados,tratamento de campos, pequena variação de regras e chamada de até 2 funções de bibliotecas fora do conjunto nativo do WebCenter Sites.</t>
    </r>
  </si>
  <si>
    <r>
      <rPr>
        <b/>
        <sz val="8"/>
        <rFont val="Arial"/>
        <family val="2"/>
      </rPr>
      <t xml:space="preserve">Dados: </t>
    </r>
    <r>
      <rPr>
        <sz val="8"/>
        <rFont val="Arial"/>
        <family val="2"/>
      </rPr>
      <t xml:space="preserve">Relatório com acesso de 8 ou mais tabelas ou com leitura de 4 ou mais arquivos externos, dados de mais de um modulos 
</t>
    </r>
    <r>
      <rPr>
        <b/>
        <sz val="8"/>
        <rFont val="Arial"/>
        <family val="2"/>
      </rPr>
      <t>Lógico:</t>
    </r>
    <r>
      <rPr>
        <sz val="8"/>
        <rFont val="Arial"/>
        <family val="2"/>
      </rPr>
      <t xml:space="preserve"> Utilização de varias telas,tratamento de campos,grande variação de regras, layout dos relatórios complexos (janelas, texto, fonte etc) e vários drill downs e chamada de 3 ou mais funções de bibliotecas fora do conjunto nativo do WebCenter Sites.</t>
    </r>
  </si>
  <si>
    <r>
      <rPr>
        <b/>
        <sz val="8"/>
        <rFont val="Arial"/>
        <family val="2"/>
      </rPr>
      <t xml:space="preserve">Dados:  </t>
    </r>
    <r>
      <rPr>
        <sz val="8"/>
        <rFont val="Arial"/>
        <family val="2"/>
      </rPr>
      <t xml:space="preserve">Sem manipulação de dados em banco local ou externo.
</t>
    </r>
    <r>
      <rPr>
        <b/>
        <sz val="8"/>
        <rFont val="Arial"/>
        <family val="2"/>
      </rPr>
      <t xml:space="preserve">Lógico: </t>
    </r>
    <r>
      <rPr>
        <sz val="8"/>
        <rFont val="Arial"/>
        <family val="2"/>
      </rPr>
      <t>Poucas alterações na camada visual, apenas consultas sem atualizações de banco, validações simples (Ex: Dígito verificador de CPF) e inclusão/alteração/exclusão de elementos estáticos.</t>
    </r>
  </si>
  <si>
    <r>
      <rPr>
        <b/>
        <sz val="8"/>
        <rFont val="Arial"/>
        <family val="2"/>
      </rPr>
      <t>Dados</t>
    </r>
    <r>
      <rPr>
        <sz val="8"/>
        <rFont val="Arial"/>
        <family val="2"/>
      </rPr>
      <t xml:space="preserve">: Programas com seleção de dados localmente somente
</t>
    </r>
    <r>
      <rPr>
        <b/>
        <sz val="8"/>
        <rFont val="Arial"/>
        <family val="2"/>
      </rPr>
      <t>Lógico:</t>
    </r>
    <r>
      <rPr>
        <sz val="8"/>
        <rFont val="Arial"/>
        <family val="2"/>
      </rPr>
      <t xml:space="preserve"> Efeitos de carregamento e transição de tela (telas existentes), atualização em banco local de metadados.</t>
    </r>
  </si>
  <si>
    <r>
      <rPr>
        <b/>
        <sz val="8"/>
        <rFont val="Arial"/>
        <family val="2"/>
      </rPr>
      <t>Dados:</t>
    </r>
    <r>
      <rPr>
        <sz val="8"/>
        <rFont val="Arial"/>
        <family val="2"/>
      </rPr>
      <t xml:space="preserve"> Programas com seleção de dados locais e de bases externas
</t>
    </r>
    <r>
      <rPr>
        <b/>
        <sz val="8"/>
        <rFont val="Arial"/>
        <family val="2"/>
      </rPr>
      <t>Lógico</t>
    </r>
    <r>
      <rPr>
        <sz val="8"/>
        <rFont val="Arial"/>
        <family val="2"/>
      </rPr>
      <t>: Funcionalidades que demandem inclusão ou alteração de invocação de serviços, necessidade da aplicação funcionar off-line e sincronização de dados off-line, processamentos complexos que precisam ser performáticos e com baixo consumo de bateria.</t>
    </r>
  </si>
  <si>
    <r>
      <rPr>
        <b/>
        <sz val="8"/>
        <rFont val="Arial"/>
        <family val="2"/>
      </rPr>
      <t>Dados:</t>
    </r>
    <r>
      <rPr>
        <sz val="8"/>
        <rFont val="Arial"/>
        <family val="2"/>
      </rPr>
      <t xml:space="preserve">  Sem manipulação de dados em banco local ou externo.
</t>
    </r>
    <r>
      <rPr>
        <b/>
        <sz val="8"/>
        <rFont val="Arial"/>
        <family val="2"/>
      </rPr>
      <t>Lógico:</t>
    </r>
    <r>
      <rPr>
        <sz val="8"/>
        <rFont val="Arial"/>
        <family val="2"/>
      </rPr>
      <t xml:space="preserve"> Tela estática, sem utilização de efeitos de transição.</t>
    </r>
  </si>
  <si>
    <r>
      <rPr>
        <b/>
        <sz val="8"/>
        <rFont val="Arial"/>
        <family val="2"/>
      </rPr>
      <t>Dados</t>
    </r>
    <r>
      <rPr>
        <sz val="8"/>
        <rFont val="Arial"/>
        <family val="2"/>
      </rPr>
      <t xml:space="preserve">: Programas com seleção de dados localmente somente
</t>
    </r>
    <r>
      <rPr>
        <b/>
        <sz val="8"/>
        <rFont val="Arial"/>
        <family val="2"/>
      </rPr>
      <t>Lógico:</t>
    </r>
    <r>
      <rPr>
        <sz val="8"/>
        <rFont val="Arial"/>
        <family val="2"/>
      </rPr>
      <t xml:space="preserve"> Tela com efeitos de carregamento/transição de tela e uso de overlays (sobreposição de telas, modais e menus laterais retráteis). Funcionamento em somente 1 plataforma, funcionamento em somente um layout (landscape OU portrait) e uso de funções do próprio dispositivo mobile (giroscópio, GPS etc).</t>
    </r>
  </si>
  <si>
    <r>
      <rPr>
        <b/>
        <sz val="8"/>
        <rFont val="Arial"/>
        <family val="2"/>
      </rPr>
      <t>Dados:</t>
    </r>
    <r>
      <rPr>
        <sz val="8"/>
        <rFont val="Arial"/>
        <family val="2"/>
      </rPr>
      <t xml:space="preserve"> Programas com seleção de dados locais e de bases externas
</t>
    </r>
    <r>
      <rPr>
        <b/>
        <sz val="8"/>
        <rFont val="Arial"/>
        <family val="2"/>
      </rPr>
      <t>Lógico</t>
    </r>
    <r>
      <rPr>
        <sz val="8"/>
        <rFont val="Arial"/>
        <family val="2"/>
      </rPr>
      <t>: Telas que demandem funcionamento em múltiplas plataformas e adequação de layout para formato landscape E portrait.</t>
    </r>
  </si>
  <si>
    <r>
      <rPr>
        <b/>
        <sz val="8"/>
        <rFont val="Arial"/>
        <family val="2"/>
      </rPr>
      <t>Dados:</t>
    </r>
    <r>
      <rPr>
        <sz val="8"/>
        <rFont val="Arial"/>
        <family val="2"/>
      </rPr>
      <t xml:space="preserve">  Sem manipulação de dados em banco local ou externo.
</t>
    </r>
    <r>
      <rPr>
        <b/>
        <sz val="8"/>
        <rFont val="Arial"/>
        <family val="2"/>
      </rPr>
      <t>Lógico:</t>
    </r>
    <r>
      <rPr>
        <sz val="8"/>
        <rFont val="Arial"/>
        <family val="2"/>
      </rPr>
      <t xml:space="preserve"> Tela estática com i-frame para relatório.</t>
    </r>
  </si>
  <si>
    <r>
      <rPr>
        <b/>
        <sz val="8"/>
        <rFont val="Arial"/>
        <family val="2"/>
      </rPr>
      <t>Dados</t>
    </r>
    <r>
      <rPr>
        <sz val="8"/>
        <rFont val="Arial"/>
        <family val="2"/>
      </rPr>
      <t xml:space="preserve">: Programas com seleção de dados localmente somente
</t>
    </r>
    <r>
      <rPr>
        <b/>
        <sz val="8"/>
        <rFont val="Arial"/>
        <family val="2"/>
      </rPr>
      <t>Lógico:</t>
    </r>
    <r>
      <rPr>
        <sz val="8"/>
        <rFont val="Arial"/>
        <family val="2"/>
      </rPr>
      <t xml:space="preserve"> Relatório que acesse dados da base de metadados local, onde requisito de performance não seja essencial (consome bastante bateria).</t>
    </r>
  </si>
  <si>
    <r>
      <rPr>
        <b/>
        <sz val="8"/>
        <rFont val="Arial"/>
        <family val="2"/>
      </rPr>
      <t>Dados:</t>
    </r>
    <r>
      <rPr>
        <sz val="8"/>
        <rFont val="Arial"/>
        <family val="2"/>
      </rPr>
      <t xml:space="preserve"> Programas com seleção de dados locais e de bases externas
</t>
    </r>
    <r>
      <rPr>
        <b/>
        <sz val="8"/>
        <rFont val="Arial"/>
        <family val="2"/>
      </rPr>
      <t>Lógico</t>
    </r>
    <r>
      <rPr>
        <sz val="8"/>
        <rFont val="Arial"/>
        <family val="2"/>
      </rPr>
      <t>: Relatório que acesse dados da base de metadados local e de serviços ou onde requisito de performance seja essencial ou que tenha uma exibição diferente no formato landscape e portrait.</t>
    </r>
  </si>
  <si>
    <r>
      <rPr>
        <b/>
        <sz val="8"/>
        <rFont val="Arial"/>
        <family val="2"/>
      </rPr>
      <t>Dados:</t>
    </r>
    <r>
      <rPr>
        <sz val="8"/>
        <rFont val="Arial"/>
        <family val="2"/>
      </rPr>
      <t xml:space="preserve"> Sem manupulação de dados
</t>
    </r>
    <r>
      <rPr>
        <b/>
        <sz val="8"/>
        <rFont val="Arial"/>
        <family val="2"/>
      </rPr>
      <t xml:space="preserve">Lógico: </t>
    </r>
    <r>
      <rPr>
        <sz val="8"/>
        <rFont val="Arial"/>
        <family val="2"/>
      </rPr>
      <t>Poucas alterações na camada visual logica e física, apenas consultas sem atualizações de banco,validações simples( Ex: emails,telefone).</t>
    </r>
  </si>
  <si>
    <r>
      <rPr>
        <b/>
        <sz val="8"/>
        <rFont val="Arial"/>
        <family val="2"/>
      </rPr>
      <t>Dados</t>
    </r>
    <r>
      <rPr>
        <sz val="8"/>
        <rFont val="Arial"/>
        <family val="2"/>
      </rPr>
      <t xml:space="preserve">: Programas com seleção de até 5 tabelas com consistência/captura de dados.
</t>
    </r>
    <r>
      <rPr>
        <b/>
        <sz val="8"/>
        <rFont val="Arial"/>
        <family val="2"/>
      </rPr>
      <t xml:space="preserve">Lógico: </t>
    </r>
    <r>
      <rPr>
        <sz val="8"/>
        <rFont val="Arial"/>
        <family val="2"/>
      </rPr>
      <t>Atualização em banco local de metadados (SQL Server), alteração em invocação de serviço e alterações na camada visual  (alterações em telas existentes), regras de negócio/validações significativas( Ex: cliente existe), invocação de até 2 funções de bibliotecas fora do conjunto nativo do Sharepoint.</t>
    </r>
  </si>
  <si>
    <r>
      <rPr>
        <b/>
        <sz val="8"/>
        <rFont val="Arial"/>
        <family val="2"/>
      </rPr>
      <t>Dados:</t>
    </r>
    <r>
      <rPr>
        <sz val="8"/>
        <rFont val="Arial"/>
        <family val="2"/>
      </rPr>
      <t xml:space="preserve"> Programas com seleção de mais do que 5 tabelas com consistência/captura de dados, 
</t>
    </r>
    <r>
      <rPr>
        <b/>
        <sz val="8"/>
        <rFont val="Arial"/>
        <family val="2"/>
      </rPr>
      <t>Lógico</t>
    </r>
    <r>
      <rPr>
        <sz val="8"/>
        <rFont val="Arial"/>
        <family val="2"/>
      </rPr>
      <t>: Grande número de alterações na camada visual (novas telas), validações complexas(Ex: credito do cliente) , invocação de 3 ou mais funções de bibliotecas fora do conjunto nativo do Sharepoint., inclusão de invocação de serviço.</t>
    </r>
  </si>
  <si>
    <r>
      <rPr>
        <b/>
        <sz val="8"/>
        <rFont val="Arial"/>
        <family val="2"/>
      </rPr>
      <t xml:space="preserve">Dados:  </t>
    </r>
    <r>
      <rPr>
        <sz val="8"/>
        <rFont val="Arial"/>
        <family val="2"/>
      </rPr>
      <t xml:space="preserve">Leitura e manutenção de mais do que 5 tabelas
</t>
    </r>
    <r>
      <rPr>
        <b/>
        <sz val="8"/>
        <rFont val="Arial"/>
        <family val="2"/>
      </rPr>
      <t>Lógico:</t>
    </r>
    <r>
      <rPr>
        <sz val="8"/>
        <rFont val="Arial"/>
        <family val="2"/>
      </rPr>
      <t xml:space="preserve"> Atualizações com tela inicial e subtelas(menu),validações que exija a invocação de mais de um serviço (Ex: credito do cliente) , drill drown, mais de 1 transação ou 4 telas, chamada de rotina externa (funções de bibliotecas fora do conjunto nativo do Sharepoint), utilização de um componente complexo em mais de 1 tela (table-control,paginação)</t>
    </r>
  </si>
  <si>
    <r>
      <rPr>
        <b/>
        <sz val="8"/>
        <rFont val="Arial"/>
        <family val="2"/>
      </rPr>
      <t xml:space="preserve">Dados: </t>
    </r>
    <r>
      <rPr>
        <sz val="8"/>
        <rFont val="Arial"/>
        <family val="2"/>
      </rPr>
      <t xml:space="preserve">Relatório com acesso até 7 tabelas ou com leitura de até 3 arquivo externo 
</t>
    </r>
    <r>
      <rPr>
        <b/>
        <sz val="8"/>
        <rFont val="Arial"/>
        <family val="2"/>
      </rPr>
      <t>Lógico:</t>
    </r>
    <r>
      <rPr>
        <sz val="8"/>
        <rFont val="Arial"/>
        <family val="2"/>
      </rPr>
      <t xml:space="preserve"> Checagem simples de consistência de dados, drill drown, ordenação de calculos moderados,tratamento de campos, pequena variação de regras e chamada de até 2 funções de bibliotecas fora do conjunto nativo do Sharepoint.</t>
    </r>
  </si>
  <si>
    <r>
      <rPr>
        <b/>
        <sz val="8"/>
        <rFont val="Arial"/>
        <family val="2"/>
      </rPr>
      <t xml:space="preserve">Dados: </t>
    </r>
    <r>
      <rPr>
        <sz val="8"/>
        <rFont val="Arial"/>
        <family val="2"/>
      </rPr>
      <t xml:space="preserve">Relatório com acesso de 8 ou mais tabelas ou com leitura de 4 ou mais arquivos externos, dados de mais de um modulos 
</t>
    </r>
    <r>
      <rPr>
        <b/>
        <sz val="8"/>
        <rFont val="Arial"/>
        <family val="2"/>
      </rPr>
      <t>Lógico:</t>
    </r>
    <r>
      <rPr>
        <sz val="8"/>
        <rFont val="Arial"/>
        <family val="2"/>
      </rPr>
      <t xml:space="preserve"> Utilização de varias telas,tratamento de campos,grande variação de regras, layout dos relatórios complexos (janelas, texto, fonte etc) e vários drill downs e chamada de 3 ou mais funções de bibliotecas fora do conjunto nativo do Sharepoint.</t>
    </r>
  </si>
  <si>
    <t>Briefing_Req</t>
  </si>
  <si>
    <t>Estimativa Funcionalidades</t>
  </si>
  <si>
    <t>Alteração de Requerimento após P0?</t>
  </si>
  <si>
    <t>Núcleo</t>
  </si>
  <si>
    <t>Criação</t>
  </si>
  <si>
    <t>2- Configuração de Pacote</t>
  </si>
  <si>
    <t>Alteração</t>
  </si>
  <si>
    <t>Não atende</t>
  </si>
  <si>
    <t>Captação</t>
  </si>
  <si>
    <t>Atendimento Pós Venda</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</si>
</sst>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41" formatCode="_-* #,##0_-;\-* #,##0_-;_-* &quot;-&quot;_-;_-@_-"/>
    <numFmt numFmtId="44" formatCode="_-&quot;R$&quot;\ * #,##0.00_-;\-&quot;R$&quot;\ * #,##0.00_-;_-&quot;R$&quot;\ * &quot;-&quot;??_-;_-@_-"/>
    <numFmt numFmtId="43" formatCode="_-* #,##0.00_-;\-* #,##0.00_-;_-* &quot;-&quot;??_-;_-@_-"/>
    <numFmt numFmtId="164" formatCode="_(&quot;R$ &quot;* #,##0.00_);_(&quot;R$ &quot;* \(#,##0.00\);_(&quot;R$ &quot;* &quot;-&quot;??_);_(@_)"/>
    <numFmt numFmtId="165" formatCode="_(* #,##0.00_);_(* \(#,##0.00\);_(* &quot;-&quot;??_);_(@_)"/>
    <numFmt numFmtId="166" formatCode="_([$€-2]* #,##0.00_);_([$€-2]* \(#,##0.00\);_([$€-2]* &quot;-&quot;??_)"/>
    <numFmt numFmtId="167" formatCode="&quot;R$ &quot;#,##0_);[Red]\(&quot;R$ &quot;#,##0\)"/>
    <numFmt numFmtId="168" formatCode="&quot;R$ &quot;#,##0.00_);[Red]\(&quot;R$ &quot;#,##0.00\)"/>
    <numFmt numFmtId="169" formatCode="&quot;R$ &quot;#,##0.0,_);[Red]\(&quot;R$ &quot;#,##0.0,\)"/>
    <numFmt numFmtId="170" formatCode="_-&quot;£&quot;* #,##0_-;\-&quot;£&quot;* #,##0_-;_-&quot;£&quot;* &quot;-&quot;_-;_-@_-"/>
    <numFmt numFmtId="171" formatCode="#,##0,_);[Red]\(#,##0,\)"/>
    <numFmt numFmtId="172" formatCode="#,##0,_);\(#,##0,\)"/>
    <numFmt numFmtId="173" formatCode="#,##0.0_);[Red]\(#,##0.0\)"/>
    <numFmt numFmtId="174" formatCode="_(&quot;R$ &quot;* #,##0.0_);_(&quot;R$ &quot;* \(#,##0.0\);_(&quot;R$ &quot;* &quot;-&quot;??_);_(@_)"/>
  </numFmts>
  <fonts count="95">
    <font>
      <sz val="10"/>
      <color theme="1"/>
      <name val="Verdana"/>
      <family val="2"/>
    </font>
    <font>
      <b/>
      <sz val="10"/>
      <color theme="1"/>
      <name val="Verdana"/>
      <family val="2"/>
    </font>
    <font>
      <b/>
      <sz val="14"/>
      <color theme="0"/>
      <name val="Verdana"/>
      <family val="2"/>
    </font>
    <font>
      <b/>
      <sz val="16"/>
      <color theme="0"/>
      <name val="Verdana"/>
      <family val="2"/>
    </font>
    <font>
      <b/>
      <sz val="12"/>
      <color theme="0"/>
      <name val="Verdana"/>
      <family val="2"/>
    </font>
    <font>
      <sz val="10"/>
      <name val="Tahoma"/>
      <family val="2"/>
    </font>
    <font>
      <sz val="10"/>
      <name val="Arial"/>
      <family val="2"/>
    </font>
    <font>
      <u/>
      <sz val="10"/>
      <color indexed="12"/>
      <name val="Arial"/>
      <family val="2"/>
    </font>
    <font>
      <sz val="11"/>
      <color theme="1"/>
      <name val="Calibri"/>
      <family val="2"/>
      <scheme val="minor"/>
    </font>
    <font>
      <b/>
      <sz val="11"/>
      <color theme="3"/>
      <name val="Calibri"/>
      <family val="2"/>
      <scheme val="minor"/>
    </font>
    <font>
      <sz val="10"/>
      <name val="Verdana"/>
      <family val="2"/>
    </font>
    <font>
      <sz val="12"/>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sz val="9"/>
      <color indexed="10"/>
      <name val="Geneva"/>
    </font>
    <font>
      <b/>
      <sz val="11"/>
      <color indexed="9"/>
      <name val="Calibri"/>
      <family val="2"/>
    </font>
    <font>
      <sz val="8"/>
      <color indexed="8"/>
      <name val="tahoma"/>
      <family val="2"/>
    </font>
    <font>
      <b/>
      <sz val="10"/>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8"/>
      <name val="Arial"/>
      <family val="2"/>
    </font>
    <font>
      <sz val="11"/>
      <color indexed="52"/>
      <name val="Calibri"/>
      <family val="2"/>
    </font>
    <font>
      <sz val="11"/>
      <color indexed="60"/>
      <name val="Calibri"/>
      <family val="2"/>
    </font>
    <font>
      <sz val="8"/>
      <color theme="1"/>
      <name val="tahoma"/>
      <family val="2"/>
    </font>
    <font>
      <sz val="10"/>
      <name val="Trebuchet MS"/>
      <family val="2"/>
    </font>
    <font>
      <b/>
      <sz val="11"/>
      <color indexed="63"/>
      <name val="Calibri"/>
      <family val="2"/>
    </font>
    <font>
      <sz val="10"/>
      <name val="MS Sans Serif"/>
      <family val="2"/>
    </font>
    <font>
      <b/>
      <sz val="10"/>
      <name val="MS Sans Serif"/>
      <family val="2"/>
    </font>
    <font>
      <b/>
      <sz val="18"/>
      <color indexed="56"/>
      <name val="Cambria"/>
      <family val="2"/>
    </font>
    <font>
      <sz val="11"/>
      <color indexed="10"/>
      <name val="Calibri"/>
      <family val="2"/>
    </font>
    <font>
      <sz val="10"/>
      <color theme="0" tint="-0.14999847407452621"/>
      <name val="Verdana"/>
      <family val="2"/>
    </font>
    <font>
      <sz val="11"/>
      <color theme="0" tint="-0.14999847407452621"/>
      <name val="Calibri"/>
      <family val="2"/>
      <scheme val="minor"/>
    </font>
    <font>
      <sz val="9"/>
      <color theme="0" tint="-0.14999847407452621"/>
      <name val="Verdana"/>
      <family val="2"/>
    </font>
    <font>
      <sz val="10"/>
      <name val="Arial"/>
      <family val="2"/>
    </font>
    <font>
      <sz val="10"/>
      <name val="Times New Roman"/>
      <family val="1"/>
    </font>
    <font>
      <sz val="11"/>
      <name val="Book Antiqua"/>
      <family val="1"/>
    </font>
    <font>
      <sz val="10"/>
      <color indexed="12"/>
      <name val="Times New Roman"/>
      <family val="1"/>
    </font>
    <font>
      <sz val="10"/>
      <color indexed="11"/>
      <name val="Times New Roman"/>
      <family val="1"/>
    </font>
    <font>
      <sz val="10"/>
      <color indexed="10"/>
      <name val="Times New Roman"/>
      <family val="1"/>
    </font>
    <font>
      <sz val="11"/>
      <name val="Times New Roman"/>
      <family val="1"/>
    </font>
    <font>
      <sz val="10"/>
      <name val="Tms Rmn"/>
    </font>
    <font>
      <sz val="10"/>
      <name val="Arial MT"/>
    </font>
    <font>
      <sz val="8"/>
      <color indexed="10"/>
      <name val="Arial Narrow"/>
      <family val="2"/>
    </font>
    <font>
      <b/>
      <sz val="9"/>
      <color theme="1"/>
      <name val="Verdana"/>
      <family val="2"/>
    </font>
    <font>
      <sz val="9"/>
      <color theme="1"/>
      <name val="Verdana"/>
      <family val="2"/>
    </font>
    <font>
      <sz val="9"/>
      <name val="Verdana"/>
      <family val="2"/>
    </font>
    <font>
      <b/>
      <sz val="8"/>
      <color theme="1"/>
      <name val="Verdana"/>
      <family val="2"/>
    </font>
    <font>
      <sz val="8"/>
      <color theme="1"/>
      <name val="Verdana"/>
      <family val="2"/>
    </font>
    <font>
      <sz val="10"/>
      <color theme="3"/>
      <name val="Verdana"/>
      <family val="2"/>
    </font>
    <font>
      <sz val="9"/>
      <color theme="3"/>
      <name val="Verdana"/>
      <family val="2"/>
    </font>
    <font>
      <b/>
      <sz val="9"/>
      <color theme="3"/>
      <name val="Verdana"/>
      <family val="2"/>
    </font>
    <font>
      <sz val="11"/>
      <name val="Calibri"/>
      <family val="2"/>
      <scheme val="minor"/>
    </font>
    <font>
      <b/>
      <sz val="9"/>
      <name val="Verdana"/>
      <family val="2"/>
    </font>
    <font>
      <b/>
      <sz val="10"/>
      <name val="Verdana"/>
      <family val="2"/>
    </font>
    <font>
      <b/>
      <sz val="10"/>
      <color theme="0"/>
      <name val="Verdana"/>
      <family val="2"/>
    </font>
    <font>
      <sz val="8"/>
      <color theme="0" tint="-0.249977111117893"/>
      <name val="Verdana"/>
      <family val="2"/>
    </font>
    <font>
      <sz val="9"/>
      <color theme="0" tint="-4.9989318521683403E-2"/>
      <name val="Verdana"/>
      <family val="2"/>
    </font>
    <font>
      <sz val="10"/>
      <color theme="0" tint="-0.34998626667073579"/>
      <name val="Verdana"/>
      <family val="2"/>
    </font>
    <font>
      <b/>
      <sz val="11"/>
      <color theme="1"/>
      <name val="Calibri"/>
      <family val="2"/>
      <scheme val="minor"/>
    </font>
    <font>
      <sz val="10"/>
      <name val="Calibri"/>
      <family val="2"/>
      <scheme val="minor"/>
    </font>
    <font>
      <sz val="9"/>
      <color indexed="81"/>
      <name val="Tahoma"/>
      <family val="2"/>
    </font>
    <font>
      <b/>
      <sz val="9"/>
      <color indexed="81"/>
      <name val="Tahoma"/>
      <family val="2"/>
    </font>
    <font>
      <b/>
      <sz val="8"/>
      <color theme="4" tint="-0.249977111117893"/>
      <name val="Verdana"/>
      <family val="2"/>
    </font>
    <font>
      <b/>
      <sz val="11"/>
      <color theme="0"/>
      <name val="Arial"/>
      <family val="2"/>
    </font>
    <font>
      <b/>
      <sz val="8"/>
      <name val="Arial"/>
      <family val="2"/>
    </font>
    <font>
      <b/>
      <sz val="7"/>
      <color theme="1"/>
      <name val="Verdana"/>
      <family val="2"/>
    </font>
    <font>
      <i/>
      <sz val="7"/>
      <color theme="1"/>
      <name val="Verdana"/>
      <family val="2"/>
    </font>
    <font>
      <sz val="10"/>
      <color theme="1"/>
      <name val="Verdana"/>
      <family val="2"/>
    </font>
    <font>
      <sz val="8"/>
      <color theme="0" tint="-0.34998626667073579"/>
      <name val="Verdana"/>
      <family val="2"/>
    </font>
    <font>
      <sz val="8"/>
      <color theme="1"/>
      <name val="Calibri"/>
      <family val="2"/>
      <scheme val="minor"/>
    </font>
    <font>
      <b/>
      <sz val="10"/>
      <color theme="1" tint="0.249977111117893"/>
      <name val="Verdana"/>
      <family val="2"/>
    </font>
    <font>
      <b/>
      <sz val="11"/>
      <color theme="1" tint="0.249977111117893"/>
      <name val="Verdana"/>
      <family val="2"/>
    </font>
    <font>
      <sz val="11"/>
      <color theme="0" tint="-0.34998626667073579"/>
      <name val="Verdana"/>
      <family val="2"/>
    </font>
    <font>
      <sz val="8"/>
      <color theme="1"/>
      <name val="Arial"/>
      <family val="2"/>
    </font>
    <font>
      <b/>
      <sz val="8"/>
      <color theme="1"/>
      <name val="Arial"/>
      <family val="2"/>
    </font>
    <font>
      <b/>
      <sz val="12"/>
      <color rgb="FFFF0000"/>
      <name val="Verdana"/>
      <family val="2"/>
    </font>
    <font>
      <b/>
      <sz val="12"/>
      <color theme="1" tint="0.249977111117893"/>
      <name val="Verdana"/>
      <family val="2"/>
    </font>
    <font>
      <b/>
      <sz val="14"/>
      <color theme="1" tint="0.249977111117893"/>
      <name val="Verdana"/>
      <family val="2"/>
    </font>
    <font>
      <sz val="10"/>
      <color theme="1" tint="0.249977111117893"/>
      <name val="Verdana"/>
      <family val="2"/>
    </font>
    <font>
      <b/>
      <sz val="22"/>
      <color theme="0" tint="-4.9989318521683403E-2"/>
      <name val="Verdana"/>
      <family val="2"/>
    </font>
    <font>
      <sz val="10"/>
      <color rgb="FFFF0000"/>
      <name val="Verdana"/>
      <family val="2"/>
    </font>
    <font>
      <b/>
      <sz val="11"/>
      <color theme="1"/>
      <name val="Verdana"/>
      <family val="2"/>
    </font>
    <font>
      <sz val="8"/>
      <color theme="1" tint="0.34998626667073579"/>
      <name val="Verdana"/>
      <family val="2"/>
    </font>
    <font>
      <sz val="7"/>
      <color theme="1" tint="0.34998626667073579"/>
      <name val="Verdana"/>
      <family val="2"/>
    </font>
    <font>
      <b/>
      <sz val="9"/>
      <color theme="1" tint="0.249977111117893"/>
      <name val="Verdana"/>
      <family val="2"/>
    </font>
    <font>
      <u/>
      <sz val="8"/>
      <color theme="1" tint="0.34998626667073579"/>
      <name val="Verdana"/>
      <family val="2"/>
    </font>
    <font>
      <b/>
      <sz val="8"/>
      <color theme="1" tint="0.34998626667073579"/>
      <name val="Verdana"/>
      <family val="2"/>
    </font>
    <font>
      <sz val="9"/>
      <color theme="0" tint="-0.499984740745262"/>
      <name val="Verdana"/>
      <family val="2"/>
    </font>
    <font>
      <sz val="11"/>
      <name val="Verdana"/>
      <family val="2"/>
    </font>
  </fonts>
  <fills count="41">
    <fill>
      <patternFill patternType="none"/>
    </fill>
    <fill>
      <patternFill patternType="gray125"/>
    </fill>
    <fill>
      <patternFill patternType="solid">
        <fgColor rgb="FFAEBDC6"/>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7"/>
        <bgColor indexed="64"/>
      </patternFill>
    </fill>
    <fill>
      <patternFill patternType="solid">
        <fgColor indexed="43"/>
      </patternFill>
    </fill>
    <fill>
      <patternFill patternType="solid">
        <fgColor indexed="26"/>
      </patternFill>
    </fill>
    <fill>
      <patternFill patternType="mediumGray">
        <fgColor indexed="22"/>
      </patternFill>
    </fill>
    <fill>
      <patternFill patternType="solid">
        <fgColor rgb="FF7D96A4"/>
        <bgColor indexed="64"/>
      </patternFill>
    </fill>
    <fill>
      <patternFill patternType="solid">
        <fgColor theme="0" tint="-0.14999847407452621"/>
        <bgColor indexed="64"/>
      </patternFill>
    </fill>
    <fill>
      <patternFill patternType="solid">
        <fgColor indexed="9"/>
        <bgColor indexed="64"/>
      </patternFill>
    </fill>
    <fill>
      <patternFill patternType="solid">
        <fgColor rgb="FFFFC000"/>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9" tint="-0.249977111117893"/>
        <bgColor indexed="64"/>
      </patternFill>
    </fill>
    <fill>
      <patternFill patternType="solid">
        <fgColor rgb="FFFFFF66"/>
        <bgColor indexed="64"/>
      </patternFill>
    </fill>
    <fill>
      <patternFill patternType="solid">
        <fgColor rgb="FFFFFFCC"/>
        <bgColor indexed="64"/>
      </patternFill>
    </fill>
    <fill>
      <patternFill patternType="solid">
        <fgColor rgb="FFCCECFF"/>
        <bgColor indexed="64"/>
      </patternFill>
    </fill>
  </fills>
  <borders count="45">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theme="0"/>
      </bottom>
      <diagonal/>
    </border>
    <border>
      <left/>
      <right/>
      <top/>
      <bottom style="medium">
        <color theme="4"/>
      </bottom>
      <diagonal/>
    </border>
    <border>
      <left/>
      <right style="medium">
        <color theme="4"/>
      </right>
      <top style="medium">
        <color theme="4"/>
      </top>
      <bottom/>
      <diagonal/>
    </border>
    <border>
      <left/>
      <right style="medium">
        <color theme="4"/>
      </right>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
      <left/>
      <right/>
      <top style="thin">
        <color indexed="64"/>
      </top>
      <bottom style="thin">
        <color indexed="64"/>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diagonal/>
    </border>
    <border>
      <left style="thin">
        <color theme="0" tint="-4.9989318521683403E-2"/>
      </left>
      <right style="thin">
        <color theme="0" tint="-4.9989318521683403E-2"/>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14">
    <xf numFmtId="0" fontId="0" fillId="0" borderId="0"/>
    <xf numFmtId="0" fontId="5" fillId="0" borderId="0"/>
    <xf numFmtId="0" fontId="6" fillId="0" borderId="0"/>
    <xf numFmtId="0" fontId="7" fillId="0" borderId="0" applyNumberFormat="0" applyFill="0" applyBorder="0" applyAlignment="0" applyProtection="0">
      <alignment vertical="top"/>
      <protection locked="0"/>
    </xf>
    <xf numFmtId="164"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165" fontId="6" fillId="0" borderId="0" applyFont="0" applyFill="0" applyBorder="0" applyAlignment="0" applyProtection="0"/>
    <xf numFmtId="0" fontId="8" fillId="0" borderId="0"/>
    <xf numFmtId="0" fontId="9" fillId="0" borderId="1" applyNumberFormat="0" applyFill="0" applyAlignment="0" applyProtection="0"/>
    <xf numFmtId="0" fontId="6" fillId="0" borderId="0"/>
    <xf numFmtId="9" fontId="8" fillId="0" borderId="0" applyFont="0" applyFill="0" applyBorder="0" applyAlignment="0" applyProtection="0"/>
    <xf numFmtId="164" fontId="8" fillId="0" borderId="0" applyFont="0" applyFill="0" applyBorder="0" applyAlignment="0" applyProtection="0"/>
    <xf numFmtId="0" fontId="6" fillId="0" borderId="0"/>
    <xf numFmtId="0" fontId="11" fillId="0" borderId="0" applyNumberFormat="0" applyFill="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7"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21" borderId="0" applyNumberFormat="0" applyBorder="0" applyAlignment="0" applyProtection="0"/>
    <xf numFmtId="0" fontId="6" fillId="0" borderId="0" applyNumberFormat="0" applyFont="0" applyFill="0" applyBorder="0" applyAlignment="0">
      <protection locked="0"/>
    </xf>
    <xf numFmtId="0" fontId="14" fillId="5" borderId="0" applyNumberFormat="0" applyBorder="0" applyAlignment="0" applyProtection="0"/>
    <xf numFmtId="0" fontId="6" fillId="10" borderId="0" applyNumberFormat="0" applyBorder="0" applyAlignment="0">
      <protection locked="0"/>
    </xf>
    <xf numFmtId="0" fontId="15" fillId="22" borderId="3" applyNumberFormat="0" applyAlignment="0" applyProtection="0"/>
    <xf numFmtId="0" fontId="16" fillId="0" borderId="0"/>
    <xf numFmtId="0" fontId="17" fillId="23" borderId="4" applyNumberFormat="0" applyAlignment="0" applyProtection="0"/>
    <xf numFmtId="43" fontId="18" fillId="0" borderId="0" applyFont="0" applyFill="0" applyBorder="0" applyAlignment="0" applyProtection="0"/>
    <xf numFmtId="43" fontId="6" fillId="0" borderId="0" applyFont="0" applyFill="0" applyBorder="0" applyAlignment="0" applyProtection="0"/>
    <xf numFmtId="44" fontId="18" fillId="0" borderId="0" applyFont="0" applyFill="0" applyBorder="0" applyAlignment="0" applyProtection="0"/>
    <xf numFmtId="164" fontId="6" fillId="0" borderId="0" applyFont="0" applyFill="0" applyBorder="0" applyAlignment="0" applyProtection="0"/>
    <xf numFmtId="0" fontId="19" fillId="24" borderId="2"/>
    <xf numFmtId="166" fontId="10" fillId="0" borderId="0" applyFont="0" applyFill="0" applyBorder="0" applyAlignment="0" applyProtection="0"/>
    <xf numFmtId="0" fontId="20" fillId="0" borderId="0" applyNumberFormat="0" applyFill="0" applyBorder="0" applyAlignment="0" applyProtection="0"/>
    <xf numFmtId="0" fontId="21" fillId="6" borderId="0" applyNumberFormat="0" applyBorder="0" applyAlignment="0" applyProtection="0"/>
    <xf numFmtId="0" fontId="22" fillId="0" borderId="5" applyNumberFormat="0" applyFill="0" applyAlignment="0" applyProtection="0"/>
    <xf numFmtId="0" fontId="23" fillId="0" borderId="6" applyNumberFormat="0" applyFill="0" applyAlignment="0" applyProtection="0"/>
    <xf numFmtId="0" fontId="24" fillId="0" borderId="7" applyNumberFormat="0" applyFill="0" applyAlignment="0" applyProtection="0"/>
    <xf numFmtId="0" fontId="24" fillId="0" borderId="0" applyNumberFormat="0" applyFill="0" applyBorder="0" applyAlignment="0" applyProtection="0"/>
    <xf numFmtId="0" fontId="25" fillId="9" borderId="3" applyNumberFormat="0" applyAlignment="0" applyProtection="0"/>
    <xf numFmtId="49" fontId="26" fillId="0" borderId="2">
      <alignment horizontal="left" vertical="center" wrapText="1"/>
      <protection locked="0"/>
    </xf>
    <xf numFmtId="0" fontId="27" fillId="0" borderId="8" applyNumberFormat="0" applyFill="0" applyAlignment="0" applyProtection="0"/>
    <xf numFmtId="0" fontId="28" fillId="25" borderId="0" applyNumberFormat="0" applyBorder="0" applyAlignment="0" applyProtection="0"/>
    <xf numFmtId="0" fontId="8" fillId="0" borderId="0"/>
    <xf numFmtId="0" fontId="12" fillId="0" borderId="0"/>
    <xf numFmtId="0" fontId="10" fillId="0" borderId="0" applyNumberFormat="0" applyFill="0" applyBorder="0" applyAlignment="0" applyProtection="0"/>
    <xf numFmtId="0" fontId="29" fillId="0" borderId="0"/>
    <xf numFmtId="0" fontId="30" fillId="26" borderId="9" applyNumberFormat="0" applyFont="0" applyAlignment="0" applyProtection="0"/>
    <xf numFmtId="0" fontId="31" fillId="22" borderId="10" applyNumberFormat="0" applyAlignment="0" applyProtection="0"/>
    <xf numFmtId="9" fontId="18" fillId="0" borderId="0" applyFont="0" applyFill="0" applyBorder="0" applyAlignment="0" applyProtection="0"/>
    <xf numFmtId="9" fontId="6" fillId="0" borderId="0" applyFont="0" applyFill="0" applyBorder="0" applyAlignment="0" applyProtection="0"/>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33" fillId="0" borderId="11">
      <alignment horizontal="center"/>
    </xf>
    <xf numFmtId="3" fontId="32" fillId="0" borderId="0" applyFont="0" applyFill="0" applyBorder="0" applyAlignment="0" applyProtection="0"/>
    <xf numFmtId="0" fontId="32" fillId="27" borderId="0" applyNumberFormat="0" applyFont="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0" fillId="0" borderId="0" applyFon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9" fillId="0" borderId="0"/>
    <xf numFmtId="169" fontId="40" fillId="0" borderId="0" applyFont="0" applyFill="0" applyBorder="0" applyAlignment="0" applyProtection="0">
      <protection locked="0"/>
    </xf>
    <xf numFmtId="0" fontId="41" fillId="0" borderId="0" applyFont="0" applyFill="0" applyBorder="0" applyAlignment="0" applyProtection="0"/>
    <xf numFmtId="170" fontId="41" fillId="0" borderId="0" applyFont="0" applyFill="0" applyBorder="0" applyAlignment="0" applyProtection="0"/>
    <xf numFmtId="0" fontId="41" fillId="0" borderId="0"/>
    <xf numFmtId="171" fontId="40" fillId="0" borderId="0" applyFont="0" applyFill="0" applyBorder="0" applyAlignment="0" applyProtection="0">
      <protection locked="0"/>
    </xf>
    <xf numFmtId="38" fontId="42" fillId="0" borderId="0" applyNumberFormat="0" applyFill="0" applyBorder="0" applyAlignment="0" applyProtection="0">
      <protection locked="0"/>
    </xf>
    <xf numFmtId="38" fontId="43" fillId="0" borderId="0" applyNumberFormat="0" applyFill="0" applyBorder="0" applyAlignment="0" applyProtection="0">
      <protection locked="0"/>
    </xf>
    <xf numFmtId="38" fontId="44" fillId="0" borderId="0" applyNumberFormat="0" applyFill="0" applyBorder="0" applyAlignment="0" applyProtection="0">
      <protection locked="0"/>
    </xf>
    <xf numFmtId="172" fontId="45" fillId="0" borderId="0"/>
    <xf numFmtId="172" fontId="45" fillId="0" borderId="0"/>
    <xf numFmtId="172" fontId="45" fillId="0" borderId="0"/>
    <xf numFmtId="172" fontId="45" fillId="0" borderId="0"/>
    <xf numFmtId="172" fontId="45" fillId="0" borderId="0"/>
    <xf numFmtId="172" fontId="45" fillId="0" borderId="0"/>
    <xf numFmtId="172" fontId="45" fillId="0" borderId="0"/>
    <xf numFmtId="172" fontId="45" fillId="0" borderId="0"/>
    <xf numFmtId="173" fontId="40" fillId="0" borderId="0" applyFont="0" applyFill="0" applyBorder="0" applyAlignment="0" applyProtection="0">
      <protection locked="0"/>
    </xf>
    <xf numFmtId="40" fontId="40" fillId="0" borderId="0" applyFont="0" applyFill="0" applyBorder="0" applyAlignment="0" applyProtection="0">
      <protection locked="0"/>
    </xf>
    <xf numFmtId="167" fontId="40" fillId="0" borderId="0" applyFont="0" applyFill="0" applyBorder="0" applyAlignment="0" applyProtection="0">
      <protection locked="0"/>
    </xf>
    <xf numFmtId="168" fontId="40" fillId="0" borderId="0" applyFont="0" applyFill="0" applyBorder="0" applyAlignment="0" applyProtection="0">
      <protection locked="0"/>
    </xf>
    <xf numFmtId="166" fontId="39" fillId="0" borderId="0" applyFont="0" applyFill="0" applyBorder="0" applyAlignment="0" applyProtection="0"/>
    <xf numFmtId="174" fontId="46" fillId="0" borderId="0"/>
    <xf numFmtId="43" fontId="41" fillId="0" borderId="0" applyFont="0" applyFill="0" applyBorder="0" applyAlignment="0" applyProtection="0"/>
    <xf numFmtId="41" fontId="41" fillId="0" borderId="0" applyFont="0" applyFill="0" applyBorder="0" applyAlignment="0" applyProtection="0"/>
    <xf numFmtId="0" fontId="40" fillId="0" borderId="0" applyFont="0" applyFill="0" applyBorder="0" applyAlignment="0" applyProtection="0">
      <protection locked="0"/>
    </xf>
    <xf numFmtId="10" fontId="40" fillId="0" borderId="0" applyFont="0" applyFill="0" applyBorder="0" applyAlignment="0" applyProtection="0">
      <protection locked="0"/>
    </xf>
    <xf numFmtId="10" fontId="47" fillId="30" borderId="0"/>
    <xf numFmtId="0" fontId="48" fillId="0" borderId="0">
      <alignment vertical="top"/>
    </xf>
    <xf numFmtId="0" fontId="73" fillId="0" borderId="0"/>
  </cellStyleXfs>
  <cellXfs count="206">
    <xf numFmtId="0" fontId="0" fillId="0" borderId="0" xfId="0"/>
    <xf numFmtId="0" fontId="2" fillId="28" borderId="0" xfId="0" applyFont="1" applyFill="1" applyAlignment="1">
      <alignment vertical="center"/>
    </xf>
    <xf numFmtId="0" fontId="2" fillId="28" borderId="0" xfId="0" applyFont="1" applyFill="1" applyAlignment="1">
      <alignment horizontal="left" vertical="center"/>
    </xf>
    <xf numFmtId="0" fontId="0" fillId="28" borderId="0" xfId="0" applyFill="1"/>
    <xf numFmtId="0" fontId="3" fillId="28" borderId="0" xfId="0" applyFont="1" applyFill="1" applyAlignment="1">
      <alignment vertical="center"/>
    </xf>
    <xf numFmtId="0" fontId="4" fillId="28" borderId="0" xfId="0" applyFont="1" applyFill="1" applyAlignment="1">
      <alignment vertical="center"/>
    </xf>
    <xf numFmtId="0" fontId="0" fillId="29" borderId="0" xfId="0" applyFill="1"/>
    <xf numFmtId="0" fontId="0" fillId="29" borderId="0" xfId="0" applyFill="1" applyAlignment="1">
      <alignment horizontal="center"/>
    </xf>
    <xf numFmtId="0" fontId="0" fillId="28" borderId="0" xfId="0" applyFill="1" applyAlignment="1"/>
    <xf numFmtId="0" fontId="0" fillId="28" borderId="14" xfId="0" applyFill="1" applyBorder="1" applyAlignment="1"/>
    <xf numFmtId="0" fontId="2" fillId="28" borderId="0" xfId="0" applyFont="1" applyFill="1" applyAlignment="1">
      <alignment horizontal="center" vertical="center"/>
    </xf>
    <xf numFmtId="0" fontId="3" fillId="28" borderId="0" xfId="0" applyFont="1" applyFill="1" applyAlignment="1">
      <alignment horizontal="center" vertical="center"/>
    </xf>
    <xf numFmtId="0" fontId="4" fillId="28" borderId="0" xfId="0" applyFont="1" applyFill="1" applyAlignment="1">
      <alignment horizontal="center" vertical="center"/>
    </xf>
    <xf numFmtId="0" fontId="0" fillId="28" borderId="0" xfId="0" applyFill="1" applyAlignment="1">
      <alignment wrapText="1"/>
    </xf>
    <xf numFmtId="0" fontId="0" fillId="29" borderId="0" xfId="0" applyFill="1" applyAlignment="1">
      <alignment wrapText="1"/>
    </xf>
    <xf numFmtId="0" fontId="49" fillId="31" borderId="13" xfId="0" applyFont="1" applyFill="1" applyBorder="1" applyAlignment="1">
      <alignment horizontal="center" vertical="center" wrapText="1"/>
    </xf>
    <xf numFmtId="0" fontId="49" fillId="29" borderId="0" xfId="0" applyFont="1" applyFill="1" applyAlignment="1">
      <alignment horizontal="left" vertical="center"/>
    </xf>
    <xf numFmtId="0" fontId="50" fillId="29" borderId="0" xfId="0" applyFont="1" applyFill="1" applyAlignment="1">
      <alignment horizontal="left" vertical="top"/>
    </xf>
    <xf numFmtId="0" fontId="38" fillId="29" borderId="0" xfId="0" applyFont="1" applyFill="1" applyAlignment="1">
      <alignment horizontal="left" vertical="top"/>
    </xf>
    <xf numFmtId="0" fontId="51" fillId="0" borderId="0" xfId="0" applyFont="1" applyFill="1" applyAlignment="1">
      <alignment horizontal="left" vertical="top"/>
    </xf>
    <xf numFmtId="0" fontId="53" fillId="0" borderId="0" xfId="0" applyFont="1"/>
    <xf numFmtId="0" fontId="52" fillId="0" borderId="0" xfId="0" applyFont="1" applyAlignment="1">
      <alignment horizontal="left" vertical="center"/>
    </xf>
    <xf numFmtId="0" fontId="53" fillId="0" borderId="0" xfId="0" applyFont="1" applyAlignment="1">
      <alignment horizontal="left"/>
    </xf>
    <xf numFmtId="0" fontId="53" fillId="0" borderId="15" xfId="0" applyFont="1" applyBorder="1" applyAlignment="1">
      <alignment horizontal="left" vertical="center"/>
    </xf>
    <xf numFmtId="0" fontId="53" fillId="0" borderId="0" xfId="0" applyFont="1" applyBorder="1" applyAlignment="1">
      <alignment horizontal="left" vertical="center"/>
    </xf>
    <xf numFmtId="0" fontId="52" fillId="2" borderId="2" xfId="0" applyFont="1" applyFill="1" applyBorder="1" applyAlignment="1">
      <alignment horizontal="center" vertical="center" wrapText="1"/>
    </xf>
    <xf numFmtId="0" fontId="50" fillId="0" borderId="0" xfId="0" applyFont="1"/>
    <xf numFmtId="0" fontId="54" fillId="29" borderId="0" xfId="0" applyFont="1" applyFill="1"/>
    <xf numFmtId="0" fontId="56" fillId="29" borderId="0" xfId="0" applyFont="1" applyFill="1" applyAlignment="1">
      <alignment horizontal="left" vertical="center"/>
    </xf>
    <xf numFmtId="0" fontId="55" fillId="29" borderId="0" xfId="0" applyFont="1" applyFill="1" applyAlignment="1">
      <alignment horizontal="left" vertical="top"/>
    </xf>
    <xf numFmtId="0" fontId="0" fillId="0" borderId="0" xfId="0" applyAlignment="1">
      <alignment vertical="top" wrapText="1"/>
    </xf>
    <xf numFmtId="0" fontId="50" fillId="0" borderId="0" xfId="0" applyFont="1" applyFill="1"/>
    <xf numFmtId="0" fontId="51" fillId="0" borderId="0" xfId="0" applyFont="1" applyFill="1"/>
    <xf numFmtId="0" fontId="51" fillId="0" borderId="0" xfId="11" applyFont="1" applyFill="1" applyAlignment="1">
      <alignment vertical="center" wrapText="1"/>
    </xf>
    <xf numFmtId="0" fontId="51" fillId="0" borderId="0" xfId="11" applyFont="1" applyFill="1" applyAlignment="1">
      <alignment vertical="center"/>
    </xf>
    <xf numFmtId="0" fontId="10" fillId="0" borderId="0" xfId="0" applyFont="1"/>
    <xf numFmtId="0" fontId="51" fillId="0" borderId="0" xfId="11" applyFont="1" applyFill="1"/>
    <xf numFmtId="0" fontId="0" fillId="32" borderId="2" xfId="0" applyFill="1" applyBorder="1" applyAlignment="1">
      <alignment vertical="top" wrapText="1"/>
    </xf>
    <xf numFmtId="0" fontId="0" fillId="33" borderId="2" xfId="0" applyFill="1" applyBorder="1" applyAlignment="1">
      <alignment vertical="top" wrapText="1"/>
    </xf>
    <xf numFmtId="0" fontId="58" fillId="32" borderId="2" xfId="0" applyFont="1" applyFill="1" applyBorder="1" applyAlignment="1">
      <alignment horizontal="centerContinuous" vertical="center"/>
    </xf>
    <xf numFmtId="0" fontId="1" fillId="32" borderId="2" xfId="0" applyFont="1" applyFill="1" applyBorder="1" applyAlignment="1">
      <alignment horizontal="centerContinuous" vertical="center"/>
    </xf>
    <xf numFmtId="0" fontId="58" fillId="0" borderId="0" xfId="0" applyFont="1" applyFill="1" applyAlignment="1">
      <alignment horizontal="left" vertical="center"/>
    </xf>
    <xf numFmtId="0" fontId="1" fillId="33" borderId="2" xfId="0" applyFont="1" applyFill="1" applyBorder="1" applyAlignment="1">
      <alignment horizontal="centerContinuous" vertical="center"/>
    </xf>
    <xf numFmtId="0" fontId="1" fillId="0" borderId="0" xfId="0" applyFont="1" applyAlignment="1">
      <alignment vertical="center"/>
    </xf>
    <xf numFmtId="0" fontId="58" fillId="0" borderId="0" xfId="0" applyFont="1" applyFill="1" applyAlignment="1">
      <alignment vertical="center"/>
    </xf>
    <xf numFmtId="0" fontId="59" fillId="0" borderId="0" xfId="0" applyFont="1" applyAlignment="1">
      <alignment vertical="center"/>
    </xf>
    <xf numFmtId="0" fontId="49" fillId="2" borderId="13" xfId="0" applyFont="1" applyFill="1" applyBorder="1" applyAlignment="1">
      <alignment horizontal="center" vertical="center" wrapText="1"/>
    </xf>
    <xf numFmtId="0" fontId="61" fillId="3" borderId="2" xfId="0" applyFont="1" applyFill="1" applyBorder="1" applyAlignment="1">
      <alignment horizontal="left" vertical="center" wrapText="1"/>
    </xf>
    <xf numFmtId="0" fontId="62" fillId="2" borderId="12" xfId="0" applyFont="1" applyFill="1" applyBorder="1" applyAlignment="1">
      <alignment horizontal="center" vertical="center" wrapText="1"/>
    </xf>
    <xf numFmtId="0" fontId="62" fillId="2" borderId="12" xfId="0" quotePrefix="1" applyFont="1" applyFill="1" applyBorder="1" applyAlignment="1">
      <alignment horizontal="center" vertical="center" wrapText="1"/>
    </xf>
    <xf numFmtId="0" fontId="63" fillId="32" borderId="12" xfId="11" applyFont="1" applyFill="1" applyBorder="1" applyAlignment="1">
      <alignment horizontal="center" vertical="center" wrapText="1"/>
    </xf>
    <xf numFmtId="0" fontId="63" fillId="32" borderId="12" xfId="13" applyFont="1" applyFill="1" applyBorder="1" applyAlignment="1">
      <alignment horizontal="center" vertical="center" wrapText="1"/>
    </xf>
    <xf numFmtId="0" fontId="64" fillId="0" borderId="2" xfId="0" applyFont="1" applyBorder="1" applyAlignment="1">
      <alignment horizontal="center"/>
    </xf>
    <xf numFmtId="0" fontId="1" fillId="32" borderId="0" xfId="0" applyFont="1" applyFill="1" applyBorder="1" applyAlignment="1">
      <alignment horizontal="centerContinuous" vertical="center"/>
    </xf>
    <xf numFmtId="0" fontId="0" fillId="32" borderId="0" xfId="0" applyFill="1" applyBorder="1" applyAlignment="1">
      <alignment vertical="top" wrapText="1"/>
    </xf>
    <xf numFmtId="9" fontId="51" fillId="0" borderId="0" xfId="0" applyNumberFormat="1" applyFont="1" applyFill="1"/>
    <xf numFmtId="9" fontId="50" fillId="0" borderId="0" xfId="0" applyNumberFormat="1" applyFont="1" applyFill="1"/>
    <xf numFmtId="0" fontId="1" fillId="34" borderId="16" xfId="0" applyFont="1" applyFill="1" applyBorder="1" applyAlignment="1"/>
    <xf numFmtId="0" fontId="53" fillId="34" borderId="18" xfId="0" applyFont="1" applyFill="1" applyBorder="1"/>
    <xf numFmtId="0" fontId="69" fillId="37" borderId="0" xfId="0" applyFont="1" applyFill="1" applyBorder="1" applyAlignment="1">
      <alignment horizontal="center" vertical="center"/>
    </xf>
    <xf numFmtId="0" fontId="26" fillId="36" borderId="2" xfId="0" applyFont="1" applyFill="1" applyBorder="1" applyAlignment="1">
      <alignment vertical="center" wrapText="1"/>
    </xf>
    <xf numFmtId="0" fontId="69" fillId="37" borderId="21" xfId="0" applyFont="1" applyFill="1" applyBorder="1" applyAlignment="1">
      <alignment horizontal="center" vertical="center" wrapText="1"/>
    </xf>
    <xf numFmtId="0" fontId="71" fillId="2" borderId="2" xfId="0" applyFont="1" applyFill="1" applyBorder="1" applyAlignment="1">
      <alignment horizontal="center" vertical="center" wrapText="1"/>
    </xf>
    <xf numFmtId="0" fontId="0" fillId="0" borderId="0" xfId="0" applyFill="1"/>
    <xf numFmtId="0" fontId="37" fillId="0" borderId="0" xfId="11" applyFont="1" applyFill="1" applyAlignment="1">
      <alignment vertical="center"/>
    </xf>
    <xf numFmtId="0" fontId="37" fillId="0" borderId="0" xfId="11" applyFont="1" applyFill="1"/>
    <xf numFmtId="0" fontId="38" fillId="0" borderId="0" xfId="11" applyFont="1" applyFill="1" applyAlignment="1">
      <alignment horizontal="center" vertical="center" wrapText="1"/>
    </xf>
    <xf numFmtId="0" fontId="36" fillId="0" borderId="0" xfId="11" applyFont="1" applyFill="1" applyAlignment="1">
      <alignment vertical="center" wrapText="1"/>
    </xf>
    <xf numFmtId="0" fontId="8" fillId="0" borderId="0" xfId="11" applyFill="1"/>
    <xf numFmtId="1" fontId="63" fillId="32" borderId="12" xfId="13" applyNumberFormat="1" applyFont="1" applyFill="1" applyBorder="1" applyAlignment="1">
      <alignment horizontal="center" vertical="center" wrapText="1"/>
    </xf>
    <xf numFmtId="0" fontId="74" fillId="32" borderId="12" xfId="13" applyFont="1" applyFill="1" applyBorder="1" applyAlignment="1">
      <alignment horizontal="center" vertical="center" wrapText="1"/>
    </xf>
    <xf numFmtId="0" fontId="75" fillId="0" borderId="0" xfId="11" applyFont="1" applyFill="1"/>
    <xf numFmtId="0" fontId="78" fillId="32" borderId="12" xfId="13" applyFont="1" applyFill="1" applyBorder="1" applyAlignment="1">
      <alignment horizontal="center" vertical="center" wrapText="1"/>
    </xf>
    <xf numFmtId="1" fontId="78" fillId="32" borderId="12" xfId="13" applyNumberFormat="1" applyFont="1" applyFill="1" applyBorder="1" applyAlignment="1">
      <alignment horizontal="center" vertical="center" wrapText="1"/>
    </xf>
    <xf numFmtId="0" fontId="79" fillId="0" borderId="2" xfId="2" applyFont="1" applyFill="1" applyBorder="1" applyAlignment="1">
      <alignment horizontal="left" vertical="center" wrapText="1"/>
    </xf>
    <xf numFmtId="0" fontId="79" fillId="0" borderId="2" xfId="0" applyFont="1" applyBorder="1" applyAlignment="1">
      <alignment horizontal="left" vertical="center" wrapText="1"/>
    </xf>
    <xf numFmtId="0" fontId="26" fillId="0" borderId="2" xfId="113" applyFont="1" applyFill="1" applyBorder="1" applyAlignment="1">
      <alignment vertical="center" wrapText="1"/>
    </xf>
    <xf numFmtId="9" fontId="8" fillId="0" borderId="0" xfId="11" applyNumberFormat="1" applyFill="1"/>
    <xf numFmtId="0" fontId="78" fillId="32" borderId="13" xfId="13" applyFont="1" applyFill="1" applyBorder="1" applyAlignment="1">
      <alignment horizontal="center" vertical="center" wrapText="1"/>
    </xf>
    <xf numFmtId="1" fontId="78" fillId="32" borderId="13" xfId="13" applyNumberFormat="1" applyFont="1" applyFill="1" applyBorder="1" applyAlignment="1">
      <alignment horizontal="center" vertical="center" wrapText="1"/>
    </xf>
    <xf numFmtId="0" fontId="84" fillId="28" borderId="0" xfId="0" applyFont="1" applyFill="1" applyBorder="1" applyAlignment="1"/>
    <xf numFmtId="0" fontId="76" fillId="38" borderId="23" xfId="0" applyFont="1" applyFill="1" applyBorder="1" applyAlignment="1">
      <alignment horizontal="center" vertical="center" wrapText="1"/>
    </xf>
    <xf numFmtId="0" fontId="0" fillId="0" borderId="25" xfId="0" applyFont="1" applyBorder="1" applyAlignment="1">
      <alignment horizontal="left"/>
    </xf>
    <xf numFmtId="0" fontId="73" fillId="0" borderId="25" xfId="0" applyFont="1" applyBorder="1" applyAlignment="1">
      <alignment horizontal="left" vertical="center"/>
    </xf>
    <xf numFmtId="0" fontId="73" fillId="0" borderId="25" xfId="113" applyFont="1" applyFill="1" applyBorder="1" applyAlignment="1">
      <alignment horizontal="left" vertical="center"/>
    </xf>
    <xf numFmtId="0" fontId="64" fillId="0" borderId="22" xfId="0" applyFont="1" applyBorder="1" applyAlignment="1">
      <alignment horizontal="center"/>
    </xf>
    <xf numFmtId="0" fontId="0" fillId="39" borderId="26" xfId="0" applyFont="1" applyFill="1" applyBorder="1" applyAlignment="1">
      <alignment horizontal="left"/>
    </xf>
    <xf numFmtId="0" fontId="0" fillId="39" borderId="28" xfId="0" applyFont="1" applyFill="1" applyBorder="1" applyAlignment="1">
      <alignment horizontal="left"/>
    </xf>
    <xf numFmtId="0" fontId="73" fillId="39" borderId="28" xfId="0" applyFont="1" applyFill="1" applyBorder="1" applyAlignment="1">
      <alignment horizontal="left" vertical="center"/>
    </xf>
    <xf numFmtId="0" fontId="73" fillId="39" borderId="28" xfId="2" applyFont="1" applyFill="1" applyBorder="1" applyAlignment="1">
      <alignment horizontal="left" vertical="center"/>
    </xf>
    <xf numFmtId="0" fontId="73" fillId="39" borderId="28" xfId="113" applyFont="1" applyFill="1" applyBorder="1" applyAlignment="1">
      <alignment horizontal="left" vertical="center"/>
    </xf>
    <xf numFmtId="0" fontId="0" fillId="39" borderId="30" xfId="0" applyFont="1" applyFill="1" applyBorder="1" applyAlignment="1">
      <alignment horizontal="left"/>
    </xf>
    <xf numFmtId="0" fontId="0" fillId="39" borderId="32" xfId="0" applyFont="1" applyFill="1" applyBorder="1" applyAlignment="1">
      <alignment horizontal="left"/>
    </xf>
    <xf numFmtId="0" fontId="0" fillId="39" borderId="25" xfId="0" applyFont="1" applyFill="1" applyBorder="1" applyAlignment="1">
      <alignment horizontal="left"/>
    </xf>
    <xf numFmtId="0" fontId="73" fillId="39" borderId="25" xfId="0" applyFont="1" applyFill="1" applyBorder="1" applyAlignment="1">
      <alignment horizontal="left" vertical="center"/>
    </xf>
    <xf numFmtId="0" fontId="73" fillId="39" borderId="25" xfId="2" applyFont="1" applyFill="1" applyBorder="1" applyAlignment="1">
      <alignment horizontal="left" vertical="center"/>
    </xf>
    <xf numFmtId="0" fontId="73" fillId="39" borderId="25" xfId="0" applyFont="1" applyFill="1" applyBorder="1" applyAlignment="1">
      <alignment horizontal="left" vertical="center" wrapText="1"/>
    </xf>
    <xf numFmtId="0" fontId="73" fillId="39" borderId="25" xfId="113" applyFont="1" applyFill="1" applyBorder="1" applyAlignment="1">
      <alignment horizontal="left" vertical="center"/>
    </xf>
    <xf numFmtId="0" fontId="0" fillId="39" borderId="25" xfId="113" applyFont="1" applyFill="1" applyBorder="1" applyAlignment="1">
      <alignment horizontal="left" vertical="center"/>
    </xf>
    <xf numFmtId="0" fontId="0" fillId="39" borderId="25" xfId="0" applyFont="1" applyFill="1" applyBorder="1" applyAlignment="1">
      <alignment horizontal="left" vertical="center"/>
    </xf>
    <xf numFmtId="0" fontId="0" fillId="39" borderId="33" xfId="0" applyFont="1" applyFill="1" applyBorder="1" applyAlignment="1">
      <alignment horizontal="left"/>
    </xf>
    <xf numFmtId="0" fontId="0" fillId="40" borderId="26" xfId="0" applyFont="1" applyFill="1" applyBorder="1" applyAlignment="1">
      <alignment horizontal="left"/>
    </xf>
    <xf numFmtId="0" fontId="0" fillId="40" borderId="34" xfId="0" applyFont="1" applyFill="1" applyBorder="1" applyAlignment="1">
      <alignment horizontal="left"/>
    </xf>
    <xf numFmtId="0" fontId="57" fillId="40" borderId="34" xfId="0" applyFont="1" applyFill="1" applyBorder="1" applyAlignment="1">
      <alignment horizontal="left" vertical="center"/>
    </xf>
    <xf numFmtId="0" fontId="65" fillId="40" borderId="34" xfId="0" applyFont="1" applyFill="1" applyBorder="1" applyAlignment="1">
      <alignment horizontal="left" vertical="center"/>
    </xf>
    <xf numFmtId="1" fontId="0" fillId="40" borderId="27" xfId="0" applyNumberFormat="1" applyFont="1" applyFill="1" applyBorder="1" applyAlignment="1">
      <alignment horizontal="left"/>
    </xf>
    <xf numFmtId="0" fontId="0" fillId="40" borderId="28" xfId="0" applyFont="1" applyFill="1" applyBorder="1" applyAlignment="1">
      <alignment horizontal="left"/>
    </xf>
    <xf numFmtId="0" fontId="0" fillId="40" borderId="2" xfId="0" applyFont="1" applyFill="1" applyBorder="1" applyAlignment="1">
      <alignment horizontal="left"/>
    </xf>
    <xf numFmtId="0" fontId="57" fillId="40" borderId="2" xfId="0" applyFont="1" applyFill="1" applyBorder="1" applyAlignment="1">
      <alignment horizontal="left" vertical="center"/>
    </xf>
    <xf numFmtId="0" fontId="65" fillId="40" borderId="2" xfId="0" applyFont="1" applyFill="1" applyBorder="1" applyAlignment="1">
      <alignment horizontal="left" vertical="center"/>
    </xf>
    <xf numFmtId="1" fontId="0" fillId="40" borderId="29" xfId="0" applyNumberFormat="1" applyFont="1" applyFill="1" applyBorder="1" applyAlignment="1">
      <alignment horizontal="left"/>
    </xf>
    <xf numFmtId="0" fontId="0" fillId="40" borderId="29" xfId="0" applyFont="1" applyFill="1" applyBorder="1" applyAlignment="1">
      <alignment horizontal="left"/>
    </xf>
    <xf numFmtId="0" fontId="73" fillId="40" borderId="28" xfId="0" applyFont="1" applyFill="1" applyBorder="1" applyAlignment="1">
      <alignment horizontal="left" vertical="center"/>
    </xf>
    <xf numFmtId="0" fontId="73" fillId="40" borderId="2" xfId="0" applyFont="1" applyFill="1" applyBorder="1" applyAlignment="1">
      <alignment horizontal="left" vertical="center"/>
    </xf>
    <xf numFmtId="0" fontId="73" fillId="40" borderId="29" xfId="0" applyFont="1" applyFill="1" applyBorder="1" applyAlignment="1">
      <alignment horizontal="left" vertical="center"/>
    </xf>
    <xf numFmtId="0" fontId="73" fillId="40" borderId="28" xfId="2" applyFont="1" applyFill="1" applyBorder="1" applyAlignment="1">
      <alignment horizontal="left" vertical="center"/>
    </xf>
    <xf numFmtId="0" fontId="73" fillId="40" borderId="2" xfId="2" applyFont="1" applyFill="1" applyBorder="1" applyAlignment="1">
      <alignment horizontal="left" vertical="center"/>
    </xf>
    <xf numFmtId="0" fontId="73" fillId="40" borderId="29" xfId="2" applyFont="1" applyFill="1" applyBorder="1" applyAlignment="1">
      <alignment horizontal="left" vertical="center" wrapText="1"/>
    </xf>
    <xf numFmtId="0" fontId="73" fillId="40" borderId="2" xfId="0" applyFont="1" applyFill="1" applyBorder="1" applyAlignment="1">
      <alignment horizontal="left" vertical="center" wrapText="1"/>
    </xf>
    <xf numFmtId="0" fontId="73" fillId="40" borderId="28" xfId="113" applyFont="1" applyFill="1" applyBorder="1" applyAlignment="1">
      <alignment horizontal="left" vertical="center"/>
    </xf>
    <xf numFmtId="0" fontId="73" fillId="40" borderId="2" xfId="113" applyFont="1" applyFill="1" applyBorder="1" applyAlignment="1">
      <alignment horizontal="left" vertical="center"/>
    </xf>
    <xf numFmtId="0" fontId="57" fillId="40" borderId="2" xfId="113" applyFont="1" applyFill="1" applyBorder="1" applyAlignment="1">
      <alignment horizontal="left" vertical="center"/>
    </xf>
    <xf numFmtId="1" fontId="73" fillId="40" borderId="29" xfId="113" applyNumberFormat="1" applyFont="1" applyFill="1" applyBorder="1" applyAlignment="1">
      <alignment horizontal="left" vertical="center"/>
    </xf>
    <xf numFmtId="0" fontId="0" fillId="40" borderId="2" xfId="113" applyFont="1" applyFill="1" applyBorder="1" applyAlignment="1">
      <alignment horizontal="left" vertical="center"/>
    </xf>
    <xf numFmtId="0" fontId="0" fillId="40" borderId="2" xfId="0" applyFont="1" applyFill="1" applyBorder="1" applyAlignment="1">
      <alignment horizontal="left" vertical="center"/>
    </xf>
    <xf numFmtId="0" fontId="0" fillId="40" borderId="30" xfId="0" applyFont="1" applyFill="1" applyBorder="1" applyAlignment="1">
      <alignment horizontal="left"/>
    </xf>
    <xf numFmtId="0" fontId="0" fillId="40" borderId="35" xfId="0" applyFont="1" applyFill="1" applyBorder="1" applyAlignment="1">
      <alignment horizontal="left"/>
    </xf>
    <xf numFmtId="0" fontId="57" fillId="40" borderId="35" xfId="0" applyFont="1" applyFill="1" applyBorder="1" applyAlignment="1">
      <alignment horizontal="left" vertical="center"/>
    </xf>
    <xf numFmtId="0" fontId="65" fillId="40" borderId="35" xfId="0" applyFont="1" applyFill="1" applyBorder="1" applyAlignment="1">
      <alignment horizontal="left" vertical="center"/>
    </xf>
    <xf numFmtId="0" fontId="0" fillId="40" borderId="31" xfId="0" applyFont="1" applyFill="1" applyBorder="1" applyAlignment="1">
      <alignment horizontal="left"/>
    </xf>
    <xf numFmtId="0" fontId="62" fillId="2" borderId="37" xfId="0" applyFont="1" applyFill="1" applyBorder="1" applyAlignment="1">
      <alignment horizontal="center" vertical="center" wrapText="1"/>
    </xf>
    <xf numFmtId="0" fontId="86" fillId="28" borderId="0" xfId="0" applyFont="1" applyFill="1" applyAlignment="1"/>
    <xf numFmtId="0" fontId="86" fillId="28" borderId="0" xfId="0" applyFont="1" applyFill="1" applyBorder="1" applyAlignment="1"/>
    <xf numFmtId="0" fontId="86" fillId="29" borderId="0" xfId="0" applyFont="1" applyFill="1"/>
    <xf numFmtId="0" fontId="86" fillId="29" borderId="0" xfId="0" applyFont="1" applyFill="1" applyAlignment="1">
      <alignment horizontal="center"/>
    </xf>
    <xf numFmtId="0" fontId="86" fillId="28" borderId="0" xfId="0" applyFont="1" applyFill="1"/>
    <xf numFmtId="0" fontId="0" fillId="0" borderId="38" xfId="0" applyFont="1" applyBorder="1" applyAlignment="1">
      <alignment horizontal="left"/>
    </xf>
    <xf numFmtId="0" fontId="0" fillId="0" borderId="39" xfId="0" applyFont="1" applyBorder="1" applyAlignment="1">
      <alignment horizontal="left"/>
    </xf>
    <xf numFmtId="0" fontId="73" fillId="0" borderId="39" xfId="0" applyFont="1" applyBorder="1" applyAlignment="1">
      <alignment horizontal="left" vertical="center"/>
    </xf>
    <xf numFmtId="0" fontId="73" fillId="0" borderId="39" xfId="113" applyFont="1" applyFill="1" applyBorder="1" applyAlignment="1">
      <alignment horizontal="left" vertical="center"/>
    </xf>
    <xf numFmtId="0" fontId="78" fillId="32" borderId="40" xfId="13" applyFont="1" applyFill="1" applyBorder="1" applyAlignment="1">
      <alignment horizontal="center" vertical="center" wrapText="1"/>
    </xf>
    <xf numFmtId="0" fontId="78" fillId="32" borderId="41" xfId="13" applyFont="1" applyFill="1" applyBorder="1" applyAlignment="1">
      <alignment horizontal="center" vertical="center" wrapText="1"/>
    </xf>
    <xf numFmtId="0" fontId="78" fillId="32" borderId="36" xfId="13" applyFont="1" applyFill="1" applyBorder="1" applyAlignment="1">
      <alignment horizontal="center" vertical="center" wrapText="1"/>
    </xf>
    <xf numFmtId="0" fontId="78" fillId="32" borderId="42" xfId="13" applyFont="1" applyFill="1" applyBorder="1" applyAlignment="1">
      <alignment horizontal="center" vertical="center" wrapText="1"/>
    </xf>
    <xf numFmtId="0" fontId="53" fillId="0" borderId="0" xfId="0" applyFont="1" applyBorder="1" applyAlignment="1">
      <alignment horizontal="center" vertical="center" wrapText="1"/>
    </xf>
    <xf numFmtId="0" fontId="68" fillId="34" borderId="18" xfId="0" applyFont="1" applyFill="1" applyBorder="1" applyAlignment="1">
      <alignment horizontal="center" wrapText="1"/>
    </xf>
    <xf numFmtId="0" fontId="1" fillId="34" borderId="16" xfId="0" applyFont="1" applyFill="1" applyBorder="1" applyAlignment="1">
      <alignment vertical="center"/>
    </xf>
    <xf numFmtId="0" fontId="68" fillId="34" borderId="18" xfId="0" applyFont="1" applyFill="1" applyBorder="1" applyAlignment="1">
      <alignment horizontal="center" vertical="center" wrapText="1"/>
    </xf>
    <xf numFmtId="0" fontId="53" fillId="34" borderId="18" xfId="0" applyFont="1" applyFill="1" applyBorder="1" applyAlignment="1">
      <alignment vertical="center"/>
    </xf>
    <xf numFmtId="0" fontId="68" fillId="34" borderId="17" xfId="12" applyFont="1" applyFill="1" applyBorder="1" applyAlignment="1">
      <alignment horizontal="center"/>
    </xf>
    <xf numFmtId="0" fontId="68" fillId="34" borderId="19" xfId="12" applyFont="1" applyFill="1" applyBorder="1" applyAlignment="1">
      <alignment horizontal="center"/>
    </xf>
    <xf numFmtId="0" fontId="53" fillId="0" borderId="15" xfId="0" applyFont="1" applyBorder="1" applyAlignment="1">
      <alignment horizontal="center" vertical="center" wrapText="1"/>
    </xf>
    <xf numFmtId="0" fontId="68" fillId="34" borderId="19" xfId="12" applyFont="1" applyFill="1" applyBorder="1" applyAlignment="1">
      <alignment horizontal="center" wrapText="1"/>
    </xf>
    <xf numFmtId="0" fontId="0" fillId="0" borderId="0" xfId="0" applyAlignment="1">
      <alignment wrapText="1"/>
    </xf>
    <xf numFmtId="0" fontId="68" fillId="34" borderId="17" xfId="12" applyFont="1" applyFill="1" applyBorder="1" applyAlignment="1">
      <alignment horizontal="center" vertical="center"/>
    </xf>
    <xf numFmtId="0" fontId="68" fillId="34" borderId="19" xfId="12" applyFont="1" applyFill="1" applyBorder="1" applyAlignment="1">
      <alignment horizontal="center" vertical="center" wrapText="1"/>
    </xf>
    <xf numFmtId="0" fontId="68" fillId="34" borderId="19" xfId="12" applyFont="1" applyFill="1" applyBorder="1" applyAlignment="1">
      <alignment horizontal="center" vertical="center"/>
    </xf>
    <xf numFmtId="0" fontId="52" fillId="0" borderId="0" xfId="0" applyFont="1" applyBorder="1" applyAlignment="1">
      <alignment horizontal="center" vertical="center" wrapText="1"/>
    </xf>
    <xf numFmtId="0" fontId="88" fillId="31" borderId="44" xfId="0" applyFont="1" applyFill="1" applyBorder="1" applyAlignment="1">
      <alignment horizontal="left" vertical="center"/>
    </xf>
    <xf numFmtId="0" fontId="89" fillId="31" borderId="44" xfId="0" applyFont="1" applyFill="1" applyBorder="1" applyAlignment="1">
      <alignment horizontal="center" vertical="center" wrapText="1"/>
    </xf>
    <xf numFmtId="0" fontId="88" fillId="0" borderId="44" xfId="0" applyNumberFormat="1" applyFont="1" applyBorder="1" applyAlignment="1">
      <alignment horizontal="left" vertical="center"/>
    </xf>
    <xf numFmtId="0" fontId="88" fillId="0" borderId="44" xfId="0" applyNumberFormat="1" applyFont="1" applyBorder="1" applyAlignment="1">
      <alignment horizontal="left" vertical="center" wrapText="1"/>
    </xf>
    <xf numFmtId="0" fontId="88" fillId="29" borderId="44" xfId="0" applyFont="1" applyFill="1" applyBorder="1" applyAlignment="1">
      <alignment vertical="center"/>
    </xf>
    <xf numFmtId="0" fontId="88" fillId="29" borderId="44" xfId="0" applyFont="1" applyFill="1" applyBorder="1" applyAlignment="1">
      <alignment horizontal="center" vertical="center" wrapText="1"/>
    </xf>
    <xf numFmtId="0" fontId="88" fillId="0" borderId="44" xfId="0" applyFont="1" applyBorder="1" applyAlignment="1">
      <alignment vertical="center"/>
    </xf>
    <xf numFmtId="0" fontId="88" fillId="29" borderId="44" xfId="0" applyFont="1" applyFill="1" applyBorder="1" applyAlignment="1">
      <alignment horizontal="left" vertical="center"/>
    </xf>
    <xf numFmtId="0" fontId="89" fillId="36" borderId="44" xfId="0" applyFont="1" applyFill="1" applyBorder="1" applyAlignment="1">
      <alignment vertical="center" wrapText="1"/>
    </xf>
    <xf numFmtId="0" fontId="88" fillId="0" borderId="44" xfId="0" applyFont="1" applyFill="1" applyBorder="1" applyAlignment="1">
      <alignment vertical="center"/>
    </xf>
    <xf numFmtId="0" fontId="88" fillId="31" borderId="44" xfId="0" applyFont="1" applyFill="1" applyBorder="1" applyAlignment="1">
      <alignment vertical="center"/>
    </xf>
    <xf numFmtId="0" fontId="88" fillId="0" borderId="44" xfId="0" applyFont="1" applyBorder="1" applyAlignment="1">
      <alignment vertical="center" wrapText="1"/>
    </xf>
    <xf numFmtId="0" fontId="93" fillId="3" borderId="12" xfId="0" applyFont="1" applyFill="1" applyBorder="1" applyAlignment="1">
      <alignment horizontal="center" vertical="center" wrapText="1"/>
    </xf>
    <xf numFmtId="0" fontId="93" fillId="3" borderId="36" xfId="0" applyFont="1" applyFill="1" applyBorder="1" applyAlignment="1">
      <alignment horizontal="center" vertical="center" wrapText="1"/>
    </xf>
    <xf numFmtId="0" fontId="93" fillId="3" borderId="37" xfId="0" applyFont="1" applyFill="1" applyBorder="1" applyAlignment="1">
      <alignment horizontal="center" vertical="center" wrapText="1"/>
    </xf>
    <xf numFmtId="0" fontId="62" fillId="2" borderId="36" xfId="0" applyFont="1" applyFill="1" applyBorder="1" applyAlignment="1">
      <alignment horizontal="center" vertical="center" wrapText="1"/>
    </xf>
    <xf numFmtId="0" fontId="53" fillId="29" borderId="0" xfId="0" applyFont="1" applyFill="1" applyAlignment="1">
      <alignment horizontal="center"/>
    </xf>
    <xf numFmtId="1" fontId="94" fillId="32" borderId="13" xfId="13" applyNumberFormat="1" applyFont="1" applyFill="1" applyBorder="1" applyAlignment="1">
      <alignment horizontal="center" vertical="center" wrapText="1"/>
    </xf>
    <xf numFmtId="0" fontId="76" fillId="31" borderId="23" xfId="11" applyFont="1" applyFill="1" applyBorder="1" applyAlignment="1">
      <alignment horizontal="center" vertical="center" wrapText="1"/>
    </xf>
    <xf numFmtId="0" fontId="85" fillId="28" borderId="0" xfId="0" applyFont="1" applyFill="1" applyAlignment="1">
      <alignment horizontal="center" vertical="center"/>
    </xf>
    <xf numFmtId="0" fontId="85" fillId="28" borderId="0" xfId="0" applyFont="1" applyFill="1" applyBorder="1" applyAlignment="1">
      <alignment horizontal="center" vertical="center"/>
    </xf>
    <xf numFmtId="1" fontId="83" fillId="38" borderId="23" xfId="0" applyNumberFormat="1" applyFont="1" applyFill="1" applyBorder="1" applyAlignment="1">
      <alignment horizontal="center"/>
    </xf>
    <xf numFmtId="0" fontId="6" fillId="36" borderId="2" xfId="0" applyFont="1" applyFill="1" applyBorder="1" applyAlignment="1">
      <alignment horizontal="center" vertical="center"/>
    </xf>
    <xf numFmtId="0" fontId="60" fillId="28" borderId="0" xfId="0" applyFont="1" applyFill="1" applyAlignment="1">
      <alignment horizontal="center" vertical="center"/>
    </xf>
    <xf numFmtId="0" fontId="50" fillId="35" borderId="0" xfId="0" applyFont="1" applyFill="1" applyAlignment="1">
      <alignment horizontal="center" vertical="center"/>
    </xf>
    <xf numFmtId="0" fontId="60" fillId="28" borderId="0" xfId="0" applyFont="1" applyFill="1" applyAlignment="1">
      <alignment horizontal="center" vertical="center" wrapText="1"/>
    </xf>
    <xf numFmtId="0" fontId="76" fillId="31" borderId="23" xfId="11" applyFont="1" applyFill="1" applyBorder="1" applyAlignment="1">
      <alignment horizontal="center" vertical="center" wrapText="1"/>
    </xf>
    <xf numFmtId="0" fontId="77" fillId="31" borderId="23" xfId="11" applyFont="1" applyFill="1" applyBorder="1" applyAlignment="1">
      <alignment horizontal="center" vertical="center" wrapText="1"/>
    </xf>
    <xf numFmtId="0" fontId="77" fillId="31" borderId="23" xfId="12" applyFont="1" applyFill="1" applyBorder="1" applyAlignment="1">
      <alignment horizontal="center" vertical="center" wrapText="1"/>
    </xf>
    <xf numFmtId="1" fontId="83" fillId="38" borderId="23" xfId="0" applyNumberFormat="1" applyFont="1" applyFill="1" applyBorder="1" applyAlignment="1">
      <alignment horizontal="center"/>
    </xf>
    <xf numFmtId="0" fontId="82" fillId="38" borderId="23" xfId="0" applyFont="1" applyFill="1" applyBorder="1" applyAlignment="1">
      <alignment horizontal="center" vertical="center" wrapText="1"/>
    </xf>
    <xf numFmtId="0" fontId="81" fillId="38" borderId="23" xfId="0" applyFont="1" applyFill="1" applyBorder="1" applyAlignment="1">
      <alignment horizontal="center" vertical="center" wrapText="1"/>
    </xf>
    <xf numFmtId="0" fontId="77" fillId="31" borderId="23" xfId="12" applyFont="1" applyFill="1" applyBorder="1" applyAlignment="1">
      <alignment horizontal="center" vertical="center"/>
    </xf>
    <xf numFmtId="0" fontId="90" fillId="31" borderId="23" xfId="11" applyFont="1" applyFill="1" applyBorder="1" applyAlignment="1">
      <alignment horizontal="center" vertical="center" wrapText="1"/>
    </xf>
    <xf numFmtId="0" fontId="87" fillId="31" borderId="23" xfId="11" applyFont="1" applyFill="1" applyBorder="1" applyAlignment="1">
      <alignment horizontal="center" vertical="center" wrapText="1"/>
    </xf>
    <xf numFmtId="0" fontId="87" fillId="31" borderId="43" xfId="11" applyFont="1" applyFill="1" applyBorder="1" applyAlignment="1">
      <alignment horizontal="center" vertical="center" wrapText="1"/>
    </xf>
    <xf numFmtId="0" fontId="85" fillId="28" borderId="0" xfId="0" applyFont="1" applyFill="1" applyAlignment="1">
      <alignment horizontal="center" vertical="center"/>
    </xf>
    <xf numFmtId="0" fontId="85" fillId="28" borderId="0" xfId="0" applyFont="1" applyFill="1" applyBorder="1" applyAlignment="1">
      <alignment horizontal="center" vertical="center"/>
    </xf>
    <xf numFmtId="0" fontId="77" fillId="38" borderId="23" xfId="0" applyFont="1" applyFill="1" applyBorder="1" applyAlignment="1">
      <alignment horizontal="center" vertical="center" wrapText="1"/>
    </xf>
    <xf numFmtId="0" fontId="83" fillId="38" borderId="23" xfId="0" applyFont="1" applyFill="1" applyBorder="1" applyAlignment="1">
      <alignment horizontal="center" vertical="center" wrapText="1"/>
    </xf>
    <xf numFmtId="0" fontId="83" fillId="38" borderId="24" xfId="0" applyFont="1" applyFill="1" applyBorder="1" applyAlignment="1">
      <alignment horizontal="center" vertical="center" wrapText="1"/>
    </xf>
    <xf numFmtId="0" fontId="19" fillId="36" borderId="22" xfId="0" applyFont="1" applyFill="1" applyBorder="1" applyAlignment="1">
      <alignment horizontal="center" vertical="center"/>
    </xf>
    <xf numFmtId="0" fontId="19" fillId="36" borderId="21" xfId="0" applyFont="1" applyFill="1" applyBorder="1" applyAlignment="1">
      <alignment horizontal="center" vertical="center"/>
    </xf>
    <xf numFmtId="0" fontId="19" fillId="36" borderId="20" xfId="0" applyFont="1" applyFill="1" applyBorder="1" applyAlignment="1">
      <alignment horizontal="center" vertical="center"/>
    </xf>
    <xf numFmtId="0" fontId="6" fillId="36" borderId="22" xfId="0" applyFont="1" applyFill="1" applyBorder="1" applyAlignment="1">
      <alignment horizontal="center" vertical="center" wrapText="1"/>
    </xf>
    <xf numFmtId="0" fontId="6" fillId="36" borderId="21" xfId="0" applyFont="1" applyFill="1" applyBorder="1" applyAlignment="1">
      <alignment horizontal="center" vertical="center" wrapText="1"/>
    </xf>
    <xf numFmtId="0" fontId="6" fillId="36" borderId="20" xfId="0" applyFont="1" applyFill="1" applyBorder="1" applyAlignment="1">
      <alignment horizontal="center" vertical="center" wrapText="1"/>
    </xf>
    <xf numFmtId="0" fontId="6" fillId="36" borderId="2" xfId="0" applyFont="1" applyFill="1" applyBorder="1" applyAlignment="1">
      <alignment horizontal="center" vertical="center"/>
    </xf>
  </cellXfs>
  <cellStyles count="114">
    <cellStyle name=" Task]_x000d__x000a_TaskName=Scan At_x000d__x000a_TaskID=3_x000d__x000a_WorkstationName=SmarTone_x000d__x000a_LastExecuted=0_x000d__x000a_LastSt" xfId="16"/>
    <cellStyle name="$1000s (0)" xfId="85"/>
    <cellStyle name="%" xfId="13"/>
    <cellStyle name="’Ê‰Ý [0.00]_Area" xfId="86"/>
    <cellStyle name="’Ê‰Ý_Area" xfId="87"/>
    <cellStyle name="=C:\WINNT\SYSTEM32\COMMAND.COM" xfId="17"/>
    <cellStyle name="•W_Area" xfId="88"/>
    <cellStyle name="1000s (0)" xfId="89"/>
    <cellStyle name="20% - Accent1" xfId="18"/>
    <cellStyle name="20% - Accent2" xfId="19"/>
    <cellStyle name="20% - Accent3" xfId="20"/>
    <cellStyle name="20% - Accent4" xfId="21"/>
    <cellStyle name="20% - Accent5" xfId="22"/>
    <cellStyle name="20% - Accent6" xfId="23"/>
    <cellStyle name="40% - Accent1" xfId="24"/>
    <cellStyle name="40% - Accent2" xfId="25"/>
    <cellStyle name="40% - Accent3" xfId="26"/>
    <cellStyle name="40% - Accent4" xfId="27"/>
    <cellStyle name="40% - Accent5" xfId="28"/>
    <cellStyle name="40% - Accent6" xfId="29"/>
    <cellStyle name="60% - Accent1" xfId="30"/>
    <cellStyle name="60% - Accent2" xfId="31"/>
    <cellStyle name="60% - Accent3" xfId="32"/>
    <cellStyle name="60% - Accent4" xfId="33"/>
    <cellStyle name="60% - Accent5" xfId="34"/>
    <cellStyle name="60% - Accent6" xfId="35"/>
    <cellStyle name="Accent1" xfId="36"/>
    <cellStyle name="Accent2" xfId="37"/>
    <cellStyle name="Accent3" xfId="38"/>
    <cellStyle name="Accent4" xfId="39"/>
    <cellStyle name="Accent5" xfId="40"/>
    <cellStyle name="Accent6" xfId="41"/>
    <cellStyle name="Adjustable" xfId="42"/>
    <cellStyle name="Bad" xfId="43"/>
    <cellStyle name="Best" xfId="44"/>
    <cellStyle name="Calculation" xfId="45"/>
    <cellStyle name="Cancel" xfId="46"/>
    <cellStyle name="Check Cell" xfId="47"/>
    <cellStyle name="ColBlue" xfId="90"/>
    <cellStyle name="ColGreen" xfId="91"/>
    <cellStyle name="ColRed" xfId="92"/>
    <cellStyle name="Comma  - Style1" xfId="93"/>
    <cellStyle name="Comma  - Style2" xfId="94"/>
    <cellStyle name="Comma  - Style3" xfId="95"/>
    <cellStyle name="Comma  - Style4" xfId="96"/>
    <cellStyle name="Comma  - Style5" xfId="97"/>
    <cellStyle name="Comma  - Style6" xfId="98"/>
    <cellStyle name="Comma  - Style7" xfId="99"/>
    <cellStyle name="Comma  - Style8" xfId="100"/>
    <cellStyle name="Comma (1)" xfId="101"/>
    <cellStyle name="Comma (2)" xfId="102"/>
    <cellStyle name="Comma 2" xfId="48"/>
    <cellStyle name="Comma 3" xfId="49"/>
    <cellStyle name="Currency (0)" xfId="103"/>
    <cellStyle name="Currency (2)" xfId="104"/>
    <cellStyle name="Currency 2" xfId="50"/>
    <cellStyle name="Currency 3" xfId="51"/>
    <cellStyle name="d" xfId="52"/>
    <cellStyle name="Euro" xfId="53"/>
    <cellStyle name="Euro 2" xfId="105"/>
    <cellStyle name="Explanatory Text" xfId="54"/>
    <cellStyle name="Good" xfId="55"/>
    <cellStyle name="Heading 1" xfId="56"/>
    <cellStyle name="Heading 2" xfId="57"/>
    <cellStyle name="Heading 3" xfId="58"/>
    <cellStyle name="Heading 4" xfId="59"/>
    <cellStyle name="Hiperlink 2" xfId="3"/>
    <cellStyle name="Input" xfId="60"/>
    <cellStyle name="la22" xfId="61"/>
    <cellStyle name="Linked Cell" xfId="62"/>
    <cellStyle name="Moeda 2" xfId="4"/>
    <cellStyle name="Moeda 2 2" xfId="5"/>
    <cellStyle name="Moeda 3" xfId="15"/>
    <cellStyle name="Neutral" xfId="63"/>
    <cellStyle name="Normal" xfId="0" builtinId="0"/>
    <cellStyle name="Normal - Style1" xfId="106"/>
    <cellStyle name="Normal 2" xfId="2"/>
    <cellStyle name="Normal 2 2" xfId="1"/>
    <cellStyle name="Normal 2 3" xfId="64"/>
    <cellStyle name="Normal 2_091201 Evolução dos Cortes_com_valores_Grupos_v16 PPT vfinal V4" xfId="65"/>
    <cellStyle name="Normal 3" xfId="6"/>
    <cellStyle name="Normal 3 2" xfId="7"/>
    <cellStyle name="Normal 4" xfId="11"/>
    <cellStyle name="Normal 5" xfId="66"/>
    <cellStyle name="Normal 6" xfId="67"/>
    <cellStyle name="Normal 7" xfId="84"/>
    <cellStyle name="Normal 8" xfId="113"/>
    <cellStyle name="Note" xfId="68"/>
    <cellStyle name="Œ…‹æØ‚è [0.00]_Area" xfId="107"/>
    <cellStyle name="Œ…‹æØ‚è_Area" xfId="108"/>
    <cellStyle name="Output" xfId="69"/>
    <cellStyle name="Percent (1)" xfId="109"/>
    <cellStyle name="Percent (2)" xfId="110"/>
    <cellStyle name="Percent 2" xfId="70"/>
    <cellStyle name="Percent 3" xfId="71"/>
    <cellStyle name="percentage" xfId="111"/>
    <cellStyle name="Porcentagem 2" xfId="8"/>
    <cellStyle name="Porcentagem 2 2" xfId="9"/>
    <cellStyle name="Porcentagem 3" xfId="14"/>
    <cellStyle name="PSChar" xfId="72"/>
    <cellStyle name="PSDate" xfId="73"/>
    <cellStyle name="PSDec" xfId="74"/>
    <cellStyle name="PSHeading" xfId="75"/>
    <cellStyle name="PSInt" xfId="76"/>
    <cellStyle name="PSSpacer" xfId="77"/>
    <cellStyle name="Separador de milhares 2" xfId="78"/>
    <cellStyle name="Separador de milhares 2 2" xfId="79"/>
    <cellStyle name="Separador de milhares 3" xfId="80"/>
    <cellStyle name="Separador de milhares 4" xfId="81"/>
    <cellStyle name="Title" xfId="82"/>
    <cellStyle name="Título 3 2" xfId="12"/>
    <cellStyle name="Update" xfId="112"/>
    <cellStyle name="Vírgula 2" xfId="10"/>
    <cellStyle name="Warning Text" xfId="83"/>
  </cellStyles>
  <dxfs count="1">
    <dxf>
      <font>
        <b/>
        <i val="0"/>
        <color theme="0"/>
      </font>
      <fill>
        <patternFill>
          <bgColor rgb="FFFF0000"/>
        </patternFill>
      </fill>
    </dxf>
  </dxfs>
  <tableStyles count="0" defaultTableStyle="TableStyleMedium2" defaultPivotStyle="PivotStyleLight16"/>
  <colors>
    <mruColors>
      <color rgb="FFFFFFCC"/>
      <color rgb="FFCCECFF"/>
      <color rgb="FF7D96A4"/>
      <color rgb="FFFFFF66"/>
      <color rgb="FFFF33CC"/>
      <color rgb="FFF2B800"/>
      <color rgb="FFF6E166"/>
      <color rgb="FFAEBD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customXml" Target="../customXml/item3.xml"/><Relationship Id="rId10" Type="http://schemas.openxmlformats.org/officeDocument/2006/relationships/externalLink" Target="externalLinks/externalLink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38100</xdr:rowOff>
    </xdr:from>
    <xdr:to>
      <xdr:col>0</xdr:col>
      <xdr:colOff>685800</xdr:colOff>
      <xdr:row>0</xdr:row>
      <xdr:rowOff>619125</xdr:rowOff>
    </xdr:to>
    <xdr:pic>
      <xdr:nvPicPr>
        <xdr:cNvPr id="3" name="Picture 11"/>
        <xdr:cNvPicPr>
          <a:picLocks noChangeAspect="1"/>
        </xdr:cNvPicPr>
      </xdr:nvPicPr>
      <xdr:blipFill>
        <a:blip xmlns:r="http://schemas.openxmlformats.org/officeDocument/2006/relationships" r:embed="rId1" cstate="print"/>
        <a:srcRect/>
        <a:stretch>
          <a:fillRect/>
        </a:stretch>
      </xdr:blipFill>
      <xdr:spPr bwMode="auto">
        <a:xfrm>
          <a:off x="47625" y="38100"/>
          <a:ext cx="647666" cy="58340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47625</xdr:rowOff>
    </xdr:from>
    <xdr:to>
      <xdr:col>0</xdr:col>
      <xdr:colOff>676275</xdr:colOff>
      <xdr:row>0</xdr:row>
      <xdr:rowOff>628650</xdr:rowOff>
    </xdr:to>
    <xdr:pic>
      <xdr:nvPicPr>
        <xdr:cNvPr id="3" name="Picture 11"/>
        <xdr:cNvPicPr>
          <a:picLocks noChangeAspect="1"/>
        </xdr:cNvPicPr>
      </xdr:nvPicPr>
      <xdr:blipFill>
        <a:blip xmlns:r="http://schemas.openxmlformats.org/officeDocument/2006/relationships" r:embed="rId1" cstate="print"/>
        <a:srcRect/>
        <a:stretch>
          <a:fillRect/>
        </a:stretch>
      </xdr:blipFill>
      <xdr:spPr bwMode="auto">
        <a:xfrm>
          <a:off x="38100" y="47625"/>
          <a:ext cx="647666" cy="58340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133350</xdr:colOff>
      <xdr:row>0</xdr:row>
      <xdr:rowOff>57150</xdr:rowOff>
    </xdr:from>
    <xdr:to>
      <xdr:col>0</xdr:col>
      <xdr:colOff>771525</xdr:colOff>
      <xdr:row>2</xdr:row>
      <xdr:rowOff>161925</xdr:rowOff>
    </xdr:to>
    <xdr:pic>
      <xdr:nvPicPr>
        <xdr:cNvPr id="2" name="Picture 11"/>
        <xdr:cNvPicPr>
          <a:picLocks noChangeAspect="1"/>
        </xdr:cNvPicPr>
      </xdr:nvPicPr>
      <xdr:blipFill>
        <a:blip xmlns:r="http://schemas.openxmlformats.org/officeDocument/2006/relationships" r:embed="rId1" cstate="print"/>
        <a:srcRect/>
        <a:stretch>
          <a:fillRect/>
        </a:stretch>
      </xdr:blipFill>
      <xdr:spPr bwMode="auto">
        <a:xfrm>
          <a:off x="134178" y="111124"/>
          <a:ext cx="648989" cy="583407"/>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104775</xdr:colOff>
      <xdr:row>140</xdr:row>
      <xdr:rowOff>57150</xdr:rowOff>
    </xdr:from>
    <xdr:to>
      <xdr:col>0</xdr:col>
      <xdr:colOff>723900</xdr:colOff>
      <xdr:row>141</xdr:row>
      <xdr:rowOff>66675</xdr:rowOff>
    </xdr:to>
    <xdr:pic>
      <xdr:nvPicPr>
        <xdr:cNvPr id="3" name="Picture 11"/>
        <xdr:cNvPicPr>
          <a:picLocks noChangeAspect="1"/>
        </xdr:cNvPicPr>
      </xdr:nvPicPr>
      <xdr:blipFill>
        <a:blip xmlns:r="http://schemas.openxmlformats.org/officeDocument/2006/relationships" r:embed="rId1" cstate="print"/>
        <a:srcRect/>
        <a:stretch>
          <a:fillRect/>
        </a:stretch>
      </xdr:blipFill>
      <xdr:spPr bwMode="auto">
        <a:xfrm>
          <a:off x="110362" y="58207"/>
          <a:ext cx="627826" cy="58340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ockpit%20Indicadores_GEST&#195;O%20COMERCIAL%20-%20LATAM%20+%20M&#201;XICO.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BKO-xxxx_V1_EMBRAER%20Phenom_Esforco_20080118.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pa%20BSC%20BF%20-%20Atualiza&#231;&#227;o%20Indicadores%20Operacionais.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BBKO-00xxx_V1_Cromex%20Upgrade_Custos%20&amp;%20Crono_20090118.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BBKO-0xxx_V1_TARGET_UMICORE%20Upgrade_Esforcos_2007112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243;pia%20de%20Auto%20Atendimento%20REQUERIMENTOS_v2908.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Cockpit%20Indicadores_Gest&#227;o%20da%20Qualidade.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LANO_DE_A&#199;&#195;O_Com_MACRO_CRONOGRAMA.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Sistematica%20de%20Reuni&#245;es%20Gest&#227;o%20de%20Performance.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Mapa%20de%20Impactos%20para%20Gest&#227;o%20de%20Mudan&#231;a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inel de Navegação"/>
      <sheetName val="Calendário Resumido"/>
      <sheetName val="Calendário GG de Resultado"/>
      <sheetName val="PEP"/>
      <sheetName val="One Page"/>
      <sheetName val="Gráficos One-Page"/>
      <sheetName val="Cockpit Indicadores"/>
      <sheetName val="Gráficos Cockpit"/>
      <sheetName val="Análise Gráfico"/>
      <sheetName val="Input Comentários"/>
      <sheetName val="P.Indicadores"/>
      <sheetName val="Parametros"/>
      <sheetName val="Modelo Plano de Ação"/>
      <sheetName val="input real"/>
      <sheetName val="input meta"/>
      <sheetName val="Acompanhamento"/>
      <sheetName val="AUXILIAR"/>
      <sheetName val="Validações"/>
      <sheetName val="Plano de Ação PI.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2">
          <cell r="B42" t="str">
            <v>Desenvolvimento Sustentável</v>
          </cell>
        </row>
        <row r="43">
          <cell r="B43" t="str">
            <v>Processos Internos</v>
          </cell>
        </row>
        <row r="44">
          <cell r="B44" t="str">
            <v>Clientes</v>
          </cell>
        </row>
        <row r="45">
          <cell r="B45" t="str">
            <v>Aprendizagem</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
      <sheetName val="Análise"/>
      <sheetName val="U.Neg."/>
      <sheetName val="Ref-Tx.Venda"/>
      <sheetName val="Taxas de Custo"/>
      <sheetName val="Desp.Inclusas Fatur."/>
      <sheetName val="Desp.não Reemb."/>
      <sheetName val="Custo MOD"/>
    </sheetNames>
    <sheetDataSet>
      <sheetData sheetId="0"/>
      <sheetData sheetId="1">
        <row r="3">
          <cell r="AC3" t="str">
            <v>Não</v>
          </cell>
        </row>
      </sheetData>
      <sheetData sheetId="2"/>
      <sheetData sheetId="3"/>
      <sheetData sheetId="4"/>
      <sheetData sheetId="5"/>
      <sheetData sheetId="6"/>
      <sheetData sheetId="7">
        <row r="27">
          <cell r="D27">
            <v>0.28418481227593345</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c_corp BF"/>
      <sheetName val="Piloto"/>
      <sheetName val="Plan1"/>
      <sheetName val="pendencias"/>
      <sheetName val="Farol"/>
    </sheetNames>
    <sheetDataSet>
      <sheetData sheetId="0">
        <row r="1">
          <cell r="A1" t="str">
            <v>PERSPECTIVA</v>
          </cell>
          <cell r="B1" t="str">
            <v>OBJETIVO ESTRATÉGICO</v>
          </cell>
          <cell r="C1" t="str">
            <v>INDICADOR</v>
          </cell>
          <cell r="D1" t="str">
            <v>FÓRMULA DE CÁLCULO</v>
          </cell>
          <cell r="E1" t="str">
            <v>PERIODIC.</v>
          </cell>
          <cell r="F1" t="str">
            <v>OWNER</v>
          </cell>
          <cell r="G1" t="str">
            <v>LIDER</v>
          </cell>
          <cell r="H1">
            <v>2004</v>
          </cell>
          <cell r="I1">
            <v>2005</v>
          </cell>
          <cell r="J1" t="str">
            <v>PN 2006</v>
          </cell>
          <cell r="K1" t="str">
            <v>ORIGEM DOS DADOS</v>
          </cell>
        </row>
        <row r="2">
          <cell r="A2" t="str">
            <v>FINANÇAS</v>
          </cell>
          <cell r="B2" t="str">
            <v>Cumprir o fluxo de caixa</v>
          </cell>
          <cell r="C2" t="str">
            <v>Fluxo de Caixa</v>
          </cell>
          <cell r="D2" t="str">
            <v>Fluxo de Caixa Realizado / Fluxo de Caixa Orçado</v>
          </cell>
          <cell r="E2" t="str">
            <v>Mensal</v>
          </cell>
          <cell r="F2" t="str">
            <v>Bussular</v>
          </cell>
          <cell r="G2" t="str">
            <v>Denis</v>
          </cell>
        </row>
        <row r="3">
          <cell r="B3" t="str">
            <v>Maximizar a GOC</v>
          </cell>
          <cell r="C3" t="str">
            <v>GOC</v>
          </cell>
          <cell r="D3" t="str">
            <v>GOC Realizada / GOC Orçada</v>
          </cell>
          <cell r="E3" t="str">
            <v>Mensal</v>
          </cell>
          <cell r="F3" t="str">
            <v>Bussular</v>
          </cell>
          <cell r="G3" t="str">
            <v>Denis</v>
          </cell>
          <cell r="I3">
            <v>188716.64705999999</v>
          </cell>
        </row>
        <row r="4">
          <cell r="B4" t="str">
            <v>Aumentar EBITDA</v>
          </cell>
          <cell r="C4" t="str">
            <v>EBITDA</v>
          </cell>
          <cell r="D4" t="str">
            <v>EBITDA Realizado / EBITDA Orçado</v>
          </cell>
          <cell r="E4" t="str">
            <v>Mensal</v>
          </cell>
          <cell r="F4" t="str">
            <v>Bussular</v>
          </cell>
          <cell r="G4" t="str">
            <v>Milton</v>
          </cell>
          <cell r="I4">
            <v>178020.00461</v>
          </cell>
        </row>
        <row r="5">
          <cell r="B5" t="str">
            <v>Aumentar a receita operacional líquida</v>
          </cell>
          <cell r="C5" t="str">
            <v>Receita Líquida</v>
          </cell>
          <cell r="D5" t="str">
            <v>Receita Líquida Realizada / Receita Líquida Orçada</v>
          </cell>
          <cell r="E5" t="str">
            <v>Mensal</v>
          </cell>
          <cell r="F5" t="str">
            <v>Bussular</v>
          </cell>
          <cell r="G5" t="str">
            <v>Milton</v>
          </cell>
          <cell r="I5">
            <v>656634.02570999996</v>
          </cell>
        </row>
        <row r="6">
          <cell r="B6" t="str">
            <v>Reduzir custos</v>
          </cell>
          <cell r="C6" t="str">
            <v>Orçamento de Custeio</v>
          </cell>
          <cell r="D6" t="str">
            <v>Orçamento Realizado / Orçamento Orçado</v>
          </cell>
          <cell r="E6" t="str">
            <v>Mensal</v>
          </cell>
          <cell r="F6" t="str">
            <v>Salomão</v>
          </cell>
          <cell r="G6" t="str">
            <v>Marcelo Conde</v>
          </cell>
        </row>
        <row r="8">
          <cell r="A8" t="str">
            <v>CLIENTES</v>
          </cell>
          <cell r="B8" t="str">
            <v>Melhorar Mix de produtos</v>
          </cell>
          <cell r="C8" t="str">
            <v>Concentração de Produto</v>
          </cell>
          <cell r="D8" t="str">
            <v>TU da Carteira de Grãos / TU Total</v>
          </cell>
          <cell r="E8" t="str">
            <v>Mensal</v>
          </cell>
          <cell r="F8" t="str">
            <v>Wilson</v>
          </cell>
          <cell r="G8" t="str">
            <v>Wilson</v>
          </cell>
          <cell r="H8">
            <v>0.63</v>
          </cell>
          <cell r="I8">
            <v>0.64</v>
          </cell>
          <cell r="K8" t="str">
            <v>Sigefer</v>
          </cell>
        </row>
        <row r="9">
          <cell r="B9" t="str">
            <v>Aumentar os volumes transportados</v>
          </cell>
          <cell r="C9" t="str">
            <v>TU</v>
          </cell>
          <cell r="D9" t="str">
            <v>TU Realizado / TU Orçado</v>
          </cell>
          <cell r="E9" t="str">
            <v>Mensal</v>
          </cell>
          <cell r="F9" t="str">
            <v>Wilson</v>
          </cell>
          <cell r="G9" t="str">
            <v>Wilson/Zani</v>
          </cell>
          <cell r="H9">
            <v>0.84</v>
          </cell>
          <cell r="I9">
            <v>0.95</v>
          </cell>
          <cell r="K9" t="str">
            <v>Sigefer</v>
          </cell>
        </row>
        <row r="10">
          <cell r="B10" t="str">
            <v>Melhorar a satisfação dos clientes</v>
          </cell>
          <cell r="C10" t="str">
            <v>Pesquisa de Satisfação</v>
          </cell>
          <cell r="D10" t="str">
            <v>Pesquisa Realizada através de Consultoria Externa</v>
          </cell>
          <cell r="E10" t="str">
            <v>Anual</v>
          </cell>
          <cell r="F10" t="str">
            <v>Wilson</v>
          </cell>
          <cell r="G10" t="str">
            <v>Adriano</v>
          </cell>
          <cell r="K10" t="str">
            <v>Pesquisa</v>
          </cell>
        </row>
        <row r="12">
          <cell r="A12" t="str">
            <v>PROCESSOS</v>
          </cell>
          <cell r="B12" t="str">
            <v>Elaborar projetos com clientes</v>
          </cell>
          <cell r="C12" t="str">
            <v>Aderência de Prazo</v>
          </cell>
          <cell r="D12" t="str">
            <v>Prazo de Conclusão do Projeto / Prazo Acordado</v>
          </cell>
          <cell r="E12" t="str">
            <v>Trimestral</v>
          </cell>
          <cell r="F12" t="str">
            <v>Wilson</v>
          </cell>
          <cell r="G12" t="str">
            <v>Adriano</v>
          </cell>
        </row>
        <row r="13">
          <cell r="B13" t="str">
            <v>Reduzir custos financeiros</v>
          </cell>
          <cell r="C13" t="str">
            <v>Valores Atrasados</v>
          </cell>
          <cell r="D13" t="str">
            <v>Valor Multas e Juros Pagos / Valor Total Pago</v>
          </cell>
          <cell r="E13" t="str">
            <v>Mensal</v>
          </cell>
          <cell r="F13" t="str">
            <v>Bussular</v>
          </cell>
          <cell r="G13" t="str">
            <v>Denis</v>
          </cell>
        </row>
        <row r="14">
          <cell r="C14" t="str">
            <v>Quantidade de Títulos Atrasados</v>
          </cell>
          <cell r="D14" t="str">
            <v>Qtde de Títulos Atrasados / Qtde de Títulos Totais</v>
          </cell>
          <cell r="E14" t="str">
            <v>Mensal</v>
          </cell>
          <cell r="F14" t="str">
            <v>Bussular</v>
          </cell>
          <cell r="G14" t="str">
            <v>Denis</v>
          </cell>
        </row>
        <row r="15">
          <cell r="B15" t="str">
            <v>Definir condições contratuais e de preços</v>
          </cell>
          <cell r="C15" t="str">
            <v>Produto Médio</v>
          </cell>
          <cell r="D15" t="str">
            <v>Receita / Mtku</v>
          </cell>
          <cell r="E15" t="str">
            <v>Mensal</v>
          </cell>
          <cell r="F15" t="str">
            <v>Wilson</v>
          </cell>
          <cell r="G15" t="str">
            <v>Wilson/Zani</v>
          </cell>
          <cell r="H15">
            <v>59.4</v>
          </cell>
          <cell r="I15">
            <v>64.239999999999995</v>
          </cell>
          <cell r="K15" t="str">
            <v>Sigefer</v>
          </cell>
        </row>
        <row r="16">
          <cell r="C16" t="str">
            <v>Take or Pay</v>
          </cell>
          <cell r="D16" t="str">
            <v>Valor Recebido / Valor Contratual</v>
          </cell>
          <cell r="E16" t="str">
            <v>Mensal</v>
          </cell>
        </row>
        <row r="17">
          <cell r="D17" t="str">
            <v>Valor Pago / Valor Contratual</v>
          </cell>
        </row>
        <row r="18">
          <cell r="C18" t="str">
            <v>Volumes</v>
          </cell>
          <cell r="D18" t="str">
            <v>TU Realizado / Volume Contratual</v>
          </cell>
          <cell r="E18" t="str">
            <v>Mensal</v>
          </cell>
        </row>
        <row r="19">
          <cell r="B19" t="str">
            <v>Disponibilizar serviços de TI + eficazes</v>
          </cell>
          <cell r="C19" t="str">
            <v>Disponibilidade de Sistemas de Informação</v>
          </cell>
          <cell r="D19" t="str">
            <v>Número de Horas Efetivas Disponíveis / Número de Horas Total Mês (Considerar Peso do Serviço)</v>
          </cell>
          <cell r="E19" t="str">
            <v>Mensal</v>
          </cell>
          <cell r="F19" t="str">
            <v>Salomão</v>
          </cell>
          <cell r="G19" t="str">
            <v>Amauri Boone</v>
          </cell>
          <cell r="H19">
            <v>0.99639999999999995</v>
          </cell>
          <cell r="I19">
            <v>0.99760000000000004</v>
          </cell>
          <cell r="J19">
            <v>0.99850000000000005</v>
          </cell>
          <cell r="K19" t="str">
            <v>Planilha</v>
          </cell>
        </row>
        <row r="20">
          <cell r="C20" t="str">
            <v>Disponibilidade de Equiptos e Sistemas Ferroviários (Automação)</v>
          </cell>
          <cell r="D20" t="str">
            <v>Qtde de Equipamentos Efetivos Disponíveis / Qtde de Equipamentos Totais</v>
          </cell>
          <cell r="E20" t="str">
            <v>Mensal</v>
          </cell>
          <cell r="H20">
            <v>0.92900000000000005</v>
          </cell>
          <cell r="I20">
            <v>0.95899999999999996</v>
          </cell>
          <cell r="J20">
            <v>0.97</v>
          </cell>
          <cell r="K20" t="str">
            <v>Planilha</v>
          </cell>
        </row>
        <row r="21">
          <cell r="C21" t="str">
            <v>Disponibilidade de Equiptos e Sistemas de Terminais (Automação)</v>
          </cell>
          <cell r="D21" t="str">
            <v>Qtde de Equipamentos Efetivos Disponíveis / Qtde de Equipamentos Totais</v>
          </cell>
          <cell r="E21" t="str">
            <v>Mensal</v>
          </cell>
          <cell r="I21">
            <v>0.89600000000000002</v>
          </cell>
          <cell r="J21">
            <v>0.9</v>
          </cell>
          <cell r="K21" t="str">
            <v>Planilha</v>
          </cell>
        </row>
        <row r="22">
          <cell r="B22" t="str">
            <v>Garantir a execução dos projetos de investimentos</v>
          </cell>
          <cell r="C22" t="str">
            <v>Índice de Desempenho do Custo</v>
          </cell>
          <cell r="D22" t="str">
            <v>Custo Orçado do Trabalho Executado / Custo Real do Trabalho Executado</v>
          </cell>
          <cell r="E22" t="str">
            <v>Mensal</v>
          </cell>
          <cell r="F22" t="str">
            <v>Rodrigo Nunes</v>
          </cell>
          <cell r="G22" t="str">
            <v>Rodrigo Nunes</v>
          </cell>
        </row>
        <row r="23">
          <cell r="C23" t="str">
            <v>Índice de Desempenho do Prazo</v>
          </cell>
          <cell r="D23" t="str">
            <v>Trabalho Executado / Trabalho Previsto</v>
          </cell>
          <cell r="E23" t="str">
            <v>Mensal</v>
          </cell>
        </row>
        <row r="24">
          <cell r="B24" t="str">
            <v>Garantir suprimentos</v>
          </cell>
          <cell r="C24" t="str">
            <v>Tempo de Ciclo de Pedidos</v>
          </cell>
          <cell r="D24" t="str">
            <v>Data de Fechamento do Pedido - Data da Solicitação do Pedido</v>
          </cell>
          <cell r="E24" t="str">
            <v>Mensal</v>
          </cell>
          <cell r="F24" t="str">
            <v>Salomão</v>
          </cell>
          <cell r="G24" t="str">
            <v>Odair</v>
          </cell>
          <cell r="I24">
            <v>35</v>
          </cell>
          <cell r="J24">
            <v>15</v>
          </cell>
          <cell r="K24" t="str">
            <v>Planilha</v>
          </cell>
        </row>
        <row r="25">
          <cell r="C25" t="str">
            <v>Resultado de Negociações</v>
          </cell>
          <cell r="D25" t="str">
            <v>Valor de Aquisição / Valor Orçado</v>
          </cell>
          <cell r="E25" t="str">
            <v>Mensal</v>
          </cell>
          <cell r="K25" t="str">
            <v>Planilha</v>
          </cell>
        </row>
        <row r="26">
          <cell r="C26" t="str">
            <v>Prazo Médio de Pagamentos</v>
          </cell>
          <cell r="D26" t="str">
            <v>Média de Dias entre a Data de Fechamento do Pedido e a Data Negociada de Pagamento</v>
          </cell>
          <cell r="E26" t="str">
            <v>Mensal</v>
          </cell>
          <cell r="J26">
            <v>25</v>
          </cell>
          <cell r="K26" t="str">
            <v>Planilha</v>
          </cell>
        </row>
        <row r="27">
          <cell r="B27" t="str">
            <v>Maximizar a produtividade dos ativos</v>
          </cell>
          <cell r="C27" t="str">
            <v>Produtividade de Locomotivas</v>
          </cell>
          <cell r="D27" t="str">
            <v>Tku Tracionado/Kgf Disponível Realizado (Consolidado das frotas Dash 9, C-30 e U20C)</v>
          </cell>
          <cell r="E27" t="str">
            <v>Mensal</v>
          </cell>
          <cell r="F27" t="str">
            <v>Alvaro/Nelson</v>
          </cell>
          <cell r="G27" t="str">
            <v>Buss</v>
          </cell>
          <cell r="H27">
            <v>142</v>
          </cell>
          <cell r="I27">
            <v>142</v>
          </cell>
          <cell r="K27" t="str">
            <v>Sigefer</v>
          </cell>
        </row>
        <row r="28">
          <cell r="C28" t="str">
            <v>Produtividade de Vagões</v>
          </cell>
          <cell r="D28" t="str">
            <v>Tku Gerado/Vagão Graneleiro Realizado</v>
          </cell>
          <cell r="E28" t="str">
            <v>Mensal</v>
          </cell>
          <cell r="F28" t="str">
            <v>Alvaro/Nelson</v>
          </cell>
          <cell r="G28" t="str">
            <v>Buss</v>
          </cell>
          <cell r="H28">
            <v>209</v>
          </cell>
          <cell r="I28">
            <v>222</v>
          </cell>
          <cell r="K28" t="str">
            <v>Sigefer</v>
          </cell>
        </row>
        <row r="29">
          <cell r="D29" t="str">
            <v>Tku Gerado/Vagão Tanque Realizado</v>
          </cell>
          <cell r="H29">
            <v>142</v>
          </cell>
          <cell r="I29">
            <v>141</v>
          </cell>
          <cell r="K29" t="str">
            <v>Sigefer</v>
          </cell>
        </row>
        <row r="30">
          <cell r="C30" t="str">
            <v>Disponibilidade de Locomotivas</v>
          </cell>
          <cell r="D30" t="str">
            <v>Tempo Total de Locos Disponíveis / Tempo Total de Locos efetivamente Existentes (Consolidado das frotas Dash 9, C-30 e U20C)</v>
          </cell>
          <cell r="E30" t="str">
            <v>Mensal</v>
          </cell>
          <cell r="F30" t="str">
            <v>Alvaro/Nelson</v>
          </cell>
          <cell r="G30" t="str">
            <v>Buss</v>
          </cell>
          <cell r="H30">
            <v>0.83</v>
          </cell>
          <cell r="I30">
            <v>0.76</v>
          </cell>
          <cell r="K30" t="str">
            <v>Sigefer</v>
          </cell>
        </row>
        <row r="31">
          <cell r="C31" t="str">
            <v>Confiabilidade de Locomotivas (MKBF - Média móvel 6 meses)</v>
          </cell>
          <cell r="D31" t="str">
            <v>Distância Total percorrida em Km / Número de falhas que provocaram impacto no ciclo (Consolidado das frotas Dash 9, C-30 e U20C)</v>
          </cell>
          <cell r="E31" t="str">
            <v>Mensal</v>
          </cell>
          <cell r="F31" t="str">
            <v>Alvaro/Nelson</v>
          </cell>
          <cell r="G31" t="str">
            <v>Buss</v>
          </cell>
          <cell r="H31">
            <v>8228</v>
          </cell>
          <cell r="I31">
            <v>8610</v>
          </cell>
          <cell r="K31" t="str">
            <v>Sigefer</v>
          </cell>
        </row>
        <row r="32">
          <cell r="C32" t="str">
            <v>Disponibilidade de Vagões</v>
          </cell>
          <cell r="D32" t="str">
            <v>Tempo Total de Vagões Graneleiros Disponíveis / Tempo Total de Vagões Graneleiros Existentes</v>
          </cell>
          <cell r="E32" t="str">
            <v>Mensal</v>
          </cell>
          <cell r="F32" t="str">
            <v>Alvaro/Nelson</v>
          </cell>
          <cell r="G32" t="str">
            <v>Buss</v>
          </cell>
          <cell r="H32">
            <v>0.86</v>
          </cell>
          <cell r="I32">
            <v>0.81</v>
          </cell>
          <cell r="K32" t="str">
            <v>Sigefer</v>
          </cell>
        </row>
        <row r="33">
          <cell r="D33" t="str">
            <v>Tempo Total de Vagões Tanques Disponíveis / Tempo Total de Vagões Tanques Existentes</v>
          </cell>
          <cell r="G33" t="str">
            <v>Buss</v>
          </cell>
          <cell r="H33">
            <v>0.86</v>
          </cell>
          <cell r="I33">
            <v>0.91</v>
          </cell>
          <cell r="K33" t="str">
            <v>Sigefer</v>
          </cell>
        </row>
        <row r="34">
          <cell r="C34" t="str">
            <v>Giro de Estoque de Terminais</v>
          </cell>
          <cell r="D34" t="str">
            <v>Volume de Produto Movimentado / Capacidade dos Terminais - Interior</v>
          </cell>
          <cell r="E34" t="str">
            <v>Mensal</v>
          </cell>
          <cell r="F34" t="str">
            <v>Alvaro</v>
          </cell>
          <cell r="G34" t="str">
            <v>Romeu</v>
          </cell>
          <cell r="I34">
            <v>4.8099999999999996</v>
          </cell>
          <cell r="K34" t="str">
            <v>Planilha</v>
          </cell>
        </row>
        <row r="35">
          <cell r="D35" t="str">
            <v>Volume de Produto Movimentado / Capacidade dos Terminais - Portuário</v>
          </cell>
          <cell r="I35">
            <v>0.96</v>
          </cell>
          <cell r="K35" t="str">
            <v>Planilha</v>
          </cell>
        </row>
        <row r="36">
          <cell r="C36" t="str">
            <v xml:space="preserve">Disponibilidade de Segmento (Função Manutenção VP) </v>
          </cell>
          <cell r="D36" t="str">
            <v xml:space="preserve">Por Segmento: Somatório (((Km Final com Restrição - Km Inicial com Restrição) x (Veloc. Especificada - Veloc. Praticada)) / Extensão Total) x Grau de Saturação </v>
          </cell>
          <cell r="E36" t="str">
            <v>Mensal</v>
          </cell>
          <cell r="F36" t="str">
            <v>Alvaro/Nelson</v>
          </cell>
          <cell r="G36" t="str">
            <v>Buss</v>
          </cell>
        </row>
        <row r="37">
          <cell r="B37" t="str">
            <v>Garantir a produção</v>
          </cell>
          <cell r="C37" t="str">
            <v>Acidente por Milhão de Trem Km</v>
          </cell>
          <cell r="D37" t="str">
            <v>Número de Acidentes / Milhão de Trem Km</v>
          </cell>
          <cell r="E37" t="str">
            <v>Mensal</v>
          </cell>
          <cell r="F37" t="str">
            <v>Alvaro/Nelson</v>
          </cell>
          <cell r="G37" t="str">
            <v>Buss</v>
          </cell>
          <cell r="H37">
            <v>43</v>
          </cell>
          <cell r="I37">
            <v>45</v>
          </cell>
          <cell r="K37" t="str">
            <v>Sigefer</v>
          </cell>
        </row>
        <row r="38">
          <cell r="C38" t="str">
            <v>Volumes</v>
          </cell>
          <cell r="D38" t="str">
            <v>Tku Realizada / Tku Orçada</v>
          </cell>
          <cell r="E38" t="str">
            <v>Mensal</v>
          </cell>
          <cell r="F38" t="str">
            <v>Alvaro/Nelson</v>
          </cell>
          <cell r="G38" t="str">
            <v>Buss</v>
          </cell>
          <cell r="H38">
            <v>0.83</v>
          </cell>
          <cell r="I38">
            <v>0.93</v>
          </cell>
          <cell r="K38" t="str">
            <v>Sigefer</v>
          </cell>
        </row>
        <row r="39">
          <cell r="C39" t="str">
            <v>Receita-Carregamento/Dia</v>
          </cell>
          <cell r="D39" t="str">
            <v>(Receita / Carregamento-Dia) Realizado</v>
          </cell>
          <cell r="E39" t="str">
            <v>Mensal</v>
          </cell>
          <cell r="F39" t="str">
            <v>Alvaro/Nelson</v>
          </cell>
          <cell r="G39" t="str">
            <v>Buss</v>
          </cell>
          <cell r="H39">
            <v>362.39</v>
          </cell>
          <cell r="I39">
            <v>401.67</v>
          </cell>
          <cell r="K39" t="str">
            <v>Sigefer</v>
          </cell>
        </row>
        <row r="40">
          <cell r="C40" t="str">
            <v>Utilização da Disponibilidade de Locomotivas</v>
          </cell>
          <cell r="D40" t="str">
            <v>Alocação de Locomotivas em Trem / Locomotivas Disponíveis (Consolidado das frotas Dash 9, C-30 e U20C)</v>
          </cell>
          <cell r="E40" t="str">
            <v>Mensal</v>
          </cell>
          <cell r="F40" t="str">
            <v>Alvaro/Nelson</v>
          </cell>
          <cell r="G40" t="str">
            <v>Buss</v>
          </cell>
          <cell r="H40">
            <v>0.65</v>
          </cell>
          <cell r="I40">
            <v>0.66</v>
          </cell>
          <cell r="K40" t="str">
            <v>Sigefer</v>
          </cell>
        </row>
        <row r="41">
          <cell r="C41" t="str">
            <v>Taxa Média de Parada</v>
          </cell>
          <cell r="D41" t="str">
            <v>Trem-Hora Parado / Trem-Hora Total</v>
          </cell>
          <cell r="E41" t="str">
            <v>Mensal</v>
          </cell>
          <cell r="F41" t="str">
            <v>Alvaro/Nelson</v>
          </cell>
          <cell r="G41" t="str">
            <v>Buss</v>
          </cell>
          <cell r="H41">
            <v>0.46</v>
          </cell>
          <cell r="I41">
            <v>0.5</v>
          </cell>
          <cell r="K41" t="str">
            <v>Sigefer</v>
          </cell>
        </row>
        <row r="42">
          <cell r="C42" t="str">
            <v>Taxa de Ocupação de Trem Tipo</v>
          </cell>
          <cell r="D42" t="str">
            <v>Tb Tracionada Realizada / Tb Trem Tipo Orçada TAG-ZPG</v>
          </cell>
          <cell r="E42" t="str">
            <v>Mensal</v>
          </cell>
          <cell r="F42" t="str">
            <v>Alvaro/Nelson</v>
          </cell>
          <cell r="G42" t="str">
            <v>Buss</v>
          </cell>
          <cell r="H42">
            <v>0.97</v>
          </cell>
          <cell r="I42">
            <v>0.96</v>
          </cell>
          <cell r="K42" t="str">
            <v>Sigefer</v>
          </cell>
        </row>
        <row r="43">
          <cell r="D43" t="str">
            <v>Tb Tracionada Realizada / Tb Trem Tipo Orçada TOM-ZPG</v>
          </cell>
          <cell r="H43">
            <v>0.93</v>
          </cell>
          <cell r="I43">
            <v>0.94</v>
          </cell>
          <cell r="K43" t="str">
            <v>Sigefer</v>
          </cell>
        </row>
        <row r="44">
          <cell r="D44" t="str">
            <v>Tb Tracionada Realizada / Tb Trem Tipo Orçada ZAR-ZPG</v>
          </cell>
          <cell r="H44">
            <v>0.93</v>
          </cell>
          <cell r="I44">
            <v>0.94</v>
          </cell>
          <cell r="K44" t="str">
            <v>Sigefer</v>
          </cell>
        </row>
        <row r="45">
          <cell r="C45" t="str">
            <v>Taxa de Ocupação de Vagões</v>
          </cell>
          <cell r="D45" t="str">
            <v>TU-Vagão Graneleiro Carregado / Capacidade TU-Vagão Graneleiro</v>
          </cell>
          <cell r="E45" t="str">
            <v>Mensal</v>
          </cell>
          <cell r="F45" t="str">
            <v>Alvaro/Nelson</v>
          </cell>
          <cell r="G45" t="str">
            <v>Buss</v>
          </cell>
          <cell r="H45">
            <v>0.9</v>
          </cell>
          <cell r="I45">
            <v>0.9</v>
          </cell>
          <cell r="K45" t="str">
            <v>Sigefer</v>
          </cell>
        </row>
        <row r="46">
          <cell r="C46" t="str">
            <v>Tempo de Ciclo de Vagões</v>
          </cell>
          <cell r="D46" t="str">
            <v>Média Horária de Tempo do Ciclo Fluxo TAG-ICZ/ISN (Mar-Out)</v>
          </cell>
          <cell r="E46" t="str">
            <v>Mensal</v>
          </cell>
          <cell r="F46" t="str">
            <v>Alvaro/Nelson</v>
          </cell>
          <cell r="G46" t="str">
            <v>Buss</v>
          </cell>
          <cell r="H46">
            <v>239.63</v>
          </cell>
          <cell r="I46">
            <v>253.28</v>
          </cell>
          <cell r="K46" t="str">
            <v>Sigefer</v>
          </cell>
        </row>
        <row r="47">
          <cell r="D47" t="str">
            <v>Média Horária de Tempo do Ciclo Fluxo TOM-ICZ/ISN (Mar-Out)</v>
          </cell>
          <cell r="H47">
            <v>244.23</v>
          </cell>
          <cell r="I47">
            <v>247.53</v>
          </cell>
          <cell r="K47" t="str">
            <v>Sigefer</v>
          </cell>
        </row>
        <row r="48">
          <cell r="D48" t="str">
            <v>Média Horária de Tempo do Ciclo Fluxo ZZZ-TOM</v>
          </cell>
          <cell r="H48">
            <v>182.92</v>
          </cell>
          <cell r="I48">
            <v>198.08</v>
          </cell>
          <cell r="K48" t="str">
            <v>Sigefer</v>
          </cell>
        </row>
        <row r="49">
          <cell r="D49" t="str">
            <v>Média Horária de Tempo do Ciclo Fluxo ZZZ-ZTP</v>
          </cell>
          <cell r="H49">
            <v>106.79</v>
          </cell>
          <cell r="I49">
            <v>105.09</v>
          </cell>
          <cell r="K49" t="str">
            <v>Sigefer</v>
          </cell>
        </row>
        <row r="50">
          <cell r="B50" t="str">
            <v>Reduzir a conta combustível</v>
          </cell>
          <cell r="C50" t="str">
            <v>Eficiência Energética</v>
          </cell>
          <cell r="D50" t="str">
            <v>Consumo de Combustivel / 1.000 Tkb Tracionada</v>
          </cell>
          <cell r="E50" t="str">
            <v>Mensal</v>
          </cell>
          <cell r="F50" t="str">
            <v>Alvaro/Nelson</v>
          </cell>
          <cell r="G50" t="str">
            <v>Buss</v>
          </cell>
          <cell r="H50">
            <v>6.15</v>
          </cell>
          <cell r="I50">
            <v>5.37</v>
          </cell>
          <cell r="K50" t="str">
            <v>Sigefer</v>
          </cell>
        </row>
        <row r="51">
          <cell r="C51" t="str">
            <v>Gasto com Combustível</v>
          </cell>
          <cell r="D51" t="str">
            <v>Gastos/Tku Realizado / Gastos/Tku Orçado</v>
          </cell>
          <cell r="E51" t="str">
            <v>Mensal</v>
          </cell>
          <cell r="F51" t="str">
            <v>Buss</v>
          </cell>
          <cell r="G51" t="str">
            <v>Ricardo Mesquita</v>
          </cell>
        </row>
        <row r="52">
          <cell r="B52" t="str">
            <v>Reduzir passivos legais</v>
          </cell>
          <cell r="C52" t="str">
            <v>Taxa de Redução de Ações</v>
          </cell>
          <cell r="D52" t="str">
            <v>(Número de Ações em 31/12 - Número de Ações Baixadas Acumuladas) / (Número de Ações em 31/12 + Novas Ações Acumuladas)</v>
          </cell>
          <cell r="E52" t="str">
            <v>Mensal</v>
          </cell>
          <cell r="F52" t="str">
            <v>Bussular</v>
          </cell>
          <cell r="G52" t="str">
            <v>Sergius</v>
          </cell>
          <cell r="K52" t="str">
            <v>Planilha</v>
          </cell>
        </row>
        <row r="54">
          <cell r="A54" t="str">
            <v>APRENDIZADO</v>
          </cell>
          <cell r="B54" t="str">
            <v>Introduzir melhorias e inovações em TI</v>
          </cell>
          <cell r="C54" t="str">
            <v>Nível de Projetos Implantados</v>
          </cell>
          <cell r="D54" t="str">
            <v>% de Projetos Implementados / Projetos Previstos</v>
          </cell>
          <cell r="E54" t="str">
            <v>Mensal</v>
          </cell>
          <cell r="F54" t="str">
            <v>Salomão</v>
          </cell>
          <cell r="G54" t="str">
            <v>Amauri Boone</v>
          </cell>
        </row>
        <row r="55">
          <cell r="B55" t="str">
            <v>Implementar a gestão de competências e desenvolvimento</v>
          </cell>
          <cell r="C55" t="str">
            <v>Taxa de Implementação</v>
          </cell>
          <cell r="D55" t="str">
            <v>% Realizado / Programado do Cronograma de Implementação</v>
          </cell>
          <cell r="E55" t="str">
            <v>Mensal</v>
          </cell>
          <cell r="F55" t="str">
            <v>Salomão</v>
          </cell>
          <cell r="G55" t="str">
            <v>Baqueiro</v>
          </cell>
        </row>
        <row r="56">
          <cell r="C56" t="str">
            <v>Investimento em Treinamento</v>
          </cell>
          <cell r="D56" t="str">
            <v>Total Investimento em Treinamento / Efetivo Total</v>
          </cell>
          <cell r="E56" t="str">
            <v>Mensal</v>
          </cell>
          <cell r="I56">
            <v>13.8</v>
          </cell>
          <cell r="J56">
            <v>15</v>
          </cell>
        </row>
        <row r="57">
          <cell r="B57" t="str">
            <v>Implementar o modelo de gestão de desempenho</v>
          </cell>
          <cell r="C57" t="str">
            <v>Taxa de Implementação</v>
          </cell>
          <cell r="D57" t="str">
            <v>% Realizado / Programado do Cronograma de Implementação</v>
          </cell>
          <cell r="E57" t="str">
            <v>Mensal</v>
          </cell>
          <cell r="F57" t="str">
            <v>Salomão</v>
          </cell>
          <cell r="G57" t="str">
            <v>Baqueiro</v>
          </cell>
        </row>
        <row r="58">
          <cell r="B58" t="str">
            <v>Implementar gestão de meio ambiente</v>
          </cell>
          <cell r="C58" t="str">
            <v>Taxa de Implementação</v>
          </cell>
          <cell r="D58" t="str">
            <v>% Realizado / Programado do Cronograma de Implementação do Projeto Expesso Ambiental</v>
          </cell>
          <cell r="E58" t="str">
            <v>Mensal</v>
          </cell>
          <cell r="F58" t="str">
            <v>Salomão</v>
          </cell>
          <cell r="G58" t="str">
            <v>Odair</v>
          </cell>
        </row>
        <row r="59">
          <cell r="C59" t="str">
            <v>Inspeções Ambientais</v>
          </cell>
          <cell r="D59" t="str">
            <v>Número de Inspeções Realizadas / Previstas</v>
          </cell>
          <cell r="E59" t="str">
            <v>Mensal</v>
          </cell>
          <cell r="I59">
            <v>441</v>
          </cell>
          <cell r="J59">
            <v>540</v>
          </cell>
          <cell r="K59" t="str">
            <v>Planilha</v>
          </cell>
        </row>
        <row r="60">
          <cell r="B60" t="str">
            <v>Aprimorar a relação com a comunidade, sociedade e instituições</v>
          </cell>
          <cell r="C60" t="str">
            <v>TBD</v>
          </cell>
          <cell r="D60" t="str">
            <v>TBD</v>
          </cell>
          <cell r="E60" t="str">
            <v>TBD</v>
          </cell>
        </row>
        <row r="61">
          <cell r="B61" t="str">
            <v>Implementar a gestão de clima e cultura organizacional</v>
          </cell>
          <cell r="C61" t="str">
            <v>Taxa de Implementação</v>
          </cell>
          <cell r="D61" t="str">
            <v>% Realizado / Programado do Cronograma de Implementação</v>
          </cell>
          <cell r="E61" t="str">
            <v>Mensal</v>
          </cell>
          <cell r="F61" t="str">
            <v>Salomão</v>
          </cell>
          <cell r="G61" t="str">
            <v>Baqueiro</v>
          </cell>
        </row>
        <row r="62">
          <cell r="B62" t="str">
            <v>Otimizar a gestão de captação, internalização, retenção e reconhecimento</v>
          </cell>
          <cell r="C62" t="str">
            <v>Captação de Empregados</v>
          </cell>
          <cell r="D62" t="str">
            <v>Tempo Total para preenchimento de Vagas / Número de Admissões</v>
          </cell>
          <cell r="E62" t="str">
            <v>Mensal</v>
          </cell>
          <cell r="F62" t="str">
            <v>Salomão</v>
          </cell>
          <cell r="G62" t="str">
            <v>Baqueiro</v>
          </cell>
          <cell r="J62">
            <v>15</v>
          </cell>
        </row>
        <row r="63">
          <cell r="C63" t="str">
            <v>Aproveitamento Interno</v>
          </cell>
          <cell r="D63" t="str">
            <v>Aproveitamento Interno x 100 / Número de Vagas Preenchidas</v>
          </cell>
          <cell r="E63" t="str">
            <v>Mensal</v>
          </cell>
          <cell r="I63">
            <v>6.54E-2</v>
          </cell>
          <cell r="J63">
            <v>0.1</v>
          </cell>
        </row>
        <row r="64">
          <cell r="C64" t="str">
            <v>Turn Over</v>
          </cell>
          <cell r="D64" t="str">
            <v>((Admissões + Total de Desligamentos) / 2 x 100 ) / Efetivo Total</v>
          </cell>
          <cell r="E64" t="str">
            <v>Mensal</v>
          </cell>
          <cell r="I64">
            <v>3.1300000000000001E-2</v>
          </cell>
          <cell r="J64">
            <v>1.4999999999999999E-2</v>
          </cell>
        </row>
        <row r="65">
          <cell r="B65" t="str">
            <v>Otimizar o SESMT</v>
          </cell>
          <cell r="C65" t="str">
            <v>Índice de Saúde Ocupacional</v>
          </cell>
          <cell r="D65" t="str">
            <v>Média Aritmética de % Licenças Médicas / Efetivo + % Doenças Ocupacionais / Efetivo + % Exames Periódicos Não Realizados / Programados</v>
          </cell>
          <cell r="E65" t="str">
            <v>Mensal</v>
          </cell>
          <cell r="F65" t="str">
            <v>Salomão</v>
          </cell>
          <cell r="G65" t="str">
            <v>Baqueiro</v>
          </cell>
          <cell r="I65">
            <v>0.1</v>
          </cell>
          <cell r="J65">
            <v>0.08</v>
          </cell>
        </row>
        <row r="66">
          <cell r="C66" t="str">
            <v>Taxa de Frequência de Acidente CPT</v>
          </cell>
          <cell r="D66" t="str">
            <v>Número de Acidente CPT x 1.000.000 / Horas Homem Trabalhada</v>
          </cell>
          <cell r="E66" t="str">
            <v>Mensal</v>
          </cell>
          <cell r="I66">
            <v>15</v>
          </cell>
          <cell r="J66">
            <v>10</v>
          </cell>
          <cell r="K66" t="str">
            <v>Planilha</v>
          </cell>
        </row>
      </sheetData>
      <sheetData sheetId="1">
        <row r="1">
          <cell r="A1" t="str">
            <v>PERSPECTIVA</v>
          </cell>
          <cell r="B1" t="str">
            <v>OBJETIVO ESTRATÉGICO</v>
          </cell>
          <cell r="C1" t="str">
            <v>INDICADOR</v>
          </cell>
          <cell r="D1" t="str">
            <v>FÓRMULA DE CÁLCULO</v>
          </cell>
          <cell r="E1" t="str">
            <v>PERIOD.</v>
          </cell>
          <cell r="F1" t="str">
            <v>OWNER</v>
          </cell>
          <cell r="G1" t="str">
            <v>LIDER</v>
          </cell>
          <cell r="H1">
            <v>2005</v>
          </cell>
          <cell r="I1">
            <v>2006</v>
          </cell>
          <cell r="J1" t="str">
            <v>ORIGEM DOS DADOS</v>
          </cell>
        </row>
        <row r="2">
          <cell r="A2" t="str">
            <v>FINANÇAS</v>
          </cell>
          <cell r="B2" t="str">
            <v>Aumentar a receita operacional bruta</v>
          </cell>
          <cell r="C2" t="str">
            <v>Receita Opercional Bruta</v>
          </cell>
          <cell r="D2" t="str">
            <v>Fluxo de Caixa Realizado / Fluxo de Caixa Orçado</v>
          </cell>
          <cell r="E2" t="str">
            <v>Mensal</v>
          </cell>
          <cell r="F2" t="str">
            <v>Bussular</v>
          </cell>
          <cell r="G2" t="str">
            <v>Denis</v>
          </cell>
          <cell r="I2" t="str">
            <v>A ser informado</v>
          </cell>
          <cell r="J2" t="str">
            <v>Microsiga</v>
          </cell>
        </row>
        <row r="4">
          <cell r="A4" t="str">
            <v>PROCESSOS</v>
          </cell>
          <cell r="B4" t="str">
            <v>Disponibilizar serviços de TI + eficazes</v>
          </cell>
          <cell r="C4" t="str">
            <v>Disponibilidade de Sistemas de Informação</v>
          </cell>
          <cell r="D4" t="str">
            <v xml:space="preserve">Número de Horas Efetivas Disponíveis / Número de Horas Total Mês </v>
          </cell>
          <cell r="E4" t="str">
            <v>Mensal</v>
          </cell>
          <cell r="F4" t="str">
            <v>Salomão</v>
          </cell>
          <cell r="G4" t="str">
            <v>Amauri Boone</v>
          </cell>
          <cell r="H4">
            <v>0.99760000000000004</v>
          </cell>
          <cell r="I4">
            <v>0.99850000000000005</v>
          </cell>
          <cell r="J4" t="str">
            <v>Planilha</v>
          </cell>
        </row>
        <row r="5">
          <cell r="B5" t="str">
            <v>Garantir suprimentos</v>
          </cell>
          <cell r="C5" t="str">
            <v>Tempo de Ciclo de Pedidos</v>
          </cell>
          <cell r="D5" t="str">
            <v>Data de Fechamento do Pedido - Data da Solicitação do Pedido</v>
          </cell>
          <cell r="E5" t="str">
            <v>Mensal</v>
          </cell>
          <cell r="F5" t="str">
            <v>Salomão</v>
          </cell>
          <cell r="G5" t="str">
            <v>Odair</v>
          </cell>
          <cell r="I5" t="str">
            <v>A ser informado</v>
          </cell>
          <cell r="J5" t="str">
            <v>Planilha</v>
          </cell>
        </row>
        <row r="6">
          <cell r="B6" t="str">
            <v>Maximizar a produtividade dos ativos</v>
          </cell>
          <cell r="C6" t="str">
            <v>Produtividade de Locomotivas</v>
          </cell>
          <cell r="D6" t="str">
            <v>Tku Tracionado/Kgf Disponível Realizado (Consolidado das frotas Dash 9, C-30 e U20C)</v>
          </cell>
          <cell r="E6" t="str">
            <v>Mensal</v>
          </cell>
          <cell r="F6" t="str">
            <v>Alvaro/Nelson</v>
          </cell>
          <cell r="G6" t="str">
            <v>Buss</v>
          </cell>
          <cell r="H6">
            <v>142</v>
          </cell>
          <cell r="I6">
            <v>191</v>
          </cell>
          <cell r="J6" t="str">
            <v>Sigefer</v>
          </cell>
        </row>
        <row r="7">
          <cell r="C7" t="str">
            <v>Disponibilidade de Locomotivas</v>
          </cell>
          <cell r="D7" t="str">
            <v>Tempo Total de Locos Disponíveis / Tempo Total de Locos efetivamente Existentes (Consolidado das frotas Dash 9, C-30 e U20C)</v>
          </cell>
          <cell r="E7" t="str">
            <v>Mensal</v>
          </cell>
          <cell r="F7" t="str">
            <v>Alvaro/Nelson</v>
          </cell>
          <cell r="G7" t="str">
            <v>Buss</v>
          </cell>
          <cell r="H7">
            <v>0.76</v>
          </cell>
          <cell r="I7">
            <v>0.83</v>
          </cell>
          <cell r="J7" t="str">
            <v>Sigefer</v>
          </cell>
        </row>
        <row r="8">
          <cell r="C8" t="str">
            <v>Giro de Estoque de Terminais</v>
          </cell>
          <cell r="D8" t="str">
            <v>Volume de Produto Movimentado / Capacidade dos Terminais - Interior</v>
          </cell>
          <cell r="E8" t="str">
            <v>Mensal</v>
          </cell>
          <cell r="F8" t="str">
            <v>Alvaro</v>
          </cell>
          <cell r="G8" t="str">
            <v>Romeu</v>
          </cell>
          <cell r="H8">
            <v>4.66</v>
          </cell>
          <cell r="I8">
            <v>5</v>
          </cell>
          <cell r="J8" t="str">
            <v>Planilha</v>
          </cell>
        </row>
        <row r="9">
          <cell r="B9" t="str">
            <v>Garantir produção</v>
          </cell>
          <cell r="C9" t="str">
            <v>Volumes</v>
          </cell>
          <cell r="D9" t="str">
            <v>Tku Realizada / Tku Orçada</v>
          </cell>
          <cell r="E9" t="str">
            <v>Mensal</v>
          </cell>
          <cell r="F9" t="str">
            <v>Alvaro/Nelson</v>
          </cell>
          <cell r="G9" t="str">
            <v>Buss</v>
          </cell>
          <cell r="H9">
            <v>0.93</v>
          </cell>
          <cell r="I9">
            <v>1</v>
          </cell>
          <cell r="J9" t="str">
            <v>Sigefer</v>
          </cell>
        </row>
        <row r="10">
          <cell r="C10" t="str">
            <v>Receita-Carregamento/Dia</v>
          </cell>
          <cell r="D10" t="str">
            <v>(Receita / Carregamento-Dia) Realizado</v>
          </cell>
          <cell r="E10" t="str">
            <v>Mensal</v>
          </cell>
          <cell r="F10" t="str">
            <v>Alvaro/Nelson</v>
          </cell>
          <cell r="G10" t="str">
            <v>Buss</v>
          </cell>
          <cell r="H10">
            <v>401.67</v>
          </cell>
          <cell r="I10">
            <v>420</v>
          </cell>
          <cell r="J10" t="str">
            <v>Sigefer</v>
          </cell>
        </row>
        <row r="11">
          <cell r="C11" t="str">
            <v>Taxa de Ocupação de Vagões</v>
          </cell>
          <cell r="D11" t="str">
            <v>TU-Vagão Graneleiro Carregado / Capacidade TU-Vagão Graneleiro</v>
          </cell>
          <cell r="E11" t="str">
            <v>Mensal</v>
          </cell>
          <cell r="F11" t="str">
            <v>Alvaro/Nelson</v>
          </cell>
          <cell r="G11" t="str">
            <v>Buss</v>
          </cell>
          <cell r="H11">
            <v>0.9</v>
          </cell>
          <cell r="I11">
            <v>0.95</v>
          </cell>
          <cell r="J11" t="str">
            <v>Sigefer</v>
          </cell>
        </row>
        <row r="12">
          <cell r="C12" t="str">
            <v>Tempo de Ciclo de Vagões</v>
          </cell>
          <cell r="D12" t="str">
            <v>Média Horária de Tempo do Ciclo Fluxo TAG-ICZ/ISN (Mar-Out)</v>
          </cell>
          <cell r="E12" t="str">
            <v>Mensal</v>
          </cell>
          <cell r="F12" t="str">
            <v>Alvaro/Nelson</v>
          </cell>
          <cell r="G12" t="str">
            <v>Buss</v>
          </cell>
          <cell r="H12">
            <v>253.28</v>
          </cell>
          <cell r="I12">
            <v>190</v>
          </cell>
          <cell r="J12" t="str">
            <v>Sigefer</v>
          </cell>
        </row>
        <row r="13">
          <cell r="B13" t="str">
            <v>Reduzir a conta combustível</v>
          </cell>
          <cell r="C13" t="str">
            <v>Eficiência Energética</v>
          </cell>
          <cell r="D13" t="str">
            <v>Consumo de Combustivel / 1.000 Tkb Tracionada</v>
          </cell>
          <cell r="E13" t="str">
            <v>Mensal</v>
          </cell>
          <cell r="F13" t="str">
            <v>Alvaro/Nelson</v>
          </cell>
          <cell r="G13" t="str">
            <v>Buss</v>
          </cell>
          <cell r="H13">
            <v>5.37</v>
          </cell>
          <cell r="I13">
            <v>4.5</v>
          </cell>
          <cell r="J13" t="str">
            <v>Sigefer</v>
          </cell>
        </row>
      </sheetData>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amentos"/>
      <sheetName val="Crono"/>
      <sheetName val="Análise"/>
      <sheetName val="U.Neg."/>
      <sheetName val="Ref-Tx.Venda"/>
      <sheetName val="Taxas de Custo"/>
      <sheetName val="Desp.Inclusas Fatur."/>
      <sheetName val="Desp.não Reemb."/>
      <sheetName val="Custo MOD"/>
    </sheetNames>
    <sheetDataSet>
      <sheetData sheetId="0"/>
      <sheetData sheetId="1"/>
      <sheetData sheetId="2">
        <row r="2">
          <cell r="Z2">
            <v>0.02</v>
          </cell>
        </row>
        <row r="3">
          <cell r="Z3" t="str">
            <v>Não</v>
          </cell>
        </row>
        <row r="4">
          <cell r="Z4">
            <v>0.28999999999999998</v>
          </cell>
        </row>
        <row r="5">
          <cell r="Z5">
            <v>3.6499999999999998E-2</v>
          </cell>
        </row>
        <row r="6">
          <cell r="Z6">
            <v>7.0000000000000007E-2</v>
          </cell>
        </row>
        <row r="7">
          <cell r="U7">
            <v>8</v>
          </cell>
        </row>
        <row r="34">
          <cell r="AG34">
            <v>495188.70439660148</v>
          </cell>
        </row>
        <row r="37">
          <cell r="Y37">
            <v>598600</v>
          </cell>
        </row>
      </sheetData>
      <sheetData sheetId="3"/>
      <sheetData sheetId="4">
        <row r="1">
          <cell r="F1">
            <v>0.1</v>
          </cell>
        </row>
      </sheetData>
      <sheetData sheetId="5"/>
      <sheetData sheetId="6"/>
      <sheetData sheetId="7">
        <row r="39">
          <cell r="E39">
            <v>0</v>
          </cell>
        </row>
      </sheetData>
      <sheetData sheetId="8">
        <row r="27">
          <cell r="C27">
            <v>20.663726879663901</v>
          </cell>
          <cell r="D27">
            <v>0.28418481227593345</v>
          </cell>
        </row>
        <row r="28">
          <cell r="C28">
            <v>20.641239807454635</v>
          </cell>
          <cell r="D28">
            <v>0.47042050068636104</v>
          </cell>
        </row>
        <row r="29">
          <cell r="C29">
            <v>22.165669965097901</v>
          </cell>
          <cell r="D29">
            <v>0.29065408224852834</v>
          </cell>
        </row>
        <row r="30">
          <cell r="C30">
            <v>18.198336144317601</v>
          </cell>
          <cell r="D30">
            <v>0.32583531729743043</v>
          </cell>
        </row>
        <row r="31">
          <cell r="C31">
            <v>11.103763010596101</v>
          </cell>
          <cell r="D31">
            <v>0.34867075760870359</v>
          </cell>
        </row>
        <row r="32">
          <cell r="C32">
            <v>11.71</v>
          </cell>
          <cell r="D32">
            <v>0.31319999999999998</v>
          </cell>
        </row>
        <row r="33">
          <cell r="C33">
            <v>15.567113249657099</v>
          </cell>
          <cell r="D33">
            <v>0.25959955928098871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amentos"/>
      <sheetName val="Crono"/>
      <sheetName val="Análise"/>
      <sheetName val="U.Neg."/>
      <sheetName val="Ref. - Tx. Venda"/>
      <sheetName val="Taxas de Custo"/>
      <sheetName val="Desp. Inclusas Faturam."/>
      <sheetName val="Desp. não Reemb."/>
      <sheetName val="Custo MOD"/>
    </sheetNames>
    <sheetDataSet>
      <sheetData sheetId="0"/>
      <sheetData sheetId="1"/>
      <sheetData sheetId="2"/>
      <sheetData sheetId="3"/>
      <sheetData sheetId="4"/>
      <sheetData sheetId="5"/>
      <sheetData sheetId="6"/>
      <sheetData sheetId="7"/>
      <sheetData sheetId="8">
        <row r="29">
          <cell r="C29">
            <v>12.355167450730701</v>
          </cell>
          <cell r="D29">
            <v>0.3781363837537875</v>
          </cell>
        </row>
        <row r="30">
          <cell r="C30">
            <v>14.5869214420993</v>
          </cell>
          <cell r="D30">
            <v>0.30744673423923735</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Atendimento"/>
      <sheetName val="Capta Onda II"/>
      <sheetName val="Cadastro"/>
      <sheetName val="Evoluções"/>
      <sheetName val="Requerimentos Transferidos"/>
      <sheetName val="Legendas"/>
      <sheetName val="Plan3"/>
      <sheetName val="Original"/>
      <sheetName val="BKUP"/>
    </sheetNames>
    <sheetDataSet>
      <sheetData sheetId="0"/>
      <sheetData sheetId="1"/>
      <sheetData sheetId="2"/>
      <sheetData sheetId="3"/>
      <sheetData sheetId="4"/>
      <sheetData sheetId="5">
        <row r="2">
          <cell r="R2" t="str">
            <v>Nova</v>
          </cell>
        </row>
        <row r="3">
          <cell r="R3" t="str">
            <v>Pré-existente</v>
          </cell>
        </row>
      </sheetData>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inel de Navegação"/>
      <sheetName val="Calendário Resumido"/>
      <sheetName val="Calendário GG de Resultado"/>
      <sheetName val="PEP"/>
      <sheetName val="One Page"/>
      <sheetName val="Gráficos One-Page"/>
      <sheetName val="Cockpit Indicadores"/>
      <sheetName val="Gráficos Cockpit"/>
      <sheetName val="P.Indicadores"/>
      <sheetName val="Parametros"/>
      <sheetName val="Análise Gráfico"/>
      <sheetName val="Input Comentários"/>
      <sheetName val="Modelo Plano de Ação"/>
      <sheetName val="input real"/>
      <sheetName val="input meta"/>
      <sheetName val="Acompanhamento"/>
      <sheetName val="AUXILIAR"/>
      <sheetName val="Validações"/>
      <sheetName val="Plano de Ação PI.1"/>
    </sheetNames>
    <sheetDataSet>
      <sheetData sheetId="0"/>
      <sheetData sheetId="1"/>
      <sheetData sheetId="2"/>
      <sheetData sheetId="3"/>
      <sheetData sheetId="4"/>
      <sheetData sheetId="5"/>
      <sheetData sheetId="6"/>
      <sheetData sheetId="7"/>
      <sheetData sheetId="8"/>
      <sheetData sheetId="9">
        <row r="1">
          <cell r="D1">
            <v>1</v>
          </cell>
          <cell r="I1" t="str">
            <v>AT</v>
          </cell>
        </row>
        <row r="2">
          <cell r="D2">
            <v>2</v>
          </cell>
          <cell r="I2" t="str">
            <v>CA</v>
          </cell>
        </row>
        <row r="3">
          <cell r="D3">
            <v>3</v>
          </cell>
          <cell r="I3" t="str">
            <v>CO</v>
          </cell>
        </row>
        <row r="4">
          <cell r="I4" t="str">
            <v>EA</v>
          </cell>
        </row>
        <row r="5">
          <cell r="I5" t="str">
            <v>SD</v>
          </cell>
        </row>
      </sheetData>
      <sheetData sheetId="10"/>
      <sheetData sheetId="11"/>
      <sheetData sheetId="12"/>
      <sheetData sheetId="13"/>
      <sheetData sheetId="14"/>
      <sheetData sheetId="15"/>
      <sheetData sheetId="16"/>
      <sheetData sheetId="17">
        <row r="42">
          <cell r="B42" t="str">
            <v>Desenvolvimento Sustentável</v>
          </cell>
        </row>
        <row r="43">
          <cell r="B43" t="str">
            <v>Processos Internos</v>
          </cell>
        </row>
        <row r="44">
          <cell r="B44" t="str">
            <v>Clientes</v>
          </cell>
        </row>
        <row r="45">
          <cell r="B45" t="str">
            <v>Aprendizagem</v>
          </cell>
        </row>
      </sheetData>
      <sheetData sheetId="1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ual"/>
      <sheetName val="Plano_de_Acao"/>
      <sheetName val="Dados"/>
      <sheetName val="Cronograma_Macro"/>
      <sheetName val="Historico"/>
    </sheetNames>
    <sheetDataSet>
      <sheetData sheetId="0"/>
      <sheetData sheetId="1"/>
      <sheetData sheetId="2">
        <row r="30">
          <cell r="B30" t="str">
            <v>Portais de Terminação de Tráfego</v>
          </cell>
        </row>
        <row r="31">
          <cell r="B31" t="str">
            <v>PO.1 – Melhoria Processo de Implementação de Produtos</v>
          </cell>
        </row>
        <row r="32">
          <cell r="B32" t="str">
            <v>VEN.1 – Criação da Visão Analítica do Funil</v>
          </cell>
        </row>
        <row r="33">
          <cell r="B33" t="str">
            <v>ENG.1 – Restabelecimento da Revisão do Planejamento de Rede</v>
          </cell>
        </row>
        <row r="34">
          <cell r="B34" t="str">
            <v>ENG.3 – Criação do Cadastro Integrado de Facilidades / Acesso</v>
          </cell>
        </row>
        <row r="35">
          <cell r="B35" t="str">
            <v>OPE.1 – Implantação dos Novos Modelos de Responsabilidades na Cadeia</v>
          </cell>
        </row>
        <row r="36">
          <cell r="B36" t="str">
            <v>OPE.2 – Definição das Políticas de Priorização de Atendimento</v>
          </cell>
        </row>
        <row r="37">
          <cell r="B37" t="str">
            <v>OPE.5 – Inclusão da Gestão de Terceiros no Workflow de Entrega</v>
          </cell>
        </row>
        <row r="38">
          <cell r="B38" t="str">
            <v>SUP.1 – Alinhamento dos Processos de Suprimentos</v>
          </cell>
        </row>
        <row r="39">
          <cell r="B39" t="str">
            <v>GQ.1 – Capacitação em Gestão de Projetos para B2B</v>
          </cell>
        </row>
        <row r="40">
          <cell r="B40" t="str">
            <v>GQ.2 – Revisão dos Indicadores de Pós-Venda</v>
          </cell>
        </row>
        <row r="41">
          <cell r="B41" t="str">
            <v>UNP.1 – Adequação do Processo de Planejamento de Investimentos</v>
          </cell>
        </row>
        <row r="42">
          <cell r="B42" t="str">
            <v>GQ.1 – Capacitação em Gestão de Projetos para B2B</v>
          </cell>
        </row>
        <row r="43">
          <cell r="B43" t="str">
            <v>GQ.2 – Revisão dos Indicadores de Pós-Venda</v>
          </cell>
        </row>
        <row r="44">
          <cell r="B44" t="str">
            <v>GQ.1 – Capacitação em Gestão de Projetos para B2B</v>
          </cell>
        </row>
        <row r="45">
          <cell r="B45" t="str">
            <v>GQ.2 – Revisão dos Indicadores de Pós-Venda</v>
          </cell>
        </row>
        <row r="46">
          <cell r="B46" t="str">
            <v>UNP.1 – Adequação do Processo de Planejamento de Investimentos</v>
          </cell>
        </row>
        <row r="47">
          <cell r="B47" t="str">
            <v>GQ.1 – Capacitação em Gestão de Projetos para B2B</v>
          </cell>
        </row>
        <row r="48">
          <cell r="B48" t="str">
            <v>GQ.1 – Capacitação em Gestão de Projetos para B2B</v>
          </cell>
        </row>
      </sheetData>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ário Resumido"/>
      <sheetName val="Acompanhamento"/>
      <sheetName val="Pauta  Mensal"/>
      <sheetName val="Calendário Detalhado"/>
      <sheetName val="Form.Solic.Alt.de.Indic."/>
    </sheetNames>
    <sheetDataSet>
      <sheetData sheetId="0"/>
      <sheetData sheetId="1"/>
      <sheetData sheetId="2"/>
      <sheetData sheetId="3">
        <row r="58">
          <cell r="A58" t="str">
            <v>RE</v>
          </cell>
        </row>
        <row r="59">
          <cell r="A59" t="str">
            <v>NR</v>
          </cell>
        </row>
      </sheetData>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s"/>
      <sheetName val="Lista de Impactos"/>
    </sheetNames>
    <sheetDataSet>
      <sheetData sheetId="0">
        <row r="3">
          <cell r="A3" t="str">
            <v>1 - Mitigar</v>
          </cell>
        </row>
        <row r="4">
          <cell r="A4" t="str">
            <v>2 - Eliminar</v>
          </cell>
        </row>
        <row r="5">
          <cell r="A5" t="str">
            <v>3 - Aceitar</v>
          </cell>
        </row>
        <row r="6">
          <cell r="A6" t="str">
            <v>4 - Transferir</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showGridLines="0" zoomScaleNormal="100" workbookViewId="0">
      <selection activeCell="B4" sqref="B1:B1048576"/>
    </sheetView>
  </sheetViews>
  <sheetFormatPr defaultColWidth="9" defaultRowHeight="12.75"/>
  <cols>
    <col min="1" max="1" width="48" customWidth="1"/>
    <col min="2" max="2" width="14.875" style="153" customWidth="1"/>
    <col min="3" max="3" width="98.625" bestFit="1" customWidth="1"/>
  </cols>
  <sheetData>
    <row r="1" spans="1:3" ht="51" customHeight="1">
      <c r="A1" s="181" t="s">
        <v>0</v>
      </c>
      <c r="B1" s="181"/>
      <c r="C1" s="181"/>
    </row>
    <row r="2" spans="1:3" s="26" customFormat="1" ht="11.25">
      <c r="A2" s="182" t="s">
        <v>1</v>
      </c>
      <c r="B2" s="182"/>
      <c r="C2" s="182"/>
    </row>
    <row r="3" spans="1:3" s="26" customFormat="1" ht="11.25">
      <c r="A3" s="182" t="s">
        <v>2</v>
      </c>
      <c r="B3" s="182"/>
      <c r="C3" s="182"/>
    </row>
    <row r="4" spans="1:3" ht="13.5" thickBot="1">
      <c r="A4" s="23"/>
      <c r="B4" s="151"/>
      <c r="C4" s="23"/>
    </row>
    <row r="5" spans="1:3">
      <c r="A5" s="57" t="s">
        <v>3</v>
      </c>
      <c r="B5" s="145" t="s">
        <v>4</v>
      </c>
      <c r="C5" s="58"/>
    </row>
    <row r="6" spans="1:3">
      <c r="A6" s="149" t="s">
        <v>5</v>
      </c>
      <c r="B6" s="152" t="s">
        <v>6</v>
      </c>
      <c r="C6" s="150" t="s">
        <v>7</v>
      </c>
    </row>
    <row r="7" spans="1:3">
      <c r="A7" s="162" t="s">
        <v>8</v>
      </c>
      <c r="B7" s="163" t="s">
        <v>9</v>
      </c>
      <c r="C7" s="164" t="s">
        <v>10</v>
      </c>
    </row>
    <row r="8" spans="1:3">
      <c r="A8" s="165" t="s">
        <v>11</v>
      </c>
      <c r="B8" s="163" t="s">
        <v>9</v>
      </c>
      <c r="C8" s="164" t="s">
        <v>12</v>
      </c>
    </row>
    <row r="9" spans="1:3" ht="214.5">
      <c r="A9" s="162" t="s">
        <v>13</v>
      </c>
      <c r="B9" s="163" t="s">
        <v>9</v>
      </c>
      <c r="C9" s="166" t="s">
        <v>14</v>
      </c>
    </row>
    <row r="10" spans="1:3">
      <c r="A10" s="162" t="s">
        <v>15</v>
      </c>
      <c r="B10" s="163" t="s">
        <v>9</v>
      </c>
      <c r="C10" s="164" t="s">
        <v>16</v>
      </c>
    </row>
    <row r="11" spans="1:3">
      <c r="A11" s="162" t="s">
        <v>17</v>
      </c>
      <c r="B11" s="163" t="s">
        <v>9</v>
      </c>
      <c r="C11" s="164" t="s">
        <v>18</v>
      </c>
    </row>
    <row r="12" spans="1:3">
      <c r="A12" s="162" t="s">
        <v>19</v>
      </c>
      <c r="B12" s="163" t="s">
        <v>9</v>
      </c>
      <c r="C12" s="164" t="s">
        <v>20</v>
      </c>
    </row>
    <row r="13" spans="1:3">
      <c r="A13" s="162" t="s">
        <v>21</v>
      </c>
      <c r="B13" s="163" t="s">
        <v>9</v>
      </c>
      <c r="C13" s="164" t="s">
        <v>22</v>
      </c>
    </row>
    <row r="14" spans="1:3">
      <c r="A14" s="162" t="s">
        <v>23</v>
      </c>
      <c r="B14" s="163" t="s">
        <v>9</v>
      </c>
      <c r="C14" s="167" t="s">
        <v>24</v>
      </c>
    </row>
    <row r="15" spans="1:3">
      <c r="A15" s="162" t="s">
        <v>25</v>
      </c>
      <c r="B15" s="163" t="s">
        <v>9</v>
      </c>
      <c r="C15" s="167" t="s">
        <v>26</v>
      </c>
    </row>
    <row r="16" spans="1:3" ht="18">
      <c r="A16" s="168" t="s">
        <v>27</v>
      </c>
      <c r="B16" s="159" t="s">
        <v>28</v>
      </c>
      <c r="C16" s="164" t="s">
        <v>29</v>
      </c>
    </row>
    <row r="17" spans="1:3" ht="18">
      <c r="A17" s="168" t="s">
        <v>30</v>
      </c>
      <c r="B17" s="159" t="s">
        <v>28</v>
      </c>
      <c r="C17" s="164" t="s">
        <v>31</v>
      </c>
    </row>
    <row r="18" spans="1:3" ht="18">
      <c r="A18" s="168" t="s">
        <v>32</v>
      </c>
      <c r="B18" s="159" t="s">
        <v>28</v>
      </c>
      <c r="C18" s="164" t="s">
        <v>33</v>
      </c>
    </row>
    <row r="19" spans="1:3" ht="144" customHeight="1">
      <c r="A19" s="168" t="s">
        <v>34</v>
      </c>
      <c r="B19" s="159" t="s">
        <v>28</v>
      </c>
      <c r="C19" s="169" t="s">
        <v>35</v>
      </c>
    </row>
    <row r="20" spans="1:3" ht="18">
      <c r="A20" s="168" t="s">
        <v>36</v>
      </c>
      <c r="B20" s="159" t="s">
        <v>28</v>
      </c>
      <c r="C20" s="164" t="s">
        <v>37</v>
      </c>
    </row>
    <row r="21" spans="1:3" ht="13.5" thickBot="1">
      <c r="A21" s="24"/>
      <c r="B21" s="144"/>
      <c r="C21" s="24"/>
    </row>
    <row r="22" spans="1:3">
      <c r="A22" s="146" t="s">
        <v>38</v>
      </c>
      <c r="B22" s="147" t="s">
        <v>4</v>
      </c>
      <c r="C22" s="148"/>
    </row>
    <row r="23" spans="1:3">
      <c r="A23" s="154" t="s">
        <v>5</v>
      </c>
      <c r="B23" s="155" t="s">
        <v>6</v>
      </c>
      <c r="C23" s="156" t="s">
        <v>7</v>
      </c>
    </row>
    <row r="24" spans="1:3" ht="18">
      <c r="A24" s="158" t="s">
        <v>39</v>
      </c>
      <c r="B24" s="159" t="s">
        <v>28</v>
      </c>
      <c r="C24" s="160" t="s">
        <v>40</v>
      </c>
    </row>
    <row r="25" spans="1:3" ht="18">
      <c r="A25" s="158" t="s">
        <v>11</v>
      </c>
      <c r="B25" s="159" t="s">
        <v>28</v>
      </c>
      <c r="C25" s="160" t="s">
        <v>41</v>
      </c>
    </row>
    <row r="26" spans="1:3" ht="18">
      <c r="A26" s="158" t="s">
        <v>42</v>
      </c>
      <c r="B26" s="159" t="s">
        <v>28</v>
      </c>
      <c r="C26" s="160" t="s">
        <v>43</v>
      </c>
    </row>
    <row r="27" spans="1:3" ht="21">
      <c r="A27" s="158" t="s">
        <v>44</v>
      </c>
      <c r="B27" s="159" t="s">
        <v>28</v>
      </c>
      <c r="C27" s="161" t="s">
        <v>45</v>
      </c>
    </row>
    <row r="28" spans="1:3" ht="18">
      <c r="A28" s="158" t="s">
        <v>46</v>
      </c>
      <c r="B28" s="159" t="s">
        <v>28</v>
      </c>
      <c r="C28" s="160" t="s">
        <v>47</v>
      </c>
    </row>
    <row r="29" spans="1:3" ht="18">
      <c r="A29" s="158" t="s">
        <v>48</v>
      </c>
      <c r="B29" s="159" t="s">
        <v>28</v>
      </c>
      <c r="C29" s="160" t="s">
        <v>49</v>
      </c>
    </row>
    <row r="30" spans="1:3" ht="18">
      <c r="A30" s="158" t="s">
        <v>50</v>
      </c>
      <c r="B30" s="159" t="s">
        <v>28</v>
      </c>
      <c r="C30" s="160" t="s">
        <v>51</v>
      </c>
    </row>
    <row r="31" spans="1:3" ht="18">
      <c r="A31" s="158" t="s">
        <v>52</v>
      </c>
      <c r="B31" s="159" t="s">
        <v>28</v>
      </c>
      <c r="C31" s="160" t="s">
        <v>53</v>
      </c>
    </row>
    <row r="32" spans="1:3" ht="18">
      <c r="A32" s="158" t="s">
        <v>54</v>
      </c>
      <c r="B32" s="159" t="s">
        <v>28</v>
      </c>
      <c r="C32" s="160" t="s">
        <v>55</v>
      </c>
    </row>
    <row r="33" spans="1:3" ht="18">
      <c r="A33" s="158" t="s">
        <v>56</v>
      </c>
      <c r="B33" s="159" t="s">
        <v>28</v>
      </c>
      <c r="C33" s="160" t="s">
        <v>57</v>
      </c>
    </row>
    <row r="34" spans="1:3" ht="31.5">
      <c r="A34" s="158" t="s">
        <v>58</v>
      </c>
      <c r="B34" s="159" t="s">
        <v>28</v>
      </c>
      <c r="C34" s="161" t="s">
        <v>59</v>
      </c>
    </row>
    <row r="35" spans="1:3" ht="21">
      <c r="A35" s="158" t="s">
        <v>60</v>
      </c>
      <c r="B35" s="159" t="s">
        <v>28</v>
      </c>
      <c r="C35" s="161" t="s">
        <v>61</v>
      </c>
    </row>
    <row r="36" spans="1:3" ht="18">
      <c r="A36" s="158" t="s">
        <v>62</v>
      </c>
      <c r="B36" s="159" t="s">
        <v>28</v>
      </c>
      <c r="C36" s="161" t="s">
        <v>63</v>
      </c>
    </row>
    <row r="37" spans="1:3" ht="18">
      <c r="A37" s="158" t="s">
        <v>64</v>
      </c>
      <c r="B37" s="159" t="s">
        <v>28</v>
      </c>
      <c r="C37" s="161" t="s">
        <v>65</v>
      </c>
    </row>
    <row r="38" spans="1:3" ht="21">
      <c r="A38" s="158" t="s">
        <v>66</v>
      </c>
      <c r="B38" s="159" t="s">
        <v>28</v>
      </c>
      <c r="C38" s="161" t="s">
        <v>67</v>
      </c>
    </row>
    <row r="39" spans="1:3" ht="18">
      <c r="A39" s="158" t="s">
        <v>68</v>
      </c>
      <c r="B39" s="159" t="s">
        <v>28</v>
      </c>
      <c r="C39" s="161" t="s">
        <v>69</v>
      </c>
    </row>
    <row r="40" spans="1:3">
      <c r="A40" s="21"/>
      <c r="B40" s="157"/>
      <c r="C40" s="22"/>
    </row>
  </sheetData>
  <autoFilter ref="A6:C20"/>
  <mergeCells count="3">
    <mergeCell ref="A1:C1"/>
    <mergeCell ref="A2:C2"/>
    <mergeCell ref="A3:C3"/>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zoomScaleNormal="100" workbookViewId="0">
      <selection activeCell="A2" sqref="A2"/>
    </sheetView>
  </sheetViews>
  <sheetFormatPr defaultColWidth="9" defaultRowHeight="12.75"/>
  <cols>
    <col min="1" max="1" width="73.125" customWidth="1"/>
    <col min="2" max="2" width="13.5" customWidth="1"/>
    <col min="3" max="3" width="13.25" customWidth="1"/>
    <col min="4" max="4" width="14.25" bestFit="1" customWidth="1"/>
    <col min="5" max="5" width="7.125" customWidth="1"/>
  </cols>
  <sheetData>
    <row r="1" spans="1:4" ht="52.5" customHeight="1">
      <c r="A1" s="183" t="s">
        <v>70</v>
      </c>
      <c r="B1" s="181"/>
      <c r="C1" s="181"/>
      <c r="D1" s="181"/>
    </row>
    <row r="2" spans="1:4">
      <c r="A2" s="20"/>
      <c r="B2" s="20"/>
      <c r="C2" s="20"/>
      <c r="D2" s="20"/>
    </row>
    <row r="3" spans="1:4">
      <c r="A3" s="24"/>
      <c r="B3" s="20"/>
      <c r="C3" s="20"/>
      <c r="D3" s="20"/>
    </row>
    <row r="4" spans="1:4" ht="36">
      <c r="A4" s="25" t="s">
        <v>71</v>
      </c>
      <c r="B4" s="62" t="s">
        <v>72</v>
      </c>
      <c r="C4" s="20"/>
      <c r="D4" s="20"/>
    </row>
    <row r="5" spans="1:4">
      <c r="A5" s="47" t="s">
        <v>73</v>
      </c>
      <c r="B5" s="47"/>
      <c r="C5" s="20"/>
      <c r="D5" s="20"/>
    </row>
    <row r="6" spans="1:4">
      <c r="A6" s="47" t="s">
        <v>74</v>
      </c>
      <c r="B6" s="47"/>
      <c r="C6" s="20"/>
      <c r="D6" s="20"/>
    </row>
    <row r="7" spans="1:4">
      <c r="A7" s="47" t="s">
        <v>75</v>
      </c>
      <c r="B7" s="47"/>
      <c r="C7" s="20"/>
      <c r="D7" s="20"/>
    </row>
    <row r="8" spans="1:4">
      <c r="A8" s="47" t="s">
        <v>76</v>
      </c>
      <c r="B8" s="47"/>
    </row>
  </sheetData>
  <mergeCells count="1">
    <mergeCell ref="A1:D1"/>
  </mergeCells>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8"/>
  <sheetViews>
    <sheetView showGridLines="0" zoomScale="90" zoomScaleNormal="90" workbookViewId="0">
      <pane xSplit="3" ySplit="4" topLeftCell="D5" activePane="bottomRight" state="frozen"/>
      <selection pane="bottomLeft" activeCell="A5" sqref="A5"/>
      <selection pane="topRight" activeCell="D1" sqref="D1"/>
      <selection pane="bottomRight" activeCell="B5" sqref="B5"/>
    </sheetView>
  </sheetViews>
  <sheetFormatPr defaultColWidth="9" defaultRowHeight="12.75"/>
  <cols>
    <col min="1" max="1" width="12.75" style="7" customWidth="1"/>
    <col min="2" max="2" width="15.875" style="134" customWidth="1"/>
    <col min="3" max="3" width="46.625" style="6" customWidth="1"/>
    <col min="4" max="4" width="29.375" style="133" customWidth="1"/>
    <col min="5" max="5" width="32.875" style="133" customWidth="1"/>
    <col min="6" max="7" width="22" style="6" customWidth="1"/>
    <col min="8" max="8" width="13.125" style="6" customWidth="1"/>
    <col min="9" max="9" width="10.125" style="6" customWidth="1"/>
    <col min="10" max="10" width="16.125" style="7" customWidth="1"/>
    <col min="11" max="11" width="16.125" style="6" customWidth="1"/>
    <col min="12" max="12" width="29.375" style="6" customWidth="1"/>
    <col min="13" max="13" width="66" style="14" customWidth="1"/>
    <col min="14" max="14" width="29.375" style="6" customWidth="1"/>
    <col min="15" max="15" width="17.625" style="27" hidden="1" customWidth="1"/>
    <col min="16" max="16384" width="9" style="6"/>
  </cols>
  <sheetData>
    <row r="1" spans="1:17" ht="18" customHeight="1">
      <c r="A1" s="8"/>
      <c r="B1" s="131"/>
      <c r="C1" s="8"/>
      <c r="D1" s="135"/>
      <c r="E1" s="135"/>
      <c r="F1" s="1"/>
      <c r="G1" s="1"/>
      <c r="H1" s="2"/>
      <c r="I1" s="3"/>
      <c r="J1" s="10"/>
      <c r="K1" s="1"/>
      <c r="L1" s="3"/>
      <c r="M1" s="13"/>
      <c r="N1" s="3"/>
    </row>
    <row r="2" spans="1:17" ht="19.5">
      <c r="A2" s="8"/>
      <c r="B2" s="131"/>
      <c r="C2" s="4" t="s">
        <v>77</v>
      </c>
      <c r="D2" s="135"/>
      <c r="E2" s="135"/>
      <c r="F2" s="1"/>
      <c r="G2" s="1"/>
      <c r="H2" s="2"/>
      <c r="I2" s="3"/>
      <c r="J2" s="11"/>
      <c r="K2" s="1"/>
      <c r="L2" s="3"/>
      <c r="M2" s="13"/>
      <c r="N2" s="3"/>
    </row>
    <row r="3" spans="1:17" ht="18">
      <c r="A3" s="9"/>
      <c r="B3" s="132"/>
      <c r="C3" s="5"/>
      <c r="D3" s="135"/>
      <c r="E3" s="135"/>
      <c r="F3" s="1"/>
      <c r="G3" s="1"/>
      <c r="H3" s="2"/>
      <c r="I3" s="3"/>
      <c r="J3" s="12"/>
      <c r="K3" s="1"/>
      <c r="L3" s="3"/>
      <c r="M3" s="13"/>
      <c r="N3" s="3"/>
    </row>
    <row r="4" spans="1:17" s="16" customFormat="1" ht="45">
      <c r="A4" s="46" t="s">
        <v>78</v>
      </c>
      <c r="B4" s="46" t="s">
        <v>79</v>
      </c>
      <c r="C4" s="46" t="s">
        <v>77</v>
      </c>
      <c r="D4" s="46" t="s">
        <v>80</v>
      </c>
      <c r="E4" s="46" t="s">
        <v>17</v>
      </c>
      <c r="F4" s="46" t="s">
        <v>81</v>
      </c>
      <c r="G4" s="46" t="s">
        <v>82</v>
      </c>
      <c r="H4" s="46" t="s">
        <v>23</v>
      </c>
      <c r="I4" s="46" t="s">
        <v>83</v>
      </c>
      <c r="J4" s="15" t="s">
        <v>84</v>
      </c>
      <c r="K4" s="15" t="s">
        <v>85</v>
      </c>
      <c r="L4" s="15" t="s">
        <v>32</v>
      </c>
      <c r="M4" s="15" t="s">
        <v>86</v>
      </c>
      <c r="N4" s="15" t="s">
        <v>87</v>
      </c>
      <c r="O4" s="28"/>
    </row>
    <row r="5" spans="1:17" s="17" customFormat="1" ht="33.75">
      <c r="A5" s="170">
        <v>1</v>
      </c>
      <c r="B5" s="170" t="s">
        <v>88</v>
      </c>
      <c r="C5" s="170" t="s">
        <v>89</v>
      </c>
      <c r="D5" s="171" t="s">
        <v>90</v>
      </c>
      <c r="E5" s="171" t="s">
        <v>91</v>
      </c>
      <c r="F5" s="170" t="s">
        <v>92</v>
      </c>
      <c r="G5" s="170" t="s">
        <v>93</v>
      </c>
      <c r="H5" s="170" t="s">
        <v>94</v>
      </c>
      <c r="I5" s="172">
        <v>1</v>
      </c>
      <c r="J5" s="170" t="s">
        <v>95</v>
      </c>
      <c r="K5" s="170" t="s">
        <v>96</v>
      </c>
      <c r="L5" s="170" t="s">
        <v>97</v>
      </c>
      <c r="M5" s="170" t="s">
        <v>98</v>
      </c>
      <c r="N5" s="170" t="s">
        <v>99</v>
      </c>
      <c r="O5" s="29" t="s">
        <v>100</v>
      </c>
      <c r="P5" s="18" t="s">
        <v>101</v>
      </c>
      <c r="Q5" s="18"/>
    </row>
    <row r="6" spans="1:17" s="17" customFormat="1" ht="67.5">
      <c r="A6" s="48">
        <v>2</v>
      </c>
      <c r="B6" s="48" t="s">
        <v>102</v>
      </c>
      <c r="C6" s="49" t="s">
        <v>103</v>
      </c>
      <c r="D6" s="173" t="s">
        <v>104</v>
      </c>
      <c r="E6" s="173" t="s">
        <v>105</v>
      </c>
      <c r="F6" s="48" t="s">
        <v>92</v>
      </c>
      <c r="G6" s="48" t="s">
        <v>93</v>
      </c>
      <c r="H6" s="48" t="s">
        <v>94</v>
      </c>
      <c r="I6" s="130">
        <v>2</v>
      </c>
      <c r="J6" s="48" t="s">
        <v>95</v>
      </c>
      <c r="K6" s="48" t="s">
        <v>96</v>
      </c>
      <c r="L6" s="48" t="s">
        <v>106</v>
      </c>
      <c r="M6" s="48" t="s">
        <v>107</v>
      </c>
      <c r="N6" s="48" t="s">
        <v>108</v>
      </c>
      <c r="O6" s="29" t="s">
        <v>109</v>
      </c>
      <c r="P6" s="18" t="s">
        <v>110</v>
      </c>
      <c r="Q6" s="18"/>
    </row>
    <row r="7" spans="1:17" s="17" customFormat="1" ht="11.25">
      <c r="A7" s="170" t="s">
        <v>76</v>
      </c>
      <c r="B7" s="170"/>
      <c r="C7" s="170"/>
      <c r="D7" s="171"/>
      <c r="E7" s="171"/>
      <c r="F7" s="170"/>
      <c r="G7" s="170"/>
      <c r="H7" s="170"/>
      <c r="I7" s="172"/>
      <c r="J7" s="170"/>
      <c r="K7" s="170"/>
      <c r="L7" s="170"/>
      <c r="M7" s="170"/>
      <c r="N7" s="170"/>
      <c r="O7" s="29" t="s">
        <v>111</v>
      </c>
      <c r="P7" s="18" t="s">
        <v>112</v>
      </c>
      <c r="Q7" s="18"/>
    </row>
    <row r="8" spans="1:17" s="17" customFormat="1" ht="22.5">
      <c r="A8" s="48">
        <v>4</v>
      </c>
      <c r="B8" s="48" t="s">
        <v>113</v>
      </c>
      <c r="C8" s="49" t="s">
        <v>114</v>
      </c>
      <c r="D8" s="173"/>
      <c r="E8" s="173"/>
      <c r="F8" s="48" t="s">
        <v>92</v>
      </c>
      <c r="G8" s="48" t="s">
        <v>93</v>
      </c>
      <c r="H8" s="48" t="s">
        <v>94</v>
      </c>
      <c r="I8" s="130"/>
      <c r="J8" s="48"/>
      <c r="K8" s="48"/>
      <c r="L8" s="48"/>
      <c r="M8" s="48"/>
      <c r="N8" s="48"/>
      <c r="O8" s="29"/>
      <c r="P8" s="18" t="s">
        <v>115</v>
      </c>
      <c r="Q8" s="18"/>
    </row>
    <row r="9" spans="1:17" s="17" customFormat="1" ht="11.25">
      <c r="A9" s="170">
        <v>5</v>
      </c>
      <c r="B9" s="170" t="s">
        <v>116</v>
      </c>
      <c r="C9" s="170"/>
      <c r="D9" s="171"/>
      <c r="E9" s="171"/>
      <c r="F9" s="170"/>
      <c r="G9" s="170"/>
      <c r="H9" s="170"/>
      <c r="I9" s="172"/>
      <c r="J9" s="170"/>
      <c r="K9" s="170"/>
      <c r="L9" s="170"/>
      <c r="M9" s="170"/>
      <c r="N9" s="170"/>
      <c r="O9" s="29" t="s">
        <v>117</v>
      </c>
      <c r="P9" s="18" t="s">
        <v>118</v>
      </c>
      <c r="Q9" s="18"/>
    </row>
    <row r="10" spans="1:17" s="17" customFormat="1" ht="22.5">
      <c r="A10" s="48">
        <v>6</v>
      </c>
      <c r="B10" s="48" t="s">
        <v>102</v>
      </c>
      <c r="C10" s="49"/>
      <c r="D10" s="173"/>
      <c r="E10" s="173"/>
      <c r="F10" s="48"/>
      <c r="G10" s="48"/>
      <c r="H10" s="48"/>
      <c r="I10" s="130"/>
      <c r="J10" s="48"/>
      <c r="K10" s="48"/>
      <c r="L10" s="48"/>
      <c r="M10" s="48"/>
      <c r="N10" s="48"/>
      <c r="O10" s="29" t="s">
        <v>119</v>
      </c>
      <c r="P10" s="18" t="s">
        <v>120</v>
      </c>
      <c r="Q10" s="18"/>
    </row>
    <row r="11" spans="1:17" s="17" customFormat="1" ht="11.25">
      <c r="A11" s="170"/>
      <c r="B11" s="170"/>
      <c r="C11" s="170"/>
      <c r="D11" s="171"/>
      <c r="E11" s="171"/>
      <c r="F11" s="170"/>
      <c r="G11" s="170"/>
      <c r="H11" s="170"/>
      <c r="I11" s="172"/>
      <c r="J11" s="170"/>
      <c r="K11" s="170"/>
      <c r="L11" s="170"/>
      <c r="M11" s="170"/>
      <c r="N11" s="170"/>
      <c r="O11" s="29" t="s">
        <v>121</v>
      </c>
      <c r="P11" s="18" t="s">
        <v>122</v>
      </c>
      <c r="Q11" s="18"/>
    </row>
    <row r="12" spans="1:17" s="17" customFormat="1" ht="11.25">
      <c r="A12" s="48"/>
      <c r="B12" s="48"/>
      <c r="C12" s="49"/>
      <c r="D12" s="173"/>
      <c r="E12" s="173"/>
      <c r="F12" s="48"/>
      <c r="G12" s="48"/>
      <c r="H12" s="48"/>
      <c r="I12" s="130"/>
      <c r="J12" s="48"/>
      <c r="K12" s="48"/>
      <c r="L12" s="48"/>
      <c r="M12" s="48"/>
      <c r="N12" s="48"/>
      <c r="O12" s="29" t="s">
        <v>123</v>
      </c>
      <c r="P12" s="18" t="s">
        <v>124</v>
      </c>
      <c r="Q12" s="18"/>
    </row>
    <row r="13" spans="1:17" s="17" customFormat="1" ht="11.25">
      <c r="A13" s="170"/>
      <c r="B13" s="170"/>
      <c r="C13" s="170"/>
      <c r="D13" s="171"/>
      <c r="E13" s="171"/>
      <c r="F13" s="170"/>
      <c r="G13" s="170"/>
      <c r="H13" s="170"/>
      <c r="I13" s="172"/>
      <c r="J13" s="170"/>
      <c r="K13" s="170"/>
      <c r="L13" s="170"/>
      <c r="M13" s="170"/>
      <c r="N13" s="170"/>
      <c r="O13" s="29" t="s">
        <v>125</v>
      </c>
      <c r="P13" s="18" t="s">
        <v>126</v>
      </c>
      <c r="Q13" s="18"/>
    </row>
    <row r="14" spans="1:17" s="17" customFormat="1" ht="11.25">
      <c r="A14" s="48"/>
      <c r="B14" s="48"/>
      <c r="C14" s="49"/>
      <c r="D14" s="173"/>
      <c r="E14" s="173"/>
      <c r="F14" s="48"/>
      <c r="G14" s="48"/>
      <c r="H14" s="48"/>
      <c r="I14" s="130"/>
      <c r="J14" s="48"/>
      <c r="K14" s="48"/>
      <c r="L14" s="48"/>
      <c r="M14" s="48"/>
      <c r="N14" s="48"/>
      <c r="O14" s="29" t="s">
        <v>127</v>
      </c>
      <c r="P14" s="18" t="s">
        <v>128</v>
      </c>
      <c r="Q14" s="18"/>
    </row>
    <row r="15" spans="1:17" s="17" customFormat="1" ht="11.25">
      <c r="A15" s="170"/>
      <c r="B15" s="170"/>
      <c r="C15" s="170"/>
      <c r="D15" s="171"/>
      <c r="E15" s="171"/>
      <c r="F15" s="170"/>
      <c r="G15" s="170"/>
      <c r="H15" s="170"/>
      <c r="I15" s="172"/>
      <c r="J15" s="170"/>
      <c r="K15" s="170"/>
      <c r="L15" s="170"/>
      <c r="M15" s="170"/>
      <c r="N15" s="170"/>
      <c r="O15" s="29" t="s">
        <v>129</v>
      </c>
      <c r="P15" s="18" t="s">
        <v>130</v>
      </c>
      <c r="Q15" s="18"/>
    </row>
    <row r="16" spans="1:17" s="17" customFormat="1" ht="11.25">
      <c r="A16" s="48"/>
      <c r="B16" s="48"/>
      <c r="C16" s="49"/>
      <c r="D16" s="173"/>
      <c r="E16" s="173"/>
      <c r="F16" s="48"/>
      <c r="G16" s="48"/>
      <c r="H16" s="48"/>
      <c r="I16" s="130"/>
      <c r="J16" s="48"/>
      <c r="K16" s="48"/>
      <c r="L16" s="48"/>
      <c r="M16" s="48"/>
      <c r="N16" s="48"/>
      <c r="O16" s="29" t="s">
        <v>131</v>
      </c>
      <c r="P16" s="18" t="s">
        <v>132</v>
      </c>
      <c r="Q16" s="18"/>
    </row>
    <row r="17" spans="1:17" s="17" customFormat="1" ht="11.25">
      <c r="A17" s="170"/>
      <c r="B17" s="170"/>
      <c r="C17" s="170"/>
      <c r="D17" s="171"/>
      <c r="E17" s="171"/>
      <c r="F17" s="170"/>
      <c r="G17" s="170"/>
      <c r="H17" s="170"/>
      <c r="I17" s="172"/>
      <c r="J17" s="170"/>
      <c r="K17" s="170"/>
      <c r="L17" s="170"/>
      <c r="M17" s="170"/>
      <c r="N17" s="170"/>
      <c r="O17" s="29" t="s">
        <v>133</v>
      </c>
      <c r="P17" s="18" t="s">
        <v>134</v>
      </c>
      <c r="Q17" s="18"/>
    </row>
    <row r="18" spans="1:17" s="17" customFormat="1" ht="11.25">
      <c r="A18" s="48"/>
      <c r="B18" s="48"/>
      <c r="C18" s="49"/>
      <c r="D18" s="173"/>
      <c r="E18" s="173"/>
      <c r="F18" s="48"/>
      <c r="G18" s="48"/>
      <c r="H18" s="48"/>
      <c r="I18" s="130"/>
      <c r="J18" s="48"/>
      <c r="K18" s="48"/>
      <c r="L18" s="48"/>
      <c r="M18" s="48"/>
      <c r="N18" s="48"/>
      <c r="O18" s="29" t="s">
        <v>135</v>
      </c>
      <c r="P18" s="18" t="s">
        <v>136</v>
      </c>
      <c r="Q18" s="18"/>
    </row>
    <row r="19" spans="1:17" s="17" customFormat="1" ht="11.25">
      <c r="A19" s="170"/>
      <c r="B19" s="170"/>
      <c r="C19" s="170"/>
      <c r="D19" s="171"/>
      <c r="E19" s="171"/>
      <c r="F19" s="170"/>
      <c r="G19" s="170"/>
      <c r="H19" s="170"/>
      <c r="I19" s="172"/>
      <c r="J19" s="170"/>
      <c r="K19" s="170"/>
      <c r="L19" s="170"/>
      <c r="M19" s="170"/>
      <c r="N19" s="170"/>
      <c r="O19" s="29" t="s">
        <v>137</v>
      </c>
      <c r="P19" s="18" t="s">
        <v>138</v>
      </c>
      <c r="Q19" s="18"/>
    </row>
    <row r="20" spans="1:17" s="17" customFormat="1" ht="11.25">
      <c r="A20" s="48"/>
      <c r="B20" s="48"/>
      <c r="C20" s="49"/>
      <c r="D20" s="173"/>
      <c r="E20" s="173"/>
      <c r="F20" s="48"/>
      <c r="G20" s="48"/>
      <c r="H20" s="48"/>
      <c r="I20" s="130"/>
      <c r="J20" s="48"/>
      <c r="K20" s="48"/>
      <c r="L20" s="48"/>
      <c r="M20" s="48"/>
      <c r="N20" s="48"/>
      <c r="O20" s="29" t="s">
        <v>139</v>
      </c>
      <c r="P20" s="18" t="s">
        <v>140</v>
      </c>
      <c r="Q20" s="18"/>
    </row>
    <row r="21" spans="1:17" s="17" customFormat="1" ht="11.25">
      <c r="A21" s="170"/>
      <c r="B21" s="170"/>
      <c r="C21" s="170"/>
      <c r="D21" s="171"/>
      <c r="E21" s="171"/>
      <c r="F21" s="170"/>
      <c r="G21" s="170"/>
      <c r="H21" s="170"/>
      <c r="I21" s="172"/>
      <c r="J21" s="170"/>
      <c r="K21" s="170"/>
      <c r="L21" s="170"/>
      <c r="M21" s="170"/>
      <c r="N21" s="170"/>
      <c r="O21" s="29"/>
      <c r="P21" s="18"/>
      <c r="Q21" s="18"/>
    </row>
    <row r="22" spans="1:17" s="17" customFormat="1" ht="11.25">
      <c r="A22" s="48"/>
      <c r="B22" s="48"/>
      <c r="C22" s="49"/>
      <c r="D22" s="173"/>
      <c r="E22" s="173"/>
      <c r="F22" s="48"/>
      <c r="G22" s="48"/>
      <c r="H22" s="48"/>
      <c r="I22" s="130"/>
      <c r="J22" s="48"/>
      <c r="K22" s="48"/>
      <c r="L22" s="48"/>
      <c r="M22" s="48"/>
      <c r="N22" s="48"/>
      <c r="O22" s="29"/>
      <c r="P22" s="18"/>
      <c r="Q22" s="18"/>
    </row>
    <row r="23" spans="1:17" s="17" customFormat="1" ht="11.25">
      <c r="A23" s="170"/>
      <c r="B23" s="170"/>
      <c r="C23" s="170"/>
      <c r="D23" s="171"/>
      <c r="E23" s="171"/>
      <c r="F23" s="170"/>
      <c r="G23" s="170"/>
      <c r="H23" s="170"/>
      <c r="I23" s="172"/>
      <c r="J23" s="170"/>
      <c r="K23" s="170"/>
      <c r="L23" s="170"/>
      <c r="M23" s="170"/>
      <c r="N23" s="170"/>
      <c r="O23" s="29"/>
      <c r="P23" s="18"/>
      <c r="Q23" s="18"/>
    </row>
    <row r="24" spans="1:17" s="17" customFormat="1" ht="11.25">
      <c r="A24" s="48"/>
      <c r="B24" s="48"/>
      <c r="C24" s="49"/>
      <c r="D24" s="173"/>
      <c r="E24" s="173"/>
      <c r="F24" s="48"/>
      <c r="G24" s="48"/>
      <c r="H24" s="48"/>
      <c r="I24" s="130"/>
      <c r="J24" s="48"/>
      <c r="K24" s="48"/>
      <c r="L24" s="48"/>
      <c r="M24" s="48"/>
      <c r="N24" s="48"/>
      <c r="O24" s="29" t="s">
        <v>141</v>
      </c>
      <c r="P24" s="18"/>
      <c r="Q24" s="18"/>
    </row>
    <row r="25" spans="1:17" s="17" customFormat="1" ht="11.25">
      <c r="A25" s="170"/>
      <c r="B25" s="170"/>
      <c r="C25" s="170"/>
      <c r="D25" s="171"/>
      <c r="E25" s="171"/>
      <c r="F25" s="170"/>
      <c r="G25" s="170"/>
      <c r="H25" s="170"/>
      <c r="I25" s="172"/>
      <c r="J25" s="170"/>
      <c r="K25" s="170"/>
      <c r="L25" s="170"/>
      <c r="M25" s="170"/>
      <c r="N25" s="170"/>
      <c r="O25" s="29" t="s">
        <v>142</v>
      </c>
      <c r="P25" s="18"/>
      <c r="Q25" s="18"/>
    </row>
    <row r="26" spans="1:17" s="17" customFormat="1" ht="11.25">
      <c r="A26" s="48"/>
      <c r="B26" s="48"/>
      <c r="C26" s="49"/>
      <c r="D26" s="173"/>
      <c r="E26" s="173"/>
      <c r="F26" s="48"/>
      <c r="G26" s="48"/>
      <c r="H26" s="48"/>
      <c r="I26" s="130"/>
      <c r="J26" s="48"/>
      <c r="K26" s="48"/>
      <c r="L26" s="48"/>
      <c r="M26" s="48"/>
      <c r="N26" s="48"/>
      <c r="O26" s="29"/>
      <c r="P26" s="18"/>
      <c r="Q26" s="18"/>
    </row>
    <row r="27" spans="1:17" s="17" customFormat="1" ht="11.25">
      <c r="A27" s="170"/>
      <c r="B27" s="170"/>
      <c r="C27" s="170"/>
      <c r="D27" s="171"/>
      <c r="E27" s="171"/>
      <c r="F27" s="170"/>
      <c r="G27" s="170"/>
      <c r="H27" s="170"/>
      <c r="I27" s="172"/>
      <c r="J27" s="170"/>
      <c r="K27" s="170"/>
      <c r="L27" s="170"/>
      <c r="M27" s="170"/>
      <c r="N27" s="170"/>
      <c r="O27" s="29"/>
      <c r="P27" s="18"/>
      <c r="Q27" s="18"/>
    </row>
    <row r="28" spans="1:17" s="17" customFormat="1" ht="11.25">
      <c r="A28" s="48"/>
      <c r="B28" s="48"/>
      <c r="C28" s="49"/>
      <c r="D28" s="173"/>
      <c r="E28" s="173"/>
      <c r="F28" s="48"/>
      <c r="G28" s="48"/>
      <c r="H28" s="48"/>
      <c r="I28" s="130"/>
      <c r="J28" s="48"/>
      <c r="K28" s="48"/>
      <c r="L28" s="48"/>
      <c r="M28" s="48"/>
      <c r="N28" s="48"/>
      <c r="O28" s="29"/>
      <c r="P28" s="18"/>
      <c r="Q28" s="18"/>
    </row>
    <row r="29" spans="1:17" s="17" customFormat="1" ht="11.25">
      <c r="A29" s="170"/>
      <c r="B29" s="170"/>
      <c r="C29" s="170"/>
      <c r="D29" s="171"/>
      <c r="E29" s="171"/>
      <c r="F29" s="170"/>
      <c r="G29" s="170"/>
      <c r="H29" s="170"/>
      <c r="I29" s="172"/>
      <c r="J29" s="170"/>
      <c r="K29" s="170"/>
      <c r="L29" s="170"/>
      <c r="M29" s="170"/>
      <c r="N29" s="170"/>
      <c r="O29" s="29">
        <v>1</v>
      </c>
      <c r="P29" s="18"/>
      <c r="Q29" s="18"/>
    </row>
    <row r="30" spans="1:17" s="17" customFormat="1" ht="11.25">
      <c r="A30" s="48"/>
      <c r="B30" s="48"/>
      <c r="C30" s="49"/>
      <c r="D30" s="173"/>
      <c r="E30" s="173"/>
      <c r="F30" s="48"/>
      <c r="G30" s="48"/>
      <c r="H30" s="48"/>
      <c r="I30" s="130"/>
      <c r="J30" s="48"/>
      <c r="K30" s="48"/>
      <c r="L30" s="48"/>
      <c r="M30" s="48"/>
      <c r="N30" s="48"/>
      <c r="O30" s="29">
        <v>2</v>
      </c>
      <c r="P30" s="18"/>
      <c r="Q30" s="18"/>
    </row>
    <row r="31" spans="1:17" s="17" customFormat="1" ht="11.25">
      <c r="A31" s="170"/>
      <c r="B31" s="170"/>
      <c r="C31" s="170"/>
      <c r="D31" s="171"/>
      <c r="E31" s="171"/>
      <c r="F31" s="170"/>
      <c r="G31" s="170"/>
      <c r="H31" s="170"/>
      <c r="I31" s="172"/>
      <c r="J31" s="170"/>
      <c r="K31" s="170"/>
      <c r="L31" s="170"/>
      <c r="M31" s="170"/>
      <c r="N31" s="170"/>
      <c r="O31" s="29">
        <v>3</v>
      </c>
      <c r="P31" s="18"/>
      <c r="Q31" s="18"/>
    </row>
    <row r="32" spans="1:17" s="17" customFormat="1" ht="11.25">
      <c r="A32" s="48"/>
      <c r="B32" s="48"/>
      <c r="C32" s="49"/>
      <c r="D32" s="173"/>
      <c r="E32" s="173"/>
      <c r="F32" s="48"/>
      <c r="G32" s="48"/>
      <c r="H32" s="48"/>
      <c r="I32" s="130"/>
      <c r="J32" s="48"/>
      <c r="K32" s="48"/>
      <c r="L32" s="48"/>
      <c r="M32" s="48"/>
      <c r="N32" s="48"/>
      <c r="O32" s="29"/>
      <c r="P32" s="18"/>
      <c r="Q32" s="18"/>
    </row>
    <row r="33" spans="1:17" s="17" customFormat="1" ht="11.25">
      <c r="A33" s="170"/>
      <c r="B33" s="170"/>
      <c r="C33" s="170"/>
      <c r="D33" s="171"/>
      <c r="E33" s="171"/>
      <c r="F33" s="170"/>
      <c r="G33" s="170"/>
      <c r="H33" s="170"/>
      <c r="I33" s="172"/>
      <c r="J33" s="170"/>
      <c r="K33" s="170"/>
      <c r="L33" s="170"/>
      <c r="M33" s="170"/>
      <c r="N33" s="170"/>
      <c r="O33" s="29" t="s">
        <v>143</v>
      </c>
      <c r="P33" s="18"/>
      <c r="Q33" s="18"/>
    </row>
    <row r="34" spans="1:17" s="17" customFormat="1" ht="11.25">
      <c r="A34" s="48"/>
      <c r="B34" s="48"/>
      <c r="C34" s="49"/>
      <c r="D34" s="173"/>
      <c r="E34" s="173"/>
      <c r="F34" s="48"/>
      <c r="G34" s="48"/>
      <c r="H34" s="48"/>
      <c r="I34" s="130"/>
      <c r="J34" s="48"/>
      <c r="K34" s="48"/>
      <c r="L34" s="48"/>
      <c r="M34" s="48"/>
      <c r="N34" s="48"/>
      <c r="O34" s="29" t="s">
        <v>144</v>
      </c>
      <c r="P34" s="18"/>
      <c r="Q34" s="18"/>
    </row>
    <row r="35" spans="1:17" s="17" customFormat="1" ht="11.25">
      <c r="A35" s="170"/>
      <c r="B35" s="170"/>
      <c r="C35" s="170"/>
      <c r="D35" s="171"/>
      <c r="E35" s="171"/>
      <c r="F35" s="170"/>
      <c r="G35" s="170"/>
      <c r="H35" s="170"/>
      <c r="I35" s="172"/>
      <c r="J35" s="170"/>
      <c r="K35" s="170"/>
      <c r="L35" s="170"/>
      <c r="M35" s="170"/>
      <c r="N35" s="170"/>
      <c r="O35" s="29" t="s">
        <v>145</v>
      </c>
      <c r="P35" s="18"/>
      <c r="Q35" s="18"/>
    </row>
    <row r="36" spans="1:17" s="17" customFormat="1" ht="11.25">
      <c r="A36" s="48"/>
      <c r="B36" s="48"/>
      <c r="C36" s="49"/>
      <c r="D36" s="173"/>
      <c r="E36" s="173"/>
      <c r="F36" s="48"/>
      <c r="G36" s="48"/>
      <c r="H36" s="48"/>
      <c r="I36" s="130"/>
      <c r="J36" s="48"/>
      <c r="K36" s="48"/>
      <c r="L36" s="48"/>
      <c r="M36" s="48"/>
      <c r="N36" s="48"/>
      <c r="O36" s="29" t="s">
        <v>146</v>
      </c>
      <c r="P36" s="18"/>
      <c r="Q36" s="18"/>
    </row>
    <row r="37" spans="1:17" s="17" customFormat="1" ht="11.25">
      <c r="A37" s="170"/>
      <c r="B37" s="170"/>
      <c r="C37" s="170"/>
      <c r="D37" s="171"/>
      <c r="E37" s="171"/>
      <c r="F37" s="170"/>
      <c r="G37" s="170"/>
      <c r="H37" s="170"/>
      <c r="I37" s="172"/>
      <c r="J37" s="170"/>
      <c r="K37" s="170"/>
      <c r="L37" s="170"/>
      <c r="M37" s="170"/>
      <c r="N37" s="170"/>
      <c r="O37" s="29" t="s">
        <v>147</v>
      </c>
      <c r="P37" s="18"/>
      <c r="Q37" s="18"/>
    </row>
    <row r="38" spans="1:17" s="17" customFormat="1" ht="11.25">
      <c r="A38" s="48"/>
      <c r="B38" s="48"/>
      <c r="C38" s="49"/>
      <c r="D38" s="173"/>
      <c r="E38" s="173"/>
      <c r="F38" s="48"/>
      <c r="G38" s="48"/>
      <c r="H38" s="48"/>
      <c r="I38" s="130"/>
      <c r="J38" s="48"/>
      <c r="K38" s="48"/>
      <c r="L38" s="48"/>
      <c r="M38" s="48"/>
      <c r="N38" s="48"/>
      <c r="O38" s="29" t="s">
        <v>148</v>
      </c>
      <c r="P38" s="18"/>
      <c r="Q38" s="18"/>
    </row>
    <row r="39" spans="1:17" s="17" customFormat="1" ht="11.25">
      <c r="A39" s="170"/>
      <c r="B39" s="170"/>
      <c r="C39" s="170"/>
      <c r="D39" s="171"/>
      <c r="E39" s="171"/>
      <c r="F39" s="170"/>
      <c r="G39" s="170"/>
      <c r="H39" s="170"/>
      <c r="I39" s="172"/>
      <c r="J39" s="170"/>
      <c r="K39" s="170"/>
      <c r="L39" s="170"/>
      <c r="M39" s="170"/>
      <c r="N39" s="170"/>
      <c r="O39" s="29"/>
      <c r="P39" s="18"/>
      <c r="Q39" s="18"/>
    </row>
    <row r="40" spans="1:17" s="17" customFormat="1" ht="11.25">
      <c r="A40" s="48"/>
      <c r="B40" s="48"/>
      <c r="C40" s="49"/>
      <c r="D40" s="173"/>
      <c r="E40" s="173"/>
      <c r="F40" s="48"/>
      <c r="G40" s="48"/>
      <c r="H40" s="48"/>
      <c r="I40" s="130"/>
      <c r="J40" s="48"/>
      <c r="K40" s="48"/>
      <c r="L40" s="48"/>
      <c r="M40" s="48"/>
      <c r="N40" s="48"/>
      <c r="O40" s="29"/>
      <c r="P40" s="18"/>
      <c r="Q40" s="18"/>
    </row>
    <row r="41" spans="1:17" s="17" customFormat="1" ht="11.25">
      <c r="A41" s="170"/>
      <c r="B41" s="170"/>
      <c r="C41" s="170"/>
      <c r="D41" s="171"/>
      <c r="E41" s="171"/>
      <c r="F41" s="170"/>
      <c r="G41" s="170"/>
      <c r="H41" s="170"/>
      <c r="I41" s="172"/>
      <c r="J41" s="170"/>
      <c r="K41" s="170"/>
      <c r="L41" s="170"/>
      <c r="M41" s="170"/>
      <c r="N41" s="170"/>
      <c r="O41" s="29"/>
      <c r="P41" s="18"/>
      <c r="Q41" s="18"/>
    </row>
    <row r="42" spans="1:17" s="17" customFormat="1" ht="11.25">
      <c r="A42" s="48"/>
      <c r="B42" s="48"/>
      <c r="C42" s="49"/>
      <c r="D42" s="173"/>
      <c r="E42" s="173"/>
      <c r="F42" s="48"/>
      <c r="G42" s="48"/>
      <c r="H42" s="48"/>
      <c r="I42" s="130"/>
      <c r="J42" s="48"/>
      <c r="K42" s="48"/>
      <c r="L42" s="48"/>
      <c r="M42" s="48"/>
      <c r="N42" s="48"/>
      <c r="O42" s="29"/>
      <c r="P42" s="18"/>
      <c r="Q42" s="18"/>
    </row>
    <row r="43" spans="1:17" s="17" customFormat="1" ht="11.25">
      <c r="A43" s="170"/>
      <c r="B43" s="170"/>
      <c r="C43" s="170"/>
      <c r="D43" s="171"/>
      <c r="E43" s="171"/>
      <c r="F43" s="170"/>
      <c r="G43" s="170"/>
      <c r="H43" s="170"/>
      <c r="I43" s="172"/>
      <c r="J43" s="170"/>
      <c r="K43" s="170"/>
      <c r="L43" s="170"/>
      <c r="M43" s="170"/>
      <c r="N43" s="170"/>
      <c r="O43" s="29"/>
      <c r="P43" s="18"/>
      <c r="Q43" s="18"/>
    </row>
    <row r="44" spans="1:17" s="17" customFormat="1" ht="11.25">
      <c r="A44" s="48"/>
      <c r="B44" s="48"/>
      <c r="C44" s="49"/>
      <c r="D44" s="173"/>
      <c r="E44" s="173"/>
      <c r="F44" s="48"/>
      <c r="G44" s="48"/>
      <c r="H44" s="48"/>
      <c r="I44" s="130"/>
      <c r="J44" s="48"/>
      <c r="K44" s="48"/>
      <c r="L44" s="48"/>
      <c r="M44" s="48"/>
      <c r="N44" s="48"/>
      <c r="O44" s="29"/>
      <c r="P44" s="18"/>
      <c r="Q44" s="18"/>
    </row>
    <row r="45" spans="1:17" s="17" customFormat="1" ht="11.25">
      <c r="A45" s="170"/>
      <c r="B45" s="170"/>
      <c r="C45" s="170"/>
      <c r="D45" s="171"/>
      <c r="E45" s="171"/>
      <c r="F45" s="170"/>
      <c r="G45" s="170"/>
      <c r="H45" s="170"/>
      <c r="I45" s="172"/>
      <c r="J45" s="170"/>
      <c r="K45" s="170"/>
      <c r="L45" s="170"/>
      <c r="M45" s="170"/>
      <c r="N45" s="170"/>
      <c r="O45" s="29"/>
      <c r="P45" s="18"/>
      <c r="Q45" s="18"/>
    </row>
    <row r="46" spans="1:17" s="17" customFormat="1" ht="11.25">
      <c r="A46" s="48"/>
      <c r="B46" s="48"/>
      <c r="C46" s="49"/>
      <c r="D46" s="173"/>
      <c r="E46" s="173"/>
      <c r="F46" s="48"/>
      <c r="G46" s="48"/>
      <c r="H46" s="48"/>
      <c r="I46" s="130"/>
      <c r="J46" s="48"/>
      <c r="K46" s="48"/>
      <c r="L46" s="48"/>
      <c r="M46" s="48"/>
      <c r="N46" s="48"/>
      <c r="O46" s="29"/>
      <c r="P46" s="18"/>
      <c r="Q46" s="18"/>
    </row>
    <row r="47" spans="1:17" s="17" customFormat="1" ht="11.25">
      <c r="A47" s="170"/>
      <c r="B47" s="170"/>
      <c r="C47" s="170"/>
      <c r="D47" s="171"/>
      <c r="E47" s="171"/>
      <c r="F47" s="170"/>
      <c r="G47" s="170"/>
      <c r="H47" s="170"/>
      <c r="I47" s="172"/>
      <c r="J47" s="170"/>
      <c r="K47" s="170"/>
      <c r="L47" s="170"/>
      <c r="M47" s="170"/>
      <c r="N47" s="170"/>
      <c r="O47" s="29"/>
      <c r="P47" s="18"/>
      <c r="Q47" s="18"/>
    </row>
    <row r="48" spans="1:17" s="17" customFormat="1" ht="11.25">
      <c r="A48" s="48"/>
      <c r="B48" s="48"/>
      <c r="C48" s="49"/>
      <c r="D48" s="173"/>
      <c r="E48" s="173"/>
      <c r="F48" s="48"/>
      <c r="G48" s="48"/>
      <c r="H48" s="48"/>
      <c r="I48" s="130"/>
      <c r="J48" s="48"/>
      <c r="K48" s="48"/>
      <c r="L48" s="48"/>
      <c r="M48" s="48"/>
      <c r="N48" s="48"/>
      <c r="O48" s="29"/>
      <c r="P48" s="18"/>
      <c r="Q48" s="18"/>
    </row>
    <row r="49" spans="1:17" s="17" customFormat="1" ht="11.25">
      <c r="A49" s="170"/>
      <c r="B49" s="170"/>
      <c r="C49" s="170"/>
      <c r="D49" s="171"/>
      <c r="E49" s="171"/>
      <c r="F49" s="170"/>
      <c r="G49" s="170"/>
      <c r="H49" s="170"/>
      <c r="I49" s="172"/>
      <c r="J49" s="170"/>
      <c r="K49" s="170"/>
      <c r="L49" s="170"/>
      <c r="M49" s="170"/>
      <c r="N49" s="170"/>
      <c r="O49" s="29"/>
      <c r="P49" s="18"/>
      <c r="Q49" s="18"/>
    </row>
    <row r="50" spans="1:17" s="17" customFormat="1" ht="11.25">
      <c r="A50" s="48"/>
      <c r="B50" s="48"/>
      <c r="C50" s="49"/>
      <c r="D50" s="173"/>
      <c r="E50" s="173"/>
      <c r="F50" s="48"/>
      <c r="G50" s="48"/>
      <c r="H50" s="48"/>
      <c r="I50" s="130"/>
      <c r="J50" s="48"/>
      <c r="K50" s="48"/>
      <c r="L50" s="48"/>
      <c r="M50" s="48"/>
      <c r="N50" s="48"/>
      <c r="O50" s="29"/>
      <c r="P50" s="18"/>
      <c r="Q50" s="18"/>
    </row>
    <row r="51" spans="1:17" s="17" customFormat="1" ht="11.25">
      <c r="A51" s="170"/>
      <c r="B51" s="170"/>
      <c r="C51" s="170"/>
      <c r="D51" s="171"/>
      <c r="E51" s="171"/>
      <c r="F51" s="170"/>
      <c r="G51" s="170"/>
      <c r="H51" s="170"/>
      <c r="I51" s="172"/>
      <c r="J51" s="170"/>
      <c r="K51" s="170"/>
      <c r="L51" s="170"/>
      <c r="M51" s="170"/>
      <c r="N51" s="170"/>
      <c r="O51" s="29"/>
      <c r="P51" s="18"/>
      <c r="Q51" s="18"/>
    </row>
    <row r="52" spans="1:17" s="17" customFormat="1" ht="11.25">
      <c r="A52" s="48"/>
      <c r="B52" s="48"/>
      <c r="C52" s="49"/>
      <c r="D52" s="173"/>
      <c r="E52" s="173"/>
      <c r="F52" s="48"/>
      <c r="G52" s="48"/>
      <c r="H52" s="48"/>
      <c r="I52" s="130"/>
      <c r="J52" s="48"/>
      <c r="K52" s="48"/>
      <c r="L52" s="48"/>
      <c r="M52" s="48"/>
      <c r="N52" s="48"/>
      <c r="O52" s="29"/>
      <c r="P52" s="18"/>
      <c r="Q52" s="18"/>
    </row>
    <row r="53" spans="1:17" s="17" customFormat="1" ht="11.25">
      <c r="A53" s="170"/>
      <c r="B53" s="170"/>
      <c r="C53" s="170"/>
      <c r="D53" s="171"/>
      <c r="E53" s="171"/>
      <c r="F53" s="170"/>
      <c r="G53" s="170"/>
      <c r="H53" s="170"/>
      <c r="I53" s="172"/>
      <c r="J53" s="170"/>
      <c r="K53" s="170"/>
      <c r="L53" s="170"/>
      <c r="M53" s="170"/>
      <c r="N53" s="170"/>
      <c r="O53" s="29"/>
      <c r="P53" s="18"/>
      <c r="Q53" s="18"/>
    </row>
    <row r="54" spans="1:17" s="17" customFormat="1" ht="11.25">
      <c r="A54" s="48"/>
      <c r="B54" s="48"/>
      <c r="C54" s="49"/>
      <c r="D54" s="173"/>
      <c r="E54" s="173"/>
      <c r="F54" s="48"/>
      <c r="G54" s="48"/>
      <c r="H54" s="48"/>
      <c r="I54" s="130"/>
      <c r="J54" s="48"/>
      <c r="K54" s="48"/>
      <c r="L54" s="48"/>
      <c r="M54" s="48"/>
      <c r="N54" s="48"/>
      <c r="O54" s="29"/>
      <c r="P54" s="18"/>
      <c r="Q54" s="18"/>
    </row>
    <row r="55" spans="1:17" s="17" customFormat="1" ht="11.25">
      <c r="A55" s="170"/>
      <c r="B55" s="170"/>
      <c r="C55" s="170"/>
      <c r="D55" s="171"/>
      <c r="E55" s="171"/>
      <c r="F55" s="170"/>
      <c r="G55" s="170"/>
      <c r="H55" s="170"/>
      <c r="I55" s="172"/>
      <c r="J55" s="170"/>
      <c r="K55" s="170"/>
      <c r="L55" s="170"/>
      <c r="M55" s="170"/>
      <c r="N55" s="170"/>
      <c r="O55" s="29"/>
      <c r="P55" s="18"/>
      <c r="Q55" s="18"/>
    </row>
    <row r="56" spans="1:17" s="17" customFormat="1" ht="11.25">
      <c r="A56" s="48"/>
      <c r="B56" s="48"/>
      <c r="C56" s="49"/>
      <c r="D56" s="173"/>
      <c r="E56" s="173"/>
      <c r="F56" s="48"/>
      <c r="G56" s="48"/>
      <c r="H56" s="48"/>
      <c r="I56" s="130"/>
      <c r="J56" s="48"/>
      <c r="K56" s="48"/>
      <c r="L56" s="48"/>
      <c r="M56" s="48"/>
      <c r="N56" s="48"/>
      <c r="O56" s="29"/>
      <c r="P56" s="18"/>
      <c r="Q56" s="18"/>
    </row>
    <row r="57" spans="1:17" s="17" customFormat="1" ht="11.25">
      <c r="A57" s="170"/>
      <c r="B57" s="170"/>
      <c r="C57" s="170"/>
      <c r="D57" s="171"/>
      <c r="E57" s="171"/>
      <c r="F57" s="170"/>
      <c r="G57" s="170"/>
      <c r="H57" s="170"/>
      <c r="I57" s="172"/>
      <c r="J57" s="170"/>
      <c r="K57" s="170"/>
      <c r="L57" s="170"/>
      <c r="M57" s="170"/>
      <c r="N57" s="170"/>
      <c r="O57" s="29"/>
      <c r="P57" s="18"/>
      <c r="Q57" s="18"/>
    </row>
    <row r="58" spans="1:17" s="17" customFormat="1" ht="11.25">
      <c r="A58" s="48"/>
      <c r="B58" s="48"/>
      <c r="C58" s="49"/>
      <c r="D58" s="173"/>
      <c r="E58" s="173"/>
      <c r="F58" s="48"/>
      <c r="G58" s="48"/>
      <c r="H58" s="48"/>
      <c r="I58" s="130"/>
      <c r="J58" s="48"/>
      <c r="K58" s="48"/>
      <c r="L58" s="48"/>
      <c r="M58" s="48"/>
      <c r="N58" s="48"/>
      <c r="O58" s="29"/>
      <c r="P58" s="18"/>
      <c r="Q58" s="18"/>
    </row>
    <row r="59" spans="1:17" s="17" customFormat="1" ht="11.25">
      <c r="A59" s="170"/>
      <c r="B59" s="170"/>
      <c r="C59" s="170"/>
      <c r="D59" s="171"/>
      <c r="E59" s="171"/>
      <c r="F59" s="170"/>
      <c r="G59" s="170"/>
      <c r="H59" s="170"/>
      <c r="I59" s="172"/>
      <c r="J59" s="170"/>
      <c r="K59" s="170"/>
      <c r="L59" s="170"/>
      <c r="M59" s="170"/>
      <c r="N59" s="170"/>
      <c r="O59" s="29"/>
      <c r="P59" s="18"/>
      <c r="Q59" s="18"/>
    </row>
    <row r="60" spans="1:17" s="17" customFormat="1" ht="11.25">
      <c r="A60" s="48"/>
      <c r="B60" s="48"/>
      <c r="C60" s="49"/>
      <c r="D60" s="173"/>
      <c r="E60" s="173"/>
      <c r="F60" s="48"/>
      <c r="G60" s="48"/>
      <c r="H60" s="48"/>
      <c r="I60" s="130"/>
      <c r="J60" s="48"/>
      <c r="K60" s="48"/>
      <c r="L60" s="48"/>
      <c r="M60" s="48"/>
      <c r="N60" s="48"/>
      <c r="O60" s="29"/>
      <c r="P60" s="18"/>
      <c r="Q60" s="18"/>
    </row>
    <row r="61" spans="1:17" s="17" customFormat="1" ht="11.25">
      <c r="A61" s="170"/>
      <c r="B61" s="170"/>
      <c r="C61" s="170"/>
      <c r="D61" s="171"/>
      <c r="E61" s="171"/>
      <c r="F61" s="170"/>
      <c r="G61" s="170"/>
      <c r="H61" s="170"/>
      <c r="I61" s="172"/>
      <c r="J61" s="170"/>
      <c r="K61" s="170"/>
      <c r="L61" s="170"/>
      <c r="M61" s="170"/>
      <c r="N61" s="170"/>
      <c r="O61" s="29"/>
      <c r="P61" s="18"/>
      <c r="Q61" s="18"/>
    </row>
    <row r="62" spans="1:17" s="17" customFormat="1" ht="11.25">
      <c r="A62" s="48"/>
      <c r="B62" s="48"/>
      <c r="C62" s="49"/>
      <c r="D62" s="173"/>
      <c r="E62" s="173"/>
      <c r="F62" s="48"/>
      <c r="G62" s="48"/>
      <c r="H62" s="48"/>
      <c r="I62" s="130"/>
      <c r="J62" s="48"/>
      <c r="K62" s="48"/>
      <c r="L62" s="48"/>
      <c r="M62" s="48"/>
      <c r="N62" s="48"/>
      <c r="O62" s="29"/>
      <c r="P62" s="18"/>
      <c r="Q62" s="18"/>
    </row>
    <row r="63" spans="1:17" s="17" customFormat="1" ht="11.25">
      <c r="A63" s="170"/>
      <c r="B63" s="170"/>
      <c r="C63" s="170"/>
      <c r="D63" s="171"/>
      <c r="E63" s="171"/>
      <c r="F63" s="170"/>
      <c r="G63" s="170"/>
      <c r="H63" s="170"/>
      <c r="I63" s="172"/>
      <c r="J63" s="170"/>
      <c r="K63" s="170"/>
      <c r="L63" s="170"/>
      <c r="M63" s="170"/>
      <c r="N63" s="170"/>
      <c r="O63" s="29"/>
      <c r="P63" s="18"/>
      <c r="Q63" s="18"/>
    </row>
    <row r="64" spans="1:17" s="17" customFormat="1" ht="11.25">
      <c r="A64" s="48"/>
      <c r="B64" s="48"/>
      <c r="C64" s="49"/>
      <c r="D64" s="173"/>
      <c r="E64" s="173"/>
      <c r="F64" s="48"/>
      <c r="G64" s="48"/>
      <c r="H64" s="48"/>
      <c r="I64" s="130"/>
      <c r="J64" s="48"/>
      <c r="K64" s="48"/>
      <c r="L64" s="48"/>
      <c r="M64" s="48"/>
      <c r="N64" s="48"/>
      <c r="O64" s="29"/>
      <c r="P64" s="18"/>
      <c r="Q64" s="18"/>
    </row>
    <row r="65" spans="1:17" s="17" customFormat="1" ht="11.25">
      <c r="A65" s="170"/>
      <c r="B65" s="170"/>
      <c r="C65" s="170"/>
      <c r="D65" s="171"/>
      <c r="E65" s="171"/>
      <c r="F65" s="170"/>
      <c r="G65" s="170"/>
      <c r="H65" s="170"/>
      <c r="I65" s="172"/>
      <c r="J65" s="170"/>
      <c r="K65" s="170"/>
      <c r="L65" s="170"/>
      <c r="M65" s="170"/>
      <c r="N65" s="170"/>
      <c r="O65" s="29"/>
      <c r="P65" s="18"/>
      <c r="Q65" s="18"/>
    </row>
    <row r="66" spans="1:17" s="17" customFormat="1" ht="11.25">
      <c r="A66" s="48"/>
      <c r="B66" s="48"/>
      <c r="C66" s="49"/>
      <c r="D66" s="173"/>
      <c r="E66" s="173"/>
      <c r="F66" s="48"/>
      <c r="G66" s="48"/>
      <c r="H66" s="48"/>
      <c r="I66" s="130"/>
      <c r="J66" s="48"/>
      <c r="K66" s="48"/>
      <c r="L66" s="48"/>
      <c r="M66" s="48"/>
      <c r="N66" s="48"/>
      <c r="O66" s="29"/>
      <c r="P66" s="18"/>
      <c r="Q66" s="18"/>
    </row>
    <row r="67" spans="1:17" s="17" customFormat="1" ht="11.25">
      <c r="A67" s="170"/>
      <c r="B67" s="170"/>
      <c r="C67" s="170"/>
      <c r="D67" s="171"/>
      <c r="E67" s="171"/>
      <c r="F67" s="170"/>
      <c r="G67" s="170"/>
      <c r="H67" s="170"/>
      <c r="I67" s="172"/>
      <c r="J67" s="170"/>
      <c r="K67" s="170"/>
      <c r="L67" s="170"/>
      <c r="M67" s="170"/>
      <c r="N67" s="170"/>
      <c r="O67" s="29"/>
      <c r="P67" s="18"/>
      <c r="Q67" s="18"/>
    </row>
    <row r="68" spans="1:17" s="17" customFormat="1" ht="11.25">
      <c r="A68" s="48"/>
      <c r="B68" s="48"/>
      <c r="C68" s="49"/>
      <c r="D68" s="173"/>
      <c r="E68" s="173"/>
      <c r="F68" s="48"/>
      <c r="G68" s="48"/>
      <c r="H68" s="48"/>
      <c r="I68" s="130"/>
      <c r="J68" s="48"/>
      <c r="K68" s="48"/>
      <c r="L68" s="48"/>
      <c r="M68" s="48"/>
      <c r="N68" s="48"/>
      <c r="O68" s="29"/>
      <c r="P68" s="18"/>
      <c r="Q68" s="18"/>
    </row>
    <row r="69" spans="1:17" s="17" customFormat="1" ht="11.25">
      <c r="A69" s="170"/>
      <c r="B69" s="170"/>
      <c r="C69" s="170"/>
      <c r="D69" s="171"/>
      <c r="E69" s="171"/>
      <c r="F69" s="170"/>
      <c r="G69" s="170"/>
      <c r="H69" s="170"/>
      <c r="I69" s="172"/>
      <c r="J69" s="170"/>
      <c r="K69" s="170"/>
      <c r="L69" s="170"/>
      <c r="M69" s="170"/>
      <c r="N69" s="170"/>
      <c r="O69" s="29"/>
      <c r="P69" s="18"/>
      <c r="Q69" s="18"/>
    </row>
    <row r="70" spans="1:17" s="17" customFormat="1" ht="11.25">
      <c r="A70" s="48"/>
      <c r="B70" s="48"/>
      <c r="C70" s="49"/>
      <c r="D70" s="173"/>
      <c r="E70" s="173"/>
      <c r="F70" s="48"/>
      <c r="G70" s="48"/>
      <c r="H70" s="48"/>
      <c r="I70" s="130"/>
      <c r="J70" s="48"/>
      <c r="K70" s="48"/>
      <c r="L70" s="48"/>
      <c r="M70" s="48"/>
      <c r="N70" s="48"/>
      <c r="O70" s="29"/>
      <c r="P70" s="18"/>
      <c r="Q70" s="18"/>
    </row>
    <row r="71" spans="1:17" s="17" customFormat="1" ht="11.25">
      <c r="A71" s="170"/>
      <c r="B71" s="170"/>
      <c r="C71" s="170"/>
      <c r="D71" s="171"/>
      <c r="E71" s="171"/>
      <c r="F71" s="170"/>
      <c r="G71" s="170"/>
      <c r="H71" s="170"/>
      <c r="I71" s="172"/>
      <c r="J71" s="170"/>
      <c r="K71" s="170"/>
      <c r="L71" s="170"/>
      <c r="M71" s="170"/>
      <c r="N71" s="170"/>
      <c r="O71" s="29"/>
      <c r="P71" s="18"/>
      <c r="Q71" s="18"/>
    </row>
    <row r="72" spans="1:17" s="17" customFormat="1" ht="11.25">
      <c r="A72" s="48"/>
      <c r="B72" s="48"/>
      <c r="C72" s="49"/>
      <c r="D72" s="173"/>
      <c r="E72" s="173"/>
      <c r="F72" s="48"/>
      <c r="G72" s="48"/>
      <c r="H72" s="48"/>
      <c r="I72" s="130"/>
      <c r="J72" s="48"/>
      <c r="K72" s="48"/>
      <c r="L72" s="48"/>
      <c r="M72" s="48"/>
      <c r="N72" s="48"/>
      <c r="O72" s="29"/>
      <c r="P72" s="18"/>
      <c r="Q72" s="18"/>
    </row>
    <row r="73" spans="1:17" s="17" customFormat="1" ht="11.25">
      <c r="A73" s="170"/>
      <c r="B73" s="170"/>
      <c r="C73" s="170"/>
      <c r="D73" s="171"/>
      <c r="E73" s="171"/>
      <c r="F73" s="170"/>
      <c r="G73" s="170"/>
      <c r="H73" s="170"/>
      <c r="I73" s="172"/>
      <c r="J73" s="170"/>
      <c r="K73" s="170"/>
      <c r="L73" s="170"/>
      <c r="M73" s="170"/>
      <c r="N73" s="170"/>
      <c r="O73" s="29"/>
      <c r="P73" s="18"/>
      <c r="Q73" s="18"/>
    </row>
    <row r="74" spans="1:17" s="17" customFormat="1" ht="11.25">
      <c r="A74" s="48"/>
      <c r="B74" s="48"/>
      <c r="C74" s="49"/>
      <c r="D74" s="173"/>
      <c r="E74" s="173"/>
      <c r="F74" s="48"/>
      <c r="G74" s="48"/>
      <c r="H74" s="48"/>
      <c r="I74" s="130"/>
      <c r="J74" s="48"/>
      <c r="K74" s="48"/>
      <c r="L74" s="48"/>
      <c r="M74" s="48"/>
      <c r="N74" s="48"/>
      <c r="O74" s="29"/>
      <c r="P74" s="18"/>
      <c r="Q74" s="18"/>
    </row>
    <row r="75" spans="1:17" s="17" customFormat="1" ht="11.25">
      <c r="A75" s="170"/>
      <c r="B75" s="170"/>
      <c r="C75" s="170"/>
      <c r="D75" s="171"/>
      <c r="E75" s="171"/>
      <c r="F75" s="170"/>
      <c r="G75" s="170"/>
      <c r="H75" s="170"/>
      <c r="I75" s="172"/>
      <c r="J75" s="170"/>
      <c r="K75" s="170"/>
      <c r="L75" s="170"/>
      <c r="M75" s="170"/>
      <c r="N75" s="170"/>
      <c r="O75" s="29"/>
      <c r="P75" s="18"/>
      <c r="Q75" s="18"/>
    </row>
    <row r="76" spans="1:17" s="17" customFormat="1" ht="11.25">
      <c r="A76" s="48"/>
      <c r="B76" s="48"/>
      <c r="C76" s="49"/>
      <c r="D76" s="173"/>
      <c r="E76" s="173"/>
      <c r="F76" s="48"/>
      <c r="G76" s="48"/>
      <c r="H76" s="48"/>
      <c r="I76" s="130"/>
      <c r="J76" s="48"/>
      <c r="K76" s="48"/>
      <c r="L76" s="48"/>
      <c r="M76" s="48"/>
      <c r="N76" s="48"/>
      <c r="O76" s="29"/>
      <c r="P76" s="18"/>
      <c r="Q76" s="18"/>
    </row>
    <row r="77" spans="1:17" s="17" customFormat="1" ht="11.25">
      <c r="A77" s="170"/>
      <c r="B77" s="170"/>
      <c r="C77" s="170"/>
      <c r="D77" s="171"/>
      <c r="E77" s="171"/>
      <c r="F77" s="170"/>
      <c r="G77" s="170"/>
      <c r="H77" s="170"/>
      <c r="I77" s="172"/>
      <c r="J77" s="170"/>
      <c r="K77" s="170"/>
      <c r="L77" s="170"/>
      <c r="M77" s="170"/>
      <c r="N77" s="170"/>
      <c r="O77" s="29"/>
      <c r="P77" s="18"/>
      <c r="Q77" s="18"/>
    </row>
    <row r="78" spans="1:17" s="17" customFormat="1" ht="11.25">
      <c r="A78" s="48"/>
      <c r="B78" s="48"/>
      <c r="C78" s="49"/>
      <c r="D78" s="173"/>
      <c r="E78" s="173"/>
      <c r="F78" s="48"/>
      <c r="G78" s="48"/>
      <c r="H78" s="48"/>
      <c r="I78" s="130"/>
      <c r="J78" s="48"/>
      <c r="K78" s="48"/>
      <c r="L78" s="48"/>
      <c r="M78" s="48"/>
      <c r="N78" s="48"/>
      <c r="O78" s="29"/>
      <c r="P78" s="18"/>
      <c r="Q78" s="18"/>
    </row>
    <row r="79" spans="1:17" s="17" customFormat="1" ht="11.25">
      <c r="A79" s="170"/>
      <c r="B79" s="170"/>
      <c r="C79" s="170"/>
      <c r="D79" s="171"/>
      <c r="E79" s="171"/>
      <c r="F79" s="170"/>
      <c r="G79" s="170"/>
      <c r="H79" s="170"/>
      <c r="I79" s="172"/>
      <c r="J79" s="170"/>
      <c r="K79" s="170"/>
      <c r="L79" s="170"/>
      <c r="M79" s="170"/>
      <c r="N79" s="170"/>
      <c r="O79" s="29"/>
      <c r="P79" s="18"/>
      <c r="Q79" s="18"/>
    </row>
    <row r="80" spans="1:17" s="17" customFormat="1" ht="11.25">
      <c r="A80" s="48"/>
      <c r="B80" s="48"/>
      <c r="C80" s="49"/>
      <c r="D80" s="173"/>
      <c r="E80" s="173"/>
      <c r="F80" s="48"/>
      <c r="G80" s="48"/>
      <c r="H80" s="48"/>
      <c r="I80" s="130"/>
      <c r="J80" s="48"/>
      <c r="K80" s="48"/>
      <c r="L80" s="48"/>
      <c r="M80" s="48"/>
      <c r="N80" s="48"/>
      <c r="O80" s="29"/>
      <c r="P80" s="18"/>
      <c r="Q80" s="18"/>
    </row>
    <row r="81" spans="1:17" s="17" customFormat="1" ht="11.25">
      <c r="A81" s="170"/>
      <c r="B81" s="170"/>
      <c r="C81" s="170"/>
      <c r="D81" s="171"/>
      <c r="E81" s="171"/>
      <c r="F81" s="170"/>
      <c r="G81" s="170"/>
      <c r="H81" s="170"/>
      <c r="I81" s="172"/>
      <c r="J81" s="170"/>
      <c r="K81" s="170"/>
      <c r="L81" s="170"/>
      <c r="M81" s="170"/>
      <c r="N81" s="170"/>
      <c r="O81" s="29"/>
      <c r="P81" s="18"/>
      <c r="Q81" s="18"/>
    </row>
    <row r="82" spans="1:17" s="17" customFormat="1" ht="11.25">
      <c r="A82" s="48"/>
      <c r="B82" s="48"/>
      <c r="C82" s="49"/>
      <c r="D82" s="173"/>
      <c r="E82" s="173"/>
      <c r="F82" s="48"/>
      <c r="G82" s="48"/>
      <c r="H82" s="48"/>
      <c r="I82" s="130"/>
      <c r="J82" s="48"/>
      <c r="K82" s="48"/>
      <c r="L82" s="48"/>
      <c r="M82" s="48"/>
      <c r="N82" s="48"/>
      <c r="O82" s="29"/>
      <c r="P82" s="18"/>
      <c r="Q82" s="18"/>
    </row>
    <row r="83" spans="1:17" s="17" customFormat="1" ht="11.25">
      <c r="A83" s="170"/>
      <c r="B83" s="170"/>
      <c r="C83" s="170"/>
      <c r="D83" s="171"/>
      <c r="E83" s="171"/>
      <c r="F83" s="170"/>
      <c r="G83" s="170"/>
      <c r="H83" s="170"/>
      <c r="I83" s="172"/>
      <c r="J83" s="170"/>
      <c r="K83" s="170"/>
      <c r="L83" s="170"/>
      <c r="M83" s="170"/>
      <c r="N83" s="170"/>
      <c r="O83" s="29"/>
      <c r="P83" s="18"/>
      <c r="Q83" s="18"/>
    </row>
    <row r="84" spans="1:17" s="17" customFormat="1" ht="11.25">
      <c r="A84" s="48"/>
      <c r="B84" s="48"/>
      <c r="C84" s="49"/>
      <c r="D84" s="173"/>
      <c r="E84" s="173"/>
      <c r="F84" s="48"/>
      <c r="G84" s="48"/>
      <c r="H84" s="48"/>
      <c r="I84" s="130"/>
      <c r="J84" s="48"/>
      <c r="K84" s="48"/>
      <c r="L84" s="48"/>
      <c r="M84" s="48"/>
      <c r="N84" s="48"/>
      <c r="O84" s="29"/>
      <c r="P84" s="18"/>
      <c r="Q84" s="18"/>
    </row>
    <row r="85" spans="1:17" s="17" customFormat="1" ht="11.25">
      <c r="A85" s="170"/>
      <c r="B85" s="170"/>
      <c r="C85" s="170"/>
      <c r="D85" s="171"/>
      <c r="E85" s="171"/>
      <c r="F85" s="170"/>
      <c r="G85" s="170"/>
      <c r="H85" s="170"/>
      <c r="I85" s="172"/>
      <c r="J85" s="170"/>
      <c r="K85" s="170"/>
      <c r="L85" s="170"/>
      <c r="M85" s="170"/>
      <c r="N85" s="170"/>
      <c r="O85" s="29"/>
      <c r="P85" s="18"/>
      <c r="Q85" s="18"/>
    </row>
    <row r="86" spans="1:17" s="17" customFormat="1" ht="11.25">
      <c r="A86" s="48"/>
      <c r="B86" s="48"/>
      <c r="C86" s="49"/>
      <c r="D86" s="173"/>
      <c r="E86" s="173"/>
      <c r="F86" s="48"/>
      <c r="G86" s="48"/>
      <c r="H86" s="48"/>
      <c r="I86" s="130"/>
      <c r="J86" s="48"/>
      <c r="K86" s="48"/>
      <c r="L86" s="48"/>
      <c r="M86" s="48"/>
      <c r="N86" s="48"/>
      <c r="O86" s="29"/>
      <c r="P86" s="18"/>
      <c r="Q86" s="18"/>
    </row>
    <row r="87" spans="1:17" s="17" customFormat="1" ht="11.25">
      <c r="A87" s="170"/>
      <c r="B87" s="170"/>
      <c r="C87" s="170"/>
      <c r="D87" s="171"/>
      <c r="E87" s="171"/>
      <c r="F87" s="170"/>
      <c r="G87" s="170"/>
      <c r="H87" s="170"/>
      <c r="I87" s="172"/>
      <c r="J87" s="170"/>
      <c r="K87" s="170"/>
      <c r="L87" s="170"/>
      <c r="M87" s="170"/>
      <c r="N87" s="170"/>
      <c r="O87" s="29"/>
      <c r="P87" s="18"/>
      <c r="Q87" s="18"/>
    </row>
    <row r="88" spans="1:17" s="17" customFormat="1" ht="11.25">
      <c r="A88" s="48"/>
      <c r="B88" s="48"/>
      <c r="C88" s="49"/>
      <c r="D88" s="173"/>
      <c r="E88" s="173"/>
      <c r="F88" s="48"/>
      <c r="G88" s="48"/>
      <c r="H88" s="48"/>
      <c r="I88" s="130"/>
      <c r="J88" s="48"/>
      <c r="K88" s="48"/>
      <c r="L88" s="48"/>
      <c r="M88" s="48"/>
      <c r="N88" s="48"/>
      <c r="O88" s="29"/>
      <c r="P88" s="18"/>
      <c r="Q88" s="18"/>
    </row>
    <row r="89" spans="1:17" s="17" customFormat="1" ht="11.25">
      <c r="A89" s="170"/>
      <c r="B89" s="170"/>
      <c r="C89" s="170"/>
      <c r="D89" s="171"/>
      <c r="E89" s="171"/>
      <c r="F89" s="170"/>
      <c r="G89" s="170"/>
      <c r="H89" s="170"/>
      <c r="I89" s="172"/>
      <c r="J89" s="170"/>
      <c r="K89" s="170"/>
      <c r="L89" s="170"/>
      <c r="M89" s="170"/>
      <c r="N89" s="170"/>
      <c r="O89" s="29"/>
      <c r="P89" s="18"/>
      <c r="Q89" s="18"/>
    </row>
    <row r="90" spans="1:17" s="17" customFormat="1" ht="11.25">
      <c r="A90" s="48"/>
      <c r="B90" s="48"/>
      <c r="C90" s="49"/>
      <c r="D90" s="173"/>
      <c r="E90" s="173"/>
      <c r="F90" s="48"/>
      <c r="G90" s="48"/>
      <c r="H90" s="48"/>
      <c r="I90" s="130"/>
      <c r="J90" s="48"/>
      <c r="K90" s="48"/>
      <c r="L90" s="48"/>
      <c r="M90" s="48"/>
      <c r="N90" s="48"/>
      <c r="O90" s="29"/>
      <c r="P90" s="18"/>
      <c r="Q90" s="18"/>
    </row>
    <row r="91" spans="1:17" s="17" customFormat="1" ht="11.25">
      <c r="A91" s="170"/>
      <c r="B91" s="170"/>
      <c r="C91" s="170"/>
      <c r="D91" s="171"/>
      <c r="E91" s="171"/>
      <c r="F91" s="170"/>
      <c r="G91" s="170"/>
      <c r="H91" s="170"/>
      <c r="I91" s="172"/>
      <c r="J91" s="170"/>
      <c r="K91" s="170"/>
      <c r="L91" s="170"/>
      <c r="M91" s="170"/>
      <c r="N91" s="170"/>
      <c r="O91" s="29"/>
      <c r="P91" s="18"/>
      <c r="Q91" s="18"/>
    </row>
    <row r="92" spans="1:17" s="17" customFormat="1" ht="11.25">
      <c r="A92" s="48"/>
      <c r="B92" s="48"/>
      <c r="C92" s="49"/>
      <c r="D92" s="173"/>
      <c r="E92" s="173"/>
      <c r="F92" s="48"/>
      <c r="G92" s="48"/>
      <c r="H92" s="48"/>
      <c r="I92" s="130"/>
      <c r="J92" s="48"/>
      <c r="K92" s="48"/>
      <c r="L92" s="48"/>
      <c r="M92" s="48"/>
      <c r="N92" s="48"/>
      <c r="O92" s="29"/>
      <c r="P92" s="18"/>
      <c r="Q92" s="18"/>
    </row>
    <row r="93" spans="1:17" s="17" customFormat="1" ht="11.25">
      <c r="A93" s="170"/>
      <c r="B93" s="170"/>
      <c r="C93" s="170"/>
      <c r="D93" s="171"/>
      <c r="E93" s="171"/>
      <c r="F93" s="170"/>
      <c r="G93" s="170"/>
      <c r="H93" s="170"/>
      <c r="I93" s="172"/>
      <c r="J93" s="170"/>
      <c r="K93" s="170"/>
      <c r="L93" s="170"/>
      <c r="M93" s="170"/>
      <c r="N93" s="170"/>
      <c r="O93" s="29"/>
      <c r="P93" s="18"/>
      <c r="Q93" s="18"/>
    </row>
    <row r="94" spans="1:17" s="17" customFormat="1" ht="11.25">
      <c r="A94" s="48"/>
      <c r="B94" s="48"/>
      <c r="C94" s="49"/>
      <c r="D94" s="173"/>
      <c r="E94" s="173"/>
      <c r="F94" s="48"/>
      <c r="G94" s="48"/>
      <c r="H94" s="48"/>
      <c r="I94" s="130"/>
      <c r="J94" s="48"/>
      <c r="K94" s="48"/>
      <c r="L94" s="48"/>
      <c r="M94" s="48"/>
      <c r="N94" s="48"/>
      <c r="O94" s="29"/>
      <c r="P94" s="18"/>
      <c r="Q94" s="18"/>
    </row>
    <row r="95" spans="1:17" s="17" customFormat="1" ht="11.25">
      <c r="A95" s="170"/>
      <c r="B95" s="170"/>
      <c r="C95" s="170"/>
      <c r="D95" s="171"/>
      <c r="E95" s="171"/>
      <c r="F95" s="170"/>
      <c r="G95" s="170"/>
      <c r="H95" s="170"/>
      <c r="I95" s="172"/>
      <c r="J95" s="170"/>
      <c r="K95" s="170"/>
      <c r="L95" s="170"/>
      <c r="M95" s="170"/>
      <c r="N95" s="170"/>
      <c r="O95" s="29"/>
      <c r="P95" s="18"/>
      <c r="Q95" s="18"/>
    </row>
    <row r="96" spans="1:17" s="17" customFormat="1" ht="11.25">
      <c r="A96" s="48"/>
      <c r="B96" s="48"/>
      <c r="C96" s="49"/>
      <c r="D96" s="173"/>
      <c r="E96" s="173"/>
      <c r="F96" s="48"/>
      <c r="G96" s="48"/>
      <c r="H96" s="48"/>
      <c r="I96" s="130"/>
      <c r="J96" s="48"/>
      <c r="K96" s="48"/>
      <c r="L96" s="48"/>
      <c r="M96" s="48"/>
      <c r="N96" s="48"/>
      <c r="O96" s="29"/>
      <c r="P96" s="18"/>
      <c r="Q96" s="18"/>
    </row>
    <row r="97" spans="1:17" s="17" customFormat="1" ht="11.25">
      <c r="A97" s="170"/>
      <c r="B97" s="170"/>
      <c r="C97" s="170"/>
      <c r="D97" s="171"/>
      <c r="E97" s="171"/>
      <c r="F97" s="170"/>
      <c r="G97" s="170"/>
      <c r="H97" s="170"/>
      <c r="I97" s="172"/>
      <c r="J97" s="170"/>
      <c r="K97" s="170"/>
      <c r="L97" s="170"/>
      <c r="M97" s="170"/>
      <c r="N97" s="170"/>
      <c r="O97" s="29"/>
      <c r="P97" s="18"/>
      <c r="Q97" s="18"/>
    </row>
    <row r="98" spans="1:17" s="17" customFormat="1" ht="11.25">
      <c r="A98" s="48"/>
      <c r="B98" s="48"/>
      <c r="C98" s="49"/>
      <c r="D98" s="173"/>
      <c r="E98" s="173"/>
      <c r="F98" s="48"/>
      <c r="G98" s="48"/>
      <c r="H98" s="48"/>
      <c r="I98" s="130"/>
      <c r="J98" s="48"/>
      <c r="K98" s="48"/>
      <c r="L98" s="48"/>
      <c r="M98" s="48"/>
      <c r="N98" s="48"/>
      <c r="O98" s="29"/>
      <c r="P98" s="18"/>
      <c r="Q98" s="18"/>
    </row>
    <row r="99" spans="1:17" s="17" customFormat="1" ht="11.25">
      <c r="A99" s="170"/>
      <c r="B99" s="170"/>
      <c r="C99" s="170"/>
      <c r="D99" s="171"/>
      <c r="E99" s="171"/>
      <c r="F99" s="170"/>
      <c r="G99" s="170"/>
      <c r="H99" s="170"/>
      <c r="I99" s="172"/>
      <c r="J99" s="170"/>
      <c r="K99" s="170"/>
      <c r="L99" s="170"/>
      <c r="M99" s="170"/>
      <c r="N99" s="170"/>
      <c r="O99" s="29"/>
      <c r="P99" s="18"/>
      <c r="Q99" s="18"/>
    </row>
    <row r="100" spans="1:17" s="17" customFormat="1" ht="11.25">
      <c r="A100" s="48"/>
      <c r="B100" s="48"/>
      <c r="C100" s="49"/>
      <c r="D100" s="173"/>
      <c r="E100" s="173"/>
      <c r="F100" s="48"/>
      <c r="G100" s="48"/>
      <c r="H100" s="48"/>
      <c r="I100" s="130"/>
      <c r="J100" s="48"/>
      <c r="K100" s="48"/>
      <c r="L100" s="48"/>
      <c r="M100" s="48"/>
      <c r="N100" s="48"/>
      <c r="O100" s="29"/>
      <c r="P100" s="18"/>
      <c r="Q100" s="18"/>
    </row>
    <row r="101" spans="1:17" s="17" customFormat="1" ht="11.25">
      <c r="A101" s="170"/>
      <c r="B101" s="170"/>
      <c r="C101" s="170"/>
      <c r="D101" s="171"/>
      <c r="E101" s="171"/>
      <c r="F101" s="170"/>
      <c r="G101" s="170"/>
      <c r="H101" s="170"/>
      <c r="I101" s="172"/>
      <c r="J101" s="170"/>
      <c r="K101" s="170"/>
      <c r="L101" s="170"/>
      <c r="M101" s="170"/>
      <c r="N101" s="170"/>
      <c r="O101" s="29"/>
      <c r="P101" s="18"/>
      <c r="Q101" s="18"/>
    </row>
    <row r="102" spans="1:17" s="17" customFormat="1" ht="11.25">
      <c r="A102" s="48"/>
      <c r="B102" s="48"/>
      <c r="C102" s="49"/>
      <c r="D102" s="173"/>
      <c r="E102" s="173"/>
      <c r="F102" s="48"/>
      <c r="G102" s="48"/>
      <c r="H102" s="48"/>
      <c r="I102" s="130"/>
      <c r="J102" s="48"/>
      <c r="K102" s="48"/>
      <c r="L102" s="48"/>
      <c r="M102" s="48"/>
      <c r="N102" s="48"/>
      <c r="O102" s="29"/>
      <c r="P102" s="18"/>
      <c r="Q102" s="18"/>
    </row>
    <row r="103" spans="1:17" s="17" customFormat="1" ht="11.25">
      <c r="A103" s="170"/>
      <c r="B103" s="170"/>
      <c r="C103" s="170"/>
      <c r="D103" s="171"/>
      <c r="E103" s="171"/>
      <c r="F103" s="170"/>
      <c r="G103" s="170"/>
      <c r="H103" s="170"/>
      <c r="I103" s="172"/>
      <c r="J103" s="170"/>
      <c r="K103" s="170"/>
      <c r="L103" s="170"/>
      <c r="M103" s="170"/>
      <c r="N103" s="170"/>
      <c r="O103" s="29"/>
      <c r="P103" s="18"/>
      <c r="Q103" s="18"/>
    </row>
    <row r="104" spans="1:17" s="17" customFormat="1" ht="11.25">
      <c r="A104" s="48"/>
      <c r="B104" s="48"/>
      <c r="C104" s="49"/>
      <c r="D104" s="173"/>
      <c r="E104" s="173"/>
      <c r="F104" s="48"/>
      <c r="G104" s="48"/>
      <c r="H104" s="48"/>
      <c r="I104" s="130"/>
      <c r="J104" s="48"/>
      <c r="K104" s="48"/>
      <c r="L104" s="48"/>
      <c r="M104" s="48"/>
      <c r="N104" s="48"/>
      <c r="O104" s="29"/>
      <c r="P104" s="18"/>
      <c r="Q104" s="18"/>
    </row>
    <row r="105" spans="1:17" s="17" customFormat="1" ht="11.25">
      <c r="A105" s="170"/>
      <c r="B105" s="170"/>
      <c r="C105" s="170"/>
      <c r="D105" s="171"/>
      <c r="E105" s="171"/>
      <c r="F105" s="170"/>
      <c r="G105" s="170"/>
      <c r="H105" s="170"/>
      <c r="I105" s="172"/>
      <c r="J105" s="170"/>
      <c r="K105" s="170"/>
      <c r="L105" s="170"/>
      <c r="M105" s="170"/>
      <c r="N105" s="170"/>
      <c r="O105" s="29"/>
      <c r="P105" s="18"/>
      <c r="Q105" s="18"/>
    </row>
    <row r="106" spans="1:17" s="17" customFormat="1" ht="11.25">
      <c r="A106" s="48"/>
      <c r="B106" s="48"/>
      <c r="C106" s="49"/>
      <c r="D106" s="173"/>
      <c r="E106" s="173"/>
      <c r="F106" s="48"/>
      <c r="G106" s="48"/>
      <c r="H106" s="48"/>
      <c r="I106" s="130"/>
      <c r="J106" s="48"/>
      <c r="K106" s="48"/>
      <c r="L106" s="48"/>
      <c r="M106" s="48"/>
      <c r="N106" s="48"/>
      <c r="O106" s="29"/>
      <c r="P106" s="18"/>
      <c r="Q106" s="18"/>
    </row>
    <row r="107" spans="1:17" s="17" customFormat="1" ht="11.25">
      <c r="A107" s="170"/>
      <c r="B107" s="170"/>
      <c r="C107" s="170"/>
      <c r="D107" s="171"/>
      <c r="E107" s="171"/>
      <c r="F107" s="170"/>
      <c r="G107" s="170"/>
      <c r="H107" s="170"/>
      <c r="I107" s="172"/>
      <c r="J107" s="170"/>
      <c r="K107" s="170"/>
      <c r="L107" s="170"/>
      <c r="M107" s="170"/>
      <c r="N107" s="170"/>
      <c r="O107" s="29"/>
      <c r="P107" s="18"/>
      <c r="Q107" s="18"/>
    </row>
    <row r="108" spans="1:17" s="17" customFormat="1" ht="11.25">
      <c r="A108" s="48"/>
      <c r="B108" s="48"/>
      <c r="C108" s="49"/>
      <c r="D108" s="173"/>
      <c r="E108" s="173"/>
      <c r="F108" s="48"/>
      <c r="G108" s="48"/>
      <c r="H108" s="48"/>
      <c r="I108" s="130"/>
      <c r="J108" s="48"/>
      <c r="K108" s="48"/>
      <c r="L108" s="48"/>
      <c r="M108" s="48"/>
      <c r="N108" s="48"/>
      <c r="O108" s="29"/>
      <c r="P108" s="18"/>
      <c r="Q108" s="18"/>
    </row>
    <row r="109" spans="1:17" s="17" customFormat="1" ht="11.25">
      <c r="A109" s="170"/>
      <c r="B109" s="170"/>
      <c r="C109" s="170"/>
      <c r="D109" s="171"/>
      <c r="E109" s="171"/>
      <c r="F109" s="170"/>
      <c r="G109" s="170"/>
      <c r="H109" s="170"/>
      <c r="I109" s="172"/>
      <c r="J109" s="170"/>
      <c r="K109" s="170"/>
      <c r="L109" s="170"/>
      <c r="M109" s="170"/>
      <c r="N109" s="170"/>
      <c r="O109" s="29"/>
      <c r="P109" s="18"/>
      <c r="Q109" s="18"/>
    </row>
    <row r="110" spans="1:17" s="17" customFormat="1" ht="11.25">
      <c r="A110" s="48"/>
      <c r="B110" s="48"/>
      <c r="C110" s="49"/>
      <c r="D110" s="173"/>
      <c r="E110" s="173"/>
      <c r="F110" s="48"/>
      <c r="G110" s="48"/>
      <c r="H110" s="48"/>
      <c r="I110" s="130"/>
      <c r="J110" s="48"/>
      <c r="K110" s="48"/>
      <c r="L110" s="48"/>
      <c r="M110" s="48"/>
      <c r="N110" s="48"/>
      <c r="O110" s="29"/>
      <c r="P110" s="18"/>
      <c r="Q110" s="18"/>
    </row>
    <row r="111" spans="1:17" s="17" customFormat="1" ht="11.25">
      <c r="A111" s="170"/>
      <c r="B111" s="170"/>
      <c r="C111" s="170"/>
      <c r="D111" s="171"/>
      <c r="E111" s="171"/>
      <c r="F111" s="170"/>
      <c r="G111" s="170"/>
      <c r="H111" s="170"/>
      <c r="I111" s="172"/>
      <c r="J111" s="170"/>
      <c r="K111" s="170"/>
      <c r="L111" s="170"/>
      <c r="M111" s="170"/>
      <c r="N111" s="170"/>
      <c r="O111" s="29"/>
      <c r="P111" s="18"/>
      <c r="Q111" s="18"/>
    </row>
    <row r="112" spans="1:17" s="17" customFormat="1" ht="11.25">
      <c r="A112" s="48"/>
      <c r="B112" s="48"/>
      <c r="C112" s="49"/>
      <c r="D112" s="173"/>
      <c r="E112" s="173"/>
      <c r="F112" s="48"/>
      <c r="G112" s="48"/>
      <c r="H112" s="48"/>
      <c r="I112" s="130"/>
      <c r="J112" s="48"/>
      <c r="K112" s="48"/>
      <c r="L112" s="48"/>
      <c r="M112" s="48"/>
      <c r="N112" s="48"/>
      <c r="O112" s="29"/>
      <c r="P112" s="18"/>
      <c r="Q112" s="18"/>
    </row>
    <row r="113" spans="1:17" s="17" customFormat="1" ht="11.25">
      <c r="A113" s="170"/>
      <c r="B113" s="170"/>
      <c r="C113" s="170"/>
      <c r="D113" s="171"/>
      <c r="E113" s="171"/>
      <c r="F113" s="170"/>
      <c r="G113" s="170"/>
      <c r="H113" s="170"/>
      <c r="I113" s="172"/>
      <c r="J113" s="170"/>
      <c r="K113" s="170"/>
      <c r="L113" s="170"/>
      <c r="M113" s="170"/>
      <c r="N113" s="170"/>
      <c r="O113" s="29"/>
      <c r="P113" s="18"/>
      <c r="Q113" s="18"/>
    </row>
    <row r="114" spans="1:17" s="17" customFormat="1" ht="11.25">
      <c r="A114" s="48"/>
      <c r="B114" s="48"/>
      <c r="C114" s="49"/>
      <c r="D114" s="173"/>
      <c r="E114" s="173"/>
      <c r="F114" s="48"/>
      <c r="G114" s="48"/>
      <c r="H114" s="48"/>
      <c r="I114" s="130"/>
      <c r="J114" s="48"/>
      <c r="K114" s="48"/>
      <c r="L114" s="48"/>
      <c r="M114" s="48"/>
      <c r="N114" s="48"/>
      <c r="O114" s="29"/>
      <c r="P114" s="18"/>
      <c r="Q114" s="18"/>
    </row>
    <row r="115" spans="1:17" s="17" customFormat="1" ht="11.25">
      <c r="A115" s="170"/>
      <c r="B115" s="170"/>
      <c r="C115" s="170"/>
      <c r="D115" s="171"/>
      <c r="E115" s="171"/>
      <c r="F115" s="170"/>
      <c r="G115" s="170"/>
      <c r="H115" s="170"/>
      <c r="I115" s="172"/>
      <c r="J115" s="170"/>
      <c r="K115" s="170"/>
      <c r="L115" s="170"/>
      <c r="M115" s="170"/>
      <c r="N115" s="170"/>
      <c r="O115" s="29"/>
      <c r="P115" s="18"/>
      <c r="Q115" s="18"/>
    </row>
    <row r="116" spans="1:17" s="17" customFormat="1" ht="11.25">
      <c r="A116" s="48"/>
      <c r="B116" s="48"/>
      <c r="C116" s="49"/>
      <c r="D116" s="173"/>
      <c r="E116" s="173"/>
      <c r="F116" s="48"/>
      <c r="G116" s="48"/>
      <c r="H116" s="48"/>
      <c r="I116" s="130"/>
      <c r="J116" s="48"/>
      <c r="K116" s="48"/>
      <c r="L116" s="48"/>
      <c r="M116" s="48"/>
      <c r="N116" s="48"/>
      <c r="O116" s="29"/>
      <c r="P116" s="18"/>
      <c r="Q116" s="18"/>
    </row>
    <row r="117" spans="1:17" s="17" customFormat="1" ht="11.25">
      <c r="A117" s="170"/>
      <c r="B117" s="170"/>
      <c r="C117" s="170"/>
      <c r="D117" s="171"/>
      <c r="E117" s="171"/>
      <c r="F117" s="170"/>
      <c r="G117" s="170"/>
      <c r="H117" s="170"/>
      <c r="I117" s="172"/>
      <c r="J117" s="170"/>
      <c r="K117" s="170"/>
      <c r="L117" s="170"/>
      <c r="M117" s="170"/>
      <c r="N117" s="170"/>
      <c r="O117" s="29"/>
      <c r="P117" s="18"/>
      <c r="Q117" s="18"/>
    </row>
    <row r="118" spans="1:17" s="17" customFormat="1" ht="11.25">
      <c r="A118" s="48"/>
      <c r="B118" s="48"/>
      <c r="C118" s="49"/>
      <c r="D118" s="173"/>
      <c r="E118" s="173"/>
      <c r="F118" s="48"/>
      <c r="G118" s="48"/>
      <c r="H118" s="48"/>
      <c r="I118" s="130"/>
      <c r="J118" s="48"/>
      <c r="K118" s="48"/>
      <c r="L118" s="48"/>
      <c r="M118" s="48"/>
      <c r="N118" s="48"/>
      <c r="O118" s="29"/>
      <c r="P118" s="18"/>
      <c r="Q118" s="18"/>
    </row>
    <row r="119" spans="1:17" s="17" customFormat="1" ht="11.25">
      <c r="A119" s="170"/>
      <c r="B119" s="170"/>
      <c r="C119" s="170"/>
      <c r="D119" s="171"/>
      <c r="E119" s="171"/>
      <c r="F119" s="170"/>
      <c r="G119" s="170"/>
      <c r="H119" s="170"/>
      <c r="I119" s="172"/>
      <c r="J119" s="170"/>
      <c r="K119" s="170"/>
      <c r="L119" s="170"/>
      <c r="M119" s="170"/>
      <c r="N119" s="170"/>
      <c r="O119" s="29"/>
      <c r="P119" s="18"/>
      <c r="Q119" s="18"/>
    </row>
    <row r="120" spans="1:17" s="17" customFormat="1" ht="11.25">
      <c r="A120" s="48"/>
      <c r="B120" s="48"/>
      <c r="C120" s="49"/>
      <c r="D120" s="173"/>
      <c r="E120" s="173"/>
      <c r="F120" s="48"/>
      <c r="G120" s="48"/>
      <c r="H120" s="48"/>
      <c r="I120" s="130"/>
      <c r="J120" s="48"/>
      <c r="K120" s="48"/>
      <c r="L120" s="48"/>
      <c r="M120" s="48"/>
      <c r="N120" s="48"/>
      <c r="O120" s="29"/>
      <c r="P120" s="18"/>
      <c r="Q120" s="18"/>
    </row>
    <row r="121" spans="1:17" s="17" customFormat="1" ht="11.25">
      <c r="A121" s="170"/>
      <c r="B121" s="170"/>
      <c r="C121" s="170"/>
      <c r="D121" s="171"/>
      <c r="E121" s="171"/>
      <c r="F121" s="170"/>
      <c r="G121" s="170"/>
      <c r="H121" s="170"/>
      <c r="I121" s="172"/>
      <c r="J121" s="170"/>
      <c r="K121" s="170"/>
      <c r="L121" s="170"/>
      <c r="M121" s="170"/>
      <c r="N121" s="170"/>
      <c r="O121" s="29"/>
      <c r="P121" s="18"/>
      <c r="Q121" s="18"/>
    </row>
    <row r="122" spans="1:17" s="17" customFormat="1" ht="11.25">
      <c r="A122" s="48"/>
      <c r="B122" s="48"/>
      <c r="C122" s="49"/>
      <c r="D122" s="173"/>
      <c r="E122" s="173"/>
      <c r="F122" s="48"/>
      <c r="G122" s="48"/>
      <c r="H122" s="48"/>
      <c r="I122" s="130"/>
      <c r="J122" s="48"/>
      <c r="K122" s="48"/>
      <c r="L122" s="48"/>
      <c r="M122" s="48"/>
      <c r="N122" s="48"/>
      <c r="O122" s="29"/>
      <c r="P122" s="18"/>
      <c r="Q122" s="18"/>
    </row>
    <row r="123" spans="1:17" s="17" customFormat="1" ht="11.25">
      <c r="A123" s="170"/>
      <c r="B123" s="170"/>
      <c r="C123" s="170"/>
      <c r="D123" s="171"/>
      <c r="E123" s="171"/>
      <c r="F123" s="170"/>
      <c r="G123" s="170"/>
      <c r="H123" s="170"/>
      <c r="I123" s="172"/>
      <c r="J123" s="170"/>
      <c r="K123" s="170"/>
      <c r="L123" s="170"/>
      <c r="M123" s="170"/>
      <c r="N123" s="170"/>
      <c r="O123" s="29"/>
      <c r="P123" s="18"/>
      <c r="Q123" s="18"/>
    </row>
    <row r="124" spans="1:17" s="17" customFormat="1" ht="11.25">
      <c r="A124" s="48"/>
      <c r="B124" s="48"/>
      <c r="C124" s="49"/>
      <c r="D124" s="173"/>
      <c r="E124" s="173"/>
      <c r="F124" s="48"/>
      <c r="G124" s="48"/>
      <c r="H124" s="48"/>
      <c r="I124" s="130"/>
      <c r="J124" s="48"/>
      <c r="K124" s="48"/>
      <c r="L124" s="48"/>
      <c r="M124" s="48"/>
      <c r="N124" s="48"/>
      <c r="O124" s="29"/>
      <c r="P124" s="18"/>
      <c r="Q124" s="18"/>
    </row>
    <row r="125" spans="1:17" s="17" customFormat="1" ht="11.25">
      <c r="A125" s="170"/>
      <c r="B125" s="170"/>
      <c r="C125" s="170"/>
      <c r="D125" s="171"/>
      <c r="E125" s="171"/>
      <c r="F125" s="170"/>
      <c r="G125" s="170"/>
      <c r="H125" s="170"/>
      <c r="I125" s="172"/>
      <c r="J125" s="170"/>
      <c r="K125" s="170"/>
      <c r="L125" s="170"/>
      <c r="M125" s="170"/>
      <c r="N125" s="170"/>
      <c r="O125" s="29"/>
      <c r="P125" s="18"/>
      <c r="Q125" s="18"/>
    </row>
    <row r="126" spans="1:17" s="17" customFormat="1" ht="11.25">
      <c r="A126" s="48"/>
      <c r="B126" s="48"/>
      <c r="C126" s="49"/>
      <c r="D126" s="173"/>
      <c r="E126" s="173"/>
      <c r="F126" s="48"/>
      <c r="G126" s="48"/>
      <c r="H126" s="48"/>
      <c r="I126" s="130"/>
      <c r="J126" s="48"/>
      <c r="K126" s="48"/>
      <c r="L126" s="48"/>
      <c r="M126" s="48"/>
      <c r="N126" s="48"/>
      <c r="O126" s="29"/>
      <c r="P126" s="18"/>
      <c r="Q126" s="18"/>
    </row>
    <row r="127" spans="1:17" s="17" customFormat="1" ht="11.25">
      <c r="A127" s="170"/>
      <c r="B127" s="170"/>
      <c r="C127" s="170"/>
      <c r="D127" s="171"/>
      <c r="E127" s="171"/>
      <c r="F127" s="170"/>
      <c r="G127" s="170"/>
      <c r="H127" s="170"/>
      <c r="I127" s="172"/>
      <c r="J127" s="170"/>
      <c r="K127" s="170"/>
      <c r="L127" s="170"/>
      <c r="M127" s="170"/>
      <c r="N127" s="170"/>
      <c r="O127" s="29"/>
      <c r="P127" s="18"/>
      <c r="Q127" s="18"/>
    </row>
    <row r="128" spans="1:17" s="17" customFormat="1" ht="11.25">
      <c r="A128" s="48"/>
      <c r="B128" s="48"/>
      <c r="C128" s="49"/>
      <c r="D128" s="173"/>
      <c r="E128" s="173"/>
      <c r="F128" s="48"/>
      <c r="G128" s="48"/>
      <c r="H128" s="48"/>
      <c r="I128" s="130"/>
      <c r="J128" s="48"/>
      <c r="K128" s="48"/>
      <c r="L128" s="48"/>
      <c r="M128" s="48"/>
      <c r="N128" s="48"/>
      <c r="O128" s="29"/>
      <c r="P128" s="18"/>
      <c r="Q128" s="18"/>
    </row>
    <row r="129" spans="1:17" s="17" customFormat="1" ht="11.25">
      <c r="A129" s="170"/>
      <c r="B129" s="170"/>
      <c r="C129" s="170"/>
      <c r="D129" s="171"/>
      <c r="E129" s="171"/>
      <c r="F129" s="170"/>
      <c r="G129" s="170"/>
      <c r="H129" s="170"/>
      <c r="I129" s="172"/>
      <c r="J129" s="170"/>
      <c r="K129" s="170"/>
      <c r="L129" s="170"/>
      <c r="M129" s="170"/>
      <c r="N129" s="170"/>
      <c r="O129" s="29"/>
      <c r="P129" s="18"/>
      <c r="Q129" s="18"/>
    </row>
    <row r="130" spans="1:17" s="17" customFormat="1" ht="11.25">
      <c r="A130" s="48"/>
      <c r="B130" s="48"/>
      <c r="C130" s="49"/>
      <c r="D130" s="173"/>
      <c r="E130" s="173"/>
      <c r="F130" s="48"/>
      <c r="G130" s="48"/>
      <c r="H130" s="48"/>
      <c r="I130" s="130"/>
      <c r="J130" s="48"/>
      <c r="K130" s="48"/>
      <c r="L130" s="48"/>
      <c r="M130" s="48"/>
      <c r="N130" s="48"/>
      <c r="O130" s="29"/>
      <c r="P130" s="18"/>
      <c r="Q130" s="18"/>
    </row>
    <row r="131" spans="1:17" s="17" customFormat="1" ht="11.25">
      <c r="A131" s="170"/>
      <c r="B131" s="170"/>
      <c r="C131" s="170"/>
      <c r="D131" s="171"/>
      <c r="E131" s="171"/>
      <c r="F131" s="170"/>
      <c r="G131" s="170"/>
      <c r="H131" s="170"/>
      <c r="I131" s="172"/>
      <c r="J131" s="170"/>
      <c r="K131" s="170"/>
      <c r="L131" s="170"/>
      <c r="M131" s="170"/>
      <c r="N131" s="170"/>
      <c r="O131" s="29"/>
      <c r="P131" s="18"/>
      <c r="Q131" s="18"/>
    </row>
    <row r="132" spans="1:17" s="17" customFormat="1" ht="11.25">
      <c r="A132" s="48"/>
      <c r="B132" s="48"/>
      <c r="C132" s="49"/>
      <c r="D132" s="173"/>
      <c r="E132" s="173"/>
      <c r="F132" s="48"/>
      <c r="G132" s="48"/>
      <c r="H132" s="48"/>
      <c r="I132" s="130"/>
      <c r="J132" s="48"/>
      <c r="K132" s="48"/>
      <c r="L132" s="48"/>
      <c r="M132" s="48"/>
      <c r="N132" s="48"/>
      <c r="O132" s="29"/>
      <c r="P132" s="18"/>
      <c r="Q132" s="18"/>
    </row>
    <row r="133" spans="1:17" s="17" customFormat="1" ht="11.25">
      <c r="A133" s="170"/>
      <c r="B133" s="170"/>
      <c r="C133" s="170"/>
      <c r="D133" s="171"/>
      <c r="E133" s="171"/>
      <c r="F133" s="170"/>
      <c r="G133" s="170"/>
      <c r="H133" s="170"/>
      <c r="I133" s="172"/>
      <c r="J133" s="170"/>
      <c r="K133" s="170"/>
      <c r="L133" s="170"/>
      <c r="M133" s="170"/>
      <c r="N133" s="170"/>
      <c r="O133" s="29"/>
      <c r="P133" s="18"/>
      <c r="Q133" s="18"/>
    </row>
    <row r="134" spans="1:17" s="17" customFormat="1" ht="11.25">
      <c r="A134" s="48"/>
      <c r="B134" s="48"/>
      <c r="C134" s="49"/>
      <c r="D134" s="173"/>
      <c r="E134" s="173"/>
      <c r="F134" s="48"/>
      <c r="G134" s="48"/>
      <c r="H134" s="48"/>
      <c r="I134" s="130"/>
      <c r="J134" s="48"/>
      <c r="K134" s="48"/>
      <c r="L134" s="48"/>
      <c r="M134" s="48"/>
      <c r="N134" s="48"/>
      <c r="O134" s="29"/>
      <c r="P134" s="18"/>
      <c r="Q134" s="18"/>
    </row>
    <row r="135" spans="1:17" s="17" customFormat="1" ht="11.25">
      <c r="A135" s="170"/>
      <c r="B135" s="170"/>
      <c r="C135" s="170"/>
      <c r="D135" s="171"/>
      <c r="E135" s="171"/>
      <c r="F135" s="170"/>
      <c r="G135" s="170"/>
      <c r="H135" s="170"/>
      <c r="I135" s="172"/>
      <c r="J135" s="170"/>
      <c r="K135" s="170"/>
      <c r="L135" s="170"/>
      <c r="M135" s="170"/>
      <c r="N135" s="170"/>
      <c r="O135" s="29"/>
      <c r="P135" s="18"/>
      <c r="Q135" s="18"/>
    </row>
    <row r="136" spans="1:17" s="17" customFormat="1" ht="11.25">
      <c r="A136" s="48"/>
      <c r="B136" s="48"/>
      <c r="C136" s="49"/>
      <c r="D136" s="173"/>
      <c r="E136" s="173"/>
      <c r="F136" s="48"/>
      <c r="G136" s="48"/>
      <c r="H136" s="48"/>
      <c r="I136" s="130"/>
      <c r="J136" s="48"/>
      <c r="K136" s="48"/>
      <c r="L136" s="48"/>
      <c r="M136" s="48"/>
      <c r="N136" s="48"/>
      <c r="O136" s="29"/>
      <c r="P136" s="18"/>
      <c r="Q136" s="18"/>
    </row>
    <row r="137" spans="1:17" s="17" customFormat="1" ht="11.25">
      <c r="A137" s="170"/>
      <c r="B137" s="170"/>
      <c r="C137" s="170"/>
      <c r="D137" s="171"/>
      <c r="E137" s="171"/>
      <c r="F137" s="170"/>
      <c r="G137" s="170"/>
      <c r="H137" s="170"/>
      <c r="I137" s="172"/>
      <c r="J137" s="170"/>
      <c r="K137" s="170"/>
      <c r="L137" s="170"/>
      <c r="M137" s="170"/>
      <c r="N137" s="170"/>
      <c r="O137" s="29"/>
      <c r="P137" s="18"/>
      <c r="Q137" s="18"/>
    </row>
    <row r="138" spans="1:17" s="17" customFormat="1" ht="11.25">
      <c r="A138" s="48"/>
      <c r="B138" s="48"/>
      <c r="C138" s="49"/>
      <c r="D138" s="173"/>
      <c r="E138" s="173"/>
      <c r="F138" s="48"/>
      <c r="G138" s="48"/>
      <c r="H138" s="48"/>
      <c r="I138" s="130"/>
      <c r="J138" s="48"/>
      <c r="K138" s="48"/>
      <c r="L138" s="48"/>
      <c r="M138" s="48"/>
      <c r="N138" s="48"/>
      <c r="O138" s="29"/>
      <c r="P138" s="18"/>
      <c r="Q138" s="18"/>
    </row>
    <row r="139" spans="1:17" s="17" customFormat="1" ht="11.25">
      <c r="A139" s="170"/>
      <c r="B139" s="170"/>
      <c r="C139" s="170"/>
      <c r="D139" s="171"/>
      <c r="E139" s="171"/>
      <c r="F139" s="170"/>
      <c r="G139" s="170"/>
      <c r="H139" s="170"/>
      <c r="I139" s="172"/>
      <c r="J139" s="170"/>
      <c r="K139" s="170"/>
      <c r="L139" s="170"/>
      <c r="M139" s="170"/>
      <c r="N139" s="170"/>
      <c r="O139" s="29"/>
      <c r="P139" s="18"/>
      <c r="Q139" s="18"/>
    </row>
    <row r="140" spans="1:17" s="17" customFormat="1" ht="11.25">
      <c r="A140" s="48"/>
      <c r="B140" s="48"/>
      <c r="C140" s="49"/>
      <c r="D140" s="173"/>
      <c r="E140" s="173"/>
      <c r="F140" s="48"/>
      <c r="G140" s="48"/>
      <c r="H140" s="48"/>
      <c r="I140" s="130"/>
      <c r="J140" s="48"/>
      <c r="K140" s="48"/>
      <c r="L140" s="48"/>
      <c r="M140" s="48"/>
      <c r="N140" s="48"/>
      <c r="O140" s="29"/>
      <c r="P140" s="18"/>
      <c r="Q140" s="18"/>
    </row>
    <row r="141" spans="1:17" s="17" customFormat="1" ht="11.25">
      <c r="A141" s="170"/>
      <c r="B141" s="170"/>
      <c r="C141" s="170"/>
      <c r="D141" s="171"/>
      <c r="E141" s="171"/>
      <c r="F141" s="170"/>
      <c r="G141" s="170"/>
      <c r="H141" s="170"/>
      <c r="I141" s="172"/>
      <c r="J141" s="170"/>
      <c r="K141" s="170"/>
      <c r="L141" s="170"/>
      <c r="M141" s="170"/>
      <c r="N141" s="170"/>
      <c r="O141" s="29"/>
      <c r="P141" s="18"/>
      <c r="Q141" s="18"/>
    </row>
    <row r="142" spans="1:17" s="17" customFormat="1" ht="11.25">
      <c r="A142" s="48"/>
      <c r="B142" s="48"/>
      <c r="C142" s="49"/>
      <c r="D142" s="173"/>
      <c r="E142" s="173"/>
      <c r="F142" s="48"/>
      <c r="G142" s="48"/>
      <c r="H142" s="48"/>
      <c r="I142" s="130"/>
      <c r="J142" s="48"/>
      <c r="K142" s="48"/>
      <c r="L142" s="48"/>
      <c r="M142" s="48"/>
      <c r="N142" s="48"/>
      <c r="O142" s="29"/>
      <c r="P142" s="18"/>
      <c r="Q142" s="18"/>
    </row>
    <row r="143" spans="1:17" s="17" customFormat="1" ht="11.25">
      <c r="A143" s="170"/>
      <c r="B143" s="170"/>
      <c r="C143" s="170"/>
      <c r="D143" s="171"/>
      <c r="E143" s="171"/>
      <c r="F143" s="170"/>
      <c r="G143" s="170"/>
      <c r="H143" s="170"/>
      <c r="I143" s="172"/>
      <c r="J143" s="170"/>
      <c r="K143" s="170"/>
      <c r="L143" s="170"/>
      <c r="M143" s="170"/>
      <c r="N143" s="170"/>
      <c r="O143" s="29"/>
      <c r="P143" s="18"/>
      <c r="Q143" s="18"/>
    </row>
    <row r="144" spans="1:17" s="17" customFormat="1" ht="11.25">
      <c r="A144" s="48"/>
      <c r="B144" s="48"/>
      <c r="C144" s="49"/>
      <c r="D144" s="173"/>
      <c r="E144" s="173"/>
      <c r="F144" s="48"/>
      <c r="G144" s="48"/>
      <c r="H144" s="48"/>
      <c r="I144" s="130"/>
      <c r="J144" s="48"/>
      <c r="K144" s="48"/>
      <c r="L144" s="48"/>
      <c r="M144" s="48"/>
      <c r="N144" s="48"/>
      <c r="O144" s="29"/>
      <c r="P144" s="18"/>
      <c r="Q144" s="18"/>
    </row>
    <row r="145" spans="1:17" s="17" customFormat="1" ht="11.25">
      <c r="A145" s="170"/>
      <c r="B145" s="170"/>
      <c r="C145" s="170"/>
      <c r="D145" s="171"/>
      <c r="E145" s="171"/>
      <c r="F145" s="170"/>
      <c r="G145" s="170"/>
      <c r="H145" s="170"/>
      <c r="I145" s="172"/>
      <c r="J145" s="170"/>
      <c r="K145" s="170"/>
      <c r="L145" s="170"/>
      <c r="M145" s="170"/>
      <c r="N145" s="170"/>
      <c r="O145" s="29"/>
      <c r="P145" s="18"/>
      <c r="Q145" s="18"/>
    </row>
    <row r="146" spans="1:17" s="17" customFormat="1" ht="11.25">
      <c r="A146" s="48"/>
      <c r="B146" s="48"/>
      <c r="C146" s="49"/>
      <c r="D146" s="173"/>
      <c r="E146" s="173"/>
      <c r="F146" s="48"/>
      <c r="G146" s="48"/>
      <c r="H146" s="48"/>
      <c r="I146" s="130"/>
      <c r="J146" s="48"/>
      <c r="K146" s="48"/>
      <c r="L146" s="48"/>
      <c r="M146" s="48"/>
      <c r="N146" s="48"/>
      <c r="O146" s="29"/>
      <c r="P146" s="18"/>
      <c r="Q146" s="18"/>
    </row>
    <row r="147" spans="1:17" s="17" customFormat="1" ht="11.25">
      <c r="A147" s="170"/>
      <c r="B147" s="170"/>
      <c r="C147" s="170"/>
      <c r="D147" s="171"/>
      <c r="E147" s="171"/>
      <c r="F147" s="170"/>
      <c r="G147" s="170"/>
      <c r="H147" s="170"/>
      <c r="I147" s="172"/>
      <c r="J147" s="170"/>
      <c r="K147" s="170"/>
      <c r="L147" s="170"/>
      <c r="M147" s="170"/>
      <c r="N147" s="170"/>
      <c r="O147" s="29"/>
      <c r="P147" s="18"/>
      <c r="Q147" s="18"/>
    </row>
    <row r="148" spans="1:17" s="17" customFormat="1" ht="11.25">
      <c r="A148" s="48"/>
      <c r="B148" s="48"/>
      <c r="C148" s="49"/>
      <c r="D148" s="173"/>
      <c r="E148" s="173"/>
      <c r="F148" s="48"/>
      <c r="G148" s="48"/>
      <c r="H148" s="48"/>
      <c r="I148" s="130"/>
      <c r="J148" s="48"/>
      <c r="K148" s="48"/>
      <c r="L148" s="48"/>
      <c r="M148" s="48"/>
      <c r="N148" s="48"/>
      <c r="O148" s="29"/>
      <c r="P148" s="18"/>
      <c r="Q148" s="18"/>
    </row>
    <row r="149" spans="1:17" s="17" customFormat="1" ht="11.25">
      <c r="A149" s="170"/>
      <c r="B149" s="170"/>
      <c r="C149" s="170"/>
      <c r="D149" s="171"/>
      <c r="E149" s="171"/>
      <c r="F149" s="170"/>
      <c r="G149" s="170"/>
      <c r="H149" s="170"/>
      <c r="I149" s="172"/>
      <c r="J149" s="170"/>
      <c r="K149" s="170"/>
      <c r="L149" s="170"/>
      <c r="M149" s="170"/>
      <c r="N149" s="170"/>
      <c r="O149" s="29"/>
      <c r="P149" s="18"/>
      <c r="Q149" s="18"/>
    </row>
    <row r="150" spans="1:17" s="17" customFormat="1" ht="11.25">
      <c r="A150" s="48"/>
      <c r="B150" s="48"/>
      <c r="C150" s="49"/>
      <c r="D150" s="173"/>
      <c r="E150" s="173"/>
      <c r="F150" s="48"/>
      <c r="G150" s="48"/>
      <c r="H150" s="48"/>
      <c r="I150" s="130"/>
      <c r="J150" s="48"/>
      <c r="K150" s="48"/>
      <c r="L150" s="48"/>
      <c r="M150" s="48"/>
      <c r="N150" s="48"/>
      <c r="O150" s="29"/>
      <c r="P150" s="18"/>
      <c r="Q150" s="18"/>
    </row>
    <row r="151" spans="1:17" s="17" customFormat="1" ht="11.25">
      <c r="A151" s="170"/>
      <c r="B151" s="170"/>
      <c r="C151" s="170"/>
      <c r="D151" s="171"/>
      <c r="E151" s="171"/>
      <c r="F151" s="170"/>
      <c r="G151" s="170"/>
      <c r="H151" s="170"/>
      <c r="I151" s="172"/>
      <c r="J151" s="170"/>
      <c r="K151" s="170"/>
      <c r="L151" s="170"/>
      <c r="M151" s="170"/>
      <c r="N151" s="170"/>
      <c r="O151" s="29"/>
      <c r="P151" s="18"/>
      <c r="Q151" s="18"/>
    </row>
    <row r="152" spans="1:17" s="17" customFormat="1" ht="11.25">
      <c r="A152" s="48"/>
      <c r="B152" s="48"/>
      <c r="C152" s="49"/>
      <c r="D152" s="173"/>
      <c r="E152" s="173"/>
      <c r="F152" s="48"/>
      <c r="G152" s="48"/>
      <c r="H152" s="48"/>
      <c r="I152" s="130"/>
      <c r="J152" s="48"/>
      <c r="K152" s="48"/>
      <c r="L152" s="48"/>
      <c r="M152" s="48"/>
      <c r="N152" s="48"/>
      <c r="O152" s="29"/>
      <c r="P152" s="18"/>
      <c r="Q152" s="18"/>
    </row>
    <row r="153" spans="1:17" s="17" customFormat="1" ht="11.25">
      <c r="A153" s="170"/>
      <c r="B153" s="170"/>
      <c r="C153" s="170"/>
      <c r="D153" s="171"/>
      <c r="E153" s="171"/>
      <c r="F153" s="170"/>
      <c r="G153" s="170"/>
      <c r="H153" s="170"/>
      <c r="I153" s="172"/>
      <c r="J153" s="170"/>
      <c r="K153" s="170"/>
      <c r="L153" s="170"/>
      <c r="M153" s="170"/>
      <c r="N153" s="170"/>
      <c r="O153" s="29"/>
      <c r="P153" s="18"/>
      <c r="Q153" s="18"/>
    </row>
    <row r="154" spans="1:17" s="17" customFormat="1" ht="11.25">
      <c r="A154" s="48"/>
      <c r="B154" s="48"/>
      <c r="C154" s="49"/>
      <c r="D154" s="173"/>
      <c r="E154" s="173"/>
      <c r="F154" s="48"/>
      <c r="G154" s="48"/>
      <c r="H154" s="48"/>
      <c r="I154" s="130"/>
      <c r="J154" s="48"/>
      <c r="K154" s="48"/>
      <c r="L154" s="48"/>
      <c r="M154" s="48"/>
      <c r="N154" s="48"/>
      <c r="O154" s="29"/>
      <c r="P154" s="18"/>
      <c r="Q154" s="18"/>
    </row>
    <row r="155" spans="1:17" s="17" customFormat="1" ht="11.25">
      <c r="A155" s="170"/>
      <c r="B155" s="170"/>
      <c r="C155" s="170"/>
      <c r="D155" s="171"/>
      <c r="E155" s="171"/>
      <c r="F155" s="170"/>
      <c r="G155" s="170"/>
      <c r="H155" s="170"/>
      <c r="I155" s="172"/>
      <c r="J155" s="170"/>
      <c r="K155" s="170"/>
      <c r="L155" s="170"/>
      <c r="M155" s="170"/>
      <c r="N155" s="170"/>
      <c r="O155" s="29"/>
      <c r="P155" s="18"/>
      <c r="Q155" s="18"/>
    </row>
    <row r="156" spans="1:17" s="17" customFormat="1" ht="11.25">
      <c r="A156" s="48"/>
      <c r="B156" s="48"/>
      <c r="C156" s="49"/>
      <c r="D156" s="173"/>
      <c r="E156" s="173"/>
      <c r="F156" s="48"/>
      <c r="G156" s="48"/>
      <c r="H156" s="48"/>
      <c r="I156" s="130"/>
      <c r="J156" s="48"/>
      <c r="K156" s="48"/>
      <c r="L156" s="48"/>
      <c r="M156" s="48"/>
      <c r="N156" s="48"/>
      <c r="O156" s="29"/>
      <c r="P156" s="18"/>
      <c r="Q156" s="18"/>
    </row>
    <row r="157" spans="1:17" s="17" customFormat="1" ht="11.25">
      <c r="A157" s="170"/>
      <c r="B157" s="170"/>
      <c r="C157" s="170"/>
      <c r="D157" s="171"/>
      <c r="E157" s="171"/>
      <c r="F157" s="170"/>
      <c r="G157" s="170"/>
      <c r="H157" s="170"/>
      <c r="I157" s="172"/>
      <c r="J157" s="170"/>
      <c r="K157" s="170"/>
      <c r="L157" s="170"/>
      <c r="M157" s="170"/>
      <c r="N157" s="170"/>
      <c r="O157" s="29"/>
      <c r="P157" s="18"/>
      <c r="Q157" s="18"/>
    </row>
    <row r="158" spans="1:17" s="17" customFormat="1" ht="11.25">
      <c r="A158" s="48"/>
      <c r="B158" s="48"/>
      <c r="C158" s="49"/>
      <c r="D158" s="173"/>
      <c r="E158" s="173"/>
      <c r="F158" s="48"/>
      <c r="G158" s="48"/>
      <c r="H158" s="48"/>
      <c r="I158" s="130"/>
      <c r="J158" s="48"/>
      <c r="K158" s="48"/>
      <c r="L158" s="48"/>
      <c r="M158" s="48"/>
      <c r="N158" s="48"/>
      <c r="O158" s="29"/>
      <c r="P158" s="18"/>
      <c r="Q158" s="18"/>
    </row>
    <row r="159" spans="1:17" s="17" customFormat="1" ht="11.25">
      <c r="A159" s="170"/>
      <c r="B159" s="170"/>
      <c r="C159" s="170"/>
      <c r="D159" s="171"/>
      <c r="E159" s="171"/>
      <c r="F159" s="170"/>
      <c r="G159" s="170"/>
      <c r="H159" s="170"/>
      <c r="I159" s="172"/>
      <c r="J159" s="170"/>
      <c r="K159" s="170"/>
      <c r="L159" s="170"/>
      <c r="M159" s="170"/>
      <c r="N159" s="170"/>
      <c r="O159" s="29"/>
      <c r="P159" s="18"/>
      <c r="Q159" s="18"/>
    </row>
    <row r="160" spans="1:17" s="17" customFormat="1" ht="11.25">
      <c r="A160" s="48"/>
      <c r="B160" s="48"/>
      <c r="C160" s="49"/>
      <c r="D160" s="173"/>
      <c r="E160" s="173"/>
      <c r="F160" s="48"/>
      <c r="G160" s="48"/>
      <c r="H160" s="48"/>
      <c r="I160" s="130"/>
      <c r="J160" s="48"/>
      <c r="K160" s="48"/>
      <c r="L160" s="48"/>
      <c r="M160" s="48"/>
      <c r="N160" s="48"/>
      <c r="O160" s="29"/>
      <c r="P160" s="18"/>
      <c r="Q160" s="18"/>
    </row>
    <row r="161" spans="1:17" s="17" customFormat="1" ht="11.25">
      <c r="A161" s="170"/>
      <c r="B161" s="170"/>
      <c r="C161" s="170"/>
      <c r="D161" s="171"/>
      <c r="E161" s="171"/>
      <c r="F161" s="170"/>
      <c r="G161" s="170"/>
      <c r="H161" s="170"/>
      <c r="I161" s="172"/>
      <c r="J161" s="170"/>
      <c r="K161" s="170"/>
      <c r="L161" s="170"/>
      <c r="M161" s="170"/>
      <c r="N161" s="170"/>
      <c r="O161" s="29"/>
      <c r="P161" s="18"/>
      <c r="Q161" s="18"/>
    </row>
    <row r="162" spans="1:17" s="17" customFormat="1" ht="11.25">
      <c r="A162" s="48"/>
      <c r="B162" s="48"/>
      <c r="C162" s="49"/>
      <c r="D162" s="173"/>
      <c r="E162" s="173"/>
      <c r="F162" s="48"/>
      <c r="G162" s="48"/>
      <c r="H162" s="48"/>
      <c r="I162" s="130"/>
      <c r="J162" s="48"/>
      <c r="K162" s="48"/>
      <c r="L162" s="48"/>
      <c r="M162" s="48"/>
      <c r="N162" s="48"/>
      <c r="O162" s="29"/>
      <c r="P162" s="18"/>
      <c r="Q162" s="18"/>
    </row>
    <row r="163" spans="1:17" s="17" customFormat="1" ht="11.25">
      <c r="A163" s="170"/>
      <c r="B163" s="170"/>
      <c r="C163" s="170"/>
      <c r="D163" s="171"/>
      <c r="E163" s="171"/>
      <c r="F163" s="170"/>
      <c r="G163" s="170"/>
      <c r="H163" s="170"/>
      <c r="I163" s="172"/>
      <c r="J163" s="170"/>
      <c r="K163" s="170"/>
      <c r="L163" s="170"/>
      <c r="M163" s="170"/>
      <c r="N163" s="170"/>
      <c r="O163" s="29"/>
      <c r="P163" s="18"/>
      <c r="Q163" s="18"/>
    </row>
    <row r="164" spans="1:17" s="17" customFormat="1" ht="11.25">
      <c r="A164" s="48"/>
      <c r="B164" s="48"/>
      <c r="C164" s="49"/>
      <c r="D164" s="173"/>
      <c r="E164" s="173"/>
      <c r="F164" s="48"/>
      <c r="G164" s="48"/>
      <c r="H164" s="48"/>
      <c r="I164" s="130"/>
      <c r="J164" s="48"/>
      <c r="K164" s="48"/>
      <c r="L164" s="48"/>
      <c r="M164" s="48"/>
      <c r="N164" s="48"/>
      <c r="O164" s="29"/>
      <c r="P164" s="18"/>
      <c r="Q164" s="18"/>
    </row>
    <row r="165" spans="1:17" s="17" customFormat="1" ht="11.25">
      <c r="A165" s="170"/>
      <c r="B165" s="170"/>
      <c r="C165" s="170"/>
      <c r="D165" s="171"/>
      <c r="E165" s="171"/>
      <c r="F165" s="170"/>
      <c r="G165" s="170"/>
      <c r="H165" s="170"/>
      <c r="I165" s="172"/>
      <c r="J165" s="170"/>
      <c r="K165" s="170"/>
      <c r="L165" s="170"/>
      <c r="M165" s="170"/>
      <c r="N165" s="170"/>
      <c r="O165" s="29"/>
      <c r="P165" s="18"/>
      <c r="Q165" s="18"/>
    </row>
    <row r="166" spans="1:17" s="17" customFormat="1" ht="11.25">
      <c r="A166" s="48"/>
      <c r="B166" s="48"/>
      <c r="C166" s="49"/>
      <c r="D166" s="173"/>
      <c r="E166" s="173"/>
      <c r="F166" s="48"/>
      <c r="G166" s="48"/>
      <c r="H166" s="48"/>
      <c r="I166" s="130"/>
      <c r="J166" s="48"/>
      <c r="K166" s="48"/>
      <c r="L166" s="48"/>
      <c r="M166" s="48"/>
      <c r="N166" s="48"/>
      <c r="O166" s="29"/>
      <c r="P166" s="18"/>
      <c r="Q166" s="18"/>
    </row>
    <row r="167" spans="1:17" s="17" customFormat="1" ht="11.25">
      <c r="A167" s="170"/>
      <c r="B167" s="170"/>
      <c r="C167" s="170"/>
      <c r="D167" s="171"/>
      <c r="E167" s="171"/>
      <c r="F167" s="170"/>
      <c r="G167" s="170"/>
      <c r="H167" s="170"/>
      <c r="I167" s="172"/>
      <c r="J167" s="170"/>
      <c r="K167" s="170"/>
      <c r="L167" s="170"/>
      <c r="M167" s="170"/>
      <c r="N167" s="170"/>
      <c r="O167" s="29"/>
      <c r="P167" s="18"/>
      <c r="Q167" s="18"/>
    </row>
    <row r="168" spans="1:17" s="17" customFormat="1" ht="11.25">
      <c r="A168" s="48"/>
      <c r="B168" s="48"/>
      <c r="C168" s="49"/>
      <c r="D168" s="173"/>
      <c r="E168" s="173"/>
      <c r="F168" s="48"/>
      <c r="G168" s="48"/>
      <c r="H168" s="48"/>
      <c r="I168" s="130"/>
      <c r="J168" s="48"/>
      <c r="K168" s="48"/>
      <c r="L168" s="48"/>
      <c r="M168" s="48"/>
      <c r="N168" s="48"/>
      <c r="O168" s="29"/>
      <c r="P168" s="18"/>
      <c r="Q168" s="18"/>
    </row>
    <row r="169" spans="1:17" s="17" customFormat="1" ht="11.25">
      <c r="A169" s="170"/>
      <c r="B169" s="170"/>
      <c r="C169" s="170"/>
      <c r="D169" s="171"/>
      <c r="E169" s="171"/>
      <c r="F169" s="170"/>
      <c r="G169" s="170"/>
      <c r="H169" s="170"/>
      <c r="I169" s="172"/>
      <c r="J169" s="170"/>
      <c r="K169" s="170"/>
      <c r="L169" s="170"/>
      <c r="M169" s="170"/>
      <c r="N169" s="170"/>
      <c r="O169" s="29"/>
      <c r="P169" s="18"/>
      <c r="Q169" s="18"/>
    </row>
    <row r="170" spans="1:17" s="17" customFormat="1" ht="11.25">
      <c r="A170" s="48"/>
      <c r="B170" s="48"/>
      <c r="C170" s="49"/>
      <c r="D170" s="173"/>
      <c r="E170" s="173"/>
      <c r="F170" s="48"/>
      <c r="G170" s="48"/>
      <c r="H170" s="48"/>
      <c r="I170" s="130"/>
      <c r="J170" s="48"/>
      <c r="K170" s="48"/>
      <c r="L170" s="48"/>
      <c r="M170" s="48"/>
      <c r="N170" s="48"/>
      <c r="O170" s="29"/>
      <c r="P170" s="18"/>
      <c r="Q170" s="18"/>
    </row>
    <row r="171" spans="1:17" s="17" customFormat="1" ht="11.25">
      <c r="A171" s="170"/>
      <c r="B171" s="170"/>
      <c r="C171" s="170"/>
      <c r="D171" s="171"/>
      <c r="E171" s="171"/>
      <c r="F171" s="170"/>
      <c r="G171" s="170"/>
      <c r="H171" s="170"/>
      <c r="I171" s="172"/>
      <c r="J171" s="170"/>
      <c r="K171" s="170"/>
      <c r="L171" s="170"/>
      <c r="M171" s="170"/>
      <c r="N171" s="170"/>
      <c r="O171" s="29"/>
      <c r="P171" s="18"/>
      <c r="Q171" s="18"/>
    </row>
    <row r="172" spans="1:17" s="17" customFormat="1" ht="11.25">
      <c r="A172" s="48"/>
      <c r="B172" s="48"/>
      <c r="C172" s="49"/>
      <c r="D172" s="173"/>
      <c r="E172" s="173"/>
      <c r="F172" s="48"/>
      <c r="G172" s="48"/>
      <c r="H172" s="48"/>
      <c r="I172" s="130"/>
      <c r="J172" s="48"/>
      <c r="K172" s="48"/>
      <c r="L172" s="48"/>
      <c r="M172" s="48"/>
      <c r="N172" s="48"/>
      <c r="O172" s="29"/>
      <c r="P172" s="18"/>
      <c r="Q172" s="18"/>
    </row>
    <row r="173" spans="1:17" s="17" customFormat="1" ht="11.25">
      <c r="A173" s="170"/>
      <c r="B173" s="170"/>
      <c r="C173" s="170"/>
      <c r="D173" s="171"/>
      <c r="E173" s="171"/>
      <c r="F173" s="170"/>
      <c r="G173" s="170"/>
      <c r="H173" s="170"/>
      <c r="I173" s="172"/>
      <c r="J173" s="170"/>
      <c r="K173" s="170"/>
      <c r="L173" s="170"/>
      <c r="M173" s="170"/>
      <c r="N173" s="170"/>
      <c r="O173" s="29"/>
      <c r="P173" s="18"/>
      <c r="Q173" s="18"/>
    </row>
    <row r="174" spans="1:17" s="17" customFormat="1" ht="11.25">
      <c r="A174" s="48"/>
      <c r="B174" s="48"/>
      <c r="C174" s="49"/>
      <c r="D174" s="173"/>
      <c r="E174" s="173"/>
      <c r="F174" s="48"/>
      <c r="G174" s="48"/>
      <c r="H174" s="48"/>
      <c r="I174" s="130"/>
      <c r="J174" s="48"/>
      <c r="K174" s="48"/>
      <c r="L174" s="48"/>
      <c r="M174" s="48"/>
      <c r="N174" s="48"/>
      <c r="O174" s="29"/>
      <c r="P174" s="18"/>
      <c r="Q174" s="18"/>
    </row>
    <row r="175" spans="1:17" s="17" customFormat="1" ht="11.25">
      <c r="A175" s="170"/>
      <c r="B175" s="170"/>
      <c r="C175" s="170"/>
      <c r="D175" s="171"/>
      <c r="E175" s="171"/>
      <c r="F175" s="170"/>
      <c r="G175" s="170"/>
      <c r="H175" s="170"/>
      <c r="I175" s="172"/>
      <c r="J175" s="170"/>
      <c r="K175" s="170"/>
      <c r="L175" s="170"/>
      <c r="M175" s="170"/>
      <c r="N175" s="170"/>
      <c r="O175" s="29"/>
      <c r="P175" s="18"/>
      <c r="Q175" s="18"/>
    </row>
    <row r="176" spans="1:17" s="17" customFormat="1" ht="11.25">
      <c r="A176" s="48"/>
      <c r="B176" s="48"/>
      <c r="C176" s="49"/>
      <c r="D176" s="173"/>
      <c r="E176" s="173"/>
      <c r="F176" s="48"/>
      <c r="G176" s="48"/>
      <c r="H176" s="48"/>
      <c r="I176" s="130"/>
      <c r="J176" s="48"/>
      <c r="K176" s="48"/>
      <c r="L176" s="48"/>
      <c r="M176" s="48"/>
      <c r="N176" s="48"/>
      <c r="O176" s="29"/>
      <c r="P176" s="18"/>
      <c r="Q176" s="18"/>
    </row>
    <row r="177" spans="1:17" s="17" customFormat="1" ht="11.25">
      <c r="A177" s="170"/>
      <c r="B177" s="170"/>
      <c r="C177" s="170"/>
      <c r="D177" s="171"/>
      <c r="E177" s="171"/>
      <c r="F177" s="170"/>
      <c r="G177" s="170"/>
      <c r="H177" s="170"/>
      <c r="I177" s="172"/>
      <c r="J177" s="170"/>
      <c r="K177" s="170"/>
      <c r="L177" s="170"/>
      <c r="M177" s="170"/>
      <c r="N177" s="170"/>
      <c r="O177" s="29"/>
      <c r="P177" s="18"/>
      <c r="Q177" s="18"/>
    </row>
    <row r="178" spans="1:17" s="17" customFormat="1" ht="11.25">
      <c r="A178" s="48"/>
      <c r="B178" s="48"/>
      <c r="C178" s="49"/>
      <c r="D178" s="173"/>
      <c r="E178" s="173"/>
      <c r="F178" s="48"/>
      <c r="G178" s="48"/>
      <c r="H178" s="48"/>
      <c r="I178" s="130"/>
      <c r="J178" s="48"/>
      <c r="K178" s="48"/>
      <c r="L178" s="48"/>
      <c r="M178" s="48"/>
      <c r="N178" s="48"/>
      <c r="O178" s="29"/>
      <c r="P178" s="18"/>
      <c r="Q178" s="18"/>
    </row>
    <row r="179" spans="1:17" s="17" customFormat="1" ht="11.25">
      <c r="A179" s="170"/>
      <c r="B179" s="170"/>
      <c r="C179" s="170"/>
      <c r="D179" s="171"/>
      <c r="E179" s="171"/>
      <c r="F179" s="170"/>
      <c r="G179" s="170"/>
      <c r="H179" s="170"/>
      <c r="I179" s="172"/>
      <c r="J179" s="170"/>
      <c r="K179" s="170"/>
      <c r="L179" s="170"/>
      <c r="M179" s="170"/>
      <c r="N179" s="170"/>
      <c r="O179" s="29"/>
      <c r="P179" s="18"/>
      <c r="Q179" s="18"/>
    </row>
    <row r="180" spans="1:17" s="17" customFormat="1" ht="11.25">
      <c r="A180" s="48"/>
      <c r="B180" s="48"/>
      <c r="C180" s="49"/>
      <c r="D180" s="173"/>
      <c r="E180" s="173"/>
      <c r="F180" s="48"/>
      <c r="G180" s="48"/>
      <c r="H180" s="48"/>
      <c r="I180" s="130"/>
      <c r="J180" s="48"/>
      <c r="K180" s="48"/>
      <c r="L180" s="48"/>
      <c r="M180" s="48"/>
      <c r="N180" s="48"/>
      <c r="O180" s="29"/>
      <c r="P180" s="18"/>
      <c r="Q180" s="18"/>
    </row>
    <row r="181" spans="1:17" s="17" customFormat="1" ht="11.25">
      <c r="A181" s="170"/>
      <c r="B181" s="170"/>
      <c r="C181" s="170"/>
      <c r="D181" s="171"/>
      <c r="E181" s="171"/>
      <c r="F181" s="170"/>
      <c r="G181" s="170"/>
      <c r="H181" s="170"/>
      <c r="I181" s="172"/>
      <c r="J181" s="170"/>
      <c r="K181" s="170"/>
      <c r="L181" s="170"/>
      <c r="M181" s="170"/>
      <c r="N181" s="170"/>
      <c r="O181" s="29"/>
      <c r="P181" s="18"/>
      <c r="Q181" s="18"/>
    </row>
    <row r="182" spans="1:17" s="17" customFormat="1" ht="11.25">
      <c r="A182" s="48"/>
      <c r="B182" s="48"/>
      <c r="C182" s="49"/>
      <c r="D182" s="173"/>
      <c r="E182" s="173"/>
      <c r="F182" s="48"/>
      <c r="G182" s="48"/>
      <c r="H182" s="48"/>
      <c r="I182" s="130"/>
      <c r="J182" s="48"/>
      <c r="K182" s="48"/>
      <c r="L182" s="48"/>
      <c r="M182" s="48"/>
      <c r="N182" s="48"/>
      <c r="O182" s="29"/>
      <c r="P182" s="18"/>
      <c r="Q182" s="18"/>
    </row>
    <row r="183" spans="1:17" s="17" customFormat="1" ht="11.25">
      <c r="A183" s="170"/>
      <c r="B183" s="170"/>
      <c r="C183" s="170"/>
      <c r="D183" s="171"/>
      <c r="E183" s="171"/>
      <c r="F183" s="170"/>
      <c r="G183" s="170"/>
      <c r="H183" s="170"/>
      <c r="I183" s="172"/>
      <c r="J183" s="170"/>
      <c r="K183" s="170"/>
      <c r="L183" s="170"/>
      <c r="M183" s="170"/>
      <c r="N183" s="170"/>
      <c r="O183" s="29"/>
      <c r="P183" s="18"/>
      <c r="Q183" s="18"/>
    </row>
    <row r="184" spans="1:17" s="17" customFormat="1" ht="11.25">
      <c r="A184" s="48"/>
      <c r="B184" s="48"/>
      <c r="C184" s="49"/>
      <c r="D184" s="173"/>
      <c r="E184" s="173"/>
      <c r="F184" s="48"/>
      <c r="G184" s="48"/>
      <c r="H184" s="48"/>
      <c r="I184" s="130"/>
      <c r="J184" s="48"/>
      <c r="K184" s="48"/>
      <c r="L184" s="48"/>
      <c r="M184" s="48"/>
      <c r="N184" s="48"/>
      <c r="O184" s="29"/>
      <c r="P184" s="18"/>
      <c r="Q184" s="18"/>
    </row>
    <row r="185" spans="1:17" s="17" customFormat="1" ht="11.25">
      <c r="A185" s="170"/>
      <c r="B185" s="170"/>
      <c r="C185" s="170"/>
      <c r="D185" s="171"/>
      <c r="E185" s="171"/>
      <c r="F185" s="170"/>
      <c r="G185" s="170"/>
      <c r="H185" s="170"/>
      <c r="I185" s="172"/>
      <c r="J185" s="170"/>
      <c r="K185" s="170"/>
      <c r="L185" s="170"/>
      <c r="M185" s="170"/>
      <c r="N185" s="170"/>
      <c r="O185" s="29"/>
      <c r="P185" s="18"/>
      <c r="Q185" s="18"/>
    </row>
    <row r="186" spans="1:17" s="17" customFormat="1" ht="11.25">
      <c r="A186" s="48"/>
      <c r="B186" s="48"/>
      <c r="C186" s="49"/>
      <c r="D186" s="173"/>
      <c r="E186" s="173"/>
      <c r="F186" s="48"/>
      <c r="G186" s="48"/>
      <c r="H186" s="48"/>
      <c r="I186" s="130"/>
      <c r="J186" s="48"/>
      <c r="K186" s="48"/>
      <c r="L186" s="48"/>
      <c r="M186" s="48"/>
      <c r="N186" s="48"/>
      <c r="O186" s="29"/>
      <c r="P186" s="18"/>
      <c r="Q186" s="18"/>
    </row>
    <row r="187" spans="1:17" s="17" customFormat="1" ht="11.25">
      <c r="A187" s="170"/>
      <c r="B187" s="170"/>
      <c r="C187" s="170"/>
      <c r="D187" s="171"/>
      <c r="E187" s="171"/>
      <c r="F187" s="170"/>
      <c r="G187" s="170"/>
      <c r="H187" s="170"/>
      <c r="I187" s="172"/>
      <c r="J187" s="170"/>
      <c r="K187" s="170"/>
      <c r="L187" s="170"/>
      <c r="M187" s="170"/>
      <c r="N187" s="170"/>
      <c r="O187" s="29"/>
      <c r="P187" s="18"/>
      <c r="Q187" s="18"/>
    </row>
    <row r="188" spans="1:17" s="17" customFormat="1" ht="11.25">
      <c r="A188" s="48"/>
      <c r="B188" s="48"/>
      <c r="C188" s="49"/>
      <c r="D188" s="173"/>
      <c r="E188" s="173"/>
      <c r="F188" s="48"/>
      <c r="G188" s="48"/>
      <c r="H188" s="48"/>
      <c r="I188" s="130"/>
      <c r="J188" s="48"/>
      <c r="K188" s="48"/>
      <c r="L188" s="48"/>
      <c r="M188" s="48"/>
      <c r="N188" s="48"/>
      <c r="O188" s="29"/>
      <c r="P188" s="18"/>
      <c r="Q188" s="18"/>
    </row>
    <row r="189" spans="1:17" s="17" customFormat="1" ht="11.25">
      <c r="A189" s="170"/>
      <c r="B189" s="170"/>
      <c r="C189" s="170"/>
      <c r="D189" s="171"/>
      <c r="E189" s="171"/>
      <c r="F189" s="170"/>
      <c r="G189" s="170"/>
      <c r="H189" s="170"/>
      <c r="I189" s="172"/>
      <c r="J189" s="170"/>
      <c r="K189" s="170"/>
      <c r="L189" s="170"/>
      <c r="M189" s="170"/>
      <c r="N189" s="170"/>
      <c r="O189" s="29"/>
      <c r="P189" s="18"/>
      <c r="Q189" s="18"/>
    </row>
    <row r="190" spans="1:17" s="17" customFormat="1" ht="11.25">
      <c r="A190" s="48"/>
      <c r="B190" s="48"/>
      <c r="C190" s="49"/>
      <c r="D190" s="173"/>
      <c r="E190" s="173"/>
      <c r="F190" s="48"/>
      <c r="G190" s="48"/>
      <c r="H190" s="48"/>
      <c r="I190" s="130"/>
      <c r="J190" s="48"/>
      <c r="K190" s="48"/>
      <c r="L190" s="48"/>
      <c r="M190" s="48"/>
      <c r="N190" s="48"/>
      <c r="O190" s="29"/>
      <c r="P190" s="18"/>
      <c r="Q190" s="18"/>
    </row>
    <row r="191" spans="1:17" s="17" customFormat="1" ht="11.25">
      <c r="A191" s="170"/>
      <c r="B191" s="170"/>
      <c r="C191" s="170"/>
      <c r="D191" s="171"/>
      <c r="E191" s="171"/>
      <c r="F191" s="170"/>
      <c r="G191" s="170"/>
      <c r="H191" s="170"/>
      <c r="I191" s="172"/>
      <c r="J191" s="170"/>
      <c r="K191" s="170"/>
      <c r="L191" s="170"/>
      <c r="M191" s="170"/>
      <c r="N191" s="170"/>
      <c r="O191" s="29"/>
      <c r="P191" s="18"/>
      <c r="Q191" s="18"/>
    </row>
    <row r="192" spans="1:17" s="17" customFormat="1" ht="11.25">
      <c r="A192" s="48"/>
      <c r="B192" s="48"/>
      <c r="C192" s="49"/>
      <c r="D192" s="173"/>
      <c r="E192" s="173"/>
      <c r="F192" s="48"/>
      <c r="G192" s="48"/>
      <c r="H192" s="48"/>
      <c r="I192" s="130"/>
      <c r="J192" s="48"/>
      <c r="K192" s="48"/>
      <c r="L192" s="48"/>
      <c r="M192" s="48"/>
      <c r="N192" s="48"/>
      <c r="O192" s="29"/>
      <c r="P192" s="18"/>
      <c r="Q192" s="18"/>
    </row>
    <row r="193" spans="1:17" s="17" customFormat="1" ht="11.25">
      <c r="A193" s="170"/>
      <c r="B193" s="170"/>
      <c r="C193" s="170"/>
      <c r="D193" s="171"/>
      <c r="E193" s="171"/>
      <c r="F193" s="170"/>
      <c r="G193" s="170"/>
      <c r="H193" s="170"/>
      <c r="I193" s="172"/>
      <c r="J193" s="170"/>
      <c r="K193" s="170"/>
      <c r="L193" s="170"/>
      <c r="M193" s="170"/>
      <c r="N193" s="170"/>
      <c r="O193" s="29"/>
      <c r="P193" s="18"/>
      <c r="Q193" s="18"/>
    </row>
    <row r="194" spans="1:17" s="17" customFormat="1" ht="11.25">
      <c r="A194" s="48"/>
      <c r="B194" s="48"/>
      <c r="C194" s="49"/>
      <c r="D194" s="173"/>
      <c r="E194" s="173"/>
      <c r="F194" s="48"/>
      <c r="G194" s="48"/>
      <c r="H194" s="48"/>
      <c r="I194" s="130"/>
      <c r="J194" s="48"/>
      <c r="K194" s="48"/>
      <c r="L194" s="48"/>
      <c r="M194" s="48"/>
      <c r="N194" s="48"/>
      <c r="O194" s="29"/>
      <c r="P194" s="18"/>
      <c r="Q194" s="18"/>
    </row>
    <row r="195" spans="1:17" s="17" customFormat="1" ht="11.25">
      <c r="A195" s="170"/>
      <c r="B195" s="170"/>
      <c r="C195" s="170"/>
      <c r="D195" s="171"/>
      <c r="E195" s="171"/>
      <c r="F195" s="170"/>
      <c r="G195" s="170"/>
      <c r="H195" s="170"/>
      <c r="I195" s="172"/>
      <c r="J195" s="170"/>
      <c r="K195" s="170"/>
      <c r="L195" s="170"/>
      <c r="M195" s="170"/>
      <c r="N195" s="170"/>
      <c r="O195" s="29"/>
      <c r="P195" s="18"/>
      <c r="Q195" s="18"/>
    </row>
    <row r="196" spans="1:17" s="17" customFormat="1" ht="11.25">
      <c r="A196" s="48"/>
      <c r="B196" s="48"/>
      <c r="C196" s="49"/>
      <c r="D196" s="173"/>
      <c r="E196" s="173"/>
      <c r="F196" s="48"/>
      <c r="G196" s="48"/>
      <c r="H196" s="48"/>
      <c r="I196" s="130"/>
      <c r="J196" s="48"/>
      <c r="K196" s="48"/>
      <c r="L196" s="48"/>
      <c r="M196" s="48"/>
      <c r="N196" s="48"/>
      <c r="O196" s="29"/>
      <c r="P196" s="18"/>
      <c r="Q196" s="18"/>
    </row>
    <row r="197" spans="1:17" s="17" customFormat="1" ht="11.25">
      <c r="A197" s="170"/>
      <c r="B197" s="170"/>
      <c r="C197" s="170"/>
      <c r="D197" s="171"/>
      <c r="E197" s="171"/>
      <c r="F197" s="170"/>
      <c r="G197" s="170"/>
      <c r="H197" s="170"/>
      <c r="I197" s="172"/>
      <c r="J197" s="170"/>
      <c r="K197" s="170"/>
      <c r="L197" s="170"/>
      <c r="M197" s="170"/>
      <c r="N197" s="170"/>
      <c r="O197" s="29"/>
      <c r="P197" s="18"/>
      <c r="Q197" s="18"/>
    </row>
    <row r="198" spans="1:17" s="17" customFormat="1" ht="11.25">
      <c r="A198" s="48"/>
      <c r="B198" s="48"/>
      <c r="C198" s="49"/>
      <c r="D198" s="173"/>
      <c r="E198" s="173"/>
      <c r="F198" s="48"/>
      <c r="G198" s="48"/>
      <c r="H198" s="48"/>
      <c r="I198" s="130"/>
      <c r="J198" s="48"/>
      <c r="K198" s="48"/>
      <c r="L198" s="48"/>
      <c r="M198" s="48"/>
      <c r="N198" s="48"/>
      <c r="O198" s="29"/>
      <c r="P198" s="18"/>
      <c r="Q198" s="18"/>
    </row>
    <row r="199" spans="1:17" s="17" customFormat="1" ht="11.25">
      <c r="A199" s="170"/>
      <c r="B199" s="170"/>
      <c r="C199" s="170"/>
      <c r="D199" s="171"/>
      <c r="E199" s="171"/>
      <c r="F199" s="170"/>
      <c r="G199" s="170"/>
      <c r="H199" s="170"/>
      <c r="I199" s="172"/>
      <c r="J199" s="170"/>
      <c r="K199" s="170"/>
      <c r="L199" s="170"/>
      <c r="M199" s="170"/>
      <c r="N199" s="170"/>
      <c r="O199" s="29"/>
      <c r="P199" s="18"/>
      <c r="Q199" s="18"/>
    </row>
    <row r="200" spans="1:17" s="17" customFormat="1" ht="11.25">
      <c r="A200" s="48"/>
      <c r="B200" s="48"/>
      <c r="C200" s="49"/>
      <c r="D200" s="173"/>
      <c r="E200" s="173"/>
      <c r="F200" s="48"/>
      <c r="G200" s="48"/>
      <c r="H200" s="48"/>
      <c r="I200" s="130"/>
      <c r="J200" s="48"/>
      <c r="K200" s="48"/>
      <c r="L200" s="48"/>
      <c r="M200" s="48"/>
      <c r="N200" s="48"/>
      <c r="O200" s="29"/>
      <c r="P200" s="18"/>
      <c r="Q200" s="18"/>
    </row>
    <row r="201" spans="1:17" s="17" customFormat="1" ht="11.25">
      <c r="A201" s="170"/>
      <c r="B201" s="170"/>
      <c r="C201" s="170"/>
      <c r="D201" s="171"/>
      <c r="E201" s="171"/>
      <c r="F201" s="170"/>
      <c r="G201" s="170"/>
      <c r="H201" s="170"/>
      <c r="I201" s="172"/>
      <c r="J201" s="170"/>
      <c r="K201" s="170"/>
      <c r="L201" s="170"/>
      <c r="M201" s="170"/>
      <c r="N201" s="170"/>
      <c r="O201" s="29"/>
      <c r="P201" s="18"/>
      <c r="Q201" s="18"/>
    </row>
    <row r="202" spans="1:17" s="17" customFormat="1" ht="11.25">
      <c r="A202" s="48"/>
      <c r="B202" s="48"/>
      <c r="C202" s="49"/>
      <c r="D202" s="173"/>
      <c r="E202" s="173"/>
      <c r="F202" s="48"/>
      <c r="G202" s="48"/>
      <c r="H202" s="48"/>
      <c r="I202" s="130"/>
      <c r="J202" s="48"/>
      <c r="K202" s="48"/>
      <c r="L202" s="48"/>
      <c r="M202" s="48"/>
      <c r="N202" s="48"/>
      <c r="O202" s="29"/>
      <c r="P202" s="18"/>
      <c r="Q202" s="18"/>
    </row>
    <row r="203" spans="1:17" s="17" customFormat="1" ht="11.25">
      <c r="A203" s="170"/>
      <c r="B203" s="170"/>
      <c r="C203" s="170"/>
      <c r="D203" s="171"/>
      <c r="E203" s="171"/>
      <c r="F203" s="170"/>
      <c r="G203" s="170"/>
      <c r="H203" s="170"/>
      <c r="I203" s="172"/>
      <c r="J203" s="170"/>
      <c r="K203" s="170"/>
      <c r="L203" s="170"/>
      <c r="M203" s="170"/>
      <c r="N203" s="170"/>
      <c r="O203" s="29"/>
      <c r="P203" s="18"/>
      <c r="Q203" s="18"/>
    </row>
    <row r="204" spans="1:17" s="17" customFormat="1" ht="11.25">
      <c r="A204" s="48"/>
      <c r="B204" s="48"/>
      <c r="C204" s="49"/>
      <c r="D204" s="173"/>
      <c r="E204" s="173"/>
      <c r="F204" s="48"/>
      <c r="G204" s="48"/>
      <c r="H204" s="48"/>
      <c r="I204" s="130"/>
      <c r="J204" s="48"/>
      <c r="K204" s="48"/>
      <c r="L204" s="48"/>
      <c r="M204" s="48"/>
      <c r="N204" s="48"/>
      <c r="O204" s="29"/>
      <c r="P204" s="18"/>
      <c r="Q204" s="18"/>
    </row>
    <row r="205" spans="1:17" s="17" customFormat="1" ht="11.25">
      <c r="A205" s="170"/>
      <c r="B205" s="170"/>
      <c r="C205" s="170"/>
      <c r="D205" s="171"/>
      <c r="E205" s="171"/>
      <c r="F205" s="170"/>
      <c r="G205" s="170"/>
      <c r="H205" s="170"/>
      <c r="I205" s="172"/>
      <c r="J205" s="170"/>
      <c r="K205" s="170"/>
      <c r="L205" s="170"/>
      <c r="M205" s="170"/>
      <c r="N205" s="170"/>
      <c r="O205" s="29"/>
      <c r="P205" s="18"/>
      <c r="Q205" s="18"/>
    </row>
    <row r="206" spans="1:17" s="17" customFormat="1" ht="11.25">
      <c r="A206" s="48"/>
      <c r="B206" s="48"/>
      <c r="C206" s="49"/>
      <c r="D206" s="173"/>
      <c r="E206" s="173"/>
      <c r="F206" s="48"/>
      <c r="G206" s="48"/>
      <c r="H206" s="48"/>
      <c r="I206" s="130"/>
      <c r="J206" s="48"/>
      <c r="K206" s="48"/>
      <c r="L206" s="48"/>
      <c r="M206" s="48"/>
      <c r="N206" s="48"/>
      <c r="O206" s="29"/>
      <c r="P206" s="18"/>
      <c r="Q206" s="18"/>
    </row>
    <row r="207" spans="1:17" s="17" customFormat="1" ht="11.25">
      <c r="A207" s="170"/>
      <c r="B207" s="170"/>
      <c r="C207" s="170"/>
      <c r="D207" s="171"/>
      <c r="E207" s="171"/>
      <c r="F207" s="170"/>
      <c r="G207" s="170"/>
      <c r="H207" s="170"/>
      <c r="I207" s="172"/>
      <c r="J207" s="170"/>
      <c r="K207" s="170"/>
      <c r="L207" s="170"/>
      <c r="M207" s="170"/>
      <c r="N207" s="170"/>
      <c r="O207" s="29"/>
      <c r="P207" s="18"/>
      <c r="Q207" s="18"/>
    </row>
    <row r="208" spans="1:17" s="17" customFormat="1" ht="11.25">
      <c r="A208" s="48"/>
      <c r="B208" s="48"/>
      <c r="C208" s="49"/>
      <c r="D208" s="173"/>
      <c r="E208" s="173"/>
      <c r="F208" s="48"/>
      <c r="G208" s="48"/>
      <c r="H208" s="48"/>
      <c r="I208" s="130"/>
      <c r="J208" s="48"/>
      <c r="K208" s="48"/>
      <c r="L208" s="48"/>
      <c r="M208" s="48"/>
      <c r="N208" s="48"/>
      <c r="O208" s="29"/>
      <c r="P208" s="18"/>
      <c r="Q208" s="18"/>
    </row>
    <row r="209" spans="1:17" s="17" customFormat="1" ht="11.25">
      <c r="A209" s="170"/>
      <c r="B209" s="170"/>
      <c r="C209" s="170"/>
      <c r="D209" s="171"/>
      <c r="E209" s="171"/>
      <c r="F209" s="170"/>
      <c r="G209" s="170"/>
      <c r="H209" s="170"/>
      <c r="I209" s="172"/>
      <c r="J209" s="170"/>
      <c r="K209" s="170"/>
      <c r="L209" s="170"/>
      <c r="M209" s="170"/>
      <c r="N209" s="170"/>
      <c r="O209" s="29"/>
      <c r="P209" s="18"/>
      <c r="Q209" s="18"/>
    </row>
    <row r="210" spans="1:17" s="17" customFormat="1" ht="11.25">
      <c r="A210" s="48"/>
      <c r="B210" s="48"/>
      <c r="C210" s="49"/>
      <c r="D210" s="173"/>
      <c r="E210" s="173"/>
      <c r="F210" s="48"/>
      <c r="G210" s="48"/>
      <c r="H210" s="48"/>
      <c r="I210" s="130"/>
      <c r="J210" s="48"/>
      <c r="K210" s="48"/>
      <c r="L210" s="48"/>
      <c r="M210" s="48"/>
      <c r="N210" s="48"/>
      <c r="O210" s="29"/>
      <c r="P210" s="18"/>
      <c r="Q210" s="18"/>
    </row>
    <row r="211" spans="1:17" s="17" customFormat="1" ht="11.25">
      <c r="A211" s="170"/>
      <c r="B211" s="170"/>
      <c r="C211" s="170"/>
      <c r="D211" s="171"/>
      <c r="E211" s="171"/>
      <c r="F211" s="170"/>
      <c r="G211" s="170"/>
      <c r="H211" s="170"/>
      <c r="I211" s="172"/>
      <c r="J211" s="170"/>
      <c r="K211" s="170"/>
      <c r="L211" s="170"/>
      <c r="M211" s="170"/>
      <c r="N211" s="170"/>
      <c r="O211" s="29"/>
      <c r="P211" s="18"/>
      <c r="Q211" s="18"/>
    </row>
    <row r="212" spans="1:17" s="17" customFormat="1" ht="11.25">
      <c r="A212" s="48"/>
      <c r="B212" s="48"/>
      <c r="C212" s="49"/>
      <c r="D212" s="173"/>
      <c r="E212" s="173"/>
      <c r="F212" s="48"/>
      <c r="G212" s="48"/>
      <c r="H212" s="48"/>
      <c r="I212" s="130"/>
      <c r="J212" s="48"/>
      <c r="K212" s="48"/>
      <c r="L212" s="48"/>
      <c r="M212" s="48"/>
      <c r="N212" s="48"/>
      <c r="O212" s="29"/>
      <c r="P212" s="18"/>
      <c r="Q212" s="18"/>
    </row>
    <row r="213" spans="1:17" s="17" customFormat="1" ht="11.25">
      <c r="A213" s="170"/>
      <c r="B213" s="170"/>
      <c r="C213" s="170"/>
      <c r="D213" s="171"/>
      <c r="E213" s="171"/>
      <c r="F213" s="170"/>
      <c r="G213" s="170"/>
      <c r="H213" s="170"/>
      <c r="I213" s="172"/>
      <c r="J213" s="170"/>
      <c r="K213" s="170"/>
      <c r="L213" s="170"/>
      <c r="M213" s="170"/>
      <c r="N213" s="170"/>
      <c r="O213" s="29"/>
      <c r="P213" s="18"/>
      <c r="Q213" s="18"/>
    </row>
    <row r="214" spans="1:17" s="17" customFormat="1" ht="11.25">
      <c r="A214" s="48"/>
      <c r="B214" s="48"/>
      <c r="C214" s="49"/>
      <c r="D214" s="173"/>
      <c r="E214" s="173"/>
      <c r="F214" s="48"/>
      <c r="G214" s="48"/>
      <c r="H214" s="48"/>
      <c r="I214" s="130"/>
      <c r="J214" s="48"/>
      <c r="K214" s="48"/>
      <c r="L214" s="48"/>
      <c r="M214" s="48"/>
      <c r="N214" s="48"/>
      <c r="O214" s="29"/>
      <c r="P214" s="18"/>
      <c r="Q214" s="18"/>
    </row>
    <row r="215" spans="1:17" s="17" customFormat="1" ht="11.25">
      <c r="A215" s="170"/>
      <c r="B215" s="170"/>
      <c r="C215" s="170"/>
      <c r="D215" s="171"/>
      <c r="E215" s="171"/>
      <c r="F215" s="170"/>
      <c r="G215" s="170"/>
      <c r="H215" s="170"/>
      <c r="I215" s="172"/>
      <c r="J215" s="170"/>
      <c r="K215" s="170"/>
      <c r="L215" s="170"/>
      <c r="M215" s="170"/>
      <c r="N215" s="170"/>
      <c r="O215" s="29"/>
      <c r="P215" s="18"/>
      <c r="Q215" s="18"/>
    </row>
    <row r="216" spans="1:17" s="17" customFormat="1" ht="11.25">
      <c r="A216" s="48"/>
      <c r="B216" s="48"/>
      <c r="C216" s="49"/>
      <c r="D216" s="173"/>
      <c r="E216" s="173"/>
      <c r="F216" s="48"/>
      <c r="G216" s="48"/>
      <c r="H216" s="48"/>
      <c r="I216" s="130"/>
      <c r="J216" s="48"/>
      <c r="K216" s="48"/>
      <c r="L216" s="48"/>
      <c r="M216" s="48"/>
      <c r="N216" s="48"/>
      <c r="O216" s="29"/>
      <c r="P216" s="18"/>
      <c r="Q216" s="18"/>
    </row>
    <row r="217" spans="1:17" s="17" customFormat="1" ht="11.25">
      <c r="A217" s="170"/>
      <c r="B217" s="170"/>
      <c r="C217" s="170"/>
      <c r="D217" s="171"/>
      <c r="E217" s="171"/>
      <c r="F217" s="170"/>
      <c r="G217" s="170"/>
      <c r="H217" s="170"/>
      <c r="I217" s="172"/>
      <c r="J217" s="170"/>
      <c r="K217" s="170"/>
      <c r="L217" s="170"/>
      <c r="M217" s="170"/>
      <c r="N217" s="170"/>
      <c r="O217" s="29"/>
      <c r="P217" s="18"/>
      <c r="Q217" s="18"/>
    </row>
    <row r="218" spans="1:17" s="17" customFormat="1" ht="11.25">
      <c r="A218" s="48"/>
      <c r="B218" s="48"/>
      <c r="C218" s="49"/>
      <c r="D218" s="173"/>
      <c r="E218" s="173"/>
      <c r="F218" s="48"/>
      <c r="G218" s="48"/>
      <c r="H218" s="48"/>
      <c r="I218" s="130"/>
      <c r="J218" s="48"/>
      <c r="K218" s="48"/>
      <c r="L218" s="48"/>
      <c r="M218" s="48"/>
      <c r="N218" s="48"/>
      <c r="O218" s="29"/>
      <c r="P218" s="18"/>
      <c r="Q218" s="18"/>
    </row>
    <row r="219" spans="1:17" s="17" customFormat="1" ht="11.25">
      <c r="A219" s="170"/>
      <c r="B219" s="170"/>
      <c r="C219" s="170"/>
      <c r="D219" s="171"/>
      <c r="E219" s="171"/>
      <c r="F219" s="170"/>
      <c r="G219" s="170"/>
      <c r="H219" s="170"/>
      <c r="I219" s="172"/>
      <c r="J219" s="170"/>
      <c r="K219" s="170"/>
      <c r="L219" s="170"/>
      <c r="M219" s="170"/>
      <c r="N219" s="170"/>
      <c r="O219" s="29"/>
      <c r="P219" s="18"/>
      <c r="Q219" s="18"/>
    </row>
    <row r="220" spans="1:17" s="17" customFormat="1" ht="11.25">
      <c r="A220" s="48"/>
      <c r="B220" s="48"/>
      <c r="C220" s="49"/>
      <c r="D220" s="173"/>
      <c r="E220" s="173"/>
      <c r="F220" s="48"/>
      <c r="G220" s="48"/>
      <c r="H220" s="48"/>
      <c r="I220" s="130"/>
      <c r="J220" s="48"/>
      <c r="K220" s="48"/>
      <c r="L220" s="48"/>
      <c r="M220" s="48"/>
      <c r="N220" s="48"/>
      <c r="O220" s="29"/>
      <c r="P220" s="18"/>
      <c r="Q220" s="18"/>
    </row>
    <row r="221" spans="1:17" s="17" customFormat="1" ht="11.25">
      <c r="A221" s="170"/>
      <c r="B221" s="170"/>
      <c r="C221" s="170"/>
      <c r="D221" s="171"/>
      <c r="E221" s="171"/>
      <c r="F221" s="170"/>
      <c r="G221" s="170"/>
      <c r="H221" s="170"/>
      <c r="I221" s="172"/>
      <c r="J221" s="170"/>
      <c r="K221" s="170"/>
      <c r="L221" s="170"/>
      <c r="M221" s="170"/>
      <c r="N221" s="170"/>
      <c r="O221" s="29"/>
      <c r="P221" s="18"/>
      <c r="Q221" s="18"/>
    </row>
    <row r="222" spans="1:17" s="17" customFormat="1" ht="11.25">
      <c r="A222" s="48"/>
      <c r="B222" s="48"/>
      <c r="C222" s="49"/>
      <c r="D222" s="173"/>
      <c r="E222" s="173"/>
      <c r="F222" s="48"/>
      <c r="G222" s="48"/>
      <c r="H222" s="48"/>
      <c r="I222" s="130"/>
      <c r="J222" s="48"/>
      <c r="K222" s="48"/>
      <c r="L222" s="48"/>
      <c r="M222" s="48"/>
      <c r="N222" s="48"/>
      <c r="O222" s="29"/>
      <c r="P222" s="18"/>
      <c r="Q222" s="18"/>
    </row>
    <row r="223" spans="1:17" s="17" customFormat="1" ht="11.25">
      <c r="A223" s="170"/>
      <c r="B223" s="170"/>
      <c r="C223" s="170"/>
      <c r="D223" s="171"/>
      <c r="E223" s="171"/>
      <c r="F223" s="170"/>
      <c r="G223" s="170"/>
      <c r="H223" s="170"/>
      <c r="I223" s="172"/>
      <c r="J223" s="170"/>
      <c r="K223" s="170"/>
      <c r="L223" s="170"/>
      <c r="M223" s="170"/>
      <c r="N223" s="170"/>
      <c r="O223" s="29"/>
      <c r="P223" s="18"/>
      <c r="Q223" s="18"/>
    </row>
    <row r="224" spans="1:17" s="17" customFormat="1" ht="11.25">
      <c r="A224" s="48"/>
      <c r="B224" s="48"/>
      <c r="C224" s="49"/>
      <c r="D224" s="173"/>
      <c r="E224" s="173"/>
      <c r="F224" s="48"/>
      <c r="G224" s="48"/>
      <c r="H224" s="48"/>
      <c r="I224" s="130"/>
      <c r="J224" s="48"/>
      <c r="K224" s="48"/>
      <c r="L224" s="48"/>
      <c r="M224" s="48"/>
      <c r="N224" s="48"/>
      <c r="O224" s="29"/>
      <c r="P224" s="18"/>
      <c r="Q224" s="18"/>
    </row>
    <row r="225" spans="1:17" s="17" customFormat="1" ht="11.25">
      <c r="A225" s="170"/>
      <c r="B225" s="170"/>
      <c r="C225" s="170"/>
      <c r="D225" s="171"/>
      <c r="E225" s="171"/>
      <c r="F225" s="170"/>
      <c r="G225" s="170"/>
      <c r="H225" s="170"/>
      <c r="I225" s="172"/>
      <c r="J225" s="170"/>
      <c r="K225" s="170"/>
      <c r="L225" s="170"/>
      <c r="M225" s="170"/>
      <c r="N225" s="170"/>
      <c r="O225" s="29"/>
      <c r="P225" s="18"/>
      <c r="Q225" s="18"/>
    </row>
    <row r="226" spans="1:17" s="17" customFormat="1" ht="11.25">
      <c r="A226" s="48"/>
      <c r="B226" s="48"/>
      <c r="C226" s="49"/>
      <c r="D226" s="173"/>
      <c r="E226" s="173"/>
      <c r="F226" s="48"/>
      <c r="G226" s="48"/>
      <c r="H226" s="48"/>
      <c r="I226" s="130"/>
      <c r="J226" s="48"/>
      <c r="K226" s="48"/>
      <c r="L226" s="48"/>
      <c r="M226" s="48"/>
      <c r="N226" s="48"/>
      <c r="O226" s="29"/>
      <c r="P226" s="18"/>
      <c r="Q226" s="18"/>
    </row>
    <row r="227" spans="1:17" s="17" customFormat="1" ht="11.25">
      <c r="A227" s="170"/>
      <c r="B227" s="170"/>
      <c r="C227" s="170"/>
      <c r="D227" s="171"/>
      <c r="E227" s="171"/>
      <c r="F227" s="170"/>
      <c r="G227" s="170"/>
      <c r="H227" s="170"/>
      <c r="I227" s="172"/>
      <c r="J227" s="170"/>
      <c r="K227" s="170"/>
      <c r="L227" s="170"/>
      <c r="M227" s="170"/>
      <c r="N227" s="170"/>
      <c r="O227" s="29"/>
      <c r="P227" s="18"/>
      <c r="Q227" s="18"/>
    </row>
    <row r="228" spans="1:17" s="17" customFormat="1" ht="11.25">
      <c r="A228" s="48"/>
      <c r="B228" s="48"/>
      <c r="C228" s="49"/>
      <c r="D228" s="173"/>
      <c r="E228" s="173"/>
      <c r="F228" s="48"/>
      <c r="G228" s="48"/>
      <c r="H228" s="48"/>
      <c r="I228" s="130"/>
      <c r="J228" s="48"/>
      <c r="K228" s="48"/>
      <c r="L228" s="48"/>
      <c r="M228" s="48"/>
      <c r="N228" s="48"/>
      <c r="O228" s="29"/>
      <c r="P228" s="18"/>
      <c r="Q228" s="18"/>
    </row>
    <row r="229" spans="1:17" s="17" customFormat="1" ht="11.25">
      <c r="A229" s="170"/>
      <c r="B229" s="170"/>
      <c r="C229" s="170"/>
      <c r="D229" s="171"/>
      <c r="E229" s="171"/>
      <c r="F229" s="170"/>
      <c r="G229" s="170"/>
      <c r="H229" s="170"/>
      <c r="I229" s="172"/>
      <c r="J229" s="170"/>
      <c r="K229" s="170"/>
      <c r="L229" s="170"/>
      <c r="M229" s="170"/>
      <c r="N229" s="170"/>
      <c r="O229" s="29"/>
      <c r="P229" s="18"/>
      <c r="Q229" s="18"/>
    </row>
    <row r="230" spans="1:17" s="17" customFormat="1" ht="11.25">
      <c r="A230" s="48"/>
      <c r="B230" s="48"/>
      <c r="C230" s="49"/>
      <c r="D230" s="173"/>
      <c r="E230" s="173"/>
      <c r="F230" s="48"/>
      <c r="G230" s="48"/>
      <c r="H230" s="48"/>
      <c r="I230" s="130"/>
      <c r="J230" s="48"/>
      <c r="K230" s="48"/>
      <c r="L230" s="48"/>
      <c r="M230" s="48"/>
      <c r="N230" s="48"/>
      <c r="O230" s="29"/>
      <c r="P230" s="18"/>
      <c r="Q230" s="18"/>
    </row>
    <row r="231" spans="1:17" s="17" customFormat="1" ht="11.25">
      <c r="A231" s="170"/>
      <c r="B231" s="170"/>
      <c r="C231" s="170"/>
      <c r="D231" s="171"/>
      <c r="E231" s="171"/>
      <c r="F231" s="170"/>
      <c r="G231" s="170"/>
      <c r="H231" s="170"/>
      <c r="I231" s="172"/>
      <c r="J231" s="170"/>
      <c r="K231" s="170"/>
      <c r="L231" s="170"/>
      <c r="M231" s="170"/>
      <c r="N231" s="170"/>
      <c r="O231" s="29"/>
      <c r="P231" s="18"/>
      <c r="Q231" s="18"/>
    </row>
    <row r="232" spans="1:17" s="17" customFormat="1" ht="11.25">
      <c r="A232" s="48"/>
      <c r="B232" s="48"/>
      <c r="C232" s="49"/>
      <c r="D232" s="173"/>
      <c r="E232" s="173"/>
      <c r="F232" s="48"/>
      <c r="G232" s="48"/>
      <c r="H232" s="48"/>
      <c r="I232" s="130"/>
      <c r="J232" s="48"/>
      <c r="K232" s="48"/>
      <c r="L232" s="48"/>
      <c r="M232" s="48"/>
      <c r="N232" s="48"/>
      <c r="O232" s="29"/>
      <c r="P232" s="18"/>
      <c r="Q232" s="18"/>
    </row>
    <row r="233" spans="1:17" s="17" customFormat="1" ht="11.25">
      <c r="A233" s="170"/>
      <c r="B233" s="170"/>
      <c r="C233" s="170"/>
      <c r="D233" s="171"/>
      <c r="E233" s="171"/>
      <c r="F233" s="170"/>
      <c r="G233" s="170"/>
      <c r="H233" s="170"/>
      <c r="I233" s="172"/>
      <c r="J233" s="170"/>
      <c r="K233" s="170"/>
      <c r="L233" s="170"/>
      <c r="M233" s="170"/>
      <c r="N233" s="170"/>
      <c r="O233" s="29"/>
      <c r="P233" s="18"/>
      <c r="Q233" s="18"/>
    </row>
    <row r="234" spans="1:17" s="17" customFormat="1" ht="11.25">
      <c r="A234" s="48"/>
      <c r="B234" s="48"/>
      <c r="C234" s="49"/>
      <c r="D234" s="173"/>
      <c r="E234" s="173"/>
      <c r="F234" s="48"/>
      <c r="G234" s="48"/>
      <c r="H234" s="48"/>
      <c r="I234" s="130"/>
      <c r="J234" s="48"/>
      <c r="K234" s="48"/>
      <c r="L234" s="48"/>
      <c r="M234" s="48"/>
      <c r="N234" s="48"/>
      <c r="O234" s="29"/>
      <c r="P234" s="18"/>
      <c r="Q234" s="18"/>
    </row>
    <row r="235" spans="1:17" s="17" customFormat="1" ht="11.25">
      <c r="A235" s="170"/>
      <c r="B235" s="170"/>
      <c r="C235" s="170"/>
      <c r="D235" s="171"/>
      <c r="E235" s="171"/>
      <c r="F235" s="170"/>
      <c r="G235" s="170"/>
      <c r="H235" s="170"/>
      <c r="I235" s="172"/>
      <c r="J235" s="170"/>
      <c r="K235" s="170"/>
      <c r="L235" s="170"/>
      <c r="M235" s="170"/>
      <c r="N235" s="170"/>
      <c r="O235" s="29"/>
      <c r="P235" s="18"/>
      <c r="Q235" s="18"/>
    </row>
    <row r="236" spans="1:17" s="17" customFormat="1" ht="11.25">
      <c r="A236" s="48"/>
      <c r="B236" s="48"/>
      <c r="C236" s="49"/>
      <c r="D236" s="173"/>
      <c r="E236" s="173"/>
      <c r="F236" s="48"/>
      <c r="G236" s="48"/>
      <c r="H236" s="48"/>
      <c r="I236" s="130"/>
      <c r="J236" s="48"/>
      <c r="K236" s="48"/>
      <c r="L236" s="48"/>
      <c r="M236" s="48"/>
      <c r="N236" s="48"/>
      <c r="O236" s="29"/>
      <c r="P236" s="18"/>
      <c r="Q236" s="18"/>
    </row>
    <row r="237" spans="1:17" s="17" customFormat="1" ht="11.25">
      <c r="A237" s="170"/>
      <c r="B237" s="170"/>
      <c r="C237" s="170"/>
      <c r="D237" s="171"/>
      <c r="E237" s="171"/>
      <c r="F237" s="170"/>
      <c r="G237" s="170"/>
      <c r="H237" s="170"/>
      <c r="I237" s="172"/>
      <c r="J237" s="170"/>
      <c r="K237" s="170"/>
      <c r="L237" s="170"/>
      <c r="M237" s="170"/>
      <c r="N237" s="170"/>
      <c r="O237" s="29"/>
      <c r="P237" s="18"/>
      <c r="Q237" s="18"/>
    </row>
    <row r="238" spans="1:17" s="17" customFormat="1" ht="11.25">
      <c r="A238" s="48"/>
      <c r="B238" s="48"/>
      <c r="C238" s="49"/>
      <c r="D238" s="173"/>
      <c r="E238" s="173"/>
      <c r="F238" s="48"/>
      <c r="G238" s="48"/>
      <c r="H238" s="48"/>
      <c r="I238" s="130"/>
      <c r="J238" s="48"/>
      <c r="K238" s="48"/>
      <c r="L238" s="48"/>
      <c r="M238" s="48"/>
      <c r="N238" s="48"/>
      <c r="O238" s="29"/>
      <c r="P238" s="18"/>
      <c r="Q238" s="18"/>
    </row>
    <row r="239" spans="1:17" s="17" customFormat="1" ht="11.25">
      <c r="A239" s="170"/>
      <c r="B239" s="170"/>
      <c r="C239" s="170"/>
      <c r="D239" s="171"/>
      <c r="E239" s="171"/>
      <c r="F239" s="170"/>
      <c r="G239" s="170"/>
      <c r="H239" s="170"/>
      <c r="I239" s="172"/>
      <c r="J239" s="170"/>
      <c r="K239" s="170"/>
      <c r="L239" s="170"/>
      <c r="M239" s="170"/>
      <c r="N239" s="170"/>
      <c r="O239" s="29"/>
      <c r="P239" s="18"/>
      <c r="Q239" s="18"/>
    </row>
    <row r="240" spans="1:17" s="17" customFormat="1" ht="11.25">
      <c r="A240" s="48"/>
      <c r="B240" s="48"/>
      <c r="C240" s="49"/>
      <c r="D240" s="173"/>
      <c r="E240" s="173"/>
      <c r="F240" s="48"/>
      <c r="G240" s="48"/>
      <c r="H240" s="48"/>
      <c r="I240" s="130"/>
      <c r="J240" s="48"/>
      <c r="K240" s="48"/>
      <c r="L240" s="48"/>
      <c r="M240" s="48"/>
      <c r="N240" s="48"/>
      <c r="O240" s="29"/>
      <c r="P240" s="18"/>
      <c r="Q240" s="18"/>
    </row>
    <row r="241" spans="1:17" s="17" customFormat="1" ht="11.25">
      <c r="A241" s="170"/>
      <c r="B241" s="170"/>
      <c r="C241" s="170"/>
      <c r="D241" s="171"/>
      <c r="E241" s="171"/>
      <c r="F241" s="170"/>
      <c r="G241" s="170"/>
      <c r="H241" s="170"/>
      <c r="I241" s="172"/>
      <c r="J241" s="170"/>
      <c r="K241" s="170"/>
      <c r="L241" s="170"/>
      <c r="M241" s="170"/>
      <c r="N241" s="170"/>
      <c r="O241" s="29"/>
      <c r="P241" s="18"/>
      <c r="Q241" s="18"/>
    </row>
    <row r="242" spans="1:17" s="17" customFormat="1" ht="11.25">
      <c r="A242" s="48"/>
      <c r="B242" s="48"/>
      <c r="C242" s="49"/>
      <c r="D242" s="173"/>
      <c r="E242" s="173"/>
      <c r="F242" s="48"/>
      <c r="G242" s="48"/>
      <c r="H242" s="48"/>
      <c r="I242" s="130"/>
      <c r="J242" s="48"/>
      <c r="K242" s="48"/>
      <c r="L242" s="48"/>
      <c r="M242" s="48"/>
      <c r="N242" s="48"/>
      <c r="O242" s="29"/>
      <c r="P242" s="18"/>
      <c r="Q242" s="18"/>
    </row>
    <row r="243" spans="1:17" s="17" customFormat="1" ht="11.25">
      <c r="A243" s="170"/>
      <c r="B243" s="170"/>
      <c r="C243" s="170"/>
      <c r="D243" s="171"/>
      <c r="E243" s="171"/>
      <c r="F243" s="170"/>
      <c r="G243" s="170"/>
      <c r="H243" s="170"/>
      <c r="I243" s="172"/>
      <c r="J243" s="170"/>
      <c r="K243" s="170"/>
      <c r="L243" s="170"/>
      <c r="M243" s="170"/>
      <c r="N243" s="170"/>
      <c r="O243" s="29"/>
      <c r="P243" s="18"/>
      <c r="Q243" s="18"/>
    </row>
    <row r="244" spans="1:17" s="17" customFormat="1" ht="11.25">
      <c r="A244" s="48"/>
      <c r="B244" s="48"/>
      <c r="C244" s="49"/>
      <c r="D244" s="173"/>
      <c r="E244" s="173"/>
      <c r="F244" s="48"/>
      <c r="G244" s="48"/>
      <c r="H244" s="48"/>
      <c r="I244" s="130"/>
      <c r="J244" s="48"/>
      <c r="K244" s="48"/>
      <c r="L244" s="48"/>
      <c r="M244" s="48"/>
      <c r="N244" s="48"/>
      <c r="O244" s="29"/>
      <c r="P244" s="18"/>
      <c r="Q244" s="18"/>
    </row>
    <row r="245" spans="1:17" s="17" customFormat="1" ht="11.25">
      <c r="A245" s="170"/>
      <c r="B245" s="170"/>
      <c r="C245" s="170"/>
      <c r="D245" s="171"/>
      <c r="E245" s="171"/>
      <c r="F245" s="170"/>
      <c r="G245" s="170"/>
      <c r="H245" s="170"/>
      <c r="I245" s="172"/>
      <c r="J245" s="170"/>
      <c r="K245" s="170"/>
      <c r="L245" s="170"/>
      <c r="M245" s="170"/>
      <c r="N245" s="170"/>
      <c r="O245" s="29"/>
      <c r="P245" s="18"/>
      <c r="Q245" s="18"/>
    </row>
    <row r="246" spans="1:17" s="17" customFormat="1" ht="11.25">
      <c r="A246" s="48"/>
      <c r="B246" s="48"/>
      <c r="C246" s="49"/>
      <c r="D246" s="173"/>
      <c r="E246" s="173"/>
      <c r="F246" s="48"/>
      <c r="G246" s="48"/>
      <c r="H246" s="48"/>
      <c r="I246" s="130"/>
      <c r="J246" s="48"/>
      <c r="K246" s="48"/>
      <c r="L246" s="48"/>
      <c r="M246" s="48"/>
      <c r="N246" s="48"/>
      <c r="O246" s="29"/>
      <c r="P246" s="18"/>
      <c r="Q246" s="18"/>
    </row>
    <row r="247" spans="1:17" s="17" customFormat="1" ht="11.25">
      <c r="A247" s="170"/>
      <c r="B247" s="170"/>
      <c r="C247" s="170"/>
      <c r="D247" s="171"/>
      <c r="E247" s="171"/>
      <c r="F247" s="170"/>
      <c r="G247" s="170"/>
      <c r="H247" s="170"/>
      <c r="I247" s="172"/>
      <c r="J247" s="170"/>
      <c r="K247" s="170"/>
      <c r="L247" s="170"/>
      <c r="M247" s="170"/>
      <c r="N247" s="170"/>
      <c r="O247" s="29"/>
      <c r="P247" s="18"/>
      <c r="Q247" s="18"/>
    </row>
    <row r="248" spans="1:17" s="17" customFormat="1" ht="11.25">
      <c r="A248" s="48"/>
      <c r="B248" s="48"/>
      <c r="C248" s="49"/>
      <c r="D248" s="173"/>
      <c r="E248" s="173"/>
      <c r="F248" s="48"/>
      <c r="G248" s="48"/>
      <c r="H248" s="48"/>
      <c r="I248" s="130"/>
      <c r="J248" s="48"/>
      <c r="K248" s="48"/>
      <c r="L248" s="48"/>
      <c r="M248" s="48"/>
      <c r="N248" s="48"/>
      <c r="O248" s="29"/>
      <c r="P248" s="18"/>
      <c r="Q248" s="18"/>
    </row>
    <row r="249" spans="1:17" s="17" customFormat="1" ht="11.25">
      <c r="A249" s="170"/>
      <c r="B249" s="170"/>
      <c r="C249" s="170"/>
      <c r="D249" s="171"/>
      <c r="E249" s="171"/>
      <c r="F249" s="170"/>
      <c r="G249" s="170"/>
      <c r="H249" s="170"/>
      <c r="I249" s="172"/>
      <c r="J249" s="170"/>
      <c r="K249" s="170"/>
      <c r="L249" s="170"/>
      <c r="M249" s="170"/>
      <c r="N249" s="170"/>
      <c r="O249" s="29"/>
      <c r="P249" s="18"/>
      <c r="Q249" s="18"/>
    </row>
    <row r="250" spans="1:17" s="17" customFormat="1" ht="11.25">
      <c r="A250" s="48"/>
      <c r="B250" s="48"/>
      <c r="C250" s="49"/>
      <c r="D250" s="173"/>
      <c r="E250" s="173"/>
      <c r="F250" s="48"/>
      <c r="G250" s="48"/>
      <c r="H250" s="48"/>
      <c r="I250" s="130"/>
      <c r="J250" s="48"/>
      <c r="K250" s="48"/>
      <c r="L250" s="48"/>
      <c r="M250" s="48"/>
      <c r="N250" s="48"/>
      <c r="O250" s="29"/>
      <c r="P250" s="18"/>
      <c r="Q250" s="18"/>
    </row>
    <row r="251" spans="1:17" s="17" customFormat="1" ht="11.25">
      <c r="A251" s="170"/>
      <c r="B251" s="170"/>
      <c r="C251" s="170"/>
      <c r="D251" s="171"/>
      <c r="E251" s="171"/>
      <c r="F251" s="170"/>
      <c r="G251" s="170"/>
      <c r="H251" s="170"/>
      <c r="I251" s="172"/>
      <c r="J251" s="170"/>
      <c r="K251" s="170"/>
      <c r="L251" s="170"/>
      <c r="M251" s="170"/>
      <c r="N251" s="170"/>
      <c r="O251" s="29"/>
      <c r="P251" s="18"/>
      <c r="Q251" s="18"/>
    </row>
    <row r="252" spans="1:17" s="17" customFormat="1" ht="11.25">
      <c r="A252" s="48"/>
      <c r="B252" s="48"/>
      <c r="C252" s="49"/>
      <c r="D252" s="173"/>
      <c r="E252" s="173"/>
      <c r="F252" s="48"/>
      <c r="G252" s="48"/>
      <c r="H252" s="48"/>
      <c r="I252" s="130"/>
      <c r="J252" s="48"/>
      <c r="K252" s="48"/>
      <c r="L252" s="48"/>
      <c r="M252" s="48"/>
      <c r="N252" s="48"/>
      <c r="O252" s="29"/>
      <c r="P252" s="18"/>
      <c r="Q252" s="18"/>
    </row>
    <row r="253" spans="1:17" s="17" customFormat="1" ht="11.25">
      <c r="A253" s="170"/>
      <c r="B253" s="170"/>
      <c r="C253" s="170"/>
      <c r="D253" s="171"/>
      <c r="E253" s="171"/>
      <c r="F253" s="170"/>
      <c r="G253" s="170"/>
      <c r="H253" s="170"/>
      <c r="I253" s="172"/>
      <c r="J253" s="170"/>
      <c r="K253" s="170"/>
      <c r="L253" s="170"/>
      <c r="M253" s="170"/>
      <c r="N253" s="170"/>
      <c r="O253" s="29"/>
      <c r="P253" s="18"/>
      <c r="Q253" s="18"/>
    </row>
    <row r="254" spans="1:17" s="17" customFormat="1" ht="11.25">
      <c r="A254" s="48"/>
      <c r="B254" s="48"/>
      <c r="C254" s="49"/>
      <c r="D254" s="173"/>
      <c r="E254" s="173"/>
      <c r="F254" s="48"/>
      <c r="G254" s="48"/>
      <c r="H254" s="48"/>
      <c r="I254" s="130"/>
      <c r="J254" s="48"/>
      <c r="K254" s="48"/>
      <c r="L254" s="48"/>
      <c r="M254" s="48"/>
      <c r="N254" s="48"/>
      <c r="O254" s="29"/>
      <c r="P254" s="18"/>
      <c r="Q254" s="18"/>
    </row>
    <row r="255" spans="1:17" s="17" customFormat="1" ht="11.25">
      <c r="A255" s="170"/>
      <c r="B255" s="170"/>
      <c r="C255" s="170"/>
      <c r="D255" s="171"/>
      <c r="E255" s="171"/>
      <c r="F255" s="170"/>
      <c r="G255" s="170"/>
      <c r="H255" s="170"/>
      <c r="I255" s="172"/>
      <c r="J255" s="170"/>
      <c r="K255" s="170"/>
      <c r="L255" s="170"/>
      <c r="M255" s="170"/>
      <c r="N255" s="170"/>
      <c r="O255" s="29"/>
      <c r="P255" s="18"/>
      <c r="Q255" s="18"/>
    </row>
    <row r="256" spans="1:17" s="17" customFormat="1" ht="11.25">
      <c r="A256" s="48"/>
      <c r="B256" s="48"/>
      <c r="C256" s="49"/>
      <c r="D256" s="173"/>
      <c r="E256" s="173"/>
      <c r="F256" s="48"/>
      <c r="G256" s="48"/>
      <c r="H256" s="48"/>
      <c r="I256" s="130"/>
      <c r="J256" s="48"/>
      <c r="K256" s="48"/>
      <c r="L256" s="48"/>
      <c r="M256" s="48"/>
      <c r="N256" s="48"/>
      <c r="O256" s="29"/>
      <c r="P256" s="18"/>
      <c r="Q256" s="18"/>
    </row>
    <row r="257" spans="1:17" s="17" customFormat="1" ht="11.25">
      <c r="A257" s="170"/>
      <c r="B257" s="170"/>
      <c r="C257" s="170"/>
      <c r="D257" s="171"/>
      <c r="E257" s="171"/>
      <c r="F257" s="170"/>
      <c r="G257" s="170"/>
      <c r="H257" s="170"/>
      <c r="I257" s="172"/>
      <c r="J257" s="170"/>
      <c r="K257" s="170"/>
      <c r="L257" s="170"/>
      <c r="M257" s="170"/>
      <c r="N257" s="170"/>
      <c r="O257" s="29"/>
      <c r="P257" s="18"/>
      <c r="Q257" s="18"/>
    </row>
    <row r="258" spans="1:17" s="17" customFormat="1" ht="11.25">
      <c r="A258" s="48"/>
      <c r="B258" s="48"/>
      <c r="C258" s="49"/>
      <c r="D258" s="173"/>
      <c r="E258" s="173"/>
      <c r="F258" s="48"/>
      <c r="G258" s="48"/>
      <c r="H258" s="48"/>
      <c r="I258" s="130"/>
      <c r="J258" s="48"/>
      <c r="K258" s="48"/>
      <c r="L258" s="48"/>
      <c r="M258" s="48"/>
      <c r="N258" s="48"/>
      <c r="O258" s="29"/>
      <c r="P258" s="18"/>
      <c r="Q258" s="18"/>
    </row>
    <row r="259" spans="1:17" s="17" customFormat="1" ht="11.25">
      <c r="A259" s="170"/>
      <c r="B259" s="170"/>
      <c r="C259" s="170"/>
      <c r="D259" s="171"/>
      <c r="E259" s="171"/>
      <c r="F259" s="170"/>
      <c r="G259" s="170"/>
      <c r="H259" s="170"/>
      <c r="I259" s="172"/>
      <c r="J259" s="170"/>
      <c r="K259" s="170"/>
      <c r="L259" s="170"/>
      <c r="M259" s="170"/>
      <c r="N259" s="170"/>
      <c r="O259" s="29"/>
      <c r="P259" s="18"/>
      <c r="Q259" s="18"/>
    </row>
    <row r="260" spans="1:17" s="17" customFormat="1" ht="11.25">
      <c r="A260" s="48"/>
      <c r="B260" s="48"/>
      <c r="C260" s="49"/>
      <c r="D260" s="173"/>
      <c r="E260" s="173"/>
      <c r="F260" s="48"/>
      <c r="G260" s="48"/>
      <c r="H260" s="48"/>
      <c r="I260" s="130"/>
      <c r="J260" s="48"/>
      <c r="K260" s="48"/>
      <c r="L260" s="48"/>
      <c r="M260" s="48"/>
      <c r="N260" s="48"/>
      <c r="O260" s="29"/>
      <c r="P260" s="18"/>
      <c r="Q260" s="18"/>
    </row>
    <row r="261" spans="1:17" s="17" customFormat="1" ht="11.25">
      <c r="A261" s="170"/>
      <c r="B261" s="170"/>
      <c r="C261" s="170"/>
      <c r="D261" s="171"/>
      <c r="E261" s="171"/>
      <c r="F261" s="170"/>
      <c r="G261" s="170"/>
      <c r="H261" s="170"/>
      <c r="I261" s="172"/>
      <c r="J261" s="170"/>
      <c r="K261" s="170"/>
      <c r="L261" s="170"/>
      <c r="M261" s="170"/>
      <c r="N261" s="170"/>
      <c r="O261" s="29"/>
      <c r="P261" s="18"/>
      <c r="Q261" s="18"/>
    </row>
    <row r="262" spans="1:17" s="17" customFormat="1" ht="11.25">
      <c r="A262" s="48"/>
      <c r="B262" s="48"/>
      <c r="C262" s="49"/>
      <c r="D262" s="173"/>
      <c r="E262" s="173"/>
      <c r="F262" s="48"/>
      <c r="G262" s="48"/>
      <c r="H262" s="48"/>
      <c r="I262" s="130"/>
      <c r="J262" s="48"/>
      <c r="K262" s="48"/>
      <c r="L262" s="48"/>
      <c r="M262" s="48"/>
      <c r="N262" s="48"/>
      <c r="O262" s="29"/>
      <c r="P262" s="18"/>
      <c r="Q262" s="18"/>
    </row>
    <row r="263" spans="1:17" s="17" customFormat="1" ht="11.25">
      <c r="A263" s="170"/>
      <c r="B263" s="170"/>
      <c r="C263" s="170"/>
      <c r="D263" s="171"/>
      <c r="E263" s="171"/>
      <c r="F263" s="170"/>
      <c r="G263" s="170"/>
      <c r="H263" s="170"/>
      <c r="I263" s="172"/>
      <c r="J263" s="170"/>
      <c r="K263" s="170"/>
      <c r="L263" s="170"/>
      <c r="M263" s="170"/>
      <c r="N263" s="170"/>
      <c r="O263" s="29"/>
      <c r="P263" s="18"/>
      <c r="Q263" s="18"/>
    </row>
    <row r="264" spans="1:17" s="17" customFormat="1" ht="11.25">
      <c r="A264" s="48"/>
      <c r="B264" s="48"/>
      <c r="C264" s="49"/>
      <c r="D264" s="173"/>
      <c r="E264" s="173"/>
      <c r="F264" s="48"/>
      <c r="G264" s="48"/>
      <c r="H264" s="48"/>
      <c r="I264" s="130"/>
      <c r="J264" s="48"/>
      <c r="K264" s="48"/>
      <c r="L264" s="48"/>
      <c r="M264" s="48"/>
      <c r="N264" s="48"/>
      <c r="O264" s="29"/>
      <c r="P264" s="18"/>
      <c r="Q264" s="18"/>
    </row>
    <row r="265" spans="1:17" s="17" customFormat="1" ht="11.25">
      <c r="A265" s="170"/>
      <c r="B265" s="170"/>
      <c r="C265" s="170"/>
      <c r="D265" s="171"/>
      <c r="E265" s="171"/>
      <c r="F265" s="170"/>
      <c r="G265" s="170"/>
      <c r="H265" s="170"/>
      <c r="I265" s="172"/>
      <c r="J265" s="170"/>
      <c r="K265" s="170"/>
      <c r="L265" s="170"/>
      <c r="M265" s="170"/>
      <c r="N265" s="170"/>
      <c r="O265" s="29"/>
      <c r="P265" s="18"/>
      <c r="Q265" s="18"/>
    </row>
    <row r="266" spans="1:17" s="17" customFormat="1" ht="11.25">
      <c r="A266" s="48"/>
      <c r="B266" s="48"/>
      <c r="C266" s="49"/>
      <c r="D266" s="173"/>
      <c r="E266" s="173"/>
      <c r="F266" s="48"/>
      <c r="G266" s="48"/>
      <c r="H266" s="48"/>
      <c r="I266" s="130"/>
      <c r="J266" s="48"/>
      <c r="K266" s="48"/>
      <c r="L266" s="48"/>
      <c r="M266" s="48"/>
      <c r="N266" s="48"/>
      <c r="O266" s="29"/>
      <c r="P266" s="18"/>
      <c r="Q266" s="18"/>
    </row>
    <row r="267" spans="1:17" s="17" customFormat="1" ht="11.25">
      <c r="A267" s="170"/>
      <c r="B267" s="170"/>
      <c r="C267" s="170"/>
      <c r="D267" s="171"/>
      <c r="E267" s="171"/>
      <c r="F267" s="170"/>
      <c r="G267" s="170"/>
      <c r="H267" s="170"/>
      <c r="I267" s="172"/>
      <c r="J267" s="170"/>
      <c r="K267" s="170"/>
      <c r="L267" s="170"/>
      <c r="M267" s="170"/>
      <c r="N267" s="170"/>
      <c r="O267" s="29"/>
      <c r="P267" s="18"/>
      <c r="Q267" s="18"/>
    </row>
    <row r="268" spans="1:17" s="17" customFormat="1" ht="11.25">
      <c r="A268" s="48"/>
      <c r="B268" s="48"/>
      <c r="C268" s="49"/>
      <c r="D268" s="173"/>
      <c r="E268" s="173"/>
      <c r="F268" s="48"/>
      <c r="G268" s="48"/>
      <c r="H268" s="48"/>
      <c r="I268" s="130"/>
      <c r="J268" s="48"/>
      <c r="K268" s="48"/>
      <c r="L268" s="48"/>
      <c r="M268" s="48"/>
      <c r="N268" s="48"/>
      <c r="O268" s="29"/>
      <c r="P268" s="18"/>
      <c r="Q268" s="18"/>
    </row>
    <row r="269" spans="1:17" s="17" customFormat="1" ht="11.25">
      <c r="A269" s="170"/>
      <c r="B269" s="170"/>
      <c r="C269" s="170"/>
      <c r="D269" s="171"/>
      <c r="E269" s="171"/>
      <c r="F269" s="170"/>
      <c r="G269" s="170"/>
      <c r="H269" s="170"/>
      <c r="I269" s="172"/>
      <c r="J269" s="170"/>
      <c r="K269" s="170"/>
      <c r="L269" s="170"/>
      <c r="M269" s="170"/>
      <c r="N269" s="170"/>
      <c r="O269" s="29"/>
      <c r="P269" s="18"/>
      <c r="Q269" s="18"/>
    </row>
    <row r="270" spans="1:17" s="17" customFormat="1" ht="11.25">
      <c r="A270" s="48"/>
      <c r="B270" s="48"/>
      <c r="C270" s="49"/>
      <c r="D270" s="173"/>
      <c r="E270" s="173"/>
      <c r="F270" s="48"/>
      <c r="G270" s="48"/>
      <c r="H270" s="48"/>
      <c r="I270" s="130"/>
      <c r="J270" s="48"/>
      <c r="K270" s="48"/>
      <c r="L270" s="48"/>
      <c r="M270" s="48"/>
      <c r="N270" s="48"/>
      <c r="O270" s="29"/>
      <c r="P270" s="18"/>
      <c r="Q270" s="18"/>
    </row>
    <row r="271" spans="1:17" s="17" customFormat="1" ht="11.25">
      <c r="A271" s="170"/>
      <c r="B271" s="170"/>
      <c r="C271" s="170"/>
      <c r="D271" s="171"/>
      <c r="E271" s="171"/>
      <c r="F271" s="170"/>
      <c r="G271" s="170"/>
      <c r="H271" s="170"/>
      <c r="I271" s="172"/>
      <c r="J271" s="170"/>
      <c r="K271" s="170"/>
      <c r="L271" s="170"/>
      <c r="M271" s="170"/>
      <c r="N271" s="170"/>
      <c r="O271" s="29"/>
      <c r="P271" s="18"/>
      <c r="Q271" s="18"/>
    </row>
    <row r="272" spans="1:17" s="17" customFormat="1" ht="11.25">
      <c r="A272" s="48"/>
      <c r="B272" s="48"/>
      <c r="C272" s="49"/>
      <c r="D272" s="173"/>
      <c r="E272" s="173"/>
      <c r="F272" s="48"/>
      <c r="G272" s="48"/>
      <c r="H272" s="48"/>
      <c r="I272" s="130"/>
      <c r="J272" s="48"/>
      <c r="K272" s="48"/>
      <c r="L272" s="48"/>
      <c r="M272" s="48"/>
      <c r="N272" s="48"/>
      <c r="O272" s="29"/>
      <c r="P272" s="18"/>
      <c r="Q272" s="18"/>
    </row>
    <row r="273" spans="1:17" s="17" customFormat="1" ht="11.25">
      <c r="A273" s="170"/>
      <c r="B273" s="170"/>
      <c r="C273" s="170"/>
      <c r="D273" s="171"/>
      <c r="E273" s="171"/>
      <c r="F273" s="170"/>
      <c r="G273" s="170"/>
      <c r="H273" s="170"/>
      <c r="I273" s="172"/>
      <c r="J273" s="170"/>
      <c r="K273" s="170"/>
      <c r="L273" s="170"/>
      <c r="M273" s="170"/>
      <c r="N273" s="170"/>
      <c r="O273" s="29"/>
      <c r="P273" s="18"/>
      <c r="Q273" s="18"/>
    </row>
    <row r="274" spans="1:17" s="17" customFormat="1" ht="11.25">
      <c r="A274" s="48"/>
      <c r="B274" s="48"/>
      <c r="C274" s="49"/>
      <c r="D274" s="173"/>
      <c r="E274" s="173"/>
      <c r="F274" s="48"/>
      <c r="G274" s="48"/>
      <c r="H274" s="48"/>
      <c r="I274" s="130"/>
      <c r="J274" s="48"/>
      <c r="K274" s="48"/>
      <c r="L274" s="48"/>
      <c r="M274" s="48"/>
      <c r="N274" s="48"/>
      <c r="O274" s="29"/>
      <c r="P274" s="18"/>
      <c r="Q274" s="18"/>
    </row>
    <row r="275" spans="1:17" s="17" customFormat="1" ht="11.25">
      <c r="A275" s="170"/>
      <c r="B275" s="170"/>
      <c r="C275" s="170"/>
      <c r="D275" s="171"/>
      <c r="E275" s="171"/>
      <c r="F275" s="170"/>
      <c r="G275" s="170"/>
      <c r="H275" s="170"/>
      <c r="I275" s="172"/>
      <c r="J275" s="170"/>
      <c r="K275" s="170"/>
      <c r="L275" s="170"/>
      <c r="M275" s="170"/>
      <c r="N275" s="170"/>
      <c r="O275" s="29"/>
      <c r="P275" s="18"/>
      <c r="Q275" s="18"/>
    </row>
    <row r="276" spans="1:17" s="17" customFormat="1" ht="11.25">
      <c r="A276" s="48"/>
      <c r="B276" s="48"/>
      <c r="C276" s="49"/>
      <c r="D276" s="173"/>
      <c r="E276" s="173"/>
      <c r="F276" s="48"/>
      <c r="G276" s="48"/>
      <c r="H276" s="48"/>
      <c r="I276" s="130"/>
      <c r="J276" s="48"/>
      <c r="K276" s="48"/>
      <c r="L276" s="48"/>
      <c r="M276" s="48"/>
      <c r="N276" s="48"/>
      <c r="O276" s="29"/>
      <c r="P276" s="18"/>
      <c r="Q276" s="18"/>
    </row>
    <row r="277" spans="1:17" s="17" customFormat="1" ht="11.25">
      <c r="A277" s="170"/>
      <c r="B277" s="170"/>
      <c r="C277" s="170"/>
      <c r="D277" s="171"/>
      <c r="E277" s="171"/>
      <c r="F277" s="170"/>
      <c r="G277" s="170"/>
      <c r="H277" s="170"/>
      <c r="I277" s="172"/>
      <c r="J277" s="170"/>
      <c r="K277" s="170"/>
      <c r="L277" s="170"/>
      <c r="M277" s="170"/>
      <c r="N277" s="170"/>
      <c r="O277" s="29"/>
      <c r="P277" s="18"/>
      <c r="Q277" s="18"/>
    </row>
    <row r="278" spans="1:17" s="17" customFormat="1" ht="11.25">
      <c r="A278" s="48"/>
      <c r="B278" s="48"/>
      <c r="C278" s="49"/>
      <c r="D278" s="173"/>
      <c r="E278" s="173"/>
      <c r="F278" s="48"/>
      <c r="G278" s="48"/>
      <c r="H278" s="48"/>
      <c r="I278" s="130"/>
      <c r="J278" s="48"/>
      <c r="K278" s="48"/>
      <c r="L278" s="48"/>
      <c r="M278" s="48"/>
      <c r="N278" s="48"/>
      <c r="O278" s="29"/>
      <c r="P278" s="18"/>
      <c r="Q278" s="18"/>
    </row>
    <row r="279" spans="1:17" s="17" customFormat="1" ht="11.25">
      <c r="A279" s="170"/>
      <c r="B279" s="170"/>
      <c r="C279" s="170"/>
      <c r="D279" s="171"/>
      <c r="E279" s="171"/>
      <c r="F279" s="170"/>
      <c r="G279" s="170"/>
      <c r="H279" s="170"/>
      <c r="I279" s="172"/>
      <c r="J279" s="170"/>
      <c r="K279" s="170"/>
      <c r="L279" s="170"/>
      <c r="M279" s="170"/>
      <c r="N279" s="170"/>
      <c r="O279" s="29"/>
      <c r="P279" s="18"/>
      <c r="Q279" s="18"/>
    </row>
    <row r="280" spans="1:17" s="17" customFormat="1" ht="11.25">
      <c r="A280" s="48"/>
      <c r="B280" s="48"/>
      <c r="C280" s="49"/>
      <c r="D280" s="173"/>
      <c r="E280" s="173"/>
      <c r="F280" s="48"/>
      <c r="G280" s="48"/>
      <c r="H280" s="48"/>
      <c r="I280" s="130"/>
      <c r="J280" s="48"/>
      <c r="K280" s="48"/>
      <c r="L280" s="48"/>
      <c r="M280" s="48"/>
      <c r="N280" s="48"/>
      <c r="O280" s="29"/>
      <c r="P280" s="18"/>
      <c r="Q280" s="18"/>
    </row>
    <row r="281" spans="1:17" s="17" customFormat="1" ht="11.25">
      <c r="A281" s="170"/>
      <c r="B281" s="170"/>
      <c r="C281" s="170"/>
      <c r="D281" s="171"/>
      <c r="E281" s="171"/>
      <c r="F281" s="170"/>
      <c r="G281" s="170"/>
      <c r="H281" s="170"/>
      <c r="I281" s="172"/>
      <c r="J281" s="170"/>
      <c r="K281" s="170"/>
      <c r="L281" s="170"/>
      <c r="M281" s="170"/>
      <c r="N281" s="170"/>
      <c r="O281" s="29"/>
      <c r="P281" s="18"/>
      <c r="Q281" s="18"/>
    </row>
    <row r="282" spans="1:17" s="17" customFormat="1" ht="11.25">
      <c r="A282" s="48"/>
      <c r="B282" s="48"/>
      <c r="C282" s="49"/>
      <c r="D282" s="173"/>
      <c r="E282" s="173"/>
      <c r="F282" s="48"/>
      <c r="G282" s="48"/>
      <c r="H282" s="48"/>
      <c r="I282" s="130"/>
      <c r="J282" s="48"/>
      <c r="K282" s="48"/>
      <c r="L282" s="48"/>
      <c r="M282" s="48"/>
      <c r="N282" s="48"/>
      <c r="O282" s="29"/>
      <c r="P282" s="18"/>
      <c r="Q282" s="18"/>
    </row>
    <row r="283" spans="1:17" s="17" customFormat="1" ht="11.25">
      <c r="A283" s="170"/>
      <c r="B283" s="170"/>
      <c r="C283" s="170"/>
      <c r="D283" s="171"/>
      <c r="E283" s="171"/>
      <c r="F283" s="170"/>
      <c r="G283" s="170"/>
      <c r="H283" s="170"/>
      <c r="I283" s="172"/>
      <c r="J283" s="170"/>
      <c r="K283" s="170"/>
      <c r="L283" s="170"/>
      <c r="M283" s="170"/>
      <c r="N283" s="170"/>
      <c r="O283" s="29"/>
      <c r="P283" s="18"/>
      <c r="Q283" s="18"/>
    </row>
    <row r="284" spans="1:17" s="17" customFormat="1" ht="11.25">
      <c r="A284" s="48"/>
      <c r="B284" s="48"/>
      <c r="C284" s="49"/>
      <c r="D284" s="173"/>
      <c r="E284" s="173"/>
      <c r="F284" s="48"/>
      <c r="G284" s="48"/>
      <c r="H284" s="48"/>
      <c r="I284" s="130"/>
      <c r="J284" s="48"/>
      <c r="K284" s="48"/>
      <c r="L284" s="48"/>
      <c r="M284" s="48"/>
      <c r="N284" s="48"/>
      <c r="O284" s="29"/>
      <c r="P284" s="18"/>
      <c r="Q284" s="18"/>
    </row>
    <row r="285" spans="1:17" s="17" customFormat="1" ht="11.25">
      <c r="A285" s="170"/>
      <c r="B285" s="170"/>
      <c r="C285" s="170"/>
      <c r="D285" s="171"/>
      <c r="E285" s="171"/>
      <c r="F285" s="170"/>
      <c r="G285" s="170"/>
      <c r="H285" s="170"/>
      <c r="I285" s="172"/>
      <c r="J285" s="170"/>
      <c r="K285" s="170"/>
      <c r="L285" s="170"/>
      <c r="M285" s="170"/>
      <c r="N285" s="170"/>
      <c r="O285" s="29"/>
      <c r="P285" s="18"/>
      <c r="Q285" s="18"/>
    </row>
    <row r="286" spans="1:17" s="17" customFormat="1" ht="11.25">
      <c r="A286" s="48"/>
      <c r="B286" s="48"/>
      <c r="C286" s="49"/>
      <c r="D286" s="173"/>
      <c r="E286" s="173"/>
      <c r="F286" s="48"/>
      <c r="G286" s="48"/>
      <c r="H286" s="48"/>
      <c r="I286" s="130"/>
      <c r="J286" s="48"/>
      <c r="K286" s="48"/>
      <c r="L286" s="48"/>
      <c r="M286" s="48"/>
      <c r="N286" s="48"/>
      <c r="O286" s="29"/>
      <c r="P286" s="18"/>
      <c r="Q286" s="18"/>
    </row>
    <row r="287" spans="1:17" s="17" customFormat="1" ht="11.25">
      <c r="A287" s="170"/>
      <c r="B287" s="170"/>
      <c r="C287" s="170"/>
      <c r="D287" s="171"/>
      <c r="E287" s="171"/>
      <c r="F287" s="170"/>
      <c r="G287" s="170"/>
      <c r="H287" s="170"/>
      <c r="I287" s="172"/>
      <c r="J287" s="170"/>
      <c r="K287" s="170"/>
      <c r="L287" s="170"/>
      <c r="M287" s="170"/>
      <c r="N287" s="170"/>
      <c r="O287" s="29"/>
      <c r="P287" s="18"/>
      <c r="Q287" s="18"/>
    </row>
    <row r="288" spans="1:17" s="17" customFormat="1" ht="11.25">
      <c r="A288" s="48"/>
      <c r="B288" s="48"/>
      <c r="C288" s="49"/>
      <c r="D288" s="173"/>
      <c r="E288" s="173"/>
      <c r="F288" s="48"/>
      <c r="G288" s="48"/>
      <c r="H288" s="48"/>
      <c r="I288" s="130"/>
      <c r="J288" s="48"/>
      <c r="K288" s="48"/>
      <c r="L288" s="48"/>
      <c r="M288" s="48"/>
      <c r="N288" s="48"/>
      <c r="O288" s="29"/>
      <c r="P288" s="18"/>
      <c r="Q288" s="18"/>
    </row>
    <row r="289" spans="1:17" s="17" customFormat="1" ht="11.25">
      <c r="A289" s="170"/>
      <c r="B289" s="170"/>
      <c r="C289" s="170"/>
      <c r="D289" s="171"/>
      <c r="E289" s="171"/>
      <c r="F289" s="170"/>
      <c r="G289" s="170"/>
      <c r="H289" s="170"/>
      <c r="I289" s="172"/>
      <c r="J289" s="170"/>
      <c r="K289" s="170"/>
      <c r="L289" s="170"/>
      <c r="M289" s="170"/>
      <c r="N289" s="170"/>
      <c r="O289" s="29"/>
      <c r="P289" s="18"/>
      <c r="Q289" s="18"/>
    </row>
    <row r="290" spans="1:17" s="17" customFormat="1" ht="11.25">
      <c r="A290" s="48"/>
      <c r="B290" s="48"/>
      <c r="C290" s="49"/>
      <c r="D290" s="173"/>
      <c r="E290" s="173"/>
      <c r="F290" s="48"/>
      <c r="G290" s="48"/>
      <c r="H290" s="48"/>
      <c r="I290" s="130"/>
      <c r="J290" s="48"/>
      <c r="K290" s="48"/>
      <c r="L290" s="48"/>
      <c r="M290" s="48"/>
      <c r="N290" s="48"/>
      <c r="O290" s="29"/>
      <c r="P290" s="18"/>
      <c r="Q290" s="18"/>
    </row>
    <row r="291" spans="1:17" s="17" customFormat="1" ht="11.25">
      <c r="A291" s="170"/>
      <c r="B291" s="170"/>
      <c r="C291" s="170"/>
      <c r="D291" s="171"/>
      <c r="E291" s="171"/>
      <c r="F291" s="170"/>
      <c r="G291" s="170"/>
      <c r="H291" s="170"/>
      <c r="I291" s="172"/>
      <c r="J291" s="170"/>
      <c r="K291" s="170"/>
      <c r="L291" s="170"/>
      <c r="M291" s="170"/>
      <c r="N291" s="170"/>
      <c r="O291" s="29"/>
      <c r="P291" s="18"/>
      <c r="Q291" s="18"/>
    </row>
    <row r="292" spans="1:17" s="17" customFormat="1" ht="11.25">
      <c r="A292" s="48"/>
      <c r="B292" s="48"/>
      <c r="C292" s="49"/>
      <c r="D292" s="173"/>
      <c r="E292" s="173"/>
      <c r="F292" s="48"/>
      <c r="G292" s="48"/>
      <c r="H292" s="48"/>
      <c r="I292" s="130"/>
      <c r="J292" s="48"/>
      <c r="K292" s="48"/>
      <c r="L292" s="48"/>
      <c r="M292" s="48"/>
      <c r="N292" s="48"/>
      <c r="O292" s="29"/>
      <c r="P292" s="18"/>
      <c r="Q292" s="18"/>
    </row>
    <row r="293" spans="1:17" s="17" customFormat="1" ht="11.25">
      <c r="A293" s="170"/>
      <c r="B293" s="170"/>
      <c r="C293" s="170"/>
      <c r="D293" s="171"/>
      <c r="E293" s="171"/>
      <c r="F293" s="170"/>
      <c r="G293" s="170"/>
      <c r="H293" s="170"/>
      <c r="I293" s="172"/>
      <c r="J293" s="170"/>
      <c r="K293" s="170"/>
      <c r="L293" s="170"/>
      <c r="M293" s="170"/>
      <c r="N293" s="170"/>
      <c r="O293" s="29"/>
      <c r="P293" s="18"/>
      <c r="Q293" s="18"/>
    </row>
    <row r="294" spans="1:17" s="17" customFormat="1" ht="11.25">
      <c r="A294" s="48"/>
      <c r="B294" s="48"/>
      <c r="C294" s="49"/>
      <c r="D294" s="173"/>
      <c r="E294" s="173"/>
      <c r="F294" s="48"/>
      <c r="G294" s="48"/>
      <c r="H294" s="48"/>
      <c r="I294" s="130"/>
      <c r="J294" s="48"/>
      <c r="K294" s="48"/>
      <c r="L294" s="48"/>
      <c r="M294" s="48"/>
      <c r="N294" s="48"/>
      <c r="O294" s="29"/>
      <c r="P294" s="18"/>
      <c r="Q294" s="18"/>
    </row>
    <row r="295" spans="1:17" s="17" customFormat="1" ht="11.25">
      <c r="A295" s="170"/>
      <c r="B295" s="170"/>
      <c r="C295" s="170"/>
      <c r="D295" s="171"/>
      <c r="E295" s="171"/>
      <c r="F295" s="170"/>
      <c r="G295" s="170"/>
      <c r="H295" s="170"/>
      <c r="I295" s="172"/>
      <c r="J295" s="170"/>
      <c r="K295" s="170"/>
      <c r="L295" s="170"/>
      <c r="M295" s="170"/>
      <c r="N295" s="170"/>
      <c r="O295" s="29"/>
      <c r="P295" s="18"/>
      <c r="Q295" s="18"/>
    </row>
    <row r="296" spans="1:17" s="17" customFormat="1" ht="11.25">
      <c r="A296" s="48"/>
      <c r="B296" s="48"/>
      <c r="C296" s="49"/>
      <c r="D296" s="173"/>
      <c r="E296" s="173"/>
      <c r="F296" s="48"/>
      <c r="G296" s="48"/>
      <c r="H296" s="48"/>
      <c r="I296" s="130"/>
      <c r="J296" s="48"/>
      <c r="K296" s="48"/>
      <c r="L296" s="48"/>
      <c r="M296" s="48"/>
      <c r="N296" s="48"/>
      <c r="O296" s="29"/>
      <c r="P296" s="18"/>
      <c r="Q296" s="18"/>
    </row>
    <row r="297" spans="1:17" s="17" customFormat="1" ht="11.25">
      <c r="A297" s="170"/>
      <c r="B297" s="170"/>
      <c r="C297" s="170"/>
      <c r="D297" s="171"/>
      <c r="E297" s="171"/>
      <c r="F297" s="170"/>
      <c r="G297" s="170"/>
      <c r="H297" s="170"/>
      <c r="I297" s="172"/>
      <c r="J297" s="170"/>
      <c r="K297" s="170"/>
      <c r="L297" s="170"/>
      <c r="M297" s="170"/>
      <c r="N297" s="170"/>
      <c r="O297" s="29"/>
      <c r="P297" s="18"/>
      <c r="Q297" s="18"/>
    </row>
    <row r="298" spans="1:17">
      <c r="A298" s="174" t="s">
        <v>149</v>
      </c>
      <c r="B298" s="174" t="s">
        <v>149</v>
      </c>
      <c r="C298" s="174" t="s">
        <v>149</v>
      </c>
      <c r="D298" s="174" t="s">
        <v>149</v>
      </c>
      <c r="E298" s="174" t="s">
        <v>149</v>
      </c>
      <c r="F298" s="174" t="s">
        <v>149</v>
      </c>
      <c r="G298" s="174" t="s">
        <v>149</v>
      </c>
      <c r="H298" s="174" t="s">
        <v>149</v>
      </c>
      <c r="I298" s="174" t="s">
        <v>149</v>
      </c>
      <c r="J298" s="174" t="s">
        <v>149</v>
      </c>
      <c r="K298" s="174" t="s">
        <v>149</v>
      </c>
      <c r="L298" s="174" t="s">
        <v>149</v>
      </c>
      <c r="M298" s="174" t="s">
        <v>149</v>
      </c>
      <c r="N298" s="174" t="s">
        <v>149</v>
      </c>
    </row>
  </sheetData>
  <pageMargins left="0.511811024" right="0.511811024" top="0.78740157499999996" bottom="0.78740157499999996" header="0.31496062000000002" footer="0.31496062000000002"/>
  <pageSetup paperSize="5"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5"/>
  <dimension ref="A1:S634"/>
  <sheetViews>
    <sheetView showGridLines="0" tabSelected="1" topLeftCell="A141" zoomScale="60" zoomScaleNormal="60" workbookViewId="0">
      <pane xSplit="6" ySplit="5" topLeftCell="G146" activePane="bottomRight" state="frozen"/>
      <selection activeCell="C13" sqref="C13"/>
      <selection pane="bottomLeft" activeCell="C13" sqref="C13"/>
      <selection pane="topRight" activeCell="C13" sqref="C13"/>
      <selection pane="bottomRight" activeCell="A147" sqref="A147"/>
    </sheetView>
  </sheetViews>
  <sheetFormatPr defaultColWidth="9" defaultRowHeight="23.25" customHeight="1" outlineLevelRow="1"/>
  <cols>
    <col min="1" max="1" width="13" style="68" customWidth="1"/>
    <col min="2" max="2" width="11.75" style="68" customWidth="1"/>
    <col min="3" max="3" width="43.75" style="68" customWidth="1"/>
    <col min="4" max="4" width="9.25" style="68" customWidth="1"/>
    <col min="5" max="5" width="7.875" style="68" customWidth="1"/>
    <col min="6" max="6" width="63.75" style="68" customWidth="1"/>
    <col min="7" max="9" width="15.75" style="68" customWidth="1"/>
    <col min="10" max="10" width="12.5" style="68" customWidth="1"/>
    <col min="11" max="11" width="13.875" style="71" customWidth="1"/>
    <col min="12" max="12" width="15.5" style="68" customWidth="1"/>
    <col min="13" max="13" width="13.875" style="68" customWidth="1"/>
    <col min="14" max="14" width="11" style="68" customWidth="1"/>
    <col min="15" max="15" width="12.375" style="68" customWidth="1"/>
    <col min="16" max="18" width="9.375" style="68" customWidth="1"/>
    <col min="19" max="19" width="24.25" style="68" customWidth="1"/>
    <col min="20" max="20" width="20.625" style="65" customWidth="1"/>
    <col min="21" max="16384" width="9" style="65"/>
  </cols>
  <sheetData>
    <row r="1" spans="1:19" ht="15.75" hidden="1" outlineLevel="1" thickBot="1">
      <c r="A1" s="52" t="s">
        <v>64</v>
      </c>
      <c r="B1" s="85"/>
      <c r="C1" s="85" t="s">
        <v>64</v>
      </c>
      <c r="D1" s="85" t="s">
        <v>150</v>
      </c>
      <c r="E1" s="85" t="s">
        <v>64</v>
      </c>
      <c r="F1" s="85" t="s">
        <v>150</v>
      </c>
      <c r="G1" s="85" t="s">
        <v>62</v>
      </c>
      <c r="H1" s="85" t="s">
        <v>151</v>
      </c>
      <c r="I1" s="85" t="s">
        <v>152</v>
      </c>
      <c r="K1" s="68" t="s">
        <v>153</v>
      </c>
      <c r="L1" s="68" t="s">
        <v>154</v>
      </c>
      <c r="R1" s="65"/>
      <c r="S1" s="65"/>
    </row>
    <row r="2" spans="1:19" ht="3.95" hidden="1" customHeight="1" outlineLevel="1">
      <c r="A2" s="82" t="s">
        <v>155</v>
      </c>
      <c r="B2" s="136"/>
      <c r="C2" s="86" t="s">
        <v>155</v>
      </c>
      <c r="D2" s="92" t="s">
        <v>156</v>
      </c>
      <c r="E2" s="101" t="s">
        <v>155</v>
      </c>
      <c r="F2" s="102" t="s">
        <v>156</v>
      </c>
      <c r="G2" s="103" t="s">
        <v>157</v>
      </c>
      <c r="H2" s="104" t="str">
        <f t="shared" ref="H2:H19" si="0">E2&amp;F2&amp;G2</f>
        <v>ABAPConversão (carga)Baixa</v>
      </c>
      <c r="I2" s="105"/>
      <c r="K2" s="68" t="s">
        <v>158</v>
      </c>
      <c r="L2" s="77"/>
      <c r="R2" s="65"/>
      <c r="S2" s="65"/>
    </row>
    <row r="3" spans="1:19" ht="3.95" hidden="1" customHeight="1" outlineLevel="1">
      <c r="A3" s="82" t="s">
        <v>159</v>
      </c>
      <c r="B3" s="137"/>
      <c r="C3" s="87" t="s">
        <v>155</v>
      </c>
      <c r="D3" s="93" t="s">
        <v>160</v>
      </c>
      <c r="E3" s="106" t="s">
        <v>155</v>
      </c>
      <c r="F3" s="107" t="s">
        <v>156</v>
      </c>
      <c r="G3" s="108" t="s">
        <v>161</v>
      </c>
      <c r="H3" s="109" t="str">
        <f t="shared" si="0"/>
        <v>ABAPConversão (carga)Média</v>
      </c>
      <c r="I3" s="110"/>
      <c r="K3" s="68" t="s">
        <v>162</v>
      </c>
      <c r="L3" s="77"/>
      <c r="R3" s="65"/>
      <c r="S3" s="65"/>
    </row>
    <row r="4" spans="1:19" ht="3.95" hidden="1" customHeight="1" outlineLevel="1">
      <c r="A4" s="83" t="s">
        <v>163</v>
      </c>
      <c r="B4" s="138"/>
      <c r="C4" s="87" t="s">
        <v>155</v>
      </c>
      <c r="D4" s="93" t="s">
        <v>164</v>
      </c>
      <c r="E4" s="106" t="s">
        <v>155</v>
      </c>
      <c r="F4" s="107" t="s">
        <v>156</v>
      </c>
      <c r="G4" s="108" t="s">
        <v>165</v>
      </c>
      <c r="H4" s="109" t="str">
        <f t="shared" si="0"/>
        <v>ABAPConversão (carga)Alta</v>
      </c>
      <c r="I4" s="110"/>
      <c r="K4" s="68" t="s">
        <v>166</v>
      </c>
      <c r="L4" s="77"/>
      <c r="R4" s="65"/>
      <c r="S4" s="65"/>
    </row>
    <row r="5" spans="1:19" ht="3.95" hidden="1" customHeight="1" outlineLevel="1">
      <c r="A5" s="83" t="s">
        <v>167</v>
      </c>
      <c r="B5" s="138"/>
      <c r="C5" s="87" t="s">
        <v>155</v>
      </c>
      <c r="D5" s="93" t="s">
        <v>168</v>
      </c>
      <c r="E5" s="106" t="s">
        <v>155</v>
      </c>
      <c r="F5" s="107" t="s">
        <v>160</v>
      </c>
      <c r="G5" s="108" t="s">
        <v>157</v>
      </c>
      <c r="H5" s="109" t="str">
        <f t="shared" si="0"/>
        <v>ABAPConversão (extração)Baixa</v>
      </c>
      <c r="I5" s="110"/>
      <c r="K5" s="68"/>
      <c r="R5" s="65"/>
      <c r="S5" s="65"/>
    </row>
    <row r="6" spans="1:19" ht="3.95" hidden="1" customHeight="1" outlineLevel="1">
      <c r="A6" s="84" t="s">
        <v>169</v>
      </c>
      <c r="B6" s="139"/>
      <c r="C6" s="87" t="s">
        <v>155</v>
      </c>
      <c r="D6" s="93" t="s">
        <v>170</v>
      </c>
      <c r="E6" s="106" t="s">
        <v>155</v>
      </c>
      <c r="F6" s="107" t="s">
        <v>160</v>
      </c>
      <c r="G6" s="108" t="s">
        <v>161</v>
      </c>
      <c r="H6" s="109" t="str">
        <f t="shared" si="0"/>
        <v>ABAPConversão (extração)Média</v>
      </c>
      <c r="I6" s="110"/>
      <c r="K6" s="68" t="s">
        <v>171</v>
      </c>
      <c r="L6" s="68" t="s">
        <v>154</v>
      </c>
      <c r="R6" s="65"/>
      <c r="S6" s="65"/>
    </row>
    <row r="7" spans="1:19" ht="3.95" hidden="1" customHeight="1" outlineLevel="1">
      <c r="A7" s="84" t="s">
        <v>172</v>
      </c>
      <c r="B7" s="139"/>
      <c r="C7" s="87" t="s">
        <v>155</v>
      </c>
      <c r="D7" s="93" t="s">
        <v>173</v>
      </c>
      <c r="E7" s="106" t="s">
        <v>155</v>
      </c>
      <c r="F7" s="107" t="s">
        <v>160</v>
      </c>
      <c r="G7" s="108" t="s">
        <v>165</v>
      </c>
      <c r="H7" s="109" t="str">
        <f t="shared" si="0"/>
        <v>ABAPConversão (extração)Alta</v>
      </c>
      <c r="I7" s="110"/>
      <c r="K7" s="68" t="s">
        <v>174</v>
      </c>
      <c r="L7" s="77"/>
      <c r="R7" s="65"/>
      <c r="S7" s="65"/>
    </row>
    <row r="8" spans="1:19" ht="3.95" hidden="1" customHeight="1" outlineLevel="1">
      <c r="A8" s="83" t="s">
        <v>175</v>
      </c>
      <c r="B8" s="138"/>
      <c r="C8" s="87" t="s">
        <v>155</v>
      </c>
      <c r="D8" s="93" t="s">
        <v>176</v>
      </c>
      <c r="E8" s="106" t="s">
        <v>155</v>
      </c>
      <c r="F8" s="107" t="s">
        <v>164</v>
      </c>
      <c r="G8" s="108" t="s">
        <v>157</v>
      </c>
      <c r="H8" s="109" t="str">
        <f t="shared" si="0"/>
        <v>ABAPEnhacementBaixa</v>
      </c>
      <c r="I8" s="111"/>
      <c r="K8" s="68" t="s">
        <v>177</v>
      </c>
      <c r="L8" s="77"/>
      <c r="R8" s="65"/>
      <c r="S8" s="65"/>
    </row>
    <row r="9" spans="1:19" ht="3.95" hidden="1" customHeight="1" outlineLevel="1">
      <c r="A9" s="83" t="s">
        <v>178</v>
      </c>
      <c r="B9" s="138"/>
      <c r="C9" s="87" t="s">
        <v>155</v>
      </c>
      <c r="D9" s="93" t="s">
        <v>179</v>
      </c>
      <c r="E9" s="106" t="s">
        <v>155</v>
      </c>
      <c r="F9" s="107" t="s">
        <v>164</v>
      </c>
      <c r="G9" s="108" t="s">
        <v>161</v>
      </c>
      <c r="H9" s="109" t="str">
        <f t="shared" si="0"/>
        <v>ABAPEnhacementMédia</v>
      </c>
      <c r="I9" s="111"/>
      <c r="K9" s="68" t="s">
        <v>180</v>
      </c>
      <c r="L9" s="77"/>
      <c r="R9" s="65"/>
      <c r="S9" s="65"/>
    </row>
    <row r="10" spans="1:19" ht="3.95" hidden="1" customHeight="1" outlineLevel="1">
      <c r="A10" s="84" t="s">
        <v>181</v>
      </c>
      <c r="B10" s="139"/>
      <c r="C10" s="87" t="s">
        <v>159</v>
      </c>
      <c r="D10" s="93" t="s">
        <v>164</v>
      </c>
      <c r="E10" s="106" t="s">
        <v>155</v>
      </c>
      <c r="F10" s="107" t="s">
        <v>164</v>
      </c>
      <c r="G10" s="108" t="s">
        <v>165</v>
      </c>
      <c r="H10" s="109" t="str">
        <f t="shared" si="0"/>
        <v>ABAPEnhacementAlta</v>
      </c>
      <c r="I10" s="111"/>
      <c r="K10" s="68"/>
      <c r="R10" s="65"/>
      <c r="S10" s="65"/>
    </row>
    <row r="11" spans="1:19" ht="3.95" hidden="1" customHeight="1" outlineLevel="1">
      <c r="A11" s="68" t="s">
        <v>182</v>
      </c>
      <c r="C11" s="87" t="s">
        <v>159</v>
      </c>
      <c r="D11" s="93" t="s">
        <v>168</v>
      </c>
      <c r="E11" s="106" t="s">
        <v>155</v>
      </c>
      <c r="F11" s="107" t="s">
        <v>168</v>
      </c>
      <c r="G11" s="108" t="s">
        <v>157</v>
      </c>
      <c r="H11" s="109" t="str">
        <f t="shared" si="0"/>
        <v>ABAPFormulário ou TelaBaixa</v>
      </c>
      <c r="I11" s="111"/>
      <c r="K11" s="68" t="s">
        <v>183</v>
      </c>
      <c r="L11" s="68" t="s">
        <v>154</v>
      </c>
      <c r="R11" s="65"/>
      <c r="S11" s="65"/>
    </row>
    <row r="12" spans="1:19" ht="3.95" hidden="1" customHeight="1" outlineLevel="1">
      <c r="C12" s="87" t="s">
        <v>159</v>
      </c>
      <c r="D12" s="93" t="s">
        <v>176</v>
      </c>
      <c r="E12" s="106" t="s">
        <v>155</v>
      </c>
      <c r="F12" s="107" t="s">
        <v>168</v>
      </c>
      <c r="G12" s="108" t="s">
        <v>161</v>
      </c>
      <c r="H12" s="109" t="str">
        <f t="shared" si="0"/>
        <v>ABAPFormulário ou TelaMédia</v>
      </c>
      <c r="I12" s="111"/>
      <c r="K12" s="68" t="s">
        <v>184</v>
      </c>
      <c r="L12" s="77"/>
      <c r="R12" s="65"/>
      <c r="S12" s="65"/>
    </row>
    <row r="13" spans="1:19" ht="3.95" hidden="1" customHeight="1" outlineLevel="1">
      <c r="A13" s="65"/>
      <c r="B13" s="65"/>
      <c r="C13" s="87" t="s">
        <v>159</v>
      </c>
      <c r="D13" s="93" t="s">
        <v>179</v>
      </c>
      <c r="E13" s="106" t="s">
        <v>155</v>
      </c>
      <c r="F13" s="107" t="s">
        <v>168</v>
      </c>
      <c r="G13" s="108" t="s">
        <v>165</v>
      </c>
      <c r="H13" s="109" t="str">
        <f t="shared" si="0"/>
        <v>ABAPFormulário ou TelaAlta</v>
      </c>
      <c r="I13" s="111"/>
      <c r="K13" s="68" t="s">
        <v>185</v>
      </c>
      <c r="L13" s="77"/>
      <c r="R13" s="65"/>
      <c r="S13" s="65"/>
    </row>
    <row r="14" spans="1:19" ht="3.95" hidden="1" customHeight="1" outlineLevel="1">
      <c r="A14" s="65"/>
      <c r="B14" s="65"/>
      <c r="C14" s="88" t="s">
        <v>163</v>
      </c>
      <c r="D14" s="94" t="s">
        <v>186</v>
      </c>
      <c r="E14" s="106" t="s">
        <v>155</v>
      </c>
      <c r="F14" s="107" t="s">
        <v>170</v>
      </c>
      <c r="G14" s="108" t="s">
        <v>157</v>
      </c>
      <c r="H14" s="109" t="str">
        <f t="shared" si="0"/>
        <v>ABAPInterface InboundBaixa</v>
      </c>
      <c r="I14" s="111"/>
      <c r="K14" s="68"/>
      <c r="R14" s="65"/>
      <c r="S14" s="65"/>
    </row>
    <row r="15" spans="1:19" ht="3.95" hidden="1" customHeight="1" outlineLevel="1">
      <c r="A15" s="65"/>
      <c r="B15" s="65"/>
      <c r="C15" s="88" t="s">
        <v>163</v>
      </c>
      <c r="D15" s="94" t="s">
        <v>187</v>
      </c>
      <c r="E15" s="106" t="s">
        <v>155</v>
      </c>
      <c r="F15" s="107" t="s">
        <v>170</v>
      </c>
      <c r="G15" s="108" t="s">
        <v>161</v>
      </c>
      <c r="H15" s="109" t="str">
        <f t="shared" si="0"/>
        <v>ABAPInterface InboundMédia</v>
      </c>
      <c r="I15" s="111"/>
      <c r="K15" s="68"/>
      <c r="R15" s="65"/>
      <c r="S15" s="65"/>
    </row>
    <row r="16" spans="1:19" ht="3.95" hidden="1" customHeight="1" outlineLevel="1">
      <c r="A16" s="65"/>
      <c r="B16" s="65"/>
      <c r="C16" s="88" t="s">
        <v>163</v>
      </c>
      <c r="D16" s="94" t="s">
        <v>188</v>
      </c>
      <c r="E16" s="106" t="s">
        <v>155</v>
      </c>
      <c r="F16" s="107" t="s">
        <v>170</v>
      </c>
      <c r="G16" s="108" t="s">
        <v>165</v>
      </c>
      <c r="H16" s="109" t="str">
        <f t="shared" si="0"/>
        <v>ABAPInterface InboundAlta</v>
      </c>
      <c r="I16" s="111"/>
      <c r="K16" s="68"/>
      <c r="R16" s="65"/>
      <c r="S16" s="65"/>
    </row>
    <row r="17" spans="1:19" ht="3.95" hidden="1" customHeight="1" outlineLevel="1">
      <c r="A17" s="65"/>
      <c r="B17" s="65"/>
      <c r="C17" s="89" t="s">
        <v>167</v>
      </c>
      <c r="D17" s="95" t="s">
        <v>189</v>
      </c>
      <c r="E17" s="106" t="s">
        <v>155</v>
      </c>
      <c r="F17" s="107" t="s">
        <v>173</v>
      </c>
      <c r="G17" s="108" t="s">
        <v>157</v>
      </c>
      <c r="H17" s="109" t="str">
        <f t="shared" si="0"/>
        <v>ABAPInterface OutboundBaixa</v>
      </c>
      <c r="I17" s="111"/>
      <c r="K17" s="68"/>
      <c r="R17" s="65"/>
      <c r="S17" s="65"/>
    </row>
    <row r="18" spans="1:19" ht="3.95" hidden="1" customHeight="1" outlineLevel="1">
      <c r="A18" s="65"/>
      <c r="B18" s="65"/>
      <c r="C18" s="88" t="s">
        <v>167</v>
      </c>
      <c r="D18" s="96" t="s">
        <v>190</v>
      </c>
      <c r="E18" s="106" t="s">
        <v>155</v>
      </c>
      <c r="F18" s="107" t="s">
        <v>173</v>
      </c>
      <c r="G18" s="108" t="s">
        <v>161</v>
      </c>
      <c r="H18" s="109" t="str">
        <f t="shared" si="0"/>
        <v>ABAPInterface OutboundMédia</v>
      </c>
      <c r="I18" s="111"/>
      <c r="K18" s="68"/>
      <c r="R18" s="65"/>
      <c r="S18" s="65"/>
    </row>
    <row r="19" spans="1:19" ht="3.95" hidden="1" customHeight="1" outlineLevel="1">
      <c r="A19" s="65"/>
      <c r="B19" s="65"/>
      <c r="C19" s="88" t="s">
        <v>167</v>
      </c>
      <c r="D19" s="96" t="s">
        <v>191</v>
      </c>
      <c r="E19" s="106" t="s">
        <v>155</v>
      </c>
      <c r="F19" s="107" t="s">
        <v>173</v>
      </c>
      <c r="G19" s="108" t="s">
        <v>165</v>
      </c>
      <c r="H19" s="109" t="str">
        <f t="shared" si="0"/>
        <v>ABAPInterface OutboundAlta</v>
      </c>
      <c r="I19" s="111"/>
      <c r="K19" s="68"/>
      <c r="R19" s="65"/>
      <c r="S19" s="65"/>
    </row>
    <row r="20" spans="1:19" ht="3.95" hidden="1" customHeight="1" outlineLevel="1">
      <c r="A20" s="65"/>
      <c r="B20" s="65"/>
      <c r="C20" s="88" t="s">
        <v>167</v>
      </c>
      <c r="D20" s="96" t="s">
        <v>192</v>
      </c>
      <c r="E20" s="106" t="s">
        <v>155</v>
      </c>
      <c r="F20" s="107" t="s">
        <v>176</v>
      </c>
      <c r="G20" s="108" t="s">
        <v>157</v>
      </c>
      <c r="H20" s="109" t="str">
        <f t="shared" ref="H20:H22" si="1">E20&amp;F20&amp;G20</f>
        <v>ABAPOutrosBaixa</v>
      </c>
      <c r="I20" s="110"/>
      <c r="K20" s="68"/>
      <c r="R20" s="65"/>
      <c r="S20" s="65"/>
    </row>
    <row r="21" spans="1:19" ht="3.95" hidden="1" customHeight="1" outlineLevel="1">
      <c r="A21" s="65"/>
      <c r="B21" s="65"/>
      <c r="C21" s="88" t="s">
        <v>167</v>
      </c>
      <c r="D21" s="96" t="s">
        <v>193</v>
      </c>
      <c r="E21" s="106" t="s">
        <v>155</v>
      </c>
      <c r="F21" s="107" t="s">
        <v>176</v>
      </c>
      <c r="G21" s="108" t="s">
        <v>161</v>
      </c>
      <c r="H21" s="109" t="str">
        <f t="shared" si="1"/>
        <v>ABAPOutrosMédia</v>
      </c>
      <c r="I21" s="110"/>
      <c r="K21" s="68"/>
      <c r="R21" s="65"/>
      <c r="S21" s="65"/>
    </row>
    <row r="22" spans="1:19" ht="3.95" hidden="1" customHeight="1" outlineLevel="1">
      <c r="A22" s="65"/>
      <c r="B22" s="65"/>
      <c r="C22" s="90" t="s">
        <v>169</v>
      </c>
      <c r="D22" s="97" t="s">
        <v>156</v>
      </c>
      <c r="E22" s="106" t="s">
        <v>155</v>
      </c>
      <c r="F22" s="107" t="s">
        <v>176</v>
      </c>
      <c r="G22" s="108" t="s">
        <v>165</v>
      </c>
      <c r="H22" s="109" t="str">
        <f t="shared" si="1"/>
        <v>ABAPOutrosAlta</v>
      </c>
      <c r="I22" s="110"/>
      <c r="K22" s="68"/>
      <c r="R22" s="65"/>
      <c r="S22" s="65"/>
    </row>
    <row r="23" spans="1:19" ht="3.95" hidden="1" customHeight="1" outlineLevel="1">
      <c r="A23" s="65"/>
      <c r="B23" s="65"/>
      <c r="C23" s="90" t="s">
        <v>169</v>
      </c>
      <c r="D23" s="97" t="s">
        <v>160</v>
      </c>
      <c r="E23" s="106" t="s">
        <v>155</v>
      </c>
      <c r="F23" s="107" t="s">
        <v>179</v>
      </c>
      <c r="G23" s="108" t="s">
        <v>157</v>
      </c>
      <c r="H23" s="109" t="str">
        <f t="shared" ref="H23:H31" si="2">E23&amp;F23&amp;G23</f>
        <v>ABAPRelatórioBaixa</v>
      </c>
      <c r="I23" s="111"/>
      <c r="K23" s="68"/>
      <c r="R23" s="65"/>
      <c r="S23" s="65"/>
    </row>
    <row r="24" spans="1:19" ht="3.95" hidden="1" customHeight="1" outlineLevel="1">
      <c r="A24" s="65"/>
      <c r="B24" s="65"/>
      <c r="C24" s="90" t="s">
        <v>169</v>
      </c>
      <c r="D24" s="97" t="s">
        <v>194</v>
      </c>
      <c r="E24" s="106" t="s">
        <v>155</v>
      </c>
      <c r="F24" s="107" t="s">
        <v>179</v>
      </c>
      <c r="G24" s="108" t="s">
        <v>161</v>
      </c>
      <c r="H24" s="109" t="str">
        <f t="shared" si="2"/>
        <v>ABAPRelatórioMédia</v>
      </c>
      <c r="I24" s="111"/>
      <c r="K24" s="68"/>
      <c r="R24" s="65"/>
      <c r="S24" s="65"/>
    </row>
    <row r="25" spans="1:19" ht="3.95" hidden="1" customHeight="1" outlineLevel="1">
      <c r="A25" s="65"/>
      <c r="B25" s="65"/>
      <c r="C25" s="90" t="s">
        <v>169</v>
      </c>
      <c r="D25" s="97" t="s">
        <v>168</v>
      </c>
      <c r="E25" s="106" t="s">
        <v>155</v>
      </c>
      <c r="F25" s="107" t="s">
        <v>179</v>
      </c>
      <c r="G25" s="108" t="s">
        <v>165</v>
      </c>
      <c r="H25" s="109" t="str">
        <f t="shared" si="2"/>
        <v>ABAPRelatórioAlta</v>
      </c>
      <c r="I25" s="111"/>
      <c r="K25" s="68"/>
      <c r="R25" s="65"/>
      <c r="S25" s="65"/>
    </row>
    <row r="26" spans="1:19" ht="3.95" hidden="1" customHeight="1" outlineLevel="1">
      <c r="A26" s="65"/>
      <c r="B26" s="65"/>
      <c r="C26" s="90" t="s">
        <v>169</v>
      </c>
      <c r="D26" s="97" t="s">
        <v>170</v>
      </c>
      <c r="E26" s="106" t="s">
        <v>159</v>
      </c>
      <c r="F26" s="107" t="s">
        <v>164</v>
      </c>
      <c r="G26" s="108" t="s">
        <v>157</v>
      </c>
      <c r="H26" s="109" t="str">
        <f t="shared" si="2"/>
        <v>ABAP+BOLEnhacementBaixa</v>
      </c>
      <c r="I26" s="111"/>
      <c r="K26" s="68"/>
      <c r="R26" s="65"/>
      <c r="S26" s="65"/>
    </row>
    <row r="27" spans="1:19" ht="3.95" hidden="1" customHeight="1" outlineLevel="1">
      <c r="A27" s="65"/>
      <c r="B27" s="65"/>
      <c r="C27" s="90" t="s">
        <v>169</v>
      </c>
      <c r="D27" s="97" t="s">
        <v>173</v>
      </c>
      <c r="E27" s="106" t="s">
        <v>159</v>
      </c>
      <c r="F27" s="107" t="s">
        <v>164</v>
      </c>
      <c r="G27" s="108" t="s">
        <v>161</v>
      </c>
      <c r="H27" s="109" t="str">
        <f t="shared" si="2"/>
        <v>ABAP+BOLEnhacementMédia</v>
      </c>
      <c r="I27" s="111"/>
      <c r="K27" s="68"/>
      <c r="R27" s="65"/>
      <c r="S27" s="65"/>
    </row>
    <row r="28" spans="1:19" ht="3.95" hidden="1" customHeight="1" outlineLevel="1">
      <c r="A28" s="65"/>
      <c r="B28" s="65"/>
      <c r="C28" s="90" t="s">
        <v>169</v>
      </c>
      <c r="D28" s="98" t="s">
        <v>176</v>
      </c>
      <c r="E28" s="106" t="s">
        <v>159</v>
      </c>
      <c r="F28" s="107" t="s">
        <v>164</v>
      </c>
      <c r="G28" s="108" t="s">
        <v>165</v>
      </c>
      <c r="H28" s="109" t="str">
        <f t="shared" si="2"/>
        <v>ABAP+BOLEnhacementAlta</v>
      </c>
      <c r="I28" s="111"/>
      <c r="K28" s="68"/>
      <c r="R28" s="65"/>
      <c r="S28" s="65"/>
    </row>
    <row r="29" spans="1:19" ht="3.95" hidden="1" customHeight="1" outlineLevel="1">
      <c r="A29" s="65"/>
      <c r="B29" s="65"/>
      <c r="C29" s="90" t="s">
        <v>169</v>
      </c>
      <c r="D29" s="97" t="s">
        <v>179</v>
      </c>
      <c r="E29" s="106" t="s">
        <v>159</v>
      </c>
      <c r="F29" s="107" t="s">
        <v>168</v>
      </c>
      <c r="G29" s="108" t="s">
        <v>157</v>
      </c>
      <c r="H29" s="109" t="str">
        <f t="shared" si="2"/>
        <v>ABAP+BOLFormulário ou TelaBaixa</v>
      </c>
      <c r="I29" s="111"/>
      <c r="K29" s="68"/>
      <c r="R29" s="65"/>
      <c r="S29" s="65"/>
    </row>
    <row r="30" spans="1:19" ht="3.95" hidden="1" customHeight="1" outlineLevel="1">
      <c r="A30" s="65"/>
      <c r="B30" s="65"/>
      <c r="C30" s="90" t="s">
        <v>172</v>
      </c>
      <c r="D30" s="97" t="s">
        <v>194</v>
      </c>
      <c r="E30" s="106" t="s">
        <v>159</v>
      </c>
      <c r="F30" s="107" t="s">
        <v>168</v>
      </c>
      <c r="G30" s="108" t="s">
        <v>161</v>
      </c>
      <c r="H30" s="109" t="str">
        <f t="shared" si="2"/>
        <v>ABAP+BOLFormulário ou TelaMédia</v>
      </c>
      <c r="I30" s="111"/>
      <c r="K30" s="68"/>
      <c r="R30" s="65"/>
      <c r="S30" s="65"/>
    </row>
    <row r="31" spans="1:19" ht="3.95" hidden="1" customHeight="1" outlineLevel="1">
      <c r="A31" s="65"/>
      <c r="B31" s="65"/>
      <c r="C31" s="90" t="s">
        <v>172</v>
      </c>
      <c r="D31" s="97" t="s">
        <v>168</v>
      </c>
      <c r="E31" s="106" t="s">
        <v>159</v>
      </c>
      <c r="F31" s="107" t="s">
        <v>168</v>
      </c>
      <c r="G31" s="108" t="s">
        <v>165</v>
      </c>
      <c r="H31" s="109" t="str">
        <f t="shared" si="2"/>
        <v>ABAP+BOLFormulário ou TelaAlta</v>
      </c>
      <c r="I31" s="111"/>
      <c r="K31" s="68"/>
      <c r="R31" s="65"/>
      <c r="S31" s="65"/>
    </row>
    <row r="32" spans="1:19" ht="3.95" hidden="1" customHeight="1" outlineLevel="1">
      <c r="A32" s="65"/>
      <c r="B32" s="65"/>
      <c r="C32" s="90" t="s">
        <v>172</v>
      </c>
      <c r="D32" s="97" t="s">
        <v>170</v>
      </c>
      <c r="E32" s="106" t="s">
        <v>159</v>
      </c>
      <c r="F32" s="107" t="s">
        <v>176</v>
      </c>
      <c r="G32" s="108" t="s">
        <v>157</v>
      </c>
      <c r="H32" s="109" t="str">
        <f t="shared" ref="H32:H34" si="3">E32&amp;F32&amp;G32</f>
        <v>ABAP+BOLOutrosBaixa</v>
      </c>
      <c r="I32" s="111"/>
      <c r="K32" s="68"/>
      <c r="R32" s="65"/>
      <c r="S32" s="65"/>
    </row>
    <row r="33" spans="1:19" ht="3.95" hidden="1" customHeight="1" outlineLevel="1">
      <c r="A33" s="65"/>
      <c r="B33" s="65"/>
      <c r="C33" s="90" t="s">
        <v>172</v>
      </c>
      <c r="D33" s="98" t="s">
        <v>176</v>
      </c>
      <c r="E33" s="106" t="s">
        <v>159</v>
      </c>
      <c r="F33" s="107" t="s">
        <v>176</v>
      </c>
      <c r="G33" s="108" t="s">
        <v>161</v>
      </c>
      <c r="H33" s="109" t="str">
        <f t="shared" si="3"/>
        <v>ABAP+BOLOutrosMédia</v>
      </c>
      <c r="I33" s="111"/>
      <c r="K33" s="68"/>
      <c r="R33" s="65"/>
      <c r="S33" s="65"/>
    </row>
    <row r="34" spans="1:19" ht="3.95" hidden="1" customHeight="1" outlineLevel="1">
      <c r="A34" s="65"/>
      <c r="B34" s="65"/>
      <c r="C34" s="90" t="s">
        <v>172</v>
      </c>
      <c r="D34" s="97" t="s">
        <v>179</v>
      </c>
      <c r="E34" s="106" t="s">
        <v>159</v>
      </c>
      <c r="F34" s="107" t="s">
        <v>176</v>
      </c>
      <c r="G34" s="108" t="s">
        <v>165</v>
      </c>
      <c r="H34" s="109" t="str">
        <f t="shared" si="3"/>
        <v>ABAP+BOLOutrosAlta</v>
      </c>
      <c r="I34" s="111"/>
      <c r="K34" s="68"/>
      <c r="R34" s="65"/>
      <c r="S34" s="65"/>
    </row>
    <row r="35" spans="1:19" ht="3.95" hidden="1" customHeight="1" outlineLevel="1">
      <c r="A35" s="65"/>
      <c r="B35" s="65"/>
      <c r="C35" s="87"/>
      <c r="D35" s="93"/>
      <c r="E35" s="106" t="s">
        <v>159</v>
      </c>
      <c r="F35" s="107" t="s">
        <v>179</v>
      </c>
      <c r="G35" s="108" t="s">
        <v>157</v>
      </c>
      <c r="H35" s="109" t="str">
        <f t="shared" ref="H35:H66" si="4">E35&amp;F35&amp;G35</f>
        <v>ABAP+BOLRelatórioBaixa</v>
      </c>
      <c r="I35" s="111"/>
      <c r="K35" s="68"/>
      <c r="R35" s="65"/>
      <c r="S35" s="65"/>
    </row>
    <row r="36" spans="1:19" ht="3.95" hidden="1" customHeight="1" outlineLevel="1">
      <c r="A36" s="65"/>
      <c r="B36" s="65"/>
      <c r="C36" s="87"/>
      <c r="D36" s="93"/>
      <c r="E36" s="106" t="s">
        <v>159</v>
      </c>
      <c r="F36" s="107" t="s">
        <v>179</v>
      </c>
      <c r="G36" s="108" t="s">
        <v>161</v>
      </c>
      <c r="H36" s="109" t="str">
        <f t="shared" si="4"/>
        <v>ABAP+BOLRelatórioMédia</v>
      </c>
      <c r="I36" s="111"/>
      <c r="K36" s="68"/>
      <c r="R36" s="65"/>
      <c r="S36" s="65"/>
    </row>
    <row r="37" spans="1:19" ht="3.95" hidden="1" customHeight="1" outlineLevel="1">
      <c r="A37" s="65"/>
      <c r="B37" s="65"/>
      <c r="C37" s="87"/>
      <c r="D37" s="93"/>
      <c r="E37" s="106" t="s">
        <v>159</v>
      </c>
      <c r="F37" s="107" t="s">
        <v>179</v>
      </c>
      <c r="G37" s="108" t="s">
        <v>165</v>
      </c>
      <c r="H37" s="109" t="str">
        <f t="shared" si="4"/>
        <v>ABAP+BOLRelatórioAlta</v>
      </c>
      <c r="I37" s="111"/>
      <c r="K37" s="68"/>
      <c r="R37" s="65"/>
      <c r="S37" s="65"/>
    </row>
    <row r="38" spans="1:19" ht="3.95" hidden="1" customHeight="1" outlineLevel="1">
      <c r="A38" s="65"/>
      <c r="B38" s="65"/>
      <c r="C38" s="87"/>
      <c r="D38" s="93"/>
      <c r="E38" s="112" t="s">
        <v>163</v>
      </c>
      <c r="F38" s="113" t="s">
        <v>186</v>
      </c>
      <c r="G38" s="113" t="s">
        <v>157</v>
      </c>
      <c r="H38" s="109" t="str">
        <f t="shared" si="4"/>
        <v>BOInformation SpacesBaixa</v>
      </c>
      <c r="I38" s="114"/>
      <c r="K38" s="68"/>
      <c r="R38" s="65"/>
      <c r="S38" s="65"/>
    </row>
    <row r="39" spans="1:19" ht="3.95" hidden="1" customHeight="1" outlineLevel="1">
      <c r="A39" s="65"/>
      <c r="B39" s="65"/>
      <c r="C39" s="87"/>
      <c r="D39" s="93"/>
      <c r="E39" s="112" t="s">
        <v>163</v>
      </c>
      <c r="F39" s="113" t="s">
        <v>186</v>
      </c>
      <c r="G39" s="113" t="s">
        <v>195</v>
      </c>
      <c r="H39" s="109" t="str">
        <f t="shared" si="4"/>
        <v xml:space="preserve">BOInformation SpacesMédia </v>
      </c>
      <c r="I39" s="114"/>
      <c r="K39" s="68"/>
      <c r="R39" s="65"/>
      <c r="S39" s="65"/>
    </row>
    <row r="40" spans="1:19" ht="3.95" hidden="1" customHeight="1" outlineLevel="1">
      <c r="A40" s="65"/>
      <c r="B40" s="65"/>
      <c r="C40" s="87"/>
      <c r="D40" s="93"/>
      <c r="E40" s="112" t="s">
        <v>163</v>
      </c>
      <c r="F40" s="113" t="s">
        <v>186</v>
      </c>
      <c r="G40" s="113" t="s">
        <v>165</v>
      </c>
      <c r="H40" s="109" t="str">
        <f t="shared" si="4"/>
        <v>BOInformation SpacesAlta</v>
      </c>
      <c r="I40" s="114"/>
      <c r="K40" s="68"/>
      <c r="R40" s="65"/>
      <c r="S40" s="65"/>
    </row>
    <row r="41" spans="1:19" ht="3.95" hidden="1" customHeight="1" outlineLevel="1">
      <c r="A41" s="65"/>
      <c r="B41" s="65"/>
      <c r="C41" s="87"/>
      <c r="D41" s="93"/>
      <c r="E41" s="112" t="s">
        <v>163</v>
      </c>
      <c r="F41" s="113" t="s">
        <v>187</v>
      </c>
      <c r="G41" s="113" t="s">
        <v>157</v>
      </c>
      <c r="H41" s="109" t="str">
        <f t="shared" si="4"/>
        <v>BORelatóriosBaixa</v>
      </c>
      <c r="I41" s="114"/>
      <c r="K41" s="68"/>
      <c r="R41" s="65"/>
      <c r="S41" s="65"/>
    </row>
    <row r="42" spans="1:19" ht="3.95" hidden="1" customHeight="1" outlineLevel="1">
      <c r="A42" s="65"/>
      <c r="B42" s="65"/>
      <c r="C42" s="87"/>
      <c r="D42" s="93"/>
      <c r="E42" s="112" t="s">
        <v>163</v>
      </c>
      <c r="F42" s="113" t="s">
        <v>187</v>
      </c>
      <c r="G42" s="113" t="s">
        <v>195</v>
      </c>
      <c r="H42" s="109" t="str">
        <f t="shared" si="4"/>
        <v xml:space="preserve">BORelatóriosMédia </v>
      </c>
      <c r="I42" s="114"/>
      <c r="K42" s="68"/>
      <c r="R42" s="65"/>
      <c r="S42" s="65"/>
    </row>
    <row r="43" spans="1:19" ht="3.95" hidden="1" customHeight="1" outlineLevel="1">
      <c r="A43" s="65"/>
      <c r="B43" s="65"/>
      <c r="C43" s="88" t="s">
        <v>175</v>
      </c>
      <c r="D43" s="99" t="s">
        <v>196</v>
      </c>
      <c r="E43" s="112" t="s">
        <v>163</v>
      </c>
      <c r="F43" s="113" t="s">
        <v>187</v>
      </c>
      <c r="G43" s="113" t="s">
        <v>165</v>
      </c>
      <c r="H43" s="109" t="str">
        <f t="shared" si="4"/>
        <v>BORelatóriosAlta</v>
      </c>
      <c r="I43" s="114"/>
      <c r="K43" s="68"/>
      <c r="R43" s="65"/>
      <c r="S43" s="65"/>
    </row>
    <row r="44" spans="1:19" ht="3.95" hidden="1" customHeight="1" outlineLevel="1">
      <c r="A44" s="65"/>
      <c r="B44" s="65"/>
      <c r="C44" s="88" t="s">
        <v>175</v>
      </c>
      <c r="D44" s="99" t="s">
        <v>197</v>
      </c>
      <c r="E44" s="112" t="s">
        <v>163</v>
      </c>
      <c r="F44" s="113" t="s">
        <v>188</v>
      </c>
      <c r="G44" s="113" t="s">
        <v>157</v>
      </c>
      <c r="H44" s="109" t="str">
        <f t="shared" si="4"/>
        <v>BOUniversosBaixa</v>
      </c>
      <c r="I44" s="114"/>
      <c r="K44" s="68"/>
      <c r="R44" s="65"/>
      <c r="S44" s="65"/>
    </row>
    <row r="45" spans="1:19" ht="3.95" hidden="1" customHeight="1" outlineLevel="1">
      <c r="A45" s="65"/>
      <c r="B45" s="65"/>
      <c r="C45" s="88" t="s">
        <v>178</v>
      </c>
      <c r="D45" s="94" t="s">
        <v>197</v>
      </c>
      <c r="E45" s="112" t="s">
        <v>163</v>
      </c>
      <c r="F45" s="113" t="s">
        <v>188</v>
      </c>
      <c r="G45" s="113" t="s">
        <v>195</v>
      </c>
      <c r="H45" s="109" t="str">
        <f t="shared" si="4"/>
        <v xml:space="preserve">BOUniversosMédia </v>
      </c>
      <c r="I45" s="114"/>
      <c r="K45" s="68"/>
      <c r="R45" s="65"/>
      <c r="S45" s="65"/>
    </row>
    <row r="46" spans="1:19" ht="3.95" hidden="1" customHeight="1" outlineLevel="1">
      <c r="A46" s="65"/>
      <c r="B46" s="65"/>
      <c r="C46" s="90" t="s">
        <v>181</v>
      </c>
      <c r="D46" s="97" t="s">
        <v>156</v>
      </c>
      <c r="E46" s="112" t="s">
        <v>163</v>
      </c>
      <c r="F46" s="113" t="s">
        <v>188</v>
      </c>
      <c r="G46" s="113" t="s">
        <v>165</v>
      </c>
      <c r="H46" s="109" t="str">
        <f t="shared" si="4"/>
        <v>BOUniversosAlta</v>
      </c>
      <c r="I46" s="114"/>
      <c r="K46" s="68"/>
      <c r="R46" s="65"/>
      <c r="S46" s="65"/>
    </row>
    <row r="47" spans="1:19" ht="3.95" hidden="1" customHeight="1" outlineLevel="1">
      <c r="A47" s="65"/>
      <c r="B47" s="65"/>
      <c r="C47" s="90" t="s">
        <v>181</v>
      </c>
      <c r="D47" s="97" t="s">
        <v>160</v>
      </c>
      <c r="E47" s="115" t="s">
        <v>167</v>
      </c>
      <c r="F47" s="116" t="s">
        <v>189</v>
      </c>
      <c r="G47" s="113" t="s">
        <v>157</v>
      </c>
      <c r="H47" s="109" t="str">
        <f t="shared" si="4"/>
        <v>BWAnálise de ImpactoBaixa</v>
      </c>
      <c r="I47" s="117"/>
      <c r="K47" s="68"/>
      <c r="R47" s="65"/>
      <c r="S47" s="65"/>
    </row>
    <row r="48" spans="1:19" ht="3.95" hidden="1" customHeight="1" outlineLevel="1">
      <c r="A48" s="65"/>
      <c r="B48" s="65"/>
      <c r="C48" s="90" t="s">
        <v>181</v>
      </c>
      <c r="D48" s="97" t="s">
        <v>194</v>
      </c>
      <c r="E48" s="115" t="s">
        <v>167</v>
      </c>
      <c r="F48" s="116" t="s">
        <v>189</v>
      </c>
      <c r="G48" s="113" t="s">
        <v>195</v>
      </c>
      <c r="H48" s="109" t="str">
        <f t="shared" si="4"/>
        <v xml:space="preserve">BWAnálise de ImpactoMédia </v>
      </c>
      <c r="I48" s="117"/>
      <c r="K48" s="68"/>
      <c r="R48" s="65"/>
      <c r="S48" s="65"/>
    </row>
    <row r="49" spans="1:19" ht="3.95" hidden="1" customHeight="1" outlineLevel="1">
      <c r="A49" s="65"/>
      <c r="B49" s="65"/>
      <c r="C49" s="90" t="s">
        <v>181</v>
      </c>
      <c r="D49" s="97" t="s">
        <v>168</v>
      </c>
      <c r="E49" s="115" t="s">
        <v>167</v>
      </c>
      <c r="F49" s="116" t="s">
        <v>189</v>
      </c>
      <c r="G49" s="113" t="s">
        <v>165</v>
      </c>
      <c r="H49" s="109" t="str">
        <f t="shared" si="4"/>
        <v>BWAnálise de ImpactoAlta</v>
      </c>
      <c r="I49" s="117"/>
      <c r="K49" s="68"/>
      <c r="R49" s="65"/>
      <c r="S49" s="65"/>
    </row>
    <row r="50" spans="1:19" ht="3.95" hidden="1" customHeight="1" outlineLevel="1">
      <c r="A50" s="65"/>
      <c r="B50" s="65"/>
      <c r="C50" s="90" t="s">
        <v>181</v>
      </c>
      <c r="D50" s="97" t="s">
        <v>170</v>
      </c>
      <c r="E50" s="112" t="s">
        <v>167</v>
      </c>
      <c r="F50" s="118" t="s">
        <v>190</v>
      </c>
      <c r="G50" s="113" t="s">
        <v>157</v>
      </c>
      <c r="H50" s="109" t="str">
        <f t="shared" si="4"/>
        <v>BWExtrator não standard
fonte SAPBaixa</v>
      </c>
      <c r="I50" s="114"/>
      <c r="K50" s="68"/>
      <c r="R50" s="65"/>
      <c r="S50" s="65"/>
    </row>
    <row r="51" spans="1:19" ht="3.95" hidden="1" customHeight="1" outlineLevel="1">
      <c r="A51" s="65"/>
      <c r="B51" s="65"/>
      <c r="C51" s="90" t="s">
        <v>181</v>
      </c>
      <c r="D51" s="99" t="s">
        <v>176</v>
      </c>
      <c r="E51" s="112" t="s">
        <v>167</v>
      </c>
      <c r="F51" s="118" t="s">
        <v>190</v>
      </c>
      <c r="G51" s="113" t="s">
        <v>195</v>
      </c>
      <c r="H51" s="109" t="str">
        <f t="shared" si="4"/>
        <v xml:space="preserve">BWExtrator não standard
fonte SAPMédia </v>
      </c>
      <c r="I51" s="114"/>
      <c r="K51" s="68"/>
      <c r="R51" s="65"/>
      <c r="S51" s="65"/>
    </row>
    <row r="52" spans="1:19" ht="3.95" hidden="1" customHeight="1" outlineLevel="1">
      <c r="A52" s="65"/>
      <c r="B52" s="65"/>
      <c r="C52" s="90" t="s">
        <v>181</v>
      </c>
      <c r="D52" s="97" t="s">
        <v>179</v>
      </c>
      <c r="E52" s="112" t="s">
        <v>167</v>
      </c>
      <c r="F52" s="118" t="s">
        <v>190</v>
      </c>
      <c r="G52" s="113" t="s">
        <v>165</v>
      </c>
      <c r="H52" s="109" t="str">
        <f t="shared" si="4"/>
        <v>BWExtrator não standard
fonte SAPAlta</v>
      </c>
      <c r="I52" s="114"/>
      <c r="K52" s="68"/>
      <c r="R52" s="65"/>
      <c r="S52" s="65"/>
    </row>
    <row r="53" spans="1:19" ht="3.95" hidden="1" customHeight="1" outlineLevel="1">
      <c r="A53" s="65"/>
      <c r="B53" s="65"/>
      <c r="C53" s="87" t="s">
        <v>182</v>
      </c>
      <c r="D53" s="93" t="s">
        <v>176</v>
      </c>
      <c r="E53" s="112" t="s">
        <v>167</v>
      </c>
      <c r="F53" s="118" t="s">
        <v>191</v>
      </c>
      <c r="G53" s="113" t="s">
        <v>157</v>
      </c>
      <c r="H53" s="109" t="str">
        <f t="shared" si="4"/>
        <v>BWExtrator standard 
fonte SAPBaixa</v>
      </c>
      <c r="I53" s="114"/>
      <c r="K53" s="68"/>
      <c r="R53" s="65"/>
      <c r="S53" s="65"/>
    </row>
    <row r="54" spans="1:19" ht="3.95" hidden="1" customHeight="1" outlineLevel="1" thickBot="1">
      <c r="A54" s="65"/>
      <c r="B54" s="65"/>
      <c r="C54" s="91" t="s">
        <v>182</v>
      </c>
      <c r="D54" s="100" t="s">
        <v>198</v>
      </c>
      <c r="E54" s="112" t="s">
        <v>167</v>
      </c>
      <c r="F54" s="118" t="s">
        <v>191</v>
      </c>
      <c r="G54" s="113" t="s">
        <v>195</v>
      </c>
      <c r="H54" s="109" t="str">
        <f t="shared" si="4"/>
        <v xml:space="preserve">BWExtrator standard 
fonte SAPMédia </v>
      </c>
      <c r="I54" s="114"/>
      <c r="K54" s="68"/>
      <c r="R54" s="65"/>
      <c r="S54" s="65"/>
    </row>
    <row r="55" spans="1:19" ht="3.95" hidden="1" customHeight="1" outlineLevel="1">
      <c r="A55" s="65"/>
      <c r="B55" s="65"/>
      <c r="E55" s="112" t="s">
        <v>167</v>
      </c>
      <c r="F55" s="118" t="s">
        <v>191</v>
      </c>
      <c r="G55" s="113" t="s">
        <v>165</v>
      </c>
      <c r="H55" s="109" t="str">
        <f t="shared" si="4"/>
        <v>BWExtrator standard 
fonte SAPAlta</v>
      </c>
      <c r="I55" s="114"/>
      <c r="K55" s="68"/>
      <c r="R55" s="65"/>
      <c r="S55" s="65"/>
    </row>
    <row r="56" spans="1:19" ht="3.95" hidden="1" customHeight="1" outlineLevel="1">
      <c r="A56" s="65"/>
      <c r="B56" s="65"/>
      <c r="E56" s="112" t="s">
        <v>167</v>
      </c>
      <c r="F56" s="118" t="s">
        <v>192</v>
      </c>
      <c r="G56" s="113" t="s">
        <v>157</v>
      </c>
      <c r="H56" s="109" t="str">
        <f t="shared" si="4"/>
        <v>BWExtrator
fonte não SAPBaixa</v>
      </c>
      <c r="I56" s="114"/>
      <c r="K56" s="68"/>
      <c r="R56" s="65"/>
      <c r="S56" s="65"/>
    </row>
    <row r="57" spans="1:19" ht="3.95" hidden="1" customHeight="1" outlineLevel="1">
      <c r="A57" s="65"/>
      <c r="B57" s="65"/>
      <c r="E57" s="112" t="s">
        <v>167</v>
      </c>
      <c r="F57" s="118" t="s">
        <v>192</v>
      </c>
      <c r="G57" s="113" t="s">
        <v>195</v>
      </c>
      <c r="H57" s="109" t="str">
        <f t="shared" si="4"/>
        <v xml:space="preserve">BWExtrator
fonte não SAPMédia </v>
      </c>
      <c r="I57" s="114"/>
      <c r="K57" s="68"/>
      <c r="R57" s="65"/>
      <c r="S57" s="65"/>
    </row>
    <row r="58" spans="1:19" ht="3.95" hidden="1" customHeight="1" outlineLevel="1">
      <c r="A58" s="65"/>
      <c r="B58" s="65"/>
      <c r="E58" s="112" t="s">
        <v>167</v>
      </c>
      <c r="F58" s="118" t="s">
        <v>192</v>
      </c>
      <c r="G58" s="113" t="s">
        <v>165</v>
      </c>
      <c r="H58" s="109" t="str">
        <f t="shared" si="4"/>
        <v>BWExtrator
fonte não SAPAlta</v>
      </c>
      <c r="I58" s="114"/>
      <c r="K58" s="68"/>
      <c r="R58" s="65"/>
      <c r="S58" s="65"/>
    </row>
    <row r="59" spans="1:19" ht="3.95" hidden="1" customHeight="1" outlineLevel="1">
      <c r="A59" s="65"/>
      <c r="B59" s="65"/>
      <c r="E59" s="112" t="s">
        <v>167</v>
      </c>
      <c r="F59" s="118" t="s">
        <v>193</v>
      </c>
      <c r="G59" s="113" t="s">
        <v>157</v>
      </c>
      <c r="H59" s="109" t="str">
        <f t="shared" si="4"/>
        <v>BWModelagem
(cubos , DSOs)Baixa</v>
      </c>
      <c r="I59" s="114"/>
      <c r="K59" s="68"/>
      <c r="R59" s="65"/>
      <c r="S59" s="65"/>
    </row>
    <row r="60" spans="1:19" ht="3.95" hidden="1" customHeight="1" outlineLevel="1">
      <c r="A60" s="65"/>
      <c r="B60" s="65"/>
      <c r="E60" s="112" t="s">
        <v>167</v>
      </c>
      <c r="F60" s="118" t="s">
        <v>193</v>
      </c>
      <c r="G60" s="113" t="s">
        <v>195</v>
      </c>
      <c r="H60" s="109" t="str">
        <f t="shared" si="4"/>
        <v xml:space="preserve">BWModelagem
(cubos , DSOs)Média </v>
      </c>
      <c r="I60" s="114"/>
      <c r="K60" s="68"/>
      <c r="R60" s="65"/>
      <c r="S60" s="65"/>
    </row>
    <row r="61" spans="1:19" ht="3.95" hidden="1" customHeight="1" outlineLevel="1">
      <c r="A61" s="65"/>
      <c r="B61" s="65"/>
      <c r="E61" s="112" t="s">
        <v>167</v>
      </c>
      <c r="F61" s="118" t="s">
        <v>193</v>
      </c>
      <c r="G61" s="113" t="s">
        <v>165</v>
      </c>
      <c r="H61" s="109" t="str">
        <f t="shared" si="4"/>
        <v>BWModelagem
(cubos , DSOs)Alta</v>
      </c>
      <c r="I61" s="114"/>
      <c r="K61" s="68"/>
      <c r="R61" s="65"/>
      <c r="S61" s="65"/>
    </row>
    <row r="62" spans="1:19" ht="3.95" hidden="1" customHeight="1" outlineLevel="1">
      <c r="A62" s="65"/>
      <c r="B62" s="65"/>
      <c r="E62" s="119" t="s">
        <v>169</v>
      </c>
      <c r="F62" s="120" t="s">
        <v>156</v>
      </c>
      <c r="G62" s="121" t="s">
        <v>157</v>
      </c>
      <c r="H62" s="109" t="str">
        <f t="shared" si="4"/>
        <v>Java/WCSConversão (carga)Baixa</v>
      </c>
      <c r="I62" s="122"/>
      <c r="K62" s="68"/>
      <c r="R62" s="65"/>
      <c r="S62" s="65"/>
    </row>
    <row r="63" spans="1:19" ht="3.95" hidden="1" customHeight="1" outlineLevel="1">
      <c r="A63" s="65"/>
      <c r="B63" s="65"/>
      <c r="E63" s="119" t="s">
        <v>169</v>
      </c>
      <c r="F63" s="120" t="s">
        <v>156</v>
      </c>
      <c r="G63" s="121" t="s">
        <v>161</v>
      </c>
      <c r="H63" s="109" t="str">
        <f t="shared" si="4"/>
        <v>Java/WCSConversão (carga)Média</v>
      </c>
      <c r="I63" s="122"/>
      <c r="K63" s="68"/>
      <c r="R63" s="65"/>
      <c r="S63" s="65"/>
    </row>
    <row r="64" spans="1:19" ht="3.95" hidden="1" customHeight="1" outlineLevel="1">
      <c r="A64" s="65"/>
      <c r="B64" s="65"/>
      <c r="E64" s="119" t="s">
        <v>169</v>
      </c>
      <c r="F64" s="120" t="s">
        <v>156</v>
      </c>
      <c r="G64" s="121" t="s">
        <v>165</v>
      </c>
      <c r="H64" s="109" t="str">
        <f t="shared" si="4"/>
        <v>Java/WCSConversão (carga)Alta</v>
      </c>
      <c r="I64" s="122"/>
      <c r="K64" s="68"/>
      <c r="R64" s="65"/>
      <c r="S64" s="65"/>
    </row>
    <row r="65" spans="1:19" ht="3.95" hidden="1" customHeight="1" outlineLevel="1">
      <c r="A65" s="65"/>
      <c r="B65" s="65"/>
      <c r="E65" s="119" t="s">
        <v>169</v>
      </c>
      <c r="F65" s="120" t="s">
        <v>160</v>
      </c>
      <c r="G65" s="121" t="s">
        <v>157</v>
      </c>
      <c r="H65" s="109" t="str">
        <f t="shared" si="4"/>
        <v>Java/WCSConversão (extração)Baixa</v>
      </c>
      <c r="I65" s="122"/>
      <c r="K65" s="68"/>
      <c r="R65" s="65"/>
      <c r="S65" s="65"/>
    </row>
    <row r="66" spans="1:19" ht="3.95" hidden="1" customHeight="1" outlineLevel="1">
      <c r="A66" s="65"/>
      <c r="B66" s="65"/>
      <c r="E66" s="119" t="s">
        <v>169</v>
      </c>
      <c r="F66" s="120" t="s">
        <v>160</v>
      </c>
      <c r="G66" s="121" t="s">
        <v>161</v>
      </c>
      <c r="H66" s="109" t="str">
        <f t="shared" si="4"/>
        <v>Java/WCSConversão (extração)Média</v>
      </c>
      <c r="I66" s="122"/>
      <c r="K66" s="68"/>
      <c r="R66" s="65"/>
      <c r="S66" s="65"/>
    </row>
    <row r="67" spans="1:19" ht="3.95" hidden="1" customHeight="1" outlineLevel="1">
      <c r="A67" s="65"/>
      <c r="B67" s="65"/>
      <c r="E67" s="119" t="s">
        <v>169</v>
      </c>
      <c r="F67" s="120" t="s">
        <v>160</v>
      </c>
      <c r="G67" s="121" t="s">
        <v>165</v>
      </c>
      <c r="H67" s="109" t="str">
        <f t="shared" ref="H67:H100" si="5">E67&amp;F67&amp;G67</f>
        <v>Java/WCSConversão (extração)Alta</v>
      </c>
      <c r="I67" s="122"/>
      <c r="K67" s="68"/>
      <c r="R67" s="65"/>
      <c r="S67" s="65"/>
    </row>
    <row r="68" spans="1:19" ht="3.95" hidden="1" customHeight="1" outlineLevel="1">
      <c r="A68" s="65"/>
      <c r="B68" s="65"/>
      <c r="E68" s="119" t="s">
        <v>169</v>
      </c>
      <c r="F68" s="120" t="s">
        <v>194</v>
      </c>
      <c r="G68" s="121" t="s">
        <v>157</v>
      </c>
      <c r="H68" s="109" t="str">
        <f t="shared" si="5"/>
        <v>Java/WCSEnhancement/Evolução em tela existenteBaixa</v>
      </c>
      <c r="I68" s="122"/>
      <c r="K68" s="68"/>
      <c r="R68" s="65"/>
      <c r="S68" s="65"/>
    </row>
    <row r="69" spans="1:19" ht="3.95" hidden="1" customHeight="1" outlineLevel="1">
      <c r="A69" s="65"/>
      <c r="B69" s="65"/>
      <c r="E69" s="119" t="s">
        <v>169</v>
      </c>
      <c r="F69" s="120" t="s">
        <v>194</v>
      </c>
      <c r="G69" s="121" t="s">
        <v>161</v>
      </c>
      <c r="H69" s="109" t="str">
        <f t="shared" si="5"/>
        <v>Java/WCSEnhancement/Evolução em tela existenteMédia</v>
      </c>
      <c r="I69" s="122"/>
      <c r="K69" s="68"/>
      <c r="R69" s="65"/>
      <c r="S69" s="65"/>
    </row>
    <row r="70" spans="1:19" ht="3.95" hidden="1" customHeight="1" outlineLevel="1">
      <c r="A70" s="65"/>
      <c r="B70" s="65"/>
      <c r="E70" s="119" t="s">
        <v>169</v>
      </c>
      <c r="F70" s="120" t="s">
        <v>194</v>
      </c>
      <c r="G70" s="121" t="s">
        <v>165</v>
      </c>
      <c r="H70" s="109" t="str">
        <f t="shared" si="5"/>
        <v>Java/WCSEnhancement/Evolução em tela existenteAlta</v>
      </c>
      <c r="I70" s="122"/>
      <c r="K70" s="68"/>
      <c r="R70" s="65"/>
      <c r="S70" s="65"/>
    </row>
    <row r="71" spans="1:19" ht="3.95" hidden="1" customHeight="1" outlineLevel="1">
      <c r="A71" s="65"/>
      <c r="B71" s="65"/>
      <c r="E71" s="119" t="s">
        <v>169</v>
      </c>
      <c r="F71" s="120" t="s">
        <v>168</v>
      </c>
      <c r="G71" s="121" t="s">
        <v>157</v>
      </c>
      <c r="H71" s="109" t="str">
        <f t="shared" si="5"/>
        <v>Java/WCSFormulário ou TelaBaixa</v>
      </c>
      <c r="I71" s="122"/>
      <c r="K71" s="68"/>
      <c r="R71" s="65"/>
      <c r="S71" s="65"/>
    </row>
    <row r="72" spans="1:19" ht="3.95" hidden="1" customHeight="1" outlineLevel="1">
      <c r="A72" s="65"/>
      <c r="B72" s="65"/>
      <c r="E72" s="119" t="s">
        <v>169</v>
      </c>
      <c r="F72" s="120" t="s">
        <v>168</v>
      </c>
      <c r="G72" s="121" t="s">
        <v>161</v>
      </c>
      <c r="H72" s="109" t="str">
        <f t="shared" si="5"/>
        <v>Java/WCSFormulário ou TelaMédia</v>
      </c>
      <c r="I72" s="122"/>
      <c r="K72" s="68"/>
      <c r="R72" s="65"/>
      <c r="S72" s="65"/>
    </row>
    <row r="73" spans="1:19" ht="3.95" hidden="1" customHeight="1" outlineLevel="1">
      <c r="A73" s="65"/>
      <c r="B73" s="65"/>
      <c r="E73" s="119" t="s">
        <v>169</v>
      </c>
      <c r="F73" s="120" t="s">
        <v>168</v>
      </c>
      <c r="G73" s="121" t="s">
        <v>165</v>
      </c>
      <c r="H73" s="109" t="str">
        <f t="shared" si="5"/>
        <v>Java/WCSFormulário ou TelaAlta</v>
      </c>
      <c r="I73" s="122"/>
      <c r="K73" s="68"/>
      <c r="R73" s="65"/>
      <c r="S73" s="65"/>
    </row>
    <row r="74" spans="1:19" ht="3.95" hidden="1" customHeight="1" outlineLevel="1">
      <c r="A74" s="65"/>
      <c r="B74" s="65"/>
      <c r="E74" s="119" t="s">
        <v>169</v>
      </c>
      <c r="F74" s="120" t="s">
        <v>170</v>
      </c>
      <c r="G74" s="121" t="s">
        <v>157</v>
      </c>
      <c r="H74" s="109" t="str">
        <f t="shared" si="5"/>
        <v>Java/WCSInterface InboundBaixa</v>
      </c>
      <c r="I74" s="122"/>
      <c r="K74" s="68"/>
      <c r="R74" s="65"/>
      <c r="S74" s="65"/>
    </row>
    <row r="75" spans="1:19" ht="3.95" hidden="1" customHeight="1" outlineLevel="1">
      <c r="A75" s="65"/>
      <c r="B75" s="65"/>
      <c r="E75" s="119" t="s">
        <v>169</v>
      </c>
      <c r="F75" s="120" t="s">
        <v>170</v>
      </c>
      <c r="G75" s="121" t="s">
        <v>161</v>
      </c>
      <c r="H75" s="109" t="str">
        <f t="shared" si="5"/>
        <v>Java/WCSInterface InboundMédia</v>
      </c>
      <c r="I75" s="122"/>
      <c r="K75" s="68"/>
      <c r="R75" s="65"/>
      <c r="S75" s="65"/>
    </row>
    <row r="76" spans="1:19" ht="3.95" hidden="1" customHeight="1" outlineLevel="1">
      <c r="A76" s="65"/>
      <c r="B76" s="65"/>
      <c r="E76" s="119" t="s">
        <v>169</v>
      </c>
      <c r="F76" s="120" t="s">
        <v>170</v>
      </c>
      <c r="G76" s="121" t="s">
        <v>165</v>
      </c>
      <c r="H76" s="109" t="str">
        <f t="shared" si="5"/>
        <v>Java/WCSInterface InboundAlta</v>
      </c>
      <c r="I76" s="122"/>
      <c r="K76" s="68"/>
      <c r="R76" s="65"/>
      <c r="S76" s="65"/>
    </row>
    <row r="77" spans="1:19" ht="3.95" hidden="1" customHeight="1" outlineLevel="1">
      <c r="A77" s="65"/>
      <c r="B77" s="65"/>
      <c r="E77" s="119" t="s">
        <v>169</v>
      </c>
      <c r="F77" s="120" t="s">
        <v>173</v>
      </c>
      <c r="G77" s="121" t="s">
        <v>157</v>
      </c>
      <c r="H77" s="109" t="str">
        <f t="shared" si="5"/>
        <v>Java/WCSInterface OutboundBaixa</v>
      </c>
      <c r="I77" s="122"/>
      <c r="K77" s="68"/>
      <c r="R77" s="65"/>
      <c r="S77" s="65"/>
    </row>
    <row r="78" spans="1:19" ht="3.95" hidden="1" customHeight="1" outlineLevel="1">
      <c r="A78" s="65"/>
      <c r="B78" s="65"/>
      <c r="E78" s="119" t="s">
        <v>169</v>
      </c>
      <c r="F78" s="120" t="s">
        <v>173</v>
      </c>
      <c r="G78" s="121" t="s">
        <v>161</v>
      </c>
      <c r="H78" s="109" t="str">
        <f t="shared" si="5"/>
        <v>Java/WCSInterface OutboundMédia</v>
      </c>
      <c r="I78" s="122"/>
      <c r="K78" s="68"/>
      <c r="R78" s="65"/>
      <c r="S78" s="65"/>
    </row>
    <row r="79" spans="1:19" ht="3.95" hidden="1" customHeight="1" outlineLevel="1">
      <c r="A79" s="65"/>
      <c r="B79" s="65"/>
      <c r="E79" s="119" t="s">
        <v>169</v>
      </c>
      <c r="F79" s="120" t="s">
        <v>173</v>
      </c>
      <c r="G79" s="121" t="s">
        <v>165</v>
      </c>
      <c r="H79" s="109" t="str">
        <f t="shared" si="5"/>
        <v>Java/WCSInterface OutboundAlta</v>
      </c>
      <c r="I79" s="122"/>
      <c r="K79" s="68"/>
      <c r="R79" s="65"/>
      <c r="S79" s="65"/>
    </row>
    <row r="80" spans="1:19" ht="3.95" hidden="1" customHeight="1" outlineLevel="1">
      <c r="A80" s="65"/>
      <c r="B80" s="65"/>
      <c r="E80" s="119" t="s">
        <v>169</v>
      </c>
      <c r="F80" s="123" t="s">
        <v>176</v>
      </c>
      <c r="G80" s="121" t="s">
        <v>157</v>
      </c>
      <c r="H80" s="109" t="str">
        <f t="shared" si="5"/>
        <v>Java/WCSOutrosBaixa</v>
      </c>
      <c r="I80" s="122"/>
      <c r="K80" s="68"/>
      <c r="R80" s="65"/>
      <c r="S80" s="65"/>
    </row>
    <row r="81" spans="1:19" ht="3.95" hidden="1" customHeight="1" outlineLevel="1">
      <c r="A81" s="65"/>
      <c r="B81" s="65"/>
      <c r="E81" s="119" t="s">
        <v>169</v>
      </c>
      <c r="F81" s="123" t="s">
        <v>176</v>
      </c>
      <c r="G81" s="121" t="s">
        <v>161</v>
      </c>
      <c r="H81" s="109" t="str">
        <f t="shared" si="5"/>
        <v>Java/WCSOutrosMédia</v>
      </c>
      <c r="I81" s="122"/>
      <c r="K81" s="68"/>
      <c r="R81" s="65"/>
      <c r="S81" s="65"/>
    </row>
    <row r="82" spans="1:19" ht="3.95" hidden="1" customHeight="1" outlineLevel="1">
      <c r="A82" s="65"/>
      <c r="B82" s="65"/>
      <c r="E82" s="119" t="s">
        <v>169</v>
      </c>
      <c r="F82" s="123" t="s">
        <v>176</v>
      </c>
      <c r="G82" s="121" t="s">
        <v>165</v>
      </c>
      <c r="H82" s="109" t="str">
        <f t="shared" si="5"/>
        <v>Java/WCSOutrosAlta</v>
      </c>
      <c r="I82" s="122"/>
      <c r="K82" s="68"/>
      <c r="R82" s="65"/>
      <c r="S82" s="65"/>
    </row>
    <row r="83" spans="1:19" ht="3.95" hidden="1" customHeight="1" outlineLevel="1">
      <c r="A83" s="65"/>
      <c r="B83" s="65"/>
      <c r="E83" s="119" t="s">
        <v>169</v>
      </c>
      <c r="F83" s="120" t="s">
        <v>179</v>
      </c>
      <c r="G83" s="121" t="s">
        <v>157</v>
      </c>
      <c r="H83" s="109" t="str">
        <f t="shared" si="5"/>
        <v>Java/WCSRelatórioBaixa</v>
      </c>
      <c r="I83" s="122"/>
      <c r="K83" s="68"/>
      <c r="R83" s="65"/>
      <c r="S83" s="65"/>
    </row>
    <row r="84" spans="1:19" ht="3.95" hidden="1" customHeight="1" outlineLevel="1">
      <c r="A84" s="65"/>
      <c r="B84" s="65"/>
      <c r="E84" s="119" t="s">
        <v>169</v>
      </c>
      <c r="F84" s="120" t="s">
        <v>179</v>
      </c>
      <c r="G84" s="121" t="s">
        <v>161</v>
      </c>
      <c r="H84" s="109" t="str">
        <f t="shared" si="5"/>
        <v>Java/WCSRelatórioMédia</v>
      </c>
      <c r="I84" s="122"/>
      <c r="K84" s="68"/>
      <c r="R84" s="65"/>
      <c r="S84" s="65"/>
    </row>
    <row r="85" spans="1:19" ht="3.95" hidden="1" customHeight="1" outlineLevel="1">
      <c r="A85" s="65"/>
      <c r="B85" s="65"/>
      <c r="E85" s="119" t="s">
        <v>169</v>
      </c>
      <c r="F85" s="120" t="s">
        <v>179</v>
      </c>
      <c r="G85" s="121" t="s">
        <v>165</v>
      </c>
      <c r="H85" s="109" t="str">
        <f t="shared" si="5"/>
        <v>Java/WCSRelatórioAlta</v>
      </c>
      <c r="I85" s="122"/>
      <c r="K85" s="68"/>
      <c r="R85" s="65"/>
      <c r="S85" s="65"/>
    </row>
    <row r="86" spans="1:19" ht="3.95" hidden="1" customHeight="1" outlineLevel="1">
      <c r="A86" s="65"/>
      <c r="B86" s="65"/>
      <c r="E86" s="119" t="s">
        <v>172</v>
      </c>
      <c r="F86" s="120" t="s">
        <v>194</v>
      </c>
      <c r="G86" s="121" t="s">
        <v>157</v>
      </c>
      <c r="H86" s="109" t="str">
        <f t="shared" si="5"/>
        <v>MobileEnhancement/Evolução em tela existenteBaixa</v>
      </c>
      <c r="I86" s="122"/>
      <c r="K86" s="68"/>
      <c r="R86" s="65"/>
      <c r="S86" s="65"/>
    </row>
    <row r="87" spans="1:19" ht="3.95" hidden="1" customHeight="1" outlineLevel="1">
      <c r="A87" s="65"/>
      <c r="B87" s="65"/>
      <c r="E87" s="119" t="s">
        <v>172</v>
      </c>
      <c r="F87" s="120" t="s">
        <v>194</v>
      </c>
      <c r="G87" s="121" t="s">
        <v>161</v>
      </c>
      <c r="H87" s="109" t="str">
        <f t="shared" si="5"/>
        <v>MobileEnhancement/Evolução em tela existenteMédia</v>
      </c>
      <c r="I87" s="122"/>
      <c r="K87" s="68"/>
      <c r="R87" s="65"/>
      <c r="S87" s="65"/>
    </row>
    <row r="88" spans="1:19" ht="3.95" hidden="1" customHeight="1" outlineLevel="1">
      <c r="A88" s="65"/>
      <c r="B88" s="65"/>
      <c r="E88" s="119" t="s">
        <v>172</v>
      </c>
      <c r="F88" s="120" t="s">
        <v>194</v>
      </c>
      <c r="G88" s="121" t="s">
        <v>165</v>
      </c>
      <c r="H88" s="109" t="str">
        <f t="shared" si="5"/>
        <v>MobileEnhancement/Evolução em tela existenteAlta</v>
      </c>
      <c r="I88" s="122"/>
      <c r="K88" s="68"/>
      <c r="R88" s="65"/>
      <c r="S88" s="65"/>
    </row>
    <row r="89" spans="1:19" ht="3.95" hidden="1" customHeight="1" outlineLevel="1">
      <c r="A89" s="65"/>
      <c r="B89" s="65"/>
      <c r="E89" s="119" t="s">
        <v>172</v>
      </c>
      <c r="F89" s="120" t="s">
        <v>168</v>
      </c>
      <c r="G89" s="121" t="s">
        <v>157</v>
      </c>
      <c r="H89" s="109" t="str">
        <f t="shared" si="5"/>
        <v>MobileFormulário ou TelaBaixa</v>
      </c>
      <c r="I89" s="122"/>
      <c r="K89" s="68"/>
      <c r="R89" s="65"/>
      <c r="S89" s="65"/>
    </row>
    <row r="90" spans="1:19" ht="3.95" hidden="1" customHeight="1" outlineLevel="1">
      <c r="A90" s="65"/>
      <c r="B90" s="65"/>
      <c r="E90" s="119" t="s">
        <v>172</v>
      </c>
      <c r="F90" s="120" t="s">
        <v>168</v>
      </c>
      <c r="G90" s="121" t="s">
        <v>161</v>
      </c>
      <c r="H90" s="109" t="str">
        <f t="shared" si="5"/>
        <v>MobileFormulário ou TelaMédia</v>
      </c>
      <c r="I90" s="122"/>
      <c r="K90" s="68"/>
      <c r="R90" s="65"/>
      <c r="S90" s="65"/>
    </row>
    <row r="91" spans="1:19" ht="3.95" hidden="1" customHeight="1" outlineLevel="1">
      <c r="A91" s="65"/>
      <c r="B91" s="65"/>
      <c r="E91" s="119" t="s">
        <v>172</v>
      </c>
      <c r="F91" s="120" t="s">
        <v>168</v>
      </c>
      <c r="G91" s="121" t="s">
        <v>165</v>
      </c>
      <c r="H91" s="109" t="str">
        <f t="shared" si="5"/>
        <v>MobileFormulário ou TelaAlta</v>
      </c>
      <c r="I91" s="122"/>
      <c r="K91" s="68"/>
      <c r="R91" s="65"/>
      <c r="S91" s="65"/>
    </row>
    <row r="92" spans="1:19" ht="3.95" hidden="1" customHeight="1" outlineLevel="1">
      <c r="A92" s="65"/>
      <c r="B92" s="65"/>
      <c r="E92" s="119" t="s">
        <v>172</v>
      </c>
      <c r="F92" s="120" t="s">
        <v>170</v>
      </c>
      <c r="G92" s="121" t="s">
        <v>157</v>
      </c>
      <c r="H92" s="109" t="str">
        <f t="shared" ref="H92:H93" si="6">E92&amp;F92&amp;G92</f>
        <v>MobileInterface InboundBaixa</v>
      </c>
      <c r="I92" s="122"/>
      <c r="K92" s="68"/>
      <c r="R92" s="65"/>
      <c r="S92" s="65"/>
    </row>
    <row r="93" spans="1:19" ht="3.95" hidden="1" customHeight="1" outlineLevel="1">
      <c r="A93" s="65"/>
      <c r="B93" s="65"/>
      <c r="E93" s="119" t="s">
        <v>172</v>
      </c>
      <c r="F93" s="120" t="s">
        <v>170</v>
      </c>
      <c r="G93" s="121" t="s">
        <v>161</v>
      </c>
      <c r="H93" s="109" t="str">
        <f t="shared" si="6"/>
        <v>MobileInterface InboundMédia</v>
      </c>
      <c r="I93" s="122"/>
      <c r="K93" s="68"/>
      <c r="R93" s="65"/>
      <c r="S93" s="65"/>
    </row>
    <row r="94" spans="1:19" ht="3.95" hidden="1" customHeight="1" outlineLevel="1">
      <c r="A94" s="65"/>
      <c r="B94" s="65"/>
      <c r="E94" s="119" t="s">
        <v>172</v>
      </c>
      <c r="F94" s="120" t="s">
        <v>170</v>
      </c>
      <c r="G94" s="121" t="s">
        <v>165</v>
      </c>
      <c r="H94" s="109" t="str">
        <f t="shared" si="5"/>
        <v>MobileInterface InboundAlta</v>
      </c>
      <c r="I94" s="122"/>
      <c r="K94" s="68"/>
      <c r="R94" s="65"/>
      <c r="S94" s="65"/>
    </row>
    <row r="95" spans="1:19" ht="3.95" hidden="1" customHeight="1" outlineLevel="1">
      <c r="A95" s="65"/>
      <c r="B95" s="65"/>
      <c r="E95" s="119" t="s">
        <v>172</v>
      </c>
      <c r="F95" s="123" t="s">
        <v>176</v>
      </c>
      <c r="G95" s="121" t="s">
        <v>157</v>
      </c>
      <c r="H95" s="109" t="str">
        <f t="shared" si="5"/>
        <v>MobileOutrosBaixa</v>
      </c>
      <c r="I95" s="122"/>
      <c r="K95" s="68"/>
      <c r="R95" s="65"/>
      <c r="S95" s="65"/>
    </row>
    <row r="96" spans="1:19" ht="3.95" hidden="1" customHeight="1" outlineLevel="1">
      <c r="A96" s="65"/>
      <c r="B96" s="65"/>
      <c r="E96" s="119" t="s">
        <v>172</v>
      </c>
      <c r="F96" s="123" t="s">
        <v>176</v>
      </c>
      <c r="G96" s="121" t="s">
        <v>161</v>
      </c>
      <c r="H96" s="109" t="str">
        <f t="shared" si="5"/>
        <v>MobileOutrosMédia</v>
      </c>
      <c r="I96" s="122"/>
      <c r="K96" s="68"/>
      <c r="R96" s="65"/>
      <c r="S96" s="65"/>
    </row>
    <row r="97" spans="1:19" ht="3.95" hidden="1" customHeight="1" outlineLevel="1">
      <c r="A97" s="65"/>
      <c r="B97" s="65"/>
      <c r="E97" s="119" t="s">
        <v>172</v>
      </c>
      <c r="F97" s="123" t="s">
        <v>176</v>
      </c>
      <c r="G97" s="121" t="s">
        <v>165</v>
      </c>
      <c r="H97" s="109" t="str">
        <f t="shared" si="5"/>
        <v>MobileOutrosAlta</v>
      </c>
      <c r="I97" s="122"/>
      <c r="K97" s="68"/>
      <c r="R97" s="65"/>
      <c r="S97" s="65"/>
    </row>
    <row r="98" spans="1:19" ht="3.95" hidden="1" customHeight="1" outlineLevel="1">
      <c r="A98" s="65"/>
      <c r="B98" s="65"/>
      <c r="E98" s="119" t="s">
        <v>172</v>
      </c>
      <c r="F98" s="120" t="s">
        <v>179</v>
      </c>
      <c r="G98" s="121" t="s">
        <v>157</v>
      </c>
      <c r="H98" s="109" t="str">
        <f t="shared" si="5"/>
        <v>MobileRelatórioBaixa</v>
      </c>
      <c r="I98" s="122"/>
      <c r="K98" s="68"/>
      <c r="R98" s="65"/>
      <c r="S98" s="65"/>
    </row>
    <row r="99" spans="1:19" ht="3.95" hidden="1" customHeight="1" outlineLevel="1">
      <c r="A99" s="65"/>
      <c r="B99" s="65"/>
      <c r="E99" s="119" t="s">
        <v>172</v>
      </c>
      <c r="F99" s="120" t="s">
        <v>179</v>
      </c>
      <c r="G99" s="121" t="s">
        <v>161</v>
      </c>
      <c r="H99" s="109" t="str">
        <f t="shared" si="5"/>
        <v>MobileRelatórioMédia</v>
      </c>
      <c r="I99" s="122"/>
      <c r="K99" s="68"/>
      <c r="R99" s="65"/>
      <c r="S99" s="65"/>
    </row>
    <row r="100" spans="1:19" ht="3.95" hidden="1" customHeight="1" outlineLevel="1">
      <c r="A100" s="65"/>
      <c r="B100" s="65"/>
      <c r="E100" s="119" t="s">
        <v>172</v>
      </c>
      <c r="F100" s="120" t="s">
        <v>179</v>
      </c>
      <c r="G100" s="121" t="s">
        <v>165</v>
      </c>
      <c r="H100" s="109" t="str">
        <f t="shared" si="5"/>
        <v>MobileRelatórioAlta</v>
      </c>
      <c r="I100" s="122"/>
      <c r="K100" s="68"/>
      <c r="R100" s="65"/>
      <c r="S100" s="65"/>
    </row>
    <row r="101" spans="1:19" ht="3.95" hidden="1" customHeight="1" outlineLevel="1">
      <c r="A101" s="65"/>
      <c r="B101" s="65"/>
      <c r="E101" s="112" t="s">
        <v>175</v>
      </c>
      <c r="F101" s="124" t="s">
        <v>196</v>
      </c>
      <c r="G101" s="121" t="s">
        <v>157</v>
      </c>
      <c r="H101" s="109" t="str">
        <f t="shared" ref="H101:H132" si="7">E101&amp;F101&amp;G101</f>
        <v>POWERCENTERCDCBaixa</v>
      </c>
      <c r="I101" s="114"/>
      <c r="K101" s="68"/>
      <c r="R101" s="65"/>
      <c r="S101" s="65"/>
    </row>
    <row r="102" spans="1:19" ht="3.95" hidden="1" customHeight="1" outlineLevel="1">
      <c r="A102" s="65"/>
      <c r="B102" s="65"/>
      <c r="E102" s="112" t="s">
        <v>175</v>
      </c>
      <c r="F102" s="124" t="s">
        <v>196</v>
      </c>
      <c r="G102" s="121" t="s">
        <v>161</v>
      </c>
      <c r="H102" s="109" t="str">
        <f t="shared" si="7"/>
        <v>POWERCENTERCDCMédia</v>
      </c>
      <c r="I102" s="114"/>
      <c r="K102" s="68"/>
      <c r="R102" s="65"/>
      <c r="S102" s="65"/>
    </row>
    <row r="103" spans="1:19" ht="3.95" hidden="1" customHeight="1" outlineLevel="1">
      <c r="A103" s="65"/>
      <c r="B103" s="65"/>
      <c r="E103" s="112" t="s">
        <v>175</v>
      </c>
      <c r="F103" s="124" t="s">
        <v>196</v>
      </c>
      <c r="G103" s="121" t="s">
        <v>165</v>
      </c>
      <c r="H103" s="109" t="str">
        <f t="shared" si="7"/>
        <v>POWERCENTERCDCAlta</v>
      </c>
      <c r="I103" s="114"/>
      <c r="K103" s="68"/>
      <c r="R103" s="65"/>
      <c r="S103" s="65"/>
    </row>
    <row r="104" spans="1:19" ht="3.95" hidden="1" customHeight="1" outlineLevel="1">
      <c r="A104" s="65"/>
      <c r="B104" s="65"/>
      <c r="E104" s="112" t="s">
        <v>175</v>
      </c>
      <c r="F104" s="113" t="s">
        <v>197</v>
      </c>
      <c r="G104" s="121" t="s">
        <v>157</v>
      </c>
      <c r="H104" s="109" t="str">
        <f t="shared" si="7"/>
        <v>POWERCENTERETLBaixa</v>
      </c>
      <c r="I104" s="114"/>
      <c r="K104" s="68"/>
      <c r="R104" s="65"/>
      <c r="S104" s="65"/>
    </row>
    <row r="105" spans="1:19" ht="3.95" hidden="1" customHeight="1" outlineLevel="1">
      <c r="A105" s="65"/>
      <c r="B105" s="65"/>
      <c r="E105" s="112" t="s">
        <v>175</v>
      </c>
      <c r="F105" s="113" t="s">
        <v>197</v>
      </c>
      <c r="G105" s="121" t="s">
        <v>161</v>
      </c>
      <c r="H105" s="109" t="str">
        <f t="shared" si="7"/>
        <v>POWERCENTERETLMédia</v>
      </c>
      <c r="I105" s="114"/>
      <c r="K105" s="68"/>
      <c r="R105" s="65"/>
      <c r="S105" s="65"/>
    </row>
    <row r="106" spans="1:19" ht="3.95" hidden="1" customHeight="1" outlineLevel="1">
      <c r="A106" s="65"/>
      <c r="B106" s="65"/>
      <c r="E106" s="112" t="s">
        <v>175</v>
      </c>
      <c r="F106" s="113" t="s">
        <v>197</v>
      </c>
      <c r="G106" s="121" t="s">
        <v>165</v>
      </c>
      <c r="H106" s="109" t="str">
        <f t="shared" si="7"/>
        <v>POWERCENTERETLAlta</v>
      </c>
      <c r="I106" s="114"/>
      <c r="K106" s="68"/>
      <c r="R106" s="65"/>
      <c r="S106" s="65"/>
    </row>
    <row r="107" spans="1:19" ht="3.95" hidden="1" customHeight="1" outlineLevel="1">
      <c r="A107" s="65"/>
      <c r="B107" s="65"/>
      <c r="E107" s="112" t="s">
        <v>178</v>
      </c>
      <c r="F107" s="113" t="s">
        <v>197</v>
      </c>
      <c r="G107" s="113" t="s">
        <v>157</v>
      </c>
      <c r="H107" s="109" t="str">
        <f t="shared" si="7"/>
        <v>SASETLBaixa</v>
      </c>
      <c r="I107" s="114"/>
      <c r="K107" s="68"/>
      <c r="R107" s="65"/>
      <c r="S107" s="65"/>
    </row>
    <row r="108" spans="1:19" ht="3.95" hidden="1" customHeight="1" outlineLevel="1">
      <c r="A108" s="65"/>
      <c r="B108" s="65"/>
      <c r="E108" s="112" t="s">
        <v>178</v>
      </c>
      <c r="F108" s="113" t="s">
        <v>197</v>
      </c>
      <c r="G108" s="113" t="s">
        <v>195</v>
      </c>
      <c r="H108" s="109" t="str">
        <f t="shared" si="7"/>
        <v xml:space="preserve">SASETLMédia </v>
      </c>
      <c r="I108" s="114"/>
      <c r="K108" s="68"/>
      <c r="R108" s="65"/>
      <c r="S108" s="65"/>
    </row>
    <row r="109" spans="1:19" ht="3.95" hidden="1" customHeight="1" outlineLevel="1">
      <c r="A109" s="65"/>
      <c r="B109" s="65"/>
      <c r="E109" s="112" t="s">
        <v>178</v>
      </c>
      <c r="F109" s="113" t="s">
        <v>197</v>
      </c>
      <c r="G109" s="113" t="s">
        <v>165</v>
      </c>
      <c r="H109" s="109" t="str">
        <f t="shared" si="7"/>
        <v>SASETLAlta</v>
      </c>
      <c r="I109" s="114"/>
      <c r="K109" s="68"/>
      <c r="R109" s="65"/>
      <c r="S109" s="65"/>
    </row>
    <row r="110" spans="1:19" ht="3.95" hidden="1" customHeight="1" outlineLevel="1">
      <c r="A110" s="65"/>
      <c r="B110" s="65"/>
      <c r="E110" s="119" t="s">
        <v>181</v>
      </c>
      <c r="F110" s="120" t="s">
        <v>156</v>
      </c>
      <c r="G110" s="121" t="s">
        <v>157</v>
      </c>
      <c r="H110" s="109" t="str">
        <f t="shared" si="7"/>
        <v>SharepointConversão (carga)Baixa</v>
      </c>
      <c r="I110" s="122"/>
      <c r="K110" s="68"/>
      <c r="R110" s="65"/>
      <c r="S110" s="65"/>
    </row>
    <row r="111" spans="1:19" ht="3.95" hidden="1" customHeight="1" outlineLevel="1">
      <c r="A111" s="65"/>
      <c r="B111" s="65"/>
      <c r="E111" s="119" t="s">
        <v>181</v>
      </c>
      <c r="F111" s="120" t="s">
        <v>156</v>
      </c>
      <c r="G111" s="121" t="s">
        <v>161</v>
      </c>
      <c r="H111" s="109" t="str">
        <f t="shared" si="7"/>
        <v>SharepointConversão (carga)Média</v>
      </c>
      <c r="I111" s="122"/>
      <c r="K111" s="68"/>
      <c r="R111" s="65"/>
      <c r="S111" s="65"/>
    </row>
    <row r="112" spans="1:19" ht="3.95" hidden="1" customHeight="1" outlineLevel="1">
      <c r="A112" s="65"/>
      <c r="B112" s="65"/>
      <c r="E112" s="119" t="s">
        <v>181</v>
      </c>
      <c r="F112" s="120" t="s">
        <v>156</v>
      </c>
      <c r="G112" s="121" t="s">
        <v>165</v>
      </c>
      <c r="H112" s="109" t="str">
        <f t="shared" si="7"/>
        <v>SharepointConversão (carga)Alta</v>
      </c>
      <c r="I112" s="122"/>
      <c r="K112" s="68"/>
      <c r="R112" s="65"/>
      <c r="S112" s="65"/>
    </row>
    <row r="113" spans="1:19" ht="3.95" hidden="1" customHeight="1" outlineLevel="1">
      <c r="A113" s="65"/>
      <c r="B113" s="65"/>
      <c r="E113" s="119" t="s">
        <v>181</v>
      </c>
      <c r="F113" s="120" t="s">
        <v>160</v>
      </c>
      <c r="G113" s="121" t="s">
        <v>157</v>
      </c>
      <c r="H113" s="109" t="str">
        <f t="shared" si="7"/>
        <v>SharepointConversão (extração)Baixa</v>
      </c>
      <c r="I113" s="122"/>
      <c r="K113" s="68"/>
      <c r="R113" s="65"/>
      <c r="S113" s="65"/>
    </row>
    <row r="114" spans="1:19" ht="3.95" hidden="1" customHeight="1" outlineLevel="1">
      <c r="A114" s="65"/>
      <c r="B114" s="65"/>
      <c r="E114" s="119" t="s">
        <v>181</v>
      </c>
      <c r="F114" s="120" t="s">
        <v>160</v>
      </c>
      <c r="G114" s="121" t="s">
        <v>161</v>
      </c>
      <c r="H114" s="109" t="str">
        <f t="shared" si="7"/>
        <v>SharepointConversão (extração)Média</v>
      </c>
      <c r="I114" s="122"/>
      <c r="K114" s="68"/>
      <c r="R114" s="65"/>
      <c r="S114" s="65"/>
    </row>
    <row r="115" spans="1:19" ht="3.95" hidden="1" customHeight="1" outlineLevel="1">
      <c r="A115" s="65"/>
      <c r="B115" s="65"/>
      <c r="E115" s="119" t="s">
        <v>181</v>
      </c>
      <c r="F115" s="120" t="s">
        <v>160</v>
      </c>
      <c r="G115" s="121" t="s">
        <v>165</v>
      </c>
      <c r="H115" s="109" t="str">
        <f t="shared" si="7"/>
        <v>SharepointConversão (extração)Alta</v>
      </c>
      <c r="I115" s="122"/>
      <c r="K115" s="68"/>
      <c r="R115" s="65"/>
      <c r="S115" s="65"/>
    </row>
    <row r="116" spans="1:19" ht="3.95" hidden="1" customHeight="1" outlineLevel="1">
      <c r="A116" s="65"/>
      <c r="B116" s="65"/>
      <c r="E116" s="119" t="s">
        <v>181</v>
      </c>
      <c r="F116" s="120" t="s">
        <v>194</v>
      </c>
      <c r="G116" s="121" t="s">
        <v>157</v>
      </c>
      <c r="H116" s="109" t="str">
        <f t="shared" si="7"/>
        <v>SharepointEnhancement/Evolução em tela existenteBaixa</v>
      </c>
      <c r="I116" s="122"/>
      <c r="K116" s="68"/>
      <c r="R116" s="65"/>
      <c r="S116" s="65"/>
    </row>
    <row r="117" spans="1:19" ht="3.95" hidden="1" customHeight="1" outlineLevel="1">
      <c r="A117" s="65"/>
      <c r="B117" s="65"/>
      <c r="E117" s="119" t="s">
        <v>181</v>
      </c>
      <c r="F117" s="120" t="s">
        <v>194</v>
      </c>
      <c r="G117" s="121" t="s">
        <v>161</v>
      </c>
      <c r="H117" s="109" t="str">
        <f t="shared" si="7"/>
        <v>SharepointEnhancement/Evolução em tela existenteMédia</v>
      </c>
      <c r="I117" s="122"/>
      <c r="K117" s="68"/>
      <c r="R117" s="65"/>
      <c r="S117" s="65"/>
    </row>
    <row r="118" spans="1:19" ht="3.95" hidden="1" customHeight="1" outlineLevel="1">
      <c r="A118" s="65"/>
      <c r="B118" s="65"/>
      <c r="E118" s="119" t="s">
        <v>181</v>
      </c>
      <c r="F118" s="120" t="s">
        <v>194</v>
      </c>
      <c r="G118" s="121" t="s">
        <v>165</v>
      </c>
      <c r="H118" s="109" t="str">
        <f t="shared" si="7"/>
        <v>SharepointEnhancement/Evolução em tela existenteAlta</v>
      </c>
      <c r="I118" s="122"/>
      <c r="K118" s="68"/>
      <c r="R118" s="65"/>
      <c r="S118" s="65"/>
    </row>
    <row r="119" spans="1:19" ht="3.95" hidden="1" customHeight="1" outlineLevel="1">
      <c r="A119" s="65"/>
      <c r="B119" s="65"/>
      <c r="E119" s="119" t="s">
        <v>181</v>
      </c>
      <c r="F119" s="120" t="s">
        <v>168</v>
      </c>
      <c r="G119" s="121" t="s">
        <v>157</v>
      </c>
      <c r="H119" s="109" t="str">
        <f t="shared" si="7"/>
        <v>SharepointFormulário ou TelaBaixa</v>
      </c>
      <c r="I119" s="122"/>
      <c r="K119" s="68"/>
      <c r="R119" s="65"/>
      <c r="S119" s="65"/>
    </row>
    <row r="120" spans="1:19" ht="3.95" hidden="1" customHeight="1" outlineLevel="1">
      <c r="A120" s="65"/>
      <c r="B120" s="65"/>
      <c r="E120" s="119" t="s">
        <v>181</v>
      </c>
      <c r="F120" s="120" t="s">
        <v>168</v>
      </c>
      <c r="G120" s="121" t="s">
        <v>161</v>
      </c>
      <c r="H120" s="109" t="str">
        <f t="shared" si="7"/>
        <v>SharepointFormulário ou TelaMédia</v>
      </c>
      <c r="I120" s="122"/>
      <c r="K120" s="68"/>
      <c r="R120" s="65"/>
      <c r="S120" s="65"/>
    </row>
    <row r="121" spans="1:19" ht="3.95" hidden="1" customHeight="1" outlineLevel="1">
      <c r="A121" s="65"/>
      <c r="B121" s="65"/>
      <c r="E121" s="119" t="s">
        <v>181</v>
      </c>
      <c r="F121" s="120" t="s">
        <v>168</v>
      </c>
      <c r="G121" s="121" t="s">
        <v>165</v>
      </c>
      <c r="H121" s="109" t="str">
        <f t="shared" si="7"/>
        <v>SharepointFormulário ou TelaAlta</v>
      </c>
      <c r="I121" s="122"/>
      <c r="K121" s="68"/>
      <c r="R121" s="65"/>
      <c r="S121" s="65"/>
    </row>
    <row r="122" spans="1:19" ht="3.95" hidden="1" customHeight="1" outlineLevel="1">
      <c r="A122" s="65"/>
      <c r="B122" s="65"/>
      <c r="E122" s="119" t="s">
        <v>181</v>
      </c>
      <c r="F122" s="120" t="s">
        <v>170</v>
      </c>
      <c r="G122" s="121" t="s">
        <v>157</v>
      </c>
      <c r="H122" s="109" t="str">
        <f t="shared" si="7"/>
        <v>SharepointInterface InboundBaixa</v>
      </c>
      <c r="I122" s="122"/>
      <c r="K122" s="68"/>
      <c r="R122" s="65"/>
      <c r="S122" s="65"/>
    </row>
    <row r="123" spans="1:19" ht="3.95" hidden="1" customHeight="1" outlineLevel="1">
      <c r="A123" s="65"/>
      <c r="B123" s="65"/>
      <c r="E123" s="119" t="s">
        <v>181</v>
      </c>
      <c r="F123" s="120" t="s">
        <v>170</v>
      </c>
      <c r="G123" s="121" t="s">
        <v>161</v>
      </c>
      <c r="H123" s="109" t="str">
        <f t="shared" si="7"/>
        <v>SharepointInterface InboundMédia</v>
      </c>
      <c r="I123" s="122"/>
      <c r="K123" s="68"/>
      <c r="R123" s="65"/>
      <c r="S123" s="65"/>
    </row>
    <row r="124" spans="1:19" ht="3.95" hidden="1" customHeight="1" outlineLevel="1">
      <c r="A124" s="65"/>
      <c r="B124" s="65"/>
      <c r="E124" s="119" t="s">
        <v>181</v>
      </c>
      <c r="F124" s="120" t="s">
        <v>170</v>
      </c>
      <c r="G124" s="121" t="s">
        <v>165</v>
      </c>
      <c r="H124" s="109" t="str">
        <f t="shared" si="7"/>
        <v>SharepointInterface InboundAlta</v>
      </c>
      <c r="I124" s="122"/>
      <c r="K124" s="68"/>
      <c r="R124" s="65"/>
      <c r="S124" s="65"/>
    </row>
    <row r="125" spans="1:19" ht="3.95" hidden="1" customHeight="1" outlineLevel="1">
      <c r="A125" s="65"/>
      <c r="B125" s="65"/>
      <c r="E125" s="119" t="s">
        <v>181</v>
      </c>
      <c r="F125" s="124" t="s">
        <v>176</v>
      </c>
      <c r="G125" s="113" t="s">
        <v>157</v>
      </c>
      <c r="H125" s="109" t="str">
        <f t="shared" si="7"/>
        <v>SharepointOutrosBaixa</v>
      </c>
      <c r="I125" s="114"/>
      <c r="K125" s="68"/>
      <c r="R125" s="65"/>
      <c r="S125" s="65"/>
    </row>
    <row r="126" spans="1:19" ht="3.95" hidden="1" customHeight="1" outlineLevel="1">
      <c r="A126" s="65"/>
      <c r="B126" s="65"/>
      <c r="E126" s="119" t="s">
        <v>181</v>
      </c>
      <c r="F126" s="124" t="s">
        <v>176</v>
      </c>
      <c r="G126" s="113" t="s">
        <v>195</v>
      </c>
      <c r="H126" s="109" t="str">
        <f t="shared" si="7"/>
        <v xml:space="preserve">SharepointOutrosMédia </v>
      </c>
      <c r="I126" s="114"/>
      <c r="K126" s="68"/>
      <c r="R126" s="65"/>
      <c r="S126" s="65"/>
    </row>
    <row r="127" spans="1:19" ht="3.95" hidden="1" customHeight="1" outlineLevel="1">
      <c r="A127" s="65"/>
      <c r="B127" s="65"/>
      <c r="E127" s="119" t="s">
        <v>181</v>
      </c>
      <c r="F127" s="124" t="s">
        <v>176</v>
      </c>
      <c r="G127" s="113" t="s">
        <v>165</v>
      </c>
      <c r="H127" s="109" t="str">
        <f t="shared" si="7"/>
        <v>SharepointOutrosAlta</v>
      </c>
      <c r="I127" s="114"/>
      <c r="K127" s="68"/>
      <c r="R127" s="65"/>
      <c r="S127" s="65"/>
    </row>
    <row r="128" spans="1:19" ht="3.95" hidden="1" customHeight="1" outlineLevel="1">
      <c r="A128" s="65"/>
      <c r="B128" s="65"/>
      <c r="E128" s="119" t="s">
        <v>181</v>
      </c>
      <c r="F128" s="120" t="s">
        <v>179</v>
      </c>
      <c r="G128" s="121" t="s">
        <v>157</v>
      </c>
      <c r="H128" s="109" t="str">
        <f t="shared" si="7"/>
        <v>SharepointRelatórioBaixa</v>
      </c>
      <c r="I128" s="122"/>
      <c r="K128" s="68"/>
      <c r="R128" s="65"/>
      <c r="S128" s="65"/>
    </row>
    <row r="129" spans="1:19" ht="3.95" hidden="1" customHeight="1" outlineLevel="1">
      <c r="A129" s="65"/>
      <c r="B129" s="65"/>
      <c r="E129" s="119" t="s">
        <v>181</v>
      </c>
      <c r="F129" s="120" t="s">
        <v>179</v>
      </c>
      <c r="G129" s="121" t="s">
        <v>161</v>
      </c>
      <c r="H129" s="109" t="str">
        <f t="shared" si="7"/>
        <v>SharepointRelatórioMédia</v>
      </c>
      <c r="I129" s="122"/>
      <c r="K129" s="68"/>
      <c r="R129" s="65"/>
      <c r="S129" s="65"/>
    </row>
    <row r="130" spans="1:19" ht="3.95" hidden="1" customHeight="1" outlineLevel="1">
      <c r="A130" s="65"/>
      <c r="B130" s="65"/>
      <c r="E130" s="119" t="s">
        <v>181</v>
      </c>
      <c r="F130" s="120" t="s">
        <v>179</v>
      </c>
      <c r="G130" s="121" t="s">
        <v>165</v>
      </c>
      <c r="H130" s="109" t="str">
        <f t="shared" si="7"/>
        <v>SharepointRelatórioAlta</v>
      </c>
      <c r="I130" s="122"/>
      <c r="K130" s="68"/>
      <c r="R130" s="65"/>
      <c r="S130" s="65"/>
    </row>
    <row r="131" spans="1:19" ht="3.95" hidden="1" customHeight="1" outlineLevel="1">
      <c r="A131" s="65"/>
      <c r="B131" s="65"/>
      <c r="E131" s="106" t="s">
        <v>182</v>
      </c>
      <c r="F131" s="107" t="s">
        <v>176</v>
      </c>
      <c r="G131" s="108" t="s">
        <v>157</v>
      </c>
      <c r="H131" s="109" t="str">
        <f t="shared" si="7"/>
        <v>SOAOutrosBaixa</v>
      </c>
      <c r="I131" s="111"/>
      <c r="K131" s="68"/>
      <c r="R131" s="65"/>
      <c r="S131" s="65"/>
    </row>
    <row r="132" spans="1:19" ht="3.95" hidden="1" customHeight="1" outlineLevel="1">
      <c r="A132" s="65"/>
      <c r="B132" s="65"/>
      <c r="E132" s="106" t="s">
        <v>182</v>
      </c>
      <c r="F132" s="107" t="s">
        <v>176</v>
      </c>
      <c r="G132" s="108" t="s">
        <v>161</v>
      </c>
      <c r="H132" s="109" t="str">
        <f t="shared" si="7"/>
        <v>SOAOutrosMédia</v>
      </c>
      <c r="I132" s="111"/>
      <c r="K132" s="68"/>
      <c r="R132" s="65"/>
      <c r="S132" s="65"/>
    </row>
    <row r="133" spans="1:19" ht="3.95" hidden="1" customHeight="1" outlineLevel="1">
      <c r="A133" s="65"/>
      <c r="B133" s="65"/>
      <c r="E133" s="106" t="s">
        <v>182</v>
      </c>
      <c r="F133" s="107" t="s">
        <v>176</v>
      </c>
      <c r="G133" s="108" t="s">
        <v>165</v>
      </c>
      <c r="H133" s="109" t="str">
        <f t="shared" ref="H133:H136" si="8">E133&amp;F133&amp;G133</f>
        <v>SOAOutrosAlta</v>
      </c>
      <c r="I133" s="111"/>
      <c r="K133" s="68"/>
      <c r="R133" s="65"/>
      <c r="S133" s="65"/>
    </row>
    <row r="134" spans="1:19" ht="3.95" hidden="1" customHeight="1" outlineLevel="1">
      <c r="A134" s="65"/>
      <c r="B134" s="65"/>
      <c r="E134" s="106" t="s">
        <v>182</v>
      </c>
      <c r="F134" s="107" t="s">
        <v>198</v>
      </c>
      <c r="G134" s="108" t="s">
        <v>157</v>
      </c>
      <c r="H134" s="109" t="str">
        <f t="shared" si="8"/>
        <v>SOAServiçoBaixa</v>
      </c>
      <c r="I134" s="111"/>
      <c r="K134" s="68"/>
      <c r="R134" s="65"/>
      <c r="S134" s="65"/>
    </row>
    <row r="135" spans="1:19" ht="3.95" hidden="1" customHeight="1" outlineLevel="1">
      <c r="A135" s="65"/>
      <c r="B135" s="65"/>
      <c r="E135" s="106" t="s">
        <v>182</v>
      </c>
      <c r="F135" s="107" t="s">
        <v>198</v>
      </c>
      <c r="G135" s="108" t="s">
        <v>161</v>
      </c>
      <c r="H135" s="109" t="str">
        <f t="shared" si="8"/>
        <v>SOAServiçoMédia</v>
      </c>
      <c r="I135" s="111"/>
      <c r="K135" s="68"/>
      <c r="R135" s="65"/>
      <c r="S135" s="65"/>
    </row>
    <row r="136" spans="1:19" ht="3.95" hidden="1" customHeight="1" outlineLevel="1" thickBot="1">
      <c r="A136" s="65"/>
      <c r="B136" s="65"/>
      <c r="E136" s="125" t="s">
        <v>182</v>
      </c>
      <c r="F136" s="126" t="s">
        <v>198</v>
      </c>
      <c r="G136" s="127" t="s">
        <v>165</v>
      </c>
      <c r="H136" s="128" t="str">
        <f t="shared" si="8"/>
        <v>SOAServiçoAlta</v>
      </c>
      <c r="I136" s="129"/>
      <c r="K136" s="68"/>
      <c r="R136" s="65"/>
      <c r="S136" s="65"/>
    </row>
    <row r="137" spans="1:19" ht="3.95" hidden="1" customHeight="1" outlineLevel="1">
      <c r="K137" s="68"/>
      <c r="R137" s="65"/>
      <c r="S137" s="65"/>
    </row>
    <row r="138" spans="1:19" ht="3.95" hidden="1" customHeight="1" outlineLevel="1">
      <c r="K138" s="68"/>
      <c r="R138" s="65"/>
      <c r="S138" s="65"/>
    </row>
    <row r="139" spans="1:19" ht="3.95" hidden="1" customHeight="1" outlineLevel="1">
      <c r="K139" s="68"/>
    </row>
    <row r="140" spans="1:19" ht="3.95" hidden="1" customHeight="1" outlineLevel="1">
      <c r="K140" s="68"/>
    </row>
    <row r="141" spans="1:19" s="63" customFormat="1" ht="44.25" customHeight="1" collapsed="1">
      <c r="A141" s="8"/>
      <c r="B141" s="8"/>
      <c r="C141" s="194" t="s">
        <v>199</v>
      </c>
      <c r="D141" s="194"/>
      <c r="E141" s="194"/>
      <c r="F141" s="194"/>
      <c r="G141" s="194"/>
      <c r="H141" s="177"/>
      <c r="I141" s="177"/>
      <c r="J141" s="196" t="s">
        <v>200</v>
      </c>
      <c r="K141" s="196"/>
      <c r="L141" s="196" t="s">
        <v>201</v>
      </c>
      <c r="M141" s="196"/>
      <c r="N141" s="196" t="s">
        <v>202</v>
      </c>
      <c r="O141" s="196"/>
      <c r="P141" s="188" t="s">
        <v>203</v>
      </c>
      <c r="Q141" s="188"/>
      <c r="R141" s="188"/>
      <c r="S141" s="81" t="s">
        <v>204</v>
      </c>
    </row>
    <row r="142" spans="1:19" s="63" customFormat="1" ht="18.75" customHeight="1">
      <c r="A142" s="8"/>
      <c r="B142" s="8"/>
      <c r="C142" s="194"/>
      <c r="D142" s="194"/>
      <c r="E142" s="194"/>
      <c r="F142" s="194"/>
      <c r="G142" s="194"/>
      <c r="H142" s="177"/>
      <c r="I142" s="177"/>
      <c r="J142" s="197"/>
      <c r="K142" s="197"/>
      <c r="L142" s="197"/>
      <c r="M142" s="197"/>
      <c r="N142" s="197"/>
      <c r="O142" s="198"/>
      <c r="P142" s="187"/>
      <c r="Q142" s="187"/>
      <c r="R142" s="187"/>
      <c r="S142" s="179"/>
    </row>
    <row r="143" spans="1:19" s="63" customFormat="1" ht="17.25" customHeight="1">
      <c r="A143" s="8"/>
      <c r="B143" s="8"/>
      <c r="C143" s="195"/>
      <c r="D143" s="195"/>
      <c r="E143" s="195"/>
      <c r="F143" s="195"/>
      <c r="G143" s="195"/>
      <c r="H143" s="178"/>
      <c r="I143" s="178"/>
      <c r="J143" s="178"/>
      <c r="K143" s="80"/>
      <c r="L143" s="80"/>
      <c r="M143" s="80"/>
      <c r="N143" s="80"/>
      <c r="O143" s="80"/>
      <c r="P143" s="189" t="str">
        <f>"Não contabiliz.:"&amp;(COUNTIF(S146:S634,0)+COUNTIF(S146:S634,"ERRO"))</f>
        <v>Não contabiliz.:0</v>
      </c>
      <c r="Q143" s="189"/>
      <c r="R143" s="189"/>
      <c r="S143" s="189"/>
    </row>
    <row r="144" spans="1:19" s="64" customFormat="1" ht="23.25" customHeight="1">
      <c r="A144" s="184" t="s">
        <v>39</v>
      </c>
      <c r="B144" s="192" t="s">
        <v>205</v>
      </c>
      <c r="C144" s="185" t="s">
        <v>206</v>
      </c>
      <c r="D144" s="185" t="s">
        <v>44</v>
      </c>
      <c r="E144" s="191" t="s">
        <v>207</v>
      </c>
      <c r="F144" s="185" t="s">
        <v>48</v>
      </c>
      <c r="G144" s="184" t="s">
        <v>50</v>
      </c>
      <c r="H144" s="185" t="s">
        <v>208</v>
      </c>
      <c r="I144" s="185" t="s">
        <v>54</v>
      </c>
      <c r="J144" s="190" t="s">
        <v>209</v>
      </c>
      <c r="K144" s="190"/>
      <c r="L144" s="190"/>
      <c r="M144" s="190"/>
      <c r="N144" s="190"/>
      <c r="O144" s="190"/>
      <c r="P144" s="186" t="s">
        <v>210</v>
      </c>
      <c r="Q144" s="186"/>
      <c r="R144" s="186"/>
      <c r="S144" s="186"/>
    </row>
    <row r="145" spans="1:19" s="66" customFormat="1" ht="23.25" customHeight="1">
      <c r="A145" s="184"/>
      <c r="B145" s="193"/>
      <c r="C145" s="185"/>
      <c r="D145" s="185"/>
      <c r="E145" s="191"/>
      <c r="F145" s="185"/>
      <c r="G145" s="184"/>
      <c r="H145" s="185"/>
      <c r="I145" s="185"/>
      <c r="J145" s="176" t="s">
        <v>211</v>
      </c>
      <c r="K145" s="176" t="s">
        <v>212</v>
      </c>
      <c r="L145" s="176" t="s">
        <v>64</v>
      </c>
      <c r="M145" s="176" t="s">
        <v>213</v>
      </c>
      <c r="N145" s="176" t="s">
        <v>62</v>
      </c>
      <c r="O145" s="176" t="s">
        <v>66</v>
      </c>
      <c r="P145" s="176" t="s">
        <v>214</v>
      </c>
      <c r="Q145" s="176" t="s">
        <v>215</v>
      </c>
      <c r="R145" s="176" t="s">
        <v>216</v>
      </c>
      <c r="S145" s="176" t="s">
        <v>217</v>
      </c>
    </row>
    <row r="146" spans="1:19" s="67" customFormat="1" ht="78.75" customHeight="1">
      <c r="A146" s="140">
        <v>1</v>
      </c>
      <c r="B146" s="50" t="str">
        <f>IFERROR(VLOOKUP(A146,Briefing_Req!A:M,2,0),"")</f>
        <v>Funcional-Negócio</v>
      </c>
      <c r="C146" s="143" t="str">
        <f>IFERROR(IF(VLOOKUP(A146,Briefing_Req!A:M,13,0)&lt;&gt;"",VLOOKUP(A146,Briefing_Req!A:M,13,0),VLOOKUP(A146,Briefing_Req!A:M,3,0)),"")</f>
        <v>Garantir disponibilidade de estoque dos materiais que compõem kit início, permitindo que um material tenha sua venda priorizada para o kit (em detrimento a venda baseline)</v>
      </c>
      <c r="D146" s="78" t="s">
        <v>218</v>
      </c>
      <c r="E146" s="78" t="s">
        <v>219</v>
      </c>
      <c r="F146" s="78" t="s">
        <v>220</v>
      </c>
      <c r="G146" s="78"/>
      <c r="H146" s="78"/>
      <c r="I146" s="78"/>
      <c r="J146" s="78" t="s">
        <v>221</v>
      </c>
      <c r="K146" s="78" t="s">
        <v>222</v>
      </c>
      <c r="L146" s="78" t="s">
        <v>175</v>
      </c>
      <c r="M146" s="78" t="s">
        <v>196</v>
      </c>
      <c r="N146" s="78" t="s">
        <v>165</v>
      </c>
      <c r="O146" s="78" t="s">
        <v>223</v>
      </c>
      <c r="P146" s="79"/>
      <c r="Q146" s="79"/>
      <c r="R146" s="79"/>
      <c r="S146" s="175"/>
    </row>
    <row r="147" spans="1:19" s="67" customFormat="1" ht="78.75" customHeight="1">
      <c r="A147" s="141">
        <v>1</v>
      </c>
      <c r="B147" s="50" t="str">
        <f>IFERROR(VLOOKUP(A147,Briefing_Req!A:M,2,0),"")</f>
        <v>Funcional-Negócio</v>
      </c>
      <c r="C147" s="143" t="str">
        <f>IFERROR(IF(VLOOKUP(A147,Briefing_Req!A:M,13,0)&lt;&gt;"",VLOOKUP(A147,Briefing_Req!A:M,13,0),VLOOKUP(A147,Briefing_Req!A:M,3,0)),"")</f>
        <v>Garantir disponibilidade de estoque dos materiais que compõem kit início, permitindo que um material tenha sua venda priorizada para o kit (em detrimento a venda baseline)</v>
      </c>
      <c r="D147" s="72" t="s">
        <v>218</v>
      </c>
      <c r="E147" s="72" t="s">
        <v>224</v>
      </c>
      <c r="F147" s="72" t="s">
        <v>225</v>
      </c>
      <c r="G147" s="72"/>
      <c r="H147" s="72"/>
      <c r="I147" s="72"/>
      <c r="J147" s="72" t="s">
        <v>221</v>
      </c>
      <c r="K147" s="72" t="s">
        <v>226</v>
      </c>
      <c r="L147" s="72" t="s">
        <v>175</v>
      </c>
      <c r="M147" s="72" t="s">
        <v>197</v>
      </c>
      <c r="N147" s="72" t="s">
        <v>157</v>
      </c>
      <c r="O147" s="72" t="s">
        <v>223</v>
      </c>
      <c r="P147" s="73"/>
      <c r="Q147" s="73"/>
      <c r="R147" s="73"/>
      <c r="S147" s="73"/>
    </row>
    <row r="148" spans="1:19" s="67" customFormat="1" ht="78.75" customHeight="1">
      <c r="A148" s="141">
        <v>1</v>
      </c>
      <c r="B148" s="50" t="str">
        <f>IFERROR(VLOOKUP(A148,Briefing_Req!A:M,2,0),"")</f>
        <v>Funcional-Negócio</v>
      </c>
      <c r="C148" s="143" t="str">
        <f>IFERROR(IF(VLOOKUP(A148,Briefing_Req!A:M,13,0)&lt;&gt;"",VLOOKUP(A148,Briefing_Req!A:M,13,0),VLOOKUP(A148,Briefing_Req!A:M,3,0)),"")</f>
        <v>Garantir disponibilidade de estoque dos materiais que compõem kit início, permitindo que um material tenha sua venda priorizada para o kit (em detrimento a venda baseline)</v>
      </c>
      <c r="D148" s="72" t="s">
        <v>218</v>
      </c>
      <c r="E148" s="72" t="s">
        <v>227</v>
      </c>
      <c r="F148" s="72" t="s">
        <v>228</v>
      </c>
      <c r="G148" s="72"/>
      <c r="H148" s="72"/>
      <c r="I148" s="72"/>
      <c r="J148" s="72" t="s">
        <v>229</v>
      </c>
      <c r="K148" s="72" t="s">
        <v>226</v>
      </c>
      <c r="L148" s="72" t="s">
        <v>172</v>
      </c>
      <c r="M148" s="72" t="s">
        <v>194</v>
      </c>
      <c r="N148" s="72" t="s">
        <v>165</v>
      </c>
      <c r="O148" s="72" t="s">
        <v>223</v>
      </c>
      <c r="P148" s="73"/>
      <c r="Q148" s="73"/>
      <c r="R148" s="73"/>
      <c r="S148" s="73"/>
    </row>
    <row r="149" spans="1:19" s="67" customFormat="1" ht="114">
      <c r="A149" s="142">
        <v>2</v>
      </c>
      <c r="B149" s="50" t="str">
        <f>IFERROR(VLOOKUP(A149,Briefing_Req!A:M,2,0),"")</f>
        <v>Funcional-Partes Interessadas</v>
      </c>
      <c r="C149" s="143" t="str">
        <f>IFERROR(IF(VLOOKUP(A149,Briefing_Req!A:M,13,0)&lt;&gt;"",VLOOKUP(A149,Briefing_Req!A:M,13,0),VLOOKUP(A149,Briefing_Req!A:M,3,0)),"")</f>
        <v>Tela com filtro para selecionar o código de material definidos na Funcionalidade 1.1.
Resultado da consulta deve trazer código de material, descrição, quantidade reservada, quantidade total de estoque.
O resultado da consulta deverá ter um botão que permita o usuário exportar para um arquivo xls.</v>
      </c>
      <c r="D149" s="72" t="s">
        <v>230</v>
      </c>
      <c r="E149" s="72" t="s">
        <v>231</v>
      </c>
      <c r="F149" s="72" t="s">
        <v>107</v>
      </c>
      <c r="G149" s="72"/>
      <c r="H149" s="72"/>
      <c r="I149" s="72"/>
      <c r="J149" s="72" t="s">
        <v>221</v>
      </c>
      <c r="K149" s="72" t="s">
        <v>226</v>
      </c>
      <c r="L149" s="72" t="s">
        <v>182</v>
      </c>
      <c r="M149" s="72" t="s">
        <v>198</v>
      </c>
      <c r="N149" s="72" t="s">
        <v>165</v>
      </c>
      <c r="O149" s="72" t="s">
        <v>232</v>
      </c>
      <c r="P149" s="73"/>
      <c r="Q149" s="73"/>
      <c r="R149" s="73"/>
      <c r="S149" s="73"/>
    </row>
    <row r="150" spans="1:19" s="67" customFormat="1" ht="23.25" customHeight="1">
      <c r="A150" s="51"/>
      <c r="B150" s="50" t="str">
        <f>IFERROR(VLOOKUP(A150,Briefing_Req!A:M,2,0),"")</f>
        <v/>
      </c>
      <c r="C150" s="143" t="str">
        <f>IFERROR(IF(VLOOKUP(A150,Briefing_Req!A:M,13,0)&lt;&gt;"",VLOOKUP(A150,Briefing_Req!A:M,13,0),VLOOKUP(A150,Briefing_Req!A:M,3,0)),"")</f>
        <v/>
      </c>
      <c r="D150" s="51"/>
      <c r="E150" s="50"/>
      <c r="F150" s="51"/>
      <c r="G150" s="51"/>
      <c r="H150" s="51"/>
      <c r="I150" s="51"/>
      <c r="J150" s="51"/>
      <c r="K150" s="70"/>
      <c r="L150" s="72"/>
      <c r="M150" s="51"/>
      <c r="N150" s="51"/>
      <c r="O150" s="51"/>
      <c r="P150" s="69"/>
      <c r="Q150" s="69"/>
      <c r="R150" s="69"/>
      <c r="S150" s="69"/>
    </row>
    <row r="151" spans="1:19" s="67" customFormat="1" ht="23.25" customHeight="1">
      <c r="A151" s="51"/>
      <c r="B151" s="50" t="str">
        <f>IFERROR(VLOOKUP(A151,Briefing_Req!A:M,2,0),"")</f>
        <v/>
      </c>
      <c r="C151" s="143" t="str">
        <f>IFERROR(IF(VLOOKUP(A151,Briefing_Req!A:M,13,0)&lt;&gt;"",VLOOKUP(A151,Briefing_Req!A:M,13,0),VLOOKUP(A151,Briefing_Req!A:M,3,0)),"")</f>
        <v/>
      </c>
      <c r="D151" s="51"/>
      <c r="E151" s="50"/>
      <c r="F151" s="51"/>
      <c r="G151" s="51"/>
      <c r="H151" s="51"/>
      <c r="I151" s="51"/>
      <c r="J151" s="51"/>
      <c r="K151" s="70"/>
      <c r="L151" s="72"/>
      <c r="M151" s="51"/>
      <c r="N151" s="51"/>
      <c r="O151" s="51"/>
      <c r="P151" s="69"/>
      <c r="Q151" s="69"/>
      <c r="R151" s="69"/>
      <c r="S151" s="69"/>
    </row>
    <row r="152" spans="1:19" s="67" customFormat="1" ht="23.25" customHeight="1">
      <c r="A152" s="51"/>
      <c r="B152" s="50" t="str">
        <f>IFERROR(VLOOKUP(A152,Briefing_Req!A:M,2,0),"")</f>
        <v/>
      </c>
      <c r="C152" s="143" t="str">
        <f>IFERROR(IF(VLOOKUP(A152,Briefing_Req!A:M,13,0)&lt;&gt;"",VLOOKUP(A152,Briefing_Req!A:M,13,0),VLOOKUP(A152,Briefing_Req!A:M,3,0)),"")</f>
        <v/>
      </c>
      <c r="D152" s="51"/>
      <c r="E152" s="50"/>
      <c r="F152" s="51"/>
      <c r="G152" s="51"/>
      <c r="H152" s="51"/>
      <c r="I152" s="51"/>
      <c r="J152" s="51"/>
      <c r="K152" s="70"/>
      <c r="L152" s="72"/>
      <c r="M152" s="51"/>
      <c r="N152" s="51"/>
      <c r="O152" s="51"/>
      <c r="P152" s="69"/>
      <c r="Q152" s="69"/>
      <c r="R152" s="69"/>
      <c r="S152" s="69"/>
    </row>
    <row r="153" spans="1:19" s="67" customFormat="1" ht="23.25" customHeight="1">
      <c r="A153" s="51"/>
      <c r="B153" s="50" t="str">
        <f>IFERROR(VLOOKUP(A153,Briefing_Req!A:M,2,0),"")</f>
        <v/>
      </c>
      <c r="C153" s="143" t="str">
        <f>IFERROR(IF(VLOOKUP(A153,Briefing_Req!A:M,13,0)&lt;&gt;"",VLOOKUP(A153,Briefing_Req!A:M,13,0),VLOOKUP(A153,Briefing_Req!A:M,3,0)),"")</f>
        <v/>
      </c>
      <c r="D153" s="51"/>
      <c r="E153" s="50"/>
      <c r="F153" s="51"/>
      <c r="G153" s="51"/>
      <c r="H153" s="51"/>
      <c r="I153" s="51"/>
      <c r="J153" s="51"/>
      <c r="K153" s="70"/>
      <c r="L153" s="72"/>
      <c r="M153" s="51"/>
      <c r="N153" s="51"/>
      <c r="O153" s="51"/>
      <c r="P153" s="69"/>
      <c r="Q153" s="69"/>
      <c r="R153" s="69"/>
      <c r="S153" s="69"/>
    </row>
    <row r="154" spans="1:19" s="67" customFormat="1" ht="23.25" customHeight="1">
      <c r="A154" s="51"/>
      <c r="B154" s="50" t="str">
        <f>IFERROR(VLOOKUP(A154,Briefing_Req!A:M,2,0),"")</f>
        <v/>
      </c>
      <c r="C154" s="143" t="str">
        <f>IFERROR(IF(VLOOKUP(A154,Briefing_Req!A:M,13,0)&lt;&gt;"",VLOOKUP(A154,Briefing_Req!A:M,13,0),VLOOKUP(A154,Briefing_Req!A:M,3,0)),"")</f>
        <v/>
      </c>
      <c r="D154" s="51"/>
      <c r="E154" s="50"/>
      <c r="F154" s="51"/>
      <c r="G154" s="51"/>
      <c r="H154" s="51"/>
      <c r="I154" s="51"/>
      <c r="J154" s="51"/>
      <c r="K154" s="70"/>
      <c r="L154" s="72"/>
      <c r="M154" s="51"/>
      <c r="N154" s="51"/>
      <c r="O154" s="51"/>
      <c r="P154" s="69"/>
      <c r="Q154" s="69"/>
      <c r="R154" s="69"/>
      <c r="S154" s="69"/>
    </row>
    <row r="155" spans="1:19" s="67" customFormat="1" ht="23.25" customHeight="1">
      <c r="A155" s="51"/>
      <c r="B155" s="50" t="str">
        <f>IFERROR(VLOOKUP(A155,Briefing_Req!A:M,2,0),"")</f>
        <v/>
      </c>
      <c r="C155" s="143" t="str">
        <f>IFERROR(IF(VLOOKUP(A155,Briefing_Req!A:M,13,0)&lt;&gt;"",VLOOKUP(A155,Briefing_Req!A:M,13,0),VLOOKUP(A155,Briefing_Req!A:M,3,0)),"")</f>
        <v/>
      </c>
      <c r="D155" s="51"/>
      <c r="E155" s="50"/>
      <c r="F155" s="51"/>
      <c r="G155" s="51"/>
      <c r="H155" s="51"/>
      <c r="I155" s="51"/>
      <c r="J155" s="51"/>
      <c r="K155" s="70"/>
      <c r="L155" s="72"/>
      <c r="M155" s="51"/>
      <c r="N155" s="51"/>
      <c r="O155" s="51"/>
      <c r="P155" s="69"/>
      <c r="Q155" s="69"/>
      <c r="R155" s="69"/>
      <c r="S155" s="69"/>
    </row>
    <row r="156" spans="1:19" ht="23.25" customHeight="1">
      <c r="A156" s="51"/>
      <c r="B156" s="50" t="str">
        <f>IFERROR(VLOOKUP(A156,Briefing_Req!A:M,2,0),"")</f>
        <v/>
      </c>
      <c r="C156" s="143" t="str">
        <f>IFERROR(IF(VLOOKUP(A156,Briefing_Req!A:M,13,0)&lt;&gt;"",VLOOKUP(A156,Briefing_Req!A:M,13,0),VLOOKUP(A156,Briefing_Req!A:M,3,0)),"")</f>
        <v/>
      </c>
      <c r="D156" s="51"/>
      <c r="E156" s="50"/>
      <c r="F156" s="51"/>
      <c r="G156" s="51"/>
      <c r="H156" s="51"/>
      <c r="I156" s="51"/>
      <c r="J156" s="51"/>
      <c r="K156" s="70"/>
      <c r="L156" s="72"/>
      <c r="M156" s="51"/>
      <c r="N156" s="51"/>
      <c r="O156" s="51"/>
      <c r="P156" s="69"/>
      <c r="Q156" s="69"/>
      <c r="R156" s="69"/>
      <c r="S156" s="69"/>
    </row>
    <row r="157" spans="1:19" ht="23.25" customHeight="1">
      <c r="A157" s="51"/>
      <c r="B157" s="50" t="str">
        <f>IFERROR(VLOOKUP(A157,Briefing_Req!A:M,2,0),"")</f>
        <v/>
      </c>
      <c r="C157" s="143" t="str">
        <f>IFERROR(IF(VLOOKUP(A157,Briefing_Req!A:M,13,0)&lt;&gt;"",VLOOKUP(A157,Briefing_Req!A:M,13,0),VLOOKUP(A157,Briefing_Req!A:M,3,0)),"")</f>
        <v/>
      </c>
      <c r="D157" s="51"/>
      <c r="E157" s="50"/>
      <c r="F157" s="51"/>
      <c r="G157" s="51"/>
      <c r="H157" s="51"/>
      <c r="I157" s="51"/>
      <c r="J157" s="51"/>
      <c r="K157" s="70"/>
      <c r="L157" s="72"/>
      <c r="M157" s="51"/>
      <c r="N157" s="51"/>
      <c r="O157" s="51"/>
      <c r="P157" s="69"/>
      <c r="Q157" s="69"/>
      <c r="R157" s="69"/>
      <c r="S157" s="69"/>
    </row>
    <row r="158" spans="1:19" ht="23.25" customHeight="1">
      <c r="A158" s="51"/>
      <c r="B158" s="50" t="str">
        <f>IFERROR(VLOOKUP(A158,Briefing_Req!A:M,2,0),"")</f>
        <v/>
      </c>
      <c r="C158" s="143" t="str">
        <f>IFERROR(IF(VLOOKUP(A158,Briefing_Req!A:M,13,0)&lt;&gt;"",VLOOKUP(A158,Briefing_Req!A:M,13,0),VLOOKUP(A158,Briefing_Req!A:M,3,0)),"")</f>
        <v/>
      </c>
      <c r="D158" s="51"/>
      <c r="E158" s="50"/>
      <c r="F158" s="51"/>
      <c r="G158" s="51"/>
      <c r="H158" s="51"/>
      <c r="I158" s="51"/>
      <c r="J158" s="51"/>
      <c r="K158" s="70"/>
      <c r="L158" s="72"/>
      <c r="M158" s="51"/>
      <c r="N158" s="51"/>
      <c r="O158" s="51"/>
      <c r="P158" s="69"/>
      <c r="Q158" s="69"/>
      <c r="R158" s="69"/>
      <c r="S158" s="69"/>
    </row>
    <row r="159" spans="1:19" ht="23.25" customHeight="1">
      <c r="A159" s="51"/>
      <c r="B159" s="50" t="str">
        <f>IFERROR(VLOOKUP(A159,Briefing_Req!A:M,2,0),"")</f>
        <v/>
      </c>
      <c r="C159" s="143" t="str">
        <f>IFERROR(IF(VLOOKUP(A159,Briefing_Req!A:M,13,0)&lt;&gt;"",VLOOKUP(A159,Briefing_Req!A:M,13,0),VLOOKUP(A159,Briefing_Req!A:M,3,0)),"")</f>
        <v/>
      </c>
      <c r="D159" s="51"/>
      <c r="E159" s="50"/>
      <c r="F159" s="51"/>
      <c r="G159" s="51"/>
      <c r="H159" s="51"/>
      <c r="I159" s="51"/>
      <c r="J159" s="51"/>
      <c r="K159" s="70"/>
      <c r="L159" s="72"/>
      <c r="M159" s="51"/>
      <c r="N159" s="51"/>
      <c r="O159" s="51"/>
      <c r="P159" s="69"/>
      <c r="Q159" s="69"/>
      <c r="R159" s="69"/>
      <c r="S159" s="69"/>
    </row>
    <row r="160" spans="1:19" ht="23.25" customHeight="1">
      <c r="A160" s="51"/>
      <c r="B160" s="50" t="str">
        <f>IFERROR(VLOOKUP(A160,Briefing_Req!A:M,2,0),"")</f>
        <v/>
      </c>
      <c r="C160" s="143" t="str">
        <f>IFERROR(IF(VLOOKUP(A160,Briefing_Req!A:M,13,0)&lt;&gt;"",VLOOKUP(A160,Briefing_Req!A:M,13,0),VLOOKUP(A160,Briefing_Req!A:M,3,0)),"")</f>
        <v/>
      </c>
      <c r="D160" s="51"/>
      <c r="E160" s="50"/>
      <c r="F160" s="51"/>
      <c r="G160" s="51"/>
      <c r="H160" s="51"/>
      <c r="I160" s="51"/>
      <c r="J160" s="51"/>
      <c r="K160" s="70"/>
      <c r="L160" s="72"/>
      <c r="M160" s="51"/>
      <c r="N160" s="51"/>
      <c r="O160" s="51"/>
      <c r="P160" s="69"/>
      <c r="Q160" s="69"/>
      <c r="R160" s="69"/>
      <c r="S160" s="69"/>
    </row>
    <row r="161" spans="1:19" ht="23.25" customHeight="1">
      <c r="A161" s="51"/>
      <c r="B161" s="50" t="str">
        <f>IFERROR(VLOOKUP(A161,Briefing_Req!A:M,2,0),"")</f>
        <v/>
      </c>
      <c r="C161" s="143" t="str">
        <f>IFERROR(IF(VLOOKUP(A161,Briefing_Req!A:M,13,0)&lt;&gt;"",VLOOKUP(A161,Briefing_Req!A:M,13,0),VLOOKUP(A161,Briefing_Req!A:M,3,0)),"")</f>
        <v/>
      </c>
      <c r="D161" s="51"/>
      <c r="E161" s="50"/>
      <c r="F161" s="51"/>
      <c r="G161" s="51"/>
      <c r="H161" s="51"/>
      <c r="I161" s="51"/>
      <c r="J161" s="51"/>
      <c r="K161" s="70"/>
      <c r="L161" s="72"/>
      <c r="M161" s="51"/>
      <c r="N161" s="51"/>
      <c r="O161" s="51"/>
      <c r="P161" s="69"/>
      <c r="Q161" s="69"/>
      <c r="R161" s="69"/>
      <c r="S161" s="69"/>
    </row>
    <row r="162" spans="1:19" ht="23.25" customHeight="1">
      <c r="A162" s="51"/>
      <c r="B162" s="50" t="str">
        <f>IFERROR(VLOOKUP(A162,Briefing_Req!A:M,2,0),"")</f>
        <v/>
      </c>
      <c r="C162" s="143" t="str">
        <f>IFERROR(IF(VLOOKUP(A162,Briefing_Req!A:M,13,0)&lt;&gt;"",VLOOKUP(A162,Briefing_Req!A:M,13,0),VLOOKUP(A162,Briefing_Req!A:M,3,0)),"")</f>
        <v/>
      </c>
      <c r="D162" s="51"/>
      <c r="E162" s="50"/>
      <c r="F162" s="51"/>
      <c r="G162" s="51"/>
      <c r="H162" s="51"/>
      <c r="I162" s="51"/>
      <c r="J162" s="51"/>
      <c r="K162" s="70"/>
      <c r="L162" s="72"/>
      <c r="M162" s="51"/>
      <c r="N162" s="51"/>
      <c r="O162" s="51"/>
      <c r="P162" s="69"/>
      <c r="Q162" s="69"/>
      <c r="R162" s="69"/>
      <c r="S162" s="69"/>
    </row>
    <row r="163" spans="1:19" ht="23.25" customHeight="1">
      <c r="A163" s="51"/>
      <c r="B163" s="50" t="str">
        <f>IFERROR(VLOOKUP(A163,Briefing_Req!A:M,2,0),"")</f>
        <v/>
      </c>
      <c r="C163" s="143" t="str">
        <f>IFERROR(IF(VLOOKUP(A163,Briefing_Req!A:M,13,0)&lt;&gt;"",VLOOKUP(A163,Briefing_Req!A:M,13,0),VLOOKUP(A163,Briefing_Req!A:M,3,0)),"")</f>
        <v/>
      </c>
      <c r="D163" s="51"/>
      <c r="E163" s="50"/>
      <c r="F163" s="51"/>
      <c r="G163" s="51"/>
      <c r="H163" s="51"/>
      <c r="I163" s="51"/>
      <c r="J163" s="51"/>
      <c r="K163" s="70"/>
      <c r="L163" s="72"/>
      <c r="M163" s="51"/>
      <c r="N163" s="51"/>
      <c r="O163" s="51"/>
      <c r="P163" s="69"/>
      <c r="Q163" s="69"/>
      <c r="R163" s="69"/>
      <c r="S163" s="69"/>
    </row>
    <row r="164" spans="1:19" ht="23.25" customHeight="1">
      <c r="A164" s="51"/>
      <c r="B164" s="50" t="str">
        <f>IFERROR(VLOOKUP(A164,Briefing_Req!A:M,2,0),"")</f>
        <v/>
      </c>
      <c r="C164" s="143" t="str">
        <f>IFERROR(IF(VLOOKUP(A164,Briefing_Req!A:M,13,0)&lt;&gt;"",VLOOKUP(A164,Briefing_Req!A:M,13,0),VLOOKUP(A164,Briefing_Req!A:M,3,0)),"")</f>
        <v/>
      </c>
      <c r="D164" s="51"/>
      <c r="E164" s="50"/>
      <c r="F164" s="51"/>
      <c r="G164" s="51"/>
      <c r="H164" s="51"/>
      <c r="I164" s="51"/>
      <c r="J164" s="51"/>
      <c r="K164" s="70"/>
      <c r="L164" s="72"/>
      <c r="M164" s="51"/>
      <c r="N164" s="51"/>
      <c r="O164" s="51"/>
      <c r="P164" s="69"/>
      <c r="Q164" s="69"/>
      <c r="R164" s="69"/>
      <c r="S164" s="69"/>
    </row>
    <row r="165" spans="1:19" ht="23.25" customHeight="1">
      <c r="A165" s="51"/>
      <c r="B165" s="50" t="str">
        <f>IFERROR(VLOOKUP(A165,Briefing_Req!A:M,2,0),"")</f>
        <v/>
      </c>
      <c r="C165" s="143" t="str">
        <f>IFERROR(IF(VLOOKUP(A165,Briefing_Req!A:M,13,0)&lt;&gt;"",VLOOKUP(A165,Briefing_Req!A:M,13,0),VLOOKUP(A165,Briefing_Req!A:M,3,0)),"")</f>
        <v/>
      </c>
      <c r="D165" s="51"/>
      <c r="E165" s="50"/>
      <c r="F165" s="51"/>
      <c r="G165" s="51"/>
      <c r="H165" s="51"/>
      <c r="I165" s="51"/>
      <c r="J165" s="51"/>
      <c r="K165" s="70"/>
      <c r="L165" s="72"/>
      <c r="M165" s="51"/>
      <c r="N165" s="51"/>
      <c r="O165" s="51"/>
      <c r="P165" s="69"/>
      <c r="Q165" s="69"/>
      <c r="R165" s="69"/>
      <c r="S165" s="69"/>
    </row>
    <row r="166" spans="1:19" ht="23.25" customHeight="1">
      <c r="A166" s="51"/>
      <c r="B166" s="50" t="str">
        <f>IFERROR(VLOOKUP(A166,Briefing_Req!A:M,2,0),"")</f>
        <v/>
      </c>
      <c r="C166" s="143" t="str">
        <f>IFERROR(IF(VLOOKUP(A166,Briefing_Req!A:M,13,0)&lt;&gt;"",VLOOKUP(A166,Briefing_Req!A:M,13,0),VLOOKUP(A166,Briefing_Req!A:M,3,0)),"")</f>
        <v/>
      </c>
      <c r="D166" s="51"/>
      <c r="E166" s="50"/>
      <c r="F166" s="51"/>
      <c r="G166" s="51"/>
      <c r="H166" s="51"/>
      <c r="I166" s="51"/>
      <c r="J166" s="51"/>
      <c r="K166" s="70"/>
      <c r="L166" s="72"/>
      <c r="M166" s="51"/>
      <c r="N166" s="51"/>
      <c r="O166" s="51"/>
      <c r="P166" s="69"/>
      <c r="Q166" s="69"/>
      <c r="R166" s="69"/>
      <c r="S166" s="69"/>
    </row>
    <row r="167" spans="1:19" ht="23.25" customHeight="1">
      <c r="A167" s="51"/>
      <c r="B167" s="50" t="str">
        <f>IFERROR(VLOOKUP(A167,Briefing_Req!A:M,2,0),"")</f>
        <v/>
      </c>
      <c r="C167" s="143" t="str">
        <f>IFERROR(IF(VLOOKUP(A167,Briefing_Req!A:M,13,0)&lt;&gt;"",VLOOKUP(A167,Briefing_Req!A:M,13,0),VLOOKUP(A167,Briefing_Req!A:M,3,0)),"")</f>
        <v/>
      </c>
      <c r="D167" s="51"/>
      <c r="E167" s="50"/>
      <c r="F167" s="51"/>
      <c r="G167" s="51"/>
      <c r="H167" s="51"/>
      <c r="I167" s="51"/>
      <c r="J167" s="51"/>
      <c r="K167" s="70"/>
      <c r="L167" s="72"/>
      <c r="M167" s="51"/>
      <c r="N167" s="51"/>
      <c r="O167" s="51"/>
      <c r="P167" s="69"/>
      <c r="Q167" s="69"/>
      <c r="R167" s="69"/>
      <c r="S167" s="69"/>
    </row>
    <row r="168" spans="1:19" ht="23.25" customHeight="1">
      <c r="A168" s="51"/>
      <c r="B168" s="50" t="str">
        <f>IFERROR(VLOOKUP(A168,Briefing_Req!A:M,2,0),"")</f>
        <v/>
      </c>
      <c r="C168" s="143" t="str">
        <f>IFERROR(IF(VLOOKUP(A168,Briefing_Req!A:M,13,0)&lt;&gt;"",VLOOKUP(A168,Briefing_Req!A:M,13,0),VLOOKUP(A168,Briefing_Req!A:M,3,0)),"")</f>
        <v/>
      </c>
      <c r="D168" s="51"/>
      <c r="E168" s="50"/>
      <c r="F168" s="51"/>
      <c r="G168" s="51"/>
      <c r="H168" s="51"/>
      <c r="I168" s="51"/>
      <c r="J168" s="51"/>
      <c r="K168" s="70"/>
      <c r="L168" s="72"/>
      <c r="M168" s="51"/>
      <c r="N168" s="51"/>
      <c r="O168" s="51"/>
      <c r="P168" s="69"/>
      <c r="Q168" s="69"/>
      <c r="R168" s="69"/>
      <c r="S168" s="69"/>
    </row>
    <row r="169" spans="1:19" ht="23.25" customHeight="1">
      <c r="A169" s="51"/>
      <c r="B169" s="50" t="str">
        <f>IFERROR(VLOOKUP(A169,Briefing_Req!A:M,2,0),"")</f>
        <v/>
      </c>
      <c r="C169" s="143" t="str">
        <f>IFERROR(IF(VLOOKUP(A169,Briefing_Req!A:M,13,0)&lt;&gt;"",VLOOKUP(A169,Briefing_Req!A:M,13,0),VLOOKUP(A169,Briefing_Req!A:M,3,0)),"")</f>
        <v/>
      </c>
      <c r="D169" s="51"/>
      <c r="E169" s="50"/>
      <c r="F169" s="51"/>
      <c r="G169" s="51"/>
      <c r="H169" s="51"/>
      <c r="I169" s="51"/>
      <c r="J169" s="51"/>
      <c r="K169" s="70"/>
      <c r="L169" s="72"/>
      <c r="M169" s="51"/>
      <c r="N169" s="51"/>
      <c r="O169" s="51"/>
      <c r="P169" s="69"/>
      <c r="Q169" s="69"/>
      <c r="R169" s="69"/>
      <c r="S169" s="69"/>
    </row>
    <row r="170" spans="1:19" ht="23.25" customHeight="1">
      <c r="A170" s="51"/>
      <c r="B170" s="50" t="str">
        <f>IFERROR(VLOOKUP(A170,Briefing_Req!A:M,2,0),"")</f>
        <v/>
      </c>
      <c r="C170" s="143" t="str">
        <f>IFERROR(IF(VLOOKUP(A170,Briefing_Req!A:M,13,0)&lt;&gt;"",VLOOKUP(A170,Briefing_Req!A:M,13,0),VLOOKUP(A170,Briefing_Req!A:M,3,0)),"")</f>
        <v/>
      </c>
      <c r="D170" s="51"/>
      <c r="E170" s="50"/>
      <c r="F170" s="51"/>
      <c r="G170" s="51"/>
      <c r="H170" s="51"/>
      <c r="I170" s="51"/>
      <c r="J170" s="51"/>
      <c r="K170" s="70"/>
      <c r="L170" s="72"/>
      <c r="M170" s="51"/>
      <c r="N170" s="51"/>
      <c r="O170" s="51"/>
      <c r="P170" s="69"/>
      <c r="Q170" s="69"/>
      <c r="R170" s="69"/>
      <c r="S170" s="69"/>
    </row>
    <row r="171" spans="1:19" ht="23.25" customHeight="1">
      <c r="A171" s="51"/>
      <c r="B171" s="50" t="str">
        <f>IFERROR(VLOOKUP(A171,Briefing_Req!A:M,2,0),"")</f>
        <v/>
      </c>
      <c r="C171" s="143" t="str">
        <f>IFERROR(IF(VLOOKUP(A171,Briefing_Req!A:M,13,0)&lt;&gt;"",VLOOKUP(A171,Briefing_Req!A:M,13,0),VLOOKUP(A171,Briefing_Req!A:M,3,0)),"")</f>
        <v/>
      </c>
      <c r="D171" s="51"/>
      <c r="E171" s="50"/>
      <c r="F171" s="51"/>
      <c r="G171" s="51"/>
      <c r="H171" s="51"/>
      <c r="I171" s="51"/>
      <c r="J171" s="51"/>
      <c r="K171" s="70"/>
      <c r="L171" s="72"/>
      <c r="M171" s="51"/>
      <c r="N171" s="51"/>
      <c r="O171" s="51"/>
      <c r="P171" s="69"/>
      <c r="Q171" s="69"/>
      <c r="R171" s="69"/>
      <c r="S171" s="69"/>
    </row>
    <row r="172" spans="1:19" ht="23.25" customHeight="1">
      <c r="A172" s="51"/>
      <c r="B172" s="50" t="str">
        <f>IFERROR(VLOOKUP(A172,Briefing_Req!A:M,2,0),"")</f>
        <v/>
      </c>
      <c r="C172" s="143" t="str">
        <f>IFERROR(IF(VLOOKUP(A172,Briefing_Req!A:M,13,0)&lt;&gt;"",VLOOKUP(A172,Briefing_Req!A:M,13,0),VLOOKUP(A172,Briefing_Req!A:M,3,0)),"")</f>
        <v/>
      </c>
      <c r="D172" s="51"/>
      <c r="E172" s="50"/>
      <c r="F172" s="51"/>
      <c r="G172" s="51"/>
      <c r="H172" s="51"/>
      <c r="I172" s="51"/>
      <c r="J172" s="51"/>
      <c r="K172" s="70"/>
      <c r="L172" s="72"/>
      <c r="M172" s="51"/>
      <c r="N172" s="51"/>
      <c r="O172" s="51"/>
      <c r="P172" s="69"/>
      <c r="Q172" s="69"/>
      <c r="R172" s="69"/>
      <c r="S172" s="69"/>
    </row>
    <row r="173" spans="1:19" ht="23.25" customHeight="1">
      <c r="A173" s="51"/>
      <c r="B173" s="50" t="str">
        <f>IFERROR(VLOOKUP(A173,Briefing_Req!A:M,2,0),"")</f>
        <v/>
      </c>
      <c r="C173" s="143" t="str">
        <f>IFERROR(IF(VLOOKUP(A173,Briefing_Req!A:M,13,0)&lt;&gt;"",VLOOKUP(A173,Briefing_Req!A:M,13,0),VLOOKUP(A173,Briefing_Req!A:M,3,0)),"")</f>
        <v/>
      </c>
      <c r="D173" s="51"/>
      <c r="E173" s="50"/>
      <c r="F173" s="51"/>
      <c r="G173" s="51"/>
      <c r="H173" s="51"/>
      <c r="I173" s="51"/>
      <c r="J173" s="51"/>
      <c r="K173" s="70"/>
      <c r="L173" s="72"/>
      <c r="M173" s="51"/>
      <c r="N173" s="51"/>
      <c r="O173" s="51"/>
      <c r="P173" s="69"/>
      <c r="Q173" s="69"/>
      <c r="R173" s="69"/>
      <c r="S173" s="69"/>
    </row>
    <row r="174" spans="1:19" ht="23.25" customHeight="1">
      <c r="A174" s="51"/>
      <c r="B174" s="50" t="str">
        <f>IFERROR(VLOOKUP(A174,Briefing_Req!A:M,2,0),"")</f>
        <v/>
      </c>
      <c r="C174" s="143" t="str">
        <f>IFERROR(IF(VLOOKUP(A174,Briefing_Req!A:M,13,0)&lt;&gt;"",VLOOKUP(A174,Briefing_Req!A:M,13,0),VLOOKUP(A174,Briefing_Req!A:M,3,0)),"")</f>
        <v/>
      </c>
      <c r="D174" s="51"/>
      <c r="E174" s="50"/>
      <c r="F174" s="51"/>
      <c r="G174" s="51"/>
      <c r="H174" s="51"/>
      <c r="I174" s="51"/>
      <c r="J174" s="51"/>
      <c r="K174" s="70"/>
      <c r="L174" s="72"/>
      <c r="M174" s="51"/>
      <c r="N174" s="51"/>
      <c r="O174" s="51"/>
      <c r="P174" s="69"/>
      <c r="Q174" s="69"/>
      <c r="R174" s="69"/>
      <c r="S174" s="69"/>
    </row>
    <row r="175" spans="1:19" ht="23.25" customHeight="1">
      <c r="A175" s="51"/>
      <c r="B175" s="50" t="str">
        <f>IFERROR(VLOOKUP(A175,Briefing_Req!A:M,2,0),"")</f>
        <v/>
      </c>
      <c r="C175" s="143" t="str">
        <f>IFERROR(IF(VLOOKUP(A175,Briefing_Req!A:M,13,0)&lt;&gt;"",VLOOKUP(A175,Briefing_Req!A:M,13,0),VLOOKUP(A175,Briefing_Req!A:M,3,0)),"")</f>
        <v/>
      </c>
      <c r="D175" s="51"/>
      <c r="E175" s="50"/>
      <c r="F175" s="51"/>
      <c r="G175" s="51"/>
      <c r="H175" s="51"/>
      <c r="I175" s="51"/>
      <c r="J175" s="51"/>
      <c r="K175" s="70"/>
      <c r="L175" s="72"/>
      <c r="M175" s="51"/>
      <c r="N175" s="51"/>
      <c r="O175" s="51"/>
      <c r="P175" s="69"/>
      <c r="Q175" s="69"/>
      <c r="R175" s="69"/>
      <c r="S175" s="69"/>
    </row>
    <row r="176" spans="1:19" ht="23.25" customHeight="1">
      <c r="A176" s="51"/>
      <c r="B176" s="50" t="str">
        <f>IFERROR(VLOOKUP(A176,Briefing_Req!A:M,2,0),"")</f>
        <v/>
      </c>
      <c r="C176" s="143" t="str">
        <f>IFERROR(IF(VLOOKUP(A176,Briefing_Req!A:M,13,0)&lt;&gt;"",VLOOKUP(A176,Briefing_Req!A:M,13,0),VLOOKUP(A176,Briefing_Req!A:M,3,0)),"")</f>
        <v/>
      </c>
      <c r="D176" s="51"/>
      <c r="E176" s="50"/>
      <c r="F176" s="51"/>
      <c r="G176" s="51"/>
      <c r="H176" s="51"/>
      <c r="I176" s="51"/>
      <c r="J176" s="51"/>
      <c r="K176" s="70"/>
      <c r="L176" s="72"/>
      <c r="M176" s="51"/>
      <c r="N176" s="51"/>
      <c r="O176" s="51"/>
      <c r="P176" s="69"/>
      <c r="Q176" s="69"/>
      <c r="R176" s="69"/>
      <c r="S176" s="69"/>
    </row>
    <row r="177" spans="1:19" ht="23.25" customHeight="1">
      <c r="A177" s="51"/>
      <c r="B177" s="50" t="str">
        <f>IFERROR(VLOOKUP(A177,Briefing_Req!A:M,2,0),"")</f>
        <v/>
      </c>
      <c r="C177" s="143" t="str">
        <f>IFERROR(IF(VLOOKUP(A177,Briefing_Req!A:M,13,0)&lt;&gt;"",VLOOKUP(A177,Briefing_Req!A:M,13,0),VLOOKUP(A177,Briefing_Req!A:M,3,0)),"")</f>
        <v/>
      </c>
      <c r="D177" s="51"/>
      <c r="E177" s="50"/>
      <c r="F177" s="51"/>
      <c r="G177" s="51"/>
      <c r="H177" s="51"/>
      <c r="I177" s="51"/>
      <c r="J177" s="51"/>
      <c r="K177" s="70"/>
      <c r="L177" s="72"/>
      <c r="M177" s="51"/>
      <c r="N177" s="51"/>
      <c r="O177" s="51"/>
      <c r="P177" s="69"/>
      <c r="Q177" s="69"/>
      <c r="R177" s="69"/>
      <c r="S177" s="69"/>
    </row>
    <row r="178" spans="1:19" ht="23.25" customHeight="1">
      <c r="A178" s="51"/>
      <c r="B178" s="50" t="str">
        <f>IFERROR(VLOOKUP(A178,Briefing_Req!A:M,2,0),"")</f>
        <v/>
      </c>
      <c r="C178" s="143" t="str">
        <f>IFERROR(IF(VLOOKUP(A178,Briefing_Req!A:M,13,0)&lt;&gt;"",VLOOKUP(A178,Briefing_Req!A:M,13,0),VLOOKUP(A178,Briefing_Req!A:M,3,0)),"")</f>
        <v/>
      </c>
      <c r="D178" s="51"/>
      <c r="E178" s="50"/>
      <c r="F178" s="51"/>
      <c r="G178" s="51"/>
      <c r="H178" s="51"/>
      <c r="I178" s="51"/>
      <c r="J178" s="51"/>
      <c r="K178" s="70"/>
      <c r="L178" s="72"/>
      <c r="M178" s="51"/>
      <c r="N178" s="51"/>
      <c r="O178" s="51"/>
      <c r="P178" s="69"/>
      <c r="Q178" s="69"/>
      <c r="R178" s="69"/>
      <c r="S178" s="69"/>
    </row>
    <row r="179" spans="1:19" ht="23.25" customHeight="1">
      <c r="A179" s="51"/>
      <c r="B179" s="50" t="str">
        <f>IFERROR(VLOOKUP(A179,Briefing_Req!A:M,2,0),"")</f>
        <v/>
      </c>
      <c r="C179" s="143" t="str">
        <f>IFERROR(IF(VLOOKUP(A179,Briefing_Req!A:M,13,0)&lt;&gt;"",VLOOKUP(A179,Briefing_Req!A:M,13,0),VLOOKUP(A179,Briefing_Req!A:M,3,0)),"")</f>
        <v/>
      </c>
      <c r="D179" s="51"/>
      <c r="E179" s="50"/>
      <c r="F179" s="51"/>
      <c r="G179" s="51"/>
      <c r="H179" s="51"/>
      <c r="I179" s="51"/>
      <c r="J179" s="51"/>
      <c r="K179" s="70"/>
      <c r="L179" s="72"/>
      <c r="M179" s="51"/>
      <c r="N179" s="51"/>
      <c r="O179" s="51"/>
      <c r="P179" s="69"/>
      <c r="Q179" s="69"/>
      <c r="R179" s="69"/>
      <c r="S179" s="69"/>
    </row>
    <row r="180" spans="1:19" ht="23.25" customHeight="1">
      <c r="A180" s="51"/>
      <c r="B180" s="50" t="str">
        <f>IFERROR(VLOOKUP(A180,Briefing_Req!A:M,2,0),"")</f>
        <v/>
      </c>
      <c r="C180" s="143" t="str">
        <f>IFERROR(IF(VLOOKUP(A180,Briefing_Req!A:M,13,0)&lt;&gt;"",VLOOKUP(A180,Briefing_Req!A:M,13,0),VLOOKUP(A180,Briefing_Req!A:M,3,0)),"")</f>
        <v/>
      </c>
      <c r="D180" s="51"/>
      <c r="E180" s="50"/>
      <c r="F180" s="51"/>
      <c r="G180" s="51"/>
      <c r="H180" s="51"/>
      <c r="I180" s="51"/>
      <c r="J180" s="51"/>
      <c r="K180" s="70"/>
      <c r="L180" s="72"/>
      <c r="M180" s="51"/>
      <c r="N180" s="51"/>
      <c r="O180" s="51"/>
      <c r="P180" s="69"/>
      <c r="Q180" s="69"/>
      <c r="R180" s="69"/>
      <c r="S180" s="69"/>
    </row>
    <row r="181" spans="1:19" ht="23.25" customHeight="1">
      <c r="A181" s="51"/>
      <c r="B181" s="50" t="str">
        <f>IFERROR(VLOOKUP(A181,Briefing_Req!A:M,2,0),"")</f>
        <v/>
      </c>
      <c r="C181" s="143" t="str">
        <f>IFERROR(IF(VLOOKUP(A181,Briefing_Req!A:M,13,0)&lt;&gt;"",VLOOKUP(A181,Briefing_Req!A:M,13,0),VLOOKUP(A181,Briefing_Req!A:M,3,0)),"")</f>
        <v/>
      </c>
      <c r="D181" s="51"/>
      <c r="E181" s="50"/>
      <c r="F181" s="51"/>
      <c r="G181" s="51"/>
      <c r="H181" s="51"/>
      <c r="I181" s="51"/>
      <c r="J181" s="51"/>
      <c r="K181" s="70"/>
      <c r="L181" s="72"/>
      <c r="M181" s="51"/>
      <c r="N181" s="51"/>
      <c r="O181" s="51"/>
      <c r="P181" s="69"/>
      <c r="Q181" s="69"/>
      <c r="R181" s="69"/>
      <c r="S181" s="69"/>
    </row>
    <row r="182" spans="1:19" ht="23.25" customHeight="1">
      <c r="A182" s="51"/>
      <c r="B182" s="50" t="str">
        <f>IFERROR(VLOOKUP(A182,Briefing_Req!A:M,2,0),"")</f>
        <v/>
      </c>
      <c r="C182" s="143" t="str">
        <f>IFERROR(IF(VLOOKUP(A182,Briefing_Req!A:M,13,0)&lt;&gt;"",VLOOKUP(A182,Briefing_Req!A:M,13,0),VLOOKUP(A182,Briefing_Req!A:M,3,0)),"")</f>
        <v/>
      </c>
      <c r="D182" s="51"/>
      <c r="E182" s="50"/>
      <c r="F182" s="51"/>
      <c r="G182" s="51"/>
      <c r="H182" s="51"/>
      <c r="I182" s="51"/>
      <c r="J182" s="51"/>
      <c r="K182" s="70"/>
      <c r="L182" s="72"/>
      <c r="M182" s="51"/>
      <c r="N182" s="51"/>
      <c r="O182" s="51"/>
      <c r="P182" s="69"/>
      <c r="Q182" s="69"/>
      <c r="R182" s="69"/>
      <c r="S182" s="69"/>
    </row>
    <row r="183" spans="1:19" ht="23.25" customHeight="1">
      <c r="A183" s="51"/>
      <c r="B183" s="50" t="str">
        <f>IFERROR(VLOOKUP(A183,Briefing_Req!A:M,2,0),"")</f>
        <v/>
      </c>
      <c r="C183" s="143" t="str">
        <f>IFERROR(IF(VLOOKUP(A183,Briefing_Req!A:M,13,0)&lt;&gt;"",VLOOKUP(A183,Briefing_Req!A:M,13,0),VLOOKUP(A183,Briefing_Req!A:M,3,0)),"")</f>
        <v/>
      </c>
      <c r="D183" s="51"/>
      <c r="E183" s="50"/>
      <c r="F183" s="51"/>
      <c r="G183" s="51"/>
      <c r="H183" s="51"/>
      <c r="I183" s="51"/>
      <c r="J183" s="51"/>
      <c r="K183" s="70"/>
      <c r="L183" s="72"/>
      <c r="M183" s="51"/>
      <c r="N183" s="51"/>
      <c r="O183" s="51"/>
      <c r="P183" s="69"/>
      <c r="Q183" s="69"/>
      <c r="R183" s="69"/>
      <c r="S183" s="69"/>
    </row>
    <row r="184" spans="1:19" ht="23.25" customHeight="1">
      <c r="A184" s="51"/>
      <c r="B184" s="50" t="str">
        <f>IFERROR(VLOOKUP(A184,Briefing_Req!A:M,2,0),"")</f>
        <v/>
      </c>
      <c r="C184" s="143" t="str">
        <f>IFERROR(IF(VLOOKUP(A184,Briefing_Req!A:M,13,0)&lt;&gt;"",VLOOKUP(A184,Briefing_Req!A:M,13,0),VLOOKUP(A184,Briefing_Req!A:M,3,0)),"")</f>
        <v/>
      </c>
      <c r="D184" s="51"/>
      <c r="E184" s="50"/>
      <c r="F184" s="51"/>
      <c r="G184" s="51"/>
      <c r="H184" s="51"/>
      <c r="I184" s="51"/>
      <c r="J184" s="51"/>
      <c r="K184" s="70"/>
      <c r="L184" s="72"/>
      <c r="M184" s="51"/>
      <c r="N184" s="51"/>
      <c r="O184" s="51"/>
      <c r="P184" s="69"/>
      <c r="Q184" s="69"/>
      <c r="R184" s="69"/>
      <c r="S184" s="69"/>
    </row>
    <row r="185" spans="1:19" ht="23.25" customHeight="1">
      <c r="A185" s="51"/>
      <c r="B185" s="50" t="str">
        <f>IFERROR(VLOOKUP(A185,Briefing_Req!A:M,2,0),"")</f>
        <v/>
      </c>
      <c r="C185" s="143" t="str">
        <f>IFERROR(IF(VLOOKUP(A185,Briefing_Req!A:M,13,0)&lt;&gt;"",VLOOKUP(A185,Briefing_Req!A:M,13,0),VLOOKUP(A185,Briefing_Req!A:M,3,0)),"")</f>
        <v/>
      </c>
      <c r="D185" s="51"/>
      <c r="E185" s="50"/>
      <c r="F185" s="51"/>
      <c r="G185" s="51"/>
      <c r="H185" s="51"/>
      <c r="I185" s="51"/>
      <c r="J185" s="51"/>
      <c r="K185" s="70"/>
      <c r="L185" s="72"/>
      <c r="M185" s="51"/>
      <c r="N185" s="51"/>
      <c r="O185" s="51"/>
      <c r="P185" s="69"/>
      <c r="Q185" s="69"/>
      <c r="R185" s="69"/>
      <c r="S185" s="69"/>
    </row>
    <row r="186" spans="1:19" ht="23.25" customHeight="1">
      <c r="A186" s="51"/>
      <c r="B186" s="50" t="str">
        <f>IFERROR(VLOOKUP(A186,Briefing_Req!A:M,2,0),"")</f>
        <v/>
      </c>
      <c r="C186" s="143" t="str">
        <f>IFERROR(IF(VLOOKUP(A186,Briefing_Req!A:M,13,0)&lt;&gt;"",VLOOKUP(A186,Briefing_Req!A:M,13,0),VLOOKUP(A186,Briefing_Req!A:M,3,0)),"")</f>
        <v/>
      </c>
      <c r="D186" s="51"/>
      <c r="E186" s="50"/>
      <c r="F186" s="51"/>
      <c r="G186" s="51"/>
      <c r="H186" s="51"/>
      <c r="I186" s="51"/>
      <c r="J186" s="51"/>
      <c r="K186" s="70"/>
      <c r="L186" s="72"/>
      <c r="M186" s="51"/>
      <c r="N186" s="51"/>
      <c r="O186" s="51"/>
      <c r="P186" s="69"/>
      <c r="Q186" s="69"/>
      <c r="R186" s="69"/>
      <c r="S186" s="69"/>
    </row>
    <row r="187" spans="1:19" ht="23.25" customHeight="1">
      <c r="A187" s="51"/>
      <c r="B187" s="50" t="str">
        <f>IFERROR(VLOOKUP(A187,Briefing_Req!A:M,2,0),"")</f>
        <v/>
      </c>
      <c r="C187" s="143" t="str">
        <f>IFERROR(IF(VLOOKUP(A187,Briefing_Req!A:M,13,0)&lt;&gt;"",VLOOKUP(A187,Briefing_Req!A:M,13,0),VLOOKUP(A187,Briefing_Req!A:M,3,0)),"")</f>
        <v/>
      </c>
      <c r="D187" s="51"/>
      <c r="E187" s="50"/>
      <c r="F187" s="51"/>
      <c r="G187" s="51"/>
      <c r="H187" s="51"/>
      <c r="I187" s="51"/>
      <c r="J187" s="51"/>
      <c r="K187" s="70"/>
      <c r="L187" s="72"/>
      <c r="M187" s="51"/>
      <c r="N187" s="51"/>
      <c r="O187" s="51"/>
      <c r="P187" s="69"/>
      <c r="Q187" s="69"/>
      <c r="R187" s="69"/>
      <c r="S187" s="69"/>
    </row>
    <row r="188" spans="1:19" ht="23.25" customHeight="1">
      <c r="A188" s="51"/>
      <c r="B188" s="50" t="str">
        <f>IFERROR(VLOOKUP(A188,Briefing_Req!A:M,2,0),"")</f>
        <v/>
      </c>
      <c r="C188" s="143" t="str">
        <f>IFERROR(IF(VLOOKUP(A188,Briefing_Req!A:M,13,0)&lt;&gt;"",VLOOKUP(A188,Briefing_Req!A:M,13,0),VLOOKUP(A188,Briefing_Req!A:M,3,0)),"")</f>
        <v/>
      </c>
      <c r="D188" s="51"/>
      <c r="E188" s="50"/>
      <c r="F188" s="51"/>
      <c r="G188" s="51"/>
      <c r="H188" s="51"/>
      <c r="I188" s="51"/>
      <c r="J188" s="51"/>
      <c r="K188" s="70"/>
      <c r="L188" s="72"/>
      <c r="M188" s="51"/>
      <c r="N188" s="51"/>
      <c r="O188" s="51"/>
      <c r="P188" s="69"/>
      <c r="Q188" s="69"/>
      <c r="R188" s="69"/>
      <c r="S188" s="69"/>
    </row>
    <row r="189" spans="1:19" ht="23.25" customHeight="1">
      <c r="A189" s="51"/>
      <c r="B189" s="50" t="str">
        <f>IFERROR(VLOOKUP(A189,Briefing_Req!A:M,2,0),"")</f>
        <v/>
      </c>
      <c r="C189" s="143" t="str">
        <f>IFERROR(IF(VLOOKUP(A189,Briefing_Req!A:M,13,0)&lt;&gt;"",VLOOKUP(A189,Briefing_Req!A:M,13,0),VLOOKUP(A189,Briefing_Req!A:M,3,0)),"")</f>
        <v/>
      </c>
      <c r="D189" s="51"/>
      <c r="E189" s="50"/>
      <c r="F189" s="51"/>
      <c r="G189" s="51"/>
      <c r="H189" s="51"/>
      <c r="I189" s="51"/>
      <c r="J189" s="51"/>
      <c r="K189" s="70"/>
      <c r="L189" s="72"/>
      <c r="M189" s="51"/>
      <c r="N189" s="51"/>
      <c r="O189" s="51"/>
      <c r="P189" s="69"/>
      <c r="Q189" s="69"/>
      <c r="R189" s="69"/>
      <c r="S189" s="69"/>
    </row>
    <row r="190" spans="1:19" ht="23.25" customHeight="1">
      <c r="A190" s="51"/>
      <c r="B190" s="50" t="str">
        <f>IFERROR(VLOOKUP(A190,Briefing_Req!A:M,2,0),"")</f>
        <v/>
      </c>
      <c r="C190" s="143" t="str">
        <f>IFERROR(IF(VLOOKUP(A190,Briefing_Req!A:M,13,0)&lt;&gt;"",VLOOKUP(A190,Briefing_Req!A:M,13,0),VLOOKUP(A190,Briefing_Req!A:M,3,0)),"")</f>
        <v/>
      </c>
      <c r="D190" s="51"/>
      <c r="E190" s="50"/>
      <c r="F190" s="51"/>
      <c r="G190" s="51"/>
      <c r="H190" s="51"/>
      <c r="I190" s="51"/>
      <c r="J190" s="51"/>
      <c r="K190" s="70"/>
      <c r="L190" s="72"/>
      <c r="M190" s="51"/>
      <c r="N190" s="51"/>
      <c r="O190" s="51"/>
      <c r="P190" s="69"/>
      <c r="Q190" s="69"/>
      <c r="R190" s="69"/>
      <c r="S190" s="69"/>
    </row>
    <row r="191" spans="1:19" ht="23.25" customHeight="1">
      <c r="A191" s="51"/>
      <c r="B191" s="50" t="str">
        <f>IFERROR(VLOOKUP(A191,Briefing_Req!A:M,2,0),"")</f>
        <v/>
      </c>
      <c r="C191" s="143" t="str">
        <f>IFERROR(IF(VLOOKUP(A191,Briefing_Req!A:M,13,0)&lt;&gt;"",VLOOKUP(A191,Briefing_Req!A:M,13,0),VLOOKUP(A191,Briefing_Req!A:M,3,0)),"")</f>
        <v/>
      </c>
      <c r="D191" s="51"/>
      <c r="E191" s="50"/>
      <c r="F191" s="51"/>
      <c r="G191" s="51"/>
      <c r="H191" s="51"/>
      <c r="I191" s="51"/>
      <c r="J191" s="51"/>
      <c r="K191" s="70"/>
      <c r="L191" s="72"/>
      <c r="M191" s="51"/>
      <c r="N191" s="51"/>
      <c r="O191" s="51"/>
      <c r="P191" s="69"/>
      <c r="Q191" s="69"/>
      <c r="R191" s="69"/>
      <c r="S191" s="69"/>
    </row>
    <row r="192" spans="1:19" ht="23.25" customHeight="1">
      <c r="A192" s="51"/>
      <c r="B192" s="50" t="str">
        <f>IFERROR(VLOOKUP(A192,Briefing_Req!A:M,2,0),"")</f>
        <v/>
      </c>
      <c r="C192" s="143" t="str">
        <f>IFERROR(IF(VLOOKUP(A192,Briefing_Req!A:M,13,0)&lt;&gt;"",VLOOKUP(A192,Briefing_Req!A:M,13,0),VLOOKUP(A192,Briefing_Req!A:M,3,0)),"")</f>
        <v/>
      </c>
      <c r="D192" s="51"/>
      <c r="E192" s="50"/>
      <c r="F192" s="51"/>
      <c r="G192" s="51"/>
      <c r="H192" s="51"/>
      <c r="I192" s="51"/>
      <c r="J192" s="51"/>
      <c r="K192" s="70"/>
      <c r="L192" s="72"/>
      <c r="M192" s="51"/>
      <c r="N192" s="51"/>
      <c r="O192" s="51"/>
      <c r="P192" s="69"/>
      <c r="Q192" s="69"/>
      <c r="R192" s="69"/>
      <c r="S192" s="69"/>
    </row>
    <row r="193" spans="1:19" ht="23.25" customHeight="1">
      <c r="A193" s="51"/>
      <c r="B193" s="50" t="str">
        <f>IFERROR(VLOOKUP(A193,Briefing_Req!A:M,2,0),"")</f>
        <v/>
      </c>
      <c r="C193" s="143" t="str">
        <f>IFERROR(IF(VLOOKUP(A193,Briefing_Req!A:M,13,0)&lt;&gt;"",VLOOKUP(A193,Briefing_Req!A:M,13,0),VLOOKUP(A193,Briefing_Req!A:M,3,0)),"")</f>
        <v/>
      </c>
      <c r="D193" s="51"/>
      <c r="E193" s="50"/>
      <c r="F193" s="51"/>
      <c r="G193" s="51"/>
      <c r="H193" s="51"/>
      <c r="I193" s="51"/>
      <c r="J193" s="51"/>
      <c r="K193" s="70"/>
      <c r="L193" s="72"/>
      <c r="M193" s="51"/>
      <c r="N193" s="51"/>
      <c r="O193" s="51"/>
      <c r="P193" s="69"/>
      <c r="Q193" s="69"/>
      <c r="R193" s="69"/>
      <c r="S193" s="69"/>
    </row>
    <row r="194" spans="1:19" ht="23.25" customHeight="1">
      <c r="A194" s="51"/>
      <c r="B194" s="50" t="str">
        <f>IFERROR(VLOOKUP(A194,Briefing_Req!A:M,2,0),"")</f>
        <v/>
      </c>
      <c r="C194" s="143" t="str">
        <f>IFERROR(IF(VLOOKUP(A194,Briefing_Req!A:M,13,0)&lt;&gt;"",VLOOKUP(A194,Briefing_Req!A:M,13,0),VLOOKUP(A194,Briefing_Req!A:M,3,0)),"")</f>
        <v/>
      </c>
      <c r="D194" s="51"/>
      <c r="E194" s="50"/>
      <c r="F194" s="51"/>
      <c r="G194" s="51"/>
      <c r="H194" s="51"/>
      <c r="I194" s="51"/>
      <c r="J194" s="51"/>
      <c r="K194" s="70"/>
      <c r="L194" s="72"/>
      <c r="M194" s="51"/>
      <c r="N194" s="51"/>
      <c r="O194" s="51"/>
      <c r="P194" s="69"/>
      <c r="Q194" s="69"/>
      <c r="R194" s="69"/>
      <c r="S194" s="69"/>
    </row>
    <row r="195" spans="1:19" ht="23.25" customHeight="1">
      <c r="A195" s="51"/>
      <c r="B195" s="50" t="str">
        <f>IFERROR(VLOOKUP(A195,Briefing_Req!A:M,2,0),"")</f>
        <v/>
      </c>
      <c r="C195" s="143" t="str">
        <f>IFERROR(IF(VLOOKUP(A195,Briefing_Req!A:M,13,0)&lt;&gt;"",VLOOKUP(A195,Briefing_Req!A:M,13,0),VLOOKUP(A195,Briefing_Req!A:M,3,0)),"")</f>
        <v/>
      </c>
      <c r="D195" s="51"/>
      <c r="E195" s="50"/>
      <c r="F195" s="51"/>
      <c r="G195" s="51"/>
      <c r="H195" s="51"/>
      <c r="I195" s="51"/>
      <c r="J195" s="51"/>
      <c r="K195" s="70"/>
      <c r="L195" s="72"/>
      <c r="M195" s="51"/>
      <c r="N195" s="51"/>
      <c r="O195" s="51"/>
      <c r="P195" s="69"/>
      <c r="Q195" s="69"/>
      <c r="R195" s="69"/>
      <c r="S195" s="69"/>
    </row>
    <row r="196" spans="1:19" ht="23.25" customHeight="1">
      <c r="A196" s="51"/>
      <c r="B196" s="50" t="str">
        <f>IFERROR(VLOOKUP(A196,Briefing_Req!A:M,2,0),"")</f>
        <v/>
      </c>
      <c r="C196" s="143" t="str">
        <f>IFERROR(IF(VLOOKUP(A196,Briefing_Req!A:M,13,0)&lt;&gt;"",VLOOKUP(A196,Briefing_Req!A:M,13,0),VLOOKUP(A196,Briefing_Req!A:M,3,0)),"")</f>
        <v/>
      </c>
      <c r="D196" s="51"/>
      <c r="E196" s="50"/>
      <c r="F196" s="51"/>
      <c r="G196" s="51"/>
      <c r="H196" s="51"/>
      <c r="I196" s="51"/>
      <c r="J196" s="51"/>
      <c r="K196" s="70"/>
      <c r="L196" s="72"/>
      <c r="M196" s="51"/>
      <c r="N196" s="51"/>
      <c r="O196" s="51"/>
      <c r="P196" s="69"/>
      <c r="Q196" s="69"/>
      <c r="R196" s="69"/>
      <c r="S196" s="69"/>
    </row>
    <row r="197" spans="1:19" ht="23.25" customHeight="1">
      <c r="A197" s="51"/>
      <c r="B197" s="50" t="str">
        <f>IFERROR(VLOOKUP(A197,Briefing_Req!A:M,2,0),"")</f>
        <v/>
      </c>
      <c r="C197" s="143" t="str">
        <f>IFERROR(IF(VLOOKUP(A197,Briefing_Req!A:M,13,0)&lt;&gt;"",VLOOKUP(A197,Briefing_Req!A:M,13,0),VLOOKUP(A197,Briefing_Req!A:M,3,0)),"")</f>
        <v/>
      </c>
      <c r="D197" s="51"/>
      <c r="E197" s="50"/>
      <c r="F197" s="51"/>
      <c r="G197" s="51"/>
      <c r="H197" s="51"/>
      <c r="I197" s="51"/>
      <c r="J197" s="51"/>
      <c r="K197" s="70"/>
      <c r="L197" s="72"/>
      <c r="M197" s="51"/>
      <c r="N197" s="51"/>
      <c r="O197" s="51"/>
      <c r="P197" s="69"/>
      <c r="Q197" s="69"/>
      <c r="R197" s="69"/>
      <c r="S197" s="69"/>
    </row>
    <row r="198" spans="1:19" ht="23.25" customHeight="1">
      <c r="A198" s="51"/>
      <c r="B198" s="50" t="str">
        <f>IFERROR(VLOOKUP(A198,Briefing_Req!A:M,2,0),"")</f>
        <v/>
      </c>
      <c r="C198" s="143" t="str">
        <f>IFERROR(IF(VLOOKUP(A198,Briefing_Req!A:M,13,0)&lt;&gt;"",VLOOKUP(A198,Briefing_Req!A:M,13,0),VLOOKUP(A198,Briefing_Req!A:M,3,0)),"")</f>
        <v/>
      </c>
      <c r="D198" s="51"/>
      <c r="E198" s="50"/>
      <c r="F198" s="51"/>
      <c r="G198" s="51"/>
      <c r="H198" s="51"/>
      <c r="I198" s="51"/>
      <c r="J198" s="51"/>
      <c r="K198" s="70"/>
      <c r="L198" s="72"/>
      <c r="M198" s="51"/>
      <c r="N198" s="51"/>
      <c r="O198" s="51"/>
      <c r="P198" s="69"/>
      <c r="Q198" s="69"/>
      <c r="R198" s="69"/>
      <c r="S198" s="69"/>
    </row>
    <row r="199" spans="1:19" ht="23.25" customHeight="1">
      <c r="A199" s="51"/>
      <c r="B199" s="50" t="str">
        <f>IFERROR(VLOOKUP(A199,Briefing_Req!A:M,2,0),"")</f>
        <v/>
      </c>
      <c r="C199" s="143" t="str">
        <f>IFERROR(IF(VLOOKUP(A199,Briefing_Req!A:M,13,0)&lt;&gt;"",VLOOKUP(A199,Briefing_Req!A:M,13,0),VLOOKUP(A199,Briefing_Req!A:M,3,0)),"")</f>
        <v/>
      </c>
      <c r="D199" s="51"/>
      <c r="E199" s="50"/>
      <c r="F199" s="51"/>
      <c r="G199" s="51"/>
      <c r="H199" s="51"/>
      <c r="I199" s="51"/>
      <c r="J199" s="51"/>
      <c r="K199" s="70"/>
      <c r="L199" s="72"/>
      <c r="M199" s="51"/>
      <c r="N199" s="51"/>
      <c r="O199" s="51"/>
      <c r="P199" s="69"/>
      <c r="Q199" s="69"/>
      <c r="R199" s="69"/>
      <c r="S199" s="69"/>
    </row>
    <row r="200" spans="1:19" ht="23.25" customHeight="1">
      <c r="A200" s="51"/>
      <c r="B200" s="50" t="str">
        <f>IFERROR(VLOOKUP(A200,Briefing_Req!A:M,2,0),"")</f>
        <v/>
      </c>
      <c r="C200" s="143" t="str">
        <f>IFERROR(IF(VLOOKUP(A200,Briefing_Req!A:M,13,0)&lt;&gt;"",VLOOKUP(A200,Briefing_Req!A:M,13,0),VLOOKUP(A200,Briefing_Req!A:M,3,0)),"")</f>
        <v/>
      </c>
      <c r="D200" s="51"/>
      <c r="E200" s="50"/>
      <c r="F200" s="51"/>
      <c r="G200" s="51"/>
      <c r="H200" s="51"/>
      <c r="I200" s="51"/>
      <c r="J200" s="51"/>
      <c r="K200" s="70"/>
      <c r="L200" s="72"/>
      <c r="M200" s="51"/>
      <c r="N200" s="51"/>
      <c r="O200" s="51"/>
      <c r="P200" s="69"/>
      <c r="Q200" s="69"/>
      <c r="R200" s="69"/>
      <c r="S200" s="69"/>
    </row>
    <row r="201" spans="1:19" ht="23.25" customHeight="1">
      <c r="A201" s="51"/>
      <c r="B201" s="50" t="str">
        <f>IFERROR(VLOOKUP(A201,Briefing_Req!A:M,2,0),"")</f>
        <v/>
      </c>
      <c r="C201" s="143" t="str">
        <f>IFERROR(IF(VLOOKUP(A201,Briefing_Req!A:M,13,0)&lt;&gt;"",VLOOKUP(A201,Briefing_Req!A:M,13,0),VLOOKUP(A201,Briefing_Req!A:M,3,0)),"")</f>
        <v/>
      </c>
      <c r="D201" s="51"/>
      <c r="E201" s="50"/>
      <c r="F201" s="51"/>
      <c r="G201" s="51"/>
      <c r="H201" s="51"/>
      <c r="I201" s="51"/>
      <c r="J201" s="51"/>
      <c r="K201" s="70"/>
      <c r="L201" s="72"/>
      <c r="M201" s="51"/>
      <c r="N201" s="51"/>
      <c r="O201" s="51"/>
      <c r="P201" s="69"/>
      <c r="Q201" s="69"/>
      <c r="R201" s="69"/>
      <c r="S201" s="69"/>
    </row>
    <row r="202" spans="1:19" ht="23.25" customHeight="1">
      <c r="A202" s="51"/>
      <c r="B202" s="50" t="str">
        <f>IFERROR(VLOOKUP(A202,Briefing_Req!A:M,2,0),"")</f>
        <v/>
      </c>
      <c r="C202" s="143" t="str">
        <f>IFERROR(IF(VLOOKUP(A202,Briefing_Req!A:M,13,0)&lt;&gt;"",VLOOKUP(A202,Briefing_Req!A:M,13,0),VLOOKUP(A202,Briefing_Req!A:M,3,0)),"")</f>
        <v/>
      </c>
      <c r="D202" s="51"/>
      <c r="E202" s="50"/>
      <c r="F202" s="51"/>
      <c r="G202" s="51"/>
      <c r="H202" s="51"/>
      <c r="I202" s="51"/>
      <c r="J202" s="51"/>
      <c r="K202" s="70"/>
      <c r="L202" s="72"/>
      <c r="M202" s="51"/>
      <c r="N202" s="51"/>
      <c r="O202" s="51"/>
      <c r="P202" s="69"/>
      <c r="Q202" s="69"/>
      <c r="R202" s="69"/>
      <c r="S202" s="69"/>
    </row>
    <row r="203" spans="1:19" ht="23.25" customHeight="1">
      <c r="A203" s="51"/>
      <c r="B203" s="50" t="str">
        <f>IFERROR(VLOOKUP(A203,Briefing_Req!A:M,2,0),"")</f>
        <v/>
      </c>
      <c r="C203" s="143" t="str">
        <f>IFERROR(IF(VLOOKUP(A203,Briefing_Req!A:M,13,0)&lt;&gt;"",VLOOKUP(A203,Briefing_Req!A:M,13,0),VLOOKUP(A203,Briefing_Req!A:M,3,0)),"")</f>
        <v/>
      </c>
      <c r="D203" s="51"/>
      <c r="E203" s="50"/>
      <c r="F203" s="51"/>
      <c r="G203" s="51"/>
      <c r="H203" s="51"/>
      <c r="I203" s="51"/>
      <c r="J203" s="51"/>
      <c r="K203" s="70"/>
      <c r="L203" s="72"/>
      <c r="M203" s="51"/>
      <c r="N203" s="51"/>
      <c r="O203" s="51"/>
      <c r="P203" s="69"/>
      <c r="Q203" s="69"/>
      <c r="R203" s="69"/>
      <c r="S203" s="69"/>
    </row>
    <row r="204" spans="1:19" ht="23.25" customHeight="1">
      <c r="A204" s="51"/>
      <c r="B204" s="50" t="str">
        <f>IFERROR(VLOOKUP(A204,Briefing_Req!A:M,2,0),"")</f>
        <v/>
      </c>
      <c r="C204" s="143" t="str">
        <f>IFERROR(IF(VLOOKUP(A204,Briefing_Req!A:M,13,0)&lt;&gt;"",VLOOKUP(A204,Briefing_Req!A:M,13,0),VLOOKUP(A204,Briefing_Req!A:M,3,0)),"")</f>
        <v/>
      </c>
      <c r="D204" s="51"/>
      <c r="E204" s="50"/>
      <c r="F204" s="51"/>
      <c r="G204" s="51"/>
      <c r="H204" s="51"/>
      <c r="I204" s="51"/>
      <c r="J204" s="51"/>
      <c r="K204" s="70"/>
      <c r="L204" s="72"/>
      <c r="M204" s="51"/>
      <c r="N204" s="51"/>
      <c r="O204" s="51"/>
      <c r="P204" s="69"/>
      <c r="Q204" s="69"/>
      <c r="R204" s="69"/>
      <c r="S204" s="69"/>
    </row>
    <row r="205" spans="1:19" ht="23.25" customHeight="1">
      <c r="A205" s="51"/>
      <c r="B205" s="50" t="str">
        <f>IFERROR(VLOOKUP(A205,Briefing_Req!A:M,2,0),"")</f>
        <v/>
      </c>
      <c r="C205" s="143" t="str">
        <f>IFERROR(IF(VLOOKUP(A205,Briefing_Req!A:M,13,0)&lt;&gt;"",VLOOKUP(A205,Briefing_Req!A:M,13,0),VLOOKUP(A205,Briefing_Req!A:M,3,0)),"")</f>
        <v/>
      </c>
      <c r="D205" s="51"/>
      <c r="E205" s="50"/>
      <c r="F205" s="51"/>
      <c r="G205" s="51"/>
      <c r="H205" s="51"/>
      <c r="I205" s="51"/>
      <c r="J205" s="51"/>
      <c r="K205" s="70"/>
      <c r="L205" s="72"/>
      <c r="M205" s="51"/>
      <c r="N205" s="51"/>
      <c r="O205" s="51"/>
      <c r="P205" s="69"/>
      <c r="Q205" s="69"/>
      <c r="R205" s="69"/>
      <c r="S205" s="69"/>
    </row>
    <row r="206" spans="1:19" ht="23.25" customHeight="1">
      <c r="A206" s="51"/>
      <c r="B206" s="50" t="str">
        <f>IFERROR(VLOOKUP(A206,Briefing_Req!A:M,2,0),"")</f>
        <v/>
      </c>
      <c r="C206" s="143" t="str">
        <f>IFERROR(IF(VLOOKUP(A206,Briefing_Req!A:M,13,0)&lt;&gt;"",VLOOKUP(A206,Briefing_Req!A:M,13,0),VLOOKUP(A206,Briefing_Req!A:M,3,0)),"")</f>
        <v/>
      </c>
      <c r="D206" s="51"/>
      <c r="E206" s="50"/>
      <c r="F206" s="51"/>
      <c r="G206" s="51"/>
      <c r="H206" s="51"/>
      <c r="I206" s="51"/>
      <c r="J206" s="51"/>
      <c r="K206" s="70"/>
      <c r="L206" s="72"/>
      <c r="M206" s="51"/>
      <c r="N206" s="51"/>
      <c r="O206" s="51"/>
      <c r="P206" s="69"/>
      <c r="Q206" s="69"/>
      <c r="R206" s="69"/>
      <c r="S206" s="69"/>
    </row>
    <row r="207" spans="1:19" ht="23.25" customHeight="1">
      <c r="A207" s="51"/>
      <c r="B207" s="50" t="str">
        <f>IFERROR(VLOOKUP(A207,Briefing_Req!A:M,2,0),"")</f>
        <v/>
      </c>
      <c r="C207" s="143" t="str">
        <f>IFERROR(IF(VLOOKUP(A207,Briefing_Req!A:M,13,0)&lt;&gt;"",VLOOKUP(A207,Briefing_Req!A:M,13,0),VLOOKUP(A207,Briefing_Req!A:M,3,0)),"")</f>
        <v/>
      </c>
      <c r="D207" s="51"/>
      <c r="E207" s="50"/>
      <c r="F207" s="51"/>
      <c r="G207" s="51"/>
      <c r="H207" s="51"/>
      <c r="I207" s="51"/>
      <c r="J207" s="51"/>
      <c r="K207" s="70"/>
      <c r="L207" s="72"/>
      <c r="M207" s="51"/>
      <c r="N207" s="51"/>
      <c r="O207" s="51"/>
      <c r="P207" s="69"/>
      <c r="Q207" s="69"/>
      <c r="R207" s="69"/>
      <c r="S207" s="69"/>
    </row>
    <row r="208" spans="1:19" ht="23.25" customHeight="1">
      <c r="A208" s="51"/>
      <c r="B208" s="50" t="str">
        <f>IFERROR(VLOOKUP(A208,Briefing_Req!A:M,2,0),"")</f>
        <v/>
      </c>
      <c r="C208" s="143" t="str">
        <f>IFERROR(IF(VLOOKUP(A208,Briefing_Req!A:M,13,0)&lt;&gt;"",VLOOKUP(A208,Briefing_Req!A:M,13,0),VLOOKUP(A208,Briefing_Req!A:M,3,0)),"")</f>
        <v/>
      </c>
      <c r="D208" s="51"/>
      <c r="E208" s="50"/>
      <c r="F208" s="51"/>
      <c r="G208" s="51"/>
      <c r="H208" s="51"/>
      <c r="I208" s="51"/>
      <c r="J208" s="51"/>
      <c r="K208" s="70"/>
      <c r="L208" s="72"/>
      <c r="M208" s="51"/>
      <c r="N208" s="51"/>
      <c r="O208" s="51"/>
      <c r="P208" s="69"/>
      <c r="Q208" s="69"/>
      <c r="R208" s="69"/>
      <c r="S208" s="69"/>
    </row>
    <row r="209" spans="1:19" ht="23.25" customHeight="1">
      <c r="A209" s="51"/>
      <c r="B209" s="50" t="str">
        <f>IFERROR(VLOOKUP(A209,Briefing_Req!A:M,2,0),"")</f>
        <v/>
      </c>
      <c r="C209" s="143" t="str">
        <f>IFERROR(IF(VLOOKUP(A209,Briefing_Req!A:M,13,0)&lt;&gt;"",VLOOKUP(A209,Briefing_Req!A:M,13,0),VLOOKUP(A209,Briefing_Req!A:M,3,0)),"")</f>
        <v/>
      </c>
      <c r="D209" s="51"/>
      <c r="E209" s="50"/>
      <c r="F209" s="51"/>
      <c r="G209" s="51"/>
      <c r="H209" s="51"/>
      <c r="I209" s="51"/>
      <c r="J209" s="51"/>
      <c r="K209" s="70"/>
      <c r="L209" s="72"/>
      <c r="M209" s="51"/>
      <c r="N209" s="51"/>
      <c r="O209" s="51"/>
      <c r="P209" s="69"/>
      <c r="Q209" s="69"/>
      <c r="R209" s="69"/>
      <c r="S209" s="69"/>
    </row>
    <row r="210" spans="1:19" ht="23.25" customHeight="1">
      <c r="A210" s="51"/>
      <c r="B210" s="50" t="str">
        <f>IFERROR(VLOOKUP(A210,Briefing_Req!A:M,2,0),"")</f>
        <v/>
      </c>
      <c r="C210" s="143" t="str">
        <f>IFERROR(IF(VLOOKUP(A210,Briefing_Req!A:M,13,0)&lt;&gt;"",VLOOKUP(A210,Briefing_Req!A:M,13,0),VLOOKUP(A210,Briefing_Req!A:M,3,0)),"")</f>
        <v/>
      </c>
      <c r="D210" s="51"/>
      <c r="E210" s="50"/>
      <c r="F210" s="51"/>
      <c r="G210" s="51"/>
      <c r="H210" s="51"/>
      <c r="I210" s="51"/>
      <c r="J210" s="51"/>
      <c r="K210" s="70"/>
      <c r="L210" s="72"/>
      <c r="M210" s="51"/>
      <c r="N210" s="51"/>
      <c r="O210" s="51"/>
      <c r="P210" s="69"/>
      <c r="Q210" s="69"/>
      <c r="R210" s="69"/>
      <c r="S210" s="69"/>
    </row>
    <row r="211" spans="1:19" ht="23.25" customHeight="1">
      <c r="A211" s="51"/>
      <c r="B211" s="50" t="str">
        <f>IFERROR(VLOOKUP(A211,Briefing_Req!A:M,2,0),"")</f>
        <v/>
      </c>
      <c r="C211" s="143" t="str">
        <f>IFERROR(IF(VLOOKUP(A211,Briefing_Req!A:M,13,0)&lt;&gt;"",VLOOKUP(A211,Briefing_Req!A:M,13,0),VLOOKUP(A211,Briefing_Req!A:M,3,0)),"")</f>
        <v/>
      </c>
      <c r="D211" s="51"/>
      <c r="E211" s="50"/>
      <c r="F211" s="51"/>
      <c r="G211" s="51"/>
      <c r="H211" s="51"/>
      <c r="I211" s="51"/>
      <c r="J211" s="51"/>
      <c r="K211" s="70"/>
      <c r="L211" s="72"/>
      <c r="M211" s="51"/>
      <c r="N211" s="51"/>
      <c r="O211" s="51"/>
      <c r="P211" s="69"/>
      <c r="Q211" s="69"/>
      <c r="R211" s="69"/>
      <c r="S211" s="69"/>
    </row>
    <row r="212" spans="1:19" ht="23.25" customHeight="1">
      <c r="A212" s="51"/>
      <c r="B212" s="50" t="str">
        <f>IFERROR(VLOOKUP(A212,Briefing_Req!A:M,2,0),"")</f>
        <v/>
      </c>
      <c r="C212" s="143" t="str">
        <f>IFERROR(IF(VLOOKUP(A212,Briefing_Req!A:M,13,0)&lt;&gt;"",VLOOKUP(A212,Briefing_Req!A:M,13,0),VLOOKUP(A212,Briefing_Req!A:M,3,0)),"")</f>
        <v/>
      </c>
      <c r="D212" s="51"/>
      <c r="E212" s="50"/>
      <c r="F212" s="51"/>
      <c r="G212" s="51"/>
      <c r="H212" s="51"/>
      <c r="I212" s="51"/>
      <c r="J212" s="51"/>
      <c r="K212" s="70"/>
      <c r="L212" s="72"/>
      <c r="M212" s="51"/>
      <c r="N212" s="51"/>
      <c r="O212" s="51"/>
      <c r="P212" s="69"/>
      <c r="Q212" s="69"/>
      <c r="R212" s="69"/>
      <c r="S212" s="69"/>
    </row>
    <row r="213" spans="1:19" ht="23.25" customHeight="1">
      <c r="A213" s="51"/>
      <c r="B213" s="50" t="str">
        <f>IFERROR(VLOOKUP(A213,Briefing_Req!A:M,2,0),"")</f>
        <v/>
      </c>
      <c r="C213" s="143" t="str">
        <f>IFERROR(IF(VLOOKUP(A213,Briefing_Req!A:M,13,0)&lt;&gt;"",VLOOKUP(A213,Briefing_Req!A:M,13,0),VLOOKUP(A213,Briefing_Req!A:M,3,0)),"")</f>
        <v/>
      </c>
      <c r="D213" s="51"/>
      <c r="E213" s="50"/>
      <c r="F213" s="51"/>
      <c r="G213" s="51"/>
      <c r="H213" s="51"/>
      <c r="I213" s="51"/>
      <c r="J213" s="51"/>
      <c r="K213" s="70"/>
      <c r="L213" s="72"/>
      <c r="M213" s="51"/>
      <c r="N213" s="51"/>
      <c r="O213" s="51"/>
      <c r="P213" s="69"/>
      <c r="Q213" s="69"/>
      <c r="R213" s="69"/>
      <c r="S213" s="69"/>
    </row>
    <row r="214" spans="1:19" ht="23.25" customHeight="1">
      <c r="A214" s="51"/>
      <c r="B214" s="50" t="str">
        <f>IFERROR(VLOOKUP(A214,Briefing_Req!A:M,2,0),"")</f>
        <v/>
      </c>
      <c r="C214" s="143" t="str">
        <f>IFERROR(IF(VLOOKUP(A214,Briefing_Req!A:M,13,0)&lt;&gt;"",VLOOKUP(A214,Briefing_Req!A:M,13,0),VLOOKUP(A214,Briefing_Req!A:M,3,0)),"")</f>
        <v/>
      </c>
      <c r="D214" s="51"/>
      <c r="E214" s="50"/>
      <c r="F214" s="51"/>
      <c r="G214" s="51"/>
      <c r="H214" s="51"/>
      <c r="I214" s="51"/>
      <c r="J214" s="51"/>
      <c r="K214" s="70"/>
      <c r="L214" s="72"/>
      <c r="M214" s="51"/>
      <c r="N214" s="51"/>
      <c r="O214" s="51"/>
      <c r="P214" s="69"/>
      <c r="Q214" s="69"/>
      <c r="R214" s="69"/>
      <c r="S214" s="69"/>
    </row>
    <row r="215" spans="1:19" ht="23.25" customHeight="1">
      <c r="A215" s="51"/>
      <c r="B215" s="50" t="str">
        <f>IFERROR(VLOOKUP(A215,Briefing_Req!A:M,2,0),"")</f>
        <v/>
      </c>
      <c r="C215" s="143" t="str">
        <f>IFERROR(IF(VLOOKUP(A215,Briefing_Req!A:M,13,0)&lt;&gt;"",VLOOKUP(A215,Briefing_Req!A:M,13,0),VLOOKUP(A215,Briefing_Req!A:M,3,0)),"")</f>
        <v/>
      </c>
      <c r="D215" s="51"/>
      <c r="E215" s="50"/>
      <c r="F215" s="51"/>
      <c r="G215" s="51"/>
      <c r="H215" s="51"/>
      <c r="I215" s="51"/>
      <c r="J215" s="51"/>
      <c r="K215" s="70"/>
      <c r="L215" s="72"/>
      <c r="M215" s="51"/>
      <c r="N215" s="51"/>
      <c r="O215" s="51"/>
      <c r="P215" s="69"/>
      <c r="Q215" s="69"/>
      <c r="R215" s="69"/>
      <c r="S215" s="69"/>
    </row>
    <row r="216" spans="1:19" ht="23.25" customHeight="1">
      <c r="A216" s="51"/>
      <c r="B216" s="50" t="str">
        <f>IFERROR(VLOOKUP(A216,Briefing_Req!A:M,2,0),"")</f>
        <v/>
      </c>
      <c r="C216" s="143" t="str">
        <f>IFERROR(IF(VLOOKUP(A216,Briefing_Req!A:M,13,0)&lt;&gt;"",VLOOKUP(A216,Briefing_Req!A:M,13,0),VLOOKUP(A216,Briefing_Req!A:M,3,0)),"")</f>
        <v/>
      </c>
      <c r="D216" s="51"/>
      <c r="E216" s="50"/>
      <c r="F216" s="51"/>
      <c r="G216" s="51"/>
      <c r="H216" s="51"/>
      <c r="I216" s="51"/>
      <c r="J216" s="51"/>
      <c r="K216" s="70"/>
      <c r="L216" s="72"/>
      <c r="M216" s="51"/>
      <c r="N216" s="51"/>
      <c r="O216" s="51"/>
      <c r="P216" s="69"/>
      <c r="Q216" s="69"/>
      <c r="R216" s="69"/>
      <c r="S216" s="69"/>
    </row>
    <row r="217" spans="1:19" ht="23.25" customHeight="1">
      <c r="A217" s="51"/>
      <c r="B217" s="50" t="str">
        <f>IFERROR(VLOOKUP(A217,Briefing_Req!A:M,2,0),"")</f>
        <v/>
      </c>
      <c r="C217" s="143" t="str">
        <f>IFERROR(IF(VLOOKUP(A217,Briefing_Req!A:M,13,0)&lt;&gt;"",VLOOKUP(A217,Briefing_Req!A:M,13,0),VLOOKUP(A217,Briefing_Req!A:M,3,0)),"")</f>
        <v/>
      </c>
      <c r="D217" s="51"/>
      <c r="E217" s="50"/>
      <c r="F217" s="51"/>
      <c r="G217" s="51"/>
      <c r="H217" s="51"/>
      <c r="I217" s="51"/>
      <c r="J217" s="51"/>
      <c r="K217" s="70"/>
      <c r="L217" s="72"/>
      <c r="M217" s="51"/>
      <c r="N217" s="51"/>
      <c r="O217" s="51"/>
      <c r="P217" s="69"/>
      <c r="Q217" s="69"/>
      <c r="R217" s="69"/>
      <c r="S217" s="69"/>
    </row>
    <row r="218" spans="1:19" ht="23.25" customHeight="1">
      <c r="A218" s="51"/>
      <c r="B218" s="50" t="str">
        <f>IFERROR(VLOOKUP(A218,Briefing_Req!A:M,2,0),"")</f>
        <v/>
      </c>
      <c r="C218" s="143" t="str">
        <f>IFERROR(IF(VLOOKUP(A218,Briefing_Req!A:M,13,0)&lt;&gt;"",VLOOKUP(A218,Briefing_Req!A:M,13,0),VLOOKUP(A218,Briefing_Req!A:M,3,0)),"")</f>
        <v/>
      </c>
      <c r="D218" s="51"/>
      <c r="E218" s="50"/>
      <c r="F218" s="51"/>
      <c r="G218" s="51"/>
      <c r="H218" s="51"/>
      <c r="I218" s="51"/>
      <c r="J218" s="51"/>
      <c r="K218" s="70"/>
      <c r="L218" s="72"/>
      <c r="M218" s="51"/>
      <c r="N218" s="51"/>
      <c r="O218" s="51"/>
      <c r="P218" s="69"/>
      <c r="Q218" s="69"/>
      <c r="R218" s="69"/>
      <c r="S218" s="69"/>
    </row>
    <row r="219" spans="1:19" ht="23.25" customHeight="1">
      <c r="A219" s="51"/>
      <c r="B219" s="50" t="str">
        <f>IFERROR(VLOOKUP(A219,Briefing_Req!A:M,2,0),"")</f>
        <v/>
      </c>
      <c r="C219" s="143" t="str">
        <f>IFERROR(IF(VLOOKUP(A219,Briefing_Req!A:M,13,0)&lt;&gt;"",VLOOKUP(A219,Briefing_Req!A:M,13,0),VLOOKUP(A219,Briefing_Req!A:M,3,0)),"")</f>
        <v/>
      </c>
      <c r="D219" s="51"/>
      <c r="E219" s="50"/>
      <c r="F219" s="51"/>
      <c r="G219" s="51"/>
      <c r="H219" s="51"/>
      <c r="I219" s="51"/>
      <c r="J219" s="51"/>
      <c r="K219" s="70"/>
      <c r="L219" s="72"/>
      <c r="M219" s="51"/>
      <c r="N219" s="51"/>
      <c r="O219" s="51"/>
      <c r="P219" s="69"/>
      <c r="Q219" s="69"/>
      <c r="R219" s="69"/>
      <c r="S219" s="69"/>
    </row>
    <row r="220" spans="1:19" ht="23.25" customHeight="1">
      <c r="A220" s="51"/>
      <c r="B220" s="50" t="str">
        <f>IFERROR(VLOOKUP(A220,Briefing_Req!A:M,2,0),"")</f>
        <v/>
      </c>
      <c r="C220" s="143" t="str">
        <f>IFERROR(IF(VLOOKUP(A220,Briefing_Req!A:M,13,0)&lt;&gt;"",VLOOKUP(A220,Briefing_Req!A:M,13,0),VLOOKUP(A220,Briefing_Req!A:M,3,0)),"")</f>
        <v/>
      </c>
      <c r="D220" s="51"/>
      <c r="E220" s="50"/>
      <c r="F220" s="51"/>
      <c r="G220" s="51"/>
      <c r="H220" s="51"/>
      <c r="I220" s="51"/>
      <c r="J220" s="51"/>
      <c r="K220" s="70"/>
      <c r="L220" s="72"/>
      <c r="M220" s="51"/>
      <c r="N220" s="51"/>
      <c r="O220" s="51"/>
      <c r="P220" s="69"/>
      <c r="Q220" s="69"/>
      <c r="R220" s="69"/>
      <c r="S220" s="69"/>
    </row>
    <row r="221" spans="1:19" ht="23.25" customHeight="1">
      <c r="A221" s="51"/>
      <c r="B221" s="50" t="str">
        <f>IFERROR(VLOOKUP(A221,Briefing_Req!A:M,2,0),"")</f>
        <v/>
      </c>
      <c r="C221" s="143" t="str">
        <f>IFERROR(IF(VLOOKUP(A221,Briefing_Req!A:M,13,0)&lt;&gt;"",VLOOKUP(A221,Briefing_Req!A:M,13,0),VLOOKUP(A221,Briefing_Req!A:M,3,0)),"")</f>
        <v/>
      </c>
      <c r="D221" s="51"/>
      <c r="E221" s="50"/>
      <c r="F221" s="51"/>
      <c r="G221" s="51"/>
      <c r="H221" s="51"/>
      <c r="I221" s="51"/>
      <c r="J221" s="51"/>
      <c r="K221" s="70"/>
      <c r="L221" s="72"/>
      <c r="M221" s="51"/>
      <c r="N221" s="51"/>
      <c r="O221" s="51"/>
      <c r="P221" s="69"/>
      <c r="Q221" s="69"/>
      <c r="R221" s="69"/>
      <c r="S221" s="69"/>
    </row>
    <row r="222" spans="1:19" ht="23.25" customHeight="1">
      <c r="A222" s="51"/>
      <c r="B222" s="50" t="str">
        <f>IFERROR(VLOOKUP(A222,Briefing_Req!A:M,2,0),"")</f>
        <v/>
      </c>
      <c r="C222" s="143" t="str">
        <f>IFERROR(IF(VLOOKUP(A222,Briefing_Req!A:M,13,0)&lt;&gt;"",VLOOKUP(A222,Briefing_Req!A:M,13,0),VLOOKUP(A222,Briefing_Req!A:M,3,0)),"")</f>
        <v/>
      </c>
      <c r="D222" s="51"/>
      <c r="E222" s="50"/>
      <c r="F222" s="51"/>
      <c r="G222" s="51"/>
      <c r="H222" s="51"/>
      <c r="I222" s="51"/>
      <c r="J222" s="51"/>
      <c r="K222" s="70"/>
      <c r="L222" s="72"/>
      <c r="M222" s="51"/>
      <c r="N222" s="51"/>
      <c r="O222" s="51"/>
      <c r="P222" s="69"/>
      <c r="Q222" s="69"/>
      <c r="R222" s="69"/>
      <c r="S222" s="69"/>
    </row>
    <row r="223" spans="1:19" ht="23.25" customHeight="1">
      <c r="A223" s="51"/>
      <c r="B223" s="50" t="str">
        <f>IFERROR(VLOOKUP(A223,Briefing_Req!A:M,2,0),"")</f>
        <v/>
      </c>
      <c r="C223" s="143" t="str">
        <f>IFERROR(IF(VLOOKUP(A223,Briefing_Req!A:M,13,0)&lt;&gt;"",VLOOKUP(A223,Briefing_Req!A:M,13,0),VLOOKUP(A223,Briefing_Req!A:M,3,0)),"")</f>
        <v/>
      </c>
      <c r="D223" s="51"/>
      <c r="E223" s="50"/>
      <c r="F223" s="51"/>
      <c r="G223" s="51"/>
      <c r="H223" s="51"/>
      <c r="I223" s="51"/>
      <c r="J223" s="51"/>
      <c r="K223" s="70"/>
      <c r="L223" s="72"/>
      <c r="M223" s="51"/>
      <c r="N223" s="51"/>
      <c r="O223" s="51"/>
      <c r="P223" s="69"/>
      <c r="Q223" s="69"/>
      <c r="R223" s="69"/>
      <c r="S223" s="69"/>
    </row>
    <row r="224" spans="1:19" ht="23.25" customHeight="1">
      <c r="A224" s="51"/>
      <c r="B224" s="50" t="str">
        <f>IFERROR(VLOOKUP(A224,Briefing_Req!A:M,2,0),"")</f>
        <v/>
      </c>
      <c r="C224" s="143" t="str">
        <f>IFERROR(IF(VLOOKUP(A224,Briefing_Req!A:M,13,0)&lt;&gt;"",VLOOKUP(A224,Briefing_Req!A:M,13,0),VLOOKUP(A224,Briefing_Req!A:M,3,0)),"")</f>
        <v/>
      </c>
      <c r="D224" s="51"/>
      <c r="E224" s="50"/>
      <c r="F224" s="51"/>
      <c r="G224" s="51"/>
      <c r="H224" s="51"/>
      <c r="I224" s="51"/>
      <c r="J224" s="51"/>
      <c r="K224" s="70"/>
      <c r="L224" s="72"/>
      <c r="M224" s="51"/>
      <c r="N224" s="51"/>
      <c r="O224" s="51"/>
      <c r="P224" s="69"/>
      <c r="Q224" s="69"/>
      <c r="R224" s="69"/>
      <c r="S224" s="69"/>
    </row>
    <row r="225" spans="1:19" ht="23.25" customHeight="1">
      <c r="A225" s="51"/>
      <c r="B225" s="50" t="str">
        <f>IFERROR(VLOOKUP(A225,Briefing_Req!A:M,2,0),"")</f>
        <v/>
      </c>
      <c r="C225" s="143" t="str">
        <f>IFERROR(IF(VLOOKUP(A225,Briefing_Req!A:M,13,0)&lt;&gt;"",VLOOKUP(A225,Briefing_Req!A:M,13,0),VLOOKUP(A225,Briefing_Req!A:M,3,0)),"")</f>
        <v/>
      </c>
      <c r="D225" s="51"/>
      <c r="E225" s="50"/>
      <c r="F225" s="51"/>
      <c r="G225" s="51"/>
      <c r="H225" s="51"/>
      <c r="I225" s="51"/>
      <c r="J225" s="51"/>
      <c r="K225" s="70"/>
      <c r="L225" s="72"/>
      <c r="M225" s="51"/>
      <c r="N225" s="51"/>
      <c r="O225" s="51"/>
      <c r="P225" s="69"/>
      <c r="Q225" s="69"/>
      <c r="R225" s="69"/>
      <c r="S225" s="69"/>
    </row>
    <row r="226" spans="1:19" ht="23.25" customHeight="1">
      <c r="A226" s="51"/>
      <c r="B226" s="50" t="str">
        <f>IFERROR(VLOOKUP(A226,Briefing_Req!A:M,2,0),"")</f>
        <v/>
      </c>
      <c r="C226" s="143" t="str">
        <f>IFERROR(IF(VLOOKUP(A226,Briefing_Req!A:M,13,0)&lt;&gt;"",VLOOKUP(A226,Briefing_Req!A:M,13,0),VLOOKUP(A226,Briefing_Req!A:M,3,0)),"")</f>
        <v/>
      </c>
      <c r="D226" s="51"/>
      <c r="E226" s="50"/>
      <c r="F226" s="51"/>
      <c r="G226" s="51"/>
      <c r="H226" s="51"/>
      <c r="I226" s="51"/>
      <c r="J226" s="51"/>
      <c r="K226" s="70"/>
      <c r="L226" s="72"/>
      <c r="M226" s="51"/>
      <c r="N226" s="51"/>
      <c r="O226" s="51"/>
      <c r="P226" s="69"/>
      <c r="Q226" s="69"/>
      <c r="R226" s="69"/>
      <c r="S226" s="69"/>
    </row>
    <row r="227" spans="1:19" ht="23.25" customHeight="1">
      <c r="A227" s="51"/>
      <c r="B227" s="50" t="str">
        <f>IFERROR(VLOOKUP(A227,Briefing_Req!A:M,2,0),"")</f>
        <v/>
      </c>
      <c r="C227" s="143" t="str">
        <f>IFERROR(IF(VLOOKUP(A227,Briefing_Req!A:M,13,0)&lt;&gt;"",VLOOKUP(A227,Briefing_Req!A:M,13,0),VLOOKUP(A227,Briefing_Req!A:M,3,0)),"")</f>
        <v/>
      </c>
      <c r="D227" s="51"/>
      <c r="E227" s="50"/>
      <c r="F227" s="51"/>
      <c r="G227" s="51"/>
      <c r="H227" s="51"/>
      <c r="I227" s="51"/>
      <c r="J227" s="51"/>
      <c r="K227" s="70"/>
      <c r="L227" s="72"/>
      <c r="M227" s="51"/>
      <c r="N227" s="51"/>
      <c r="O227" s="51"/>
      <c r="P227" s="69"/>
      <c r="Q227" s="69"/>
      <c r="R227" s="69"/>
      <c r="S227" s="69"/>
    </row>
    <row r="228" spans="1:19" ht="23.25" customHeight="1">
      <c r="A228" s="51"/>
      <c r="B228" s="50" t="str">
        <f>IFERROR(VLOOKUP(A228,Briefing_Req!A:M,2,0),"")</f>
        <v/>
      </c>
      <c r="C228" s="143" t="str">
        <f>IFERROR(IF(VLOOKUP(A228,Briefing_Req!A:M,13,0)&lt;&gt;"",VLOOKUP(A228,Briefing_Req!A:M,13,0),VLOOKUP(A228,Briefing_Req!A:M,3,0)),"")</f>
        <v/>
      </c>
      <c r="D228" s="51"/>
      <c r="E228" s="50"/>
      <c r="F228" s="51"/>
      <c r="G228" s="51"/>
      <c r="H228" s="51"/>
      <c r="I228" s="51"/>
      <c r="J228" s="51"/>
      <c r="K228" s="70"/>
      <c r="L228" s="72"/>
      <c r="M228" s="51"/>
      <c r="N228" s="51"/>
      <c r="O228" s="51"/>
      <c r="P228" s="69"/>
      <c r="Q228" s="69"/>
      <c r="R228" s="69"/>
      <c r="S228" s="69"/>
    </row>
    <row r="229" spans="1:19" ht="23.25" customHeight="1">
      <c r="A229" s="51"/>
      <c r="B229" s="50" t="str">
        <f>IFERROR(VLOOKUP(A229,Briefing_Req!A:M,2,0),"")</f>
        <v/>
      </c>
      <c r="C229" s="143" t="str">
        <f>IFERROR(IF(VLOOKUP(A229,Briefing_Req!A:M,13,0)&lt;&gt;"",VLOOKUP(A229,Briefing_Req!A:M,13,0),VLOOKUP(A229,Briefing_Req!A:M,3,0)),"")</f>
        <v/>
      </c>
      <c r="D229" s="51"/>
      <c r="E229" s="50"/>
      <c r="F229" s="51"/>
      <c r="G229" s="51"/>
      <c r="H229" s="51"/>
      <c r="I229" s="51"/>
      <c r="J229" s="51"/>
      <c r="K229" s="70"/>
      <c r="L229" s="72"/>
      <c r="M229" s="51"/>
      <c r="N229" s="51"/>
      <c r="O229" s="51"/>
      <c r="P229" s="69"/>
      <c r="Q229" s="69"/>
      <c r="R229" s="69"/>
      <c r="S229" s="69"/>
    </row>
    <row r="230" spans="1:19" ht="23.25" customHeight="1">
      <c r="A230" s="51"/>
      <c r="B230" s="50" t="str">
        <f>IFERROR(VLOOKUP(A230,Briefing_Req!A:M,2,0),"")</f>
        <v/>
      </c>
      <c r="C230" s="143" t="str">
        <f>IFERROR(IF(VLOOKUP(A230,Briefing_Req!A:M,13,0)&lt;&gt;"",VLOOKUP(A230,Briefing_Req!A:M,13,0),VLOOKUP(A230,Briefing_Req!A:M,3,0)),"")</f>
        <v/>
      </c>
      <c r="D230" s="51"/>
      <c r="E230" s="50"/>
      <c r="F230" s="51"/>
      <c r="G230" s="51"/>
      <c r="H230" s="51"/>
      <c r="I230" s="51"/>
      <c r="J230" s="51"/>
      <c r="K230" s="70"/>
      <c r="L230" s="72"/>
      <c r="M230" s="51"/>
      <c r="N230" s="51"/>
      <c r="O230" s="51"/>
      <c r="P230" s="69"/>
      <c r="Q230" s="69"/>
      <c r="R230" s="69"/>
      <c r="S230" s="69"/>
    </row>
    <row r="231" spans="1:19" ht="23.25" customHeight="1">
      <c r="A231" s="51"/>
      <c r="B231" s="50" t="str">
        <f>IFERROR(VLOOKUP(A231,Briefing_Req!A:M,2,0),"")</f>
        <v/>
      </c>
      <c r="C231" s="143" t="str">
        <f>IFERROR(IF(VLOOKUP(A231,Briefing_Req!A:M,13,0)&lt;&gt;"",VLOOKUP(A231,Briefing_Req!A:M,13,0),VLOOKUP(A231,Briefing_Req!A:M,3,0)),"")</f>
        <v/>
      </c>
      <c r="D231" s="51"/>
      <c r="E231" s="50"/>
      <c r="F231" s="51"/>
      <c r="G231" s="51"/>
      <c r="H231" s="51"/>
      <c r="I231" s="51"/>
      <c r="J231" s="51"/>
      <c r="K231" s="70"/>
      <c r="L231" s="72"/>
      <c r="M231" s="51"/>
      <c r="N231" s="51"/>
      <c r="O231" s="51"/>
      <c r="P231" s="69"/>
      <c r="Q231" s="69"/>
      <c r="R231" s="69"/>
      <c r="S231" s="69"/>
    </row>
    <row r="232" spans="1:19" ht="23.25" customHeight="1">
      <c r="A232" s="51"/>
      <c r="B232" s="50" t="str">
        <f>IFERROR(VLOOKUP(A232,Briefing_Req!A:M,2,0),"")</f>
        <v/>
      </c>
      <c r="C232" s="143" t="str">
        <f>IFERROR(IF(VLOOKUP(A232,Briefing_Req!A:M,13,0)&lt;&gt;"",VLOOKUP(A232,Briefing_Req!A:M,13,0),VLOOKUP(A232,Briefing_Req!A:M,3,0)),"")</f>
        <v/>
      </c>
      <c r="D232" s="51"/>
      <c r="E232" s="50"/>
      <c r="F232" s="51"/>
      <c r="G232" s="51"/>
      <c r="H232" s="51"/>
      <c r="I232" s="51"/>
      <c r="J232" s="51"/>
      <c r="K232" s="70"/>
      <c r="L232" s="72"/>
      <c r="M232" s="51"/>
      <c r="N232" s="51"/>
      <c r="O232" s="51"/>
      <c r="P232" s="69"/>
      <c r="Q232" s="69"/>
      <c r="R232" s="69"/>
      <c r="S232" s="69"/>
    </row>
    <row r="233" spans="1:19" ht="23.25" customHeight="1">
      <c r="A233" s="51"/>
      <c r="B233" s="50" t="str">
        <f>IFERROR(VLOOKUP(A233,Briefing_Req!A:M,2,0),"")</f>
        <v/>
      </c>
      <c r="C233" s="143" t="str">
        <f>IFERROR(IF(VLOOKUP(A233,Briefing_Req!A:M,13,0)&lt;&gt;"",VLOOKUP(A233,Briefing_Req!A:M,13,0),VLOOKUP(A233,Briefing_Req!A:M,3,0)),"")</f>
        <v/>
      </c>
      <c r="D233" s="51"/>
      <c r="E233" s="50"/>
      <c r="F233" s="51"/>
      <c r="G233" s="51"/>
      <c r="H233" s="51"/>
      <c r="I233" s="51"/>
      <c r="J233" s="51"/>
      <c r="K233" s="70"/>
      <c r="L233" s="72"/>
      <c r="M233" s="51"/>
      <c r="N233" s="51"/>
      <c r="O233" s="51"/>
      <c r="P233" s="69"/>
      <c r="Q233" s="69"/>
      <c r="R233" s="69"/>
      <c r="S233" s="69"/>
    </row>
    <row r="234" spans="1:19" ht="23.25" customHeight="1">
      <c r="A234" s="51"/>
      <c r="B234" s="50" t="str">
        <f>IFERROR(VLOOKUP(A234,Briefing_Req!A:M,2,0),"")</f>
        <v/>
      </c>
      <c r="C234" s="143" t="str">
        <f>IFERROR(IF(VLOOKUP(A234,Briefing_Req!A:M,13,0)&lt;&gt;"",VLOOKUP(A234,Briefing_Req!A:M,13,0),VLOOKUP(A234,Briefing_Req!A:M,3,0)),"")</f>
        <v/>
      </c>
      <c r="D234" s="51"/>
      <c r="E234" s="50"/>
      <c r="F234" s="51"/>
      <c r="G234" s="51"/>
      <c r="H234" s="51"/>
      <c r="I234" s="51"/>
      <c r="J234" s="51"/>
      <c r="K234" s="70"/>
      <c r="L234" s="72"/>
      <c r="M234" s="51"/>
      <c r="N234" s="51"/>
      <c r="O234" s="51"/>
      <c r="P234" s="69"/>
      <c r="Q234" s="69"/>
      <c r="R234" s="69"/>
      <c r="S234" s="69"/>
    </row>
    <row r="235" spans="1:19" ht="23.25" customHeight="1">
      <c r="A235" s="51"/>
      <c r="B235" s="50" t="str">
        <f>IFERROR(VLOOKUP(A235,Briefing_Req!A:M,2,0),"")</f>
        <v/>
      </c>
      <c r="C235" s="143" t="str">
        <f>IFERROR(IF(VLOOKUP(A235,Briefing_Req!A:M,13,0)&lt;&gt;"",VLOOKUP(A235,Briefing_Req!A:M,13,0),VLOOKUP(A235,Briefing_Req!A:M,3,0)),"")</f>
        <v/>
      </c>
      <c r="D235" s="51"/>
      <c r="E235" s="50"/>
      <c r="F235" s="51"/>
      <c r="G235" s="51"/>
      <c r="H235" s="51"/>
      <c r="I235" s="51"/>
      <c r="J235" s="51"/>
      <c r="K235" s="70"/>
      <c r="L235" s="72"/>
      <c r="M235" s="51"/>
      <c r="N235" s="51"/>
      <c r="O235" s="51"/>
      <c r="P235" s="69"/>
      <c r="Q235" s="69"/>
      <c r="R235" s="69"/>
      <c r="S235" s="69"/>
    </row>
    <row r="236" spans="1:19" ht="23.25" customHeight="1">
      <c r="A236" s="51"/>
      <c r="B236" s="50" t="str">
        <f>IFERROR(VLOOKUP(A236,Briefing_Req!A:M,2,0),"")</f>
        <v/>
      </c>
      <c r="C236" s="143" t="str">
        <f>IFERROR(IF(VLOOKUP(A236,Briefing_Req!A:M,13,0)&lt;&gt;"",VLOOKUP(A236,Briefing_Req!A:M,13,0),VLOOKUP(A236,Briefing_Req!A:M,3,0)),"")</f>
        <v/>
      </c>
      <c r="D236" s="51"/>
      <c r="E236" s="50"/>
      <c r="F236" s="51"/>
      <c r="G236" s="51"/>
      <c r="H236" s="51"/>
      <c r="I236" s="51"/>
      <c r="J236" s="51"/>
      <c r="K236" s="70"/>
      <c r="L236" s="72"/>
      <c r="M236" s="51"/>
      <c r="N236" s="51"/>
      <c r="O236" s="51"/>
      <c r="P236" s="69"/>
      <c r="Q236" s="69"/>
      <c r="R236" s="69"/>
      <c r="S236" s="69"/>
    </row>
    <row r="237" spans="1:19" ht="23.25" customHeight="1">
      <c r="A237" s="51"/>
      <c r="B237" s="50" t="str">
        <f>IFERROR(VLOOKUP(A237,Briefing_Req!A:M,2,0),"")</f>
        <v/>
      </c>
      <c r="C237" s="143" t="str">
        <f>IFERROR(IF(VLOOKUP(A237,Briefing_Req!A:M,13,0)&lt;&gt;"",VLOOKUP(A237,Briefing_Req!A:M,13,0),VLOOKUP(A237,Briefing_Req!A:M,3,0)),"")</f>
        <v/>
      </c>
      <c r="D237" s="51"/>
      <c r="E237" s="50"/>
      <c r="F237" s="51"/>
      <c r="G237" s="51"/>
      <c r="H237" s="51"/>
      <c r="I237" s="51"/>
      <c r="J237" s="51"/>
      <c r="K237" s="70"/>
      <c r="L237" s="72"/>
      <c r="M237" s="51"/>
      <c r="N237" s="51"/>
      <c r="O237" s="51"/>
      <c r="P237" s="69"/>
      <c r="Q237" s="69"/>
      <c r="R237" s="69"/>
      <c r="S237" s="69"/>
    </row>
    <row r="238" spans="1:19" ht="23.25" customHeight="1">
      <c r="A238" s="51"/>
      <c r="B238" s="50" t="str">
        <f>IFERROR(VLOOKUP(A238,Briefing_Req!A:M,2,0),"")</f>
        <v/>
      </c>
      <c r="C238" s="143" t="str">
        <f>IFERROR(IF(VLOOKUP(A238,Briefing_Req!A:M,13,0)&lt;&gt;"",VLOOKUP(A238,Briefing_Req!A:M,13,0),VLOOKUP(A238,Briefing_Req!A:M,3,0)),"")</f>
        <v/>
      </c>
      <c r="D238" s="51"/>
      <c r="E238" s="50"/>
      <c r="F238" s="51"/>
      <c r="G238" s="51"/>
      <c r="H238" s="51"/>
      <c r="I238" s="51"/>
      <c r="J238" s="51"/>
      <c r="K238" s="70"/>
      <c r="L238" s="72"/>
      <c r="M238" s="51"/>
      <c r="N238" s="51"/>
      <c r="O238" s="51"/>
      <c r="P238" s="69"/>
      <c r="Q238" s="69"/>
      <c r="R238" s="69"/>
      <c r="S238" s="69"/>
    </row>
    <row r="239" spans="1:19" ht="23.25" customHeight="1">
      <c r="A239" s="51"/>
      <c r="B239" s="50" t="str">
        <f>IFERROR(VLOOKUP(A239,Briefing_Req!A:M,2,0),"")</f>
        <v/>
      </c>
      <c r="C239" s="143" t="str">
        <f>IFERROR(IF(VLOOKUP(A239,Briefing_Req!A:M,13,0)&lt;&gt;"",VLOOKUP(A239,Briefing_Req!A:M,13,0),VLOOKUP(A239,Briefing_Req!A:M,3,0)),"")</f>
        <v/>
      </c>
      <c r="D239" s="51"/>
      <c r="E239" s="50"/>
      <c r="F239" s="51"/>
      <c r="G239" s="51"/>
      <c r="H239" s="51"/>
      <c r="I239" s="51"/>
      <c r="J239" s="51"/>
      <c r="K239" s="70"/>
      <c r="L239" s="72"/>
      <c r="M239" s="51"/>
      <c r="N239" s="51"/>
      <c r="O239" s="51"/>
      <c r="P239" s="69"/>
      <c r="Q239" s="69"/>
      <c r="R239" s="69"/>
      <c r="S239" s="69"/>
    </row>
    <row r="240" spans="1:19" ht="23.25" customHeight="1">
      <c r="A240" s="51"/>
      <c r="B240" s="50" t="str">
        <f>IFERROR(VLOOKUP(A240,Briefing_Req!A:M,2,0),"")</f>
        <v/>
      </c>
      <c r="C240" s="143" t="str">
        <f>IFERROR(IF(VLOOKUP(A240,Briefing_Req!A:M,13,0)&lt;&gt;"",VLOOKUP(A240,Briefing_Req!A:M,13,0),VLOOKUP(A240,Briefing_Req!A:M,3,0)),"")</f>
        <v/>
      </c>
      <c r="D240" s="51"/>
      <c r="E240" s="50"/>
      <c r="F240" s="51"/>
      <c r="G240" s="51"/>
      <c r="H240" s="51"/>
      <c r="I240" s="51"/>
      <c r="J240" s="51"/>
      <c r="K240" s="70"/>
      <c r="L240" s="72"/>
      <c r="M240" s="51"/>
      <c r="N240" s="51"/>
      <c r="O240" s="51"/>
      <c r="P240" s="69"/>
      <c r="Q240" s="69"/>
      <c r="R240" s="69"/>
      <c r="S240" s="69"/>
    </row>
    <row r="241" spans="1:19" ht="23.25" customHeight="1">
      <c r="A241" s="51"/>
      <c r="B241" s="50" t="str">
        <f>IFERROR(VLOOKUP(A241,Briefing_Req!A:M,2,0),"")</f>
        <v/>
      </c>
      <c r="C241" s="143" t="str">
        <f>IFERROR(IF(VLOOKUP(A241,Briefing_Req!A:M,13,0)&lt;&gt;"",VLOOKUP(A241,Briefing_Req!A:M,13,0),VLOOKUP(A241,Briefing_Req!A:M,3,0)),"")</f>
        <v/>
      </c>
      <c r="D241" s="51"/>
      <c r="E241" s="50"/>
      <c r="F241" s="51"/>
      <c r="G241" s="51"/>
      <c r="H241" s="51"/>
      <c r="I241" s="51"/>
      <c r="J241" s="51"/>
      <c r="K241" s="70"/>
      <c r="L241" s="72"/>
      <c r="M241" s="51"/>
      <c r="N241" s="51"/>
      <c r="O241" s="51"/>
      <c r="P241" s="69"/>
      <c r="Q241" s="69"/>
      <c r="R241" s="69"/>
      <c r="S241" s="69"/>
    </row>
    <row r="242" spans="1:19" ht="23.25" customHeight="1">
      <c r="A242" s="51"/>
      <c r="B242" s="50" t="str">
        <f>IFERROR(VLOOKUP(A242,Briefing_Req!A:M,2,0),"")</f>
        <v/>
      </c>
      <c r="C242" s="143" t="str">
        <f>IFERROR(IF(VLOOKUP(A242,Briefing_Req!A:M,13,0)&lt;&gt;"",VLOOKUP(A242,Briefing_Req!A:M,13,0),VLOOKUP(A242,Briefing_Req!A:M,3,0)),"")</f>
        <v/>
      </c>
      <c r="D242" s="51"/>
      <c r="E242" s="50"/>
      <c r="F242" s="51"/>
      <c r="G242" s="51"/>
      <c r="H242" s="51"/>
      <c r="I242" s="51"/>
      <c r="J242" s="51"/>
      <c r="K242" s="70"/>
      <c r="L242" s="72"/>
      <c r="M242" s="51"/>
      <c r="N242" s="51"/>
      <c r="O242" s="51"/>
      <c r="P242" s="69"/>
      <c r="Q242" s="69"/>
      <c r="R242" s="69"/>
      <c r="S242" s="69"/>
    </row>
    <row r="243" spans="1:19" ht="23.25" customHeight="1">
      <c r="A243" s="51"/>
      <c r="B243" s="50" t="str">
        <f>IFERROR(VLOOKUP(A243,Briefing_Req!A:M,2,0),"")</f>
        <v/>
      </c>
      <c r="C243" s="143" t="str">
        <f>IFERROR(IF(VLOOKUP(A243,Briefing_Req!A:M,13,0)&lt;&gt;"",VLOOKUP(A243,Briefing_Req!A:M,13,0),VLOOKUP(A243,Briefing_Req!A:M,3,0)),"")</f>
        <v/>
      </c>
      <c r="D243" s="51"/>
      <c r="E243" s="50"/>
      <c r="F243" s="51"/>
      <c r="G243" s="51"/>
      <c r="H243" s="51"/>
      <c r="I243" s="51"/>
      <c r="J243" s="51"/>
      <c r="K243" s="70"/>
      <c r="L243" s="72"/>
      <c r="M243" s="51"/>
      <c r="N243" s="51"/>
      <c r="O243" s="51"/>
      <c r="P243" s="69"/>
      <c r="Q243" s="69"/>
      <c r="R243" s="69"/>
      <c r="S243" s="69"/>
    </row>
    <row r="244" spans="1:19" ht="23.25" customHeight="1">
      <c r="A244" s="51"/>
      <c r="B244" s="50" t="str">
        <f>IFERROR(VLOOKUP(A244,Briefing_Req!A:M,2,0),"")</f>
        <v/>
      </c>
      <c r="C244" s="143" t="str">
        <f>IFERROR(IF(VLOOKUP(A244,Briefing_Req!A:M,13,0)&lt;&gt;"",VLOOKUP(A244,Briefing_Req!A:M,13,0),VLOOKUP(A244,Briefing_Req!A:M,3,0)),"")</f>
        <v/>
      </c>
      <c r="D244" s="51"/>
      <c r="E244" s="50"/>
      <c r="F244" s="51"/>
      <c r="G244" s="51"/>
      <c r="H244" s="51"/>
      <c r="I244" s="51"/>
      <c r="J244" s="51"/>
      <c r="K244" s="70"/>
      <c r="L244" s="72"/>
      <c r="M244" s="51"/>
      <c r="N244" s="51"/>
      <c r="O244" s="51"/>
      <c r="P244" s="69"/>
      <c r="Q244" s="69"/>
      <c r="R244" s="69"/>
      <c r="S244" s="69"/>
    </row>
    <row r="245" spans="1:19" ht="23.25" customHeight="1">
      <c r="A245" s="51"/>
      <c r="B245" s="50" t="str">
        <f>IFERROR(VLOOKUP(A245,Briefing_Req!A:M,2,0),"")</f>
        <v/>
      </c>
      <c r="C245" s="143" t="str">
        <f>IFERROR(IF(VLOOKUP(A245,Briefing_Req!A:M,13,0)&lt;&gt;"",VLOOKUP(A245,Briefing_Req!A:M,13,0),VLOOKUP(A245,Briefing_Req!A:M,3,0)),"")</f>
        <v/>
      </c>
      <c r="D245" s="51"/>
      <c r="E245" s="50"/>
      <c r="F245" s="51"/>
      <c r="G245" s="51"/>
      <c r="H245" s="51"/>
      <c r="I245" s="51"/>
      <c r="J245" s="51"/>
      <c r="K245" s="70"/>
      <c r="L245" s="72"/>
      <c r="M245" s="51"/>
      <c r="N245" s="51"/>
      <c r="O245" s="51"/>
      <c r="P245" s="69"/>
      <c r="Q245" s="69"/>
      <c r="R245" s="69"/>
      <c r="S245" s="69"/>
    </row>
    <row r="246" spans="1:19" ht="23.25" customHeight="1">
      <c r="A246" s="51"/>
      <c r="B246" s="50" t="str">
        <f>IFERROR(VLOOKUP(A246,Briefing_Req!A:M,2,0),"")</f>
        <v/>
      </c>
      <c r="C246" s="143" t="str">
        <f>IFERROR(IF(VLOOKUP(A246,Briefing_Req!A:M,13,0)&lt;&gt;"",VLOOKUP(A246,Briefing_Req!A:M,13,0),VLOOKUP(A246,Briefing_Req!A:M,3,0)),"")</f>
        <v/>
      </c>
      <c r="D246" s="51"/>
      <c r="E246" s="50"/>
      <c r="F246" s="51"/>
      <c r="G246" s="51"/>
      <c r="H246" s="51"/>
      <c r="I246" s="51"/>
      <c r="J246" s="51"/>
      <c r="K246" s="70"/>
      <c r="L246" s="72"/>
      <c r="M246" s="51"/>
      <c r="N246" s="51"/>
      <c r="O246" s="51"/>
      <c r="P246" s="69"/>
      <c r="Q246" s="69"/>
      <c r="R246" s="69"/>
      <c r="S246" s="69"/>
    </row>
    <row r="247" spans="1:19" ht="23.25" customHeight="1">
      <c r="A247" s="51"/>
      <c r="B247" s="50" t="str">
        <f>IFERROR(VLOOKUP(A247,Briefing_Req!A:M,2,0),"")</f>
        <v/>
      </c>
      <c r="C247" s="143" t="str">
        <f>IFERROR(IF(VLOOKUP(A247,Briefing_Req!A:M,13,0)&lt;&gt;"",VLOOKUP(A247,Briefing_Req!A:M,13,0),VLOOKUP(A247,Briefing_Req!A:M,3,0)),"")</f>
        <v/>
      </c>
      <c r="D247" s="51"/>
      <c r="E247" s="50"/>
      <c r="F247" s="51"/>
      <c r="G247" s="51"/>
      <c r="H247" s="51"/>
      <c r="I247" s="51"/>
      <c r="J247" s="51"/>
      <c r="K247" s="70"/>
      <c r="L247" s="72"/>
      <c r="M247" s="51"/>
      <c r="N247" s="51"/>
      <c r="O247" s="51"/>
      <c r="P247" s="69"/>
      <c r="Q247" s="69"/>
      <c r="R247" s="69"/>
      <c r="S247" s="69"/>
    </row>
    <row r="248" spans="1:19" ht="23.25" customHeight="1">
      <c r="A248" s="51"/>
      <c r="B248" s="50" t="str">
        <f>IFERROR(VLOOKUP(A248,Briefing_Req!A:M,2,0),"")</f>
        <v/>
      </c>
      <c r="C248" s="143" t="str">
        <f>IFERROR(IF(VLOOKUP(A248,Briefing_Req!A:M,13,0)&lt;&gt;"",VLOOKUP(A248,Briefing_Req!A:M,13,0),VLOOKUP(A248,Briefing_Req!A:M,3,0)),"")</f>
        <v/>
      </c>
      <c r="D248" s="51"/>
      <c r="E248" s="50"/>
      <c r="F248" s="51"/>
      <c r="G248" s="51"/>
      <c r="H248" s="51"/>
      <c r="I248" s="51"/>
      <c r="J248" s="51"/>
      <c r="K248" s="70"/>
      <c r="L248" s="72"/>
      <c r="M248" s="51"/>
      <c r="N248" s="51"/>
      <c r="O248" s="51"/>
      <c r="P248" s="69"/>
      <c r="Q248" s="69"/>
      <c r="R248" s="69"/>
      <c r="S248" s="69"/>
    </row>
    <row r="249" spans="1:19" ht="23.25" customHeight="1">
      <c r="A249" s="51"/>
      <c r="B249" s="50" t="str">
        <f>IFERROR(VLOOKUP(A249,Briefing_Req!A:M,2,0),"")</f>
        <v/>
      </c>
      <c r="C249" s="143" t="str">
        <f>IFERROR(IF(VLOOKUP(A249,Briefing_Req!A:M,13,0)&lt;&gt;"",VLOOKUP(A249,Briefing_Req!A:M,13,0),VLOOKUP(A249,Briefing_Req!A:M,3,0)),"")</f>
        <v/>
      </c>
      <c r="D249" s="51"/>
      <c r="E249" s="50"/>
      <c r="F249" s="51"/>
      <c r="G249" s="51"/>
      <c r="H249" s="51"/>
      <c r="I249" s="51"/>
      <c r="J249" s="51"/>
      <c r="K249" s="70"/>
      <c r="L249" s="72"/>
      <c r="M249" s="51"/>
      <c r="N249" s="51"/>
      <c r="O249" s="51"/>
      <c r="P249" s="69"/>
      <c r="Q249" s="69"/>
      <c r="R249" s="69"/>
      <c r="S249" s="69"/>
    </row>
    <row r="250" spans="1:19" ht="23.25" customHeight="1">
      <c r="A250" s="51"/>
      <c r="B250" s="50" t="str">
        <f>IFERROR(VLOOKUP(A250,Briefing_Req!A:M,2,0),"")</f>
        <v/>
      </c>
      <c r="C250" s="143" t="str">
        <f>IFERROR(IF(VLOOKUP(A250,Briefing_Req!A:M,13,0)&lt;&gt;"",VLOOKUP(A250,Briefing_Req!A:M,13,0),VLOOKUP(A250,Briefing_Req!A:M,3,0)),"")</f>
        <v/>
      </c>
      <c r="D250" s="51"/>
      <c r="E250" s="50"/>
      <c r="F250" s="51"/>
      <c r="G250" s="51"/>
      <c r="H250" s="51"/>
      <c r="I250" s="51"/>
      <c r="J250" s="51"/>
      <c r="K250" s="70"/>
      <c r="L250" s="72"/>
      <c r="M250" s="51"/>
      <c r="N250" s="51"/>
      <c r="O250" s="51"/>
      <c r="P250" s="69"/>
      <c r="Q250" s="69"/>
      <c r="R250" s="69"/>
      <c r="S250" s="69"/>
    </row>
    <row r="251" spans="1:19" ht="23.25" customHeight="1">
      <c r="A251" s="51"/>
      <c r="B251" s="50" t="str">
        <f>IFERROR(VLOOKUP(A251,Briefing_Req!A:M,2,0),"")</f>
        <v/>
      </c>
      <c r="C251" s="143" t="str">
        <f>IFERROR(IF(VLOOKUP(A251,Briefing_Req!A:M,13,0)&lt;&gt;"",VLOOKUP(A251,Briefing_Req!A:M,13,0),VLOOKUP(A251,Briefing_Req!A:M,3,0)),"")</f>
        <v/>
      </c>
      <c r="D251" s="51"/>
      <c r="E251" s="50"/>
      <c r="F251" s="51"/>
      <c r="G251" s="51"/>
      <c r="H251" s="51"/>
      <c r="I251" s="51"/>
      <c r="J251" s="51"/>
      <c r="K251" s="70"/>
      <c r="L251" s="72"/>
      <c r="M251" s="51"/>
      <c r="N251" s="51"/>
      <c r="O251" s="51"/>
      <c r="P251" s="69"/>
      <c r="Q251" s="69"/>
      <c r="R251" s="69"/>
      <c r="S251" s="69"/>
    </row>
    <row r="252" spans="1:19" ht="23.25" customHeight="1">
      <c r="A252" s="51"/>
      <c r="B252" s="50" t="str">
        <f>IFERROR(VLOOKUP(A252,Briefing_Req!A:M,2,0),"")</f>
        <v/>
      </c>
      <c r="C252" s="143" t="str">
        <f>IFERROR(IF(VLOOKUP(A252,Briefing_Req!A:M,13,0)&lt;&gt;"",VLOOKUP(A252,Briefing_Req!A:M,13,0),VLOOKUP(A252,Briefing_Req!A:M,3,0)),"")</f>
        <v/>
      </c>
      <c r="D252" s="51"/>
      <c r="E252" s="50"/>
      <c r="F252" s="51"/>
      <c r="G252" s="51"/>
      <c r="H252" s="51"/>
      <c r="I252" s="51"/>
      <c r="J252" s="51"/>
      <c r="K252" s="70"/>
      <c r="L252" s="72"/>
      <c r="M252" s="51"/>
      <c r="N252" s="51"/>
      <c r="O252" s="51"/>
      <c r="P252" s="69"/>
      <c r="Q252" s="69"/>
      <c r="R252" s="69"/>
      <c r="S252" s="69"/>
    </row>
    <row r="253" spans="1:19" ht="23.25" customHeight="1">
      <c r="A253" s="51"/>
      <c r="B253" s="50" t="str">
        <f>IFERROR(VLOOKUP(A253,Briefing_Req!A:M,2,0),"")</f>
        <v/>
      </c>
      <c r="C253" s="143" t="str">
        <f>IFERROR(IF(VLOOKUP(A253,Briefing_Req!A:M,13,0)&lt;&gt;"",VLOOKUP(A253,Briefing_Req!A:M,13,0),VLOOKUP(A253,Briefing_Req!A:M,3,0)),"")</f>
        <v/>
      </c>
      <c r="D253" s="51"/>
      <c r="E253" s="50"/>
      <c r="F253" s="51"/>
      <c r="G253" s="51"/>
      <c r="H253" s="51"/>
      <c r="I253" s="51"/>
      <c r="J253" s="51"/>
      <c r="K253" s="70"/>
      <c r="L253" s="72"/>
      <c r="M253" s="51"/>
      <c r="N253" s="51"/>
      <c r="O253" s="51"/>
      <c r="P253" s="69"/>
      <c r="Q253" s="69"/>
      <c r="R253" s="69"/>
      <c r="S253" s="69"/>
    </row>
    <row r="254" spans="1:19" ht="23.25" customHeight="1">
      <c r="A254" s="51"/>
      <c r="B254" s="50" t="str">
        <f>IFERROR(VLOOKUP(A254,Briefing_Req!A:M,2,0),"")</f>
        <v/>
      </c>
      <c r="C254" s="143" t="str">
        <f>IFERROR(IF(VLOOKUP(A254,Briefing_Req!A:M,13,0)&lt;&gt;"",VLOOKUP(A254,Briefing_Req!A:M,13,0),VLOOKUP(A254,Briefing_Req!A:M,3,0)),"")</f>
        <v/>
      </c>
      <c r="D254" s="51"/>
      <c r="E254" s="50"/>
      <c r="F254" s="51"/>
      <c r="G254" s="51"/>
      <c r="H254" s="51"/>
      <c r="I254" s="51"/>
      <c r="J254" s="51"/>
      <c r="K254" s="70"/>
      <c r="L254" s="72"/>
      <c r="M254" s="51"/>
      <c r="N254" s="51"/>
      <c r="O254" s="51"/>
      <c r="P254" s="69"/>
      <c r="Q254" s="69"/>
      <c r="R254" s="69"/>
      <c r="S254" s="69"/>
    </row>
    <row r="255" spans="1:19" ht="23.25" customHeight="1">
      <c r="A255" s="51"/>
      <c r="B255" s="50" t="str">
        <f>IFERROR(VLOOKUP(A255,Briefing_Req!A:M,2,0),"")</f>
        <v/>
      </c>
      <c r="C255" s="143" t="str">
        <f>IFERROR(IF(VLOOKUP(A255,Briefing_Req!A:M,13,0)&lt;&gt;"",VLOOKUP(A255,Briefing_Req!A:M,13,0),VLOOKUP(A255,Briefing_Req!A:M,3,0)),"")</f>
        <v/>
      </c>
      <c r="D255" s="51"/>
      <c r="E255" s="50"/>
      <c r="F255" s="51"/>
      <c r="G255" s="51"/>
      <c r="H255" s="51"/>
      <c r="I255" s="51"/>
      <c r="J255" s="51"/>
      <c r="K255" s="70"/>
      <c r="L255" s="72"/>
      <c r="M255" s="51"/>
      <c r="N255" s="51"/>
      <c r="O255" s="51"/>
      <c r="P255" s="69"/>
      <c r="Q255" s="69"/>
      <c r="R255" s="69"/>
      <c r="S255" s="69"/>
    </row>
    <row r="256" spans="1:19" ht="23.25" customHeight="1">
      <c r="A256" s="51"/>
      <c r="B256" s="50" t="str">
        <f>IFERROR(VLOOKUP(A256,Briefing_Req!A:M,2,0),"")</f>
        <v/>
      </c>
      <c r="C256" s="143" t="str">
        <f>IFERROR(IF(VLOOKUP(A256,Briefing_Req!A:M,13,0)&lt;&gt;"",VLOOKUP(A256,Briefing_Req!A:M,13,0),VLOOKUP(A256,Briefing_Req!A:M,3,0)),"")</f>
        <v/>
      </c>
      <c r="D256" s="51"/>
      <c r="E256" s="50"/>
      <c r="F256" s="51"/>
      <c r="G256" s="51"/>
      <c r="H256" s="51"/>
      <c r="I256" s="51"/>
      <c r="J256" s="51"/>
      <c r="K256" s="70"/>
      <c r="L256" s="72"/>
      <c r="M256" s="51"/>
      <c r="N256" s="51"/>
      <c r="O256" s="51"/>
      <c r="P256" s="69"/>
      <c r="Q256" s="69"/>
      <c r="R256" s="69"/>
      <c r="S256" s="69"/>
    </row>
    <row r="257" spans="1:19" ht="23.25" customHeight="1">
      <c r="A257" s="51"/>
      <c r="B257" s="50" t="str">
        <f>IFERROR(VLOOKUP(A257,Briefing_Req!A:M,2,0),"")</f>
        <v/>
      </c>
      <c r="C257" s="143" t="str">
        <f>IFERROR(IF(VLOOKUP(A257,Briefing_Req!A:M,13,0)&lt;&gt;"",VLOOKUP(A257,Briefing_Req!A:M,13,0),VLOOKUP(A257,Briefing_Req!A:M,3,0)),"")</f>
        <v/>
      </c>
      <c r="D257" s="51"/>
      <c r="E257" s="50"/>
      <c r="F257" s="51"/>
      <c r="G257" s="51"/>
      <c r="H257" s="51"/>
      <c r="I257" s="51"/>
      <c r="J257" s="51"/>
      <c r="K257" s="70"/>
      <c r="L257" s="72"/>
      <c r="M257" s="51"/>
      <c r="N257" s="51"/>
      <c r="O257" s="51"/>
      <c r="P257" s="69"/>
      <c r="Q257" s="69"/>
      <c r="R257" s="69"/>
      <c r="S257" s="69"/>
    </row>
    <row r="258" spans="1:19" ht="23.25" customHeight="1">
      <c r="A258" s="51"/>
      <c r="B258" s="50" t="str">
        <f>IFERROR(VLOOKUP(A258,Briefing_Req!A:M,2,0),"")</f>
        <v/>
      </c>
      <c r="C258" s="143" t="str">
        <f>IFERROR(IF(VLOOKUP(A258,Briefing_Req!A:M,13,0)&lt;&gt;"",VLOOKUP(A258,Briefing_Req!A:M,13,0),VLOOKUP(A258,Briefing_Req!A:M,3,0)),"")</f>
        <v/>
      </c>
      <c r="D258" s="51"/>
      <c r="E258" s="50"/>
      <c r="F258" s="51"/>
      <c r="G258" s="51"/>
      <c r="H258" s="51"/>
      <c r="I258" s="51"/>
      <c r="J258" s="51"/>
      <c r="K258" s="70"/>
      <c r="L258" s="72"/>
      <c r="M258" s="51"/>
      <c r="N258" s="51"/>
      <c r="O258" s="51"/>
      <c r="P258" s="69"/>
      <c r="Q258" s="69"/>
      <c r="R258" s="69"/>
      <c r="S258" s="69"/>
    </row>
    <row r="259" spans="1:19" ht="23.25" customHeight="1">
      <c r="A259" s="51"/>
      <c r="B259" s="50" t="str">
        <f>IFERROR(VLOOKUP(A259,Briefing_Req!A:M,2,0),"")</f>
        <v/>
      </c>
      <c r="C259" s="143" t="str">
        <f>IFERROR(IF(VLOOKUP(A259,Briefing_Req!A:M,13,0)&lt;&gt;"",VLOOKUP(A259,Briefing_Req!A:M,13,0),VLOOKUP(A259,Briefing_Req!A:M,3,0)),"")</f>
        <v/>
      </c>
      <c r="D259" s="51"/>
      <c r="E259" s="50"/>
      <c r="F259" s="51"/>
      <c r="G259" s="51"/>
      <c r="H259" s="51"/>
      <c r="I259" s="51"/>
      <c r="J259" s="51"/>
      <c r="K259" s="70"/>
      <c r="L259" s="72"/>
      <c r="M259" s="51"/>
      <c r="N259" s="51"/>
      <c r="O259" s="51"/>
      <c r="P259" s="69"/>
      <c r="Q259" s="69"/>
      <c r="R259" s="69"/>
      <c r="S259" s="69"/>
    </row>
    <row r="260" spans="1:19" ht="23.25" customHeight="1">
      <c r="A260" s="51"/>
      <c r="B260" s="50" t="str">
        <f>IFERROR(VLOOKUP(A260,Briefing_Req!A:M,2,0),"")</f>
        <v/>
      </c>
      <c r="C260" s="143" t="str">
        <f>IFERROR(IF(VLOOKUP(A260,Briefing_Req!A:M,13,0)&lt;&gt;"",VLOOKUP(A260,Briefing_Req!A:M,13,0),VLOOKUP(A260,Briefing_Req!A:M,3,0)),"")</f>
        <v/>
      </c>
      <c r="D260" s="51"/>
      <c r="E260" s="50"/>
      <c r="F260" s="51"/>
      <c r="G260" s="51"/>
      <c r="H260" s="51"/>
      <c r="I260" s="51"/>
      <c r="J260" s="51"/>
      <c r="K260" s="70"/>
      <c r="L260" s="72"/>
      <c r="M260" s="51"/>
      <c r="N260" s="51"/>
      <c r="O260" s="51"/>
      <c r="P260" s="69"/>
      <c r="Q260" s="69"/>
      <c r="R260" s="69"/>
      <c r="S260" s="69"/>
    </row>
    <row r="261" spans="1:19" ht="23.25" customHeight="1">
      <c r="A261" s="51"/>
      <c r="B261" s="50" t="str">
        <f>IFERROR(VLOOKUP(A261,Briefing_Req!A:M,2,0),"")</f>
        <v/>
      </c>
      <c r="C261" s="143" t="str">
        <f>IFERROR(IF(VLOOKUP(A261,Briefing_Req!A:M,13,0)&lt;&gt;"",VLOOKUP(A261,Briefing_Req!A:M,13,0),VLOOKUP(A261,Briefing_Req!A:M,3,0)),"")</f>
        <v/>
      </c>
      <c r="D261" s="51"/>
      <c r="E261" s="50"/>
      <c r="F261" s="51"/>
      <c r="G261" s="51"/>
      <c r="H261" s="51"/>
      <c r="I261" s="51"/>
      <c r="J261" s="51"/>
      <c r="K261" s="70"/>
      <c r="L261" s="72"/>
      <c r="M261" s="51"/>
      <c r="N261" s="51"/>
      <c r="O261" s="51"/>
      <c r="P261" s="69"/>
      <c r="Q261" s="69"/>
      <c r="R261" s="69"/>
      <c r="S261" s="69"/>
    </row>
    <row r="262" spans="1:19" ht="23.25" customHeight="1">
      <c r="A262" s="51"/>
      <c r="B262" s="50" t="str">
        <f>IFERROR(VLOOKUP(A262,Briefing_Req!A:M,2,0),"")</f>
        <v/>
      </c>
      <c r="C262" s="143" t="str">
        <f>IFERROR(IF(VLOOKUP(A262,Briefing_Req!A:M,13,0)&lt;&gt;"",VLOOKUP(A262,Briefing_Req!A:M,13,0),VLOOKUP(A262,Briefing_Req!A:M,3,0)),"")</f>
        <v/>
      </c>
      <c r="D262" s="51"/>
      <c r="E262" s="50"/>
      <c r="F262" s="51"/>
      <c r="G262" s="51"/>
      <c r="H262" s="51"/>
      <c r="I262" s="51"/>
      <c r="J262" s="51"/>
      <c r="K262" s="70"/>
      <c r="L262" s="72"/>
      <c r="M262" s="51"/>
      <c r="N262" s="51"/>
      <c r="O262" s="51"/>
      <c r="P262" s="69"/>
      <c r="Q262" s="69"/>
      <c r="R262" s="69"/>
      <c r="S262" s="69"/>
    </row>
    <row r="263" spans="1:19" ht="23.25" customHeight="1">
      <c r="A263" s="51"/>
      <c r="B263" s="50" t="str">
        <f>IFERROR(VLOOKUP(A263,Briefing_Req!A:M,2,0),"")</f>
        <v/>
      </c>
      <c r="C263" s="143" t="str">
        <f>IFERROR(IF(VLOOKUP(A263,Briefing_Req!A:M,13,0)&lt;&gt;"",VLOOKUP(A263,Briefing_Req!A:M,13,0),VLOOKUP(A263,Briefing_Req!A:M,3,0)),"")</f>
        <v/>
      </c>
      <c r="D263" s="51"/>
      <c r="E263" s="50"/>
      <c r="F263" s="51"/>
      <c r="G263" s="51"/>
      <c r="H263" s="51"/>
      <c r="I263" s="51"/>
      <c r="J263" s="51"/>
      <c r="K263" s="70"/>
      <c r="L263" s="72"/>
      <c r="M263" s="51"/>
      <c r="N263" s="51"/>
      <c r="O263" s="51"/>
      <c r="P263" s="69"/>
      <c r="Q263" s="69"/>
      <c r="R263" s="69"/>
      <c r="S263" s="69"/>
    </row>
    <row r="264" spans="1:19" ht="23.25" customHeight="1">
      <c r="A264" s="51"/>
      <c r="B264" s="50" t="str">
        <f>IFERROR(VLOOKUP(A264,Briefing_Req!A:M,2,0),"")</f>
        <v/>
      </c>
      <c r="C264" s="143" t="str">
        <f>IFERROR(IF(VLOOKUP(A264,Briefing_Req!A:M,13,0)&lt;&gt;"",VLOOKUP(A264,Briefing_Req!A:M,13,0),VLOOKUP(A264,Briefing_Req!A:M,3,0)),"")</f>
        <v/>
      </c>
      <c r="D264" s="51"/>
      <c r="E264" s="50"/>
      <c r="F264" s="51"/>
      <c r="G264" s="51"/>
      <c r="H264" s="51"/>
      <c r="I264" s="51"/>
      <c r="J264" s="51"/>
      <c r="K264" s="70"/>
      <c r="L264" s="72"/>
      <c r="M264" s="51"/>
      <c r="N264" s="51"/>
      <c r="O264" s="51"/>
      <c r="P264" s="69"/>
      <c r="Q264" s="69"/>
      <c r="R264" s="69"/>
      <c r="S264" s="69"/>
    </row>
    <row r="265" spans="1:19" ht="23.25" customHeight="1">
      <c r="A265" s="51"/>
      <c r="B265" s="50" t="str">
        <f>IFERROR(VLOOKUP(A265,Briefing_Req!A:M,2,0),"")</f>
        <v/>
      </c>
      <c r="C265" s="143" t="str">
        <f>IFERROR(IF(VLOOKUP(A265,Briefing_Req!A:M,13,0)&lt;&gt;"",VLOOKUP(A265,Briefing_Req!A:M,13,0),VLOOKUP(A265,Briefing_Req!A:M,3,0)),"")</f>
        <v/>
      </c>
      <c r="D265" s="51"/>
      <c r="E265" s="50"/>
      <c r="F265" s="51"/>
      <c r="G265" s="51"/>
      <c r="H265" s="51"/>
      <c r="I265" s="51"/>
      <c r="J265" s="51"/>
      <c r="K265" s="70"/>
      <c r="L265" s="72"/>
      <c r="M265" s="51"/>
      <c r="N265" s="51"/>
      <c r="O265" s="51"/>
      <c r="P265" s="69"/>
      <c r="Q265" s="69"/>
      <c r="R265" s="69"/>
      <c r="S265" s="69"/>
    </row>
    <row r="266" spans="1:19" ht="23.25" customHeight="1">
      <c r="A266" s="51"/>
      <c r="B266" s="50" t="str">
        <f>IFERROR(VLOOKUP(A266,Briefing_Req!A:M,2,0),"")</f>
        <v/>
      </c>
      <c r="C266" s="143" t="str">
        <f>IFERROR(IF(VLOOKUP(A266,Briefing_Req!A:M,13,0)&lt;&gt;"",VLOOKUP(A266,Briefing_Req!A:M,13,0),VLOOKUP(A266,Briefing_Req!A:M,3,0)),"")</f>
        <v/>
      </c>
      <c r="D266" s="51"/>
      <c r="E266" s="50"/>
      <c r="F266" s="51"/>
      <c r="G266" s="51"/>
      <c r="H266" s="51"/>
      <c r="I266" s="51"/>
      <c r="J266" s="51"/>
      <c r="K266" s="70"/>
      <c r="L266" s="72"/>
      <c r="M266" s="51"/>
      <c r="N266" s="51"/>
      <c r="O266" s="51"/>
      <c r="P266" s="69"/>
      <c r="Q266" s="69"/>
      <c r="R266" s="69"/>
      <c r="S266" s="69"/>
    </row>
    <row r="267" spans="1:19" ht="23.25" customHeight="1">
      <c r="A267" s="51"/>
      <c r="B267" s="50" t="str">
        <f>IFERROR(VLOOKUP(A267,Briefing_Req!A:M,2,0),"")</f>
        <v/>
      </c>
      <c r="C267" s="143" t="str">
        <f>IFERROR(IF(VLOOKUP(A267,Briefing_Req!A:M,13,0)&lt;&gt;"",VLOOKUP(A267,Briefing_Req!A:M,13,0),VLOOKUP(A267,Briefing_Req!A:M,3,0)),"")</f>
        <v/>
      </c>
      <c r="D267" s="51"/>
      <c r="E267" s="50"/>
      <c r="F267" s="51"/>
      <c r="G267" s="51"/>
      <c r="H267" s="51"/>
      <c r="I267" s="51"/>
      <c r="J267" s="51"/>
      <c r="K267" s="70"/>
      <c r="L267" s="72"/>
      <c r="M267" s="51"/>
      <c r="N267" s="51"/>
      <c r="O267" s="51"/>
      <c r="P267" s="69"/>
      <c r="Q267" s="69"/>
      <c r="R267" s="69"/>
      <c r="S267" s="69"/>
    </row>
    <row r="268" spans="1:19" ht="23.25" customHeight="1">
      <c r="A268" s="51"/>
      <c r="B268" s="50" t="str">
        <f>IFERROR(VLOOKUP(A268,Briefing_Req!A:M,2,0),"")</f>
        <v/>
      </c>
      <c r="C268" s="143" t="str">
        <f>IFERROR(IF(VLOOKUP(A268,Briefing_Req!A:M,13,0)&lt;&gt;"",VLOOKUP(A268,Briefing_Req!A:M,13,0),VLOOKUP(A268,Briefing_Req!A:M,3,0)),"")</f>
        <v/>
      </c>
      <c r="D268" s="51"/>
      <c r="E268" s="50"/>
      <c r="F268" s="51"/>
      <c r="G268" s="51"/>
      <c r="H268" s="51"/>
      <c r="I268" s="51"/>
      <c r="J268" s="51"/>
      <c r="K268" s="70"/>
      <c r="L268" s="72"/>
      <c r="M268" s="51"/>
      <c r="N268" s="51"/>
      <c r="O268" s="51"/>
      <c r="P268" s="69"/>
      <c r="Q268" s="69"/>
      <c r="R268" s="69"/>
      <c r="S268" s="69"/>
    </row>
    <row r="269" spans="1:19" ht="23.25" customHeight="1">
      <c r="A269" s="51"/>
      <c r="B269" s="50" t="str">
        <f>IFERROR(VLOOKUP(A269,Briefing_Req!A:M,2,0),"")</f>
        <v/>
      </c>
      <c r="C269" s="143" t="str">
        <f>IFERROR(IF(VLOOKUP(A269,Briefing_Req!A:M,13,0)&lt;&gt;"",VLOOKUP(A269,Briefing_Req!A:M,13,0),VLOOKUP(A269,Briefing_Req!A:M,3,0)),"")</f>
        <v/>
      </c>
      <c r="D269" s="51"/>
      <c r="E269" s="50"/>
      <c r="F269" s="51"/>
      <c r="G269" s="51"/>
      <c r="H269" s="51"/>
      <c r="I269" s="51"/>
      <c r="J269" s="51"/>
      <c r="K269" s="70"/>
      <c r="L269" s="72"/>
      <c r="M269" s="51"/>
      <c r="N269" s="51"/>
      <c r="O269" s="51"/>
      <c r="P269" s="69"/>
      <c r="Q269" s="69"/>
      <c r="R269" s="69"/>
      <c r="S269" s="69"/>
    </row>
    <row r="270" spans="1:19" ht="23.25" customHeight="1">
      <c r="A270" s="51"/>
      <c r="B270" s="50" t="str">
        <f>IFERROR(VLOOKUP(A270,Briefing_Req!A:M,2,0),"")</f>
        <v/>
      </c>
      <c r="C270" s="143" t="str">
        <f>IFERROR(IF(VLOOKUP(A270,Briefing_Req!A:M,13,0)&lt;&gt;"",VLOOKUP(A270,Briefing_Req!A:M,13,0),VLOOKUP(A270,Briefing_Req!A:M,3,0)),"")</f>
        <v/>
      </c>
      <c r="D270" s="51"/>
      <c r="E270" s="50"/>
      <c r="F270" s="51"/>
      <c r="G270" s="51"/>
      <c r="H270" s="51"/>
      <c r="I270" s="51"/>
      <c r="J270" s="51"/>
      <c r="K270" s="70"/>
      <c r="L270" s="72"/>
      <c r="M270" s="51"/>
      <c r="N270" s="51"/>
      <c r="O270" s="51"/>
      <c r="P270" s="69"/>
      <c r="Q270" s="69"/>
      <c r="R270" s="69"/>
      <c r="S270" s="69"/>
    </row>
    <row r="271" spans="1:19" ht="23.25" customHeight="1">
      <c r="A271" s="51"/>
      <c r="B271" s="50" t="str">
        <f>IFERROR(VLOOKUP(A271,Briefing_Req!A:M,2,0),"")</f>
        <v/>
      </c>
      <c r="C271" s="143" t="str">
        <f>IFERROR(IF(VLOOKUP(A271,Briefing_Req!A:M,13,0)&lt;&gt;"",VLOOKUP(A271,Briefing_Req!A:M,13,0),VLOOKUP(A271,Briefing_Req!A:M,3,0)),"")</f>
        <v/>
      </c>
      <c r="D271" s="51"/>
      <c r="E271" s="50"/>
      <c r="F271" s="51"/>
      <c r="G271" s="51"/>
      <c r="H271" s="51"/>
      <c r="I271" s="51"/>
      <c r="J271" s="51"/>
      <c r="K271" s="70"/>
      <c r="L271" s="72"/>
      <c r="M271" s="51"/>
      <c r="N271" s="51"/>
      <c r="O271" s="51"/>
      <c r="P271" s="69"/>
      <c r="Q271" s="69"/>
      <c r="R271" s="69"/>
      <c r="S271" s="69"/>
    </row>
    <row r="272" spans="1:19" ht="23.25" customHeight="1">
      <c r="A272" s="51"/>
      <c r="B272" s="50" t="str">
        <f>IFERROR(VLOOKUP(A272,Briefing_Req!A:M,2,0),"")</f>
        <v/>
      </c>
      <c r="C272" s="143" t="str">
        <f>IFERROR(IF(VLOOKUP(A272,Briefing_Req!A:M,13,0)&lt;&gt;"",VLOOKUP(A272,Briefing_Req!A:M,13,0),VLOOKUP(A272,Briefing_Req!A:M,3,0)),"")</f>
        <v/>
      </c>
      <c r="D272" s="51"/>
      <c r="E272" s="50"/>
      <c r="F272" s="51"/>
      <c r="G272" s="51"/>
      <c r="H272" s="51"/>
      <c r="I272" s="51"/>
      <c r="J272" s="51"/>
      <c r="K272" s="70"/>
      <c r="L272" s="72"/>
      <c r="M272" s="51"/>
      <c r="N272" s="51"/>
      <c r="O272" s="51"/>
      <c r="P272" s="69"/>
      <c r="Q272" s="69"/>
      <c r="R272" s="69"/>
      <c r="S272" s="69"/>
    </row>
    <row r="273" spans="1:19" ht="23.25" customHeight="1">
      <c r="A273" s="51"/>
      <c r="B273" s="50" t="str">
        <f>IFERROR(VLOOKUP(A273,Briefing_Req!A:M,2,0),"")</f>
        <v/>
      </c>
      <c r="C273" s="143" t="str">
        <f>IFERROR(IF(VLOOKUP(A273,Briefing_Req!A:M,13,0)&lt;&gt;"",VLOOKUP(A273,Briefing_Req!A:M,13,0),VLOOKUP(A273,Briefing_Req!A:M,3,0)),"")</f>
        <v/>
      </c>
      <c r="D273" s="51"/>
      <c r="E273" s="50"/>
      <c r="F273" s="51"/>
      <c r="G273" s="51"/>
      <c r="H273" s="51"/>
      <c r="I273" s="51"/>
      <c r="J273" s="51"/>
      <c r="K273" s="70"/>
      <c r="L273" s="72"/>
      <c r="M273" s="51"/>
      <c r="N273" s="51"/>
      <c r="O273" s="51"/>
      <c r="P273" s="69"/>
      <c r="Q273" s="69"/>
      <c r="R273" s="69"/>
      <c r="S273" s="69"/>
    </row>
    <row r="274" spans="1:19" ht="23.25" customHeight="1">
      <c r="A274" s="51"/>
      <c r="B274" s="50" t="str">
        <f>IFERROR(VLOOKUP(A274,Briefing_Req!A:M,2,0),"")</f>
        <v/>
      </c>
      <c r="C274" s="143" t="str">
        <f>IFERROR(IF(VLOOKUP(A274,Briefing_Req!A:M,13,0)&lt;&gt;"",VLOOKUP(A274,Briefing_Req!A:M,13,0),VLOOKUP(A274,Briefing_Req!A:M,3,0)),"")</f>
        <v/>
      </c>
      <c r="D274" s="51"/>
      <c r="E274" s="50"/>
      <c r="F274" s="51"/>
      <c r="G274" s="51"/>
      <c r="H274" s="51"/>
      <c r="I274" s="51"/>
      <c r="J274" s="51"/>
      <c r="K274" s="70"/>
      <c r="L274" s="72"/>
      <c r="M274" s="51"/>
      <c r="N274" s="51"/>
      <c r="O274" s="51"/>
      <c r="P274" s="69"/>
      <c r="Q274" s="69"/>
      <c r="R274" s="69"/>
      <c r="S274" s="69"/>
    </row>
    <row r="275" spans="1:19" ht="23.25" customHeight="1">
      <c r="A275" s="51"/>
      <c r="B275" s="50" t="str">
        <f>IFERROR(VLOOKUP(A275,Briefing_Req!A:M,2,0),"")</f>
        <v/>
      </c>
      <c r="C275" s="143" t="str">
        <f>IFERROR(IF(VLOOKUP(A275,Briefing_Req!A:M,13,0)&lt;&gt;"",VLOOKUP(A275,Briefing_Req!A:M,13,0),VLOOKUP(A275,Briefing_Req!A:M,3,0)),"")</f>
        <v/>
      </c>
      <c r="D275" s="51"/>
      <c r="E275" s="50"/>
      <c r="F275" s="51"/>
      <c r="G275" s="51"/>
      <c r="H275" s="51"/>
      <c r="I275" s="51"/>
      <c r="J275" s="51"/>
      <c r="K275" s="70"/>
      <c r="L275" s="72"/>
      <c r="M275" s="51"/>
      <c r="N275" s="51"/>
      <c r="O275" s="51"/>
      <c r="P275" s="69"/>
      <c r="Q275" s="69"/>
      <c r="R275" s="69"/>
      <c r="S275" s="69"/>
    </row>
    <row r="276" spans="1:19" ht="23.25" customHeight="1">
      <c r="A276" s="51"/>
      <c r="B276" s="50" t="str">
        <f>IFERROR(VLOOKUP(A276,Briefing_Req!A:M,2,0),"")</f>
        <v/>
      </c>
      <c r="C276" s="143" t="str">
        <f>IFERROR(IF(VLOOKUP(A276,Briefing_Req!A:M,13,0)&lt;&gt;"",VLOOKUP(A276,Briefing_Req!A:M,13,0),VLOOKUP(A276,Briefing_Req!A:M,3,0)),"")</f>
        <v/>
      </c>
      <c r="D276" s="51"/>
      <c r="E276" s="50"/>
      <c r="F276" s="51"/>
      <c r="G276" s="51"/>
      <c r="H276" s="51"/>
      <c r="I276" s="51"/>
      <c r="J276" s="51"/>
      <c r="K276" s="70"/>
      <c r="L276" s="72"/>
      <c r="M276" s="51"/>
      <c r="N276" s="51"/>
      <c r="O276" s="51"/>
      <c r="P276" s="69"/>
      <c r="Q276" s="69"/>
      <c r="R276" s="69"/>
      <c r="S276" s="69"/>
    </row>
    <row r="277" spans="1:19" ht="23.25" customHeight="1">
      <c r="A277" s="51"/>
      <c r="B277" s="50" t="str">
        <f>IFERROR(VLOOKUP(A277,Briefing_Req!A:M,2,0),"")</f>
        <v/>
      </c>
      <c r="C277" s="143" t="str">
        <f>IFERROR(IF(VLOOKUP(A277,Briefing_Req!A:M,13,0)&lt;&gt;"",VLOOKUP(A277,Briefing_Req!A:M,13,0),VLOOKUP(A277,Briefing_Req!A:M,3,0)),"")</f>
        <v/>
      </c>
      <c r="D277" s="51"/>
      <c r="E277" s="50"/>
      <c r="F277" s="51"/>
      <c r="G277" s="51"/>
      <c r="H277" s="51"/>
      <c r="I277" s="51"/>
      <c r="J277" s="51"/>
      <c r="K277" s="70"/>
      <c r="L277" s="72"/>
      <c r="M277" s="51"/>
      <c r="N277" s="51"/>
      <c r="O277" s="51"/>
      <c r="P277" s="69"/>
      <c r="Q277" s="69"/>
      <c r="R277" s="69"/>
      <c r="S277" s="69"/>
    </row>
    <row r="278" spans="1:19" ht="23.25" customHeight="1">
      <c r="A278" s="51"/>
      <c r="B278" s="50" t="str">
        <f>IFERROR(VLOOKUP(A278,Briefing_Req!A:M,2,0),"")</f>
        <v/>
      </c>
      <c r="C278" s="143" t="str">
        <f>IFERROR(IF(VLOOKUP(A278,Briefing_Req!A:M,13,0)&lt;&gt;"",VLOOKUP(A278,Briefing_Req!A:M,13,0),VLOOKUP(A278,Briefing_Req!A:M,3,0)),"")</f>
        <v/>
      </c>
      <c r="D278" s="51"/>
      <c r="E278" s="50"/>
      <c r="F278" s="51"/>
      <c r="G278" s="51"/>
      <c r="H278" s="51"/>
      <c r="I278" s="51"/>
      <c r="J278" s="51"/>
      <c r="K278" s="70"/>
      <c r="L278" s="72"/>
      <c r="M278" s="51"/>
      <c r="N278" s="51"/>
      <c r="O278" s="51"/>
      <c r="P278" s="69"/>
      <c r="Q278" s="69"/>
      <c r="R278" s="69"/>
      <c r="S278" s="69"/>
    </row>
    <row r="279" spans="1:19" ht="23.25" customHeight="1">
      <c r="A279" s="51"/>
      <c r="B279" s="50" t="str">
        <f>IFERROR(VLOOKUP(A279,Briefing_Req!A:M,2,0),"")</f>
        <v/>
      </c>
      <c r="C279" s="143" t="str">
        <f>IFERROR(IF(VLOOKUP(A279,Briefing_Req!A:M,13,0)&lt;&gt;"",VLOOKUP(A279,Briefing_Req!A:M,13,0),VLOOKUP(A279,Briefing_Req!A:M,3,0)),"")</f>
        <v/>
      </c>
      <c r="D279" s="51"/>
      <c r="E279" s="50"/>
      <c r="F279" s="51"/>
      <c r="G279" s="51"/>
      <c r="H279" s="51"/>
      <c r="I279" s="51"/>
      <c r="J279" s="51"/>
      <c r="K279" s="70"/>
      <c r="L279" s="72"/>
      <c r="M279" s="51"/>
      <c r="N279" s="51"/>
      <c r="O279" s="51"/>
      <c r="P279" s="69"/>
      <c r="Q279" s="69"/>
      <c r="R279" s="69"/>
      <c r="S279" s="69"/>
    </row>
    <row r="280" spans="1:19" ht="23.25" customHeight="1">
      <c r="A280" s="51"/>
      <c r="B280" s="50" t="str">
        <f>IFERROR(VLOOKUP(A280,Briefing_Req!A:M,2,0),"")</f>
        <v/>
      </c>
      <c r="C280" s="143" t="str">
        <f>IFERROR(IF(VLOOKUP(A280,Briefing_Req!A:M,13,0)&lt;&gt;"",VLOOKUP(A280,Briefing_Req!A:M,13,0),VLOOKUP(A280,Briefing_Req!A:M,3,0)),"")</f>
        <v/>
      </c>
      <c r="D280" s="51"/>
      <c r="E280" s="50"/>
      <c r="F280" s="51"/>
      <c r="G280" s="51"/>
      <c r="H280" s="51"/>
      <c r="I280" s="51"/>
      <c r="J280" s="51"/>
      <c r="K280" s="70"/>
      <c r="L280" s="72"/>
      <c r="M280" s="51"/>
      <c r="N280" s="51"/>
      <c r="O280" s="51"/>
      <c r="P280" s="69"/>
      <c r="Q280" s="69"/>
      <c r="R280" s="69"/>
      <c r="S280" s="69"/>
    </row>
    <row r="281" spans="1:19" ht="23.25" customHeight="1">
      <c r="A281" s="51"/>
      <c r="B281" s="50" t="str">
        <f>IFERROR(VLOOKUP(A281,Briefing_Req!A:M,2,0),"")</f>
        <v/>
      </c>
      <c r="C281" s="143" t="str">
        <f>IFERROR(IF(VLOOKUP(A281,Briefing_Req!A:M,13,0)&lt;&gt;"",VLOOKUP(A281,Briefing_Req!A:M,13,0),VLOOKUP(A281,Briefing_Req!A:M,3,0)),"")</f>
        <v/>
      </c>
      <c r="D281" s="51"/>
      <c r="E281" s="50"/>
      <c r="F281" s="51"/>
      <c r="G281" s="51"/>
      <c r="H281" s="51"/>
      <c r="I281" s="51"/>
      <c r="J281" s="51"/>
      <c r="K281" s="70"/>
      <c r="L281" s="72"/>
      <c r="M281" s="51"/>
      <c r="N281" s="51"/>
      <c r="O281" s="51"/>
      <c r="P281" s="69"/>
      <c r="Q281" s="69"/>
      <c r="R281" s="69"/>
      <c r="S281" s="69"/>
    </row>
    <row r="282" spans="1:19" ht="23.25" customHeight="1">
      <c r="A282" s="51"/>
      <c r="B282" s="50" t="str">
        <f>IFERROR(VLOOKUP(A282,Briefing_Req!A:M,2,0),"")</f>
        <v/>
      </c>
      <c r="C282" s="143" t="str">
        <f>IFERROR(IF(VLOOKUP(A282,Briefing_Req!A:M,13,0)&lt;&gt;"",VLOOKUP(A282,Briefing_Req!A:M,13,0),VLOOKUP(A282,Briefing_Req!A:M,3,0)),"")</f>
        <v/>
      </c>
      <c r="D282" s="51"/>
      <c r="E282" s="50"/>
      <c r="F282" s="51"/>
      <c r="G282" s="51"/>
      <c r="H282" s="51"/>
      <c r="I282" s="51"/>
      <c r="J282" s="51"/>
      <c r="K282" s="70"/>
      <c r="L282" s="72"/>
      <c r="M282" s="51"/>
      <c r="N282" s="51"/>
      <c r="O282" s="51"/>
      <c r="P282" s="69"/>
      <c r="Q282" s="69"/>
      <c r="R282" s="69"/>
      <c r="S282" s="69"/>
    </row>
    <row r="283" spans="1:19" ht="23.25" customHeight="1">
      <c r="A283" s="51"/>
      <c r="B283" s="50" t="str">
        <f>IFERROR(VLOOKUP(A283,Briefing_Req!A:M,2,0),"")</f>
        <v/>
      </c>
      <c r="C283" s="143" t="str">
        <f>IFERROR(IF(VLOOKUP(A283,Briefing_Req!A:M,13,0)&lt;&gt;"",VLOOKUP(A283,Briefing_Req!A:M,13,0),VLOOKUP(A283,Briefing_Req!A:M,3,0)),"")</f>
        <v/>
      </c>
      <c r="D283" s="51"/>
      <c r="E283" s="50"/>
      <c r="F283" s="51"/>
      <c r="G283" s="51"/>
      <c r="H283" s="51"/>
      <c r="I283" s="51"/>
      <c r="J283" s="51"/>
      <c r="K283" s="70"/>
      <c r="L283" s="72"/>
      <c r="M283" s="51"/>
      <c r="N283" s="51"/>
      <c r="O283" s="51"/>
      <c r="P283" s="69"/>
      <c r="Q283" s="69"/>
      <c r="R283" s="69"/>
      <c r="S283" s="69"/>
    </row>
    <row r="284" spans="1:19" ht="23.25" customHeight="1">
      <c r="A284" s="51"/>
      <c r="B284" s="50" t="str">
        <f>IFERROR(VLOOKUP(A284,Briefing_Req!A:M,2,0),"")</f>
        <v/>
      </c>
      <c r="C284" s="143" t="str">
        <f>IFERROR(IF(VLOOKUP(A284,Briefing_Req!A:M,13,0)&lt;&gt;"",VLOOKUP(A284,Briefing_Req!A:M,13,0),VLOOKUP(A284,Briefing_Req!A:M,3,0)),"")</f>
        <v/>
      </c>
      <c r="D284" s="51"/>
      <c r="E284" s="50"/>
      <c r="F284" s="51"/>
      <c r="G284" s="51"/>
      <c r="H284" s="51"/>
      <c r="I284" s="51"/>
      <c r="J284" s="51"/>
      <c r="K284" s="70"/>
      <c r="L284" s="72"/>
      <c r="M284" s="51"/>
      <c r="N284" s="51"/>
      <c r="O284" s="51"/>
      <c r="P284" s="69"/>
      <c r="Q284" s="69"/>
      <c r="R284" s="69"/>
      <c r="S284" s="69"/>
    </row>
    <row r="285" spans="1:19" ht="23.25" customHeight="1">
      <c r="A285" s="51"/>
      <c r="B285" s="50" t="str">
        <f>IFERROR(VLOOKUP(A285,Briefing_Req!A:M,2,0),"")</f>
        <v/>
      </c>
      <c r="C285" s="143" t="str">
        <f>IFERROR(IF(VLOOKUP(A285,Briefing_Req!A:M,13,0)&lt;&gt;"",VLOOKUP(A285,Briefing_Req!A:M,13,0),VLOOKUP(A285,Briefing_Req!A:M,3,0)),"")</f>
        <v/>
      </c>
      <c r="D285" s="51"/>
      <c r="E285" s="50"/>
      <c r="F285" s="51"/>
      <c r="G285" s="51"/>
      <c r="H285" s="51"/>
      <c r="I285" s="51"/>
      <c r="J285" s="51"/>
      <c r="K285" s="70"/>
      <c r="L285" s="72"/>
      <c r="M285" s="51"/>
      <c r="N285" s="51"/>
      <c r="O285" s="51"/>
      <c r="P285" s="69"/>
      <c r="Q285" s="69"/>
      <c r="R285" s="69"/>
      <c r="S285" s="69"/>
    </row>
    <row r="286" spans="1:19" ht="23.25" customHeight="1">
      <c r="A286" s="51"/>
      <c r="B286" s="50" t="str">
        <f>IFERROR(VLOOKUP(A286,Briefing_Req!A:M,2,0),"")</f>
        <v/>
      </c>
      <c r="C286" s="143" t="str">
        <f>IFERROR(IF(VLOOKUP(A286,Briefing_Req!A:M,13,0)&lt;&gt;"",VLOOKUP(A286,Briefing_Req!A:M,13,0),VLOOKUP(A286,Briefing_Req!A:M,3,0)),"")</f>
        <v/>
      </c>
      <c r="D286" s="51"/>
      <c r="E286" s="50"/>
      <c r="F286" s="51"/>
      <c r="G286" s="51"/>
      <c r="H286" s="51"/>
      <c r="I286" s="51"/>
      <c r="J286" s="51"/>
      <c r="K286" s="70"/>
      <c r="L286" s="72"/>
      <c r="M286" s="51"/>
      <c r="N286" s="51"/>
      <c r="O286" s="51"/>
      <c r="P286" s="69"/>
      <c r="Q286" s="69"/>
      <c r="R286" s="69"/>
      <c r="S286" s="69"/>
    </row>
    <row r="287" spans="1:19" ht="23.25" customHeight="1">
      <c r="A287" s="51"/>
      <c r="B287" s="50" t="str">
        <f>IFERROR(VLOOKUP(A287,Briefing_Req!A:M,2,0),"")</f>
        <v/>
      </c>
      <c r="C287" s="143" t="str">
        <f>IFERROR(IF(VLOOKUP(A287,Briefing_Req!A:M,13,0)&lt;&gt;"",VLOOKUP(A287,Briefing_Req!A:M,13,0),VLOOKUP(A287,Briefing_Req!A:M,3,0)),"")</f>
        <v/>
      </c>
      <c r="D287" s="51"/>
      <c r="E287" s="50"/>
      <c r="F287" s="51"/>
      <c r="G287" s="51"/>
      <c r="H287" s="51"/>
      <c r="I287" s="51"/>
      <c r="J287" s="51"/>
      <c r="K287" s="70"/>
      <c r="L287" s="72"/>
      <c r="M287" s="51"/>
      <c r="N287" s="51"/>
      <c r="O287" s="51"/>
      <c r="P287" s="69"/>
      <c r="Q287" s="69"/>
      <c r="R287" s="69"/>
      <c r="S287" s="69"/>
    </row>
    <row r="288" spans="1:19" ht="23.25" customHeight="1">
      <c r="A288" s="51"/>
      <c r="B288" s="50" t="str">
        <f>IFERROR(VLOOKUP(A288,Briefing_Req!A:M,2,0),"")</f>
        <v/>
      </c>
      <c r="C288" s="143" t="str">
        <f>IFERROR(IF(VLOOKUP(A288,Briefing_Req!A:M,13,0)&lt;&gt;"",VLOOKUP(A288,Briefing_Req!A:M,13,0),VLOOKUP(A288,Briefing_Req!A:M,3,0)),"")</f>
        <v/>
      </c>
      <c r="D288" s="51"/>
      <c r="E288" s="50"/>
      <c r="F288" s="51"/>
      <c r="G288" s="51"/>
      <c r="H288" s="51"/>
      <c r="I288" s="51"/>
      <c r="J288" s="51"/>
      <c r="K288" s="70"/>
      <c r="L288" s="72"/>
      <c r="M288" s="51"/>
      <c r="N288" s="51"/>
      <c r="O288" s="51"/>
      <c r="P288" s="69"/>
      <c r="Q288" s="69"/>
      <c r="R288" s="69"/>
      <c r="S288" s="69"/>
    </row>
    <row r="289" spans="1:19" ht="23.25" customHeight="1">
      <c r="A289" s="51"/>
      <c r="B289" s="50" t="str">
        <f>IFERROR(VLOOKUP(A289,Briefing_Req!A:M,2,0),"")</f>
        <v/>
      </c>
      <c r="C289" s="143" t="str">
        <f>IFERROR(IF(VLOOKUP(A289,Briefing_Req!A:M,13,0)&lt;&gt;"",VLOOKUP(A289,Briefing_Req!A:M,13,0),VLOOKUP(A289,Briefing_Req!A:M,3,0)),"")</f>
        <v/>
      </c>
      <c r="D289" s="51"/>
      <c r="E289" s="50"/>
      <c r="F289" s="51"/>
      <c r="G289" s="51"/>
      <c r="H289" s="51"/>
      <c r="I289" s="51"/>
      <c r="J289" s="51"/>
      <c r="K289" s="70"/>
      <c r="L289" s="72"/>
      <c r="M289" s="51"/>
      <c r="N289" s="51"/>
      <c r="O289" s="51"/>
      <c r="P289" s="69"/>
      <c r="Q289" s="69"/>
      <c r="R289" s="69"/>
      <c r="S289" s="69"/>
    </row>
    <row r="290" spans="1:19" ht="23.25" customHeight="1">
      <c r="A290" s="51"/>
      <c r="B290" s="50" t="str">
        <f>IFERROR(VLOOKUP(A290,Briefing_Req!A:M,2,0),"")</f>
        <v/>
      </c>
      <c r="C290" s="143" t="str">
        <f>IFERROR(IF(VLOOKUP(A290,Briefing_Req!A:M,13,0)&lt;&gt;"",VLOOKUP(A290,Briefing_Req!A:M,13,0),VLOOKUP(A290,Briefing_Req!A:M,3,0)),"")</f>
        <v/>
      </c>
      <c r="D290" s="51"/>
      <c r="E290" s="50"/>
      <c r="F290" s="51"/>
      <c r="G290" s="51"/>
      <c r="H290" s="51"/>
      <c r="I290" s="51"/>
      <c r="J290" s="51"/>
      <c r="K290" s="70"/>
      <c r="L290" s="72"/>
      <c r="M290" s="51"/>
      <c r="N290" s="51"/>
      <c r="O290" s="51"/>
      <c r="P290" s="69"/>
      <c r="Q290" s="69"/>
      <c r="R290" s="69"/>
      <c r="S290" s="69"/>
    </row>
    <row r="291" spans="1:19" ht="23.25" customHeight="1">
      <c r="A291" s="51"/>
      <c r="B291" s="50" t="str">
        <f>IFERROR(VLOOKUP(A291,Briefing_Req!A:M,2,0),"")</f>
        <v/>
      </c>
      <c r="C291" s="143" t="str">
        <f>IFERROR(IF(VLOOKUP(A291,Briefing_Req!A:M,13,0)&lt;&gt;"",VLOOKUP(A291,Briefing_Req!A:M,13,0),VLOOKUP(A291,Briefing_Req!A:M,3,0)),"")</f>
        <v/>
      </c>
      <c r="D291" s="51"/>
      <c r="E291" s="50"/>
      <c r="F291" s="51"/>
      <c r="G291" s="51"/>
      <c r="H291" s="51"/>
      <c r="I291" s="51"/>
      <c r="J291" s="51"/>
      <c r="K291" s="70"/>
      <c r="L291" s="72"/>
      <c r="M291" s="51"/>
      <c r="N291" s="51"/>
      <c r="O291" s="51"/>
      <c r="P291" s="69"/>
      <c r="Q291" s="69"/>
      <c r="R291" s="69"/>
      <c r="S291" s="69"/>
    </row>
    <row r="292" spans="1:19" ht="23.25" customHeight="1">
      <c r="A292" s="51"/>
      <c r="B292" s="50" t="str">
        <f>IFERROR(VLOOKUP(A292,Briefing_Req!A:M,2,0),"")</f>
        <v/>
      </c>
      <c r="C292" s="143" t="str">
        <f>IFERROR(IF(VLOOKUP(A292,Briefing_Req!A:M,13,0)&lt;&gt;"",VLOOKUP(A292,Briefing_Req!A:M,13,0),VLOOKUP(A292,Briefing_Req!A:M,3,0)),"")</f>
        <v/>
      </c>
      <c r="D292" s="51"/>
      <c r="E292" s="50"/>
      <c r="F292" s="51"/>
      <c r="G292" s="51"/>
      <c r="H292" s="51"/>
      <c r="I292" s="51"/>
      <c r="J292" s="51"/>
      <c r="K292" s="70"/>
      <c r="L292" s="72"/>
      <c r="M292" s="51"/>
      <c r="N292" s="51"/>
      <c r="O292" s="51"/>
      <c r="P292" s="69"/>
      <c r="Q292" s="69"/>
      <c r="R292" s="69"/>
      <c r="S292" s="69"/>
    </row>
    <row r="293" spans="1:19" ht="23.25" customHeight="1">
      <c r="A293" s="51"/>
      <c r="B293" s="50" t="str">
        <f>IFERROR(VLOOKUP(A293,Briefing_Req!A:M,2,0),"")</f>
        <v/>
      </c>
      <c r="C293" s="143" t="str">
        <f>IFERROR(IF(VLOOKUP(A293,Briefing_Req!A:M,13,0)&lt;&gt;"",VLOOKUP(A293,Briefing_Req!A:M,13,0),VLOOKUP(A293,Briefing_Req!A:M,3,0)),"")</f>
        <v/>
      </c>
      <c r="D293" s="51"/>
      <c r="E293" s="50"/>
      <c r="F293" s="51"/>
      <c r="G293" s="51"/>
      <c r="H293" s="51"/>
      <c r="I293" s="51"/>
      <c r="J293" s="51"/>
      <c r="K293" s="70"/>
      <c r="L293" s="72"/>
      <c r="M293" s="51"/>
      <c r="N293" s="51"/>
      <c r="O293" s="51"/>
      <c r="P293" s="69"/>
      <c r="Q293" s="69"/>
      <c r="R293" s="69"/>
      <c r="S293" s="69"/>
    </row>
    <row r="294" spans="1:19" ht="23.25" customHeight="1">
      <c r="A294" s="51"/>
      <c r="B294" s="50" t="str">
        <f>IFERROR(VLOOKUP(A294,Briefing_Req!A:M,2,0),"")</f>
        <v/>
      </c>
      <c r="C294" s="143" t="str">
        <f>IFERROR(IF(VLOOKUP(A294,Briefing_Req!A:M,13,0)&lt;&gt;"",VLOOKUP(A294,Briefing_Req!A:M,13,0),VLOOKUP(A294,Briefing_Req!A:M,3,0)),"")</f>
        <v/>
      </c>
      <c r="D294" s="51"/>
      <c r="E294" s="50"/>
      <c r="F294" s="51"/>
      <c r="G294" s="51"/>
      <c r="H294" s="51"/>
      <c r="I294" s="51"/>
      <c r="J294" s="51"/>
      <c r="K294" s="70"/>
      <c r="L294" s="72"/>
      <c r="M294" s="51"/>
      <c r="N294" s="51"/>
      <c r="O294" s="51"/>
      <c r="P294" s="69"/>
      <c r="Q294" s="69"/>
      <c r="R294" s="69"/>
      <c r="S294" s="69"/>
    </row>
    <row r="295" spans="1:19" ht="23.25" customHeight="1">
      <c r="A295" s="51"/>
      <c r="B295" s="50" t="str">
        <f>IFERROR(VLOOKUP(A295,Briefing_Req!A:M,2,0),"")</f>
        <v/>
      </c>
      <c r="C295" s="143" t="str">
        <f>IFERROR(IF(VLOOKUP(A295,Briefing_Req!A:M,13,0)&lt;&gt;"",VLOOKUP(A295,Briefing_Req!A:M,13,0),VLOOKUP(A295,Briefing_Req!A:M,3,0)),"")</f>
        <v/>
      </c>
      <c r="D295" s="51"/>
      <c r="E295" s="50"/>
      <c r="F295" s="51"/>
      <c r="G295" s="51"/>
      <c r="H295" s="51"/>
      <c r="I295" s="51"/>
      <c r="J295" s="51"/>
      <c r="K295" s="70"/>
      <c r="L295" s="72"/>
      <c r="M295" s="51"/>
      <c r="N295" s="51"/>
      <c r="O295" s="51"/>
      <c r="P295" s="69"/>
      <c r="Q295" s="69"/>
      <c r="R295" s="69"/>
      <c r="S295" s="69"/>
    </row>
    <row r="296" spans="1:19" ht="23.25" customHeight="1">
      <c r="A296" s="51"/>
      <c r="B296" s="50" t="str">
        <f>IFERROR(VLOOKUP(A296,Briefing_Req!A:M,2,0),"")</f>
        <v/>
      </c>
      <c r="C296" s="143" t="str">
        <f>IFERROR(IF(VLOOKUP(A296,Briefing_Req!A:M,13,0)&lt;&gt;"",VLOOKUP(A296,Briefing_Req!A:M,13,0),VLOOKUP(A296,Briefing_Req!A:M,3,0)),"")</f>
        <v/>
      </c>
      <c r="D296" s="51"/>
      <c r="E296" s="50"/>
      <c r="F296" s="51"/>
      <c r="G296" s="51"/>
      <c r="H296" s="51"/>
      <c r="I296" s="51"/>
      <c r="J296" s="51"/>
      <c r="K296" s="70"/>
      <c r="L296" s="72"/>
      <c r="M296" s="51"/>
      <c r="N296" s="51"/>
      <c r="O296" s="51"/>
      <c r="P296" s="69"/>
      <c r="Q296" s="69"/>
      <c r="R296" s="69"/>
      <c r="S296" s="69"/>
    </row>
    <row r="297" spans="1:19" ht="23.25" customHeight="1">
      <c r="A297" s="51"/>
      <c r="B297" s="50" t="str">
        <f>IFERROR(VLOOKUP(A297,Briefing_Req!A:M,2,0),"")</f>
        <v/>
      </c>
      <c r="C297" s="143" t="str">
        <f>IFERROR(IF(VLOOKUP(A297,Briefing_Req!A:M,13,0)&lt;&gt;"",VLOOKUP(A297,Briefing_Req!A:M,13,0),VLOOKUP(A297,Briefing_Req!A:M,3,0)),"")</f>
        <v/>
      </c>
      <c r="D297" s="51"/>
      <c r="E297" s="50"/>
      <c r="F297" s="51"/>
      <c r="G297" s="51"/>
      <c r="H297" s="51"/>
      <c r="I297" s="51"/>
      <c r="J297" s="51"/>
      <c r="K297" s="70"/>
      <c r="L297" s="72"/>
      <c r="M297" s="51"/>
      <c r="N297" s="51"/>
      <c r="O297" s="51"/>
      <c r="P297" s="69"/>
      <c r="Q297" s="69"/>
      <c r="R297" s="69"/>
      <c r="S297" s="69"/>
    </row>
    <row r="298" spans="1:19" ht="23.25" customHeight="1">
      <c r="A298" s="51"/>
      <c r="B298" s="50" t="str">
        <f>IFERROR(VLOOKUP(A298,Briefing_Req!A:M,2,0),"")</f>
        <v/>
      </c>
      <c r="C298" s="143" t="str">
        <f>IFERROR(IF(VLOOKUP(A298,Briefing_Req!A:M,13,0)&lt;&gt;"",VLOOKUP(A298,Briefing_Req!A:M,13,0),VLOOKUP(A298,Briefing_Req!A:M,3,0)),"")</f>
        <v/>
      </c>
      <c r="D298" s="51"/>
      <c r="E298" s="50"/>
      <c r="F298" s="51"/>
      <c r="G298" s="51"/>
      <c r="H298" s="51"/>
      <c r="I298" s="51"/>
      <c r="J298" s="51"/>
      <c r="K298" s="70"/>
      <c r="L298" s="72"/>
      <c r="M298" s="51"/>
      <c r="N298" s="51"/>
      <c r="O298" s="51"/>
      <c r="P298" s="69"/>
      <c r="Q298" s="69"/>
      <c r="R298" s="69"/>
      <c r="S298" s="69"/>
    </row>
    <row r="299" spans="1:19" ht="23.25" customHeight="1">
      <c r="A299" s="51"/>
      <c r="B299" s="50" t="str">
        <f>IFERROR(VLOOKUP(A299,Briefing_Req!A:M,2,0),"")</f>
        <v/>
      </c>
      <c r="C299" s="143" t="str">
        <f>IFERROR(IF(VLOOKUP(A299,Briefing_Req!A:M,13,0)&lt;&gt;"",VLOOKUP(A299,Briefing_Req!A:M,13,0),VLOOKUP(A299,Briefing_Req!A:M,3,0)),"")</f>
        <v/>
      </c>
      <c r="D299" s="51"/>
      <c r="E299" s="50"/>
      <c r="F299" s="51"/>
      <c r="G299" s="51"/>
      <c r="H299" s="51"/>
      <c r="I299" s="51"/>
      <c r="J299" s="51"/>
      <c r="K299" s="70"/>
      <c r="L299" s="72"/>
      <c r="M299" s="51"/>
      <c r="N299" s="51"/>
      <c r="O299" s="51"/>
      <c r="P299" s="69"/>
      <c r="Q299" s="69"/>
      <c r="R299" s="69"/>
      <c r="S299" s="69"/>
    </row>
    <row r="300" spans="1:19" ht="23.25" customHeight="1">
      <c r="A300" s="51"/>
      <c r="B300" s="50" t="str">
        <f>IFERROR(VLOOKUP(A300,Briefing_Req!A:M,2,0),"")</f>
        <v/>
      </c>
      <c r="C300" s="143" t="str">
        <f>IFERROR(IF(VLOOKUP(A300,Briefing_Req!A:M,13,0)&lt;&gt;"",VLOOKUP(A300,Briefing_Req!A:M,13,0),VLOOKUP(A300,Briefing_Req!A:M,3,0)),"")</f>
        <v/>
      </c>
      <c r="D300" s="51"/>
      <c r="E300" s="50"/>
      <c r="F300" s="51"/>
      <c r="G300" s="51"/>
      <c r="H300" s="51"/>
      <c r="I300" s="51"/>
      <c r="J300" s="51"/>
      <c r="K300" s="70"/>
      <c r="L300" s="72"/>
      <c r="M300" s="51"/>
      <c r="N300" s="51"/>
      <c r="O300" s="51"/>
      <c r="P300" s="69"/>
      <c r="Q300" s="69"/>
      <c r="R300" s="69"/>
      <c r="S300" s="69"/>
    </row>
    <row r="301" spans="1:19" ht="23.25" customHeight="1">
      <c r="A301" s="51"/>
      <c r="B301" s="50" t="str">
        <f>IFERROR(VLOOKUP(A301,Briefing_Req!A:M,2,0),"")</f>
        <v/>
      </c>
      <c r="C301" s="143" t="str">
        <f>IFERROR(IF(VLOOKUP(A301,Briefing_Req!A:M,13,0)&lt;&gt;"",VLOOKUP(A301,Briefing_Req!A:M,13,0),VLOOKUP(A301,Briefing_Req!A:M,3,0)),"")</f>
        <v/>
      </c>
      <c r="D301" s="51"/>
      <c r="E301" s="50"/>
      <c r="F301" s="51"/>
      <c r="G301" s="51"/>
      <c r="H301" s="51"/>
      <c r="I301" s="51"/>
      <c r="J301" s="51"/>
      <c r="K301" s="70"/>
      <c r="L301" s="72"/>
      <c r="M301" s="51"/>
      <c r="N301" s="51"/>
      <c r="O301" s="51"/>
      <c r="P301" s="69"/>
      <c r="Q301" s="69"/>
      <c r="R301" s="69"/>
      <c r="S301" s="69"/>
    </row>
    <row r="302" spans="1:19" ht="23.25" customHeight="1">
      <c r="A302" s="51"/>
      <c r="B302" s="50" t="str">
        <f>IFERROR(VLOOKUP(A302,Briefing_Req!A:M,2,0),"")</f>
        <v/>
      </c>
      <c r="C302" s="143" t="str">
        <f>IFERROR(IF(VLOOKUP(A302,Briefing_Req!A:M,13,0)&lt;&gt;"",VLOOKUP(A302,Briefing_Req!A:M,13,0),VLOOKUP(A302,Briefing_Req!A:M,3,0)),"")</f>
        <v/>
      </c>
      <c r="D302" s="51"/>
      <c r="E302" s="50"/>
      <c r="F302" s="51"/>
      <c r="G302" s="51"/>
      <c r="H302" s="51"/>
      <c r="I302" s="51"/>
      <c r="J302" s="51"/>
      <c r="K302" s="70"/>
      <c r="L302" s="72"/>
      <c r="M302" s="51"/>
      <c r="N302" s="51"/>
      <c r="O302" s="51"/>
      <c r="P302" s="69"/>
      <c r="Q302" s="69"/>
      <c r="R302" s="69"/>
      <c r="S302" s="69"/>
    </row>
    <row r="303" spans="1:19" ht="23.25" customHeight="1">
      <c r="A303" s="51"/>
      <c r="B303" s="50" t="str">
        <f>IFERROR(VLOOKUP(A303,Briefing_Req!A:M,2,0),"")</f>
        <v/>
      </c>
      <c r="C303" s="143" t="str">
        <f>IFERROR(IF(VLOOKUP(A303,Briefing_Req!A:M,13,0)&lt;&gt;"",VLOOKUP(A303,Briefing_Req!A:M,13,0),VLOOKUP(A303,Briefing_Req!A:M,3,0)),"")</f>
        <v/>
      </c>
      <c r="D303" s="51"/>
      <c r="E303" s="50"/>
      <c r="F303" s="51"/>
      <c r="G303" s="51"/>
      <c r="H303" s="51"/>
      <c r="I303" s="51"/>
      <c r="J303" s="51"/>
      <c r="K303" s="70"/>
      <c r="L303" s="72"/>
      <c r="M303" s="51"/>
      <c r="N303" s="51"/>
      <c r="O303" s="51"/>
      <c r="P303" s="69"/>
      <c r="Q303" s="69"/>
      <c r="R303" s="69"/>
      <c r="S303" s="69"/>
    </row>
    <row r="304" spans="1:19" ht="23.25" customHeight="1">
      <c r="A304" s="51"/>
      <c r="B304" s="50" t="str">
        <f>IFERROR(VLOOKUP(A304,Briefing_Req!A:M,2,0),"")</f>
        <v/>
      </c>
      <c r="C304" s="143" t="str">
        <f>IFERROR(IF(VLOOKUP(A304,Briefing_Req!A:M,13,0)&lt;&gt;"",VLOOKUP(A304,Briefing_Req!A:M,13,0),VLOOKUP(A304,Briefing_Req!A:M,3,0)),"")</f>
        <v/>
      </c>
      <c r="D304" s="51"/>
      <c r="E304" s="50"/>
      <c r="F304" s="51"/>
      <c r="G304" s="51"/>
      <c r="H304" s="51"/>
      <c r="I304" s="51"/>
      <c r="J304" s="51"/>
      <c r="K304" s="70"/>
      <c r="L304" s="72"/>
      <c r="M304" s="51"/>
      <c r="N304" s="51"/>
      <c r="O304" s="51"/>
      <c r="P304" s="69"/>
      <c r="Q304" s="69"/>
      <c r="R304" s="69"/>
      <c r="S304" s="69"/>
    </row>
    <row r="305" spans="1:19" ht="23.25" customHeight="1">
      <c r="A305" s="51"/>
      <c r="B305" s="50" t="str">
        <f>IFERROR(VLOOKUP(A305,Briefing_Req!A:M,2,0),"")</f>
        <v/>
      </c>
      <c r="C305" s="143" t="str">
        <f>IFERROR(IF(VLOOKUP(A305,Briefing_Req!A:M,13,0)&lt;&gt;"",VLOOKUP(A305,Briefing_Req!A:M,13,0),VLOOKUP(A305,Briefing_Req!A:M,3,0)),"")</f>
        <v/>
      </c>
      <c r="D305" s="51"/>
      <c r="E305" s="50"/>
      <c r="F305" s="51"/>
      <c r="G305" s="51"/>
      <c r="H305" s="51"/>
      <c r="I305" s="51"/>
      <c r="J305" s="51"/>
      <c r="K305" s="70"/>
      <c r="L305" s="72"/>
      <c r="M305" s="51"/>
      <c r="N305" s="51"/>
      <c r="O305" s="51"/>
      <c r="P305" s="69"/>
      <c r="Q305" s="69"/>
      <c r="R305" s="69"/>
      <c r="S305" s="69"/>
    </row>
    <row r="306" spans="1:19" ht="23.25" customHeight="1">
      <c r="A306" s="51"/>
      <c r="B306" s="50" t="str">
        <f>IFERROR(VLOOKUP(A306,Briefing_Req!A:M,2,0),"")</f>
        <v/>
      </c>
      <c r="C306" s="143" t="str">
        <f>IFERROR(IF(VLOOKUP(A306,Briefing_Req!A:M,13,0)&lt;&gt;"",VLOOKUP(A306,Briefing_Req!A:M,13,0),VLOOKUP(A306,Briefing_Req!A:M,3,0)),"")</f>
        <v/>
      </c>
      <c r="D306" s="51"/>
      <c r="E306" s="50"/>
      <c r="F306" s="51"/>
      <c r="G306" s="51"/>
      <c r="H306" s="51"/>
      <c r="I306" s="51"/>
      <c r="J306" s="51"/>
      <c r="K306" s="70"/>
      <c r="L306" s="72"/>
      <c r="M306" s="51"/>
      <c r="N306" s="51"/>
      <c r="O306" s="51"/>
      <c r="P306" s="69"/>
      <c r="Q306" s="69"/>
      <c r="R306" s="69"/>
      <c r="S306" s="69"/>
    </row>
    <row r="307" spans="1:19" ht="23.25" customHeight="1">
      <c r="A307" s="51"/>
      <c r="B307" s="50" t="str">
        <f>IFERROR(VLOOKUP(A307,Briefing_Req!A:M,2,0),"")</f>
        <v/>
      </c>
      <c r="C307" s="143" t="str">
        <f>IFERROR(IF(VLOOKUP(A307,Briefing_Req!A:M,13,0)&lt;&gt;"",VLOOKUP(A307,Briefing_Req!A:M,13,0),VLOOKUP(A307,Briefing_Req!A:M,3,0)),"")</f>
        <v/>
      </c>
      <c r="D307" s="51"/>
      <c r="E307" s="50"/>
      <c r="F307" s="51"/>
      <c r="G307" s="51"/>
      <c r="H307" s="51"/>
      <c r="I307" s="51"/>
      <c r="J307" s="51"/>
      <c r="K307" s="70"/>
      <c r="L307" s="72"/>
      <c r="M307" s="51"/>
      <c r="N307" s="51"/>
      <c r="O307" s="51"/>
      <c r="P307" s="69"/>
      <c r="Q307" s="69"/>
      <c r="R307" s="69"/>
      <c r="S307" s="69"/>
    </row>
    <row r="308" spans="1:19" ht="23.25" customHeight="1">
      <c r="A308" s="51"/>
      <c r="B308" s="50" t="str">
        <f>IFERROR(VLOOKUP(A308,Briefing_Req!A:M,2,0),"")</f>
        <v/>
      </c>
      <c r="C308" s="143" t="str">
        <f>IFERROR(IF(VLOOKUP(A308,Briefing_Req!A:M,13,0)&lt;&gt;"",VLOOKUP(A308,Briefing_Req!A:M,13,0),VLOOKUP(A308,Briefing_Req!A:M,3,0)),"")</f>
        <v/>
      </c>
      <c r="D308" s="51"/>
      <c r="E308" s="50"/>
      <c r="F308" s="51"/>
      <c r="G308" s="51"/>
      <c r="H308" s="51"/>
      <c r="I308" s="51"/>
      <c r="J308" s="51"/>
      <c r="K308" s="70"/>
      <c r="L308" s="72"/>
      <c r="M308" s="51"/>
      <c r="N308" s="51"/>
      <c r="O308" s="51"/>
      <c r="P308" s="69"/>
      <c r="Q308" s="69"/>
      <c r="R308" s="69"/>
      <c r="S308" s="69"/>
    </row>
    <row r="309" spans="1:19" ht="23.25" customHeight="1">
      <c r="A309" s="51"/>
      <c r="B309" s="50" t="str">
        <f>IFERROR(VLOOKUP(A309,Briefing_Req!A:M,2,0),"")</f>
        <v/>
      </c>
      <c r="C309" s="143" t="str">
        <f>IFERROR(IF(VLOOKUP(A309,Briefing_Req!A:M,13,0)&lt;&gt;"",VLOOKUP(A309,Briefing_Req!A:M,13,0),VLOOKUP(A309,Briefing_Req!A:M,3,0)),"")</f>
        <v/>
      </c>
      <c r="D309" s="51"/>
      <c r="E309" s="50"/>
      <c r="F309" s="51"/>
      <c r="G309" s="51"/>
      <c r="H309" s="51"/>
      <c r="I309" s="51"/>
      <c r="J309" s="51"/>
      <c r="K309" s="70"/>
      <c r="L309" s="72"/>
      <c r="M309" s="51"/>
      <c r="N309" s="51"/>
      <c r="O309" s="51"/>
      <c r="P309" s="69"/>
      <c r="Q309" s="69"/>
      <c r="R309" s="69"/>
      <c r="S309" s="69"/>
    </row>
    <row r="310" spans="1:19" ht="23.25" customHeight="1">
      <c r="A310" s="51"/>
      <c r="B310" s="50" t="str">
        <f>IFERROR(VLOOKUP(A310,Briefing_Req!A:M,2,0),"")</f>
        <v/>
      </c>
      <c r="C310" s="143" t="str">
        <f>IFERROR(IF(VLOOKUP(A310,Briefing_Req!A:M,13,0)&lt;&gt;"",VLOOKUP(A310,Briefing_Req!A:M,13,0),VLOOKUP(A310,Briefing_Req!A:M,3,0)),"")</f>
        <v/>
      </c>
      <c r="D310" s="51"/>
      <c r="E310" s="50"/>
      <c r="F310" s="51"/>
      <c r="G310" s="51"/>
      <c r="H310" s="51"/>
      <c r="I310" s="51"/>
      <c r="J310" s="51"/>
      <c r="K310" s="70"/>
      <c r="L310" s="72"/>
      <c r="M310" s="51"/>
      <c r="N310" s="51"/>
      <c r="O310" s="51"/>
      <c r="P310" s="69"/>
      <c r="Q310" s="69"/>
      <c r="R310" s="69"/>
      <c r="S310" s="69"/>
    </row>
    <row r="311" spans="1:19" ht="23.25" customHeight="1">
      <c r="A311" s="51"/>
      <c r="B311" s="50" t="str">
        <f>IFERROR(VLOOKUP(A311,Briefing_Req!A:M,2,0),"")</f>
        <v/>
      </c>
      <c r="C311" s="143" t="str">
        <f>IFERROR(IF(VLOOKUP(A311,Briefing_Req!A:M,13,0)&lt;&gt;"",VLOOKUP(A311,Briefing_Req!A:M,13,0),VLOOKUP(A311,Briefing_Req!A:M,3,0)),"")</f>
        <v/>
      </c>
      <c r="D311" s="51"/>
      <c r="E311" s="50"/>
      <c r="F311" s="51"/>
      <c r="G311" s="51"/>
      <c r="H311" s="51"/>
      <c r="I311" s="51"/>
      <c r="J311" s="51"/>
      <c r="K311" s="70"/>
      <c r="L311" s="72"/>
      <c r="M311" s="51"/>
      <c r="N311" s="51"/>
      <c r="O311" s="51"/>
      <c r="P311" s="69"/>
      <c r="Q311" s="69"/>
      <c r="R311" s="69"/>
      <c r="S311" s="69"/>
    </row>
    <row r="312" spans="1:19" ht="23.25" customHeight="1">
      <c r="A312" s="51"/>
      <c r="B312" s="50" t="str">
        <f>IFERROR(VLOOKUP(A312,Briefing_Req!A:M,2,0),"")</f>
        <v/>
      </c>
      <c r="C312" s="143" t="str">
        <f>IFERROR(IF(VLOOKUP(A312,Briefing_Req!A:M,13,0)&lt;&gt;"",VLOOKUP(A312,Briefing_Req!A:M,13,0),VLOOKUP(A312,Briefing_Req!A:M,3,0)),"")</f>
        <v/>
      </c>
      <c r="D312" s="51"/>
      <c r="E312" s="50"/>
      <c r="F312" s="51"/>
      <c r="G312" s="51"/>
      <c r="H312" s="51"/>
      <c r="I312" s="51"/>
      <c r="J312" s="51"/>
      <c r="K312" s="70"/>
      <c r="L312" s="72"/>
      <c r="M312" s="51"/>
      <c r="N312" s="51"/>
      <c r="O312" s="51"/>
      <c r="P312" s="69"/>
      <c r="Q312" s="69"/>
      <c r="R312" s="69"/>
      <c r="S312" s="69"/>
    </row>
    <row r="313" spans="1:19" ht="23.25" customHeight="1">
      <c r="A313" s="51"/>
      <c r="B313" s="50" t="str">
        <f>IFERROR(VLOOKUP(A313,Briefing_Req!A:M,2,0),"")</f>
        <v/>
      </c>
      <c r="C313" s="143" t="str">
        <f>IFERROR(IF(VLOOKUP(A313,Briefing_Req!A:M,13,0)&lt;&gt;"",VLOOKUP(A313,Briefing_Req!A:M,13,0),VLOOKUP(A313,Briefing_Req!A:M,3,0)),"")</f>
        <v/>
      </c>
      <c r="D313" s="51"/>
      <c r="E313" s="50"/>
      <c r="F313" s="51"/>
      <c r="G313" s="51"/>
      <c r="H313" s="51"/>
      <c r="I313" s="51"/>
      <c r="J313" s="51"/>
      <c r="K313" s="70"/>
      <c r="L313" s="72"/>
      <c r="M313" s="51"/>
      <c r="N313" s="51"/>
      <c r="O313" s="51"/>
      <c r="P313" s="69"/>
      <c r="Q313" s="69"/>
      <c r="R313" s="69"/>
      <c r="S313" s="69"/>
    </row>
    <row r="314" spans="1:19" ht="23.25" customHeight="1">
      <c r="A314" s="51"/>
      <c r="B314" s="50" t="str">
        <f>IFERROR(VLOOKUP(A314,Briefing_Req!A:M,2,0),"")</f>
        <v/>
      </c>
      <c r="C314" s="143" t="str">
        <f>IFERROR(IF(VLOOKUP(A314,Briefing_Req!A:M,13,0)&lt;&gt;"",VLOOKUP(A314,Briefing_Req!A:M,13,0),VLOOKUP(A314,Briefing_Req!A:M,3,0)),"")</f>
        <v/>
      </c>
      <c r="D314" s="51"/>
      <c r="E314" s="50"/>
      <c r="F314" s="51"/>
      <c r="G314" s="51"/>
      <c r="H314" s="51"/>
      <c r="I314" s="51"/>
      <c r="J314" s="51"/>
      <c r="K314" s="70"/>
      <c r="L314" s="72"/>
      <c r="M314" s="51"/>
      <c r="N314" s="51"/>
      <c r="O314" s="51"/>
      <c r="P314" s="69"/>
      <c r="Q314" s="69"/>
      <c r="R314" s="69"/>
      <c r="S314" s="69"/>
    </row>
    <row r="315" spans="1:19" ht="23.25" customHeight="1">
      <c r="A315" s="51"/>
      <c r="B315" s="50" t="str">
        <f>IFERROR(VLOOKUP(A315,Briefing_Req!A:M,2,0),"")</f>
        <v/>
      </c>
      <c r="C315" s="143" t="str">
        <f>IFERROR(IF(VLOOKUP(A315,Briefing_Req!A:M,13,0)&lt;&gt;"",VLOOKUP(A315,Briefing_Req!A:M,13,0),VLOOKUP(A315,Briefing_Req!A:M,3,0)),"")</f>
        <v/>
      </c>
      <c r="D315" s="51"/>
      <c r="E315" s="50"/>
      <c r="F315" s="51"/>
      <c r="G315" s="51"/>
      <c r="H315" s="51"/>
      <c r="I315" s="51"/>
      <c r="J315" s="51"/>
      <c r="K315" s="70"/>
      <c r="L315" s="72"/>
      <c r="M315" s="51"/>
      <c r="N315" s="51"/>
      <c r="O315" s="51"/>
      <c r="P315" s="69"/>
      <c r="Q315" s="69"/>
      <c r="R315" s="69"/>
      <c r="S315" s="69"/>
    </row>
    <row r="316" spans="1:19" ht="23.25" customHeight="1">
      <c r="A316" s="51"/>
      <c r="B316" s="50" t="str">
        <f>IFERROR(VLOOKUP(A316,Briefing_Req!A:M,2,0),"")</f>
        <v/>
      </c>
      <c r="C316" s="143" t="str">
        <f>IFERROR(IF(VLOOKUP(A316,Briefing_Req!A:M,13,0)&lt;&gt;"",VLOOKUP(A316,Briefing_Req!A:M,13,0),VLOOKUP(A316,Briefing_Req!A:M,3,0)),"")</f>
        <v/>
      </c>
      <c r="D316" s="51"/>
      <c r="E316" s="50"/>
      <c r="F316" s="51"/>
      <c r="G316" s="51"/>
      <c r="H316" s="51"/>
      <c r="I316" s="51"/>
      <c r="J316" s="51"/>
      <c r="K316" s="70"/>
      <c r="L316" s="72"/>
      <c r="M316" s="51"/>
      <c r="N316" s="51"/>
      <c r="O316" s="51"/>
      <c r="P316" s="69"/>
      <c r="Q316" s="69"/>
      <c r="R316" s="69"/>
      <c r="S316" s="69"/>
    </row>
    <row r="317" spans="1:19" ht="23.25" customHeight="1">
      <c r="A317" s="51"/>
      <c r="B317" s="50" t="str">
        <f>IFERROR(VLOOKUP(A317,Briefing_Req!A:M,2,0),"")</f>
        <v/>
      </c>
      <c r="C317" s="143" t="str">
        <f>IFERROR(IF(VLOOKUP(A317,Briefing_Req!A:M,13,0)&lt;&gt;"",VLOOKUP(A317,Briefing_Req!A:M,13,0),VLOOKUP(A317,Briefing_Req!A:M,3,0)),"")</f>
        <v/>
      </c>
      <c r="D317" s="51"/>
      <c r="E317" s="50"/>
      <c r="F317" s="51"/>
      <c r="G317" s="51"/>
      <c r="H317" s="51"/>
      <c r="I317" s="51"/>
      <c r="J317" s="51"/>
      <c r="K317" s="70"/>
      <c r="L317" s="72"/>
      <c r="M317" s="51"/>
      <c r="N317" s="51"/>
      <c r="O317" s="51"/>
      <c r="P317" s="69"/>
      <c r="Q317" s="69"/>
      <c r="R317" s="69"/>
      <c r="S317" s="69"/>
    </row>
    <row r="318" spans="1:19" ht="23.25" customHeight="1">
      <c r="A318" s="51"/>
      <c r="B318" s="50" t="str">
        <f>IFERROR(VLOOKUP(A318,Briefing_Req!A:M,2,0),"")</f>
        <v/>
      </c>
      <c r="C318" s="143" t="str">
        <f>IFERROR(IF(VLOOKUP(A318,Briefing_Req!A:M,13,0)&lt;&gt;"",VLOOKUP(A318,Briefing_Req!A:M,13,0),VLOOKUP(A318,Briefing_Req!A:M,3,0)),"")</f>
        <v/>
      </c>
      <c r="D318" s="51"/>
      <c r="E318" s="50"/>
      <c r="F318" s="51"/>
      <c r="G318" s="51"/>
      <c r="H318" s="51"/>
      <c r="I318" s="51"/>
      <c r="J318" s="51"/>
      <c r="K318" s="70"/>
      <c r="L318" s="72"/>
      <c r="M318" s="51"/>
      <c r="N318" s="51"/>
      <c r="O318" s="51"/>
      <c r="P318" s="69"/>
      <c r="Q318" s="69"/>
      <c r="R318" s="69"/>
      <c r="S318" s="69"/>
    </row>
    <row r="319" spans="1:19" ht="23.25" customHeight="1">
      <c r="A319" s="51"/>
      <c r="B319" s="50" t="str">
        <f>IFERROR(VLOOKUP(A319,Briefing_Req!A:M,2,0),"")</f>
        <v/>
      </c>
      <c r="C319" s="143" t="str">
        <f>IFERROR(IF(VLOOKUP(A319,Briefing_Req!A:M,13,0)&lt;&gt;"",VLOOKUP(A319,Briefing_Req!A:M,13,0),VLOOKUP(A319,Briefing_Req!A:M,3,0)),"")</f>
        <v/>
      </c>
      <c r="D319" s="51"/>
      <c r="E319" s="50"/>
      <c r="F319" s="51"/>
      <c r="G319" s="51"/>
      <c r="H319" s="51"/>
      <c r="I319" s="51"/>
      <c r="J319" s="51"/>
      <c r="K319" s="70"/>
      <c r="L319" s="72"/>
      <c r="M319" s="51"/>
      <c r="N319" s="51"/>
      <c r="O319" s="51"/>
      <c r="P319" s="69"/>
      <c r="Q319" s="69"/>
      <c r="R319" s="69"/>
      <c r="S319" s="69"/>
    </row>
    <row r="320" spans="1:19" ht="23.25" customHeight="1">
      <c r="A320" s="51"/>
      <c r="B320" s="50" t="str">
        <f>IFERROR(VLOOKUP(A320,Briefing_Req!A:M,2,0),"")</f>
        <v/>
      </c>
      <c r="C320" s="143" t="str">
        <f>IFERROR(IF(VLOOKUP(A320,Briefing_Req!A:M,13,0)&lt;&gt;"",VLOOKUP(A320,Briefing_Req!A:M,13,0),VLOOKUP(A320,Briefing_Req!A:M,3,0)),"")</f>
        <v/>
      </c>
      <c r="D320" s="51"/>
      <c r="E320" s="50"/>
      <c r="F320" s="51"/>
      <c r="G320" s="51"/>
      <c r="H320" s="51"/>
      <c r="I320" s="51"/>
      <c r="J320" s="51"/>
      <c r="K320" s="70"/>
      <c r="L320" s="72"/>
      <c r="M320" s="51"/>
      <c r="N320" s="51"/>
      <c r="O320" s="51"/>
      <c r="P320" s="69"/>
      <c r="Q320" s="69"/>
      <c r="R320" s="69"/>
      <c r="S320" s="69"/>
    </row>
    <row r="321" spans="1:19" ht="23.25" customHeight="1">
      <c r="A321" s="51"/>
      <c r="B321" s="50" t="str">
        <f>IFERROR(VLOOKUP(A321,Briefing_Req!A:M,2,0),"")</f>
        <v/>
      </c>
      <c r="C321" s="143" t="str">
        <f>IFERROR(IF(VLOOKUP(A321,Briefing_Req!A:M,13,0)&lt;&gt;"",VLOOKUP(A321,Briefing_Req!A:M,13,0),VLOOKUP(A321,Briefing_Req!A:M,3,0)),"")</f>
        <v/>
      </c>
      <c r="D321" s="51"/>
      <c r="E321" s="50"/>
      <c r="F321" s="51"/>
      <c r="G321" s="51"/>
      <c r="H321" s="51"/>
      <c r="I321" s="51"/>
      <c r="J321" s="51"/>
      <c r="K321" s="70"/>
      <c r="L321" s="72"/>
      <c r="M321" s="51"/>
      <c r="N321" s="51"/>
      <c r="O321" s="51"/>
      <c r="P321" s="69"/>
      <c r="Q321" s="69"/>
      <c r="R321" s="69"/>
      <c r="S321" s="69"/>
    </row>
    <row r="322" spans="1:19" ht="23.25" customHeight="1">
      <c r="A322" s="51"/>
      <c r="B322" s="50" t="str">
        <f>IFERROR(VLOOKUP(A322,Briefing_Req!A:M,2,0),"")</f>
        <v/>
      </c>
      <c r="C322" s="143" t="str">
        <f>IFERROR(IF(VLOOKUP(A322,Briefing_Req!A:M,13,0)&lt;&gt;"",VLOOKUP(A322,Briefing_Req!A:M,13,0),VLOOKUP(A322,Briefing_Req!A:M,3,0)),"")</f>
        <v/>
      </c>
      <c r="D322" s="51"/>
      <c r="E322" s="50"/>
      <c r="F322" s="51"/>
      <c r="G322" s="51"/>
      <c r="H322" s="51"/>
      <c r="I322" s="51"/>
      <c r="J322" s="51"/>
      <c r="K322" s="70"/>
      <c r="L322" s="72"/>
      <c r="M322" s="51"/>
      <c r="N322" s="51"/>
      <c r="O322" s="51"/>
      <c r="P322" s="69"/>
      <c r="Q322" s="69"/>
      <c r="R322" s="69"/>
      <c r="S322" s="69"/>
    </row>
    <row r="323" spans="1:19" ht="23.25" customHeight="1">
      <c r="A323" s="51"/>
      <c r="B323" s="50" t="str">
        <f>IFERROR(VLOOKUP(A323,Briefing_Req!A:M,2,0),"")</f>
        <v/>
      </c>
      <c r="C323" s="143" t="str">
        <f>IFERROR(IF(VLOOKUP(A323,Briefing_Req!A:M,13,0)&lt;&gt;"",VLOOKUP(A323,Briefing_Req!A:M,13,0),VLOOKUP(A323,Briefing_Req!A:M,3,0)),"")</f>
        <v/>
      </c>
      <c r="D323" s="51"/>
      <c r="E323" s="50"/>
      <c r="F323" s="51"/>
      <c r="G323" s="51"/>
      <c r="H323" s="51"/>
      <c r="I323" s="51"/>
      <c r="J323" s="51"/>
      <c r="K323" s="70"/>
      <c r="L323" s="72"/>
      <c r="M323" s="51"/>
      <c r="N323" s="51"/>
      <c r="O323" s="51"/>
      <c r="P323" s="69"/>
      <c r="Q323" s="69"/>
      <c r="R323" s="69"/>
      <c r="S323" s="69"/>
    </row>
    <row r="324" spans="1:19" ht="23.25" customHeight="1">
      <c r="A324" s="51"/>
      <c r="B324" s="50" t="str">
        <f>IFERROR(VLOOKUP(A324,Briefing_Req!A:M,2,0),"")</f>
        <v/>
      </c>
      <c r="C324" s="143" t="str">
        <f>IFERROR(IF(VLOOKUP(A324,Briefing_Req!A:M,13,0)&lt;&gt;"",VLOOKUP(A324,Briefing_Req!A:M,13,0),VLOOKUP(A324,Briefing_Req!A:M,3,0)),"")</f>
        <v/>
      </c>
      <c r="D324" s="51"/>
      <c r="E324" s="50"/>
      <c r="F324" s="51"/>
      <c r="G324" s="51"/>
      <c r="H324" s="51"/>
      <c r="I324" s="51"/>
      <c r="J324" s="51"/>
      <c r="K324" s="70"/>
      <c r="L324" s="72"/>
      <c r="M324" s="51"/>
      <c r="N324" s="51"/>
      <c r="O324" s="51"/>
      <c r="P324" s="69"/>
      <c r="Q324" s="69"/>
      <c r="R324" s="69"/>
      <c r="S324" s="69"/>
    </row>
    <row r="325" spans="1:19" ht="23.25" customHeight="1">
      <c r="A325" s="51"/>
      <c r="B325" s="50" t="str">
        <f>IFERROR(VLOOKUP(A325,Briefing_Req!A:M,2,0),"")</f>
        <v/>
      </c>
      <c r="C325" s="143" t="str">
        <f>IFERROR(IF(VLOOKUP(A325,Briefing_Req!A:M,13,0)&lt;&gt;"",VLOOKUP(A325,Briefing_Req!A:M,13,0),VLOOKUP(A325,Briefing_Req!A:M,3,0)),"")</f>
        <v/>
      </c>
      <c r="D325" s="51"/>
      <c r="E325" s="50"/>
      <c r="F325" s="51"/>
      <c r="G325" s="51"/>
      <c r="H325" s="51"/>
      <c r="I325" s="51"/>
      <c r="J325" s="51"/>
      <c r="K325" s="70"/>
      <c r="L325" s="72"/>
      <c r="M325" s="51"/>
      <c r="N325" s="51"/>
      <c r="O325" s="51"/>
      <c r="P325" s="69"/>
      <c r="Q325" s="69"/>
      <c r="R325" s="69"/>
      <c r="S325" s="69"/>
    </row>
    <row r="326" spans="1:19" ht="23.25" customHeight="1">
      <c r="A326" s="51"/>
      <c r="B326" s="50" t="str">
        <f>IFERROR(VLOOKUP(A326,Briefing_Req!A:M,2,0),"")</f>
        <v/>
      </c>
      <c r="C326" s="143" t="str">
        <f>IFERROR(IF(VLOOKUP(A326,Briefing_Req!A:M,13,0)&lt;&gt;"",VLOOKUP(A326,Briefing_Req!A:M,13,0),VLOOKUP(A326,Briefing_Req!A:M,3,0)),"")</f>
        <v/>
      </c>
      <c r="D326" s="51"/>
      <c r="E326" s="50"/>
      <c r="F326" s="51"/>
      <c r="G326" s="51"/>
      <c r="H326" s="51"/>
      <c r="I326" s="51"/>
      <c r="J326" s="51"/>
      <c r="K326" s="70"/>
      <c r="L326" s="72"/>
      <c r="M326" s="51"/>
      <c r="N326" s="51"/>
      <c r="O326" s="51"/>
      <c r="P326" s="69"/>
      <c r="Q326" s="69"/>
      <c r="R326" s="69"/>
      <c r="S326" s="69"/>
    </row>
    <row r="327" spans="1:19" ht="23.25" customHeight="1">
      <c r="A327" s="51"/>
      <c r="B327" s="50" t="str">
        <f>IFERROR(VLOOKUP(A327,Briefing_Req!A:M,2,0),"")</f>
        <v/>
      </c>
      <c r="C327" s="143" t="str">
        <f>IFERROR(IF(VLOOKUP(A327,Briefing_Req!A:M,13,0)&lt;&gt;"",VLOOKUP(A327,Briefing_Req!A:M,13,0),VLOOKUP(A327,Briefing_Req!A:M,3,0)),"")</f>
        <v/>
      </c>
      <c r="D327" s="51"/>
      <c r="E327" s="50"/>
      <c r="F327" s="51"/>
      <c r="G327" s="51"/>
      <c r="H327" s="51"/>
      <c r="I327" s="51"/>
      <c r="J327" s="51"/>
      <c r="K327" s="70"/>
      <c r="L327" s="72"/>
      <c r="M327" s="51"/>
      <c r="N327" s="51"/>
      <c r="O327" s="51"/>
      <c r="P327" s="69"/>
      <c r="Q327" s="69"/>
      <c r="R327" s="69"/>
      <c r="S327" s="69"/>
    </row>
    <row r="328" spans="1:19" ht="23.25" customHeight="1">
      <c r="A328" s="51"/>
      <c r="B328" s="50" t="str">
        <f>IFERROR(VLOOKUP(A328,Briefing_Req!A:M,2,0),"")</f>
        <v/>
      </c>
      <c r="C328" s="143" t="str">
        <f>IFERROR(IF(VLOOKUP(A328,Briefing_Req!A:M,13,0)&lt;&gt;"",VLOOKUP(A328,Briefing_Req!A:M,13,0),VLOOKUP(A328,Briefing_Req!A:M,3,0)),"")</f>
        <v/>
      </c>
      <c r="D328" s="51"/>
      <c r="E328" s="50"/>
      <c r="F328" s="51"/>
      <c r="G328" s="51"/>
      <c r="H328" s="51"/>
      <c r="I328" s="51"/>
      <c r="J328" s="51"/>
      <c r="K328" s="70"/>
      <c r="L328" s="72"/>
      <c r="M328" s="51"/>
      <c r="N328" s="51"/>
      <c r="O328" s="51"/>
      <c r="P328" s="69"/>
      <c r="Q328" s="69"/>
      <c r="R328" s="69"/>
      <c r="S328" s="69"/>
    </row>
    <row r="329" spans="1:19" ht="23.25" customHeight="1">
      <c r="A329" s="51"/>
      <c r="B329" s="50" t="str">
        <f>IFERROR(VLOOKUP(A329,Briefing_Req!A:M,2,0),"")</f>
        <v/>
      </c>
      <c r="C329" s="143" t="str">
        <f>IFERROR(IF(VLOOKUP(A329,Briefing_Req!A:M,13,0)&lt;&gt;"",VLOOKUP(A329,Briefing_Req!A:M,13,0),VLOOKUP(A329,Briefing_Req!A:M,3,0)),"")</f>
        <v/>
      </c>
      <c r="D329" s="51"/>
      <c r="E329" s="50"/>
      <c r="F329" s="51"/>
      <c r="G329" s="51"/>
      <c r="H329" s="51"/>
      <c r="I329" s="51"/>
      <c r="J329" s="51"/>
      <c r="K329" s="70"/>
      <c r="L329" s="72"/>
      <c r="M329" s="51"/>
      <c r="N329" s="51"/>
      <c r="O329" s="51"/>
      <c r="P329" s="69"/>
      <c r="Q329" s="69"/>
      <c r="R329" s="69"/>
      <c r="S329" s="69"/>
    </row>
    <row r="330" spans="1:19" ht="23.25" customHeight="1">
      <c r="A330" s="51"/>
      <c r="B330" s="50" t="str">
        <f>IFERROR(VLOOKUP(A330,Briefing_Req!A:M,2,0),"")</f>
        <v/>
      </c>
      <c r="C330" s="143" t="str">
        <f>IFERROR(IF(VLOOKUP(A330,Briefing_Req!A:M,13,0)&lt;&gt;"",VLOOKUP(A330,Briefing_Req!A:M,13,0),VLOOKUP(A330,Briefing_Req!A:M,3,0)),"")</f>
        <v/>
      </c>
      <c r="D330" s="51"/>
      <c r="E330" s="50"/>
      <c r="F330" s="51"/>
      <c r="G330" s="51"/>
      <c r="H330" s="51"/>
      <c r="I330" s="51"/>
      <c r="J330" s="51"/>
      <c r="K330" s="70"/>
      <c r="L330" s="72"/>
      <c r="M330" s="51"/>
      <c r="N330" s="51"/>
      <c r="O330" s="51"/>
      <c r="P330" s="69"/>
      <c r="Q330" s="69"/>
      <c r="R330" s="69"/>
      <c r="S330" s="69"/>
    </row>
    <row r="331" spans="1:19" ht="23.25" customHeight="1">
      <c r="A331" s="51"/>
      <c r="B331" s="50" t="str">
        <f>IFERROR(VLOOKUP(A331,Briefing_Req!A:M,2,0),"")</f>
        <v/>
      </c>
      <c r="C331" s="143" t="str">
        <f>IFERROR(IF(VLOOKUP(A331,Briefing_Req!A:M,13,0)&lt;&gt;"",VLOOKUP(A331,Briefing_Req!A:M,13,0),VLOOKUP(A331,Briefing_Req!A:M,3,0)),"")</f>
        <v/>
      </c>
      <c r="D331" s="51"/>
      <c r="E331" s="50"/>
      <c r="F331" s="51"/>
      <c r="G331" s="51"/>
      <c r="H331" s="51"/>
      <c r="I331" s="51"/>
      <c r="J331" s="51"/>
      <c r="K331" s="70"/>
      <c r="L331" s="72"/>
      <c r="M331" s="51"/>
      <c r="N331" s="51"/>
      <c r="O331" s="51"/>
      <c r="P331" s="69"/>
      <c r="Q331" s="69"/>
      <c r="R331" s="69"/>
      <c r="S331" s="69"/>
    </row>
    <row r="332" spans="1:19" ht="23.25" customHeight="1">
      <c r="A332" s="51"/>
      <c r="B332" s="50" t="str">
        <f>IFERROR(VLOOKUP(A332,Briefing_Req!A:M,2,0),"")</f>
        <v/>
      </c>
      <c r="C332" s="143" t="str">
        <f>IFERROR(IF(VLOOKUP(A332,Briefing_Req!A:M,13,0)&lt;&gt;"",VLOOKUP(A332,Briefing_Req!A:M,13,0),VLOOKUP(A332,Briefing_Req!A:M,3,0)),"")</f>
        <v/>
      </c>
      <c r="D332" s="51"/>
      <c r="E332" s="50"/>
      <c r="F332" s="51"/>
      <c r="G332" s="51"/>
      <c r="H332" s="51"/>
      <c r="I332" s="51"/>
      <c r="J332" s="51"/>
      <c r="K332" s="70"/>
      <c r="L332" s="72"/>
      <c r="M332" s="51"/>
      <c r="N332" s="51"/>
      <c r="O332" s="51"/>
      <c r="P332" s="69"/>
      <c r="Q332" s="69"/>
      <c r="R332" s="69"/>
      <c r="S332" s="69"/>
    </row>
    <row r="333" spans="1:19" ht="23.25" customHeight="1">
      <c r="A333" s="51"/>
      <c r="B333" s="50" t="str">
        <f>IFERROR(VLOOKUP(A333,Briefing_Req!A:M,2,0),"")</f>
        <v/>
      </c>
      <c r="C333" s="143" t="str">
        <f>IFERROR(IF(VLOOKUP(A333,Briefing_Req!A:M,13,0)&lt;&gt;"",VLOOKUP(A333,Briefing_Req!A:M,13,0),VLOOKUP(A333,Briefing_Req!A:M,3,0)),"")</f>
        <v/>
      </c>
      <c r="D333" s="51"/>
      <c r="E333" s="50"/>
      <c r="F333" s="51"/>
      <c r="G333" s="51"/>
      <c r="H333" s="51"/>
      <c r="I333" s="51"/>
      <c r="J333" s="51"/>
      <c r="K333" s="70"/>
      <c r="L333" s="72"/>
      <c r="M333" s="51"/>
      <c r="N333" s="51"/>
      <c r="O333" s="51"/>
      <c r="P333" s="69"/>
      <c r="Q333" s="69"/>
      <c r="R333" s="69"/>
      <c r="S333" s="69"/>
    </row>
    <row r="334" spans="1:19" ht="23.25" customHeight="1">
      <c r="A334" s="51"/>
      <c r="B334" s="50" t="str">
        <f>IFERROR(VLOOKUP(A334,Briefing_Req!A:M,2,0),"")</f>
        <v/>
      </c>
      <c r="C334" s="143" t="str">
        <f>IFERROR(IF(VLOOKUP(A334,Briefing_Req!A:M,13,0)&lt;&gt;"",VLOOKUP(A334,Briefing_Req!A:M,13,0),VLOOKUP(A334,Briefing_Req!A:M,3,0)),"")</f>
        <v/>
      </c>
      <c r="D334" s="51"/>
      <c r="E334" s="50"/>
      <c r="F334" s="51"/>
      <c r="G334" s="51"/>
      <c r="H334" s="51"/>
      <c r="I334" s="51"/>
      <c r="J334" s="51"/>
      <c r="K334" s="70"/>
      <c r="L334" s="72"/>
      <c r="M334" s="51"/>
      <c r="N334" s="51"/>
      <c r="O334" s="51"/>
      <c r="P334" s="69"/>
      <c r="Q334" s="69"/>
      <c r="R334" s="69"/>
      <c r="S334" s="69"/>
    </row>
    <row r="335" spans="1:19" ht="23.25" customHeight="1">
      <c r="A335" s="51"/>
      <c r="B335" s="50" t="str">
        <f>IFERROR(VLOOKUP(A335,Briefing_Req!A:M,2,0),"")</f>
        <v/>
      </c>
      <c r="C335" s="143" t="str">
        <f>IFERROR(IF(VLOOKUP(A335,Briefing_Req!A:M,13,0)&lt;&gt;"",VLOOKUP(A335,Briefing_Req!A:M,13,0),VLOOKUP(A335,Briefing_Req!A:M,3,0)),"")</f>
        <v/>
      </c>
      <c r="D335" s="51"/>
      <c r="E335" s="50"/>
      <c r="F335" s="51"/>
      <c r="G335" s="51"/>
      <c r="H335" s="51"/>
      <c r="I335" s="51"/>
      <c r="J335" s="51"/>
      <c r="K335" s="70"/>
      <c r="L335" s="72"/>
      <c r="M335" s="51"/>
      <c r="N335" s="51"/>
      <c r="O335" s="51"/>
      <c r="P335" s="69"/>
      <c r="Q335" s="69"/>
      <c r="R335" s="69"/>
      <c r="S335" s="69"/>
    </row>
    <row r="336" spans="1:19" ht="23.25" customHeight="1">
      <c r="A336" s="51"/>
      <c r="B336" s="50" t="str">
        <f>IFERROR(VLOOKUP(A336,Briefing_Req!A:M,2,0),"")</f>
        <v/>
      </c>
      <c r="C336" s="143" t="str">
        <f>IFERROR(IF(VLOOKUP(A336,Briefing_Req!A:M,13,0)&lt;&gt;"",VLOOKUP(A336,Briefing_Req!A:M,13,0),VLOOKUP(A336,Briefing_Req!A:M,3,0)),"")</f>
        <v/>
      </c>
      <c r="D336" s="51"/>
      <c r="E336" s="50"/>
      <c r="F336" s="51"/>
      <c r="G336" s="51"/>
      <c r="H336" s="51"/>
      <c r="I336" s="51"/>
      <c r="J336" s="51"/>
      <c r="K336" s="70"/>
      <c r="L336" s="72"/>
      <c r="M336" s="51"/>
      <c r="N336" s="51"/>
      <c r="O336" s="51"/>
      <c r="P336" s="69"/>
      <c r="Q336" s="69"/>
      <c r="R336" s="69"/>
      <c r="S336" s="69"/>
    </row>
    <row r="337" spans="1:19" ht="23.25" customHeight="1">
      <c r="A337" s="51"/>
      <c r="B337" s="50" t="str">
        <f>IFERROR(VLOOKUP(A337,Briefing_Req!A:M,2,0),"")</f>
        <v/>
      </c>
      <c r="C337" s="143" t="str">
        <f>IFERROR(IF(VLOOKUP(A337,Briefing_Req!A:M,13,0)&lt;&gt;"",VLOOKUP(A337,Briefing_Req!A:M,13,0),VLOOKUP(A337,Briefing_Req!A:M,3,0)),"")</f>
        <v/>
      </c>
      <c r="D337" s="51"/>
      <c r="E337" s="50"/>
      <c r="F337" s="51"/>
      <c r="G337" s="51"/>
      <c r="H337" s="51"/>
      <c r="I337" s="51"/>
      <c r="J337" s="51"/>
      <c r="K337" s="70"/>
      <c r="L337" s="72"/>
      <c r="M337" s="51"/>
      <c r="N337" s="51"/>
      <c r="O337" s="51"/>
      <c r="P337" s="69"/>
      <c r="Q337" s="69"/>
      <c r="R337" s="69"/>
      <c r="S337" s="69"/>
    </row>
    <row r="338" spans="1:19" ht="23.25" customHeight="1">
      <c r="A338" s="51"/>
      <c r="B338" s="50" t="str">
        <f>IFERROR(VLOOKUP(A338,Briefing_Req!A:M,2,0),"")</f>
        <v/>
      </c>
      <c r="C338" s="143" t="str">
        <f>IFERROR(IF(VLOOKUP(A338,Briefing_Req!A:M,13,0)&lt;&gt;"",VLOOKUP(A338,Briefing_Req!A:M,13,0),VLOOKUP(A338,Briefing_Req!A:M,3,0)),"")</f>
        <v/>
      </c>
      <c r="D338" s="51"/>
      <c r="E338" s="50"/>
      <c r="F338" s="51"/>
      <c r="G338" s="51"/>
      <c r="H338" s="51"/>
      <c r="I338" s="51"/>
      <c r="J338" s="51"/>
      <c r="K338" s="70"/>
      <c r="L338" s="72"/>
      <c r="M338" s="51"/>
      <c r="N338" s="51"/>
      <c r="O338" s="51"/>
      <c r="P338" s="69"/>
      <c r="Q338" s="69"/>
      <c r="R338" s="69"/>
      <c r="S338" s="69"/>
    </row>
    <row r="339" spans="1:19" ht="23.25" customHeight="1">
      <c r="A339" s="51"/>
      <c r="B339" s="50" t="str">
        <f>IFERROR(VLOOKUP(A339,Briefing_Req!A:M,2,0),"")</f>
        <v/>
      </c>
      <c r="C339" s="143" t="str">
        <f>IFERROR(IF(VLOOKUP(A339,Briefing_Req!A:M,13,0)&lt;&gt;"",VLOOKUP(A339,Briefing_Req!A:M,13,0),VLOOKUP(A339,Briefing_Req!A:M,3,0)),"")</f>
        <v/>
      </c>
      <c r="D339" s="51"/>
      <c r="E339" s="50"/>
      <c r="F339" s="51"/>
      <c r="G339" s="51"/>
      <c r="H339" s="51"/>
      <c r="I339" s="51"/>
      <c r="J339" s="51"/>
      <c r="K339" s="70"/>
      <c r="L339" s="72"/>
      <c r="M339" s="51"/>
      <c r="N339" s="51"/>
      <c r="O339" s="51"/>
      <c r="P339" s="69"/>
      <c r="Q339" s="69"/>
      <c r="R339" s="69"/>
      <c r="S339" s="69"/>
    </row>
    <row r="340" spans="1:19" ht="23.25" customHeight="1">
      <c r="A340" s="51"/>
      <c r="B340" s="50" t="str">
        <f>IFERROR(VLOOKUP(A340,Briefing_Req!A:M,2,0),"")</f>
        <v/>
      </c>
      <c r="C340" s="143" t="str">
        <f>IFERROR(IF(VLOOKUP(A340,Briefing_Req!A:M,13,0)&lt;&gt;"",VLOOKUP(A340,Briefing_Req!A:M,13,0),VLOOKUP(A340,Briefing_Req!A:M,3,0)),"")</f>
        <v/>
      </c>
      <c r="D340" s="51"/>
      <c r="E340" s="50"/>
      <c r="F340" s="51"/>
      <c r="G340" s="51"/>
      <c r="H340" s="51"/>
      <c r="I340" s="51"/>
      <c r="J340" s="51"/>
      <c r="K340" s="70"/>
      <c r="L340" s="72"/>
      <c r="M340" s="51"/>
      <c r="N340" s="51"/>
      <c r="O340" s="51"/>
      <c r="P340" s="69"/>
      <c r="Q340" s="69"/>
      <c r="R340" s="69"/>
      <c r="S340" s="69"/>
    </row>
    <row r="341" spans="1:19" ht="23.25" customHeight="1">
      <c r="A341" s="51"/>
      <c r="B341" s="50" t="str">
        <f>IFERROR(VLOOKUP(A341,Briefing_Req!A:M,2,0),"")</f>
        <v/>
      </c>
      <c r="C341" s="143" t="str">
        <f>IFERROR(IF(VLOOKUP(A341,Briefing_Req!A:M,13,0)&lt;&gt;"",VLOOKUP(A341,Briefing_Req!A:M,13,0),VLOOKUP(A341,Briefing_Req!A:M,3,0)),"")</f>
        <v/>
      </c>
      <c r="D341" s="51"/>
      <c r="E341" s="50"/>
      <c r="F341" s="51"/>
      <c r="G341" s="51"/>
      <c r="H341" s="51"/>
      <c r="I341" s="51"/>
      <c r="J341" s="51"/>
      <c r="K341" s="70"/>
      <c r="L341" s="72"/>
      <c r="M341" s="51"/>
      <c r="N341" s="51"/>
      <c r="O341" s="51"/>
      <c r="P341" s="69"/>
      <c r="Q341" s="69"/>
      <c r="R341" s="69"/>
      <c r="S341" s="69"/>
    </row>
    <row r="342" spans="1:19" ht="23.25" customHeight="1">
      <c r="A342" s="51"/>
      <c r="B342" s="50" t="str">
        <f>IFERROR(VLOOKUP(A342,Briefing_Req!A:M,2,0),"")</f>
        <v/>
      </c>
      <c r="C342" s="143" t="str">
        <f>IFERROR(IF(VLOOKUP(A342,Briefing_Req!A:M,13,0)&lt;&gt;"",VLOOKUP(A342,Briefing_Req!A:M,13,0),VLOOKUP(A342,Briefing_Req!A:M,3,0)),"")</f>
        <v/>
      </c>
      <c r="D342" s="51"/>
      <c r="E342" s="50"/>
      <c r="F342" s="51"/>
      <c r="G342" s="51"/>
      <c r="H342" s="51"/>
      <c r="I342" s="51"/>
      <c r="J342" s="51"/>
      <c r="K342" s="70"/>
      <c r="L342" s="72"/>
      <c r="M342" s="51"/>
      <c r="N342" s="51"/>
      <c r="O342" s="51"/>
      <c r="P342" s="69"/>
      <c r="Q342" s="69"/>
      <c r="R342" s="69"/>
      <c r="S342" s="69"/>
    </row>
    <row r="343" spans="1:19" ht="23.25" customHeight="1">
      <c r="A343" s="51"/>
      <c r="B343" s="50" t="str">
        <f>IFERROR(VLOOKUP(A343,Briefing_Req!A:M,2,0),"")</f>
        <v/>
      </c>
      <c r="C343" s="143" t="str">
        <f>IFERROR(IF(VLOOKUP(A343,Briefing_Req!A:M,13,0)&lt;&gt;"",VLOOKUP(A343,Briefing_Req!A:M,13,0),VLOOKUP(A343,Briefing_Req!A:M,3,0)),"")</f>
        <v/>
      </c>
      <c r="D343" s="51"/>
      <c r="E343" s="50"/>
      <c r="F343" s="51"/>
      <c r="G343" s="51"/>
      <c r="H343" s="51"/>
      <c r="I343" s="51"/>
      <c r="J343" s="51"/>
      <c r="K343" s="70"/>
      <c r="L343" s="72"/>
      <c r="M343" s="51"/>
      <c r="N343" s="51"/>
      <c r="O343" s="51"/>
      <c r="P343" s="69"/>
      <c r="Q343" s="69"/>
      <c r="R343" s="69"/>
      <c r="S343" s="69"/>
    </row>
    <row r="344" spans="1:19" ht="23.25" customHeight="1">
      <c r="A344" s="51"/>
      <c r="B344" s="50" t="str">
        <f>IFERROR(VLOOKUP(A344,Briefing_Req!A:M,2,0),"")</f>
        <v/>
      </c>
      <c r="C344" s="143" t="str">
        <f>IFERROR(IF(VLOOKUP(A344,Briefing_Req!A:M,13,0)&lt;&gt;"",VLOOKUP(A344,Briefing_Req!A:M,13,0),VLOOKUP(A344,Briefing_Req!A:M,3,0)),"")</f>
        <v/>
      </c>
      <c r="D344" s="51"/>
      <c r="E344" s="50"/>
      <c r="F344" s="51"/>
      <c r="G344" s="51"/>
      <c r="H344" s="51"/>
      <c r="I344" s="51"/>
      <c r="J344" s="51"/>
      <c r="K344" s="70"/>
      <c r="L344" s="72"/>
      <c r="M344" s="51"/>
      <c r="N344" s="51"/>
      <c r="O344" s="51"/>
      <c r="P344" s="69"/>
      <c r="Q344" s="69"/>
      <c r="R344" s="69"/>
      <c r="S344" s="69"/>
    </row>
    <row r="345" spans="1:19" ht="23.25" customHeight="1">
      <c r="A345" s="51"/>
      <c r="B345" s="50" t="str">
        <f>IFERROR(VLOOKUP(A345,Briefing_Req!A:M,2,0),"")</f>
        <v/>
      </c>
      <c r="C345" s="143" t="str">
        <f>IFERROR(IF(VLOOKUP(A345,Briefing_Req!A:M,13,0)&lt;&gt;"",VLOOKUP(A345,Briefing_Req!A:M,13,0),VLOOKUP(A345,Briefing_Req!A:M,3,0)),"")</f>
        <v/>
      </c>
      <c r="D345" s="51"/>
      <c r="E345" s="50"/>
      <c r="F345" s="51"/>
      <c r="G345" s="51"/>
      <c r="H345" s="51"/>
      <c r="I345" s="51"/>
      <c r="J345" s="51"/>
      <c r="K345" s="70"/>
      <c r="L345" s="72"/>
      <c r="M345" s="51"/>
      <c r="N345" s="51"/>
      <c r="O345" s="51"/>
      <c r="P345" s="69"/>
      <c r="Q345" s="69"/>
      <c r="R345" s="69"/>
      <c r="S345" s="69"/>
    </row>
    <row r="346" spans="1:19" ht="23.25" customHeight="1">
      <c r="A346" s="51"/>
      <c r="B346" s="50" t="str">
        <f>IFERROR(VLOOKUP(A346,Briefing_Req!A:M,2,0),"")</f>
        <v/>
      </c>
      <c r="C346" s="143" t="str">
        <f>IFERROR(IF(VLOOKUP(A346,Briefing_Req!A:M,13,0)&lt;&gt;"",VLOOKUP(A346,Briefing_Req!A:M,13,0),VLOOKUP(A346,Briefing_Req!A:M,3,0)),"")</f>
        <v/>
      </c>
      <c r="D346" s="51"/>
      <c r="E346" s="50"/>
      <c r="F346" s="51"/>
      <c r="G346" s="51"/>
      <c r="H346" s="51"/>
      <c r="I346" s="51"/>
      <c r="J346" s="51"/>
      <c r="K346" s="70"/>
      <c r="L346" s="72"/>
      <c r="M346" s="51"/>
      <c r="N346" s="51"/>
      <c r="O346" s="51"/>
      <c r="P346" s="69"/>
      <c r="Q346" s="69"/>
      <c r="R346" s="69"/>
      <c r="S346" s="69"/>
    </row>
    <row r="347" spans="1:19" ht="23.25" customHeight="1">
      <c r="A347" s="51"/>
      <c r="B347" s="50" t="str">
        <f>IFERROR(VLOOKUP(A347,Briefing_Req!A:M,2,0),"")</f>
        <v/>
      </c>
      <c r="C347" s="143" t="str">
        <f>IFERROR(IF(VLOOKUP(A347,Briefing_Req!A:M,13,0)&lt;&gt;"",VLOOKUP(A347,Briefing_Req!A:M,13,0),VLOOKUP(A347,Briefing_Req!A:M,3,0)),"")</f>
        <v/>
      </c>
      <c r="D347" s="51"/>
      <c r="E347" s="50"/>
      <c r="F347" s="51"/>
      <c r="G347" s="51"/>
      <c r="H347" s="51"/>
      <c r="I347" s="51"/>
      <c r="J347" s="51"/>
      <c r="K347" s="70"/>
      <c r="L347" s="72"/>
      <c r="M347" s="51"/>
      <c r="N347" s="51"/>
      <c r="O347" s="51"/>
      <c r="P347" s="69"/>
      <c r="Q347" s="69"/>
      <c r="R347" s="69"/>
      <c r="S347" s="69"/>
    </row>
    <row r="348" spans="1:19" ht="23.25" customHeight="1">
      <c r="A348" s="51"/>
      <c r="B348" s="50" t="str">
        <f>IFERROR(VLOOKUP(A348,Briefing_Req!A:M,2,0),"")</f>
        <v/>
      </c>
      <c r="C348" s="143" t="str">
        <f>IFERROR(IF(VLOOKUP(A348,Briefing_Req!A:M,13,0)&lt;&gt;"",VLOOKUP(A348,Briefing_Req!A:M,13,0),VLOOKUP(A348,Briefing_Req!A:M,3,0)),"")</f>
        <v/>
      </c>
      <c r="D348" s="51"/>
      <c r="E348" s="50"/>
      <c r="F348" s="51"/>
      <c r="G348" s="51"/>
      <c r="H348" s="51"/>
      <c r="I348" s="51"/>
      <c r="J348" s="51"/>
      <c r="K348" s="70"/>
      <c r="L348" s="72"/>
      <c r="M348" s="51"/>
      <c r="N348" s="51"/>
      <c r="O348" s="51"/>
      <c r="P348" s="69"/>
      <c r="Q348" s="69"/>
      <c r="R348" s="69"/>
      <c r="S348" s="69"/>
    </row>
    <row r="349" spans="1:19" ht="23.25" customHeight="1">
      <c r="A349" s="51"/>
      <c r="B349" s="50" t="str">
        <f>IFERROR(VLOOKUP(A349,Briefing_Req!A:M,2,0),"")</f>
        <v/>
      </c>
      <c r="C349" s="143" t="str">
        <f>IFERROR(IF(VLOOKUP(A349,Briefing_Req!A:M,13,0)&lt;&gt;"",VLOOKUP(A349,Briefing_Req!A:M,13,0),VLOOKUP(A349,Briefing_Req!A:M,3,0)),"")</f>
        <v/>
      </c>
      <c r="D349" s="51"/>
      <c r="E349" s="50"/>
      <c r="F349" s="51"/>
      <c r="G349" s="51"/>
      <c r="H349" s="51"/>
      <c r="I349" s="51"/>
      <c r="J349" s="51"/>
      <c r="K349" s="70"/>
      <c r="L349" s="72"/>
      <c r="M349" s="51"/>
      <c r="N349" s="51"/>
      <c r="O349" s="51"/>
      <c r="P349" s="69"/>
      <c r="Q349" s="69"/>
      <c r="R349" s="69"/>
      <c r="S349" s="69"/>
    </row>
    <row r="350" spans="1:19" ht="23.25" customHeight="1">
      <c r="A350" s="51"/>
      <c r="B350" s="50" t="str">
        <f>IFERROR(VLOOKUP(A350,Briefing_Req!A:M,2,0),"")</f>
        <v/>
      </c>
      <c r="C350" s="143" t="str">
        <f>IFERROR(IF(VLOOKUP(A350,Briefing_Req!A:M,13,0)&lt;&gt;"",VLOOKUP(A350,Briefing_Req!A:M,13,0),VLOOKUP(A350,Briefing_Req!A:M,3,0)),"")</f>
        <v/>
      </c>
      <c r="D350" s="51"/>
      <c r="E350" s="50"/>
      <c r="F350" s="51"/>
      <c r="G350" s="51"/>
      <c r="H350" s="51"/>
      <c r="I350" s="51"/>
      <c r="J350" s="51"/>
      <c r="K350" s="70"/>
      <c r="L350" s="72"/>
      <c r="M350" s="51"/>
      <c r="N350" s="51"/>
      <c r="O350" s="51"/>
      <c r="P350" s="69"/>
      <c r="Q350" s="69"/>
      <c r="R350" s="69"/>
      <c r="S350" s="69"/>
    </row>
    <row r="351" spans="1:19" ht="23.25" customHeight="1">
      <c r="A351" s="51"/>
      <c r="B351" s="50" t="str">
        <f>IFERROR(VLOOKUP(A351,Briefing_Req!A:M,2,0),"")</f>
        <v/>
      </c>
      <c r="C351" s="143" t="str">
        <f>IFERROR(IF(VLOOKUP(A351,Briefing_Req!A:M,13,0)&lt;&gt;"",VLOOKUP(A351,Briefing_Req!A:M,13,0),VLOOKUP(A351,Briefing_Req!A:M,3,0)),"")</f>
        <v/>
      </c>
      <c r="D351" s="51"/>
      <c r="E351" s="50"/>
      <c r="F351" s="51"/>
      <c r="G351" s="51"/>
      <c r="H351" s="51"/>
      <c r="I351" s="51"/>
      <c r="J351" s="51"/>
      <c r="K351" s="70"/>
      <c r="L351" s="72"/>
      <c r="M351" s="51"/>
      <c r="N351" s="51"/>
      <c r="O351" s="51"/>
      <c r="P351" s="69"/>
      <c r="Q351" s="69"/>
      <c r="R351" s="69"/>
      <c r="S351" s="69"/>
    </row>
    <row r="352" spans="1:19" ht="23.25" customHeight="1">
      <c r="A352" s="51"/>
      <c r="B352" s="50" t="str">
        <f>IFERROR(VLOOKUP(A352,Briefing_Req!A:M,2,0),"")</f>
        <v/>
      </c>
      <c r="C352" s="143" t="str">
        <f>IFERROR(IF(VLOOKUP(A352,Briefing_Req!A:M,13,0)&lt;&gt;"",VLOOKUP(A352,Briefing_Req!A:M,13,0),VLOOKUP(A352,Briefing_Req!A:M,3,0)),"")</f>
        <v/>
      </c>
      <c r="D352" s="51"/>
      <c r="E352" s="50"/>
      <c r="F352" s="51"/>
      <c r="G352" s="51"/>
      <c r="H352" s="51"/>
      <c r="I352" s="51"/>
      <c r="J352" s="51"/>
      <c r="K352" s="70"/>
      <c r="L352" s="72"/>
      <c r="M352" s="51"/>
      <c r="N352" s="51"/>
      <c r="O352" s="51"/>
      <c r="P352" s="69"/>
      <c r="Q352" s="69"/>
      <c r="R352" s="69"/>
      <c r="S352" s="69"/>
    </row>
    <row r="353" spans="1:19" ht="23.25" customHeight="1">
      <c r="A353" s="51"/>
      <c r="B353" s="50" t="str">
        <f>IFERROR(VLOOKUP(A353,Briefing_Req!A:M,2,0),"")</f>
        <v/>
      </c>
      <c r="C353" s="143" t="str">
        <f>IFERROR(IF(VLOOKUP(A353,Briefing_Req!A:M,13,0)&lt;&gt;"",VLOOKUP(A353,Briefing_Req!A:M,13,0),VLOOKUP(A353,Briefing_Req!A:M,3,0)),"")</f>
        <v/>
      </c>
      <c r="D353" s="51"/>
      <c r="E353" s="50"/>
      <c r="F353" s="51"/>
      <c r="G353" s="51"/>
      <c r="H353" s="51"/>
      <c r="I353" s="51"/>
      <c r="J353" s="51"/>
      <c r="K353" s="70"/>
      <c r="L353" s="72"/>
      <c r="M353" s="51"/>
      <c r="N353" s="51"/>
      <c r="O353" s="51"/>
      <c r="P353" s="69"/>
      <c r="Q353" s="69"/>
      <c r="R353" s="69"/>
      <c r="S353" s="69"/>
    </row>
    <row r="354" spans="1:19" ht="23.25" customHeight="1">
      <c r="A354" s="51"/>
      <c r="B354" s="50" t="str">
        <f>IFERROR(VLOOKUP(A354,Briefing_Req!A:M,2,0),"")</f>
        <v/>
      </c>
      <c r="C354" s="143" t="str">
        <f>IFERROR(IF(VLOOKUP(A354,Briefing_Req!A:M,13,0)&lt;&gt;"",VLOOKUP(A354,Briefing_Req!A:M,13,0),VLOOKUP(A354,Briefing_Req!A:M,3,0)),"")</f>
        <v/>
      </c>
      <c r="D354" s="51"/>
      <c r="E354" s="50"/>
      <c r="F354" s="51"/>
      <c r="G354" s="51"/>
      <c r="H354" s="51"/>
      <c r="I354" s="51"/>
      <c r="J354" s="51"/>
      <c r="K354" s="70"/>
      <c r="L354" s="72"/>
      <c r="M354" s="51"/>
      <c r="N354" s="51"/>
      <c r="O354" s="51"/>
      <c r="P354" s="69"/>
      <c r="Q354" s="69"/>
      <c r="R354" s="69"/>
      <c r="S354" s="69"/>
    </row>
    <row r="355" spans="1:19" ht="23.25" customHeight="1">
      <c r="A355" s="51"/>
      <c r="B355" s="50" t="str">
        <f>IFERROR(VLOOKUP(A355,Briefing_Req!A:M,2,0),"")</f>
        <v/>
      </c>
      <c r="C355" s="143" t="str">
        <f>IFERROR(IF(VLOOKUP(A355,Briefing_Req!A:M,13,0)&lt;&gt;"",VLOOKUP(A355,Briefing_Req!A:M,13,0),VLOOKUP(A355,Briefing_Req!A:M,3,0)),"")</f>
        <v/>
      </c>
      <c r="D355" s="51"/>
      <c r="E355" s="50"/>
      <c r="F355" s="51"/>
      <c r="G355" s="51"/>
      <c r="H355" s="51"/>
      <c r="I355" s="51"/>
      <c r="J355" s="51"/>
      <c r="K355" s="70"/>
      <c r="L355" s="72"/>
      <c r="M355" s="51"/>
      <c r="N355" s="51"/>
      <c r="O355" s="51"/>
      <c r="P355" s="69"/>
      <c r="Q355" s="69"/>
      <c r="R355" s="69"/>
      <c r="S355" s="69"/>
    </row>
    <row r="356" spans="1:19" ht="23.25" customHeight="1">
      <c r="A356" s="51"/>
      <c r="B356" s="50" t="str">
        <f>IFERROR(VLOOKUP(A356,Briefing_Req!A:M,2,0),"")</f>
        <v/>
      </c>
      <c r="C356" s="143" t="str">
        <f>IFERROR(IF(VLOOKUP(A356,Briefing_Req!A:M,13,0)&lt;&gt;"",VLOOKUP(A356,Briefing_Req!A:M,13,0),VLOOKUP(A356,Briefing_Req!A:M,3,0)),"")</f>
        <v/>
      </c>
      <c r="D356" s="51"/>
      <c r="E356" s="50"/>
      <c r="F356" s="51"/>
      <c r="G356" s="51"/>
      <c r="H356" s="51"/>
      <c r="I356" s="51"/>
      <c r="J356" s="51"/>
      <c r="K356" s="70"/>
      <c r="L356" s="72"/>
      <c r="M356" s="51"/>
      <c r="N356" s="51"/>
      <c r="O356" s="51"/>
      <c r="P356" s="69"/>
      <c r="Q356" s="69"/>
      <c r="R356" s="69"/>
      <c r="S356" s="69"/>
    </row>
    <row r="357" spans="1:19" ht="23.25" customHeight="1">
      <c r="A357" s="51"/>
      <c r="B357" s="50" t="str">
        <f>IFERROR(VLOOKUP(A357,Briefing_Req!A:M,2,0),"")</f>
        <v/>
      </c>
      <c r="C357" s="143" t="str">
        <f>IFERROR(IF(VLOOKUP(A357,Briefing_Req!A:M,13,0)&lt;&gt;"",VLOOKUP(A357,Briefing_Req!A:M,13,0),VLOOKUP(A357,Briefing_Req!A:M,3,0)),"")</f>
        <v/>
      </c>
      <c r="D357" s="51"/>
      <c r="E357" s="50"/>
      <c r="F357" s="51"/>
      <c r="G357" s="51"/>
      <c r="H357" s="51"/>
      <c r="I357" s="51"/>
      <c r="J357" s="51"/>
      <c r="K357" s="70"/>
      <c r="L357" s="72"/>
      <c r="M357" s="51"/>
      <c r="N357" s="51"/>
      <c r="O357" s="51"/>
      <c r="P357" s="69"/>
      <c r="Q357" s="69"/>
      <c r="R357" s="69"/>
      <c r="S357" s="69"/>
    </row>
    <row r="358" spans="1:19" ht="23.25" customHeight="1">
      <c r="A358" s="51"/>
      <c r="B358" s="50" t="str">
        <f>IFERROR(VLOOKUP(A358,Briefing_Req!A:M,2,0),"")</f>
        <v/>
      </c>
      <c r="C358" s="143" t="str">
        <f>IFERROR(IF(VLOOKUP(A358,Briefing_Req!A:M,13,0)&lt;&gt;"",VLOOKUP(A358,Briefing_Req!A:M,13,0),VLOOKUP(A358,Briefing_Req!A:M,3,0)),"")</f>
        <v/>
      </c>
      <c r="D358" s="51"/>
      <c r="E358" s="50"/>
      <c r="F358" s="51"/>
      <c r="G358" s="51"/>
      <c r="H358" s="51"/>
      <c r="I358" s="51"/>
      <c r="J358" s="51"/>
      <c r="K358" s="70"/>
      <c r="L358" s="72"/>
      <c r="M358" s="51"/>
      <c r="N358" s="51"/>
      <c r="O358" s="51"/>
      <c r="P358" s="69"/>
      <c r="Q358" s="69"/>
      <c r="R358" s="69"/>
      <c r="S358" s="69"/>
    </row>
    <row r="359" spans="1:19" ht="23.25" customHeight="1">
      <c r="A359" s="51"/>
      <c r="B359" s="50" t="str">
        <f>IFERROR(VLOOKUP(A359,Briefing_Req!A:M,2,0),"")</f>
        <v/>
      </c>
      <c r="C359" s="143" t="str">
        <f>IFERROR(IF(VLOOKUP(A359,Briefing_Req!A:M,13,0)&lt;&gt;"",VLOOKUP(A359,Briefing_Req!A:M,13,0),VLOOKUP(A359,Briefing_Req!A:M,3,0)),"")</f>
        <v/>
      </c>
      <c r="D359" s="51"/>
      <c r="E359" s="50"/>
      <c r="F359" s="51"/>
      <c r="G359" s="51"/>
      <c r="H359" s="51"/>
      <c r="I359" s="51"/>
      <c r="J359" s="51"/>
      <c r="K359" s="70"/>
      <c r="L359" s="72"/>
      <c r="M359" s="51"/>
      <c r="N359" s="51"/>
      <c r="O359" s="51"/>
      <c r="P359" s="69"/>
      <c r="Q359" s="69"/>
      <c r="R359" s="69"/>
      <c r="S359" s="69"/>
    </row>
    <row r="360" spans="1:19" ht="23.25" customHeight="1">
      <c r="A360" s="51"/>
      <c r="B360" s="50" t="str">
        <f>IFERROR(VLOOKUP(A360,Briefing_Req!A:M,2,0),"")</f>
        <v/>
      </c>
      <c r="C360" s="143" t="str">
        <f>IFERROR(IF(VLOOKUP(A360,Briefing_Req!A:M,13,0)&lt;&gt;"",VLOOKUP(A360,Briefing_Req!A:M,13,0),VLOOKUP(A360,Briefing_Req!A:M,3,0)),"")</f>
        <v/>
      </c>
      <c r="D360" s="51"/>
      <c r="E360" s="50"/>
      <c r="F360" s="51"/>
      <c r="G360" s="51"/>
      <c r="H360" s="51"/>
      <c r="I360" s="51"/>
      <c r="J360" s="51"/>
      <c r="K360" s="70"/>
      <c r="L360" s="72"/>
      <c r="M360" s="51"/>
      <c r="N360" s="51"/>
      <c r="O360" s="51"/>
      <c r="P360" s="69"/>
      <c r="Q360" s="69"/>
      <c r="R360" s="69"/>
      <c r="S360" s="69"/>
    </row>
    <row r="361" spans="1:19" ht="23.25" customHeight="1">
      <c r="A361" s="51"/>
      <c r="B361" s="50" t="str">
        <f>IFERROR(VLOOKUP(A361,Briefing_Req!A:M,2,0),"")</f>
        <v/>
      </c>
      <c r="C361" s="143" t="str">
        <f>IFERROR(IF(VLOOKUP(A361,Briefing_Req!A:M,13,0)&lt;&gt;"",VLOOKUP(A361,Briefing_Req!A:M,13,0),VLOOKUP(A361,Briefing_Req!A:M,3,0)),"")</f>
        <v/>
      </c>
      <c r="D361" s="51"/>
      <c r="E361" s="50"/>
      <c r="F361" s="51"/>
      <c r="G361" s="51"/>
      <c r="H361" s="51"/>
      <c r="I361" s="51"/>
      <c r="J361" s="51"/>
      <c r="K361" s="70"/>
      <c r="L361" s="72"/>
      <c r="M361" s="51"/>
      <c r="N361" s="51"/>
      <c r="O361" s="51"/>
      <c r="P361" s="69"/>
      <c r="Q361" s="69"/>
      <c r="R361" s="69"/>
      <c r="S361" s="69"/>
    </row>
    <row r="362" spans="1:19" ht="23.25" customHeight="1">
      <c r="A362" s="51"/>
      <c r="B362" s="50" t="str">
        <f>IFERROR(VLOOKUP(A362,Briefing_Req!A:M,2,0),"")</f>
        <v/>
      </c>
      <c r="C362" s="143" t="str">
        <f>IFERROR(IF(VLOOKUP(A362,Briefing_Req!A:M,13,0)&lt;&gt;"",VLOOKUP(A362,Briefing_Req!A:M,13,0),VLOOKUP(A362,Briefing_Req!A:M,3,0)),"")</f>
        <v/>
      </c>
      <c r="D362" s="51"/>
      <c r="E362" s="50"/>
      <c r="F362" s="51"/>
      <c r="G362" s="51"/>
      <c r="H362" s="51"/>
      <c r="I362" s="51"/>
      <c r="J362" s="51"/>
      <c r="K362" s="70"/>
      <c r="L362" s="72"/>
      <c r="M362" s="51"/>
      <c r="N362" s="51"/>
      <c r="O362" s="51"/>
      <c r="P362" s="69"/>
      <c r="Q362" s="69"/>
      <c r="R362" s="69"/>
      <c r="S362" s="69"/>
    </row>
    <row r="363" spans="1:19" ht="23.25" customHeight="1">
      <c r="A363" s="51"/>
      <c r="B363" s="50" t="str">
        <f>IFERROR(VLOOKUP(A363,Briefing_Req!A:M,2,0),"")</f>
        <v/>
      </c>
      <c r="C363" s="143" t="str">
        <f>IFERROR(IF(VLOOKUP(A363,Briefing_Req!A:M,13,0)&lt;&gt;"",VLOOKUP(A363,Briefing_Req!A:M,13,0),VLOOKUP(A363,Briefing_Req!A:M,3,0)),"")</f>
        <v/>
      </c>
      <c r="D363" s="51"/>
      <c r="E363" s="50"/>
      <c r="F363" s="51"/>
      <c r="G363" s="51"/>
      <c r="H363" s="51"/>
      <c r="I363" s="51"/>
      <c r="J363" s="51"/>
      <c r="K363" s="70"/>
      <c r="L363" s="72"/>
      <c r="M363" s="51"/>
      <c r="N363" s="51"/>
      <c r="O363" s="51"/>
      <c r="P363" s="69"/>
      <c r="Q363" s="69"/>
      <c r="R363" s="69"/>
      <c r="S363" s="69"/>
    </row>
    <row r="364" spans="1:19" ht="23.25" customHeight="1">
      <c r="A364" s="51"/>
      <c r="B364" s="50" t="str">
        <f>IFERROR(VLOOKUP(A364,Briefing_Req!A:M,2,0),"")</f>
        <v/>
      </c>
      <c r="C364" s="143" t="str">
        <f>IFERROR(IF(VLOOKUP(A364,Briefing_Req!A:M,13,0)&lt;&gt;"",VLOOKUP(A364,Briefing_Req!A:M,13,0),VLOOKUP(A364,Briefing_Req!A:M,3,0)),"")</f>
        <v/>
      </c>
      <c r="D364" s="51"/>
      <c r="E364" s="50"/>
      <c r="F364" s="51"/>
      <c r="G364" s="51"/>
      <c r="H364" s="51"/>
      <c r="I364" s="51"/>
      <c r="J364" s="51"/>
      <c r="K364" s="70"/>
      <c r="L364" s="72"/>
      <c r="M364" s="51"/>
      <c r="N364" s="51"/>
      <c r="O364" s="51"/>
      <c r="P364" s="69"/>
      <c r="Q364" s="69"/>
      <c r="R364" s="69"/>
      <c r="S364" s="69"/>
    </row>
    <row r="365" spans="1:19" ht="23.25" customHeight="1">
      <c r="A365" s="51"/>
      <c r="B365" s="50" t="str">
        <f>IFERROR(VLOOKUP(A365,Briefing_Req!A:M,2,0),"")</f>
        <v/>
      </c>
      <c r="C365" s="143" t="str">
        <f>IFERROR(IF(VLOOKUP(A365,Briefing_Req!A:M,13,0)&lt;&gt;"",VLOOKUP(A365,Briefing_Req!A:M,13,0),VLOOKUP(A365,Briefing_Req!A:M,3,0)),"")</f>
        <v/>
      </c>
      <c r="D365" s="51"/>
      <c r="E365" s="50"/>
      <c r="F365" s="51"/>
      <c r="G365" s="51"/>
      <c r="H365" s="51"/>
      <c r="I365" s="51"/>
      <c r="J365" s="51"/>
      <c r="K365" s="70"/>
      <c r="L365" s="72"/>
      <c r="M365" s="51"/>
      <c r="N365" s="51"/>
      <c r="O365" s="51"/>
      <c r="P365" s="69"/>
      <c r="Q365" s="69"/>
      <c r="R365" s="69"/>
      <c r="S365" s="69"/>
    </row>
    <row r="366" spans="1:19" ht="23.25" customHeight="1">
      <c r="A366" s="51"/>
      <c r="B366" s="50" t="str">
        <f>IFERROR(VLOOKUP(A366,Briefing_Req!A:M,2,0),"")</f>
        <v/>
      </c>
      <c r="C366" s="143" t="str">
        <f>IFERROR(IF(VLOOKUP(A366,Briefing_Req!A:M,13,0)&lt;&gt;"",VLOOKUP(A366,Briefing_Req!A:M,13,0),VLOOKUP(A366,Briefing_Req!A:M,3,0)),"")</f>
        <v/>
      </c>
      <c r="D366" s="51"/>
      <c r="E366" s="50"/>
      <c r="F366" s="51"/>
      <c r="G366" s="51"/>
      <c r="H366" s="51"/>
      <c r="I366" s="51"/>
      <c r="J366" s="51"/>
      <c r="K366" s="70"/>
      <c r="L366" s="72"/>
      <c r="M366" s="51"/>
      <c r="N366" s="51"/>
      <c r="O366" s="51"/>
      <c r="P366" s="69"/>
      <c r="Q366" s="69"/>
      <c r="R366" s="69"/>
      <c r="S366" s="69"/>
    </row>
    <row r="367" spans="1:19" ht="23.25" customHeight="1">
      <c r="A367" s="51"/>
      <c r="B367" s="50" t="str">
        <f>IFERROR(VLOOKUP(A367,Briefing_Req!A:M,2,0),"")</f>
        <v/>
      </c>
      <c r="C367" s="143" t="str">
        <f>IFERROR(IF(VLOOKUP(A367,Briefing_Req!A:M,13,0)&lt;&gt;"",VLOOKUP(A367,Briefing_Req!A:M,13,0),VLOOKUP(A367,Briefing_Req!A:M,3,0)),"")</f>
        <v/>
      </c>
      <c r="D367" s="51"/>
      <c r="E367" s="50"/>
      <c r="F367" s="51"/>
      <c r="G367" s="51"/>
      <c r="H367" s="51"/>
      <c r="I367" s="51"/>
      <c r="J367" s="51"/>
      <c r="K367" s="70"/>
      <c r="L367" s="72"/>
      <c r="M367" s="51"/>
      <c r="N367" s="51"/>
      <c r="O367" s="51"/>
      <c r="P367" s="69"/>
      <c r="Q367" s="69"/>
      <c r="R367" s="69"/>
      <c r="S367" s="69"/>
    </row>
    <row r="368" spans="1:19" ht="23.25" customHeight="1">
      <c r="A368" s="51"/>
      <c r="B368" s="50" t="str">
        <f>IFERROR(VLOOKUP(A368,Briefing_Req!A:M,2,0),"")</f>
        <v/>
      </c>
      <c r="C368" s="143" t="str">
        <f>IFERROR(IF(VLOOKUP(A368,Briefing_Req!A:M,13,0)&lt;&gt;"",VLOOKUP(A368,Briefing_Req!A:M,13,0),VLOOKUP(A368,Briefing_Req!A:M,3,0)),"")</f>
        <v/>
      </c>
      <c r="D368" s="51"/>
      <c r="E368" s="50"/>
      <c r="F368" s="51"/>
      <c r="G368" s="51"/>
      <c r="H368" s="51"/>
      <c r="I368" s="51"/>
      <c r="J368" s="51"/>
      <c r="K368" s="70"/>
      <c r="L368" s="72"/>
      <c r="M368" s="51"/>
      <c r="N368" s="51"/>
      <c r="O368" s="51"/>
      <c r="P368" s="69"/>
      <c r="Q368" s="69"/>
      <c r="R368" s="69"/>
      <c r="S368" s="69"/>
    </row>
    <row r="369" spans="1:19" ht="23.25" customHeight="1">
      <c r="A369" s="51"/>
      <c r="B369" s="50" t="str">
        <f>IFERROR(VLOOKUP(A369,Briefing_Req!A:M,2,0),"")</f>
        <v/>
      </c>
      <c r="C369" s="143" t="str">
        <f>IFERROR(IF(VLOOKUP(A369,Briefing_Req!A:M,13,0)&lt;&gt;"",VLOOKUP(A369,Briefing_Req!A:M,13,0),VLOOKUP(A369,Briefing_Req!A:M,3,0)),"")</f>
        <v/>
      </c>
      <c r="D369" s="51"/>
      <c r="E369" s="50"/>
      <c r="F369" s="51"/>
      <c r="G369" s="51"/>
      <c r="H369" s="51"/>
      <c r="I369" s="51"/>
      <c r="J369" s="51"/>
      <c r="K369" s="70"/>
      <c r="L369" s="72"/>
      <c r="M369" s="51"/>
      <c r="N369" s="51"/>
      <c r="O369" s="51"/>
      <c r="P369" s="69"/>
      <c r="Q369" s="69"/>
      <c r="R369" s="69"/>
      <c r="S369" s="69"/>
    </row>
    <row r="370" spans="1:19" ht="23.25" customHeight="1">
      <c r="A370" s="51"/>
      <c r="B370" s="50" t="str">
        <f>IFERROR(VLOOKUP(A370,Briefing_Req!A:M,2,0),"")</f>
        <v/>
      </c>
      <c r="C370" s="143" t="str">
        <f>IFERROR(IF(VLOOKUP(A370,Briefing_Req!A:M,13,0)&lt;&gt;"",VLOOKUP(A370,Briefing_Req!A:M,13,0),VLOOKUP(A370,Briefing_Req!A:M,3,0)),"")</f>
        <v/>
      </c>
      <c r="D370" s="51"/>
      <c r="E370" s="50"/>
      <c r="F370" s="51"/>
      <c r="G370" s="51"/>
      <c r="H370" s="51"/>
      <c r="I370" s="51"/>
      <c r="J370" s="51"/>
      <c r="K370" s="70"/>
      <c r="L370" s="72"/>
      <c r="M370" s="51"/>
      <c r="N370" s="51"/>
      <c r="O370" s="51"/>
      <c r="P370" s="69"/>
      <c r="Q370" s="69"/>
      <c r="R370" s="69"/>
      <c r="S370" s="69"/>
    </row>
    <row r="371" spans="1:19" ht="23.25" customHeight="1">
      <c r="A371" s="51"/>
      <c r="B371" s="50" t="str">
        <f>IFERROR(VLOOKUP(A371,Briefing_Req!A:M,2,0),"")</f>
        <v/>
      </c>
      <c r="C371" s="143" t="str">
        <f>IFERROR(IF(VLOOKUP(A371,Briefing_Req!A:M,13,0)&lt;&gt;"",VLOOKUP(A371,Briefing_Req!A:M,13,0),VLOOKUP(A371,Briefing_Req!A:M,3,0)),"")</f>
        <v/>
      </c>
      <c r="D371" s="51"/>
      <c r="E371" s="50"/>
      <c r="F371" s="51"/>
      <c r="G371" s="51"/>
      <c r="H371" s="51"/>
      <c r="I371" s="51"/>
      <c r="J371" s="51"/>
      <c r="K371" s="70"/>
      <c r="L371" s="72"/>
      <c r="M371" s="51"/>
      <c r="N371" s="51"/>
      <c r="O371" s="51"/>
      <c r="P371" s="69"/>
      <c r="Q371" s="69"/>
      <c r="R371" s="69"/>
      <c r="S371" s="69"/>
    </row>
    <row r="372" spans="1:19" ht="23.25" customHeight="1">
      <c r="A372" s="51"/>
      <c r="B372" s="50" t="str">
        <f>IFERROR(VLOOKUP(A372,Briefing_Req!A:M,2,0),"")</f>
        <v/>
      </c>
      <c r="C372" s="143" t="str">
        <f>IFERROR(IF(VLOOKUP(A372,Briefing_Req!A:M,13,0)&lt;&gt;"",VLOOKUP(A372,Briefing_Req!A:M,13,0),VLOOKUP(A372,Briefing_Req!A:M,3,0)),"")</f>
        <v/>
      </c>
      <c r="D372" s="51"/>
      <c r="E372" s="50"/>
      <c r="F372" s="51"/>
      <c r="G372" s="51"/>
      <c r="H372" s="51"/>
      <c r="I372" s="51"/>
      <c r="J372" s="51"/>
      <c r="K372" s="70"/>
      <c r="L372" s="72"/>
      <c r="M372" s="51"/>
      <c r="N372" s="51"/>
      <c r="O372" s="51"/>
      <c r="P372" s="69"/>
      <c r="Q372" s="69"/>
      <c r="R372" s="69"/>
      <c r="S372" s="69"/>
    </row>
    <row r="373" spans="1:19" ht="23.25" customHeight="1">
      <c r="A373" s="51"/>
      <c r="B373" s="50" t="str">
        <f>IFERROR(VLOOKUP(A373,Briefing_Req!A:M,2,0),"")</f>
        <v/>
      </c>
      <c r="C373" s="143" t="str">
        <f>IFERROR(IF(VLOOKUP(A373,Briefing_Req!A:M,13,0)&lt;&gt;"",VLOOKUP(A373,Briefing_Req!A:M,13,0),VLOOKUP(A373,Briefing_Req!A:M,3,0)),"")</f>
        <v/>
      </c>
      <c r="D373" s="51"/>
      <c r="E373" s="50"/>
      <c r="F373" s="51"/>
      <c r="G373" s="51"/>
      <c r="H373" s="51"/>
      <c r="I373" s="51"/>
      <c r="J373" s="51"/>
      <c r="K373" s="70"/>
      <c r="L373" s="72"/>
      <c r="M373" s="51"/>
      <c r="N373" s="51"/>
      <c r="O373" s="51"/>
      <c r="P373" s="69"/>
      <c r="Q373" s="69"/>
      <c r="R373" s="69"/>
      <c r="S373" s="69"/>
    </row>
    <row r="374" spans="1:19" ht="23.25" customHeight="1">
      <c r="A374" s="51"/>
      <c r="B374" s="50" t="str">
        <f>IFERROR(VLOOKUP(A374,Briefing_Req!A:M,2,0),"")</f>
        <v/>
      </c>
      <c r="C374" s="143" t="str">
        <f>IFERROR(IF(VLOOKUP(A374,Briefing_Req!A:M,13,0)&lt;&gt;"",VLOOKUP(A374,Briefing_Req!A:M,13,0),VLOOKUP(A374,Briefing_Req!A:M,3,0)),"")</f>
        <v/>
      </c>
      <c r="D374" s="51"/>
      <c r="E374" s="50"/>
      <c r="F374" s="51"/>
      <c r="G374" s="51"/>
      <c r="H374" s="51"/>
      <c r="I374" s="51"/>
      <c r="J374" s="51"/>
      <c r="K374" s="70"/>
      <c r="L374" s="72"/>
      <c r="M374" s="51"/>
      <c r="N374" s="51"/>
      <c r="O374" s="51"/>
      <c r="P374" s="69"/>
      <c r="Q374" s="69"/>
      <c r="R374" s="69"/>
      <c r="S374" s="69"/>
    </row>
    <row r="375" spans="1:19" ht="23.25" customHeight="1">
      <c r="A375" s="51"/>
      <c r="B375" s="50" t="str">
        <f>IFERROR(VLOOKUP(A375,Briefing_Req!A:M,2,0),"")</f>
        <v/>
      </c>
      <c r="C375" s="143" t="str">
        <f>IFERROR(IF(VLOOKUP(A375,Briefing_Req!A:M,13,0)&lt;&gt;"",VLOOKUP(A375,Briefing_Req!A:M,13,0),VLOOKUP(A375,Briefing_Req!A:M,3,0)),"")</f>
        <v/>
      </c>
      <c r="D375" s="51"/>
      <c r="E375" s="50"/>
      <c r="F375" s="51"/>
      <c r="G375" s="51"/>
      <c r="H375" s="51"/>
      <c r="I375" s="51"/>
      <c r="J375" s="51"/>
      <c r="K375" s="70"/>
      <c r="L375" s="72"/>
      <c r="M375" s="51"/>
      <c r="N375" s="51"/>
      <c r="O375" s="51"/>
      <c r="P375" s="69"/>
      <c r="Q375" s="69"/>
      <c r="R375" s="69"/>
      <c r="S375" s="69"/>
    </row>
    <row r="376" spans="1:19" ht="23.25" customHeight="1">
      <c r="A376" s="51"/>
      <c r="B376" s="50" t="str">
        <f>IFERROR(VLOOKUP(A376,Briefing_Req!A:M,2,0),"")</f>
        <v/>
      </c>
      <c r="C376" s="143" t="str">
        <f>IFERROR(IF(VLOOKUP(A376,Briefing_Req!A:M,13,0)&lt;&gt;"",VLOOKUP(A376,Briefing_Req!A:M,13,0),VLOOKUP(A376,Briefing_Req!A:M,3,0)),"")</f>
        <v/>
      </c>
      <c r="D376" s="51"/>
      <c r="E376" s="50"/>
      <c r="F376" s="51"/>
      <c r="G376" s="51"/>
      <c r="H376" s="51"/>
      <c r="I376" s="51"/>
      <c r="J376" s="51"/>
      <c r="K376" s="70"/>
      <c r="L376" s="72"/>
      <c r="M376" s="51"/>
      <c r="N376" s="51"/>
      <c r="O376" s="51"/>
      <c r="P376" s="69"/>
      <c r="Q376" s="69"/>
      <c r="R376" s="69"/>
      <c r="S376" s="69"/>
    </row>
    <row r="377" spans="1:19" ht="23.25" customHeight="1">
      <c r="A377" s="51"/>
      <c r="B377" s="50" t="str">
        <f>IFERROR(VLOOKUP(A377,Briefing_Req!A:M,2,0),"")</f>
        <v/>
      </c>
      <c r="C377" s="143" t="str">
        <f>IFERROR(IF(VLOOKUP(A377,Briefing_Req!A:M,13,0)&lt;&gt;"",VLOOKUP(A377,Briefing_Req!A:M,13,0),VLOOKUP(A377,Briefing_Req!A:M,3,0)),"")</f>
        <v/>
      </c>
      <c r="D377" s="51"/>
      <c r="E377" s="50"/>
      <c r="F377" s="51"/>
      <c r="G377" s="51"/>
      <c r="H377" s="51"/>
      <c r="I377" s="51"/>
      <c r="J377" s="51"/>
      <c r="K377" s="70"/>
      <c r="L377" s="72"/>
      <c r="M377" s="51"/>
      <c r="N377" s="51"/>
      <c r="O377" s="51"/>
      <c r="P377" s="69"/>
      <c r="Q377" s="69"/>
      <c r="R377" s="69"/>
      <c r="S377" s="69"/>
    </row>
    <row r="378" spans="1:19" ht="23.25" customHeight="1">
      <c r="A378" s="51"/>
      <c r="B378" s="50" t="str">
        <f>IFERROR(VLOOKUP(A378,Briefing_Req!A:M,2,0),"")</f>
        <v/>
      </c>
      <c r="C378" s="143" t="str">
        <f>IFERROR(IF(VLOOKUP(A378,Briefing_Req!A:M,13,0)&lt;&gt;"",VLOOKUP(A378,Briefing_Req!A:M,13,0),VLOOKUP(A378,Briefing_Req!A:M,3,0)),"")</f>
        <v/>
      </c>
      <c r="D378" s="51"/>
      <c r="E378" s="50"/>
      <c r="F378" s="51"/>
      <c r="G378" s="51"/>
      <c r="H378" s="51"/>
      <c r="I378" s="51"/>
      <c r="J378" s="51"/>
      <c r="K378" s="70"/>
      <c r="L378" s="72"/>
      <c r="M378" s="51"/>
      <c r="N378" s="51"/>
      <c r="O378" s="51"/>
      <c r="P378" s="69"/>
      <c r="Q378" s="69"/>
      <c r="R378" s="69"/>
      <c r="S378" s="69"/>
    </row>
    <row r="379" spans="1:19" ht="23.25" customHeight="1">
      <c r="A379" s="51"/>
      <c r="B379" s="50" t="str">
        <f>IFERROR(VLOOKUP(A379,Briefing_Req!A:M,2,0),"")</f>
        <v/>
      </c>
      <c r="C379" s="143" t="str">
        <f>IFERROR(IF(VLOOKUP(A379,Briefing_Req!A:M,13,0)&lt;&gt;"",VLOOKUP(A379,Briefing_Req!A:M,13,0),VLOOKUP(A379,Briefing_Req!A:M,3,0)),"")</f>
        <v/>
      </c>
      <c r="D379" s="51"/>
      <c r="E379" s="50"/>
      <c r="F379" s="51"/>
      <c r="G379" s="51"/>
      <c r="H379" s="51"/>
      <c r="I379" s="51"/>
      <c r="J379" s="51"/>
      <c r="K379" s="70"/>
      <c r="L379" s="72"/>
      <c r="M379" s="51"/>
      <c r="N379" s="51"/>
      <c r="O379" s="51"/>
      <c r="P379" s="69"/>
      <c r="Q379" s="69"/>
      <c r="R379" s="69"/>
      <c r="S379" s="69"/>
    </row>
    <row r="380" spans="1:19" ht="23.25" customHeight="1">
      <c r="A380" s="51"/>
      <c r="B380" s="50" t="str">
        <f>IFERROR(VLOOKUP(A380,Briefing_Req!A:M,2,0),"")</f>
        <v/>
      </c>
      <c r="C380" s="143" t="str">
        <f>IFERROR(IF(VLOOKUP(A380,Briefing_Req!A:M,13,0)&lt;&gt;"",VLOOKUP(A380,Briefing_Req!A:M,13,0),VLOOKUP(A380,Briefing_Req!A:M,3,0)),"")</f>
        <v/>
      </c>
      <c r="D380" s="51"/>
      <c r="E380" s="50"/>
      <c r="F380" s="51"/>
      <c r="G380" s="51"/>
      <c r="H380" s="51"/>
      <c r="I380" s="51"/>
      <c r="J380" s="51"/>
      <c r="K380" s="70"/>
      <c r="L380" s="72"/>
      <c r="M380" s="51"/>
      <c r="N380" s="51"/>
      <c r="O380" s="51"/>
      <c r="P380" s="69"/>
      <c r="Q380" s="69"/>
      <c r="R380" s="69"/>
      <c r="S380" s="69"/>
    </row>
    <row r="381" spans="1:19" ht="23.25" customHeight="1">
      <c r="A381" s="51"/>
      <c r="B381" s="50" t="str">
        <f>IFERROR(VLOOKUP(A381,Briefing_Req!A:M,2,0),"")</f>
        <v/>
      </c>
      <c r="C381" s="143" t="str">
        <f>IFERROR(IF(VLOOKUP(A381,Briefing_Req!A:M,13,0)&lt;&gt;"",VLOOKUP(A381,Briefing_Req!A:M,13,0),VLOOKUP(A381,Briefing_Req!A:M,3,0)),"")</f>
        <v/>
      </c>
      <c r="D381" s="51"/>
      <c r="E381" s="50"/>
      <c r="F381" s="51"/>
      <c r="G381" s="51"/>
      <c r="H381" s="51"/>
      <c r="I381" s="51"/>
      <c r="J381" s="51"/>
      <c r="K381" s="70"/>
      <c r="L381" s="72"/>
      <c r="M381" s="51"/>
      <c r="N381" s="51"/>
      <c r="O381" s="51"/>
      <c r="P381" s="69"/>
      <c r="Q381" s="69"/>
      <c r="R381" s="69"/>
      <c r="S381" s="69"/>
    </row>
    <row r="382" spans="1:19" ht="23.25" customHeight="1">
      <c r="A382" s="51"/>
      <c r="B382" s="50" t="str">
        <f>IFERROR(VLOOKUP(A382,Briefing_Req!A:M,2,0),"")</f>
        <v/>
      </c>
      <c r="C382" s="143" t="str">
        <f>IFERROR(IF(VLOOKUP(A382,Briefing_Req!A:M,13,0)&lt;&gt;"",VLOOKUP(A382,Briefing_Req!A:M,13,0),VLOOKUP(A382,Briefing_Req!A:M,3,0)),"")</f>
        <v/>
      </c>
      <c r="D382" s="51"/>
      <c r="E382" s="50"/>
      <c r="F382" s="51"/>
      <c r="G382" s="51"/>
      <c r="H382" s="51"/>
      <c r="I382" s="51"/>
      <c r="J382" s="51"/>
      <c r="K382" s="70"/>
      <c r="L382" s="72"/>
      <c r="M382" s="51"/>
      <c r="N382" s="51"/>
      <c r="O382" s="51"/>
      <c r="P382" s="69"/>
      <c r="Q382" s="69"/>
      <c r="R382" s="69"/>
      <c r="S382" s="69"/>
    </row>
    <row r="383" spans="1:19" ht="23.25" customHeight="1">
      <c r="A383" s="51"/>
      <c r="B383" s="50" t="str">
        <f>IFERROR(VLOOKUP(A383,Briefing_Req!A:M,2,0),"")</f>
        <v/>
      </c>
      <c r="C383" s="143" t="str">
        <f>IFERROR(IF(VLOOKUP(A383,Briefing_Req!A:M,13,0)&lt;&gt;"",VLOOKUP(A383,Briefing_Req!A:M,13,0),VLOOKUP(A383,Briefing_Req!A:M,3,0)),"")</f>
        <v/>
      </c>
      <c r="D383" s="51"/>
      <c r="E383" s="50"/>
      <c r="F383" s="51"/>
      <c r="G383" s="51"/>
      <c r="H383" s="51"/>
      <c r="I383" s="51"/>
      <c r="J383" s="51"/>
      <c r="K383" s="70"/>
      <c r="L383" s="72"/>
      <c r="M383" s="51"/>
      <c r="N383" s="51"/>
      <c r="O383" s="51"/>
      <c r="P383" s="69"/>
      <c r="Q383" s="69"/>
      <c r="R383" s="69"/>
      <c r="S383" s="69"/>
    </row>
    <row r="384" spans="1:19" ht="23.25" customHeight="1">
      <c r="A384" s="51"/>
      <c r="B384" s="50" t="str">
        <f>IFERROR(VLOOKUP(A384,Briefing_Req!A:M,2,0),"")</f>
        <v/>
      </c>
      <c r="C384" s="143" t="str">
        <f>IFERROR(IF(VLOOKUP(A384,Briefing_Req!A:M,13,0)&lt;&gt;"",VLOOKUP(A384,Briefing_Req!A:M,13,0),VLOOKUP(A384,Briefing_Req!A:M,3,0)),"")</f>
        <v/>
      </c>
      <c r="D384" s="51"/>
      <c r="E384" s="50"/>
      <c r="F384" s="51"/>
      <c r="G384" s="51"/>
      <c r="H384" s="51"/>
      <c r="I384" s="51"/>
      <c r="J384" s="51"/>
      <c r="K384" s="70"/>
      <c r="L384" s="72"/>
      <c r="M384" s="51"/>
      <c r="N384" s="51"/>
      <c r="O384" s="51"/>
      <c r="P384" s="69"/>
      <c r="Q384" s="69"/>
      <c r="R384" s="69"/>
      <c r="S384" s="69"/>
    </row>
    <row r="385" spans="1:19" ht="23.25" customHeight="1">
      <c r="A385" s="51"/>
      <c r="B385" s="50" t="str">
        <f>IFERROR(VLOOKUP(A385,Briefing_Req!A:M,2,0),"")</f>
        <v/>
      </c>
      <c r="C385" s="143" t="str">
        <f>IFERROR(IF(VLOOKUP(A385,Briefing_Req!A:M,13,0)&lt;&gt;"",VLOOKUP(A385,Briefing_Req!A:M,13,0),VLOOKUP(A385,Briefing_Req!A:M,3,0)),"")</f>
        <v/>
      </c>
      <c r="D385" s="51"/>
      <c r="E385" s="50"/>
      <c r="F385" s="51"/>
      <c r="G385" s="51"/>
      <c r="H385" s="51"/>
      <c r="I385" s="51"/>
      <c r="J385" s="51"/>
      <c r="K385" s="70"/>
      <c r="L385" s="72"/>
      <c r="M385" s="51"/>
      <c r="N385" s="51"/>
      <c r="O385" s="51"/>
      <c r="P385" s="69"/>
      <c r="Q385" s="69"/>
      <c r="R385" s="69"/>
      <c r="S385" s="69"/>
    </row>
    <row r="386" spans="1:19" ht="23.25" customHeight="1">
      <c r="A386" s="51"/>
      <c r="B386" s="50" t="str">
        <f>IFERROR(VLOOKUP(A386,Briefing_Req!A:M,2,0),"")</f>
        <v/>
      </c>
      <c r="C386" s="143" t="str">
        <f>IFERROR(IF(VLOOKUP(A386,Briefing_Req!A:M,13,0)&lt;&gt;"",VLOOKUP(A386,Briefing_Req!A:M,13,0),VLOOKUP(A386,Briefing_Req!A:M,3,0)),"")</f>
        <v/>
      </c>
      <c r="D386" s="51"/>
      <c r="E386" s="50"/>
      <c r="F386" s="51"/>
      <c r="G386" s="51"/>
      <c r="H386" s="51"/>
      <c r="I386" s="51"/>
      <c r="J386" s="51"/>
      <c r="K386" s="70"/>
      <c r="L386" s="72"/>
      <c r="M386" s="51"/>
      <c r="N386" s="51"/>
      <c r="O386" s="51"/>
      <c r="P386" s="69"/>
      <c r="Q386" s="69"/>
      <c r="R386" s="69"/>
      <c r="S386" s="69"/>
    </row>
    <row r="387" spans="1:19" ht="23.25" customHeight="1">
      <c r="A387" s="51"/>
      <c r="B387" s="50" t="str">
        <f>IFERROR(VLOOKUP(A387,Briefing_Req!A:M,2,0),"")</f>
        <v/>
      </c>
      <c r="C387" s="143" t="str">
        <f>IFERROR(IF(VLOOKUP(A387,Briefing_Req!A:M,13,0)&lt;&gt;"",VLOOKUP(A387,Briefing_Req!A:M,13,0),VLOOKUP(A387,Briefing_Req!A:M,3,0)),"")</f>
        <v/>
      </c>
      <c r="D387" s="51"/>
      <c r="E387" s="50"/>
      <c r="F387" s="51"/>
      <c r="G387" s="51"/>
      <c r="H387" s="51"/>
      <c r="I387" s="51"/>
      <c r="J387" s="51"/>
      <c r="K387" s="70"/>
      <c r="L387" s="72"/>
      <c r="M387" s="51"/>
      <c r="N387" s="51"/>
      <c r="O387" s="51"/>
      <c r="P387" s="69"/>
      <c r="Q387" s="69"/>
      <c r="R387" s="69"/>
      <c r="S387" s="69"/>
    </row>
    <row r="388" spans="1:19" ht="23.25" customHeight="1">
      <c r="A388" s="51"/>
      <c r="B388" s="50" t="str">
        <f>IFERROR(VLOOKUP(A388,Briefing_Req!A:M,2,0),"")</f>
        <v/>
      </c>
      <c r="C388" s="143" t="str">
        <f>IFERROR(IF(VLOOKUP(A388,Briefing_Req!A:M,13,0)&lt;&gt;"",VLOOKUP(A388,Briefing_Req!A:M,13,0),VLOOKUP(A388,Briefing_Req!A:M,3,0)),"")</f>
        <v/>
      </c>
      <c r="D388" s="51"/>
      <c r="E388" s="50"/>
      <c r="F388" s="51"/>
      <c r="G388" s="51"/>
      <c r="H388" s="51"/>
      <c r="I388" s="51"/>
      <c r="J388" s="51"/>
      <c r="K388" s="70"/>
      <c r="L388" s="72"/>
      <c r="M388" s="51"/>
      <c r="N388" s="51"/>
      <c r="O388" s="51"/>
      <c r="P388" s="69"/>
      <c r="Q388" s="69"/>
      <c r="R388" s="69"/>
      <c r="S388" s="69"/>
    </row>
    <row r="389" spans="1:19" ht="23.25" customHeight="1">
      <c r="A389" s="51"/>
      <c r="B389" s="50" t="str">
        <f>IFERROR(VLOOKUP(A389,Briefing_Req!A:M,2,0),"")</f>
        <v/>
      </c>
      <c r="C389" s="143" t="str">
        <f>IFERROR(IF(VLOOKUP(A389,Briefing_Req!A:M,13,0)&lt;&gt;"",VLOOKUP(A389,Briefing_Req!A:M,13,0),VLOOKUP(A389,Briefing_Req!A:M,3,0)),"")</f>
        <v/>
      </c>
      <c r="D389" s="51"/>
      <c r="E389" s="50"/>
      <c r="F389" s="51"/>
      <c r="G389" s="51"/>
      <c r="H389" s="51"/>
      <c r="I389" s="51"/>
      <c r="J389" s="51"/>
      <c r="K389" s="70"/>
      <c r="L389" s="72"/>
      <c r="M389" s="51"/>
      <c r="N389" s="51"/>
      <c r="O389" s="51"/>
      <c r="P389" s="69"/>
      <c r="Q389" s="69"/>
      <c r="R389" s="69"/>
      <c r="S389" s="69"/>
    </row>
    <row r="390" spans="1:19" ht="23.25" customHeight="1">
      <c r="A390" s="51"/>
      <c r="B390" s="50" t="str">
        <f>IFERROR(VLOOKUP(A390,Briefing_Req!A:M,2,0),"")</f>
        <v/>
      </c>
      <c r="C390" s="143" t="str">
        <f>IFERROR(IF(VLOOKUP(A390,Briefing_Req!A:M,13,0)&lt;&gt;"",VLOOKUP(A390,Briefing_Req!A:M,13,0),VLOOKUP(A390,Briefing_Req!A:M,3,0)),"")</f>
        <v/>
      </c>
      <c r="D390" s="51"/>
      <c r="E390" s="50"/>
      <c r="F390" s="51"/>
      <c r="G390" s="51"/>
      <c r="H390" s="51"/>
      <c r="I390" s="51"/>
      <c r="J390" s="51"/>
      <c r="K390" s="70"/>
      <c r="L390" s="72"/>
      <c r="M390" s="51"/>
      <c r="N390" s="51"/>
      <c r="O390" s="51"/>
      <c r="P390" s="69"/>
      <c r="Q390" s="69"/>
      <c r="R390" s="69"/>
      <c r="S390" s="69"/>
    </row>
    <row r="391" spans="1:19" ht="23.25" customHeight="1">
      <c r="A391" s="51"/>
      <c r="B391" s="50" t="str">
        <f>IFERROR(VLOOKUP(A391,Briefing_Req!A:M,2,0),"")</f>
        <v/>
      </c>
      <c r="C391" s="143" t="str">
        <f>IFERROR(IF(VLOOKUP(A391,Briefing_Req!A:M,13,0)&lt;&gt;"",VLOOKUP(A391,Briefing_Req!A:M,13,0),VLOOKUP(A391,Briefing_Req!A:M,3,0)),"")</f>
        <v/>
      </c>
      <c r="D391" s="51"/>
      <c r="E391" s="50"/>
      <c r="F391" s="51"/>
      <c r="G391" s="51"/>
      <c r="H391" s="51"/>
      <c r="I391" s="51"/>
      <c r="J391" s="51"/>
      <c r="K391" s="70"/>
      <c r="L391" s="72"/>
      <c r="M391" s="51"/>
      <c r="N391" s="51"/>
      <c r="O391" s="51"/>
      <c r="P391" s="69"/>
      <c r="Q391" s="69"/>
      <c r="R391" s="69"/>
      <c r="S391" s="69"/>
    </row>
    <row r="392" spans="1:19" ht="23.25" customHeight="1">
      <c r="A392" s="51"/>
      <c r="B392" s="50" t="str">
        <f>IFERROR(VLOOKUP(A392,Briefing_Req!A:M,2,0),"")</f>
        <v/>
      </c>
      <c r="C392" s="143" t="str">
        <f>IFERROR(IF(VLOOKUP(A392,Briefing_Req!A:M,13,0)&lt;&gt;"",VLOOKUP(A392,Briefing_Req!A:M,13,0),VLOOKUP(A392,Briefing_Req!A:M,3,0)),"")</f>
        <v/>
      </c>
      <c r="D392" s="51"/>
      <c r="E392" s="50"/>
      <c r="F392" s="51"/>
      <c r="G392" s="51"/>
      <c r="H392" s="51"/>
      <c r="I392" s="51"/>
      <c r="J392" s="51"/>
      <c r="K392" s="70"/>
      <c r="L392" s="72"/>
      <c r="M392" s="51"/>
      <c r="N392" s="51"/>
      <c r="O392" s="51"/>
      <c r="P392" s="69"/>
      <c r="Q392" s="69"/>
      <c r="R392" s="69"/>
      <c r="S392" s="69"/>
    </row>
    <row r="393" spans="1:19" ht="23.25" customHeight="1">
      <c r="A393" s="51"/>
      <c r="B393" s="50" t="str">
        <f>IFERROR(VLOOKUP(A393,Briefing_Req!A:M,2,0),"")</f>
        <v/>
      </c>
      <c r="C393" s="143" t="str">
        <f>IFERROR(IF(VLOOKUP(A393,Briefing_Req!A:M,13,0)&lt;&gt;"",VLOOKUP(A393,Briefing_Req!A:M,13,0),VLOOKUP(A393,Briefing_Req!A:M,3,0)),"")</f>
        <v/>
      </c>
      <c r="D393" s="51"/>
      <c r="E393" s="50"/>
      <c r="F393" s="51"/>
      <c r="G393" s="51"/>
      <c r="H393" s="51"/>
      <c r="I393" s="51"/>
      <c r="J393" s="51"/>
      <c r="K393" s="70"/>
      <c r="L393" s="72"/>
      <c r="M393" s="51"/>
      <c r="N393" s="51"/>
      <c r="O393" s="51"/>
      <c r="P393" s="69"/>
      <c r="Q393" s="69"/>
      <c r="R393" s="69"/>
      <c r="S393" s="69"/>
    </row>
    <row r="394" spans="1:19" ht="23.25" customHeight="1">
      <c r="A394" s="51"/>
      <c r="B394" s="50" t="str">
        <f>IFERROR(VLOOKUP(A394,Briefing_Req!A:M,2,0),"")</f>
        <v/>
      </c>
      <c r="C394" s="143" t="str">
        <f>IFERROR(IF(VLOOKUP(A394,Briefing_Req!A:M,13,0)&lt;&gt;"",VLOOKUP(A394,Briefing_Req!A:M,13,0),VLOOKUP(A394,Briefing_Req!A:M,3,0)),"")</f>
        <v/>
      </c>
      <c r="D394" s="51"/>
      <c r="E394" s="50"/>
      <c r="F394" s="51"/>
      <c r="G394" s="51"/>
      <c r="H394" s="51"/>
      <c r="I394" s="51"/>
      <c r="J394" s="51"/>
      <c r="K394" s="70"/>
      <c r="L394" s="72"/>
      <c r="M394" s="51"/>
      <c r="N394" s="51"/>
      <c r="O394" s="51"/>
      <c r="P394" s="69"/>
      <c r="Q394" s="69"/>
      <c r="R394" s="69"/>
      <c r="S394" s="69"/>
    </row>
    <row r="395" spans="1:19" ht="23.25" customHeight="1">
      <c r="A395" s="51"/>
      <c r="B395" s="50" t="str">
        <f>IFERROR(VLOOKUP(A395,Briefing_Req!A:M,2,0),"")</f>
        <v/>
      </c>
      <c r="C395" s="143" t="str">
        <f>IFERROR(IF(VLOOKUP(A395,Briefing_Req!A:M,13,0)&lt;&gt;"",VLOOKUP(A395,Briefing_Req!A:M,13,0),VLOOKUP(A395,Briefing_Req!A:M,3,0)),"")</f>
        <v/>
      </c>
      <c r="D395" s="51"/>
      <c r="E395" s="50"/>
      <c r="F395" s="51"/>
      <c r="G395" s="51"/>
      <c r="H395" s="51"/>
      <c r="I395" s="51"/>
      <c r="J395" s="51"/>
      <c r="K395" s="70"/>
      <c r="L395" s="72"/>
      <c r="M395" s="51"/>
      <c r="N395" s="51"/>
      <c r="O395" s="51"/>
      <c r="P395" s="69"/>
      <c r="Q395" s="69"/>
      <c r="R395" s="69"/>
      <c r="S395" s="69"/>
    </row>
    <row r="396" spans="1:19" ht="23.25" customHeight="1">
      <c r="A396" s="51"/>
      <c r="B396" s="50" t="str">
        <f>IFERROR(VLOOKUP(A396,Briefing_Req!A:M,2,0),"")</f>
        <v/>
      </c>
      <c r="C396" s="143" t="str">
        <f>IFERROR(IF(VLOOKUP(A396,Briefing_Req!A:M,13,0)&lt;&gt;"",VLOOKUP(A396,Briefing_Req!A:M,13,0),VLOOKUP(A396,Briefing_Req!A:M,3,0)),"")</f>
        <v/>
      </c>
      <c r="D396" s="51"/>
      <c r="E396" s="50"/>
      <c r="F396" s="51"/>
      <c r="G396" s="51"/>
      <c r="H396" s="51"/>
      <c r="I396" s="51"/>
      <c r="J396" s="51"/>
      <c r="K396" s="70"/>
      <c r="L396" s="72"/>
      <c r="M396" s="51"/>
      <c r="N396" s="51"/>
      <c r="O396" s="51"/>
      <c r="P396" s="69"/>
      <c r="Q396" s="69"/>
      <c r="R396" s="69"/>
      <c r="S396" s="69"/>
    </row>
    <row r="397" spans="1:19" ht="23.25" customHeight="1">
      <c r="A397" s="51"/>
      <c r="B397" s="50" t="str">
        <f>IFERROR(VLOOKUP(A397,Briefing_Req!A:M,2,0),"")</f>
        <v/>
      </c>
      <c r="C397" s="143" t="str">
        <f>IFERROR(IF(VLOOKUP(A397,Briefing_Req!A:M,13,0)&lt;&gt;"",VLOOKUP(A397,Briefing_Req!A:M,13,0),VLOOKUP(A397,Briefing_Req!A:M,3,0)),"")</f>
        <v/>
      </c>
      <c r="D397" s="51"/>
      <c r="E397" s="50"/>
      <c r="F397" s="51"/>
      <c r="G397" s="51"/>
      <c r="H397" s="51"/>
      <c r="I397" s="51"/>
      <c r="J397" s="51"/>
      <c r="K397" s="70"/>
      <c r="L397" s="72"/>
      <c r="M397" s="51"/>
      <c r="N397" s="51"/>
      <c r="O397" s="51"/>
      <c r="P397" s="69"/>
      <c r="Q397" s="69"/>
      <c r="R397" s="69"/>
      <c r="S397" s="69"/>
    </row>
    <row r="398" spans="1:19" ht="23.25" customHeight="1">
      <c r="A398" s="51"/>
      <c r="B398" s="50" t="str">
        <f>IFERROR(VLOOKUP(A398,Briefing_Req!A:M,2,0),"")</f>
        <v/>
      </c>
      <c r="C398" s="143" t="str">
        <f>IFERROR(IF(VLOOKUP(A398,Briefing_Req!A:M,13,0)&lt;&gt;"",VLOOKUP(A398,Briefing_Req!A:M,13,0),VLOOKUP(A398,Briefing_Req!A:M,3,0)),"")</f>
        <v/>
      </c>
      <c r="D398" s="51"/>
      <c r="E398" s="50"/>
      <c r="F398" s="51"/>
      <c r="G398" s="51"/>
      <c r="H398" s="51"/>
      <c r="I398" s="51"/>
      <c r="J398" s="51"/>
      <c r="K398" s="70"/>
      <c r="L398" s="72"/>
      <c r="M398" s="51"/>
      <c r="N398" s="51"/>
      <c r="O398" s="51"/>
      <c r="P398" s="69"/>
      <c r="Q398" s="69"/>
      <c r="R398" s="69"/>
      <c r="S398" s="69"/>
    </row>
    <row r="399" spans="1:19" ht="23.25" customHeight="1">
      <c r="A399" s="51"/>
      <c r="B399" s="50" t="str">
        <f>IFERROR(VLOOKUP(A399,Briefing_Req!A:M,2,0),"")</f>
        <v/>
      </c>
      <c r="C399" s="143" t="str">
        <f>IFERROR(IF(VLOOKUP(A399,Briefing_Req!A:M,13,0)&lt;&gt;"",VLOOKUP(A399,Briefing_Req!A:M,13,0),VLOOKUP(A399,Briefing_Req!A:M,3,0)),"")</f>
        <v/>
      </c>
      <c r="D399" s="51"/>
      <c r="E399" s="50"/>
      <c r="F399" s="51"/>
      <c r="G399" s="51"/>
      <c r="H399" s="51"/>
      <c r="I399" s="51"/>
      <c r="J399" s="51"/>
      <c r="K399" s="70"/>
      <c r="L399" s="72"/>
      <c r="M399" s="51"/>
      <c r="N399" s="51"/>
      <c r="O399" s="51"/>
      <c r="P399" s="69"/>
      <c r="Q399" s="69"/>
      <c r="R399" s="69"/>
      <c r="S399" s="69"/>
    </row>
    <row r="400" spans="1:19" ht="23.25" customHeight="1">
      <c r="A400" s="51"/>
      <c r="B400" s="50" t="str">
        <f>IFERROR(VLOOKUP(A400,Briefing_Req!A:M,2,0),"")</f>
        <v/>
      </c>
      <c r="C400" s="143" t="str">
        <f>IFERROR(IF(VLOOKUP(A400,Briefing_Req!A:M,13,0)&lt;&gt;"",VLOOKUP(A400,Briefing_Req!A:M,13,0),VLOOKUP(A400,Briefing_Req!A:M,3,0)),"")</f>
        <v/>
      </c>
      <c r="D400" s="51"/>
      <c r="E400" s="50"/>
      <c r="F400" s="51"/>
      <c r="G400" s="51"/>
      <c r="H400" s="51"/>
      <c r="I400" s="51"/>
      <c r="J400" s="51"/>
      <c r="K400" s="70"/>
      <c r="L400" s="72"/>
      <c r="M400" s="51"/>
      <c r="N400" s="51"/>
      <c r="O400" s="51"/>
      <c r="P400" s="69"/>
      <c r="Q400" s="69"/>
      <c r="R400" s="69"/>
      <c r="S400" s="69"/>
    </row>
    <row r="401" spans="1:19" ht="23.25" customHeight="1">
      <c r="A401" s="51"/>
      <c r="B401" s="50" t="str">
        <f>IFERROR(VLOOKUP(A401,Briefing_Req!A:M,2,0),"")</f>
        <v/>
      </c>
      <c r="C401" s="143" t="str">
        <f>IFERROR(IF(VLOOKUP(A401,Briefing_Req!A:M,13,0)&lt;&gt;"",VLOOKUP(A401,Briefing_Req!A:M,13,0),VLOOKUP(A401,Briefing_Req!A:M,3,0)),"")</f>
        <v/>
      </c>
      <c r="D401" s="51"/>
      <c r="E401" s="50"/>
      <c r="F401" s="51"/>
      <c r="G401" s="51"/>
      <c r="H401" s="51"/>
      <c r="I401" s="51"/>
      <c r="J401" s="51"/>
      <c r="K401" s="70"/>
      <c r="L401" s="72"/>
      <c r="M401" s="51"/>
      <c r="N401" s="51"/>
      <c r="O401" s="51"/>
      <c r="P401" s="69"/>
      <c r="Q401" s="69"/>
      <c r="R401" s="69"/>
      <c r="S401" s="69"/>
    </row>
    <row r="402" spans="1:19" ht="23.25" customHeight="1">
      <c r="A402" s="51"/>
      <c r="B402" s="50" t="str">
        <f>IFERROR(VLOOKUP(A402,Briefing_Req!A:M,2,0),"")</f>
        <v/>
      </c>
      <c r="C402" s="143" t="str">
        <f>IFERROR(IF(VLOOKUP(A402,Briefing_Req!A:M,13,0)&lt;&gt;"",VLOOKUP(A402,Briefing_Req!A:M,13,0),VLOOKUP(A402,Briefing_Req!A:M,3,0)),"")</f>
        <v/>
      </c>
      <c r="D402" s="51"/>
      <c r="E402" s="50"/>
      <c r="F402" s="51"/>
      <c r="G402" s="51"/>
      <c r="H402" s="51"/>
      <c r="I402" s="51"/>
      <c r="J402" s="51"/>
      <c r="K402" s="70"/>
      <c r="L402" s="72"/>
      <c r="M402" s="51"/>
      <c r="N402" s="51"/>
      <c r="O402" s="51"/>
      <c r="P402" s="69"/>
      <c r="Q402" s="69"/>
      <c r="R402" s="69"/>
      <c r="S402" s="69"/>
    </row>
    <row r="403" spans="1:19" ht="23.25" customHeight="1">
      <c r="A403" s="51"/>
      <c r="B403" s="50" t="str">
        <f>IFERROR(VLOOKUP(A403,Briefing_Req!A:M,2,0),"")</f>
        <v/>
      </c>
      <c r="C403" s="143" t="str">
        <f>IFERROR(IF(VLOOKUP(A403,Briefing_Req!A:M,13,0)&lt;&gt;"",VLOOKUP(A403,Briefing_Req!A:M,13,0),VLOOKUP(A403,Briefing_Req!A:M,3,0)),"")</f>
        <v/>
      </c>
      <c r="D403" s="51"/>
      <c r="E403" s="50"/>
      <c r="F403" s="51"/>
      <c r="G403" s="51"/>
      <c r="H403" s="51"/>
      <c r="I403" s="51"/>
      <c r="J403" s="51"/>
      <c r="K403" s="70"/>
      <c r="L403" s="72"/>
      <c r="M403" s="51"/>
      <c r="N403" s="51"/>
      <c r="O403" s="51"/>
      <c r="P403" s="69"/>
      <c r="Q403" s="69"/>
      <c r="R403" s="69"/>
      <c r="S403" s="69"/>
    </row>
    <row r="404" spans="1:19" ht="23.25" customHeight="1">
      <c r="A404" s="51"/>
      <c r="B404" s="50" t="str">
        <f>IFERROR(VLOOKUP(A404,Briefing_Req!A:M,2,0),"")</f>
        <v/>
      </c>
      <c r="C404" s="143" t="str">
        <f>IFERROR(IF(VLOOKUP(A404,Briefing_Req!A:M,13,0)&lt;&gt;"",VLOOKUP(A404,Briefing_Req!A:M,13,0),VLOOKUP(A404,Briefing_Req!A:M,3,0)),"")</f>
        <v/>
      </c>
      <c r="D404" s="51"/>
      <c r="E404" s="50"/>
      <c r="F404" s="51"/>
      <c r="G404" s="51"/>
      <c r="H404" s="51"/>
      <c r="I404" s="51"/>
      <c r="J404" s="51"/>
      <c r="K404" s="70"/>
      <c r="L404" s="72"/>
      <c r="M404" s="51"/>
      <c r="N404" s="51"/>
      <c r="O404" s="51"/>
      <c r="P404" s="69"/>
      <c r="Q404" s="69"/>
      <c r="R404" s="69"/>
      <c r="S404" s="69"/>
    </row>
    <row r="405" spans="1:19" ht="23.25" customHeight="1">
      <c r="A405" s="51"/>
      <c r="B405" s="50" t="str">
        <f>IFERROR(VLOOKUP(A405,Briefing_Req!A:M,2,0),"")</f>
        <v/>
      </c>
      <c r="C405" s="143" t="str">
        <f>IFERROR(IF(VLOOKUP(A405,Briefing_Req!A:M,13,0)&lt;&gt;"",VLOOKUP(A405,Briefing_Req!A:M,13,0),VLOOKUP(A405,Briefing_Req!A:M,3,0)),"")</f>
        <v/>
      </c>
      <c r="D405" s="51"/>
      <c r="E405" s="50"/>
      <c r="F405" s="51"/>
      <c r="G405" s="51"/>
      <c r="H405" s="51"/>
      <c r="I405" s="51"/>
      <c r="J405" s="51"/>
      <c r="K405" s="70"/>
      <c r="L405" s="72"/>
      <c r="M405" s="51"/>
      <c r="N405" s="51"/>
      <c r="O405" s="51"/>
      <c r="P405" s="69"/>
      <c r="Q405" s="69"/>
      <c r="R405" s="69"/>
      <c r="S405" s="69"/>
    </row>
    <row r="406" spans="1:19" ht="23.25" customHeight="1">
      <c r="A406" s="51"/>
      <c r="B406" s="50" t="str">
        <f>IFERROR(VLOOKUP(A406,Briefing_Req!A:M,2,0),"")</f>
        <v/>
      </c>
      <c r="C406" s="143" t="str">
        <f>IFERROR(IF(VLOOKUP(A406,Briefing_Req!A:M,13,0)&lt;&gt;"",VLOOKUP(A406,Briefing_Req!A:M,13,0),VLOOKUP(A406,Briefing_Req!A:M,3,0)),"")</f>
        <v/>
      </c>
      <c r="D406" s="51"/>
      <c r="E406" s="50"/>
      <c r="F406" s="51"/>
      <c r="G406" s="51"/>
      <c r="H406" s="51"/>
      <c r="I406" s="51"/>
      <c r="J406" s="51"/>
      <c r="K406" s="70"/>
      <c r="L406" s="72"/>
      <c r="M406" s="51"/>
      <c r="N406" s="51"/>
      <c r="O406" s="51"/>
      <c r="P406" s="69"/>
      <c r="Q406" s="69"/>
      <c r="R406" s="69"/>
      <c r="S406" s="69"/>
    </row>
    <row r="407" spans="1:19" ht="23.25" customHeight="1">
      <c r="A407" s="51"/>
      <c r="B407" s="50" t="str">
        <f>IFERROR(VLOOKUP(A407,Briefing_Req!A:M,2,0),"")</f>
        <v/>
      </c>
      <c r="C407" s="143" t="str">
        <f>IFERROR(IF(VLOOKUP(A407,Briefing_Req!A:M,13,0)&lt;&gt;"",VLOOKUP(A407,Briefing_Req!A:M,13,0),VLOOKUP(A407,Briefing_Req!A:M,3,0)),"")</f>
        <v/>
      </c>
      <c r="D407" s="51"/>
      <c r="E407" s="50"/>
      <c r="F407" s="51"/>
      <c r="G407" s="51"/>
      <c r="H407" s="51"/>
      <c r="I407" s="51"/>
      <c r="J407" s="51"/>
      <c r="K407" s="70"/>
      <c r="L407" s="72"/>
      <c r="M407" s="51"/>
      <c r="N407" s="51"/>
      <c r="O407" s="51"/>
      <c r="P407" s="69"/>
      <c r="Q407" s="69"/>
      <c r="R407" s="69"/>
      <c r="S407" s="69"/>
    </row>
    <row r="408" spans="1:19" ht="23.25" customHeight="1">
      <c r="A408" s="51"/>
      <c r="B408" s="50" t="str">
        <f>IFERROR(VLOOKUP(A408,Briefing_Req!A:M,2,0),"")</f>
        <v/>
      </c>
      <c r="C408" s="143" t="str">
        <f>IFERROR(IF(VLOOKUP(A408,Briefing_Req!A:M,13,0)&lt;&gt;"",VLOOKUP(A408,Briefing_Req!A:M,13,0),VLOOKUP(A408,Briefing_Req!A:M,3,0)),"")</f>
        <v/>
      </c>
      <c r="D408" s="51"/>
      <c r="E408" s="50"/>
      <c r="F408" s="51"/>
      <c r="G408" s="51"/>
      <c r="H408" s="51"/>
      <c r="I408" s="51"/>
      <c r="J408" s="51"/>
      <c r="K408" s="70"/>
      <c r="L408" s="72"/>
      <c r="M408" s="51"/>
      <c r="N408" s="51"/>
      <c r="O408" s="51"/>
      <c r="P408" s="69"/>
      <c r="Q408" s="69"/>
      <c r="R408" s="69"/>
      <c r="S408" s="69"/>
    </row>
    <row r="409" spans="1:19" ht="23.25" customHeight="1">
      <c r="A409" s="51"/>
      <c r="B409" s="50" t="str">
        <f>IFERROR(VLOOKUP(A409,Briefing_Req!A:M,2,0),"")</f>
        <v/>
      </c>
      <c r="C409" s="143" t="str">
        <f>IFERROR(IF(VLOOKUP(A409,Briefing_Req!A:M,13,0)&lt;&gt;"",VLOOKUP(A409,Briefing_Req!A:M,13,0),VLOOKUP(A409,Briefing_Req!A:M,3,0)),"")</f>
        <v/>
      </c>
      <c r="D409" s="51"/>
      <c r="E409" s="50"/>
      <c r="F409" s="51"/>
      <c r="G409" s="51"/>
      <c r="H409" s="51"/>
      <c r="I409" s="51"/>
      <c r="J409" s="51"/>
      <c r="K409" s="70"/>
      <c r="L409" s="72"/>
      <c r="M409" s="51"/>
      <c r="N409" s="51"/>
      <c r="O409" s="51"/>
      <c r="P409" s="69"/>
      <c r="Q409" s="69"/>
      <c r="R409" s="69"/>
      <c r="S409" s="69"/>
    </row>
    <row r="410" spans="1:19" ht="23.25" customHeight="1">
      <c r="A410" s="51"/>
      <c r="B410" s="50" t="str">
        <f>IFERROR(VLOOKUP(A410,Briefing_Req!A:M,2,0),"")</f>
        <v/>
      </c>
      <c r="C410" s="143" t="str">
        <f>IFERROR(IF(VLOOKUP(A410,Briefing_Req!A:M,13,0)&lt;&gt;"",VLOOKUP(A410,Briefing_Req!A:M,13,0),VLOOKUP(A410,Briefing_Req!A:M,3,0)),"")</f>
        <v/>
      </c>
      <c r="D410" s="51"/>
      <c r="E410" s="50"/>
      <c r="F410" s="51"/>
      <c r="G410" s="51"/>
      <c r="H410" s="51"/>
      <c r="I410" s="51"/>
      <c r="J410" s="51"/>
      <c r="K410" s="70"/>
      <c r="L410" s="72"/>
      <c r="M410" s="51"/>
      <c r="N410" s="51"/>
      <c r="O410" s="51"/>
      <c r="P410" s="69"/>
      <c r="Q410" s="69"/>
      <c r="R410" s="69"/>
      <c r="S410" s="69"/>
    </row>
    <row r="411" spans="1:19" ht="23.25" customHeight="1">
      <c r="A411" s="51"/>
      <c r="B411" s="50" t="str">
        <f>IFERROR(VLOOKUP(A411,Briefing_Req!A:M,2,0),"")</f>
        <v/>
      </c>
      <c r="C411" s="143" t="str">
        <f>IFERROR(IF(VLOOKUP(A411,Briefing_Req!A:M,13,0)&lt;&gt;"",VLOOKUP(A411,Briefing_Req!A:M,13,0),VLOOKUP(A411,Briefing_Req!A:M,3,0)),"")</f>
        <v/>
      </c>
      <c r="D411" s="51"/>
      <c r="E411" s="50"/>
      <c r="F411" s="51"/>
      <c r="G411" s="51"/>
      <c r="H411" s="51"/>
      <c r="I411" s="51"/>
      <c r="J411" s="51"/>
      <c r="K411" s="70"/>
      <c r="L411" s="72"/>
      <c r="M411" s="51"/>
      <c r="N411" s="51"/>
      <c r="O411" s="51"/>
      <c r="P411" s="69"/>
      <c r="Q411" s="69"/>
      <c r="R411" s="69"/>
      <c r="S411" s="69"/>
    </row>
    <row r="412" spans="1:19" ht="23.25" customHeight="1">
      <c r="A412" s="51"/>
      <c r="B412" s="50" t="str">
        <f>IFERROR(VLOOKUP(A412,Briefing_Req!A:M,2,0),"")</f>
        <v/>
      </c>
      <c r="C412" s="143" t="str">
        <f>IFERROR(IF(VLOOKUP(A412,Briefing_Req!A:M,13,0)&lt;&gt;"",VLOOKUP(A412,Briefing_Req!A:M,13,0),VLOOKUP(A412,Briefing_Req!A:M,3,0)),"")</f>
        <v/>
      </c>
      <c r="D412" s="51"/>
      <c r="E412" s="50"/>
      <c r="F412" s="51"/>
      <c r="G412" s="51"/>
      <c r="H412" s="51"/>
      <c r="I412" s="51"/>
      <c r="J412" s="51"/>
      <c r="K412" s="70"/>
      <c r="L412" s="72"/>
      <c r="M412" s="51"/>
      <c r="N412" s="51"/>
      <c r="O412" s="51"/>
      <c r="P412" s="69"/>
      <c r="Q412" s="69"/>
      <c r="R412" s="69"/>
      <c r="S412" s="69"/>
    </row>
    <row r="413" spans="1:19" ht="23.25" customHeight="1">
      <c r="A413" s="51"/>
      <c r="B413" s="50" t="str">
        <f>IFERROR(VLOOKUP(A413,Briefing_Req!A:M,2,0),"")</f>
        <v/>
      </c>
      <c r="C413" s="143" t="str">
        <f>IFERROR(IF(VLOOKUP(A413,Briefing_Req!A:M,13,0)&lt;&gt;"",VLOOKUP(A413,Briefing_Req!A:M,13,0),VLOOKUP(A413,Briefing_Req!A:M,3,0)),"")</f>
        <v/>
      </c>
      <c r="D413" s="51"/>
      <c r="E413" s="50"/>
      <c r="F413" s="51"/>
      <c r="G413" s="51"/>
      <c r="H413" s="51"/>
      <c r="I413" s="51"/>
      <c r="J413" s="51"/>
      <c r="K413" s="70"/>
      <c r="L413" s="72"/>
      <c r="M413" s="51"/>
      <c r="N413" s="51"/>
      <c r="O413" s="51"/>
      <c r="P413" s="69"/>
      <c r="Q413" s="69"/>
      <c r="R413" s="69"/>
      <c r="S413" s="69"/>
    </row>
    <row r="414" spans="1:19" ht="23.25" customHeight="1">
      <c r="A414" s="51"/>
      <c r="B414" s="50" t="str">
        <f>IFERROR(VLOOKUP(A414,Briefing_Req!A:M,2,0),"")</f>
        <v/>
      </c>
      <c r="C414" s="143" t="str">
        <f>IFERROR(IF(VLOOKUP(A414,Briefing_Req!A:M,13,0)&lt;&gt;"",VLOOKUP(A414,Briefing_Req!A:M,13,0),VLOOKUP(A414,Briefing_Req!A:M,3,0)),"")</f>
        <v/>
      </c>
      <c r="D414" s="51"/>
      <c r="E414" s="50"/>
      <c r="F414" s="51"/>
      <c r="G414" s="51"/>
      <c r="H414" s="51"/>
      <c r="I414" s="51"/>
      <c r="J414" s="51"/>
      <c r="K414" s="70"/>
      <c r="L414" s="72"/>
      <c r="M414" s="51"/>
      <c r="N414" s="51"/>
      <c r="O414" s="51"/>
      <c r="P414" s="69"/>
      <c r="Q414" s="69"/>
      <c r="R414" s="69"/>
      <c r="S414" s="69"/>
    </row>
    <row r="415" spans="1:19" ht="23.25" customHeight="1">
      <c r="A415" s="51"/>
      <c r="B415" s="50" t="str">
        <f>IFERROR(VLOOKUP(A415,Briefing_Req!A:M,2,0),"")</f>
        <v/>
      </c>
      <c r="C415" s="143" t="str">
        <f>IFERROR(IF(VLOOKUP(A415,Briefing_Req!A:M,13,0)&lt;&gt;"",VLOOKUP(A415,Briefing_Req!A:M,13,0),VLOOKUP(A415,Briefing_Req!A:M,3,0)),"")</f>
        <v/>
      </c>
      <c r="D415" s="51"/>
      <c r="E415" s="50"/>
      <c r="F415" s="51"/>
      <c r="G415" s="51"/>
      <c r="H415" s="51"/>
      <c r="I415" s="51"/>
      <c r="J415" s="51"/>
      <c r="K415" s="70"/>
      <c r="L415" s="72"/>
      <c r="M415" s="51"/>
      <c r="N415" s="51"/>
      <c r="O415" s="51"/>
      <c r="P415" s="69"/>
      <c r="Q415" s="69"/>
      <c r="R415" s="69"/>
      <c r="S415" s="69"/>
    </row>
    <row r="416" spans="1:19" ht="23.25" customHeight="1">
      <c r="A416" s="51"/>
      <c r="B416" s="50" t="str">
        <f>IFERROR(VLOOKUP(A416,Briefing_Req!A:M,2,0),"")</f>
        <v/>
      </c>
      <c r="C416" s="143" t="str">
        <f>IFERROR(IF(VLOOKUP(A416,Briefing_Req!A:M,13,0)&lt;&gt;"",VLOOKUP(A416,Briefing_Req!A:M,13,0),VLOOKUP(A416,Briefing_Req!A:M,3,0)),"")</f>
        <v/>
      </c>
      <c r="D416" s="51"/>
      <c r="E416" s="50"/>
      <c r="F416" s="51"/>
      <c r="G416" s="51"/>
      <c r="H416" s="51"/>
      <c r="I416" s="51"/>
      <c r="J416" s="51"/>
      <c r="K416" s="70"/>
      <c r="L416" s="72"/>
      <c r="M416" s="51"/>
      <c r="N416" s="51"/>
      <c r="O416" s="51"/>
      <c r="P416" s="69"/>
      <c r="Q416" s="69"/>
      <c r="R416" s="69"/>
      <c r="S416" s="69"/>
    </row>
    <row r="417" spans="1:19" ht="23.25" customHeight="1">
      <c r="A417" s="51"/>
      <c r="B417" s="50" t="str">
        <f>IFERROR(VLOOKUP(A417,Briefing_Req!A:M,2,0),"")</f>
        <v/>
      </c>
      <c r="C417" s="143" t="str">
        <f>IFERROR(IF(VLOOKUP(A417,Briefing_Req!A:M,13,0)&lt;&gt;"",VLOOKUP(A417,Briefing_Req!A:M,13,0),VLOOKUP(A417,Briefing_Req!A:M,3,0)),"")</f>
        <v/>
      </c>
      <c r="D417" s="51"/>
      <c r="E417" s="50"/>
      <c r="F417" s="51"/>
      <c r="G417" s="51"/>
      <c r="H417" s="51"/>
      <c r="I417" s="51"/>
      <c r="J417" s="51"/>
      <c r="K417" s="70"/>
      <c r="L417" s="72"/>
      <c r="M417" s="51"/>
      <c r="N417" s="51"/>
      <c r="O417" s="51"/>
      <c r="P417" s="69"/>
      <c r="Q417" s="69"/>
      <c r="R417" s="69"/>
      <c r="S417" s="69"/>
    </row>
    <row r="418" spans="1:19" ht="23.25" customHeight="1">
      <c r="A418" s="51"/>
      <c r="B418" s="50" t="str">
        <f>IFERROR(VLOOKUP(A418,Briefing_Req!A:M,2,0),"")</f>
        <v/>
      </c>
      <c r="C418" s="143" t="str">
        <f>IFERROR(IF(VLOOKUP(A418,Briefing_Req!A:M,13,0)&lt;&gt;"",VLOOKUP(A418,Briefing_Req!A:M,13,0),VLOOKUP(A418,Briefing_Req!A:M,3,0)),"")</f>
        <v/>
      </c>
      <c r="D418" s="51"/>
      <c r="E418" s="50"/>
      <c r="F418" s="51"/>
      <c r="G418" s="51"/>
      <c r="H418" s="51"/>
      <c r="I418" s="51"/>
      <c r="J418" s="51"/>
      <c r="K418" s="70"/>
      <c r="L418" s="72"/>
      <c r="M418" s="51"/>
      <c r="N418" s="51"/>
      <c r="O418" s="51"/>
      <c r="P418" s="69"/>
      <c r="Q418" s="69"/>
      <c r="R418" s="69"/>
      <c r="S418" s="69"/>
    </row>
    <row r="419" spans="1:19" ht="23.25" customHeight="1">
      <c r="A419" s="51"/>
      <c r="B419" s="50" t="str">
        <f>IFERROR(VLOOKUP(A419,Briefing_Req!A:M,2,0),"")</f>
        <v/>
      </c>
      <c r="C419" s="143" t="str">
        <f>IFERROR(IF(VLOOKUP(A419,Briefing_Req!A:M,13,0)&lt;&gt;"",VLOOKUP(A419,Briefing_Req!A:M,13,0),VLOOKUP(A419,Briefing_Req!A:M,3,0)),"")</f>
        <v/>
      </c>
      <c r="D419" s="51"/>
      <c r="E419" s="50"/>
      <c r="F419" s="51"/>
      <c r="G419" s="51"/>
      <c r="H419" s="51"/>
      <c r="I419" s="51"/>
      <c r="J419" s="51"/>
      <c r="K419" s="70"/>
      <c r="L419" s="72"/>
      <c r="M419" s="51"/>
      <c r="N419" s="51"/>
      <c r="O419" s="51"/>
      <c r="P419" s="69"/>
      <c r="Q419" s="69"/>
      <c r="R419" s="69"/>
      <c r="S419" s="69"/>
    </row>
    <row r="420" spans="1:19" ht="23.25" customHeight="1">
      <c r="A420" s="51"/>
      <c r="B420" s="50" t="str">
        <f>IFERROR(VLOOKUP(A420,Briefing_Req!A:M,2,0),"")</f>
        <v/>
      </c>
      <c r="C420" s="143" t="str">
        <f>IFERROR(IF(VLOOKUP(A420,Briefing_Req!A:M,13,0)&lt;&gt;"",VLOOKUP(A420,Briefing_Req!A:M,13,0),VLOOKUP(A420,Briefing_Req!A:M,3,0)),"")</f>
        <v/>
      </c>
      <c r="D420" s="51"/>
      <c r="E420" s="50"/>
      <c r="F420" s="51"/>
      <c r="G420" s="51"/>
      <c r="H420" s="51"/>
      <c r="I420" s="51"/>
      <c r="J420" s="51"/>
      <c r="K420" s="70"/>
      <c r="L420" s="72"/>
      <c r="M420" s="51"/>
      <c r="N420" s="51"/>
      <c r="O420" s="51"/>
      <c r="P420" s="69"/>
      <c r="Q420" s="69"/>
      <c r="R420" s="69"/>
      <c r="S420" s="69"/>
    </row>
    <row r="421" spans="1:19" ht="23.25" customHeight="1">
      <c r="A421" s="51"/>
      <c r="B421" s="50" t="str">
        <f>IFERROR(VLOOKUP(A421,Briefing_Req!A:M,2,0),"")</f>
        <v/>
      </c>
      <c r="C421" s="143" t="str">
        <f>IFERROR(IF(VLOOKUP(A421,Briefing_Req!A:M,13,0)&lt;&gt;"",VLOOKUP(A421,Briefing_Req!A:M,13,0),VLOOKUP(A421,Briefing_Req!A:M,3,0)),"")</f>
        <v/>
      </c>
      <c r="D421" s="51"/>
      <c r="E421" s="50"/>
      <c r="F421" s="51"/>
      <c r="G421" s="51"/>
      <c r="H421" s="51"/>
      <c r="I421" s="51"/>
      <c r="J421" s="51"/>
      <c r="K421" s="70"/>
      <c r="L421" s="72"/>
      <c r="M421" s="51"/>
      <c r="N421" s="51"/>
      <c r="O421" s="51"/>
      <c r="P421" s="69"/>
      <c r="Q421" s="69"/>
      <c r="R421" s="69"/>
      <c r="S421" s="69"/>
    </row>
    <row r="422" spans="1:19" ht="23.25" customHeight="1">
      <c r="A422" s="51"/>
      <c r="B422" s="50" t="str">
        <f>IFERROR(VLOOKUP(A422,Briefing_Req!A:M,2,0),"")</f>
        <v/>
      </c>
      <c r="C422" s="143" t="str">
        <f>IFERROR(IF(VLOOKUP(A422,Briefing_Req!A:M,13,0)&lt;&gt;"",VLOOKUP(A422,Briefing_Req!A:M,13,0),VLOOKUP(A422,Briefing_Req!A:M,3,0)),"")</f>
        <v/>
      </c>
      <c r="D422" s="51"/>
      <c r="E422" s="50"/>
      <c r="F422" s="51"/>
      <c r="G422" s="51"/>
      <c r="H422" s="51"/>
      <c r="I422" s="51"/>
      <c r="J422" s="51"/>
      <c r="K422" s="70"/>
      <c r="L422" s="72"/>
      <c r="M422" s="51"/>
      <c r="N422" s="51"/>
      <c r="O422" s="51"/>
      <c r="P422" s="69"/>
      <c r="Q422" s="69"/>
      <c r="R422" s="69"/>
      <c r="S422" s="69"/>
    </row>
    <row r="423" spans="1:19" ht="23.25" customHeight="1">
      <c r="A423" s="51"/>
      <c r="B423" s="50" t="str">
        <f>IFERROR(VLOOKUP(A423,Briefing_Req!A:M,2,0),"")</f>
        <v/>
      </c>
      <c r="C423" s="143" t="str">
        <f>IFERROR(IF(VLOOKUP(A423,Briefing_Req!A:M,13,0)&lt;&gt;"",VLOOKUP(A423,Briefing_Req!A:M,13,0),VLOOKUP(A423,Briefing_Req!A:M,3,0)),"")</f>
        <v/>
      </c>
      <c r="D423" s="51"/>
      <c r="E423" s="50"/>
      <c r="F423" s="51"/>
      <c r="G423" s="51"/>
      <c r="H423" s="51"/>
      <c r="I423" s="51"/>
      <c r="J423" s="51"/>
      <c r="K423" s="70"/>
      <c r="L423" s="72"/>
      <c r="M423" s="51"/>
      <c r="N423" s="51"/>
      <c r="O423" s="51"/>
      <c r="P423" s="69"/>
      <c r="Q423" s="69"/>
      <c r="R423" s="69"/>
      <c r="S423" s="69"/>
    </row>
    <row r="424" spans="1:19" ht="23.25" customHeight="1">
      <c r="A424" s="51"/>
      <c r="B424" s="50" t="str">
        <f>IFERROR(VLOOKUP(A424,Briefing_Req!A:M,2,0),"")</f>
        <v/>
      </c>
      <c r="C424" s="143" t="str">
        <f>IFERROR(IF(VLOOKUP(A424,Briefing_Req!A:M,13,0)&lt;&gt;"",VLOOKUP(A424,Briefing_Req!A:M,13,0),VLOOKUP(A424,Briefing_Req!A:M,3,0)),"")</f>
        <v/>
      </c>
      <c r="D424" s="51"/>
      <c r="E424" s="50"/>
      <c r="F424" s="51"/>
      <c r="G424" s="51"/>
      <c r="H424" s="51"/>
      <c r="I424" s="51"/>
      <c r="J424" s="51"/>
      <c r="K424" s="70"/>
      <c r="L424" s="72"/>
      <c r="M424" s="51"/>
      <c r="N424" s="51"/>
      <c r="O424" s="51"/>
      <c r="P424" s="69"/>
      <c r="Q424" s="69"/>
      <c r="R424" s="69"/>
      <c r="S424" s="69"/>
    </row>
    <row r="425" spans="1:19" ht="23.25" customHeight="1">
      <c r="A425" s="51"/>
      <c r="B425" s="50" t="str">
        <f>IFERROR(VLOOKUP(A425,Briefing_Req!A:M,2,0),"")</f>
        <v/>
      </c>
      <c r="C425" s="143" t="str">
        <f>IFERROR(IF(VLOOKUP(A425,Briefing_Req!A:M,13,0)&lt;&gt;"",VLOOKUP(A425,Briefing_Req!A:M,13,0),VLOOKUP(A425,Briefing_Req!A:M,3,0)),"")</f>
        <v/>
      </c>
      <c r="D425" s="51"/>
      <c r="E425" s="50"/>
      <c r="F425" s="51"/>
      <c r="G425" s="51"/>
      <c r="H425" s="51"/>
      <c r="I425" s="51"/>
      <c r="J425" s="51"/>
      <c r="K425" s="70"/>
      <c r="L425" s="72"/>
      <c r="M425" s="51"/>
      <c r="N425" s="51"/>
      <c r="O425" s="51"/>
      <c r="P425" s="69"/>
      <c r="Q425" s="69"/>
      <c r="R425" s="69"/>
      <c r="S425" s="69"/>
    </row>
    <row r="426" spans="1:19" ht="23.25" customHeight="1">
      <c r="A426" s="51"/>
      <c r="B426" s="50" t="str">
        <f>IFERROR(VLOOKUP(A426,Briefing_Req!A:M,2,0),"")</f>
        <v/>
      </c>
      <c r="C426" s="143" t="str">
        <f>IFERROR(IF(VLOOKUP(A426,Briefing_Req!A:M,13,0)&lt;&gt;"",VLOOKUP(A426,Briefing_Req!A:M,13,0),VLOOKUP(A426,Briefing_Req!A:M,3,0)),"")</f>
        <v/>
      </c>
      <c r="D426" s="51"/>
      <c r="E426" s="50"/>
      <c r="F426" s="51"/>
      <c r="G426" s="51"/>
      <c r="H426" s="51"/>
      <c r="I426" s="51"/>
      <c r="J426" s="51"/>
      <c r="K426" s="70"/>
      <c r="L426" s="72"/>
      <c r="M426" s="51"/>
      <c r="N426" s="51"/>
      <c r="O426" s="51"/>
      <c r="P426" s="69"/>
      <c r="Q426" s="69"/>
      <c r="R426" s="69"/>
      <c r="S426" s="69"/>
    </row>
    <row r="427" spans="1:19" ht="23.25" customHeight="1">
      <c r="A427" s="51"/>
      <c r="B427" s="50" t="str">
        <f>IFERROR(VLOOKUP(A427,Briefing_Req!A:M,2,0),"")</f>
        <v/>
      </c>
      <c r="C427" s="143" t="str">
        <f>IFERROR(IF(VLOOKUP(A427,Briefing_Req!A:M,13,0)&lt;&gt;"",VLOOKUP(A427,Briefing_Req!A:M,13,0),VLOOKUP(A427,Briefing_Req!A:M,3,0)),"")</f>
        <v/>
      </c>
      <c r="D427" s="51"/>
      <c r="E427" s="50"/>
      <c r="F427" s="51"/>
      <c r="G427" s="51"/>
      <c r="H427" s="51"/>
      <c r="I427" s="51"/>
      <c r="J427" s="51"/>
      <c r="K427" s="70"/>
      <c r="L427" s="72"/>
      <c r="M427" s="51"/>
      <c r="N427" s="51"/>
      <c r="O427" s="51"/>
      <c r="P427" s="69"/>
      <c r="Q427" s="69"/>
      <c r="R427" s="69"/>
      <c r="S427" s="69"/>
    </row>
    <row r="428" spans="1:19" ht="23.25" customHeight="1">
      <c r="A428" s="51"/>
      <c r="B428" s="50" t="str">
        <f>IFERROR(VLOOKUP(A428,Briefing_Req!A:M,2,0),"")</f>
        <v/>
      </c>
      <c r="C428" s="143" t="str">
        <f>IFERROR(IF(VLOOKUP(A428,Briefing_Req!A:M,13,0)&lt;&gt;"",VLOOKUP(A428,Briefing_Req!A:M,13,0),VLOOKUP(A428,Briefing_Req!A:M,3,0)),"")</f>
        <v/>
      </c>
      <c r="D428" s="51"/>
      <c r="E428" s="50"/>
      <c r="F428" s="51"/>
      <c r="G428" s="51"/>
      <c r="H428" s="51"/>
      <c r="I428" s="51"/>
      <c r="J428" s="51"/>
      <c r="K428" s="70"/>
      <c r="L428" s="72"/>
      <c r="M428" s="51"/>
      <c r="N428" s="51"/>
      <c r="O428" s="51"/>
      <c r="P428" s="69"/>
      <c r="Q428" s="69"/>
      <c r="R428" s="69"/>
      <c r="S428" s="69"/>
    </row>
    <row r="429" spans="1:19" ht="23.25" customHeight="1">
      <c r="A429" s="51"/>
      <c r="B429" s="50" t="str">
        <f>IFERROR(VLOOKUP(A429,Briefing_Req!A:M,2,0),"")</f>
        <v/>
      </c>
      <c r="C429" s="143" t="str">
        <f>IFERROR(IF(VLOOKUP(A429,Briefing_Req!A:M,13,0)&lt;&gt;"",VLOOKUP(A429,Briefing_Req!A:M,13,0),VLOOKUP(A429,Briefing_Req!A:M,3,0)),"")</f>
        <v/>
      </c>
      <c r="D429" s="51"/>
      <c r="E429" s="50"/>
      <c r="F429" s="51"/>
      <c r="G429" s="51"/>
      <c r="H429" s="51"/>
      <c r="I429" s="51"/>
      <c r="J429" s="51"/>
      <c r="K429" s="70"/>
      <c r="L429" s="72"/>
      <c r="M429" s="51"/>
      <c r="N429" s="51"/>
      <c r="O429" s="51"/>
      <c r="P429" s="69"/>
      <c r="Q429" s="69"/>
      <c r="R429" s="69"/>
      <c r="S429" s="69"/>
    </row>
    <row r="430" spans="1:19" ht="23.25" customHeight="1">
      <c r="A430" s="51"/>
      <c r="B430" s="50" t="str">
        <f>IFERROR(VLOOKUP(A430,Briefing_Req!A:M,2,0),"")</f>
        <v/>
      </c>
      <c r="C430" s="143" t="str">
        <f>IFERROR(IF(VLOOKUP(A430,Briefing_Req!A:M,13,0)&lt;&gt;"",VLOOKUP(A430,Briefing_Req!A:M,13,0),VLOOKUP(A430,Briefing_Req!A:M,3,0)),"")</f>
        <v/>
      </c>
      <c r="D430" s="51"/>
      <c r="E430" s="50"/>
      <c r="F430" s="51"/>
      <c r="G430" s="51"/>
      <c r="H430" s="51"/>
      <c r="I430" s="51"/>
      <c r="J430" s="51"/>
      <c r="K430" s="70"/>
      <c r="L430" s="72"/>
      <c r="M430" s="51"/>
      <c r="N430" s="51"/>
      <c r="O430" s="51"/>
      <c r="P430" s="69"/>
      <c r="Q430" s="69"/>
      <c r="R430" s="69"/>
      <c r="S430" s="69"/>
    </row>
    <row r="431" spans="1:19" ht="23.25" customHeight="1">
      <c r="A431" s="51"/>
      <c r="B431" s="50" t="str">
        <f>IFERROR(VLOOKUP(A431,Briefing_Req!A:M,2,0),"")</f>
        <v/>
      </c>
      <c r="C431" s="143" t="str">
        <f>IFERROR(IF(VLOOKUP(A431,Briefing_Req!A:M,13,0)&lt;&gt;"",VLOOKUP(A431,Briefing_Req!A:M,13,0),VLOOKUP(A431,Briefing_Req!A:M,3,0)),"")</f>
        <v/>
      </c>
      <c r="D431" s="51"/>
      <c r="E431" s="50"/>
      <c r="F431" s="51"/>
      <c r="G431" s="51"/>
      <c r="H431" s="51"/>
      <c r="I431" s="51"/>
      <c r="J431" s="51"/>
      <c r="K431" s="70"/>
      <c r="L431" s="72"/>
      <c r="M431" s="51"/>
      <c r="N431" s="51"/>
      <c r="O431" s="51"/>
      <c r="P431" s="69"/>
      <c r="Q431" s="69"/>
      <c r="R431" s="69"/>
      <c r="S431" s="69"/>
    </row>
    <row r="432" spans="1:19" ht="23.25" customHeight="1">
      <c r="A432" s="51"/>
      <c r="B432" s="50" t="str">
        <f>IFERROR(VLOOKUP(A432,Briefing_Req!A:M,2,0),"")</f>
        <v/>
      </c>
      <c r="C432" s="143" t="str">
        <f>IFERROR(IF(VLOOKUP(A432,Briefing_Req!A:M,13,0)&lt;&gt;"",VLOOKUP(A432,Briefing_Req!A:M,13,0),VLOOKUP(A432,Briefing_Req!A:M,3,0)),"")</f>
        <v/>
      </c>
      <c r="D432" s="51"/>
      <c r="E432" s="50"/>
      <c r="F432" s="51"/>
      <c r="G432" s="51"/>
      <c r="H432" s="51"/>
      <c r="I432" s="51"/>
      <c r="J432" s="51"/>
      <c r="K432" s="70"/>
      <c r="L432" s="72"/>
      <c r="M432" s="51"/>
      <c r="N432" s="51"/>
      <c r="O432" s="51"/>
      <c r="P432" s="69"/>
      <c r="Q432" s="69"/>
      <c r="R432" s="69"/>
      <c r="S432" s="69"/>
    </row>
    <row r="433" spans="1:19" ht="23.25" customHeight="1">
      <c r="A433" s="51"/>
      <c r="B433" s="50" t="str">
        <f>IFERROR(VLOOKUP(A433,Briefing_Req!A:M,2,0),"")</f>
        <v/>
      </c>
      <c r="C433" s="143" t="str">
        <f>IFERROR(IF(VLOOKUP(A433,Briefing_Req!A:M,13,0)&lt;&gt;"",VLOOKUP(A433,Briefing_Req!A:M,13,0),VLOOKUP(A433,Briefing_Req!A:M,3,0)),"")</f>
        <v/>
      </c>
      <c r="D433" s="51"/>
      <c r="E433" s="50"/>
      <c r="F433" s="51"/>
      <c r="G433" s="51"/>
      <c r="H433" s="51"/>
      <c r="I433" s="51"/>
      <c r="J433" s="51"/>
      <c r="K433" s="70"/>
      <c r="L433" s="72"/>
      <c r="M433" s="51"/>
      <c r="N433" s="51"/>
      <c r="O433" s="51"/>
      <c r="P433" s="69"/>
      <c r="Q433" s="69"/>
      <c r="R433" s="69"/>
      <c r="S433" s="69"/>
    </row>
    <row r="434" spans="1:19" ht="23.25" customHeight="1">
      <c r="A434" s="51"/>
      <c r="B434" s="50" t="str">
        <f>IFERROR(VLOOKUP(A434,Briefing_Req!A:M,2,0),"")</f>
        <v/>
      </c>
      <c r="C434" s="143" t="str">
        <f>IFERROR(IF(VLOOKUP(A434,Briefing_Req!A:M,13,0)&lt;&gt;"",VLOOKUP(A434,Briefing_Req!A:M,13,0),VLOOKUP(A434,Briefing_Req!A:M,3,0)),"")</f>
        <v/>
      </c>
      <c r="D434" s="51"/>
      <c r="E434" s="50"/>
      <c r="F434" s="51"/>
      <c r="G434" s="51"/>
      <c r="H434" s="51"/>
      <c r="I434" s="51"/>
      <c r="J434" s="51"/>
      <c r="K434" s="70"/>
      <c r="L434" s="72"/>
      <c r="M434" s="51"/>
      <c r="N434" s="51"/>
      <c r="O434" s="51"/>
      <c r="P434" s="69"/>
      <c r="Q434" s="69"/>
      <c r="R434" s="69"/>
      <c r="S434" s="69"/>
    </row>
    <row r="435" spans="1:19" ht="23.25" customHeight="1">
      <c r="A435" s="51"/>
      <c r="B435" s="50" t="str">
        <f>IFERROR(VLOOKUP(A435,Briefing_Req!A:M,2,0),"")</f>
        <v/>
      </c>
      <c r="C435" s="143" t="str">
        <f>IFERROR(IF(VLOOKUP(A435,Briefing_Req!A:M,13,0)&lt;&gt;"",VLOOKUP(A435,Briefing_Req!A:M,13,0),VLOOKUP(A435,Briefing_Req!A:M,3,0)),"")</f>
        <v/>
      </c>
      <c r="D435" s="51"/>
      <c r="E435" s="50"/>
      <c r="F435" s="51"/>
      <c r="G435" s="51"/>
      <c r="H435" s="51"/>
      <c r="I435" s="51"/>
      <c r="J435" s="51"/>
      <c r="K435" s="70"/>
      <c r="L435" s="72"/>
      <c r="M435" s="51"/>
      <c r="N435" s="51"/>
      <c r="O435" s="51"/>
      <c r="P435" s="69"/>
      <c r="Q435" s="69"/>
      <c r="R435" s="69"/>
      <c r="S435" s="69"/>
    </row>
    <row r="436" spans="1:19" ht="23.25" customHeight="1">
      <c r="A436" s="51"/>
      <c r="B436" s="50" t="str">
        <f>IFERROR(VLOOKUP(A436,Briefing_Req!A:M,2,0),"")</f>
        <v/>
      </c>
      <c r="C436" s="143" t="str">
        <f>IFERROR(IF(VLOOKUP(A436,Briefing_Req!A:M,13,0)&lt;&gt;"",VLOOKUP(A436,Briefing_Req!A:M,13,0),VLOOKUP(A436,Briefing_Req!A:M,3,0)),"")</f>
        <v/>
      </c>
      <c r="D436" s="51"/>
      <c r="E436" s="50"/>
      <c r="F436" s="51"/>
      <c r="G436" s="51"/>
      <c r="H436" s="51"/>
      <c r="I436" s="51"/>
      <c r="J436" s="51"/>
      <c r="K436" s="70"/>
      <c r="L436" s="72"/>
      <c r="M436" s="51"/>
      <c r="N436" s="51"/>
      <c r="O436" s="51"/>
      <c r="P436" s="69"/>
      <c r="Q436" s="69"/>
      <c r="R436" s="69"/>
      <c r="S436" s="69"/>
    </row>
    <row r="437" spans="1:19" ht="23.25" customHeight="1">
      <c r="A437" s="51"/>
      <c r="B437" s="50" t="str">
        <f>IFERROR(VLOOKUP(A437,Briefing_Req!A:M,2,0),"")</f>
        <v/>
      </c>
      <c r="C437" s="143" t="str">
        <f>IFERROR(IF(VLOOKUP(A437,Briefing_Req!A:M,13,0)&lt;&gt;"",VLOOKUP(A437,Briefing_Req!A:M,13,0),VLOOKUP(A437,Briefing_Req!A:M,3,0)),"")</f>
        <v/>
      </c>
      <c r="D437" s="51"/>
      <c r="E437" s="50"/>
      <c r="F437" s="51"/>
      <c r="G437" s="51"/>
      <c r="H437" s="51"/>
      <c r="I437" s="51"/>
      <c r="J437" s="51"/>
      <c r="K437" s="70"/>
      <c r="L437" s="72"/>
      <c r="M437" s="51"/>
      <c r="N437" s="51"/>
      <c r="O437" s="51"/>
      <c r="P437" s="69"/>
      <c r="Q437" s="69"/>
      <c r="R437" s="69"/>
      <c r="S437" s="69"/>
    </row>
    <row r="438" spans="1:19" ht="23.25" customHeight="1">
      <c r="A438" s="51"/>
      <c r="B438" s="50" t="str">
        <f>IFERROR(VLOOKUP(A438,Briefing_Req!A:M,2,0),"")</f>
        <v/>
      </c>
      <c r="C438" s="143" t="str">
        <f>IFERROR(IF(VLOOKUP(A438,Briefing_Req!A:M,13,0)&lt;&gt;"",VLOOKUP(A438,Briefing_Req!A:M,13,0),VLOOKUP(A438,Briefing_Req!A:M,3,0)),"")</f>
        <v/>
      </c>
      <c r="D438" s="51"/>
      <c r="E438" s="50"/>
      <c r="F438" s="51"/>
      <c r="G438" s="51"/>
      <c r="H438" s="51"/>
      <c r="I438" s="51"/>
      <c r="J438" s="51"/>
      <c r="K438" s="70"/>
      <c r="L438" s="72"/>
      <c r="M438" s="51"/>
      <c r="N438" s="51"/>
      <c r="O438" s="51"/>
      <c r="P438" s="69"/>
      <c r="Q438" s="69"/>
      <c r="R438" s="69"/>
      <c r="S438" s="69"/>
    </row>
    <row r="439" spans="1:19" ht="23.25" customHeight="1">
      <c r="A439" s="51"/>
      <c r="B439" s="50" t="str">
        <f>IFERROR(VLOOKUP(A439,Briefing_Req!A:M,2,0),"")</f>
        <v/>
      </c>
      <c r="C439" s="143" t="str">
        <f>IFERROR(IF(VLOOKUP(A439,Briefing_Req!A:M,13,0)&lt;&gt;"",VLOOKUP(A439,Briefing_Req!A:M,13,0),VLOOKUP(A439,Briefing_Req!A:M,3,0)),"")</f>
        <v/>
      </c>
      <c r="D439" s="51"/>
      <c r="E439" s="50"/>
      <c r="F439" s="51"/>
      <c r="G439" s="51"/>
      <c r="H439" s="51"/>
      <c r="I439" s="51"/>
      <c r="J439" s="51"/>
      <c r="K439" s="70"/>
      <c r="L439" s="72"/>
      <c r="M439" s="51"/>
      <c r="N439" s="51"/>
      <c r="O439" s="51"/>
      <c r="P439" s="69"/>
      <c r="Q439" s="69"/>
      <c r="R439" s="69"/>
      <c r="S439" s="69"/>
    </row>
    <row r="440" spans="1:19" ht="23.25" customHeight="1">
      <c r="A440" s="51"/>
      <c r="B440" s="50" t="str">
        <f>IFERROR(VLOOKUP(A440,Briefing_Req!A:M,2,0),"")</f>
        <v/>
      </c>
      <c r="C440" s="143" t="str">
        <f>IFERROR(IF(VLOOKUP(A440,Briefing_Req!A:M,13,0)&lt;&gt;"",VLOOKUP(A440,Briefing_Req!A:M,13,0),VLOOKUP(A440,Briefing_Req!A:M,3,0)),"")</f>
        <v/>
      </c>
      <c r="D440" s="51"/>
      <c r="E440" s="50"/>
      <c r="F440" s="51"/>
      <c r="G440" s="51"/>
      <c r="H440" s="51"/>
      <c r="I440" s="51"/>
      <c r="J440" s="51"/>
      <c r="K440" s="70"/>
      <c r="L440" s="72"/>
      <c r="M440" s="51"/>
      <c r="N440" s="51"/>
      <c r="O440" s="51"/>
      <c r="P440" s="69"/>
      <c r="Q440" s="69"/>
      <c r="R440" s="69"/>
      <c r="S440" s="69"/>
    </row>
    <row r="441" spans="1:19" ht="23.25" customHeight="1">
      <c r="A441" s="51"/>
      <c r="B441" s="50" t="str">
        <f>IFERROR(VLOOKUP(A441,Briefing_Req!A:M,2,0),"")</f>
        <v/>
      </c>
      <c r="C441" s="143" t="str">
        <f>IFERROR(IF(VLOOKUP(A441,Briefing_Req!A:M,13,0)&lt;&gt;"",VLOOKUP(A441,Briefing_Req!A:M,13,0),VLOOKUP(A441,Briefing_Req!A:M,3,0)),"")</f>
        <v/>
      </c>
      <c r="D441" s="51"/>
      <c r="E441" s="50"/>
      <c r="F441" s="51"/>
      <c r="G441" s="51"/>
      <c r="H441" s="51"/>
      <c r="I441" s="51"/>
      <c r="J441" s="51"/>
      <c r="K441" s="70"/>
      <c r="L441" s="72"/>
      <c r="M441" s="51"/>
      <c r="N441" s="51"/>
      <c r="O441" s="51"/>
      <c r="P441" s="69"/>
      <c r="Q441" s="69"/>
      <c r="R441" s="69"/>
      <c r="S441" s="69"/>
    </row>
    <row r="442" spans="1:19" ht="23.25" customHeight="1">
      <c r="A442" s="51"/>
      <c r="B442" s="50" t="str">
        <f>IFERROR(VLOOKUP(A442,Briefing_Req!A:M,2,0),"")</f>
        <v/>
      </c>
      <c r="C442" s="143" t="str">
        <f>IFERROR(IF(VLOOKUP(A442,Briefing_Req!A:M,13,0)&lt;&gt;"",VLOOKUP(A442,Briefing_Req!A:M,13,0),VLOOKUP(A442,Briefing_Req!A:M,3,0)),"")</f>
        <v/>
      </c>
      <c r="D442" s="51"/>
      <c r="E442" s="50"/>
      <c r="F442" s="51"/>
      <c r="G442" s="51"/>
      <c r="H442" s="51"/>
      <c r="I442" s="51"/>
      <c r="J442" s="51"/>
      <c r="K442" s="70"/>
      <c r="L442" s="72"/>
      <c r="M442" s="51"/>
      <c r="N442" s="51"/>
      <c r="O442" s="51"/>
      <c r="P442" s="69"/>
      <c r="Q442" s="69"/>
      <c r="R442" s="69"/>
      <c r="S442" s="69"/>
    </row>
    <row r="443" spans="1:19" ht="23.25" customHeight="1">
      <c r="A443" s="51"/>
      <c r="B443" s="50" t="str">
        <f>IFERROR(VLOOKUP(A443,Briefing_Req!A:M,2,0),"")</f>
        <v/>
      </c>
      <c r="C443" s="143" t="str">
        <f>IFERROR(IF(VLOOKUP(A443,Briefing_Req!A:M,13,0)&lt;&gt;"",VLOOKUP(A443,Briefing_Req!A:M,13,0),VLOOKUP(A443,Briefing_Req!A:M,3,0)),"")</f>
        <v/>
      </c>
      <c r="D443" s="51"/>
      <c r="E443" s="50"/>
      <c r="F443" s="51"/>
      <c r="G443" s="51"/>
      <c r="H443" s="51"/>
      <c r="I443" s="51"/>
      <c r="J443" s="51"/>
      <c r="K443" s="70"/>
      <c r="L443" s="72"/>
      <c r="M443" s="51"/>
      <c r="N443" s="51"/>
      <c r="O443" s="51"/>
      <c r="P443" s="69"/>
      <c r="Q443" s="69"/>
      <c r="R443" s="69"/>
      <c r="S443" s="69"/>
    </row>
    <row r="444" spans="1:19" ht="23.25" customHeight="1">
      <c r="A444" s="51"/>
      <c r="B444" s="50" t="str">
        <f>IFERROR(VLOOKUP(A444,Briefing_Req!A:M,2,0),"")</f>
        <v/>
      </c>
      <c r="C444" s="143" t="str">
        <f>IFERROR(IF(VLOOKUP(A444,Briefing_Req!A:M,13,0)&lt;&gt;"",VLOOKUP(A444,Briefing_Req!A:M,13,0),VLOOKUP(A444,Briefing_Req!A:M,3,0)),"")</f>
        <v/>
      </c>
      <c r="D444" s="51"/>
      <c r="E444" s="50"/>
      <c r="F444" s="51"/>
      <c r="G444" s="51"/>
      <c r="H444" s="51"/>
      <c r="I444" s="51"/>
      <c r="J444" s="51"/>
      <c r="K444" s="70"/>
      <c r="L444" s="72"/>
      <c r="M444" s="51"/>
      <c r="N444" s="51"/>
      <c r="O444" s="51"/>
      <c r="P444" s="69"/>
      <c r="Q444" s="69"/>
      <c r="R444" s="69"/>
      <c r="S444" s="69"/>
    </row>
    <row r="445" spans="1:19" ht="23.25" customHeight="1">
      <c r="A445" s="51"/>
      <c r="B445" s="50" t="str">
        <f>IFERROR(VLOOKUP(A445,Briefing_Req!A:M,2,0),"")</f>
        <v/>
      </c>
      <c r="C445" s="143" t="str">
        <f>IFERROR(IF(VLOOKUP(A445,Briefing_Req!A:M,13,0)&lt;&gt;"",VLOOKUP(A445,Briefing_Req!A:M,13,0),VLOOKUP(A445,Briefing_Req!A:M,3,0)),"")</f>
        <v/>
      </c>
      <c r="D445" s="51"/>
      <c r="E445" s="50"/>
      <c r="F445" s="51"/>
      <c r="G445" s="51"/>
      <c r="H445" s="51"/>
      <c r="I445" s="51"/>
      <c r="J445" s="51"/>
      <c r="K445" s="70"/>
      <c r="L445" s="72"/>
      <c r="M445" s="51"/>
      <c r="N445" s="51"/>
      <c r="O445" s="51"/>
      <c r="P445" s="69"/>
      <c r="Q445" s="69"/>
      <c r="R445" s="69"/>
      <c r="S445" s="69"/>
    </row>
    <row r="446" spans="1:19" ht="23.25" customHeight="1">
      <c r="A446" s="51"/>
      <c r="B446" s="50" t="str">
        <f>IFERROR(VLOOKUP(A446,Briefing_Req!A:M,2,0),"")</f>
        <v/>
      </c>
      <c r="C446" s="143" t="str">
        <f>IFERROR(IF(VLOOKUP(A446,Briefing_Req!A:M,13,0)&lt;&gt;"",VLOOKUP(A446,Briefing_Req!A:M,13,0),VLOOKUP(A446,Briefing_Req!A:M,3,0)),"")</f>
        <v/>
      </c>
      <c r="D446" s="51"/>
      <c r="E446" s="50"/>
      <c r="F446" s="51"/>
      <c r="G446" s="51"/>
      <c r="H446" s="51"/>
      <c r="I446" s="51"/>
      <c r="J446" s="51"/>
      <c r="K446" s="70"/>
      <c r="L446" s="72"/>
      <c r="M446" s="51"/>
      <c r="N446" s="51"/>
      <c r="O446" s="51"/>
      <c r="P446" s="69"/>
      <c r="Q446" s="69"/>
      <c r="R446" s="69"/>
      <c r="S446" s="69"/>
    </row>
    <row r="447" spans="1:19" ht="23.25" customHeight="1">
      <c r="A447" s="51"/>
      <c r="B447" s="50" t="str">
        <f>IFERROR(VLOOKUP(A447,Briefing_Req!A:M,2,0),"")</f>
        <v/>
      </c>
      <c r="C447" s="143" t="str">
        <f>IFERROR(IF(VLOOKUP(A447,Briefing_Req!A:M,13,0)&lt;&gt;"",VLOOKUP(A447,Briefing_Req!A:M,13,0),VLOOKUP(A447,Briefing_Req!A:M,3,0)),"")</f>
        <v/>
      </c>
      <c r="D447" s="51"/>
      <c r="E447" s="50"/>
      <c r="F447" s="51"/>
      <c r="G447" s="51"/>
      <c r="H447" s="51"/>
      <c r="I447" s="51"/>
      <c r="J447" s="51"/>
      <c r="K447" s="70"/>
      <c r="L447" s="72"/>
      <c r="M447" s="51"/>
      <c r="N447" s="51"/>
      <c r="O447" s="51"/>
      <c r="P447" s="69"/>
      <c r="Q447" s="69"/>
      <c r="R447" s="69"/>
      <c r="S447" s="69"/>
    </row>
    <row r="448" spans="1:19" ht="23.25" customHeight="1">
      <c r="A448" s="51"/>
      <c r="B448" s="50" t="str">
        <f>IFERROR(VLOOKUP(A448,Briefing_Req!A:M,2,0),"")</f>
        <v/>
      </c>
      <c r="C448" s="143" t="str">
        <f>IFERROR(IF(VLOOKUP(A448,Briefing_Req!A:M,13,0)&lt;&gt;"",VLOOKUP(A448,Briefing_Req!A:M,13,0),VLOOKUP(A448,Briefing_Req!A:M,3,0)),"")</f>
        <v/>
      </c>
      <c r="D448" s="51"/>
      <c r="E448" s="50"/>
      <c r="F448" s="51"/>
      <c r="G448" s="51"/>
      <c r="H448" s="51"/>
      <c r="I448" s="51"/>
      <c r="J448" s="51"/>
      <c r="K448" s="70"/>
      <c r="L448" s="72"/>
      <c r="M448" s="51"/>
      <c r="N448" s="51"/>
      <c r="O448" s="51"/>
      <c r="P448" s="69"/>
      <c r="Q448" s="69"/>
      <c r="R448" s="69"/>
      <c r="S448" s="69"/>
    </row>
    <row r="449" spans="1:19" ht="23.25" customHeight="1">
      <c r="A449" s="51"/>
      <c r="B449" s="50" t="str">
        <f>IFERROR(VLOOKUP(A449,Briefing_Req!A:M,2,0),"")</f>
        <v/>
      </c>
      <c r="C449" s="143" t="str">
        <f>IFERROR(IF(VLOOKUP(A449,Briefing_Req!A:M,13,0)&lt;&gt;"",VLOOKUP(A449,Briefing_Req!A:M,13,0),VLOOKUP(A449,Briefing_Req!A:M,3,0)),"")</f>
        <v/>
      </c>
      <c r="D449" s="51"/>
      <c r="E449" s="50"/>
      <c r="F449" s="51"/>
      <c r="G449" s="51"/>
      <c r="H449" s="51"/>
      <c r="I449" s="51"/>
      <c r="J449" s="51"/>
      <c r="K449" s="70"/>
      <c r="L449" s="72"/>
      <c r="M449" s="51"/>
      <c r="N449" s="51"/>
      <c r="O449" s="51"/>
      <c r="P449" s="69"/>
      <c r="Q449" s="69"/>
      <c r="R449" s="69"/>
      <c r="S449" s="69"/>
    </row>
    <row r="450" spans="1:19" ht="23.25" customHeight="1">
      <c r="A450" s="51"/>
      <c r="B450" s="50" t="str">
        <f>IFERROR(VLOOKUP(A450,Briefing_Req!A:M,2,0),"")</f>
        <v/>
      </c>
      <c r="C450" s="143" t="str">
        <f>IFERROR(IF(VLOOKUP(A450,Briefing_Req!A:M,13,0)&lt;&gt;"",VLOOKUP(A450,Briefing_Req!A:M,13,0),VLOOKUP(A450,Briefing_Req!A:M,3,0)),"")</f>
        <v/>
      </c>
      <c r="D450" s="51"/>
      <c r="E450" s="50"/>
      <c r="F450" s="51"/>
      <c r="G450" s="51"/>
      <c r="H450" s="51"/>
      <c r="I450" s="51"/>
      <c r="J450" s="51"/>
      <c r="K450" s="70"/>
      <c r="L450" s="72"/>
      <c r="M450" s="51"/>
      <c r="N450" s="51"/>
      <c r="O450" s="51"/>
      <c r="P450" s="69"/>
      <c r="Q450" s="69"/>
      <c r="R450" s="69"/>
      <c r="S450" s="69"/>
    </row>
    <row r="451" spans="1:19" ht="23.25" customHeight="1">
      <c r="A451" s="51"/>
      <c r="B451" s="50" t="str">
        <f>IFERROR(VLOOKUP(A451,Briefing_Req!A:M,2,0),"")</f>
        <v/>
      </c>
      <c r="C451" s="143" t="str">
        <f>IFERROR(IF(VLOOKUP(A451,Briefing_Req!A:M,13,0)&lt;&gt;"",VLOOKUP(A451,Briefing_Req!A:M,13,0),VLOOKUP(A451,Briefing_Req!A:M,3,0)),"")</f>
        <v/>
      </c>
      <c r="D451" s="51"/>
      <c r="E451" s="50"/>
      <c r="F451" s="51"/>
      <c r="G451" s="51"/>
      <c r="H451" s="51"/>
      <c r="I451" s="51"/>
      <c r="J451" s="51"/>
      <c r="K451" s="70"/>
      <c r="L451" s="72"/>
      <c r="M451" s="51"/>
      <c r="N451" s="51"/>
      <c r="O451" s="51"/>
      <c r="P451" s="69"/>
      <c r="Q451" s="69"/>
      <c r="R451" s="69"/>
      <c r="S451" s="69"/>
    </row>
    <row r="452" spans="1:19" ht="23.25" customHeight="1">
      <c r="A452" s="51"/>
      <c r="B452" s="50" t="str">
        <f>IFERROR(VLOOKUP(A452,Briefing_Req!A:M,2,0),"")</f>
        <v/>
      </c>
      <c r="C452" s="143" t="str">
        <f>IFERROR(IF(VLOOKUP(A452,Briefing_Req!A:M,13,0)&lt;&gt;"",VLOOKUP(A452,Briefing_Req!A:M,13,0),VLOOKUP(A452,Briefing_Req!A:M,3,0)),"")</f>
        <v/>
      </c>
      <c r="D452" s="51"/>
      <c r="E452" s="50"/>
      <c r="F452" s="51"/>
      <c r="G452" s="51"/>
      <c r="H452" s="51"/>
      <c r="I452" s="51"/>
      <c r="J452" s="51"/>
      <c r="K452" s="70"/>
      <c r="L452" s="72"/>
      <c r="M452" s="51"/>
      <c r="N452" s="51"/>
      <c r="O452" s="51"/>
      <c r="P452" s="69"/>
      <c r="Q452" s="69"/>
      <c r="R452" s="69"/>
      <c r="S452" s="69"/>
    </row>
    <row r="453" spans="1:19" ht="23.25" customHeight="1">
      <c r="A453" s="51"/>
      <c r="B453" s="50" t="str">
        <f>IFERROR(VLOOKUP(A453,Briefing_Req!A:M,2,0),"")</f>
        <v/>
      </c>
      <c r="C453" s="143" t="str">
        <f>IFERROR(IF(VLOOKUP(A453,Briefing_Req!A:M,13,0)&lt;&gt;"",VLOOKUP(A453,Briefing_Req!A:M,13,0),VLOOKUP(A453,Briefing_Req!A:M,3,0)),"")</f>
        <v/>
      </c>
      <c r="D453" s="51"/>
      <c r="E453" s="50"/>
      <c r="F453" s="51"/>
      <c r="G453" s="51"/>
      <c r="H453" s="51"/>
      <c r="I453" s="51"/>
      <c r="J453" s="51"/>
      <c r="K453" s="70"/>
      <c r="L453" s="72"/>
      <c r="M453" s="51"/>
      <c r="N453" s="51"/>
      <c r="O453" s="51"/>
      <c r="P453" s="69"/>
      <c r="Q453" s="69"/>
      <c r="R453" s="69"/>
      <c r="S453" s="69"/>
    </row>
    <row r="454" spans="1:19" ht="23.25" customHeight="1">
      <c r="A454" s="51"/>
      <c r="B454" s="50" t="str">
        <f>IFERROR(VLOOKUP(A454,Briefing_Req!A:M,2,0),"")</f>
        <v/>
      </c>
      <c r="C454" s="143" t="str">
        <f>IFERROR(IF(VLOOKUP(A454,Briefing_Req!A:M,13,0)&lt;&gt;"",VLOOKUP(A454,Briefing_Req!A:M,13,0),VLOOKUP(A454,Briefing_Req!A:M,3,0)),"")</f>
        <v/>
      </c>
      <c r="D454" s="51"/>
      <c r="E454" s="50"/>
      <c r="F454" s="51"/>
      <c r="G454" s="51"/>
      <c r="H454" s="51"/>
      <c r="I454" s="51"/>
      <c r="J454" s="51"/>
      <c r="K454" s="70"/>
      <c r="L454" s="72"/>
      <c r="M454" s="51"/>
      <c r="N454" s="51"/>
      <c r="O454" s="51"/>
      <c r="P454" s="69"/>
      <c r="Q454" s="69"/>
      <c r="R454" s="69"/>
      <c r="S454" s="69"/>
    </row>
    <row r="455" spans="1:19" ht="23.25" customHeight="1">
      <c r="A455" s="51"/>
      <c r="B455" s="50" t="str">
        <f>IFERROR(VLOOKUP(A455,Briefing_Req!A:M,2,0),"")</f>
        <v/>
      </c>
      <c r="C455" s="143" t="str">
        <f>IFERROR(IF(VLOOKUP(A455,Briefing_Req!A:M,13,0)&lt;&gt;"",VLOOKUP(A455,Briefing_Req!A:M,13,0),VLOOKUP(A455,Briefing_Req!A:M,3,0)),"")</f>
        <v/>
      </c>
      <c r="D455" s="51"/>
      <c r="E455" s="50"/>
      <c r="F455" s="51"/>
      <c r="G455" s="51"/>
      <c r="H455" s="51"/>
      <c r="I455" s="51"/>
      <c r="J455" s="51"/>
      <c r="K455" s="70"/>
      <c r="L455" s="72"/>
      <c r="M455" s="51"/>
      <c r="N455" s="51"/>
      <c r="O455" s="51"/>
      <c r="P455" s="69"/>
      <c r="Q455" s="69"/>
      <c r="R455" s="69"/>
      <c r="S455" s="69"/>
    </row>
    <row r="456" spans="1:19" ht="23.25" customHeight="1">
      <c r="A456" s="51"/>
      <c r="B456" s="50" t="str">
        <f>IFERROR(VLOOKUP(A456,Briefing_Req!A:M,2,0),"")</f>
        <v/>
      </c>
      <c r="C456" s="143" t="str">
        <f>IFERROR(IF(VLOOKUP(A456,Briefing_Req!A:M,13,0)&lt;&gt;"",VLOOKUP(A456,Briefing_Req!A:M,13,0),VLOOKUP(A456,Briefing_Req!A:M,3,0)),"")</f>
        <v/>
      </c>
      <c r="D456" s="51"/>
      <c r="E456" s="50"/>
      <c r="F456" s="51"/>
      <c r="G456" s="51"/>
      <c r="H456" s="51"/>
      <c r="I456" s="51"/>
      <c r="J456" s="51"/>
      <c r="K456" s="70"/>
      <c r="L456" s="72"/>
      <c r="M456" s="51"/>
      <c r="N456" s="51"/>
      <c r="O456" s="51"/>
      <c r="P456" s="69"/>
      <c r="Q456" s="69"/>
      <c r="R456" s="69"/>
      <c r="S456" s="69"/>
    </row>
    <row r="457" spans="1:19" ht="23.25" customHeight="1">
      <c r="A457" s="51"/>
      <c r="B457" s="50" t="str">
        <f>IFERROR(VLOOKUP(A457,Briefing_Req!A:M,2,0),"")</f>
        <v/>
      </c>
      <c r="C457" s="143" t="str">
        <f>IFERROR(IF(VLOOKUP(A457,Briefing_Req!A:M,13,0)&lt;&gt;"",VLOOKUP(A457,Briefing_Req!A:M,13,0),VLOOKUP(A457,Briefing_Req!A:M,3,0)),"")</f>
        <v/>
      </c>
      <c r="D457" s="51"/>
      <c r="E457" s="50"/>
      <c r="F457" s="51"/>
      <c r="G457" s="51"/>
      <c r="H457" s="51"/>
      <c r="I457" s="51"/>
      <c r="J457" s="51"/>
      <c r="K457" s="70"/>
      <c r="L457" s="72"/>
      <c r="M457" s="51"/>
      <c r="N457" s="51"/>
      <c r="O457" s="51"/>
      <c r="P457" s="69"/>
      <c r="Q457" s="69"/>
      <c r="R457" s="69"/>
      <c r="S457" s="69"/>
    </row>
    <row r="458" spans="1:19" ht="23.25" customHeight="1">
      <c r="A458" s="51"/>
      <c r="B458" s="50" t="str">
        <f>IFERROR(VLOOKUP(A458,Briefing_Req!A:M,2,0),"")</f>
        <v/>
      </c>
      <c r="C458" s="143" t="str">
        <f>IFERROR(IF(VLOOKUP(A458,Briefing_Req!A:M,13,0)&lt;&gt;"",VLOOKUP(A458,Briefing_Req!A:M,13,0),VLOOKUP(A458,Briefing_Req!A:M,3,0)),"")</f>
        <v/>
      </c>
      <c r="D458" s="51"/>
      <c r="E458" s="50"/>
      <c r="F458" s="51"/>
      <c r="G458" s="51"/>
      <c r="H458" s="51"/>
      <c r="I458" s="51"/>
      <c r="J458" s="51"/>
      <c r="K458" s="70"/>
      <c r="L458" s="72"/>
      <c r="M458" s="51"/>
      <c r="N458" s="51"/>
      <c r="O458" s="51"/>
      <c r="P458" s="69"/>
      <c r="Q458" s="69"/>
      <c r="R458" s="69"/>
      <c r="S458" s="69"/>
    </row>
    <row r="459" spans="1:19" ht="23.25" customHeight="1">
      <c r="A459" s="51"/>
      <c r="B459" s="50" t="str">
        <f>IFERROR(VLOOKUP(A459,Briefing_Req!A:M,2,0),"")</f>
        <v/>
      </c>
      <c r="C459" s="143" t="str">
        <f>IFERROR(IF(VLOOKUP(A459,Briefing_Req!A:M,13,0)&lt;&gt;"",VLOOKUP(A459,Briefing_Req!A:M,13,0),VLOOKUP(A459,Briefing_Req!A:M,3,0)),"")</f>
        <v/>
      </c>
      <c r="D459" s="51"/>
      <c r="E459" s="50"/>
      <c r="F459" s="51"/>
      <c r="G459" s="51"/>
      <c r="H459" s="51"/>
      <c r="I459" s="51"/>
      <c r="J459" s="51"/>
      <c r="K459" s="70"/>
      <c r="L459" s="72"/>
      <c r="M459" s="51"/>
      <c r="N459" s="51"/>
      <c r="O459" s="51"/>
      <c r="P459" s="69"/>
      <c r="Q459" s="69"/>
      <c r="R459" s="69"/>
      <c r="S459" s="69"/>
    </row>
    <row r="460" spans="1:19" ht="23.25" customHeight="1">
      <c r="A460" s="51"/>
      <c r="B460" s="50" t="str">
        <f>IFERROR(VLOOKUP(A460,Briefing_Req!A:M,2,0),"")</f>
        <v/>
      </c>
      <c r="C460" s="143" t="str">
        <f>IFERROR(IF(VLOOKUP(A460,Briefing_Req!A:M,13,0)&lt;&gt;"",VLOOKUP(A460,Briefing_Req!A:M,13,0),VLOOKUP(A460,Briefing_Req!A:M,3,0)),"")</f>
        <v/>
      </c>
      <c r="D460" s="51"/>
      <c r="E460" s="50"/>
      <c r="F460" s="51"/>
      <c r="G460" s="51"/>
      <c r="H460" s="51"/>
      <c r="I460" s="51"/>
      <c r="J460" s="51"/>
      <c r="K460" s="70"/>
      <c r="L460" s="72"/>
      <c r="M460" s="51"/>
      <c r="N460" s="51"/>
      <c r="O460" s="51"/>
      <c r="P460" s="69"/>
      <c r="Q460" s="69"/>
      <c r="R460" s="69"/>
      <c r="S460" s="69"/>
    </row>
    <row r="461" spans="1:19" ht="23.25" customHeight="1">
      <c r="A461" s="51"/>
      <c r="B461" s="50" t="str">
        <f>IFERROR(VLOOKUP(A461,Briefing_Req!A:M,2,0),"")</f>
        <v/>
      </c>
      <c r="C461" s="143" t="str">
        <f>IFERROR(IF(VLOOKUP(A461,Briefing_Req!A:M,13,0)&lt;&gt;"",VLOOKUP(A461,Briefing_Req!A:M,13,0),VLOOKUP(A461,Briefing_Req!A:M,3,0)),"")</f>
        <v/>
      </c>
      <c r="D461" s="51"/>
      <c r="E461" s="50"/>
      <c r="F461" s="51"/>
      <c r="G461" s="51"/>
      <c r="H461" s="51"/>
      <c r="I461" s="51"/>
      <c r="J461" s="51"/>
      <c r="K461" s="70"/>
      <c r="L461" s="72"/>
      <c r="M461" s="51"/>
      <c r="N461" s="51"/>
      <c r="O461" s="51"/>
      <c r="P461" s="69"/>
      <c r="Q461" s="69"/>
      <c r="R461" s="69"/>
      <c r="S461" s="69"/>
    </row>
    <row r="462" spans="1:19" ht="23.25" customHeight="1">
      <c r="A462" s="51"/>
      <c r="B462" s="50" t="str">
        <f>IFERROR(VLOOKUP(A462,Briefing_Req!A:M,2,0),"")</f>
        <v/>
      </c>
      <c r="C462" s="143" t="str">
        <f>IFERROR(IF(VLOOKUP(A462,Briefing_Req!A:M,13,0)&lt;&gt;"",VLOOKUP(A462,Briefing_Req!A:M,13,0),VLOOKUP(A462,Briefing_Req!A:M,3,0)),"")</f>
        <v/>
      </c>
      <c r="D462" s="51"/>
      <c r="E462" s="50"/>
      <c r="F462" s="51"/>
      <c r="G462" s="51"/>
      <c r="H462" s="51"/>
      <c r="I462" s="51"/>
      <c r="J462" s="51"/>
      <c r="K462" s="70"/>
      <c r="L462" s="72"/>
      <c r="M462" s="51"/>
      <c r="N462" s="51"/>
      <c r="O462" s="51"/>
      <c r="P462" s="69"/>
      <c r="Q462" s="69"/>
      <c r="R462" s="69"/>
      <c r="S462" s="69"/>
    </row>
    <row r="463" spans="1:19" ht="23.25" customHeight="1">
      <c r="A463" s="51"/>
      <c r="B463" s="50" t="str">
        <f>IFERROR(VLOOKUP(A463,Briefing_Req!A:M,2,0),"")</f>
        <v/>
      </c>
      <c r="C463" s="143" t="str">
        <f>IFERROR(IF(VLOOKUP(A463,Briefing_Req!A:M,13,0)&lt;&gt;"",VLOOKUP(A463,Briefing_Req!A:M,13,0),VLOOKUP(A463,Briefing_Req!A:M,3,0)),"")</f>
        <v/>
      </c>
      <c r="D463" s="51"/>
      <c r="E463" s="50"/>
      <c r="F463" s="51"/>
      <c r="G463" s="51"/>
      <c r="H463" s="51"/>
      <c r="I463" s="51"/>
      <c r="J463" s="51"/>
      <c r="K463" s="70"/>
      <c r="L463" s="72"/>
      <c r="M463" s="51"/>
      <c r="N463" s="51"/>
      <c r="O463" s="51"/>
      <c r="P463" s="69"/>
      <c r="Q463" s="69"/>
      <c r="R463" s="69"/>
      <c r="S463" s="69"/>
    </row>
    <row r="464" spans="1:19" ht="23.25" customHeight="1">
      <c r="A464" s="51"/>
      <c r="B464" s="50" t="str">
        <f>IFERROR(VLOOKUP(A464,Briefing_Req!A:M,2,0),"")</f>
        <v/>
      </c>
      <c r="C464" s="143" t="str">
        <f>IFERROR(IF(VLOOKUP(A464,Briefing_Req!A:M,13,0)&lt;&gt;"",VLOOKUP(A464,Briefing_Req!A:M,13,0),VLOOKUP(A464,Briefing_Req!A:M,3,0)),"")</f>
        <v/>
      </c>
      <c r="D464" s="51"/>
      <c r="E464" s="50"/>
      <c r="F464" s="51"/>
      <c r="G464" s="51"/>
      <c r="H464" s="51"/>
      <c r="I464" s="51"/>
      <c r="J464" s="51"/>
      <c r="K464" s="70"/>
      <c r="L464" s="72"/>
      <c r="M464" s="51"/>
      <c r="N464" s="51"/>
      <c r="O464" s="51"/>
      <c r="P464" s="69"/>
      <c r="Q464" s="69"/>
      <c r="R464" s="69"/>
      <c r="S464" s="69"/>
    </row>
    <row r="465" spans="1:19" ht="23.25" customHeight="1">
      <c r="A465" s="51"/>
      <c r="B465" s="50" t="str">
        <f>IFERROR(VLOOKUP(A465,Briefing_Req!A:M,2,0),"")</f>
        <v/>
      </c>
      <c r="C465" s="143" t="str">
        <f>IFERROR(IF(VLOOKUP(A465,Briefing_Req!A:M,13,0)&lt;&gt;"",VLOOKUP(A465,Briefing_Req!A:M,13,0),VLOOKUP(A465,Briefing_Req!A:M,3,0)),"")</f>
        <v/>
      </c>
      <c r="D465" s="51"/>
      <c r="E465" s="50"/>
      <c r="F465" s="51"/>
      <c r="G465" s="51"/>
      <c r="H465" s="51"/>
      <c r="I465" s="51"/>
      <c r="J465" s="51"/>
      <c r="K465" s="70"/>
      <c r="L465" s="72"/>
      <c r="M465" s="51"/>
      <c r="N465" s="51"/>
      <c r="O465" s="51"/>
      <c r="P465" s="69"/>
      <c r="Q465" s="69"/>
      <c r="R465" s="69"/>
      <c r="S465" s="69"/>
    </row>
    <row r="466" spans="1:19" ht="23.25" customHeight="1">
      <c r="A466" s="51"/>
      <c r="B466" s="50" t="str">
        <f>IFERROR(VLOOKUP(A466,Briefing_Req!A:M,2,0),"")</f>
        <v/>
      </c>
      <c r="C466" s="143" t="str">
        <f>IFERROR(IF(VLOOKUP(A466,Briefing_Req!A:M,13,0)&lt;&gt;"",VLOOKUP(A466,Briefing_Req!A:M,13,0),VLOOKUP(A466,Briefing_Req!A:M,3,0)),"")</f>
        <v/>
      </c>
      <c r="D466" s="51"/>
      <c r="E466" s="50"/>
      <c r="F466" s="51"/>
      <c r="G466" s="51"/>
      <c r="H466" s="51"/>
      <c r="I466" s="51"/>
      <c r="J466" s="51"/>
      <c r="K466" s="70"/>
      <c r="L466" s="72"/>
      <c r="M466" s="51"/>
      <c r="N466" s="51"/>
      <c r="O466" s="51"/>
      <c r="P466" s="69"/>
      <c r="Q466" s="69"/>
      <c r="R466" s="69"/>
      <c r="S466" s="69"/>
    </row>
    <row r="467" spans="1:19" ht="23.25" customHeight="1">
      <c r="A467" s="51"/>
      <c r="B467" s="50" t="str">
        <f>IFERROR(VLOOKUP(A467,Briefing_Req!A:M,2,0),"")</f>
        <v/>
      </c>
      <c r="C467" s="143" t="str">
        <f>IFERROR(IF(VLOOKUP(A467,Briefing_Req!A:M,13,0)&lt;&gt;"",VLOOKUP(A467,Briefing_Req!A:M,13,0),VLOOKUP(A467,Briefing_Req!A:M,3,0)),"")</f>
        <v/>
      </c>
      <c r="D467" s="51"/>
      <c r="E467" s="50"/>
      <c r="F467" s="51"/>
      <c r="G467" s="51"/>
      <c r="H467" s="51"/>
      <c r="I467" s="51"/>
      <c r="J467" s="51"/>
      <c r="K467" s="70"/>
      <c r="L467" s="72"/>
      <c r="M467" s="51"/>
      <c r="N467" s="51"/>
      <c r="O467" s="51"/>
      <c r="P467" s="69"/>
      <c r="Q467" s="69"/>
      <c r="R467" s="69"/>
      <c r="S467" s="69"/>
    </row>
    <row r="468" spans="1:19" ht="23.25" customHeight="1">
      <c r="A468" s="51"/>
      <c r="B468" s="50" t="str">
        <f>IFERROR(VLOOKUP(A468,Briefing_Req!A:M,2,0),"")</f>
        <v/>
      </c>
      <c r="C468" s="143" t="str">
        <f>IFERROR(IF(VLOOKUP(A468,Briefing_Req!A:M,13,0)&lt;&gt;"",VLOOKUP(A468,Briefing_Req!A:M,13,0),VLOOKUP(A468,Briefing_Req!A:M,3,0)),"")</f>
        <v/>
      </c>
      <c r="D468" s="51"/>
      <c r="E468" s="50"/>
      <c r="F468" s="51"/>
      <c r="G468" s="51"/>
      <c r="H468" s="51"/>
      <c r="I468" s="51"/>
      <c r="J468" s="51"/>
      <c r="K468" s="70"/>
      <c r="L468" s="72"/>
      <c r="M468" s="51"/>
      <c r="N468" s="51"/>
      <c r="O468" s="51"/>
      <c r="P468" s="69"/>
      <c r="Q468" s="69"/>
      <c r="R468" s="69"/>
      <c r="S468" s="69"/>
    </row>
    <row r="469" spans="1:19" ht="23.25" customHeight="1">
      <c r="A469" s="51"/>
      <c r="B469" s="50" t="str">
        <f>IFERROR(VLOOKUP(A469,Briefing_Req!A:M,2,0),"")</f>
        <v/>
      </c>
      <c r="C469" s="143" t="str">
        <f>IFERROR(IF(VLOOKUP(A469,Briefing_Req!A:M,13,0)&lt;&gt;"",VLOOKUP(A469,Briefing_Req!A:M,13,0),VLOOKUP(A469,Briefing_Req!A:M,3,0)),"")</f>
        <v/>
      </c>
      <c r="D469" s="51"/>
      <c r="E469" s="50"/>
      <c r="F469" s="51"/>
      <c r="G469" s="51"/>
      <c r="H469" s="51"/>
      <c r="I469" s="51"/>
      <c r="J469" s="51"/>
      <c r="K469" s="70"/>
      <c r="L469" s="72"/>
      <c r="M469" s="51"/>
      <c r="N469" s="51"/>
      <c r="O469" s="51"/>
      <c r="P469" s="69"/>
      <c r="Q469" s="69"/>
      <c r="R469" s="69"/>
      <c r="S469" s="69"/>
    </row>
    <row r="470" spans="1:19" ht="23.25" customHeight="1">
      <c r="A470" s="51"/>
      <c r="B470" s="50" t="str">
        <f>IFERROR(VLOOKUP(A470,Briefing_Req!A:M,2,0),"")</f>
        <v/>
      </c>
      <c r="C470" s="143" t="str">
        <f>IFERROR(IF(VLOOKUP(A470,Briefing_Req!A:M,13,0)&lt;&gt;"",VLOOKUP(A470,Briefing_Req!A:M,13,0),VLOOKUP(A470,Briefing_Req!A:M,3,0)),"")</f>
        <v/>
      </c>
      <c r="D470" s="51"/>
      <c r="E470" s="50"/>
      <c r="F470" s="51"/>
      <c r="G470" s="51"/>
      <c r="H470" s="51"/>
      <c r="I470" s="51"/>
      <c r="J470" s="51"/>
      <c r="K470" s="70"/>
      <c r="L470" s="72"/>
      <c r="M470" s="51"/>
      <c r="N470" s="51"/>
      <c r="O470" s="51"/>
      <c r="P470" s="69"/>
      <c r="Q470" s="69"/>
      <c r="R470" s="69"/>
      <c r="S470" s="69"/>
    </row>
    <row r="471" spans="1:19" ht="23.25" customHeight="1">
      <c r="A471" s="51"/>
      <c r="B471" s="50" t="str">
        <f>IFERROR(VLOOKUP(A471,Briefing_Req!A:M,2,0),"")</f>
        <v/>
      </c>
      <c r="C471" s="143" t="str">
        <f>IFERROR(IF(VLOOKUP(A471,Briefing_Req!A:M,13,0)&lt;&gt;"",VLOOKUP(A471,Briefing_Req!A:M,13,0),VLOOKUP(A471,Briefing_Req!A:M,3,0)),"")</f>
        <v/>
      </c>
      <c r="D471" s="51"/>
      <c r="E471" s="50"/>
      <c r="F471" s="51"/>
      <c r="G471" s="51"/>
      <c r="H471" s="51"/>
      <c r="I471" s="51"/>
      <c r="J471" s="51"/>
      <c r="K471" s="70"/>
      <c r="L471" s="72"/>
      <c r="M471" s="51"/>
      <c r="N471" s="51"/>
      <c r="O471" s="51"/>
      <c r="P471" s="69"/>
      <c r="Q471" s="69"/>
      <c r="R471" s="69"/>
      <c r="S471" s="69"/>
    </row>
    <row r="472" spans="1:19" ht="23.25" customHeight="1">
      <c r="A472" s="51"/>
      <c r="B472" s="50" t="str">
        <f>IFERROR(VLOOKUP(A472,Briefing_Req!A:M,2,0),"")</f>
        <v/>
      </c>
      <c r="C472" s="143" t="str">
        <f>IFERROR(IF(VLOOKUP(A472,Briefing_Req!A:M,13,0)&lt;&gt;"",VLOOKUP(A472,Briefing_Req!A:M,13,0),VLOOKUP(A472,Briefing_Req!A:M,3,0)),"")</f>
        <v/>
      </c>
      <c r="D472" s="51"/>
      <c r="E472" s="50"/>
      <c r="F472" s="51"/>
      <c r="G472" s="51"/>
      <c r="H472" s="51"/>
      <c r="I472" s="51"/>
      <c r="J472" s="51"/>
      <c r="K472" s="70"/>
      <c r="L472" s="72"/>
      <c r="M472" s="51"/>
      <c r="N472" s="51"/>
      <c r="O472" s="51"/>
      <c r="P472" s="69"/>
      <c r="Q472" s="69"/>
      <c r="R472" s="69"/>
      <c r="S472" s="69"/>
    </row>
    <row r="473" spans="1:19" ht="23.25" customHeight="1">
      <c r="A473" s="51"/>
      <c r="B473" s="50" t="str">
        <f>IFERROR(VLOOKUP(A473,Briefing_Req!A:M,2,0),"")</f>
        <v/>
      </c>
      <c r="C473" s="143" t="str">
        <f>IFERROR(IF(VLOOKUP(A473,Briefing_Req!A:M,13,0)&lt;&gt;"",VLOOKUP(A473,Briefing_Req!A:M,13,0),VLOOKUP(A473,Briefing_Req!A:M,3,0)),"")</f>
        <v/>
      </c>
      <c r="D473" s="51"/>
      <c r="E473" s="50"/>
      <c r="F473" s="51"/>
      <c r="G473" s="51"/>
      <c r="H473" s="51"/>
      <c r="I473" s="51"/>
      <c r="J473" s="51"/>
      <c r="K473" s="70"/>
      <c r="L473" s="72"/>
      <c r="M473" s="51"/>
      <c r="N473" s="51"/>
      <c r="O473" s="51"/>
      <c r="P473" s="69"/>
      <c r="Q473" s="69"/>
      <c r="R473" s="69"/>
      <c r="S473" s="69"/>
    </row>
    <row r="474" spans="1:19" ht="23.25" customHeight="1">
      <c r="A474" s="51"/>
      <c r="B474" s="50" t="str">
        <f>IFERROR(VLOOKUP(A474,Briefing_Req!A:M,2,0),"")</f>
        <v/>
      </c>
      <c r="C474" s="143" t="str">
        <f>IFERROR(IF(VLOOKUP(A474,Briefing_Req!A:M,13,0)&lt;&gt;"",VLOOKUP(A474,Briefing_Req!A:M,13,0),VLOOKUP(A474,Briefing_Req!A:M,3,0)),"")</f>
        <v/>
      </c>
      <c r="D474" s="51"/>
      <c r="E474" s="50"/>
      <c r="F474" s="51"/>
      <c r="G474" s="51"/>
      <c r="H474" s="51"/>
      <c r="I474" s="51"/>
      <c r="J474" s="51"/>
      <c r="K474" s="70"/>
      <c r="L474" s="72"/>
      <c r="M474" s="51"/>
      <c r="N474" s="51"/>
      <c r="O474" s="51"/>
      <c r="P474" s="69"/>
      <c r="Q474" s="69"/>
      <c r="R474" s="69"/>
      <c r="S474" s="69"/>
    </row>
    <row r="475" spans="1:19" ht="23.25" customHeight="1">
      <c r="A475" s="51"/>
      <c r="B475" s="50" t="str">
        <f>IFERROR(VLOOKUP(A475,Briefing_Req!A:M,2,0),"")</f>
        <v/>
      </c>
      <c r="C475" s="143" t="str">
        <f>IFERROR(IF(VLOOKUP(A475,Briefing_Req!A:M,13,0)&lt;&gt;"",VLOOKUP(A475,Briefing_Req!A:M,13,0),VLOOKUP(A475,Briefing_Req!A:M,3,0)),"")</f>
        <v/>
      </c>
      <c r="D475" s="51"/>
      <c r="E475" s="50"/>
      <c r="F475" s="51"/>
      <c r="G475" s="51"/>
      <c r="H475" s="51"/>
      <c r="I475" s="51"/>
      <c r="J475" s="51"/>
      <c r="K475" s="70"/>
      <c r="L475" s="72"/>
      <c r="M475" s="51"/>
      <c r="N475" s="51"/>
      <c r="O475" s="51"/>
      <c r="P475" s="69"/>
      <c r="Q475" s="69"/>
      <c r="R475" s="69"/>
      <c r="S475" s="69"/>
    </row>
    <row r="476" spans="1:19" ht="23.25" customHeight="1">
      <c r="A476" s="51"/>
      <c r="B476" s="50" t="str">
        <f>IFERROR(VLOOKUP(A476,Briefing_Req!A:M,2,0),"")</f>
        <v/>
      </c>
      <c r="C476" s="143" t="str">
        <f>IFERROR(IF(VLOOKUP(A476,Briefing_Req!A:M,13,0)&lt;&gt;"",VLOOKUP(A476,Briefing_Req!A:M,13,0),VLOOKUP(A476,Briefing_Req!A:M,3,0)),"")</f>
        <v/>
      </c>
      <c r="D476" s="51"/>
      <c r="E476" s="50"/>
      <c r="F476" s="51"/>
      <c r="G476" s="51"/>
      <c r="H476" s="51"/>
      <c r="I476" s="51"/>
      <c r="J476" s="51"/>
      <c r="K476" s="70"/>
      <c r="L476" s="72"/>
      <c r="M476" s="51"/>
      <c r="N476" s="51"/>
      <c r="O476" s="51"/>
      <c r="P476" s="69"/>
      <c r="Q476" s="69"/>
      <c r="R476" s="69"/>
      <c r="S476" s="69"/>
    </row>
    <row r="477" spans="1:19" ht="23.25" customHeight="1">
      <c r="A477" s="51"/>
      <c r="B477" s="50" t="str">
        <f>IFERROR(VLOOKUP(A477,Briefing_Req!A:M,2,0),"")</f>
        <v/>
      </c>
      <c r="C477" s="143" t="str">
        <f>IFERROR(IF(VLOOKUP(A477,Briefing_Req!A:M,13,0)&lt;&gt;"",VLOOKUP(A477,Briefing_Req!A:M,13,0),VLOOKUP(A477,Briefing_Req!A:M,3,0)),"")</f>
        <v/>
      </c>
      <c r="D477" s="51"/>
      <c r="E477" s="50"/>
      <c r="F477" s="51"/>
      <c r="G477" s="51"/>
      <c r="H477" s="51"/>
      <c r="I477" s="51"/>
      <c r="J477" s="51"/>
      <c r="K477" s="70"/>
      <c r="L477" s="72"/>
      <c r="M477" s="51"/>
      <c r="N477" s="51"/>
      <c r="O477" s="51"/>
      <c r="P477" s="69"/>
      <c r="Q477" s="69"/>
      <c r="R477" s="69"/>
      <c r="S477" s="69"/>
    </row>
    <row r="478" spans="1:19" ht="23.25" customHeight="1">
      <c r="A478" s="51"/>
      <c r="B478" s="50" t="str">
        <f>IFERROR(VLOOKUP(A478,Briefing_Req!A:M,2,0),"")</f>
        <v/>
      </c>
      <c r="C478" s="143" t="str">
        <f>IFERROR(IF(VLOOKUP(A478,Briefing_Req!A:M,13,0)&lt;&gt;"",VLOOKUP(A478,Briefing_Req!A:M,13,0),VLOOKUP(A478,Briefing_Req!A:M,3,0)),"")</f>
        <v/>
      </c>
      <c r="D478" s="51"/>
      <c r="E478" s="50"/>
      <c r="F478" s="51"/>
      <c r="G478" s="51"/>
      <c r="H478" s="51"/>
      <c r="I478" s="51"/>
      <c r="J478" s="51"/>
      <c r="K478" s="70"/>
      <c r="L478" s="72"/>
      <c r="M478" s="51"/>
      <c r="N478" s="51"/>
      <c r="O478" s="51"/>
      <c r="P478" s="69"/>
      <c r="Q478" s="69"/>
      <c r="R478" s="69"/>
      <c r="S478" s="69"/>
    </row>
    <row r="479" spans="1:19" ht="23.25" customHeight="1">
      <c r="A479" s="51"/>
      <c r="B479" s="50" t="str">
        <f>IFERROR(VLOOKUP(A479,Briefing_Req!A:M,2,0),"")</f>
        <v/>
      </c>
      <c r="C479" s="143" t="str">
        <f>IFERROR(IF(VLOOKUP(A479,Briefing_Req!A:M,13,0)&lt;&gt;"",VLOOKUP(A479,Briefing_Req!A:M,13,0),VLOOKUP(A479,Briefing_Req!A:M,3,0)),"")</f>
        <v/>
      </c>
      <c r="D479" s="51"/>
      <c r="E479" s="50"/>
      <c r="F479" s="51"/>
      <c r="G479" s="51"/>
      <c r="H479" s="51"/>
      <c r="I479" s="51"/>
      <c r="J479" s="51"/>
      <c r="K479" s="70"/>
      <c r="L479" s="72"/>
      <c r="M479" s="51"/>
      <c r="N479" s="51"/>
      <c r="O479" s="51"/>
      <c r="P479" s="69"/>
      <c r="Q479" s="69"/>
      <c r="R479" s="69"/>
      <c r="S479" s="69"/>
    </row>
    <row r="480" spans="1:19" ht="23.25" customHeight="1">
      <c r="A480" s="51"/>
      <c r="B480" s="50" t="str">
        <f>IFERROR(VLOOKUP(A480,Briefing_Req!A:M,2,0),"")</f>
        <v/>
      </c>
      <c r="C480" s="143" t="str">
        <f>IFERROR(IF(VLOOKUP(A480,Briefing_Req!A:M,13,0)&lt;&gt;"",VLOOKUP(A480,Briefing_Req!A:M,13,0),VLOOKUP(A480,Briefing_Req!A:M,3,0)),"")</f>
        <v/>
      </c>
      <c r="D480" s="51"/>
      <c r="E480" s="50"/>
      <c r="F480" s="51"/>
      <c r="G480" s="51"/>
      <c r="H480" s="51"/>
      <c r="I480" s="51"/>
      <c r="J480" s="51"/>
      <c r="K480" s="70"/>
      <c r="L480" s="72"/>
      <c r="M480" s="51"/>
      <c r="N480" s="51"/>
      <c r="O480" s="51"/>
      <c r="P480" s="69"/>
      <c r="Q480" s="69"/>
      <c r="R480" s="69"/>
      <c r="S480" s="69"/>
    </row>
    <row r="481" spans="1:19" ht="23.25" customHeight="1">
      <c r="A481" s="51"/>
      <c r="B481" s="50" t="str">
        <f>IFERROR(VLOOKUP(A481,Briefing_Req!A:M,2,0),"")</f>
        <v/>
      </c>
      <c r="C481" s="143" t="str">
        <f>IFERROR(IF(VLOOKUP(A481,Briefing_Req!A:M,13,0)&lt;&gt;"",VLOOKUP(A481,Briefing_Req!A:M,13,0),VLOOKUP(A481,Briefing_Req!A:M,3,0)),"")</f>
        <v/>
      </c>
      <c r="D481" s="51"/>
      <c r="E481" s="50"/>
      <c r="F481" s="51"/>
      <c r="G481" s="51"/>
      <c r="H481" s="51"/>
      <c r="I481" s="51"/>
      <c r="J481" s="51"/>
      <c r="K481" s="70"/>
      <c r="L481" s="72"/>
      <c r="M481" s="51"/>
      <c r="N481" s="51"/>
      <c r="O481" s="51"/>
      <c r="P481" s="69"/>
      <c r="Q481" s="69"/>
      <c r="R481" s="69"/>
      <c r="S481" s="69"/>
    </row>
    <row r="482" spans="1:19" ht="23.25" customHeight="1">
      <c r="A482" s="51"/>
      <c r="B482" s="50" t="str">
        <f>IFERROR(VLOOKUP(A482,Briefing_Req!A:M,2,0),"")</f>
        <v/>
      </c>
      <c r="C482" s="143" t="str">
        <f>IFERROR(IF(VLOOKUP(A482,Briefing_Req!A:M,13,0)&lt;&gt;"",VLOOKUP(A482,Briefing_Req!A:M,13,0),VLOOKUP(A482,Briefing_Req!A:M,3,0)),"")</f>
        <v/>
      </c>
      <c r="D482" s="51"/>
      <c r="E482" s="50"/>
      <c r="F482" s="51"/>
      <c r="G482" s="51"/>
      <c r="H482" s="51"/>
      <c r="I482" s="51"/>
      <c r="J482" s="51"/>
      <c r="K482" s="70"/>
      <c r="L482" s="72"/>
      <c r="M482" s="51"/>
      <c r="N482" s="51"/>
      <c r="O482" s="51"/>
      <c r="P482" s="69"/>
      <c r="Q482" s="69"/>
      <c r="R482" s="69"/>
      <c r="S482" s="69"/>
    </row>
    <row r="483" spans="1:19" ht="23.25" customHeight="1">
      <c r="A483" s="51"/>
      <c r="B483" s="50" t="str">
        <f>IFERROR(VLOOKUP(A483,Briefing_Req!A:M,2,0),"")</f>
        <v/>
      </c>
      <c r="C483" s="143" t="str">
        <f>IFERROR(IF(VLOOKUP(A483,Briefing_Req!A:M,13,0)&lt;&gt;"",VLOOKUP(A483,Briefing_Req!A:M,13,0),VLOOKUP(A483,Briefing_Req!A:M,3,0)),"")</f>
        <v/>
      </c>
      <c r="D483" s="51"/>
      <c r="E483" s="50"/>
      <c r="F483" s="51"/>
      <c r="G483" s="51"/>
      <c r="H483" s="51"/>
      <c r="I483" s="51"/>
      <c r="J483" s="51"/>
      <c r="K483" s="70"/>
      <c r="L483" s="72"/>
      <c r="M483" s="51"/>
      <c r="N483" s="51"/>
      <c r="O483" s="51"/>
      <c r="P483" s="69"/>
      <c r="Q483" s="69"/>
      <c r="R483" s="69"/>
      <c r="S483" s="69"/>
    </row>
    <row r="484" spans="1:19" ht="23.25" customHeight="1">
      <c r="A484" s="51"/>
      <c r="B484" s="50" t="str">
        <f>IFERROR(VLOOKUP(A484,Briefing_Req!A:M,2,0),"")</f>
        <v/>
      </c>
      <c r="C484" s="143" t="str">
        <f>IFERROR(IF(VLOOKUP(A484,Briefing_Req!A:M,13,0)&lt;&gt;"",VLOOKUP(A484,Briefing_Req!A:M,13,0),VLOOKUP(A484,Briefing_Req!A:M,3,0)),"")</f>
        <v/>
      </c>
      <c r="D484" s="51"/>
      <c r="E484" s="50"/>
      <c r="F484" s="51"/>
      <c r="G484" s="51"/>
      <c r="H484" s="51"/>
      <c r="I484" s="51"/>
      <c r="J484" s="51"/>
      <c r="K484" s="70"/>
      <c r="L484" s="72"/>
      <c r="M484" s="51"/>
      <c r="N484" s="51"/>
      <c r="O484" s="51"/>
      <c r="P484" s="69"/>
      <c r="Q484" s="69"/>
      <c r="R484" s="69"/>
      <c r="S484" s="69"/>
    </row>
    <row r="485" spans="1:19" ht="23.25" customHeight="1">
      <c r="A485" s="51"/>
      <c r="B485" s="50" t="str">
        <f>IFERROR(VLOOKUP(A485,Briefing_Req!A:M,2,0),"")</f>
        <v/>
      </c>
      <c r="C485" s="143" t="str">
        <f>IFERROR(IF(VLOOKUP(A485,Briefing_Req!A:M,13,0)&lt;&gt;"",VLOOKUP(A485,Briefing_Req!A:M,13,0),VLOOKUP(A485,Briefing_Req!A:M,3,0)),"")</f>
        <v/>
      </c>
      <c r="D485" s="51"/>
      <c r="E485" s="50"/>
      <c r="F485" s="51"/>
      <c r="G485" s="51"/>
      <c r="H485" s="51"/>
      <c r="I485" s="51"/>
      <c r="J485" s="51"/>
      <c r="K485" s="70"/>
      <c r="L485" s="72"/>
      <c r="M485" s="51"/>
      <c r="N485" s="51"/>
      <c r="O485" s="51"/>
      <c r="P485" s="69"/>
      <c r="Q485" s="69"/>
      <c r="R485" s="69"/>
      <c r="S485" s="69"/>
    </row>
    <row r="486" spans="1:19" ht="23.25" customHeight="1">
      <c r="A486" s="51"/>
      <c r="B486" s="50" t="str">
        <f>IFERROR(VLOOKUP(A486,Briefing_Req!A:M,2,0),"")</f>
        <v/>
      </c>
      <c r="C486" s="143" t="str">
        <f>IFERROR(IF(VLOOKUP(A486,Briefing_Req!A:M,13,0)&lt;&gt;"",VLOOKUP(A486,Briefing_Req!A:M,13,0),VLOOKUP(A486,Briefing_Req!A:M,3,0)),"")</f>
        <v/>
      </c>
      <c r="D486" s="51"/>
      <c r="E486" s="50"/>
      <c r="F486" s="51"/>
      <c r="G486" s="51"/>
      <c r="H486" s="51"/>
      <c r="I486" s="51"/>
      <c r="J486" s="51"/>
      <c r="K486" s="70"/>
      <c r="L486" s="72"/>
      <c r="M486" s="51"/>
      <c r="N486" s="51"/>
      <c r="O486" s="51"/>
      <c r="P486" s="69"/>
      <c r="Q486" s="69"/>
      <c r="R486" s="69"/>
      <c r="S486" s="69"/>
    </row>
    <row r="487" spans="1:19" ht="23.25" customHeight="1">
      <c r="A487" s="51"/>
      <c r="B487" s="50" t="str">
        <f>IFERROR(VLOOKUP(A487,Briefing_Req!A:M,2,0),"")</f>
        <v/>
      </c>
      <c r="C487" s="143" t="str">
        <f>IFERROR(IF(VLOOKUP(A487,Briefing_Req!A:M,13,0)&lt;&gt;"",VLOOKUP(A487,Briefing_Req!A:M,13,0),VLOOKUP(A487,Briefing_Req!A:M,3,0)),"")</f>
        <v/>
      </c>
      <c r="D487" s="51"/>
      <c r="E487" s="50"/>
      <c r="F487" s="51"/>
      <c r="G487" s="51"/>
      <c r="H487" s="51"/>
      <c r="I487" s="51"/>
      <c r="J487" s="51"/>
      <c r="K487" s="70"/>
      <c r="L487" s="72"/>
      <c r="M487" s="51"/>
      <c r="N487" s="51"/>
      <c r="O487" s="51"/>
      <c r="P487" s="69"/>
      <c r="Q487" s="69"/>
      <c r="R487" s="69"/>
      <c r="S487" s="69"/>
    </row>
    <row r="488" spans="1:19" ht="23.25" customHeight="1">
      <c r="A488" s="51"/>
      <c r="B488" s="50" t="str">
        <f>IFERROR(VLOOKUP(A488,Briefing_Req!A:M,2,0),"")</f>
        <v/>
      </c>
      <c r="C488" s="143" t="str">
        <f>IFERROR(IF(VLOOKUP(A488,Briefing_Req!A:M,13,0)&lt;&gt;"",VLOOKUP(A488,Briefing_Req!A:M,13,0),VLOOKUP(A488,Briefing_Req!A:M,3,0)),"")</f>
        <v/>
      </c>
      <c r="D488" s="51"/>
      <c r="E488" s="50"/>
      <c r="F488" s="51"/>
      <c r="G488" s="51"/>
      <c r="H488" s="51"/>
      <c r="I488" s="51"/>
      <c r="J488" s="51"/>
      <c r="K488" s="70"/>
      <c r="L488" s="72"/>
      <c r="M488" s="51"/>
      <c r="N488" s="51"/>
      <c r="O488" s="51"/>
      <c r="P488" s="69"/>
      <c r="Q488" s="69"/>
      <c r="R488" s="69"/>
      <c r="S488" s="69"/>
    </row>
    <row r="489" spans="1:19" ht="23.25" customHeight="1">
      <c r="A489" s="51"/>
      <c r="B489" s="50" t="str">
        <f>IFERROR(VLOOKUP(A489,Briefing_Req!A:M,2,0),"")</f>
        <v/>
      </c>
      <c r="C489" s="143" t="str">
        <f>IFERROR(IF(VLOOKUP(A489,Briefing_Req!A:M,13,0)&lt;&gt;"",VLOOKUP(A489,Briefing_Req!A:M,13,0),VLOOKUP(A489,Briefing_Req!A:M,3,0)),"")</f>
        <v/>
      </c>
      <c r="D489" s="51"/>
      <c r="E489" s="50"/>
      <c r="F489" s="51"/>
      <c r="G489" s="51"/>
      <c r="H489" s="51"/>
      <c r="I489" s="51"/>
      <c r="J489" s="51"/>
      <c r="K489" s="70"/>
      <c r="L489" s="72"/>
      <c r="M489" s="51"/>
      <c r="N489" s="51"/>
      <c r="O489" s="51"/>
      <c r="P489" s="69"/>
      <c r="Q489" s="69"/>
      <c r="R489" s="69"/>
      <c r="S489" s="69"/>
    </row>
    <row r="490" spans="1:19" ht="23.25" customHeight="1">
      <c r="A490" s="51"/>
      <c r="B490" s="50" t="str">
        <f>IFERROR(VLOOKUP(A490,Briefing_Req!A:M,2,0),"")</f>
        <v/>
      </c>
      <c r="C490" s="143" t="str">
        <f>IFERROR(IF(VLOOKUP(A490,Briefing_Req!A:M,13,0)&lt;&gt;"",VLOOKUP(A490,Briefing_Req!A:M,13,0),VLOOKUP(A490,Briefing_Req!A:M,3,0)),"")</f>
        <v/>
      </c>
      <c r="D490" s="51"/>
      <c r="E490" s="50"/>
      <c r="F490" s="51"/>
      <c r="G490" s="51"/>
      <c r="H490" s="51"/>
      <c r="I490" s="51"/>
      <c r="J490" s="51"/>
      <c r="K490" s="70"/>
      <c r="L490" s="72"/>
      <c r="M490" s="51"/>
      <c r="N490" s="51"/>
      <c r="O490" s="51"/>
      <c r="P490" s="69"/>
      <c r="Q490" s="69"/>
      <c r="R490" s="69"/>
      <c r="S490" s="69"/>
    </row>
    <row r="491" spans="1:19" ht="23.25" customHeight="1">
      <c r="A491" s="51"/>
      <c r="B491" s="50" t="str">
        <f>IFERROR(VLOOKUP(A491,Briefing_Req!A:M,2,0),"")</f>
        <v/>
      </c>
      <c r="C491" s="143" t="str">
        <f>IFERROR(IF(VLOOKUP(A491,Briefing_Req!A:M,13,0)&lt;&gt;"",VLOOKUP(A491,Briefing_Req!A:M,13,0),VLOOKUP(A491,Briefing_Req!A:M,3,0)),"")</f>
        <v/>
      </c>
      <c r="D491" s="51"/>
      <c r="E491" s="50"/>
      <c r="F491" s="51"/>
      <c r="G491" s="51"/>
      <c r="H491" s="51"/>
      <c r="I491" s="51"/>
      <c r="J491" s="51"/>
      <c r="K491" s="70"/>
      <c r="L491" s="72"/>
      <c r="M491" s="51"/>
      <c r="N491" s="51"/>
      <c r="O491" s="51"/>
      <c r="P491" s="69"/>
      <c r="Q491" s="69"/>
      <c r="R491" s="69"/>
      <c r="S491" s="69"/>
    </row>
    <row r="492" spans="1:19" ht="23.25" customHeight="1">
      <c r="A492" s="51"/>
      <c r="B492" s="50" t="str">
        <f>IFERROR(VLOOKUP(A492,Briefing_Req!A:M,2,0),"")</f>
        <v/>
      </c>
      <c r="C492" s="143" t="str">
        <f>IFERROR(IF(VLOOKUP(A492,Briefing_Req!A:M,13,0)&lt;&gt;"",VLOOKUP(A492,Briefing_Req!A:M,13,0),VLOOKUP(A492,Briefing_Req!A:M,3,0)),"")</f>
        <v/>
      </c>
      <c r="D492" s="51"/>
      <c r="E492" s="50"/>
      <c r="F492" s="51"/>
      <c r="G492" s="51"/>
      <c r="H492" s="51"/>
      <c r="I492" s="51"/>
      <c r="J492" s="51"/>
      <c r="K492" s="70"/>
      <c r="L492" s="72"/>
      <c r="M492" s="51"/>
      <c r="N492" s="51"/>
      <c r="O492" s="51"/>
      <c r="P492" s="69"/>
      <c r="Q492" s="69"/>
      <c r="R492" s="69"/>
      <c r="S492" s="69"/>
    </row>
    <row r="493" spans="1:19" ht="23.25" customHeight="1">
      <c r="A493" s="51"/>
      <c r="B493" s="50" t="str">
        <f>IFERROR(VLOOKUP(A493,Briefing_Req!A:M,2,0),"")</f>
        <v/>
      </c>
      <c r="C493" s="143" t="str">
        <f>IFERROR(IF(VLOOKUP(A493,Briefing_Req!A:M,13,0)&lt;&gt;"",VLOOKUP(A493,Briefing_Req!A:M,13,0),VLOOKUP(A493,Briefing_Req!A:M,3,0)),"")</f>
        <v/>
      </c>
      <c r="D493" s="51"/>
      <c r="E493" s="50"/>
      <c r="F493" s="51"/>
      <c r="G493" s="51"/>
      <c r="H493" s="51"/>
      <c r="I493" s="51"/>
      <c r="J493" s="51"/>
      <c r="K493" s="70"/>
      <c r="L493" s="72"/>
      <c r="M493" s="51"/>
      <c r="N493" s="51"/>
      <c r="O493" s="51"/>
      <c r="P493" s="69"/>
      <c r="Q493" s="69"/>
      <c r="R493" s="69"/>
      <c r="S493" s="69"/>
    </row>
    <row r="494" spans="1:19" ht="23.25" customHeight="1">
      <c r="A494" s="51"/>
      <c r="B494" s="50" t="str">
        <f>IFERROR(VLOOKUP(A494,Briefing_Req!A:M,2,0),"")</f>
        <v/>
      </c>
      <c r="C494" s="143" t="str">
        <f>IFERROR(IF(VLOOKUP(A494,Briefing_Req!A:M,13,0)&lt;&gt;"",VLOOKUP(A494,Briefing_Req!A:M,13,0),VLOOKUP(A494,Briefing_Req!A:M,3,0)),"")</f>
        <v/>
      </c>
      <c r="D494" s="51"/>
      <c r="E494" s="50"/>
      <c r="F494" s="51"/>
      <c r="G494" s="51"/>
      <c r="H494" s="51"/>
      <c r="I494" s="51"/>
      <c r="J494" s="51"/>
      <c r="K494" s="70"/>
      <c r="L494" s="72"/>
      <c r="M494" s="51"/>
      <c r="N494" s="51"/>
      <c r="O494" s="51"/>
      <c r="P494" s="69"/>
      <c r="Q494" s="69"/>
      <c r="R494" s="69"/>
      <c r="S494" s="69"/>
    </row>
    <row r="495" spans="1:19" ht="23.25" customHeight="1">
      <c r="A495" s="51"/>
      <c r="B495" s="50" t="str">
        <f>IFERROR(VLOOKUP(A495,Briefing_Req!A:M,2,0),"")</f>
        <v/>
      </c>
      <c r="C495" s="143" t="str">
        <f>IFERROR(IF(VLOOKUP(A495,Briefing_Req!A:M,13,0)&lt;&gt;"",VLOOKUP(A495,Briefing_Req!A:M,13,0),VLOOKUP(A495,Briefing_Req!A:M,3,0)),"")</f>
        <v/>
      </c>
      <c r="D495" s="51"/>
      <c r="E495" s="50"/>
      <c r="F495" s="51"/>
      <c r="G495" s="51"/>
      <c r="H495" s="51"/>
      <c r="I495" s="51"/>
      <c r="J495" s="51"/>
      <c r="K495" s="70"/>
      <c r="L495" s="72"/>
      <c r="M495" s="51"/>
      <c r="N495" s="51"/>
      <c r="O495" s="51"/>
      <c r="P495" s="69"/>
      <c r="Q495" s="69"/>
      <c r="R495" s="69"/>
      <c r="S495" s="69"/>
    </row>
    <row r="496" spans="1:19" ht="23.25" customHeight="1">
      <c r="A496" s="51"/>
      <c r="B496" s="50" t="str">
        <f>IFERROR(VLOOKUP(A496,Briefing_Req!A:M,2,0),"")</f>
        <v/>
      </c>
      <c r="C496" s="143" t="str">
        <f>IFERROR(IF(VLOOKUP(A496,Briefing_Req!A:M,13,0)&lt;&gt;"",VLOOKUP(A496,Briefing_Req!A:M,13,0),VLOOKUP(A496,Briefing_Req!A:M,3,0)),"")</f>
        <v/>
      </c>
      <c r="D496" s="51"/>
      <c r="E496" s="50"/>
      <c r="F496" s="51"/>
      <c r="G496" s="51"/>
      <c r="H496" s="51"/>
      <c r="I496" s="51"/>
      <c r="J496" s="51"/>
      <c r="K496" s="70"/>
      <c r="L496" s="72"/>
      <c r="M496" s="51"/>
      <c r="N496" s="51"/>
      <c r="O496" s="51"/>
      <c r="P496" s="69"/>
      <c r="Q496" s="69"/>
      <c r="R496" s="69"/>
      <c r="S496" s="69"/>
    </row>
    <row r="497" spans="1:19" ht="23.25" customHeight="1">
      <c r="A497" s="51"/>
      <c r="B497" s="50" t="str">
        <f>IFERROR(VLOOKUP(A497,Briefing_Req!A:M,2,0),"")</f>
        <v/>
      </c>
      <c r="C497" s="143" t="str">
        <f>IFERROR(IF(VLOOKUP(A497,Briefing_Req!A:M,13,0)&lt;&gt;"",VLOOKUP(A497,Briefing_Req!A:M,13,0),VLOOKUP(A497,Briefing_Req!A:M,3,0)),"")</f>
        <v/>
      </c>
      <c r="D497" s="51"/>
      <c r="E497" s="50"/>
      <c r="F497" s="51"/>
      <c r="G497" s="51"/>
      <c r="H497" s="51"/>
      <c r="I497" s="51"/>
      <c r="J497" s="51"/>
      <c r="K497" s="70"/>
      <c r="L497" s="72"/>
      <c r="M497" s="51"/>
      <c r="N497" s="51"/>
      <c r="O497" s="51"/>
      <c r="P497" s="69"/>
      <c r="Q497" s="69"/>
      <c r="R497" s="69"/>
      <c r="S497" s="69"/>
    </row>
    <row r="498" spans="1:19" ht="23.25" customHeight="1">
      <c r="A498" s="51"/>
      <c r="B498" s="50" t="str">
        <f>IFERROR(VLOOKUP(A498,Briefing_Req!A:M,2,0),"")</f>
        <v/>
      </c>
      <c r="C498" s="143" t="str">
        <f>IFERROR(IF(VLOOKUP(A498,Briefing_Req!A:M,13,0)&lt;&gt;"",VLOOKUP(A498,Briefing_Req!A:M,13,0),VLOOKUP(A498,Briefing_Req!A:M,3,0)),"")</f>
        <v/>
      </c>
      <c r="D498" s="51"/>
      <c r="E498" s="50"/>
      <c r="F498" s="51"/>
      <c r="G498" s="51"/>
      <c r="H498" s="51"/>
      <c r="I498" s="51"/>
      <c r="J498" s="51"/>
      <c r="K498" s="70"/>
      <c r="L498" s="72"/>
      <c r="M498" s="51"/>
      <c r="N498" s="51"/>
      <c r="O498" s="51"/>
      <c r="P498" s="69"/>
      <c r="Q498" s="69"/>
      <c r="R498" s="69"/>
      <c r="S498" s="69"/>
    </row>
    <row r="499" spans="1:19" ht="23.25" customHeight="1">
      <c r="A499" s="51"/>
      <c r="B499" s="50" t="str">
        <f>IFERROR(VLOOKUP(A499,Briefing_Req!A:M,2,0),"")</f>
        <v/>
      </c>
      <c r="C499" s="143" t="str">
        <f>IFERROR(IF(VLOOKUP(A499,Briefing_Req!A:M,13,0)&lt;&gt;"",VLOOKUP(A499,Briefing_Req!A:M,13,0),VLOOKUP(A499,Briefing_Req!A:M,3,0)),"")</f>
        <v/>
      </c>
      <c r="D499" s="51"/>
      <c r="E499" s="50"/>
      <c r="F499" s="51"/>
      <c r="G499" s="51"/>
      <c r="H499" s="51"/>
      <c r="I499" s="51"/>
      <c r="J499" s="51"/>
      <c r="K499" s="70"/>
      <c r="L499" s="72"/>
      <c r="M499" s="51"/>
      <c r="N499" s="51"/>
      <c r="O499" s="51"/>
      <c r="P499" s="69"/>
      <c r="Q499" s="69"/>
      <c r="R499" s="69"/>
      <c r="S499" s="69"/>
    </row>
    <row r="500" spans="1:19" ht="23.25" customHeight="1">
      <c r="A500" s="51"/>
      <c r="B500" s="50" t="str">
        <f>IFERROR(VLOOKUP(A500,Briefing_Req!A:M,2,0),"")</f>
        <v/>
      </c>
      <c r="C500" s="143" t="str">
        <f>IFERROR(IF(VLOOKUP(A500,Briefing_Req!A:M,13,0)&lt;&gt;"",VLOOKUP(A500,Briefing_Req!A:M,13,0),VLOOKUP(A500,Briefing_Req!A:M,3,0)),"")</f>
        <v/>
      </c>
      <c r="D500" s="51"/>
      <c r="E500" s="50"/>
      <c r="F500" s="51"/>
      <c r="G500" s="51"/>
      <c r="H500" s="51"/>
      <c r="I500" s="51"/>
      <c r="J500" s="51"/>
      <c r="K500" s="70"/>
      <c r="L500" s="72"/>
      <c r="M500" s="51"/>
      <c r="N500" s="51"/>
      <c r="O500" s="51"/>
      <c r="P500" s="69"/>
      <c r="Q500" s="69"/>
      <c r="R500" s="69"/>
      <c r="S500" s="69"/>
    </row>
    <row r="501" spans="1:19" ht="23.25" customHeight="1">
      <c r="A501" s="51"/>
      <c r="B501" s="50" t="str">
        <f>IFERROR(VLOOKUP(A501,Briefing_Req!A:M,2,0),"")</f>
        <v/>
      </c>
      <c r="C501" s="143" t="str">
        <f>IFERROR(IF(VLOOKUP(A501,Briefing_Req!A:M,13,0)&lt;&gt;"",VLOOKUP(A501,Briefing_Req!A:M,13,0),VLOOKUP(A501,Briefing_Req!A:M,3,0)),"")</f>
        <v/>
      </c>
      <c r="D501" s="51"/>
      <c r="E501" s="50"/>
      <c r="F501" s="51"/>
      <c r="G501" s="51"/>
      <c r="H501" s="51"/>
      <c r="I501" s="51"/>
      <c r="J501" s="51"/>
      <c r="K501" s="70"/>
      <c r="L501" s="72"/>
      <c r="M501" s="51"/>
      <c r="N501" s="51"/>
      <c r="O501" s="51"/>
      <c r="P501" s="69"/>
      <c r="Q501" s="69"/>
      <c r="R501" s="69"/>
      <c r="S501" s="69"/>
    </row>
    <row r="502" spans="1:19" ht="23.25" customHeight="1">
      <c r="A502" s="51"/>
      <c r="B502" s="50" t="str">
        <f>IFERROR(VLOOKUP(A502,Briefing_Req!A:M,2,0),"")</f>
        <v/>
      </c>
      <c r="C502" s="143" t="str">
        <f>IFERROR(IF(VLOOKUP(A502,Briefing_Req!A:M,13,0)&lt;&gt;"",VLOOKUP(A502,Briefing_Req!A:M,13,0),VLOOKUP(A502,Briefing_Req!A:M,3,0)),"")</f>
        <v/>
      </c>
      <c r="D502" s="51"/>
      <c r="E502" s="50"/>
      <c r="F502" s="51"/>
      <c r="G502" s="51"/>
      <c r="H502" s="51"/>
      <c r="I502" s="51"/>
      <c r="J502" s="51"/>
      <c r="K502" s="70"/>
      <c r="L502" s="72"/>
      <c r="M502" s="51"/>
      <c r="N502" s="51"/>
      <c r="O502" s="51"/>
      <c r="P502" s="69"/>
      <c r="Q502" s="69"/>
      <c r="R502" s="69"/>
      <c r="S502" s="69"/>
    </row>
    <row r="503" spans="1:19" ht="23.25" customHeight="1">
      <c r="A503" s="51"/>
      <c r="B503" s="50" t="str">
        <f>IFERROR(VLOOKUP(A503,Briefing_Req!A:M,2,0),"")</f>
        <v/>
      </c>
      <c r="C503" s="143" t="str">
        <f>IFERROR(IF(VLOOKUP(A503,Briefing_Req!A:M,13,0)&lt;&gt;"",VLOOKUP(A503,Briefing_Req!A:M,13,0),VLOOKUP(A503,Briefing_Req!A:M,3,0)),"")</f>
        <v/>
      </c>
      <c r="D503" s="51"/>
      <c r="E503" s="50"/>
      <c r="F503" s="51"/>
      <c r="G503" s="51"/>
      <c r="H503" s="51"/>
      <c r="I503" s="51"/>
      <c r="J503" s="51"/>
      <c r="K503" s="70"/>
      <c r="L503" s="72"/>
      <c r="M503" s="51"/>
      <c r="N503" s="51"/>
      <c r="O503" s="51"/>
      <c r="P503" s="69"/>
      <c r="Q503" s="69"/>
      <c r="R503" s="69"/>
      <c r="S503" s="69"/>
    </row>
    <row r="504" spans="1:19" ht="23.25" customHeight="1">
      <c r="A504" s="51"/>
      <c r="B504" s="50" t="str">
        <f>IFERROR(VLOOKUP(A504,Briefing_Req!A:M,2,0),"")</f>
        <v/>
      </c>
      <c r="C504" s="143" t="str">
        <f>IFERROR(IF(VLOOKUP(A504,Briefing_Req!A:M,13,0)&lt;&gt;"",VLOOKUP(A504,Briefing_Req!A:M,13,0),VLOOKUP(A504,Briefing_Req!A:M,3,0)),"")</f>
        <v/>
      </c>
      <c r="D504" s="51"/>
      <c r="E504" s="50"/>
      <c r="F504" s="51"/>
      <c r="G504" s="51"/>
      <c r="H504" s="51"/>
      <c r="I504" s="51"/>
      <c r="J504" s="51"/>
      <c r="K504" s="70"/>
      <c r="L504" s="72"/>
      <c r="M504" s="51"/>
      <c r="N504" s="51"/>
      <c r="O504" s="51"/>
      <c r="P504" s="69"/>
      <c r="Q504" s="69"/>
      <c r="R504" s="69"/>
      <c r="S504" s="69"/>
    </row>
    <row r="505" spans="1:19" ht="23.25" customHeight="1">
      <c r="A505" s="51"/>
      <c r="B505" s="50" t="str">
        <f>IFERROR(VLOOKUP(A505,Briefing_Req!A:M,2,0),"")</f>
        <v/>
      </c>
      <c r="C505" s="143" t="str">
        <f>IFERROR(IF(VLOOKUP(A505,Briefing_Req!A:M,13,0)&lt;&gt;"",VLOOKUP(A505,Briefing_Req!A:M,13,0),VLOOKUP(A505,Briefing_Req!A:M,3,0)),"")</f>
        <v/>
      </c>
      <c r="D505" s="51"/>
      <c r="E505" s="50"/>
      <c r="F505" s="51"/>
      <c r="G505" s="51"/>
      <c r="H505" s="51"/>
      <c r="I505" s="51"/>
      <c r="J505" s="51"/>
      <c r="K505" s="70"/>
      <c r="L505" s="72"/>
      <c r="M505" s="51"/>
      <c r="N505" s="51"/>
      <c r="O505" s="51"/>
      <c r="P505" s="69"/>
      <c r="Q505" s="69"/>
      <c r="R505" s="69"/>
      <c r="S505" s="69"/>
    </row>
    <row r="506" spans="1:19" ht="23.25" customHeight="1">
      <c r="A506" s="51"/>
      <c r="B506" s="50" t="str">
        <f>IFERROR(VLOOKUP(A506,Briefing_Req!A:M,2,0),"")</f>
        <v/>
      </c>
      <c r="C506" s="143" t="str">
        <f>IFERROR(IF(VLOOKUP(A506,Briefing_Req!A:M,13,0)&lt;&gt;"",VLOOKUP(A506,Briefing_Req!A:M,13,0),VLOOKUP(A506,Briefing_Req!A:M,3,0)),"")</f>
        <v/>
      </c>
      <c r="D506" s="51"/>
      <c r="E506" s="50"/>
      <c r="F506" s="51"/>
      <c r="G506" s="51"/>
      <c r="H506" s="51"/>
      <c r="I506" s="51"/>
      <c r="J506" s="51"/>
      <c r="K506" s="70"/>
      <c r="L506" s="72"/>
      <c r="M506" s="51"/>
      <c r="N506" s="51"/>
      <c r="O506" s="51"/>
      <c r="P506" s="69"/>
      <c r="Q506" s="69"/>
      <c r="R506" s="69"/>
      <c r="S506" s="69"/>
    </row>
    <row r="507" spans="1:19" ht="23.25" customHeight="1">
      <c r="A507" s="51"/>
      <c r="B507" s="50" t="str">
        <f>IFERROR(VLOOKUP(A507,Briefing_Req!A:M,2,0),"")</f>
        <v/>
      </c>
      <c r="C507" s="143" t="str">
        <f>IFERROR(IF(VLOOKUP(A507,Briefing_Req!A:M,13,0)&lt;&gt;"",VLOOKUP(A507,Briefing_Req!A:M,13,0),VLOOKUP(A507,Briefing_Req!A:M,3,0)),"")</f>
        <v/>
      </c>
      <c r="D507" s="51"/>
      <c r="E507" s="50"/>
      <c r="F507" s="51"/>
      <c r="G507" s="51"/>
      <c r="H507" s="51"/>
      <c r="I507" s="51"/>
      <c r="J507" s="51"/>
      <c r="K507" s="70"/>
      <c r="L507" s="72"/>
      <c r="M507" s="51"/>
      <c r="N507" s="51"/>
      <c r="O507" s="51"/>
      <c r="P507" s="69"/>
      <c r="Q507" s="69"/>
      <c r="R507" s="69"/>
      <c r="S507" s="69"/>
    </row>
    <row r="508" spans="1:19" ht="23.25" customHeight="1">
      <c r="A508" s="51"/>
      <c r="B508" s="50" t="str">
        <f>IFERROR(VLOOKUP(A508,Briefing_Req!A:M,2,0),"")</f>
        <v/>
      </c>
      <c r="C508" s="143" t="str">
        <f>IFERROR(IF(VLOOKUP(A508,Briefing_Req!A:M,13,0)&lt;&gt;"",VLOOKUP(A508,Briefing_Req!A:M,13,0),VLOOKUP(A508,Briefing_Req!A:M,3,0)),"")</f>
        <v/>
      </c>
      <c r="D508" s="51"/>
      <c r="E508" s="50"/>
      <c r="F508" s="51"/>
      <c r="G508" s="51"/>
      <c r="H508" s="51"/>
      <c r="I508" s="51"/>
      <c r="J508" s="51"/>
      <c r="K508" s="70"/>
      <c r="L508" s="72"/>
      <c r="M508" s="51"/>
      <c r="N508" s="51"/>
      <c r="O508" s="51"/>
      <c r="P508" s="69"/>
      <c r="Q508" s="69"/>
      <c r="R508" s="69"/>
      <c r="S508" s="69"/>
    </row>
    <row r="509" spans="1:19" ht="23.25" customHeight="1">
      <c r="A509" s="51"/>
      <c r="B509" s="50" t="str">
        <f>IFERROR(VLOOKUP(A509,Briefing_Req!A:M,2,0),"")</f>
        <v/>
      </c>
      <c r="C509" s="143" t="str">
        <f>IFERROR(IF(VLOOKUP(A509,Briefing_Req!A:M,13,0)&lt;&gt;"",VLOOKUP(A509,Briefing_Req!A:M,13,0),VLOOKUP(A509,Briefing_Req!A:M,3,0)),"")</f>
        <v/>
      </c>
      <c r="D509" s="51"/>
      <c r="E509" s="50"/>
      <c r="F509" s="51"/>
      <c r="G509" s="51"/>
      <c r="H509" s="51"/>
      <c r="I509" s="51"/>
      <c r="J509" s="51"/>
      <c r="K509" s="70"/>
      <c r="L509" s="72"/>
      <c r="M509" s="51"/>
      <c r="N509" s="51"/>
      <c r="O509" s="51"/>
      <c r="P509" s="69"/>
      <c r="Q509" s="69"/>
      <c r="R509" s="69"/>
      <c r="S509" s="69"/>
    </row>
    <row r="510" spans="1:19" ht="23.25" customHeight="1">
      <c r="A510" s="51"/>
      <c r="B510" s="50" t="str">
        <f>IFERROR(VLOOKUP(A510,Briefing_Req!A:M,2,0),"")</f>
        <v/>
      </c>
      <c r="C510" s="143" t="str">
        <f>IFERROR(IF(VLOOKUP(A510,Briefing_Req!A:M,13,0)&lt;&gt;"",VLOOKUP(A510,Briefing_Req!A:M,13,0),VLOOKUP(A510,Briefing_Req!A:M,3,0)),"")</f>
        <v/>
      </c>
      <c r="D510" s="51"/>
      <c r="E510" s="50"/>
      <c r="F510" s="51"/>
      <c r="G510" s="51"/>
      <c r="H510" s="51"/>
      <c r="I510" s="51"/>
      <c r="J510" s="51"/>
      <c r="K510" s="70"/>
      <c r="L510" s="72"/>
      <c r="M510" s="51"/>
      <c r="N510" s="51"/>
      <c r="O510" s="51"/>
      <c r="P510" s="69"/>
      <c r="Q510" s="69"/>
      <c r="R510" s="69"/>
      <c r="S510" s="69"/>
    </row>
    <row r="511" spans="1:19" ht="23.25" customHeight="1">
      <c r="A511" s="51"/>
      <c r="B511" s="50" t="str">
        <f>IFERROR(VLOOKUP(A511,Briefing_Req!A:M,2,0),"")</f>
        <v/>
      </c>
      <c r="C511" s="143" t="str">
        <f>IFERROR(IF(VLOOKUP(A511,Briefing_Req!A:M,13,0)&lt;&gt;"",VLOOKUP(A511,Briefing_Req!A:M,13,0),VLOOKUP(A511,Briefing_Req!A:M,3,0)),"")</f>
        <v/>
      </c>
      <c r="D511" s="51"/>
      <c r="E511" s="50"/>
      <c r="F511" s="51"/>
      <c r="G511" s="51"/>
      <c r="H511" s="51"/>
      <c r="I511" s="51"/>
      <c r="J511" s="51"/>
      <c r="K511" s="70"/>
      <c r="L511" s="72"/>
      <c r="M511" s="51"/>
      <c r="N511" s="51"/>
      <c r="O511" s="51"/>
      <c r="P511" s="69"/>
      <c r="Q511" s="69"/>
      <c r="R511" s="69"/>
      <c r="S511" s="69"/>
    </row>
    <row r="512" spans="1:19" ht="23.25" customHeight="1">
      <c r="A512" s="51"/>
      <c r="B512" s="50" t="str">
        <f>IFERROR(VLOOKUP(A512,Briefing_Req!A:M,2,0),"")</f>
        <v/>
      </c>
      <c r="C512" s="143" t="str">
        <f>IFERROR(IF(VLOOKUP(A512,Briefing_Req!A:M,13,0)&lt;&gt;"",VLOOKUP(A512,Briefing_Req!A:M,13,0),VLOOKUP(A512,Briefing_Req!A:M,3,0)),"")</f>
        <v/>
      </c>
      <c r="D512" s="51"/>
      <c r="E512" s="50"/>
      <c r="F512" s="51"/>
      <c r="G512" s="51"/>
      <c r="H512" s="51"/>
      <c r="I512" s="51"/>
      <c r="J512" s="51"/>
      <c r="K512" s="70"/>
      <c r="L512" s="72"/>
      <c r="M512" s="51"/>
      <c r="N512" s="51"/>
      <c r="O512" s="51"/>
      <c r="P512" s="69"/>
      <c r="Q512" s="69"/>
      <c r="R512" s="69"/>
      <c r="S512" s="69"/>
    </row>
    <row r="513" spans="1:19" ht="23.25" customHeight="1">
      <c r="A513" s="51"/>
      <c r="B513" s="50" t="str">
        <f>IFERROR(VLOOKUP(A513,Briefing_Req!A:M,2,0),"")</f>
        <v/>
      </c>
      <c r="C513" s="143" t="str">
        <f>IFERROR(IF(VLOOKUP(A513,Briefing_Req!A:M,13,0)&lt;&gt;"",VLOOKUP(A513,Briefing_Req!A:M,13,0),VLOOKUP(A513,Briefing_Req!A:M,3,0)),"")</f>
        <v/>
      </c>
      <c r="D513" s="51"/>
      <c r="E513" s="50"/>
      <c r="F513" s="51"/>
      <c r="G513" s="51"/>
      <c r="H513" s="51"/>
      <c r="I513" s="51"/>
      <c r="J513" s="51"/>
      <c r="K513" s="70"/>
      <c r="L513" s="72"/>
      <c r="M513" s="51"/>
      <c r="N513" s="51"/>
      <c r="O513" s="51"/>
      <c r="P513" s="69"/>
      <c r="Q513" s="69"/>
      <c r="R513" s="69"/>
      <c r="S513" s="69"/>
    </row>
    <row r="514" spans="1:19" ht="23.25" customHeight="1">
      <c r="A514" s="51"/>
      <c r="B514" s="50" t="str">
        <f>IFERROR(VLOOKUP(A514,Briefing_Req!A:M,2,0),"")</f>
        <v/>
      </c>
      <c r="C514" s="143" t="str">
        <f>IFERROR(IF(VLOOKUP(A514,Briefing_Req!A:M,13,0)&lt;&gt;"",VLOOKUP(A514,Briefing_Req!A:M,13,0),VLOOKUP(A514,Briefing_Req!A:M,3,0)),"")</f>
        <v/>
      </c>
      <c r="D514" s="51"/>
      <c r="E514" s="50"/>
      <c r="F514" s="51"/>
      <c r="G514" s="51"/>
      <c r="H514" s="51"/>
      <c r="I514" s="51"/>
      <c r="J514" s="51"/>
      <c r="K514" s="70"/>
      <c r="L514" s="72"/>
      <c r="M514" s="51"/>
      <c r="N514" s="51"/>
      <c r="O514" s="51"/>
      <c r="P514" s="69"/>
      <c r="Q514" s="69"/>
      <c r="R514" s="69"/>
      <c r="S514" s="69"/>
    </row>
    <row r="515" spans="1:19" ht="23.25" customHeight="1">
      <c r="A515" s="51"/>
      <c r="B515" s="50" t="str">
        <f>IFERROR(VLOOKUP(A515,Briefing_Req!A:M,2,0),"")</f>
        <v/>
      </c>
      <c r="C515" s="143" t="str">
        <f>IFERROR(IF(VLOOKUP(A515,Briefing_Req!A:M,13,0)&lt;&gt;"",VLOOKUP(A515,Briefing_Req!A:M,13,0),VLOOKUP(A515,Briefing_Req!A:M,3,0)),"")</f>
        <v/>
      </c>
      <c r="D515" s="51"/>
      <c r="E515" s="50"/>
      <c r="F515" s="51"/>
      <c r="G515" s="51"/>
      <c r="H515" s="51"/>
      <c r="I515" s="51"/>
      <c r="J515" s="51"/>
      <c r="K515" s="70"/>
      <c r="L515" s="72"/>
      <c r="M515" s="51"/>
      <c r="N515" s="51"/>
      <c r="O515" s="51"/>
      <c r="P515" s="69"/>
      <c r="Q515" s="69"/>
      <c r="R515" s="69"/>
      <c r="S515" s="69"/>
    </row>
    <row r="516" spans="1:19" ht="23.25" customHeight="1">
      <c r="A516" s="51"/>
      <c r="B516" s="50" t="str">
        <f>IFERROR(VLOOKUP(A516,Briefing_Req!A:M,2,0),"")</f>
        <v/>
      </c>
      <c r="C516" s="143" t="str">
        <f>IFERROR(IF(VLOOKUP(A516,Briefing_Req!A:M,13,0)&lt;&gt;"",VLOOKUP(A516,Briefing_Req!A:M,13,0),VLOOKUP(A516,Briefing_Req!A:M,3,0)),"")</f>
        <v/>
      </c>
      <c r="D516" s="51"/>
      <c r="E516" s="50"/>
      <c r="F516" s="51"/>
      <c r="G516" s="51"/>
      <c r="H516" s="51"/>
      <c r="I516" s="51"/>
      <c r="J516" s="51"/>
      <c r="K516" s="70"/>
      <c r="L516" s="72"/>
      <c r="M516" s="51"/>
      <c r="N516" s="51"/>
      <c r="O516" s="51"/>
      <c r="P516" s="69"/>
      <c r="Q516" s="69"/>
      <c r="R516" s="69"/>
      <c r="S516" s="69"/>
    </row>
    <row r="517" spans="1:19" ht="23.25" customHeight="1">
      <c r="A517" s="51"/>
      <c r="B517" s="50" t="str">
        <f>IFERROR(VLOOKUP(A517,Briefing_Req!A:M,2,0),"")</f>
        <v/>
      </c>
      <c r="C517" s="143" t="str">
        <f>IFERROR(IF(VLOOKUP(A517,Briefing_Req!A:M,13,0)&lt;&gt;"",VLOOKUP(A517,Briefing_Req!A:M,13,0),VLOOKUP(A517,Briefing_Req!A:M,3,0)),"")</f>
        <v/>
      </c>
      <c r="D517" s="51"/>
      <c r="E517" s="50"/>
      <c r="F517" s="51"/>
      <c r="G517" s="51"/>
      <c r="H517" s="51"/>
      <c r="I517" s="51"/>
      <c r="J517" s="51"/>
      <c r="K517" s="70"/>
      <c r="L517" s="72"/>
      <c r="M517" s="51"/>
      <c r="N517" s="51"/>
      <c r="O517" s="51"/>
      <c r="P517" s="69"/>
      <c r="Q517" s="69"/>
      <c r="R517" s="69"/>
      <c r="S517" s="69"/>
    </row>
    <row r="518" spans="1:19" ht="23.25" customHeight="1">
      <c r="A518" s="51"/>
      <c r="B518" s="50" t="str">
        <f>IFERROR(VLOOKUP(A518,Briefing_Req!A:M,2,0),"")</f>
        <v/>
      </c>
      <c r="C518" s="143" t="str">
        <f>IFERROR(IF(VLOOKUP(A518,Briefing_Req!A:M,13,0)&lt;&gt;"",VLOOKUP(A518,Briefing_Req!A:M,13,0),VLOOKUP(A518,Briefing_Req!A:M,3,0)),"")</f>
        <v/>
      </c>
      <c r="D518" s="51"/>
      <c r="E518" s="50"/>
      <c r="F518" s="51"/>
      <c r="G518" s="51"/>
      <c r="H518" s="51"/>
      <c r="I518" s="51"/>
      <c r="J518" s="51"/>
      <c r="K518" s="70"/>
      <c r="L518" s="72"/>
      <c r="M518" s="51"/>
      <c r="N518" s="51"/>
      <c r="O518" s="51"/>
      <c r="P518" s="69"/>
      <c r="Q518" s="69"/>
      <c r="R518" s="69"/>
      <c r="S518" s="69"/>
    </row>
    <row r="519" spans="1:19" ht="23.25" customHeight="1">
      <c r="A519" s="51"/>
      <c r="B519" s="50" t="str">
        <f>IFERROR(VLOOKUP(A519,Briefing_Req!A:M,2,0),"")</f>
        <v/>
      </c>
      <c r="C519" s="143" t="str">
        <f>IFERROR(IF(VLOOKUP(A519,Briefing_Req!A:M,13,0)&lt;&gt;"",VLOOKUP(A519,Briefing_Req!A:M,13,0),VLOOKUP(A519,Briefing_Req!A:M,3,0)),"")</f>
        <v/>
      </c>
      <c r="D519" s="51"/>
      <c r="E519" s="50"/>
      <c r="F519" s="51"/>
      <c r="G519" s="51"/>
      <c r="H519" s="51"/>
      <c r="I519" s="51"/>
      <c r="J519" s="51"/>
      <c r="K519" s="70"/>
      <c r="L519" s="72"/>
      <c r="M519" s="51"/>
      <c r="N519" s="51"/>
      <c r="O519" s="51"/>
      <c r="P519" s="69"/>
      <c r="Q519" s="69"/>
      <c r="R519" s="69"/>
      <c r="S519" s="69"/>
    </row>
    <row r="520" spans="1:19" ht="23.25" customHeight="1">
      <c r="A520" s="51"/>
      <c r="B520" s="50" t="str">
        <f>IFERROR(VLOOKUP(A520,Briefing_Req!A:M,2,0),"")</f>
        <v/>
      </c>
      <c r="C520" s="143" t="str">
        <f>IFERROR(IF(VLOOKUP(A520,Briefing_Req!A:M,13,0)&lt;&gt;"",VLOOKUP(A520,Briefing_Req!A:M,13,0),VLOOKUP(A520,Briefing_Req!A:M,3,0)),"")</f>
        <v/>
      </c>
      <c r="D520" s="51"/>
      <c r="E520" s="50"/>
      <c r="F520" s="51"/>
      <c r="G520" s="51"/>
      <c r="H520" s="51"/>
      <c r="I520" s="51"/>
      <c r="J520" s="51"/>
      <c r="K520" s="70"/>
      <c r="L520" s="72"/>
      <c r="M520" s="51"/>
      <c r="N520" s="51"/>
      <c r="O520" s="51"/>
      <c r="P520" s="69"/>
      <c r="Q520" s="69"/>
      <c r="R520" s="69"/>
      <c r="S520" s="69"/>
    </row>
    <row r="521" spans="1:19" ht="23.25" customHeight="1">
      <c r="A521" s="51"/>
      <c r="B521" s="50" t="str">
        <f>IFERROR(VLOOKUP(A521,Briefing_Req!A:M,2,0),"")</f>
        <v/>
      </c>
      <c r="C521" s="143" t="str">
        <f>IFERROR(IF(VLOOKUP(A521,Briefing_Req!A:M,13,0)&lt;&gt;"",VLOOKUP(A521,Briefing_Req!A:M,13,0),VLOOKUP(A521,Briefing_Req!A:M,3,0)),"")</f>
        <v/>
      </c>
      <c r="D521" s="51"/>
      <c r="E521" s="50"/>
      <c r="F521" s="51"/>
      <c r="G521" s="51"/>
      <c r="H521" s="51"/>
      <c r="I521" s="51"/>
      <c r="J521" s="51"/>
      <c r="K521" s="70"/>
      <c r="L521" s="72"/>
      <c r="M521" s="51"/>
      <c r="N521" s="51"/>
      <c r="O521" s="51"/>
      <c r="P521" s="69"/>
      <c r="Q521" s="69"/>
      <c r="R521" s="69"/>
      <c r="S521" s="69"/>
    </row>
    <row r="522" spans="1:19" ht="23.25" customHeight="1">
      <c r="A522" s="51"/>
      <c r="B522" s="50" t="str">
        <f>IFERROR(VLOOKUP(A522,Briefing_Req!A:M,2,0),"")</f>
        <v/>
      </c>
      <c r="C522" s="143" t="str">
        <f>IFERROR(IF(VLOOKUP(A522,Briefing_Req!A:M,13,0)&lt;&gt;"",VLOOKUP(A522,Briefing_Req!A:M,13,0),VLOOKUP(A522,Briefing_Req!A:M,3,0)),"")</f>
        <v/>
      </c>
      <c r="D522" s="51"/>
      <c r="E522" s="50"/>
      <c r="F522" s="51"/>
      <c r="G522" s="51"/>
      <c r="H522" s="51"/>
      <c r="I522" s="51"/>
      <c r="J522" s="51"/>
      <c r="K522" s="70"/>
      <c r="L522" s="72"/>
      <c r="M522" s="51"/>
      <c r="N522" s="51"/>
      <c r="O522" s="51"/>
      <c r="P522" s="69"/>
      <c r="Q522" s="69"/>
      <c r="R522" s="69"/>
      <c r="S522" s="69"/>
    </row>
    <row r="523" spans="1:19" ht="23.25" customHeight="1">
      <c r="A523" s="51"/>
      <c r="B523" s="50" t="str">
        <f>IFERROR(VLOOKUP(A523,Briefing_Req!A:M,2,0),"")</f>
        <v/>
      </c>
      <c r="C523" s="143" t="str">
        <f>IFERROR(IF(VLOOKUP(A523,Briefing_Req!A:M,13,0)&lt;&gt;"",VLOOKUP(A523,Briefing_Req!A:M,13,0),VLOOKUP(A523,Briefing_Req!A:M,3,0)),"")</f>
        <v/>
      </c>
      <c r="D523" s="51"/>
      <c r="E523" s="50"/>
      <c r="F523" s="51"/>
      <c r="G523" s="51"/>
      <c r="H523" s="51"/>
      <c r="I523" s="51"/>
      <c r="J523" s="51"/>
      <c r="K523" s="70"/>
      <c r="L523" s="72"/>
      <c r="M523" s="51"/>
      <c r="N523" s="51"/>
      <c r="O523" s="51"/>
      <c r="P523" s="69"/>
      <c r="Q523" s="69"/>
      <c r="R523" s="69"/>
      <c r="S523" s="69"/>
    </row>
    <row r="524" spans="1:19" ht="23.25" customHeight="1">
      <c r="A524" s="51"/>
      <c r="B524" s="50" t="str">
        <f>IFERROR(VLOOKUP(A524,Briefing_Req!A:M,2,0),"")</f>
        <v/>
      </c>
      <c r="C524" s="143" t="str">
        <f>IFERROR(IF(VLOOKUP(A524,Briefing_Req!A:M,13,0)&lt;&gt;"",VLOOKUP(A524,Briefing_Req!A:M,13,0),VLOOKUP(A524,Briefing_Req!A:M,3,0)),"")</f>
        <v/>
      </c>
      <c r="D524" s="51"/>
      <c r="E524" s="50"/>
      <c r="F524" s="51"/>
      <c r="G524" s="51"/>
      <c r="H524" s="51"/>
      <c r="I524" s="51"/>
      <c r="J524" s="51"/>
      <c r="K524" s="70"/>
      <c r="L524" s="72"/>
      <c r="M524" s="51"/>
      <c r="N524" s="51"/>
      <c r="O524" s="51"/>
      <c r="P524" s="69"/>
      <c r="Q524" s="69"/>
      <c r="R524" s="69"/>
      <c r="S524" s="69"/>
    </row>
    <row r="525" spans="1:19" ht="23.25" customHeight="1">
      <c r="A525" s="51"/>
      <c r="B525" s="50" t="str">
        <f>IFERROR(VLOOKUP(A525,Briefing_Req!A:M,2,0),"")</f>
        <v/>
      </c>
      <c r="C525" s="143" t="str">
        <f>IFERROR(IF(VLOOKUP(A525,Briefing_Req!A:M,13,0)&lt;&gt;"",VLOOKUP(A525,Briefing_Req!A:M,13,0),VLOOKUP(A525,Briefing_Req!A:M,3,0)),"")</f>
        <v/>
      </c>
      <c r="D525" s="51"/>
      <c r="E525" s="50"/>
      <c r="F525" s="51"/>
      <c r="G525" s="51"/>
      <c r="H525" s="51"/>
      <c r="I525" s="51"/>
      <c r="J525" s="51"/>
      <c r="K525" s="70"/>
      <c r="L525" s="72"/>
      <c r="M525" s="51"/>
      <c r="N525" s="51"/>
      <c r="O525" s="51"/>
      <c r="P525" s="69"/>
      <c r="Q525" s="69"/>
      <c r="R525" s="69"/>
      <c r="S525" s="69"/>
    </row>
    <row r="526" spans="1:19" ht="23.25" customHeight="1">
      <c r="A526" s="51"/>
      <c r="B526" s="50" t="str">
        <f>IFERROR(VLOOKUP(A526,Briefing_Req!A:M,2,0),"")</f>
        <v/>
      </c>
      <c r="C526" s="143" t="str">
        <f>IFERROR(IF(VLOOKUP(A526,Briefing_Req!A:M,13,0)&lt;&gt;"",VLOOKUP(A526,Briefing_Req!A:M,13,0),VLOOKUP(A526,Briefing_Req!A:M,3,0)),"")</f>
        <v/>
      </c>
      <c r="D526" s="51"/>
      <c r="E526" s="50"/>
      <c r="F526" s="51"/>
      <c r="G526" s="51"/>
      <c r="H526" s="51"/>
      <c r="I526" s="51"/>
      <c r="J526" s="51"/>
      <c r="K526" s="70"/>
      <c r="L526" s="72"/>
      <c r="M526" s="51"/>
      <c r="N526" s="51"/>
      <c r="O526" s="51"/>
      <c r="P526" s="69"/>
      <c r="Q526" s="69"/>
      <c r="R526" s="69"/>
      <c r="S526" s="69"/>
    </row>
    <row r="527" spans="1:19" ht="23.25" customHeight="1">
      <c r="A527" s="51"/>
      <c r="B527" s="50" t="str">
        <f>IFERROR(VLOOKUP(A527,Briefing_Req!A:M,2,0),"")</f>
        <v/>
      </c>
      <c r="C527" s="143" t="str">
        <f>IFERROR(IF(VLOOKUP(A527,Briefing_Req!A:M,13,0)&lt;&gt;"",VLOOKUP(A527,Briefing_Req!A:M,13,0),VLOOKUP(A527,Briefing_Req!A:M,3,0)),"")</f>
        <v/>
      </c>
      <c r="D527" s="51"/>
      <c r="E527" s="50"/>
      <c r="F527" s="51"/>
      <c r="G527" s="51"/>
      <c r="H527" s="51"/>
      <c r="I527" s="51"/>
      <c r="J527" s="51"/>
      <c r="K527" s="70"/>
      <c r="L527" s="72"/>
      <c r="M527" s="51"/>
      <c r="N527" s="51"/>
      <c r="O527" s="51"/>
      <c r="P527" s="69"/>
      <c r="Q527" s="69"/>
      <c r="R527" s="69"/>
      <c r="S527" s="69"/>
    </row>
    <row r="528" spans="1:19" ht="23.25" customHeight="1">
      <c r="A528" s="51"/>
      <c r="B528" s="50" t="str">
        <f>IFERROR(VLOOKUP(A528,Briefing_Req!A:M,2,0),"")</f>
        <v/>
      </c>
      <c r="C528" s="143" t="str">
        <f>IFERROR(IF(VLOOKUP(A528,Briefing_Req!A:M,13,0)&lt;&gt;"",VLOOKUP(A528,Briefing_Req!A:M,13,0),VLOOKUP(A528,Briefing_Req!A:M,3,0)),"")</f>
        <v/>
      </c>
      <c r="D528" s="51"/>
      <c r="E528" s="50"/>
      <c r="F528" s="51"/>
      <c r="G528" s="51"/>
      <c r="H528" s="51"/>
      <c r="I528" s="51"/>
      <c r="J528" s="51"/>
      <c r="K528" s="70"/>
      <c r="L528" s="72"/>
      <c r="M528" s="51"/>
      <c r="N528" s="51"/>
      <c r="O528" s="51"/>
      <c r="P528" s="69"/>
      <c r="Q528" s="69"/>
      <c r="R528" s="69"/>
      <c r="S528" s="69"/>
    </row>
    <row r="529" spans="1:19" ht="23.25" customHeight="1">
      <c r="A529" s="51"/>
      <c r="B529" s="50" t="str">
        <f>IFERROR(VLOOKUP(A529,Briefing_Req!A:M,2,0),"")</f>
        <v/>
      </c>
      <c r="C529" s="143" t="str">
        <f>IFERROR(IF(VLOOKUP(A529,Briefing_Req!A:M,13,0)&lt;&gt;"",VLOOKUP(A529,Briefing_Req!A:M,13,0),VLOOKUP(A529,Briefing_Req!A:M,3,0)),"")</f>
        <v/>
      </c>
      <c r="D529" s="51"/>
      <c r="E529" s="50"/>
      <c r="F529" s="51"/>
      <c r="G529" s="51"/>
      <c r="H529" s="51"/>
      <c r="I529" s="51"/>
      <c r="J529" s="51"/>
      <c r="K529" s="70"/>
      <c r="L529" s="72"/>
      <c r="M529" s="51"/>
      <c r="N529" s="51"/>
      <c r="O529" s="51"/>
      <c r="P529" s="69"/>
      <c r="Q529" s="69"/>
      <c r="R529" s="69"/>
      <c r="S529" s="69"/>
    </row>
    <row r="530" spans="1:19" ht="23.25" customHeight="1">
      <c r="A530" s="51"/>
      <c r="B530" s="50" t="str">
        <f>IFERROR(VLOOKUP(A530,Briefing_Req!A:M,2,0),"")</f>
        <v/>
      </c>
      <c r="C530" s="143" t="str">
        <f>IFERROR(IF(VLOOKUP(A530,Briefing_Req!A:M,13,0)&lt;&gt;"",VLOOKUP(A530,Briefing_Req!A:M,13,0),VLOOKUP(A530,Briefing_Req!A:M,3,0)),"")</f>
        <v/>
      </c>
      <c r="D530" s="51"/>
      <c r="E530" s="50"/>
      <c r="F530" s="51"/>
      <c r="G530" s="51"/>
      <c r="H530" s="51"/>
      <c r="I530" s="51"/>
      <c r="J530" s="51"/>
      <c r="K530" s="70"/>
      <c r="L530" s="72"/>
      <c r="M530" s="51"/>
      <c r="N530" s="51"/>
      <c r="O530" s="51"/>
      <c r="P530" s="69"/>
      <c r="Q530" s="69"/>
      <c r="R530" s="69"/>
      <c r="S530" s="69"/>
    </row>
    <row r="531" spans="1:19" ht="23.25" customHeight="1">
      <c r="A531" s="51"/>
      <c r="B531" s="50" t="str">
        <f>IFERROR(VLOOKUP(A531,Briefing_Req!A:M,2,0),"")</f>
        <v/>
      </c>
      <c r="C531" s="143" t="str">
        <f>IFERROR(IF(VLOOKUP(A531,Briefing_Req!A:M,13,0)&lt;&gt;"",VLOOKUP(A531,Briefing_Req!A:M,13,0),VLOOKUP(A531,Briefing_Req!A:M,3,0)),"")</f>
        <v/>
      </c>
      <c r="D531" s="51"/>
      <c r="E531" s="50"/>
      <c r="F531" s="51"/>
      <c r="G531" s="51"/>
      <c r="H531" s="51"/>
      <c r="I531" s="51"/>
      <c r="J531" s="51"/>
      <c r="K531" s="70"/>
      <c r="L531" s="72"/>
      <c r="M531" s="51"/>
      <c r="N531" s="51"/>
      <c r="O531" s="51"/>
      <c r="P531" s="69"/>
      <c r="Q531" s="69"/>
      <c r="R531" s="69"/>
      <c r="S531" s="69"/>
    </row>
    <row r="532" spans="1:19" ht="23.25" customHeight="1">
      <c r="A532" s="51"/>
      <c r="B532" s="50" t="str">
        <f>IFERROR(VLOOKUP(A532,Briefing_Req!A:M,2,0),"")</f>
        <v/>
      </c>
      <c r="C532" s="143" t="str">
        <f>IFERROR(IF(VLOOKUP(A532,Briefing_Req!A:M,13,0)&lt;&gt;"",VLOOKUP(A532,Briefing_Req!A:M,13,0),VLOOKUP(A532,Briefing_Req!A:M,3,0)),"")</f>
        <v/>
      </c>
      <c r="D532" s="51"/>
      <c r="E532" s="50"/>
      <c r="F532" s="51"/>
      <c r="G532" s="51"/>
      <c r="H532" s="51"/>
      <c r="I532" s="51"/>
      <c r="J532" s="51"/>
      <c r="K532" s="70"/>
      <c r="L532" s="72"/>
      <c r="M532" s="51"/>
      <c r="N532" s="51"/>
      <c r="O532" s="51"/>
      <c r="P532" s="69"/>
      <c r="Q532" s="69"/>
      <c r="R532" s="69"/>
      <c r="S532" s="69"/>
    </row>
    <row r="533" spans="1:19" ht="23.25" customHeight="1">
      <c r="A533" s="51"/>
      <c r="B533" s="50" t="str">
        <f>IFERROR(VLOOKUP(A533,Briefing_Req!A:M,2,0),"")</f>
        <v/>
      </c>
      <c r="C533" s="143" t="str">
        <f>IFERROR(IF(VLOOKUP(A533,Briefing_Req!A:M,13,0)&lt;&gt;"",VLOOKUP(A533,Briefing_Req!A:M,13,0),VLOOKUP(A533,Briefing_Req!A:M,3,0)),"")</f>
        <v/>
      </c>
      <c r="D533" s="51"/>
      <c r="E533" s="50"/>
      <c r="F533" s="51"/>
      <c r="G533" s="51"/>
      <c r="H533" s="51"/>
      <c r="I533" s="51"/>
      <c r="J533" s="51"/>
      <c r="K533" s="70"/>
      <c r="L533" s="72"/>
      <c r="M533" s="51"/>
      <c r="N533" s="51"/>
      <c r="O533" s="51"/>
      <c r="P533" s="69"/>
      <c r="Q533" s="69"/>
      <c r="R533" s="69"/>
      <c r="S533" s="69"/>
    </row>
    <row r="534" spans="1:19" ht="23.25" customHeight="1">
      <c r="A534" s="51"/>
      <c r="B534" s="50" t="str">
        <f>IFERROR(VLOOKUP(A534,Briefing_Req!A:M,2,0),"")</f>
        <v/>
      </c>
      <c r="C534" s="143" t="str">
        <f>IFERROR(IF(VLOOKUP(A534,Briefing_Req!A:M,13,0)&lt;&gt;"",VLOOKUP(A534,Briefing_Req!A:M,13,0),VLOOKUP(A534,Briefing_Req!A:M,3,0)),"")</f>
        <v/>
      </c>
      <c r="D534" s="51"/>
      <c r="E534" s="50"/>
      <c r="F534" s="51"/>
      <c r="G534" s="51"/>
      <c r="H534" s="51"/>
      <c r="I534" s="51"/>
      <c r="J534" s="51"/>
      <c r="K534" s="70"/>
      <c r="L534" s="72"/>
      <c r="M534" s="51"/>
      <c r="N534" s="51"/>
      <c r="O534" s="51"/>
      <c r="P534" s="69"/>
      <c r="Q534" s="69"/>
      <c r="R534" s="69"/>
      <c r="S534" s="69"/>
    </row>
    <row r="535" spans="1:19" ht="23.25" customHeight="1">
      <c r="A535" s="51"/>
      <c r="B535" s="50" t="str">
        <f>IFERROR(VLOOKUP(A535,Briefing_Req!A:M,2,0),"")</f>
        <v/>
      </c>
      <c r="C535" s="143" t="str">
        <f>IFERROR(IF(VLOOKUP(A535,Briefing_Req!A:M,13,0)&lt;&gt;"",VLOOKUP(A535,Briefing_Req!A:M,13,0),VLOOKUP(A535,Briefing_Req!A:M,3,0)),"")</f>
        <v/>
      </c>
      <c r="D535" s="51"/>
      <c r="E535" s="50"/>
      <c r="F535" s="51"/>
      <c r="G535" s="51"/>
      <c r="H535" s="51"/>
      <c r="I535" s="51"/>
      <c r="J535" s="51"/>
      <c r="K535" s="70"/>
      <c r="L535" s="72"/>
      <c r="M535" s="51"/>
      <c r="N535" s="51"/>
      <c r="O535" s="51"/>
      <c r="P535" s="69"/>
      <c r="Q535" s="69"/>
      <c r="R535" s="69"/>
      <c r="S535" s="69"/>
    </row>
    <row r="536" spans="1:19" ht="23.25" customHeight="1">
      <c r="A536" s="51"/>
      <c r="B536" s="50" t="str">
        <f>IFERROR(VLOOKUP(A536,Briefing_Req!A:M,2,0),"")</f>
        <v/>
      </c>
      <c r="C536" s="143" t="str">
        <f>IFERROR(IF(VLOOKUP(A536,Briefing_Req!A:M,13,0)&lt;&gt;"",VLOOKUP(A536,Briefing_Req!A:M,13,0),VLOOKUP(A536,Briefing_Req!A:M,3,0)),"")</f>
        <v/>
      </c>
      <c r="D536" s="51"/>
      <c r="E536" s="50"/>
      <c r="F536" s="51"/>
      <c r="G536" s="51"/>
      <c r="H536" s="51"/>
      <c r="I536" s="51"/>
      <c r="J536" s="51"/>
      <c r="K536" s="70"/>
      <c r="L536" s="72"/>
      <c r="M536" s="51"/>
      <c r="N536" s="51"/>
      <c r="O536" s="51"/>
      <c r="P536" s="69"/>
      <c r="Q536" s="69"/>
      <c r="R536" s="69"/>
      <c r="S536" s="69"/>
    </row>
    <row r="537" spans="1:19" ht="23.25" customHeight="1">
      <c r="A537" s="51"/>
      <c r="B537" s="50" t="str">
        <f>IFERROR(VLOOKUP(A537,Briefing_Req!A:M,2,0),"")</f>
        <v/>
      </c>
      <c r="C537" s="143" t="str">
        <f>IFERROR(IF(VLOOKUP(A537,Briefing_Req!A:M,13,0)&lt;&gt;"",VLOOKUP(A537,Briefing_Req!A:M,13,0),VLOOKUP(A537,Briefing_Req!A:M,3,0)),"")</f>
        <v/>
      </c>
      <c r="D537" s="51"/>
      <c r="E537" s="50"/>
      <c r="F537" s="51"/>
      <c r="G537" s="51"/>
      <c r="H537" s="51"/>
      <c r="I537" s="51"/>
      <c r="J537" s="51"/>
      <c r="K537" s="70"/>
      <c r="L537" s="72"/>
      <c r="M537" s="51"/>
      <c r="N537" s="51"/>
      <c r="O537" s="51"/>
      <c r="P537" s="69"/>
      <c r="Q537" s="69"/>
      <c r="R537" s="69"/>
      <c r="S537" s="69"/>
    </row>
    <row r="538" spans="1:19" ht="23.25" customHeight="1">
      <c r="A538" s="51"/>
      <c r="B538" s="50" t="str">
        <f>IFERROR(VLOOKUP(A538,Briefing_Req!A:M,2,0),"")</f>
        <v/>
      </c>
      <c r="C538" s="143" t="str">
        <f>IFERROR(IF(VLOOKUP(A538,Briefing_Req!A:M,13,0)&lt;&gt;"",VLOOKUP(A538,Briefing_Req!A:M,13,0),VLOOKUP(A538,Briefing_Req!A:M,3,0)),"")</f>
        <v/>
      </c>
      <c r="D538" s="51"/>
      <c r="E538" s="50"/>
      <c r="F538" s="51"/>
      <c r="G538" s="51"/>
      <c r="H538" s="51"/>
      <c r="I538" s="51"/>
      <c r="J538" s="51"/>
      <c r="K538" s="70"/>
      <c r="L538" s="72"/>
      <c r="M538" s="51"/>
      <c r="N538" s="51"/>
      <c r="O538" s="51"/>
      <c r="P538" s="69"/>
      <c r="Q538" s="69"/>
      <c r="R538" s="69"/>
      <c r="S538" s="69"/>
    </row>
    <row r="539" spans="1:19" ht="23.25" customHeight="1">
      <c r="A539" s="51"/>
      <c r="B539" s="50" t="str">
        <f>IFERROR(VLOOKUP(A539,Briefing_Req!A:M,2,0),"")</f>
        <v/>
      </c>
      <c r="C539" s="143" t="str">
        <f>IFERROR(IF(VLOOKUP(A539,Briefing_Req!A:M,13,0)&lt;&gt;"",VLOOKUP(A539,Briefing_Req!A:M,13,0),VLOOKUP(A539,Briefing_Req!A:M,3,0)),"")</f>
        <v/>
      </c>
      <c r="D539" s="51"/>
      <c r="E539" s="50"/>
      <c r="F539" s="51"/>
      <c r="G539" s="51"/>
      <c r="H539" s="51"/>
      <c r="I539" s="51"/>
      <c r="J539" s="51"/>
      <c r="K539" s="70"/>
      <c r="L539" s="72"/>
      <c r="M539" s="51"/>
      <c r="N539" s="51"/>
      <c r="O539" s="51"/>
      <c r="P539" s="69"/>
      <c r="Q539" s="69"/>
      <c r="R539" s="69"/>
      <c r="S539" s="69"/>
    </row>
    <row r="540" spans="1:19" ht="23.25" customHeight="1">
      <c r="A540" s="51"/>
      <c r="B540" s="50" t="str">
        <f>IFERROR(VLOOKUP(A540,Briefing_Req!A:M,2,0),"")</f>
        <v/>
      </c>
      <c r="C540" s="143" t="str">
        <f>IFERROR(IF(VLOOKUP(A540,Briefing_Req!A:M,13,0)&lt;&gt;"",VLOOKUP(A540,Briefing_Req!A:M,13,0),VLOOKUP(A540,Briefing_Req!A:M,3,0)),"")</f>
        <v/>
      </c>
      <c r="D540" s="51"/>
      <c r="E540" s="50"/>
      <c r="F540" s="51"/>
      <c r="G540" s="51"/>
      <c r="H540" s="51"/>
      <c r="I540" s="51"/>
      <c r="J540" s="51"/>
      <c r="K540" s="70"/>
      <c r="L540" s="72"/>
      <c r="M540" s="51"/>
      <c r="N540" s="51"/>
      <c r="O540" s="51"/>
      <c r="P540" s="69"/>
      <c r="Q540" s="69"/>
      <c r="R540" s="69"/>
      <c r="S540" s="69"/>
    </row>
    <row r="541" spans="1:19" ht="23.25" customHeight="1">
      <c r="A541" s="51"/>
      <c r="B541" s="50" t="str">
        <f>IFERROR(VLOOKUP(A541,Briefing_Req!A:M,2,0),"")</f>
        <v/>
      </c>
      <c r="C541" s="143" t="str">
        <f>IFERROR(IF(VLOOKUP(A541,Briefing_Req!A:M,13,0)&lt;&gt;"",VLOOKUP(A541,Briefing_Req!A:M,13,0),VLOOKUP(A541,Briefing_Req!A:M,3,0)),"")</f>
        <v/>
      </c>
      <c r="D541" s="51"/>
      <c r="E541" s="50"/>
      <c r="F541" s="51"/>
      <c r="G541" s="51"/>
      <c r="H541" s="51"/>
      <c r="I541" s="51"/>
      <c r="J541" s="51"/>
      <c r="K541" s="70"/>
      <c r="L541" s="72"/>
      <c r="M541" s="51"/>
      <c r="N541" s="51"/>
      <c r="O541" s="51"/>
      <c r="P541" s="69"/>
      <c r="Q541" s="69"/>
      <c r="R541" s="69"/>
      <c r="S541" s="69"/>
    </row>
    <row r="542" spans="1:19" ht="23.25" customHeight="1">
      <c r="A542" s="51"/>
      <c r="B542" s="50" t="str">
        <f>IFERROR(VLOOKUP(A542,Briefing_Req!A:M,2,0),"")</f>
        <v/>
      </c>
      <c r="C542" s="143" t="str">
        <f>IFERROR(IF(VLOOKUP(A542,Briefing_Req!A:M,13,0)&lt;&gt;"",VLOOKUP(A542,Briefing_Req!A:M,13,0),VLOOKUP(A542,Briefing_Req!A:M,3,0)),"")</f>
        <v/>
      </c>
      <c r="D542" s="51"/>
      <c r="E542" s="50"/>
      <c r="F542" s="51"/>
      <c r="G542" s="51"/>
      <c r="H542" s="51"/>
      <c r="I542" s="51"/>
      <c r="J542" s="51"/>
      <c r="K542" s="70"/>
      <c r="L542" s="72"/>
      <c r="M542" s="51"/>
      <c r="N542" s="51"/>
      <c r="O542" s="51"/>
      <c r="P542" s="69"/>
      <c r="Q542" s="69"/>
      <c r="R542" s="69"/>
      <c r="S542" s="69"/>
    </row>
    <row r="543" spans="1:19" ht="23.25" customHeight="1">
      <c r="A543" s="51"/>
      <c r="B543" s="50" t="str">
        <f>IFERROR(VLOOKUP(A543,Briefing_Req!A:M,2,0),"")</f>
        <v/>
      </c>
      <c r="C543" s="143" t="str">
        <f>IFERROR(IF(VLOOKUP(A543,Briefing_Req!A:M,13,0)&lt;&gt;"",VLOOKUP(A543,Briefing_Req!A:M,13,0),VLOOKUP(A543,Briefing_Req!A:M,3,0)),"")</f>
        <v/>
      </c>
      <c r="D543" s="51"/>
      <c r="E543" s="50"/>
      <c r="F543" s="51"/>
      <c r="G543" s="51"/>
      <c r="H543" s="51"/>
      <c r="I543" s="51"/>
      <c r="J543" s="51"/>
      <c r="K543" s="70"/>
      <c r="L543" s="72"/>
      <c r="M543" s="51"/>
      <c r="N543" s="51"/>
      <c r="O543" s="51"/>
      <c r="P543" s="69"/>
      <c r="Q543" s="69"/>
      <c r="R543" s="69"/>
      <c r="S543" s="69"/>
    </row>
    <row r="544" spans="1:19" ht="23.25" customHeight="1">
      <c r="A544" s="51"/>
      <c r="B544" s="50" t="str">
        <f>IFERROR(VLOOKUP(A544,Briefing_Req!A:M,2,0),"")</f>
        <v/>
      </c>
      <c r="C544" s="143" t="str">
        <f>IFERROR(IF(VLOOKUP(A544,Briefing_Req!A:M,13,0)&lt;&gt;"",VLOOKUP(A544,Briefing_Req!A:M,13,0),VLOOKUP(A544,Briefing_Req!A:M,3,0)),"")</f>
        <v/>
      </c>
      <c r="D544" s="51"/>
      <c r="E544" s="50"/>
      <c r="F544" s="51"/>
      <c r="G544" s="51"/>
      <c r="H544" s="51"/>
      <c r="I544" s="51"/>
      <c r="J544" s="51"/>
      <c r="K544" s="70"/>
      <c r="L544" s="72"/>
      <c r="M544" s="51"/>
      <c r="N544" s="51"/>
      <c r="O544" s="51"/>
      <c r="P544" s="69"/>
      <c r="Q544" s="69"/>
      <c r="R544" s="69"/>
      <c r="S544" s="69"/>
    </row>
    <row r="545" spans="1:19" ht="23.25" customHeight="1">
      <c r="A545" s="51"/>
      <c r="B545" s="50" t="str">
        <f>IFERROR(VLOOKUP(A545,Briefing_Req!A:M,2,0),"")</f>
        <v/>
      </c>
      <c r="C545" s="143" t="str">
        <f>IFERROR(IF(VLOOKUP(A545,Briefing_Req!A:M,13,0)&lt;&gt;"",VLOOKUP(A545,Briefing_Req!A:M,13,0),VLOOKUP(A545,Briefing_Req!A:M,3,0)),"")</f>
        <v/>
      </c>
      <c r="D545" s="51"/>
      <c r="E545" s="50"/>
      <c r="F545" s="51"/>
      <c r="G545" s="51"/>
      <c r="H545" s="51"/>
      <c r="I545" s="51"/>
      <c r="J545" s="51"/>
      <c r="K545" s="70"/>
      <c r="L545" s="72"/>
      <c r="M545" s="51"/>
      <c r="N545" s="51"/>
      <c r="O545" s="51"/>
      <c r="P545" s="69"/>
      <c r="Q545" s="69"/>
      <c r="R545" s="69"/>
      <c r="S545" s="69"/>
    </row>
    <row r="546" spans="1:19" ht="23.25" customHeight="1">
      <c r="A546" s="51"/>
      <c r="B546" s="50" t="str">
        <f>IFERROR(VLOOKUP(A546,Briefing_Req!A:M,2,0),"")</f>
        <v/>
      </c>
      <c r="C546" s="143" t="str">
        <f>IFERROR(IF(VLOOKUP(A546,Briefing_Req!A:M,13,0)&lt;&gt;"",VLOOKUP(A546,Briefing_Req!A:M,13,0),VLOOKUP(A546,Briefing_Req!A:M,3,0)),"")</f>
        <v/>
      </c>
      <c r="D546" s="51"/>
      <c r="E546" s="50"/>
      <c r="F546" s="51"/>
      <c r="G546" s="51"/>
      <c r="H546" s="51"/>
      <c r="I546" s="51"/>
      <c r="J546" s="51"/>
      <c r="K546" s="70"/>
      <c r="L546" s="72"/>
      <c r="M546" s="51"/>
      <c r="N546" s="51"/>
      <c r="O546" s="51"/>
      <c r="P546" s="69"/>
      <c r="Q546" s="69"/>
      <c r="R546" s="69"/>
      <c r="S546" s="69"/>
    </row>
    <row r="547" spans="1:19" ht="23.25" customHeight="1">
      <c r="A547" s="51"/>
      <c r="B547" s="50" t="str">
        <f>IFERROR(VLOOKUP(A547,Briefing_Req!A:M,2,0),"")</f>
        <v/>
      </c>
      <c r="C547" s="143" t="str">
        <f>IFERROR(IF(VLOOKUP(A547,Briefing_Req!A:M,13,0)&lt;&gt;"",VLOOKUP(A547,Briefing_Req!A:M,13,0),VLOOKUP(A547,Briefing_Req!A:M,3,0)),"")</f>
        <v/>
      </c>
      <c r="D547" s="51"/>
      <c r="E547" s="50"/>
      <c r="F547" s="51"/>
      <c r="G547" s="51"/>
      <c r="H547" s="51"/>
      <c r="I547" s="51"/>
      <c r="J547" s="51"/>
      <c r="K547" s="70"/>
      <c r="L547" s="72"/>
      <c r="M547" s="51"/>
      <c r="N547" s="51"/>
      <c r="O547" s="51"/>
      <c r="P547" s="69"/>
      <c r="Q547" s="69"/>
      <c r="R547" s="69"/>
      <c r="S547" s="69"/>
    </row>
    <row r="548" spans="1:19" ht="23.25" customHeight="1">
      <c r="A548" s="51"/>
      <c r="B548" s="50" t="str">
        <f>IFERROR(VLOOKUP(A548,Briefing_Req!A:M,2,0),"")</f>
        <v/>
      </c>
      <c r="C548" s="143" t="str">
        <f>IFERROR(IF(VLOOKUP(A548,Briefing_Req!A:M,13,0)&lt;&gt;"",VLOOKUP(A548,Briefing_Req!A:M,13,0),VLOOKUP(A548,Briefing_Req!A:M,3,0)),"")</f>
        <v/>
      </c>
      <c r="D548" s="51"/>
      <c r="E548" s="50"/>
      <c r="F548" s="51"/>
      <c r="G548" s="51"/>
      <c r="H548" s="51"/>
      <c r="I548" s="51"/>
      <c r="J548" s="51"/>
      <c r="K548" s="70"/>
      <c r="L548" s="72"/>
      <c r="M548" s="51"/>
      <c r="N548" s="51"/>
      <c r="O548" s="51"/>
      <c r="P548" s="69"/>
      <c r="Q548" s="69"/>
      <c r="R548" s="69"/>
      <c r="S548" s="69"/>
    </row>
    <row r="549" spans="1:19" ht="23.25" customHeight="1">
      <c r="A549" s="51"/>
      <c r="B549" s="50" t="str">
        <f>IFERROR(VLOOKUP(A549,Briefing_Req!A:M,2,0),"")</f>
        <v/>
      </c>
      <c r="C549" s="143" t="str">
        <f>IFERROR(IF(VLOOKUP(A549,Briefing_Req!A:M,13,0)&lt;&gt;"",VLOOKUP(A549,Briefing_Req!A:M,13,0),VLOOKUP(A549,Briefing_Req!A:M,3,0)),"")</f>
        <v/>
      </c>
      <c r="D549" s="51"/>
      <c r="E549" s="50"/>
      <c r="F549" s="51"/>
      <c r="G549" s="51"/>
      <c r="H549" s="51"/>
      <c r="I549" s="51"/>
      <c r="J549" s="51"/>
      <c r="K549" s="70"/>
      <c r="L549" s="72"/>
      <c r="M549" s="51"/>
      <c r="N549" s="51"/>
      <c r="O549" s="51"/>
      <c r="P549" s="69"/>
      <c r="Q549" s="69"/>
      <c r="R549" s="69"/>
      <c r="S549" s="69"/>
    </row>
    <row r="550" spans="1:19" ht="23.25" customHeight="1">
      <c r="A550" s="51"/>
      <c r="B550" s="50" t="str">
        <f>IFERROR(VLOOKUP(A550,Briefing_Req!A:M,2,0),"")</f>
        <v/>
      </c>
      <c r="C550" s="143" t="str">
        <f>IFERROR(IF(VLOOKUP(A550,Briefing_Req!A:M,13,0)&lt;&gt;"",VLOOKUP(A550,Briefing_Req!A:M,13,0),VLOOKUP(A550,Briefing_Req!A:M,3,0)),"")</f>
        <v/>
      </c>
      <c r="D550" s="51"/>
      <c r="E550" s="50"/>
      <c r="F550" s="51"/>
      <c r="G550" s="51"/>
      <c r="H550" s="51"/>
      <c r="I550" s="51"/>
      <c r="J550" s="51"/>
      <c r="K550" s="70"/>
      <c r="L550" s="72"/>
      <c r="M550" s="51"/>
      <c r="N550" s="51"/>
      <c r="O550" s="51"/>
      <c r="P550" s="69"/>
      <c r="Q550" s="69"/>
      <c r="R550" s="69"/>
      <c r="S550" s="69"/>
    </row>
    <row r="551" spans="1:19" ht="23.25" customHeight="1">
      <c r="A551" s="51"/>
      <c r="B551" s="50" t="str">
        <f>IFERROR(VLOOKUP(A551,Briefing_Req!A:M,2,0),"")</f>
        <v/>
      </c>
      <c r="C551" s="143" t="str">
        <f>IFERROR(IF(VLOOKUP(A551,Briefing_Req!A:M,13,0)&lt;&gt;"",VLOOKUP(A551,Briefing_Req!A:M,13,0),VLOOKUP(A551,Briefing_Req!A:M,3,0)),"")</f>
        <v/>
      </c>
      <c r="D551" s="51"/>
      <c r="E551" s="50"/>
      <c r="F551" s="51"/>
      <c r="G551" s="51"/>
      <c r="H551" s="51"/>
      <c r="I551" s="51"/>
      <c r="J551" s="51"/>
      <c r="K551" s="70"/>
      <c r="L551" s="72"/>
      <c r="M551" s="51"/>
      <c r="N551" s="51"/>
      <c r="O551" s="51"/>
      <c r="P551" s="69"/>
      <c r="Q551" s="69"/>
      <c r="R551" s="69"/>
      <c r="S551" s="69"/>
    </row>
    <row r="552" spans="1:19" ht="23.25" customHeight="1">
      <c r="A552" s="51"/>
      <c r="B552" s="50" t="str">
        <f>IFERROR(VLOOKUP(A552,Briefing_Req!A:M,2,0),"")</f>
        <v/>
      </c>
      <c r="C552" s="143" t="str">
        <f>IFERROR(IF(VLOOKUP(A552,Briefing_Req!A:M,13,0)&lt;&gt;"",VLOOKUP(A552,Briefing_Req!A:M,13,0),VLOOKUP(A552,Briefing_Req!A:M,3,0)),"")</f>
        <v/>
      </c>
      <c r="D552" s="51"/>
      <c r="E552" s="50"/>
      <c r="F552" s="51"/>
      <c r="G552" s="51"/>
      <c r="H552" s="51"/>
      <c r="I552" s="51"/>
      <c r="J552" s="51"/>
      <c r="K552" s="70"/>
      <c r="L552" s="72"/>
      <c r="M552" s="51"/>
      <c r="N552" s="51"/>
      <c r="O552" s="51"/>
      <c r="P552" s="69"/>
      <c r="Q552" s="69"/>
      <c r="R552" s="69"/>
      <c r="S552" s="69"/>
    </row>
    <row r="553" spans="1:19" ht="23.25" customHeight="1">
      <c r="A553" s="51"/>
      <c r="B553" s="50" t="str">
        <f>IFERROR(VLOOKUP(A553,Briefing_Req!A:M,2,0),"")</f>
        <v/>
      </c>
      <c r="C553" s="143" t="str">
        <f>IFERROR(IF(VLOOKUP(A553,Briefing_Req!A:M,13,0)&lt;&gt;"",VLOOKUP(A553,Briefing_Req!A:M,13,0),VLOOKUP(A553,Briefing_Req!A:M,3,0)),"")</f>
        <v/>
      </c>
      <c r="D553" s="51"/>
      <c r="E553" s="50"/>
      <c r="F553" s="51"/>
      <c r="G553" s="51"/>
      <c r="H553" s="51"/>
      <c r="I553" s="51"/>
      <c r="J553" s="51"/>
      <c r="K553" s="70"/>
      <c r="L553" s="72"/>
      <c r="M553" s="51"/>
      <c r="N553" s="51"/>
      <c r="O553" s="51"/>
      <c r="P553" s="69"/>
      <c r="Q553" s="69"/>
      <c r="R553" s="69"/>
      <c r="S553" s="69"/>
    </row>
    <row r="554" spans="1:19" ht="23.25" customHeight="1">
      <c r="A554" s="51"/>
      <c r="B554" s="50" t="str">
        <f>IFERROR(VLOOKUP(A554,Briefing_Req!A:M,2,0),"")</f>
        <v/>
      </c>
      <c r="C554" s="143" t="str">
        <f>IFERROR(IF(VLOOKUP(A554,Briefing_Req!A:M,13,0)&lt;&gt;"",VLOOKUP(A554,Briefing_Req!A:M,13,0),VLOOKUP(A554,Briefing_Req!A:M,3,0)),"")</f>
        <v/>
      </c>
      <c r="D554" s="51"/>
      <c r="E554" s="50"/>
      <c r="F554" s="51"/>
      <c r="G554" s="51"/>
      <c r="H554" s="51"/>
      <c r="I554" s="51"/>
      <c r="J554" s="51"/>
      <c r="K554" s="70"/>
      <c r="L554" s="72"/>
      <c r="M554" s="51"/>
      <c r="N554" s="51"/>
      <c r="O554" s="51"/>
      <c r="P554" s="69"/>
      <c r="Q554" s="69"/>
      <c r="R554" s="69"/>
      <c r="S554" s="69"/>
    </row>
    <row r="555" spans="1:19" ht="23.25" customHeight="1">
      <c r="A555" s="51"/>
      <c r="B555" s="50" t="str">
        <f>IFERROR(VLOOKUP(A555,Briefing_Req!A:M,2,0),"")</f>
        <v/>
      </c>
      <c r="C555" s="143" t="str">
        <f>IFERROR(IF(VLOOKUP(A555,Briefing_Req!A:M,13,0)&lt;&gt;"",VLOOKUP(A555,Briefing_Req!A:M,13,0),VLOOKUP(A555,Briefing_Req!A:M,3,0)),"")</f>
        <v/>
      </c>
      <c r="D555" s="51"/>
      <c r="E555" s="50"/>
      <c r="F555" s="51"/>
      <c r="G555" s="51"/>
      <c r="H555" s="51"/>
      <c r="I555" s="51"/>
      <c r="J555" s="51"/>
      <c r="K555" s="70"/>
      <c r="L555" s="72"/>
      <c r="M555" s="51"/>
      <c r="N555" s="51"/>
      <c r="O555" s="51"/>
      <c r="P555" s="69"/>
      <c r="Q555" s="69"/>
      <c r="R555" s="69"/>
      <c r="S555" s="69"/>
    </row>
    <row r="556" spans="1:19" ht="23.25" customHeight="1">
      <c r="A556" s="51"/>
      <c r="B556" s="50" t="str">
        <f>IFERROR(VLOOKUP(A556,Briefing_Req!A:M,2,0),"")</f>
        <v/>
      </c>
      <c r="C556" s="143" t="str">
        <f>IFERROR(IF(VLOOKUP(A556,Briefing_Req!A:M,13,0)&lt;&gt;"",VLOOKUP(A556,Briefing_Req!A:M,13,0),VLOOKUP(A556,Briefing_Req!A:M,3,0)),"")</f>
        <v/>
      </c>
      <c r="D556" s="51"/>
      <c r="E556" s="50"/>
      <c r="F556" s="51"/>
      <c r="G556" s="51"/>
      <c r="H556" s="51"/>
      <c r="I556" s="51"/>
      <c r="J556" s="51"/>
      <c r="K556" s="70"/>
      <c r="L556" s="72"/>
      <c r="M556" s="51"/>
      <c r="N556" s="51"/>
      <c r="O556" s="51"/>
      <c r="P556" s="69"/>
      <c r="Q556" s="69"/>
      <c r="R556" s="69"/>
      <c r="S556" s="69"/>
    </row>
    <row r="557" spans="1:19" ht="23.25" customHeight="1">
      <c r="A557" s="51"/>
      <c r="B557" s="50" t="str">
        <f>IFERROR(VLOOKUP(A557,Briefing_Req!A:M,2,0),"")</f>
        <v/>
      </c>
      <c r="C557" s="143" t="str">
        <f>IFERROR(IF(VLOOKUP(A557,Briefing_Req!A:M,13,0)&lt;&gt;"",VLOOKUP(A557,Briefing_Req!A:M,13,0),VLOOKUP(A557,Briefing_Req!A:M,3,0)),"")</f>
        <v/>
      </c>
      <c r="D557" s="51"/>
      <c r="E557" s="50"/>
      <c r="F557" s="51"/>
      <c r="G557" s="51"/>
      <c r="H557" s="51"/>
      <c r="I557" s="51"/>
      <c r="J557" s="51"/>
      <c r="K557" s="70"/>
      <c r="L557" s="72"/>
      <c r="M557" s="51"/>
      <c r="N557" s="51"/>
      <c r="O557" s="51"/>
      <c r="P557" s="69"/>
      <c r="Q557" s="69"/>
      <c r="R557" s="69"/>
      <c r="S557" s="69"/>
    </row>
    <row r="558" spans="1:19" ht="23.25" customHeight="1">
      <c r="A558" s="51"/>
      <c r="B558" s="50" t="str">
        <f>IFERROR(VLOOKUP(A558,Briefing_Req!A:M,2,0),"")</f>
        <v/>
      </c>
      <c r="C558" s="143" t="str">
        <f>IFERROR(IF(VLOOKUP(A558,Briefing_Req!A:M,13,0)&lt;&gt;"",VLOOKUP(A558,Briefing_Req!A:M,13,0),VLOOKUP(A558,Briefing_Req!A:M,3,0)),"")</f>
        <v/>
      </c>
      <c r="D558" s="51"/>
      <c r="E558" s="50"/>
      <c r="F558" s="51"/>
      <c r="G558" s="51"/>
      <c r="H558" s="51"/>
      <c r="I558" s="51"/>
      <c r="J558" s="51"/>
      <c r="K558" s="70"/>
      <c r="L558" s="72"/>
      <c r="M558" s="51"/>
      <c r="N558" s="51"/>
      <c r="O558" s="51"/>
      <c r="P558" s="69"/>
      <c r="Q558" s="69"/>
      <c r="R558" s="69"/>
      <c r="S558" s="69"/>
    </row>
    <row r="559" spans="1:19" ht="23.25" customHeight="1">
      <c r="A559" s="51"/>
      <c r="B559" s="50" t="str">
        <f>IFERROR(VLOOKUP(A559,Briefing_Req!A:M,2,0),"")</f>
        <v/>
      </c>
      <c r="C559" s="143" t="str">
        <f>IFERROR(IF(VLOOKUP(A559,Briefing_Req!A:M,13,0)&lt;&gt;"",VLOOKUP(A559,Briefing_Req!A:M,13,0),VLOOKUP(A559,Briefing_Req!A:M,3,0)),"")</f>
        <v/>
      </c>
      <c r="D559" s="51"/>
      <c r="E559" s="50"/>
      <c r="F559" s="51"/>
      <c r="G559" s="51"/>
      <c r="H559" s="51"/>
      <c r="I559" s="51"/>
      <c r="J559" s="51"/>
      <c r="K559" s="70"/>
      <c r="L559" s="72"/>
      <c r="M559" s="51"/>
      <c r="N559" s="51"/>
      <c r="O559" s="51"/>
      <c r="P559" s="69"/>
      <c r="Q559" s="69"/>
      <c r="R559" s="69"/>
      <c r="S559" s="69"/>
    </row>
    <row r="560" spans="1:19" ht="23.25" customHeight="1">
      <c r="A560" s="51"/>
      <c r="B560" s="50" t="str">
        <f>IFERROR(VLOOKUP(A560,Briefing_Req!A:M,2,0),"")</f>
        <v/>
      </c>
      <c r="C560" s="143" t="str">
        <f>IFERROR(IF(VLOOKUP(A560,Briefing_Req!A:M,13,0)&lt;&gt;"",VLOOKUP(A560,Briefing_Req!A:M,13,0),VLOOKUP(A560,Briefing_Req!A:M,3,0)),"")</f>
        <v/>
      </c>
      <c r="D560" s="51"/>
      <c r="E560" s="50"/>
      <c r="F560" s="51"/>
      <c r="G560" s="51"/>
      <c r="H560" s="51"/>
      <c r="I560" s="51"/>
      <c r="J560" s="51"/>
      <c r="K560" s="70"/>
      <c r="L560" s="72"/>
      <c r="M560" s="51"/>
      <c r="N560" s="51"/>
      <c r="O560" s="51"/>
      <c r="P560" s="69"/>
      <c r="Q560" s="69"/>
      <c r="R560" s="69"/>
      <c r="S560" s="69"/>
    </row>
    <row r="561" spans="1:19" ht="23.25" customHeight="1">
      <c r="A561" s="51"/>
      <c r="B561" s="50" t="str">
        <f>IFERROR(VLOOKUP(A561,Briefing_Req!A:M,2,0),"")</f>
        <v/>
      </c>
      <c r="C561" s="143" t="str">
        <f>IFERROR(IF(VLOOKUP(A561,Briefing_Req!A:M,13,0)&lt;&gt;"",VLOOKUP(A561,Briefing_Req!A:M,13,0),VLOOKUP(A561,Briefing_Req!A:M,3,0)),"")</f>
        <v/>
      </c>
      <c r="D561" s="51"/>
      <c r="E561" s="50"/>
      <c r="F561" s="51"/>
      <c r="G561" s="51"/>
      <c r="H561" s="51"/>
      <c r="I561" s="51"/>
      <c r="J561" s="51"/>
      <c r="K561" s="70"/>
      <c r="L561" s="72"/>
      <c r="M561" s="51"/>
      <c r="N561" s="51"/>
      <c r="O561" s="51"/>
      <c r="P561" s="69"/>
      <c r="Q561" s="69"/>
      <c r="R561" s="69"/>
      <c r="S561" s="69"/>
    </row>
    <row r="562" spans="1:19" ht="23.25" customHeight="1">
      <c r="A562" s="51"/>
      <c r="B562" s="50" t="str">
        <f>IFERROR(VLOOKUP(A562,Briefing_Req!A:M,2,0),"")</f>
        <v/>
      </c>
      <c r="C562" s="143" t="str">
        <f>IFERROR(IF(VLOOKUP(A562,Briefing_Req!A:M,13,0)&lt;&gt;"",VLOOKUP(A562,Briefing_Req!A:M,13,0),VLOOKUP(A562,Briefing_Req!A:M,3,0)),"")</f>
        <v/>
      </c>
      <c r="D562" s="51"/>
      <c r="E562" s="50"/>
      <c r="F562" s="51"/>
      <c r="G562" s="51"/>
      <c r="H562" s="51"/>
      <c r="I562" s="51"/>
      <c r="J562" s="51"/>
      <c r="K562" s="70"/>
      <c r="L562" s="72"/>
      <c r="M562" s="51"/>
      <c r="N562" s="51"/>
      <c r="O562" s="51"/>
      <c r="P562" s="69"/>
      <c r="Q562" s="69"/>
      <c r="R562" s="69"/>
      <c r="S562" s="69"/>
    </row>
    <row r="563" spans="1:19" ht="23.25" customHeight="1">
      <c r="A563" s="51"/>
      <c r="B563" s="50" t="str">
        <f>IFERROR(VLOOKUP(A563,Briefing_Req!A:M,2,0),"")</f>
        <v/>
      </c>
      <c r="C563" s="143" t="str">
        <f>IFERROR(IF(VLOOKUP(A563,Briefing_Req!A:M,13,0)&lt;&gt;"",VLOOKUP(A563,Briefing_Req!A:M,13,0),VLOOKUP(A563,Briefing_Req!A:M,3,0)),"")</f>
        <v/>
      </c>
      <c r="D563" s="51"/>
      <c r="E563" s="50"/>
      <c r="F563" s="51"/>
      <c r="G563" s="51"/>
      <c r="H563" s="51"/>
      <c r="I563" s="51"/>
      <c r="J563" s="51"/>
      <c r="K563" s="70"/>
      <c r="L563" s="72"/>
      <c r="M563" s="51"/>
      <c r="N563" s="51"/>
      <c r="O563" s="51"/>
      <c r="P563" s="69"/>
      <c r="Q563" s="69"/>
      <c r="R563" s="69"/>
      <c r="S563" s="69"/>
    </row>
    <row r="564" spans="1:19" ht="23.25" customHeight="1">
      <c r="A564" s="51"/>
      <c r="B564" s="50" t="str">
        <f>IFERROR(VLOOKUP(A564,Briefing_Req!A:M,2,0),"")</f>
        <v/>
      </c>
      <c r="C564" s="143" t="str">
        <f>IFERROR(IF(VLOOKUP(A564,Briefing_Req!A:M,13,0)&lt;&gt;"",VLOOKUP(A564,Briefing_Req!A:M,13,0),VLOOKUP(A564,Briefing_Req!A:M,3,0)),"")</f>
        <v/>
      </c>
      <c r="D564" s="51"/>
      <c r="E564" s="50"/>
      <c r="F564" s="51"/>
      <c r="G564" s="51"/>
      <c r="H564" s="51"/>
      <c r="I564" s="51"/>
      <c r="J564" s="51"/>
      <c r="K564" s="70"/>
      <c r="L564" s="72"/>
      <c r="M564" s="51"/>
      <c r="N564" s="51"/>
      <c r="O564" s="51"/>
      <c r="P564" s="69"/>
      <c r="Q564" s="69"/>
      <c r="R564" s="69"/>
      <c r="S564" s="69"/>
    </row>
    <row r="565" spans="1:19" ht="23.25" customHeight="1">
      <c r="A565" s="51"/>
      <c r="B565" s="50" t="str">
        <f>IFERROR(VLOOKUP(A565,Briefing_Req!A:M,2,0),"")</f>
        <v/>
      </c>
      <c r="C565" s="143" t="str">
        <f>IFERROR(IF(VLOOKUP(A565,Briefing_Req!A:M,13,0)&lt;&gt;"",VLOOKUP(A565,Briefing_Req!A:M,13,0),VLOOKUP(A565,Briefing_Req!A:M,3,0)),"")</f>
        <v/>
      </c>
      <c r="D565" s="51"/>
      <c r="E565" s="50"/>
      <c r="F565" s="51"/>
      <c r="G565" s="51"/>
      <c r="H565" s="51"/>
      <c r="I565" s="51"/>
      <c r="J565" s="51"/>
      <c r="K565" s="70"/>
      <c r="L565" s="72"/>
      <c r="M565" s="51"/>
      <c r="N565" s="51"/>
      <c r="O565" s="51"/>
      <c r="P565" s="69"/>
      <c r="Q565" s="69"/>
      <c r="R565" s="69"/>
      <c r="S565" s="69"/>
    </row>
    <row r="566" spans="1:19" ht="23.25" customHeight="1">
      <c r="A566" s="51"/>
      <c r="B566" s="50" t="str">
        <f>IFERROR(VLOOKUP(A566,Briefing_Req!A:M,2,0),"")</f>
        <v/>
      </c>
      <c r="C566" s="143" t="str">
        <f>IFERROR(IF(VLOOKUP(A566,Briefing_Req!A:M,13,0)&lt;&gt;"",VLOOKUP(A566,Briefing_Req!A:M,13,0),VLOOKUP(A566,Briefing_Req!A:M,3,0)),"")</f>
        <v/>
      </c>
      <c r="D566" s="51"/>
      <c r="E566" s="50"/>
      <c r="F566" s="51"/>
      <c r="G566" s="51"/>
      <c r="H566" s="51"/>
      <c r="I566" s="51"/>
      <c r="J566" s="51"/>
      <c r="K566" s="70"/>
      <c r="L566" s="72"/>
      <c r="M566" s="51"/>
      <c r="N566" s="51"/>
      <c r="O566" s="51"/>
      <c r="P566" s="69"/>
      <c r="Q566" s="69"/>
      <c r="R566" s="69"/>
      <c r="S566" s="69"/>
    </row>
    <row r="567" spans="1:19" ht="23.25" customHeight="1">
      <c r="A567" s="51"/>
      <c r="B567" s="50" t="str">
        <f>IFERROR(VLOOKUP(A567,Briefing_Req!A:M,2,0),"")</f>
        <v/>
      </c>
      <c r="C567" s="143" t="str">
        <f>IFERROR(IF(VLOOKUP(A567,Briefing_Req!A:M,13,0)&lt;&gt;"",VLOOKUP(A567,Briefing_Req!A:M,13,0),VLOOKUP(A567,Briefing_Req!A:M,3,0)),"")</f>
        <v/>
      </c>
      <c r="D567" s="51"/>
      <c r="E567" s="50"/>
      <c r="F567" s="51"/>
      <c r="G567" s="51"/>
      <c r="H567" s="51"/>
      <c r="I567" s="51"/>
      <c r="J567" s="51"/>
      <c r="K567" s="70"/>
      <c r="L567" s="72"/>
      <c r="M567" s="51"/>
      <c r="N567" s="51"/>
      <c r="O567" s="51"/>
      <c r="P567" s="69"/>
      <c r="Q567" s="69"/>
      <c r="R567" s="69"/>
      <c r="S567" s="69"/>
    </row>
    <row r="568" spans="1:19" ht="23.25" customHeight="1">
      <c r="A568" s="51"/>
      <c r="B568" s="50" t="str">
        <f>IFERROR(VLOOKUP(A568,Briefing_Req!A:M,2,0),"")</f>
        <v/>
      </c>
      <c r="C568" s="143" t="str">
        <f>IFERROR(IF(VLOOKUP(A568,Briefing_Req!A:M,13,0)&lt;&gt;"",VLOOKUP(A568,Briefing_Req!A:M,13,0),VLOOKUP(A568,Briefing_Req!A:M,3,0)),"")</f>
        <v/>
      </c>
      <c r="D568" s="51"/>
      <c r="E568" s="50"/>
      <c r="F568" s="51"/>
      <c r="G568" s="51"/>
      <c r="H568" s="51"/>
      <c r="I568" s="51"/>
      <c r="J568" s="51"/>
      <c r="K568" s="70"/>
      <c r="L568" s="72"/>
      <c r="M568" s="51"/>
      <c r="N568" s="51"/>
      <c r="O568" s="51"/>
      <c r="P568" s="69"/>
      <c r="Q568" s="69"/>
      <c r="R568" s="69"/>
      <c r="S568" s="69"/>
    </row>
    <row r="569" spans="1:19" ht="23.25" customHeight="1">
      <c r="A569" s="51"/>
      <c r="B569" s="50" t="str">
        <f>IFERROR(VLOOKUP(A569,Briefing_Req!A:M,2,0),"")</f>
        <v/>
      </c>
      <c r="C569" s="143" t="str">
        <f>IFERROR(IF(VLOOKUP(A569,Briefing_Req!A:M,13,0)&lt;&gt;"",VLOOKUP(A569,Briefing_Req!A:M,13,0),VLOOKUP(A569,Briefing_Req!A:M,3,0)),"")</f>
        <v/>
      </c>
      <c r="D569" s="51"/>
      <c r="E569" s="50"/>
      <c r="F569" s="51"/>
      <c r="G569" s="51"/>
      <c r="H569" s="51"/>
      <c r="I569" s="51"/>
      <c r="J569" s="51"/>
      <c r="K569" s="70"/>
      <c r="L569" s="72"/>
      <c r="M569" s="51"/>
      <c r="N569" s="51"/>
      <c r="O569" s="51"/>
      <c r="P569" s="69"/>
      <c r="Q569" s="69"/>
      <c r="R569" s="69"/>
      <c r="S569" s="69"/>
    </row>
    <row r="570" spans="1:19" ht="23.25" customHeight="1">
      <c r="A570" s="51"/>
      <c r="B570" s="50" t="str">
        <f>IFERROR(VLOOKUP(A570,Briefing_Req!A:M,2,0),"")</f>
        <v/>
      </c>
      <c r="C570" s="143" t="str">
        <f>IFERROR(IF(VLOOKUP(A570,Briefing_Req!A:M,13,0)&lt;&gt;"",VLOOKUP(A570,Briefing_Req!A:M,13,0),VLOOKUP(A570,Briefing_Req!A:M,3,0)),"")</f>
        <v/>
      </c>
      <c r="D570" s="51"/>
      <c r="E570" s="50"/>
      <c r="F570" s="51"/>
      <c r="G570" s="51"/>
      <c r="H570" s="51"/>
      <c r="I570" s="51"/>
      <c r="J570" s="51"/>
      <c r="K570" s="70"/>
      <c r="L570" s="72"/>
      <c r="M570" s="51"/>
      <c r="N570" s="51"/>
      <c r="O570" s="51"/>
      <c r="P570" s="69"/>
      <c r="Q570" s="69"/>
      <c r="R570" s="69"/>
      <c r="S570" s="69"/>
    </row>
    <row r="571" spans="1:19" ht="23.25" customHeight="1">
      <c r="A571" s="51"/>
      <c r="B571" s="50" t="str">
        <f>IFERROR(VLOOKUP(A571,Briefing_Req!A:M,2,0),"")</f>
        <v/>
      </c>
      <c r="C571" s="143" t="str">
        <f>IFERROR(IF(VLOOKUP(A571,Briefing_Req!A:M,13,0)&lt;&gt;"",VLOOKUP(A571,Briefing_Req!A:M,13,0),VLOOKUP(A571,Briefing_Req!A:M,3,0)),"")</f>
        <v/>
      </c>
      <c r="D571" s="51"/>
      <c r="E571" s="50"/>
      <c r="F571" s="51"/>
      <c r="G571" s="51"/>
      <c r="H571" s="51"/>
      <c r="I571" s="51"/>
      <c r="J571" s="51"/>
      <c r="K571" s="70"/>
      <c r="L571" s="72"/>
      <c r="M571" s="51"/>
      <c r="N571" s="51"/>
      <c r="O571" s="51"/>
      <c r="P571" s="69"/>
      <c r="Q571" s="69"/>
      <c r="R571" s="69"/>
      <c r="S571" s="69"/>
    </row>
    <row r="572" spans="1:19" ht="23.25" customHeight="1">
      <c r="A572" s="51"/>
      <c r="B572" s="50" t="str">
        <f>IFERROR(VLOOKUP(A572,Briefing_Req!A:M,2,0),"")</f>
        <v/>
      </c>
      <c r="C572" s="143" t="str">
        <f>IFERROR(IF(VLOOKUP(A572,Briefing_Req!A:M,13,0)&lt;&gt;"",VLOOKUP(A572,Briefing_Req!A:M,13,0),VLOOKUP(A572,Briefing_Req!A:M,3,0)),"")</f>
        <v/>
      </c>
      <c r="D572" s="51"/>
      <c r="E572" s="50"/>
      <c r="F572" s="51"/>
      <c r="G572" s="51"/>
      <c r="H572" s="51"/>
      <c r="I572" s="51"/>
      <c r="J572" s="51"/>
      <c r="K572" s="70"/>
      <c r="L572" s="72"/>
      <c r="M572" s="51"/>
      <c r="N572" s="51"/>
      <c r="O572" s="51"/>
      <c r="P572" s="69"/>
      <c r="Q572" s="69"/>
      <c r="R572" s="69"/>
      <c r="S572" s="69"/>
    </row>
    <row r="573" spans="1:19" ht="23.25" customHeight="1">
      <c r="A573" s="51"/>
      <c r="B573" s="50" t="str">
        <f>IFERROR(VLOOKUP(A573,Briefing_Req!A:M,2,0),"")</f>
        <v/>
      </c>
      <c r="C573" s="143" t="str">
        <f>IFERROR(IF(VLOOKUP(A573,Briefing_Req!A:M,13,0)&lt;&gt;"",VLOOKUP(A573,Briefing_Req!A:M,13,0),VLOOKUP(A573,Briefing_Req!A:M,3,0)),"")</f>
        <v/>
      </c>
      <c r="D573" s="51"/>
      <c r="E573" s="50"/>
      <c r="F573" s="51"/>
      <c r="G573" s="51"/>
      <c r="H573" s="51"/>
      <c r="I573" s="51"/>
      <c r="J573" s="51"/>
      <c r="K573" s="70"/>
      <c r="L573" s="72"/>
      <c r="M573" s="51"/>
      <c r="N573" s="51"/>
      <c r="O573" s="51"/>
      <c r="P573" s="69"/>
      <c r="Q573" s="69"/>
      <c r="R573" s="69"/>
      <c r="S573" s="69"/>
    </row>
    <row r="574" spans="1:19" ht="23.25" customHeight="1">
      <c r="A574" s="51"/>
      <c r="B574" s="50" t="str">
        <f>IFERROR(VLOOKUP(A574,Briefing_Req!A:M,2,0),"")</f>
        <v/>
      </c>
      <c r="C574" s="143" t="str">
        <f>IFERROR(IF(VLOOKUP(A574,Briefing_Req!A:M,13,0)&lt;&gt;"",VLOOKUP(A574,Briefing_Req!A:M,13,0),VLOOKUP(A574,Briefing_Req!A:M,3,0)),"")</f>
        <v/>
      </c>
      <c r="D574" s="51"/>
      <c r="E574" s="50"/>
      <c r="F574" s="51"/>
      <c r="G574" s="51"/>
      <c r="H574" s="51"/>
      <c r="I574" s="51"/>
      <c r="J574" s="51"/>
      <c r="K574" s="70"/>
      <c r="L574" s="72"/>
      <c r="M574" s="51"/>
      <c r="N574" s="51"/>
      <c r="O574" s="51"/>
      <c r="P574" s="69"/>
      <c r="Q574" s="69"/>
      <c r="R574" s="69"/>
      <c r="S574" s="69"/>
    </row>
    <row r="575" spans="1:19" ht="23.25" customHeight="1">
      <c r="A575" s="51"/>
      <c r="B575" s="50" t="str">
        <f>IFERROR(VLOOKUP(A575,Briefing_Req!A:M,2,0),"")</f>
        <v/>
      </c>
      <c r="C575" s="143" t="str">
        <f>IFERROR(IF(VLOOKUP(A575,Briefing_Req!A:M,13,0)&lt;&gt;"",VLOOKUP(A575,Briefing_Req!A:M,13,0),VLOOKUP(A575,Briefing_Req!A:M,3,0)),"")</f>
        <v/>
      </c>
      <c r="D575" s="51"/>
      <c r="E575" s="50"/>
      <c r="F575" s="51"/>
      <c r="G575" s="51"/>
      <c r="H575" s="51"/>
      <c r="I575" s="51"/>
      <c r="J575" s="51"/>
      <c r="K575" s="70"/>
      <c r="L575" s="72"/>
      <c r="M575" s="51"/>
      <c r="N575" s="51"/>
      <c r="O575" s="51"/>
      <c r="P575" s="69"/>
      <c r="Q575" s="69"/>
      <c r="R575" s="69"/>
      <c r="S575" s="69"/>
    </row>
    <row r="576" spans="1:19" ht="23.25" customHeight="1">
      <c r="A576" s="51"/>
      <c r="B576" s="50" t="str">
        <f>IFERROR(VLOOKUP(A576,Briefing_Req!A:M,2,0),"")</f>
        <v/>
      </c>
      <c r="C576" s="143" t="str">
        <f>IFERROR(IF(VLOOKUP(A576,Briefing_Req!A:M,13,0)&lt;&gt;"",VLOOKUP(A576,Briefing_Req!A:M,13,0),VLOOKUP(A576,Briefing_Req!A:M,3,0)),"")</f>
        <v/>
      </c>
      <c r="D576" s="51"/>
      <c r="E576" s="50"/>
      <c r="F576" s="51"/>
      <c r="G576" s="51"/>
      <c r="H576" s="51"/>
      <c r="I576" s="51"/>
      <c r="J576" s="51"/>
      <c r="K576" s="70"/>
      <c r="L576" s="72"/>
      <c r="M576" s="51"/>
      <c r="N576" s="51"/>
      <c r="O576" s="51"/>
      <c r="P576" s="69"/>
      <c r="Q576" s="69"/>
      <c r="R576" s="69"/>
      <c r="S576" s="69"/>
    </row>
    <row r="577" spans="1:19" ht="23.25" customHeight="1">
      <c r="A577" s="51"/>
      <c r="B577" s="50" t="str">
        <f>IFERROR(VLOOKUP(A577,Briefing_Req!A:M,2,0),"")</f>
        <v/>
      </c>
      <c r="C577" s="143" t="str">
        <f>IFERROR(IF(VLOOKUP(A577,Briefing_Req!A:M,13,0)&lt;&gt;"",VLOOKUP(A577,Briefing_Req!A:M,13,0),VLOOKUP(A577,Briefing_Req!A:M,3,0)),"")</f>
        <v/>
      </c>
      <c r="D577" s="51"/>
      <c r="E577" s="50"/>
      <c r="F577" s="51"/>
      <c r="G577" s="51"/>
      <c r="H577" s="51"/>
      <c r="I577" s="51"/>
      <c r="J577" s="51"/>
      <c r="K577" s="70"/>
      <c r="L577" s="72"/>
      <c r="M577" s="51"/>
      <c r="N577" s="51"/>
      <c r="O577" s="51"/>
      <c r="P577" s="69"/>
      <c r="Q577" s="69"/>
      <c r="R577" s="69"/>
      <c r="S577" s="69"/>
    </row>
    <row r="578" spans="1:19" ht="23.25" customHeight="1">
      <c r="A578" s="51"/>
      <c r="B578" s="50" t="str">
        <f>IFERROR(VLOOKUP(A578,Briefing_Req!A:M,2,0),"")</f>
        <v/>
      </c>
      <c r="C578" s="143" t="str">
        <f>IFERROR(IF(VLOOKUP(A578,Briefing_Req!A:M,13,0)&lt;&gt;"",VLOOKUP(A578,Briefing_Req!A:M,13,0),VLOOKUP(A578,Briefing_Req!A:M,3,0)),"")</f>
        <v/>
      </c>
      <c r="D578" s="51"/>
      <c r="E578" s="50"/>
      <c r="F578" s="51"/>
      <c r="G578" s="51"/>
      <c r="H578" s="51"/>
      <c r="I578" s="51"/>
      <c r="J578" s="51"/>
      <c r="K578" s="70"/>
      <c r="L578" s="72"/>
      <c r="M578" s="51"/>
      <c r="N578" s="51"/>
      <c r="O578" s="51"/>
      <c r="P578" s="69"/>
      <c r="Q578" s="69"/>
      <c r="R578" s="69"/>
      <c r="S578" s="69"/>
    </row>
    <row r="579" spans="1:19" ht="23.25" customHeight="1">
      <c r="A579" s="51"/>
      <c r="B579" s="50" t="str">
        <f>IFERROR(VLOOKUP(A579,Briefing_Req!A:M,2,0),"")</f>
        <v/>
      </c>
      <c r="C579" s="143" t="str">
        <f>IFERROR(IF(VLOOKUP(A579,Briefing_Req!A:M,13,0)&lt;&gt;"",VLOOKUP(A579,Briefing_Req!A:M,13,0),VLOOKUP(A579,Briefing_Req!A:M,3,0)),"")</f>
        <v/>
      </c>
      <c r="D579" s="51"/>
      <c r="E579" s="50"/>
      <c r="F579" s="51"/>
      <c r="G579" s="51"/>
      <c r="H579" s="51"/>
      <c r="I579" s="51"/>
      <c r="J579" s="51"/>
      <c r="K579" s="70"/>
      <c r="L579" s="72"/>
      <c r="M579" s="51"/>
      <c r="N579" s="51"/>
      <c r="O579" s="51"/>
      <c r="P579" s="69"/>
      <c r="Q579" s="69"/>
      <c r="R579" s="69"/>
      <c r="S579" s="69"/>
    </row>
    <row r="580" spans="1:19" ht="23.25" customHeight="1">
      <c r="A580" s="51"/>
      <c r="B580" s="50" t="str">
        <f>IFERROR(VLOOKUP(A580,Briefing_Req!A:M,2,0),"")</f>
        <v/>
      </c>
      <c r="C580" s="143" t="str">
        <f>IFERROR(IF(VLOOKUP(A580,Briefing_Req!A:M,13,0)&lt;&gt;"",VLOOKUP(A580,Briefing_Req!A:M,13,0),VLOOKUP(A580,Briefing_Req!A:M,3,0)),"")</f>
        <v/>
      </c>
      <c r="D580" s="51"/>
      <c r="E580" s="50"/>
      <c r="F580" s="51"/>
      <c r="G580" s="51"/>
      <c r="H580" s="51"/>
      <c r="I580" s="51"/>
      <c r="J580" s="51"/>
      <c r="K580" s="70"/>
      <c r="L580" s="72"/>
      <c r="M580" s="51"/>
      <c r="N580" s="51"/>
      <c r="O580" s="51"/>
      <c r="P580" s="69"/>
      <c r="Q580" s="69"/>
      <c r="R580" s="69"/>
      <c r="S580" s="69"/>
    </row>
    <row r="581" spans="1:19" ht="23.25" customHeight="1">
      <c r="A581" s="51"/>
      <c r="B581" s="50" t="str">
        <f>IFERROR(VLOOKUP(A581,Briefing_Req!A:M,2,0),"")</f>
        <v/>
      </c>
      <c r="C581" s="143" t="str">
        <f>IFERROR(IF(VLOOKUP(A581,Briefing_Req!A:M,13,0)&lt;&gt;"",VLOOKUP(A581,Briefing_Req!A:M,13,0),VLOOKUP(A581,Briefing_Req!A:M,3,0)),"")</f>
        <v/>
      </c>
      <c r="D581" s="51"/>
      <c r="E581" s="50"/>
      <c r="F581" s="51"/>
      <c r="G581" s="51"/>
      <c r="H581" s="51"/>
      <c r="I581" s="51"/>
      <c r="J581" s="51"/>
      <c r="K581" s="70"/>
      <c r="L581" s="72"/>
      <c r="M581" s="51"/>
      <c r="N581" s="51"/>
      <c r="O581" s="51"/>
      <c r="P581" s="69"/>
      <c r="Q581" s="69"/>
      <c r="R581" s="69"/>
      <c r="S581" s="69"/>
    </row>
    <row r="582" spans="1:19" ht="23.25" customHeight="1">
      <c r="A582" s="51"/>
      <c r="B582" s="50" t="str">
        <f>IFERROR(VLOOKUP(A582,Briefing_Req!A:M,2,0),"")</f>
        <v/>
      </c>
      <c r="C582" s="143" t="str">
        <f>IFERROR(IF(VLOOKUP(A582,Briefing_Req!A:M,13,0)&lt;&gt;"",VLOOKUP(A582,Briefing_Req!A:M,13,0),VLOOKUP(A582,Briefing_Req!A:M,3,0)),"")</f>
        <v/>
      </c>
      <c r="D582" s="51"/>
      <c r="E582" s="50"/>
      <c r="F582" s="51"/>
      <c r="G582" s="51"/>
      <c r="H582" s="51"/>
      <c r="I582" s="51"/>
      <c r="J582" s="51"/>
      <c r="K582" s="70"/>
      <c r="L582" s="72"/>
      <c r="M582" s="51"/>
      <c r="N582" s="51"/>
      <c r="O582" s="51"/>
      <c r="P582" s="69"/>
      <c r="Q582" s="69"/>
      <c r="R582" s="69"/>
      <c r="S582" s="69"/>
    </row>
    <row r="583" spans="1:19" ht="23.25" customHeight="1">
      <c r="A583" s="51"/>
      <c r="B583" s="50" t="str">
        <f>IFERROR(VLOOKUP(A583,Briefing_Req!A:M,2,0),"")</f>
        <v/>
      </c>
      <c r="C583" s="143" t="str">
        <f>IFERROR(IF(VLOOKUP(A583,Briefing_Req!A:M,13,0)&lt;&gt;"",VLOOKUP(A583,Briefing_Req!A:M,13,0),VLOOKUP(A583,Briefing_Req!A:M,3,0)),"")</f>
        <v/>
      </c>
      <c r="D583" s="51"/>
      <c r="E583" s="50"/>
      <c r="F583" s="51"/>
      <c r="G583" s="51"/>
      <c r="H583" s="51"/>
      <c r="I583" s="51"/>
      <c r="J583" s="51"/>
      <c r="K583" s="70"/>
      <c r="L583" s="72"/>
      <c r="M583" s="51"/>
      <c r="N583" s="51"/>
      <c r="O583" s="51"/>
      <c r="P583" s="69"/>
      <c r="Q583" s="69"/>
      <c r="R583" s="69"/>
      <c r="S583" s="69"/>
    </row>
    <row r="584" spans="1:19" ht="23.25" customHeight="1">
      <c r="A584" s="51"/>
      <c r="B584" s="50" t="str">
        <f>IFERROR(VLOOKUP(A584,Briefing_Req!A:M,2,0),"")</f>
        <v/>
      </c>
      <c r="C584" s="143" t="str">
        <f>IFERROR(IF(VLOOKUP(A584,Briefing_Req!A:M,13,0)&lt;&gt;"",VLOOKUP(A584,Briefing_Req!A:M,13,0),VLOOKUP(A584,Briefing_Req!A:M,3,0)),"")</f>
        <v/>
      </c>
      <c r="D584" s="51"/>
      <c r="E584" s="50"/>
      <c r="F584" s="51"/>
      <c r="G584" s="51"/>
      <c r="H584" s="51"/>
      <c r="I584" s="51"/>
      <c r="J584" s="51"/>
      <c r="K584" s="70"/>
      <c r="L584" s="72"/>
      <c r="M584" s="51"/>
      <c r="N584" s="51"/>
      <c r="O584" s="51"/>
      <c r="P584" s="69"/>
      <c r="Q584" s="69"/>
      <c r="R584" s="69"/>
      <c r="S584" s="69"/>
    </row>
    <row r="585" spans="1:19" ht="23.25" customHeight="1">
      <c r="A585" s="51"/>
      <c r="B585" s="50" t="str">
        <f>IFERROR(VLOOKUP(A585,Briefing_Req!A:M,2,0),"")</f>
        <v/>
      </c>
      <c r="C585" s="143" t="str">
        <f>IFERROR(IF(VLOOKUP(A585,Briefing_Req!A:M,13,0)&lt;&gt;"",VLOOKUP(A585,Briefing_Req!A:M,13,0),VLOOKUP(A585,Briefing_Req!A:M,3,0)),"")</f>
        <v/>
      </c>
      <c r="D585" s="51"/>
      <c r="E585" s="50"/>
      <c r="F585" s="51"/>
      <c r="G585" s="51"/>
      <c r="H585" s="51"/>
      <c r="I585" s="51"/>
      <c r="J585" s="51"/>
      <c r="K585" s="70"/>
      <c r="L585" s="72"/>
      <c r="M585" s="51"/>
      <c r="N585" s="51"/>
      <c r="O585" s="51"/>
      <c r="P585" s="69"/>
      <c r="Q585" s="69"/>
      <c r="R585" s="69"/>
      <c r="S585" s="69"/>
    </row>
    <row r="586" spans="1:19" ht="23.25" customHeight="1">
      <c r="A586" s="51"/>
      <c r="B586" s="50" t="str">
        <f>IFERROR(VLOOKUP(A586,Briefing_Req!A:M,2,0),"")</f>
        <v/>
      </c>
      <c r="C586" s="143" t="str">
        <f>IFERROR(IF(VLOOKUP(A586,Briefing_Req!A:M,13,0)&lt;&gt;"",VLOOKUP(A586,Briefing_Req!A:M,13,0),VLOOKUP(A586,Briefing_Req!A:M,3,0)),"")</f>
        <v/>
      </c>
      <c r="D586" s="51"/>
      <c r="E586" s="50"/>
      <c r="F586" s="51"/>
      <c r="G586" s="51"/>
      <c r="H586" s="51"/>
      <c r="I586" s="51"/>
      <c r="J586" s="51"/>
      <c r="K586" s="70"/>
      <c r="L586" s="72"/>
      <c r="M586" s="51"/>
      <c r="N586" s="51"/>
      <c r="O586" s="51"/>
      <c r="P586" s="69"/>
      <c r="Q586" s="69"/>
      <c r="R586" s="69"/>
      <c r="S586" s="69"/>
    </row>
    <row r="587" spans="1:19" ht="23.25" customHeight="1">
      <c r="A587" s="51"/>
      <c r="B587" s="50" t="str">
        <f>IFERROR(VLOOKUP(A587,Briefing_Req!A:M,2,0),"")</f>
        <v/>
      </c>
      <c r="C587" s="143" t="str">
        <f>IFERROR(IF(VLOOKUP(A587,Briefing_Req!A:M,13,0)&lt;&gt;"",VLOOKUP(A587,Briefing_Req!A:M,13,0),VLOOKUP(A587,Briefing_Req!A:M,3,0)),"")</f>
        <v/>
      </c>
      <c r="D587" s="51"/>
      <c r="E587" s="50"/>
      <c r="F587" s="51"/>
      <c r="G587" s="51"/>
      <c r="H587" s="51"/>
      <c r="I587" s="51"/>
      <c r="J587" s="51"/>
      <c r="K587" s="70"/>
      <c r="L587" s="72"/>
      <c r="M587" s="51"/>
      <c r="N587" s="51"/>
      <c r="O587" s="51"/>
      <c r="P587" s="69"/>
      <c r="Q587" s="69"/>
      <c r="R587" s="69"/>
      <c r="S587" s="69"/>
    </row>
    <row r="588" spans="1:19" ht="23.25" customHeight="1">
      <c r="A588" s="51"/>
      <c r="B588" s="50" t="str">
        <f>IFERROR(VLOOKUP(A588,Briefing_Req!A:M,2,0),"")</f>
        <v/>
      </c>
      <c r="C588" s="143" t="str">
        <f>IFERROR(IF(VLOOKUP(A588,Briefing_Req!A:M,13,0)&lt;&gt;"",VLOOKUP(A588,Briefing_Req!A:M,13,0),VLOOKUP(A588,Briefing_Req!A:M,3,0)),"")</f>
        <v/>
      </c>
      <c r="D588" s="51"/>
      <c r="E588" s="50"/>
      <c r="F588" s="51"/>
      <c r="G588" s="51"/>
      <c r="H588" s="51"/>
      <c r="I588" s="51"/>
      <c r="J588" s="51"/>
      <c r="K588" s="70"/>
      <c r="L588" s="72"/>
      <c r="M588" s="51"/>
      <c r="N588" s="51"/>
      <c r="O588" s="51"/>
      <c r="P588" s="69"/>
      <c r="Q588" s="69"/>
      <c r="R588" s="69"/>
      <c r="S588" s="69"/>
    </row>
    <row r="589" spans="1:19" ht="23.25" customHeight="1">
      <c r="A589" s="51"/>
      <c r="B589" s="50" t="str">
        <f>IFERROR(VLOOKUP(A589,Briefing_Req!A:M,2,0),"")</f>
        <v/>
      </c>
      <c r="C589" s="143" t="str">
        <f>IFERROR(IF(VLOOKUP(A589,Briefing_Req!A:M,13,0)&lt;&gt;"",VLOOKUP(A589,Briefing_Req!A:M,13,0),VLOOKUP(A589,Briefing_Req!A:M,3,0)),"")</f>
        <v/>
      </c>
      <c r="D589" s="51"/>
      <c r="E589" s="50"/>
      <c r="F589" s="51"/>
      <c r="G589" s="51"/>
      <c r="H589" s="51"/>
      <c r="I589" s="51"/>
      <c r="J589" s="51"/>
      <c r="K589" s="70"/>
      <c r="L589" s="72"/>
      <c r="M589" s="51"/>
      <c r="N589" s="51"/>
      <c r="O589" s="51"/>
      <c r="P589" s="69"/>
      <c r="Q589" s="69"/>
      <c r="R589" s="69"/>
      <c r="S589" s="69"/>
    </row>
    <row r="590" spans="1:19" ht="23.25" customHeight="1">
      <c r="A590" s="51"/>
      <c r="B590" s="50" t="str">
        <f>IFERROR(VLOOKUP(A590,Briefing_Req!A:M,2,0),"")</f>
        <v/>
      </c>
      <c r="C590" s="143" t="str">
        <f>IFERROR(IF(VLOOKUP(A590,Briefing_Req!A:M,13,0)&lt;&gt;"",VLOOKUP(A590,Briefing_Req!A:M,13,0),VLOOKUP(A590,Briefing_Req!A:M,3,0)),"")</f>
        <v/>
      </c>
      <c r="D590" s="51"/>
      <c r="E590" s="50"/>
      <c r="F590" s="51"/>
      <c r="G590" s="51"/>
      <c r="H590" s="51"/>
      <c r="I590" s="51"/>
      <c r="J590" s="51"/>
      <c r="K590" s="70"/>
      <c r="L590" s="72"/>
      <c r="M590" s="51"/>
      <c r="N590" s="51"/>
      <c r="O590" s="51"/>
      <c r="P590" s="69"/>
      <c r="Q590" s="69"/>
      <c r="R590" s="69"/>
      <c r="S590" s="69"/>
    </row>
    <row r="591" spans="1:19" ht="23.25" customHeight="1">
      <c r="A591" s="51"/>
      <c r="B591" s="50" t="str">
        <f>IFERROR(VLOOKUP(A591,Briefing_Req!A:M,2,0),"")</f>
        <v/>
      </c>
      <c r="C591" s="143" t="str">
        <f>IFERROR(IF(VLOOKUP(A591,Briefing_Req!A:M,13,0)&lt;&gt;"",VLOOKUP(A591,Briefing_Req!A:M,13,0),VLOOKUP(A591,Briefing_Req!A:M,3,0)),"")</f>
        <v/>
      </c>
      <c r="D591" s="51"/>
      <c r="E591" s="50"/>
      <c r="F591" s="51"/>
      <c r="G591" s="51"/>
      <c r="H591" s="51"/>
      <c r="I591" s="51"/>
      <c r="J591" s="51"/>
      <c r="K591" s="70"/>
      <c r="L591" s="72"/>
      <c r="M591" s="51"/>
      <c r="N591" s="51"/>
      <c r="O591" s="51"/>
      <c r="P591" s="69"/>
      <c r="Q591" s="69"/>
      <c r="R591" s="69"/>
      <c r="S591" s="69"/>
    </row>
    <row r="592" spans="1:19" ht="23.25" customHeight="1">
      <c r="A592" s="51"/>
      <c r="B592" s="50" t="str">
        <f>IFERROR(VLOOKUP(A592,Briefing_Req!A:M,2,0),"")</f>
        <v/>
      </c>
      <c r="C592" s="143" t="str">
        <f>IFERROR(IF(VLOOKUP(A592,Briefing_Req!A:M,13,0)&lt;&gt;"",VLOOKUP(A592,Briefing_Req!A:M,13,0),VLOOKUP(A592,Briefing_Req!A:M,3,0)),"")</f>
        <v/>
      </c>
      <c r="D592" s="51"/>
      <c r="E592" s="50"/>
      <c r="F592" s="51"/>
      <c r="G592" s="51"/>
      <c r="H592" s="51"/>
      <c r="I592" s="51"/>
      <c r="J592" s="51"/>
      <c r="K592" s="70"/>
      <c r="L592" s="72"/>
      <c r="M592" s="51"/>
      <c r="N592" s="51"/>
      <c r="O592" s="51"/>
      <c r="P592" s="69"/>
      <c r="Q592" s="69"/>
      <c r="R592" s="69"/>
      <c r="S592" s="69"/>
    </row>
    <row r="593" spans="1:19" ht="23.25" customHeight="1">
      <c r="A593" s="51"/>
      <c r="B593" s="50" t="str">
        <f>IFERROR(VLOOKUP(A593,Briefing_Req!A:M,2,0),"")</f>
        <v/>
      </c>
      <c r="C593" s="143" t="str">
        <f>IFERROR(IF(VLOOKUP(A593,Briefing_Req!A:M,13,0)&lt;&gt;"",VLOOKUP(A593,Briefing_Req!A:M,13,0),VLOOKUP(A593,Briefing_Req!A:M,3,0)),"")</f>
        <v/>
      </c>
      <c r="D593" s="51"/>
      <c r="E593" s="50"/>
      <c r="F593" s="51"/>
      <c r="G593" s="51"/>
      <c r="H593" s="51"/>
      <c r="I593" s="51"/>
      <c r="J593" s="51"/>
      <c r="K593" s="70"/>
      <c r="L593" s="72"/>
      <c r="M593" s="51"/>
      <c r="N593" s="51"/>
      <c r="O593" s="51"/>
      <c r="P593" s="69"/>
      <c r="Q593" s="69"/>
      <c r="R593" s="69"/>
      <c r="S593" s="69"/>
    </row>
    <row r="594" spans="1:19" ht="23.25" customHeight="1">
      <c r="A594" s="51"/>
      <c r="B594" s="50" t="str">
        <f>IFERROR(VLOOKUP(A594,Briefing_Req!A:M,2,0),"")</f>
        <v/>
      </c>
      <c r="C594" s="143" t="str">
        <f>IFERROR(IF(VLOOKUP(A594,Briefing_Req!A:M,13,0)&lt;&gt;"",VLOOKUP(A594,Briefing_Req!A:M,13,0),VLOOKUP(A594,Briefing_Req!A:M,3,0)),"")</f>
        <v/>
      </c>
      <c r="D594" s="51"/>
      <c r="E594" s="50"/>
      <c r="F594" s="51"/>
      <c r="G594" s="51"/>
      <c r="H594" s="51"/>
      <c r="I594" s="51"/>
      <c r="J594" s="51"/>
      <c r="K594" s="70"/>
      <c r="L594" s="72"/>
      <c r="M594" s="51"/>
      <c r="N594" s="51"/>
      <c r="O594" s="51"/>
      <c r="P594" s="69"/>
      <c r="Q594" s="69"/>
      <c r="R594" s="69"/>
      <c r="S594" s="69"/>
    </row>
    <row r="595" spans="1:19" ht="23.25" customHeight="1">
      <c r="A595" s="51"/>
      <c r="B595" s="50" t="str">
        <f>IFERROR(VLOOKUP(A595,Briefing_Req!A:M,2,0),"")</f>
        <v/>
      </c>
      <c r="C595" s="143" t="str">
        <f>IFERROR(IF(VLOOKUP(A595,Briefing_Req!A:M,13,0)&lt;&gt;"",VLOOKUP(A595,Briefing_Req!A:M,13,0),VLOOKUP(A595,Briefing_Req!A:M,3,0)),"")</f>
        <v/>
      </c>
      <c r="D595" s="51"/>
      <c r="E595" s="50"/>
      <c r="F595" s="51"/>
      <c r="G595" s="51"/>
      <c r="H595" s="51"/>
      <c r="I595" s="51"/>
      <c r="J595" s="51"/>
      <c r="K595" s="70"/>
      <c r="L595" s="72"/>
      <c r="M595" s="51"/>
      <c r="N595" s="51"/>
      <c r="O595" s="51"/>
      <c r="P595" s="69"/>
      <c r="Q595" s="69"/>
      <c r="R595" s="69"/>
      <c r="S595" s="69"/>
    </row>
    <row r="596" spans="1:19" ht="23.25" customHeight="1">
      <c r="A596" s="51"/>
      <c r="B596" s="50" t="str">
        <f>IFERROR(VLOOKUP(A596,Briefing_Req!A:M,2,0),"")</f>
        <v/>
      </c>
      <c r="C596" s="143" t="str">
        <f>IFERROR(IF(VLOOKUP(A596,Briefing_Req!A:M,13,0)&lt;&gt;"",VLOOKUP(A596,Briefing_Req!A:M,13,0),VLOOKUP(A596,Briefing_Req!A:M,3,0)),"")</f>
        <v/>
      </c>
      <c r="D596" s="51"/>
      <c r="E596" s="50"/>
      <c r="F596" s="51"/>
      <c r="G596" s="51"/>
      <c r="H596" s="51"/>
      <c r="I596" s="51"/>
      <c r="J596" s="51"/>
      <c r="K596" s="70"/>
      <c r="L596" s="72"/>
      <c r="M596" s="51"/>
      <c r="N596" s="51"/>
      <c r="O596" s="51"/>
      <c r="P596" s="69"/>
      <c r="Q596" s="69"/>
      <c r="R596" s="69"/>
      <c r="S596" s="69"/>
    </row>
    <row r="597" spans="1:19" ht="23.25" customHeight="1">
      <c r="A597" s="51"/>
      <c r="B597" s="50" t="str">
        <f>IFERROR(VLOOKUP(A597,Briefing_Req!A:M,2,0),"")</f>
        <v/>
      </c>
      <c r="C597" s="143" t="str">
        <f>IFERROR(IF(VLOOKUP(A597,Briefing_Req!A:M,13,0)&lt;&gt;"",VLOOKUP(A597,Briefing_Req!A:M,13,0),VLOOKUP(A597,Briefing_Req!A:M,3,0)),"")</f>
        <v/>
      </c>
      <c r="D597" s="51"/>
      <c r="E597" s="50"/>
      <c r="F597" s="51"/>
      <c r="G597" s="51"/>
      <c r="H597" s="51"/>
      <c r="I597" s="51"/>
      <c r="J597" s="51"/>
      <c r="K597" s="70"/>
      <c r="L597" s="72"/>
      <c r="M597" s="51"/>
      <c r="N597" s="51"/>
      <c r="O597" s="51"/>
      <c r="P597" s="69"/>
      <c r="Q597" s="69"/>
      <c r="R597" s="69"/>
      <c r="S597" s="69"/>
    </row>
    <row r="598" spans="1:19" ht="23.25" customHeight="1">
      <c r="A598" s="51"/>
      <c r="B598" s="50" t="str">
        <f>IFERROR(VLOOKUP(A598,Briefing_Req!A:M,2,0),"")</f>
        <v/>
      </c>
      <c r="C598" s="143" t="str">
        <f>IFERROR(IF(VLOOKUP(A598,Briefing_Req!A:M,13,0)&lt;&gt;"",VLOOKUP(A598,Briefing_Req!A:M,13,0),VLOOKUP(A598,Briefing_Req!A:M,3,0)),"")</f>
        <v/>
      </c>
      <c r="D598" s="51"/>
      <c r="E598" s="50"/>
      <c r="F598" s="51"/>
      <c r="G598" s="51"/>
      <c r="H598" s="51"/>
      <c r="I598" s="51"/>
      <c r="J598" s="51"/>
      <c r="K598" s="70"/>
      <c r="L598" s="72"/>
      <c r="M598" s="51"/>
      <c r="N598" s="51"/>
      <c r="O598" s="51"/>
      <c r="P598" s="69"/>
      <c r="Q598" s="69"/>
      <c r="R598" s="69"/>
      <c r="S598" s="69"/>
    </row>
    <row r="599" spans="1:19" ht="23.25" customHeight="1">
      <c r="A599" s="51"/>
      <c r="B599" s="50" t="str">
        <f>IFERROR(VLOOKUP(A599,Briefing_Req!A:M,2,0),"")</f>
        <v/>
      </c>
      <c r="C599" s="143" t="str">
        <f>IFERROR(IF(VLOOKUP(A599,Briefing_Req!A:M,13,0)&lt;&gt;"",VLOOKUP(A599,Briefing_Req!A:M,13,0),VLOOKUP(A599,Briefing_Req!A:M,3,0)),"")</f>
        <v/>
      </c>
      <c r="D599" s="51"/>
      <c r="E599" s="50"/>
      <c r="F599" s="51"/>
      <c r="G599" s="51"/>
      <c r="H599" s="51"/>
      <c r="I599" s="51"/>
      <c r="J599" s="51"/>
      <c r="K599" s="70"/>
      <c r="L599" s="72"/>
      <c r="M599" s="51"/>
      <c r="N599" s="51"/>
      <c r="O599" s="51"/>
      <c r="P599" s="69"/>
      <c r="Q599" s="69"/>
      <c r="R599" s="69"/>
      <c r="S599" s="69"/>
    </row>
    <row r="600" spans="1:19" ht="23.25" customHeight="1">
      <c r="A600" s="51"/>
      <c r="B600" s="50" t="str">
        <f>IFERROR(VLOOKUP(A600,Briefing_Req!A:M,2,0),"")</f>
        <v/>
      </c>
      <c r="C600" s="143" t="str">
        <f>IFERROR(IF(VLOOKUP(A600,Briefing_Req!A:M,13,0)&lt;&gt;"",VLOOKUP(A600,Briefing_Req!A:M,13,0),VLOOKUP(A600,Briefing_Req!A:M,3,0)),"")</f>
        <v/>
      </c>
      <c r="D600" s="51"/>
      <c r="E600" s="50"/>
      <c r="F600" s="51"/>
      <c r="G600" s="51"/>
      <c r="H600" s="51"/>
      <c r="I600" s="51"/>
      <c r="J600" s="51"/>
      <c r="K600" s="70"/>
      <c r="L600" s="72"/>
      <c r="M600" s="51"/>
      <c r="N600" s="51"/>
      <c r="O600" s="51"/>
      <c r="P600" s="69"/>
      <c r="Q600" s="69"/>
      <c r="R600" s="69"/>
      <c r="S600" s="69"/>
    </row>
    <row r="601" spans="1:19" ht="23.25" customHeight="1">
      <c r="A601" s="51"/>
      <c r="B601" s="50" t="str">
        <f>IFERROR(VLOOKUP(A601,Briefing_Req!A:M,2,0),"")</f>
        <v/>
      </c>
      <c r="C601" s="143" t="str">
        <f>IFERROR(IF(VLOOKUP(A601,Briefing_Req!A:M,13,0)&lt;&gt;"",VLOOKUP(A601,Briefing_Req!A:M,13,0),VLOOKUP(A601,Briefing_Req!A:M,3,0)),"")</f>
        <v/>
      </c>
      <c r="D601" s="51"/>
      <c r="E601" s="50"/>
      <c r="F601" s="51"/>
      <c r="G601" s="51"/>
      <c r="H601" s="51"/>
      <c r="I601" s="51"/>
      <c r="J601" s="51"/>
      <c r="K601" s="70"/>
      <c r="L601" s="72"/>
      <c r="M601" s="51"/>
      <c r="N601" s="51"/>
      <c r="O601" s="51"/>
      <c r="P601" s="69"/>
      <c r="Q601" s="69"/>
      <c r="R601" s="69"/>
      <c r="S601" s="69"/>
    </row>
    <row r="602" spans="1:19" ht="23.25" customHeight="1">
      <c r="A602" s="51"/>
      <c r="B602" s="50" t="str">
        <f>IFERROR(VLOOKUP(A602,Briefing_Req!A:M,2,0),"")</f>
        <v/>
      </c>
      <c r="C602" s="143" t="str">
        <f>IFERROR(IF(VLOOKUP(A602,Briefing_Req!A:M,13,0)&lt;&gt;"",VLOOKUP(A602,Briefing_Req!A:M,13,0),VLOOKUP(A602,Briefing_Req!A:M,3,0)),"")</f>
        <v/>
      </c>
      <c r="D602" s="51"/>
      <c r="E602" s="50"/>
      <c r="F602" s="51"/>
      <c r="G602" s="51"/>
      <c r="H602" s="51"/>
      <c r="I602" s="51"/>
      <c r="J602" s="51"/>
      <c r="K602" s="70"/>
      <c r="L602" s="72"/>
      <c r="M602" s="51"/>
      <c r="N602" s="51"/>
      <c r="O602" s="51"/>
      <c r="P602" s="69"/>
      <c r="Q602" s="69"/>
      <c r="R602" s="69"/>
      <c r="S602" s="69"/>
    </row>
    <row r="603" spans="1:19" ht="23.25" customHeight="1">
      <c r="A603" s="51"/>
      <c r="B603" s="50" t="str">
        <f>IFERROR(VLOOKUP(A603,Briefing_Req!A:M,2,0),"")</f>
        <v/>
      </c>
      <c r="C603" s="143" t="str">
        <f>IFERROR(IF(VLOOKUP(A603,Briefing_Req!A:M,13,0)&lt;&gt;"",VLOOKUP(A603,Briefing_Req!A:M,13,0),VLOOKUP(A603,Briefing_Req!A:M,3,0)),"")</f>
        <v/>
      </c>
      <c r="D603" s="51"/>
      <c r="E603" s="50"/>
      <c r="F603" s="51"/>
      <c r="G603" s="51"/>
      <c r="H603" s="51"/>
      <c r="I603" s="51"/>
      <c r="J603" s="51"/>
      <c r="K603" s="70"/>
      <c r="L603" s="72"/>
      <c r="M603" s="51"/>
      <c r="N603" s="51"/>
      <c r="O603" s="51"/>
      <c r="P603" s="69"/>
      <c r="Q603" s="69"/>
      <c r="R603" s="69"/>
      <c r="S603" s="69"/>
    </row>
    <row r="604" spans="1:19" ht="23.25" customHeight="1">
      <c r="A604" s="51"/>
      <c r="B604" s="50" t="str">
        <f>IFERROR(VLOOKUP(A604,Briefing_Req!A:M,2,0),"")</f>
        <v/>
      </c>
      <c r="C604" s="143" t="str">
        <f>IFERROR(IF(VLOOKUP(A604,Briefing_Req!A:M,13,0)&lt;&gt;"",VLOOKUP(A604,Briefing_Req!A:M,13,0),VLOOKUP(A604,Briefing_Req!A:M,3,0)),"")</f>
        <v/>
      </c>
      <c r="D604" s="51"/>
      <c r="E604" s="50"/>
      <c r="F604" s="51"/>
      <c r="G604" s="51"/>
      <c r="H604" s="51"/>
      <c r="I604" s="51"/>
      <c r="J604" s="51"/>
      <c r="K604" s="70"/>
      <c r="L604" s="72"/>
      <c r="M604" s="51"/>
      <c r="N604" s="51"/>
      <c r="O604" s="51"/>
      <c r="P604" s="69"/>
      <c r="Q604" s="69"/>
      <c r="R604" s="69"/>
      <c r="S604" s="69"/>
    </row>
    <row r="605" spans="1:19" ht="23.25" customHeight="1">
      <c r="A605" s="51"/>
      <c r="B605" s="50" t="str">
        <f>IFERROR(VLOOKUP(A605,Briefing_Req!A:M,2,0),"")</f>
        <v/>
      </c>
      <c r="C605" s="143" t="str">
        <f>IFERROR(IF(VLOOKUP(A605,Briefing_Req!A:M,13,0)&lt;&gt;"",VLOOKUP(A605,Briefing_Req!A:M,13,0),VLOOKUP(A605,Briefing_Req!A:M,3,0)),"")</f>
        <v/>
      </c>
      <c r="D605" s="51"/>
      <c r="E605" s="50"/>
      <c r="F605" s="51"/>
      <c r="G605" s="51"/>
      <c r="H605" s="51"/>
      <c r="I605" s="51"/>
      <c r="J605" s="51"/>
      <c r="K605" s="70"/>
      <c r="L605" s="72"/>
      <c r="M605" s="51"/>
      <c r="N605" s="51"/>
      <c r="O605" s="51"/>
      <c r="P605" s="69"/>
      <c r="Q605" s="69"/>
      <c r="R605" s="69"/>
      <c r="S605" s="69"/>
    </row>
    <row r="606" spans="1:19" ht="23.25" customHeight="1">
      <c r="A606" s="51"/>
      <c r="B606" s="50" t="str">
        <f>IFERROR(VLOOKUP(A606,Briefing_Req!A:M,2,0),"")</f>
        <v/>
      </c>
      <c r="C606" s="143" t="str">
        <f>IFERROR(IF(VLOOKUP(A606,Briefing_Req!A:M,13,0)&lt;&gt;"",VLOOKUP(A606,Briefing_Req!A:M,13,0),VLOOKUP(A606,Briefing_Req!A:M,3,0)),"")</f>
        <v/>
      </c>
      <c r="D606" s="51"/>
      <c r="E606" s="50"/>
      <c r="F606" s="51"/>
      <c r="G606" s="51"/>
      <c r="H606" s="51"/>
      <c r="I606" s="51"/>
      <c r="J606" s="51"/>
      <c r="K606" s="70"/>
      <c r="L606" s="72"/>
      <c r="M606" s="51"/>
      <c r="N606" s="51"/>
      <c r="O606" s="51"/>
      <c r="P606" s="69"/>
      <c r="Q606" s="69"/>
      <c r="R606" s="69"/>
      <c r="S606" s="69"/>
    </row>
    <row r="607" spans="1:19" ht="23.25" customHeight="1">
      <c r="A607" s="51"/>
      <c r="B607" s="50" t="str">
        <f>IFERROR(VLOOKUP(A607,Briefing_Req!A:M,2,0),"")</f>
        <v/>
      </c>
      <c r="C607" s="143" t="str">
        <f>IFERROR(IF(VLOOKUP(A607,Briefing_Req!A:M,13,0)&lt;&gt;"",VLOOKUP(A607,Briefing_Req!A:M,13,0),VLOOKUP(A607,Briefing_Req!A:M,3,0)),"")</f>
        <v/>
      </c>
      <c r="D607" s="51"/>
      <c r="E607" s="50"/>
      <c r="F607" s="51"/>
      <c r="G607" s="51"/>
      <c r="H607" s="51"/>
      <c r="I607" s="51"/>
      <c r="J607" s="51"/>
      <c r="K607" s="70"/>
      <c r="L607" s="72"/>
      <c r="M607" s="51"/>
      <c r="N607" s="51"/>
      <c r="O607" s="51"/>
      <c r="P607" s="69"/>
      <c r="Q607" s="69"/>
      <c r="R607" s="69"/>
      <c r="S607" s="69"/>
    </row>
    <row r="608" spans="1:19" ht="23.25" customHeight="1">
      <c r="A608" s="51"/>
      <c r="B608" s="50" t="str">
        <f>IFERROR(VLOOKUP(A608,Briefing_Req!A:M,2,0),"")</f>
        <v/>
      </c>
      <c r="C608" s="143" t="str">
        <f>IFERROR(IF(VLOOKUP(A608,Briefing_Req!A:M,13,0)&lt;&gt;"",VLOOKUP(A608,Briefing_Req!A:M,13,0),VLOOKUP(A608,Briefing_Req!A:M,3,0)),"")</f>
        <v/>
      </c>
      <c r="D608" s="51"/>
      <c r="E608" s="50"/>
      <c r="F608" s="51"/>
      <c r="G608" s="51"/>
      <c r="H608" s="51"/>
      <c r="I608" s="51"/>
      <c r="J608" s="51"/>
      <c r="K608" s="70"/>
      <c r="L608" s="72"/>
      <c r="M608" s="51"/>
      <c r="N608" s="51"/>
      <c r="O608" s="51"/>
      <c r="P608" s="69"/>
      <c r="Q608" s="69"/>
      <c r="R608" s="69"/>
      <c r="S608" s="69"/>
    </row>
    <row r="609" spans="1:19" ht="23.25" customHeight="1">
      <c r="A609" s="51"/>
      <c r="B609" s="50" t="str">
        <f>IFERROR(VLOOKUP(A609,Briefing_Req!A:M,2,0),"")</f>
        <v/>
      </c>
      <c r="C609" s="143" t="str">
        <f>IFERROR(IF(VLOOKUP(A609,Briefing_Req!A:M,13,0)&lt;&gt;"",VLOOKUP(A609,Briefing_Req!A:M,13,0),VLOOKUP(A609,Briefing_Req!A:M,3,0)),"")</f>
        <v/>
      </c>
      <c r="D609" s="51"/>
      <c r="E609" s="50"/>
      <c r="F609" s="51"/>
      <c r="G609" s="51"/>
      <c r="H609" s="51"/>
      <c r="I609" s="51"/>
      <c r="J609" s="51"/>
      <c r="K609" s="70"/>
      <c r="L609" s="72"/>
      <c r="M609" s="51"/>
      <c r="N609" s="51"/>
      <c r="O609" s="51"/>
      <c r="P609" s="69"/>
      <c r="Q609" s="69"/>
      <c r="R609" s="69"/>
      <c r="S609" s="69"/>
    </row>
    <row r="610" spans="1:19" ht="23.25" customHeight="1">
      <c r="A610" s="51"/>
      <c r="B610" s="50" t="str">
        <f>IFERROR(VLOOKUP(A610,Briefing_Req!A:M,2,0),"")</f>
        <v/>
      </c>
      <c r="C610" s="143" t="str">
        <f>IFERROR(IF(VLOOKUP(A610,Briefing_Req!A:M,13,0)&lt;&gt;"",VLOOKUP(A610,Briefing_Req!A:M,13,0),VLOOKUP(A610,Briefing_Req!A:M,3,0)),"")</f>
        <v/>
      </c>
      <c r="D610" s="51"/>
      <c r="E610" s="50"/>
      <c r="F610" s="51"/>
      <c r="G610" s="51"/>
      <c r="H610" s="51"/>
      <c r="I610" s="51"/>
      <c r="J610" s="51"/>
      <c r="K610" s="70"/>
      <c r="L610" s="72"/>
      <c r="M610" s="51"/>
      <c r="N610" s="51"/>
      <c r="O610" s="51"/>
      <c r="P610" s="69"/>
      <c r="Q610" s="69"/>
      <c r="R610" s="69"/>
      <c r="S610" s="69"/>
    </row>
    <row r="611" spans="1:19" ht="23.25" customHeight="1">
      <c r="A611" s="51"/>
      <c r="B611" s="50" t="str">
        <f>IFERROR(VLOOKUP(A611,Briefing_Req!A:M,2,0),"")</f>
        <v/>
      </c>
      <c r="C611" s="143" t="str">
        <f>IFERROR(IF(VLOOKUP(A611,Briefing_Req!A:M,13,0)&lt;&gt;"",VLOOKUP(A611,Briefing_Req!A:M,13,0),VLOOKUP(A611,Briefing_Req!A:M,3,0)),"")</f>
        <v/>
      </c>
      <c r="D611" s="51"/>
      <c r="E611" s="50"/>
      <c r="F611" s="51"/>
      <c r="G611" s="51"/>
      <c r="H611" s="51"/>
      <c r="I611" s="51"/>
      <c r="J611" s="51"/>
      <c r="K611" s="70"/>
      <c r="L611" s="72"/>
      <c r="M611" s="51"/>
      <c r="N611" s="51"/>
      <c r="O611" s="51"/>
      <c r="P611" s="69"/>
      <c r="Q611" s="69"/>
      <c r="R611" s="69"/>
      <c r="S611" s="69"/>
    </row>
    <row r="612" spans="1:19" ht="23.25" customHeight="1">
      <c r="A612" s="51"/>
      <c r="B612" s="50" t="str">
        <f>IFERROR(VLOOKUP(A612,Briefing_Req!A:M,2,0),"")</f>
        <v/>
      </c>
      <c r="C612" s="143" t="str">
        <f>IFERROR(IF(VLOOKUP(A612,Briefing_Req!A:M,13,0)&lt;&gt;"",VLOOKUP(A612,Briefing_Req!A:M,13,0),VLOOKUP(A612,Briefing_Req!A:M,3,0)),"")</f>
        <v/>
      </c>
      <c r="D612" s="51"/>
      <c r="E612" s="50"/>
      <c r="F612" s="51"/>
      <c r="G612" s="51"/>
      <c r="H612" s="51"/>
      <c r="I612" s="51"/>
      <c r="J612" s="51"/>
      <c r="K612" s="70"/>
      <c r="L612" s="72"/>
      <c r="M612" s="51"/>
      <c r="N612" s="51"/>
      <c r="O612" s="51"/>
      <c r="P612" s="69"/>
      <c r="Q612" s="69"/>
      <c r="R612" s="69"/>
      <c r="S612" s="69"/>
    </row>
    <row r="613" spans="1:19" ht="23.25" customHeight="1">
      <c r="A613" s="51"/>
      <c r="B613" s="50" t="str">
        <f>IFERROR(VLOOKUP(A613,Briefing_Req!A:M,2,0),"")</f>
        <v/>
      </c>
      <c r="C613" s="143" t="str">
        <f>IFERROR(IF(VLOOKUP(A613,Briefing_Req!A:M,13,0)&lt;&gt;"",VLOOKUP(A613,Briefing_Req!A:M,13,0),VLOOKUP(A613,Briefing_Req!A:M,3,0)),"")</f>
        <v/>
      </c>
      <c r="D613" s="51"/>
      <c r="E613" s="50"/>
      <c r="F613" s="51"/>
      <c r="G613" s="51"/>
      <c r="H613" s="51"/>
      <c r="I613" s="51"/>
      <c r="J613" s="51"/>
      <c r="K613" s="70"/>
      <c r="L613" s="72"/>
      <c r="M613" s="51"/>
      <c r="N613" s="51"/>
      <c r="O613" s="51"/>
      <c r="P613" s="69"/>
      <c r="Q613" s="69"/>
      <c r="R613" s="69"/>
      <c r="S613" s="69"/>
    </row>
    <row r="614" spans="1:19" ht="23.25" customHeight="1">
      <c r="A614" s="51"/>
      <c r="B614" s="50" t="str">
        <f>IFERROR(VLOOKUP(A614,Briefing_Req!A:M,2,0),"")</f>
        <v/>
      </c>
      <c r="C614" s="143" t="str">
        <f>IFERROR(IF(VLOOKUP(A614,Briefing_Req!A:M,13,0)&lt;&gt;"",VLOOKUP(A614,Briefing_Req!A:M,13,0),VLOOKUP(A614,Briefing_Req!A:M,3,0)),"")</f>
        <v/>
      </c>
      <c r="D614" s="51"/>
      <c r="E614" s="50"/>
      <c r="F614" s="51"/>
      <c r="G614" s="51"/>
      <c r="H614" s="51"/>
      <c r="I614" s="51"/>
      <c r="J614" s="51"/>
      <c r="K614" s="70"/>
      <c r="L614" s="72"/>
      <c r="M614" s="51"/>
      <c r="N614" s="51"/>
      <c r="O614" s="51"/>
      <c r="P614" s="69"/>
      <c r="Q614" s="69"/>
      <c r="R614" s="69"/>
      <c r="S614" s="69"/>
    </row>
    <row r="615" spans="1:19" ht="23.25" customHeight="1">
      <c r="A615" s="51"/>
      <c r="B615" s="50" t="str">
        <f>IFERROR(VLOOKUP(A615,Briefing_Req!A:M,2,0),"")</f>
        <v/>
      </c>
      <c r="C615" s="143" t="str">
        <f>IFERROR(IF(VLOOKUP(A615,Briefing_Req!A:M,13,0)&lt;&gt;"",VLOOKUP(A615,Briefing_Req!A:M,13,0),VLOOKUP(A615,Briefing_Req!A:M,3,0)),"")</f>
        <v/>
      </c>
      <c r="D615" s="51"/>
      <c r="E615" s="50"/>
      <c r="F615" s="51"/>
      <c r="G615" s="51"/>
      <c r="H615" s="51"/>
      <c r="I615" s="51"/>
      <c r="J615" s="51"/>
      <c r="K615" s="70"/>
      <c r="L615" s="72"/>
      <c r="M615" s="51"/>
      <c r="N615" s="51"/>
      <c r="O615" s="51"/>
      <c r="P615" s="69"/>
      <c r="Q615" s="69"/>
      <c r="R615" s="69"/>
      <c r="S615" s="69"/>
    </row>
    <row r="616" spans="1:19" ht="23.25" customHeight="1">
      <c r="A616" s="51"/>
      <c r="B616" s="50" t="str">
        <f>IFERROR(VLOOKUP(A616,Briefing_Req!A:M,2,0),"")</f>
        <v/>
      </c>
      <c r="C616" s="143" t="str">
        <f>IFERROR(IF(VLOOKUP(A616,Briefing_Req!A:M,13,0)&lt;&gt;"",VLOOKUP(A616,Briefing_Req!A:M,13,0),VLOOKUP(A616,Briefing_Req!A:M,3,0)),"")</f>
        <v/>
      </c>
      <c r="D616" s="51"/>
      <c r="E616" s="50"/>
      <c r="F616" s="51"/>
      <c r="G616" s="51"/>
      <c r="H616" s="51"/>
      <c r="I616" s="51"/>
      <c r="J616" s="51"/>
      <c r="K616" s="70"/>
      <c r="L616" s="72"/>
      <c r="M616" s="51"/>
      <c r="N616" s="51"/>
      <c r="O616" s="51"/>
      <c r="P616" s="69"/>
      <c r="Q616" s="69"/>
      <c r="R616" s="69"/>
      <c r="S616" s="69"/>
    </row>
    <row r="617" spans="1:19" ht="23.25" customHeight="1">
      <c r="A617" s="51"/>
      <c r="B617" s="50" t="str">
        <f>IFERROR(VLOOKUP(A617,Briefing_Req!A:M,2,0),"")</f>
        <v/>
      </c>
      <c r="C617" s="143" t="str">
        <f>IFERROR(IF(VLOOKUP(A617,Briefing_Req!A:M,13,0)&lt;&gt;"",VLOOKUP(A617,Briefing_Req!A:M,13,0),VLOOKUP(A617,Briefing_Req!A:M,3,0)),"")</f>
        <v/>
      </c>
      <c r="D617" s="51"/>
      <c r="E617" s="50"/>
      <c r="F617" s="51"/>
      <c r="G617" s="51"/>
      <c r="H617" s="51"/>
      <c r="I617" s="51"/>
      <c r="J617" s="51"/>
      <c r="K617" s="70"/>
      <c r="L617" s="72"/>
      <c r="M617" s="51"/>
      <c r="N617" s="51"/>
      <c r="O617" s="51"/>
      <c r="P617" s="69"/>
      <c r="Q617" s="69"/>
      <c r="R617" s="69"/>
      <c r="S617" s="69"/>
    </row>
    <row r="618" spans="1:19" ht="23.25" customHeight="1">
      <c r="A618" s="51"/>
      <c r="B618" s="50" t="str">
        <f>IFERROR(VLOOKUP(A618,Briefing_Req!A:M,2,0),"")</f>
        <v/>
      </c>
      <c r="C618" s="143" t="str">
        <f>IFERROR(IF(VLOOKUP(A618,Briefing_Req!A:M,13,0)&lt;&gt;"",VLOOKUP(A618,Briefing_Req!A:M,13,0),VLOOKUP(A618,Briefing_Req!A:M,3,0)),"")</f>
        <v/>
      </c>
      <c r="D618" s="51"/>
      <c r="E618" s="50"/>
      <c r="F618" s="51"/>
      <c r="G618" s="51"/>
      <c r="H618" s="51"/>
      <c r="I618" s="51"/>
      <c r="J618" s="51"/>
      <c r="K618" s="70"/>
      <c r="L618" s="72"/>
      <c r="M618" s="51"/>
      <c r="N618" s="51"/>
      <c r="O618" s="51"/>
      <c r="P618" s="69"/>
      <c r="Q618" s="69"/>
      <c r="R618" s="69"/>
      <c r="S618" s="69"/>
    </row>
    <row r="619" spans="1:19" ht="23.25" customHeight="1">
      <c r="A619" s="51"/>
      <c r="B619" s="50" t="str">
        <f>IFERROR(VLOOKUP(A619,Briefing_Req!A:M,2,0),"")</f>
        <v/>
      </c>
      <c r="C619" s="143" t="str">
        <f>IFERROR(IF(VLOOKUP(A619,Briefing_Req!A:M,13,0)&lt;&gt;"",VLOOKUP(A619,Briefing_Req!A:M,13,0),VLOOKUP(A619,Briefing_Req!A:M,3,0)),"")</f>
        <v/>
      </c>
      <c r="D619" s="51"/>
      <c r="E619" s="50"/>
      <c r="F619" s="51"/>
      <c r="G619" s="51"/>
      <c r="H619" s="51"/>
      <c r="I619" s="51"/>
      <c r="J619" s="51"/>
      <c r="K619" s="70"/>
      <c r="L619" s="72"/>
      <c r="M619" s="51"/>
      <c r="N619" s="51"/>
      <c r="O619" s="51"/>
      <c r="P619" s="69"/>
      <c r="Q619" s="69"/>
      <c r="R619" s="69"/>
      <c r="S619" s="69"/>
    </row>
    <row r="620" spans="1:19" ht="23.25" customHeight="1">
      <c r="A620" s="51"/>
      <c r="B620" s="50" t="str">
        <f>IFERROR(VLOOKUP(A620,Briefing_Req!A:M,2,0),"")</f>
        <v/>
      </c>
      <c r="C620" s="143" t="str">
        <f>IFERROR(IF(VLOOKUP(A620,Briefing_Req!A:M,13,0)&lt;&gt;"",VLOOKUP(A620,Briefing_Req!A:M,13,0),VLOOKUP(A620,Briefing_Req!A:M,3,0)),"")</f>
        <v/>
      </c>
      <c r="D620" s="51"/>
      <c r="E620" s="50"/>
      <c r="F620" s="51"/>
      <c r="G620" s="51"/>
      <c r="H620" s="51"/>
      <c r="I620" s="51"/>
      <c r="J620" s="51"/>
      <c r="K620" s="70"/>
      <c r="L620" s="72"/>
      <c r="M620" s="51"/>
      <c r="N620" s="51"/>
      <c r="O620" s="51"/>
      <c r="P620" s="69"/>
      <c r="Q620" s="69"/>
      <c r="R620" s="69"/>
      <c r="S620" s="69"/>
    </row>
    <row r="621" spans="1:19" ht="23.25" customHeight="1">
      <c r="A621" s="51"/>
      <c r="B621" s="50" t="str">
        <f>IFERROR(VLOOKUP(A621,Briefing_Req!A:M,2,0),"")</f>
        <v/>
      </c>
      <c r="C621" s="143" t="str">
        <f>IFERROR(IF(VLOOKUP(A621,Briefing_Req!A:M,13,0)&lt;&gt;"",VLOOKUP(A621,Briefing_Req!A:M,13,0),VLOOKUP(A621,Briefing_Req!A:M,3,0)),"")</f>
        <v/>
      </c>
      <c r="D621" s="51"/>
      <c r="E621" s="50"/>
      <c r="F621" s="51"/>
      <c r="G621" s="51"/>
      <c r="H621" s="51"/>
      <c r="I621" s="51"/>
      <c r="J621" s="51"/>
      <c r="K621" s="70"/>
      <c r="L621" s="72"/>
      <c r="M621" s="51"/>
      <c r="N621" s="51"/>
      <c r="O621" s="51"/>
      <c r="P621" s="69"/>
      <c r="Q621" s="69"/>
      <c r="R621" s="69"/>
      <c r="S621" s="69"/>
    </row>
    <row r="622" spans="1:19" ht="23.25" customHeight="1">
      <c r="A622" s="51"/>
      <c r="B622" s="50" t="str">
        <f>IFERROR(VLOOKUP(A622,Briefing_Req!A:M,2,0),"")</f>
        <v/>
      </c>
      <c r="C622" s="143" t="str">
        <f>IFERROR(IF(VLOOKUP(A622,Briefing_Req!A:M,13,0)&lt;&gt;"",VLOOKUP(A622,Briefing_Req!A:M,13,0),VLOOKUP(A622,Briefing_Req!A:M,3,0)),"")</f>
        <v/>
      </c>
      <c r="D622" s="51"/>
      <c r="E622" s="50"/>
      <c r="F622" s="51"/>
      <c r="G622" s="51"/>
      <c r="H622" s="51"/>
      <c r="I622" s="51"/>
      <c r="J622" s="51"/>
      <c r="K622" s="70"/>
      <c r="L622" s="72"/>
      <c r="M622" s="51"/>
      <c r="N622" s="51"/>
      <c r="O622" s="51"/>
      <c r="P622" s="69"/>
      <c r="Q622" s="69"/>
      <c r="R622" s="69"/>
      <c r="S622" s="69"/>
    </row>
    <row r="623" spans="1:19" ht="23.25" customHeight="1">
      <c r="A623" s="51"/>
      <c r="B623" s="50" t="str">
        <f>IFERROR(VLOOKUP(A623,Briefing_Req!A:M,2,0),"")</f>
        <v/>
      </c>
      <c r="C623" s="143" t="str">
        <f>IFERROR(IF(VLOOKUP(A623,Briefing_Req!A:M,13,0)&lt;&gt;"",VLOOKUP(A623,Briefing_Req!A:M,13,0),VLOOKUP(A623,Briefing_Req!A:M,3,0)),"")</f>
        <v/>
      </c>
      <c r="D623" s="51"/>
      <c r="E623" s="50"/>
      <c r="F623" s="51"/>
      <c r="G623" s="51"/>
      <c r="H623" s="51"/>
      <c r="I623" s="51"/>
      <c r="J623" s="51"/>
      <c r="K623" s="70"/>
      <c r="L623" s="72"/>
      <c r="M623" s="51"/>
      <c r="N623" s="51"/>
      <c r="O623" s="51"/>
      <c r="P623" s="69"/>
      <c r="Q623" s="69"/>
      <c r="R623" s="69"/>
      <c r="S623" s="69"/>
    </row>
    <row r="624" spans="1:19" ht="23.25" customHeight="1">
      <c r="A624" s="51"/>
      <c r="B624" s="50" t="str">
        <f>IFERROR(VLOOKUP(A624,Briefing_Req!A:M,2,0),"")</f>
        <v/>
      </c>
      <c r="C624" s="143" t="str">
        <f>IFERROR(IF(VLOOKUP(A624,Briefing_Req!A:M,13,0)&lt;&gt;"",VLOOKUP(A624,Briefing_Req!A:M,13,0),VLOOKUP(A624,Briefing_Req!A:M,3,0)),"")</f>
        <v/>
      </c>
      <c r="D624" s="51"/>
      <c r="E624" s="50"/>
      <c r="F624" s="51"/>
      <c r="G624" s="51"/>
      <c r="H624" s="51"/>
      <c r="I624" s="51"/>
      <c r="J624" s="51"/>
      <c r="K624" s="70"/>
      <c r="L624" s="72"/>
      <c r="M624" s="51"/>
      <c r="N624" s="51"/>
      <c r="O624" s="51"/>
      <c r="P624" s="69"/>
      <c r="Q624" s="69"/>
      <c r="R624" s="69"/>
      <c r="S624" s="69"/>
    </row>
    <row r="625" spans="1:19" ht="23.25" customHeight="1">
      <c r="A625" s="51"/>
      <c r="B625" s="50" t="str">
        <f>IFERROR(VLOOKUP(A625,Briefing_Req!A:M,2,0),"")</f>
        <v/>
      </c>
      <c r="C625" s="143" t="str">
        <f>IFERROR(IF(VLOOKUP(A625,Briefing_Req!A:M,13,0)&lt;&gt;"",VLOOKUP(A625,Briefing_Req!A:M,13,0),VLOOKUP(A625,Briefing_Req!A:M,3,0)),"")</f>
        <v/>
      </c>
      <c r="D625" s="51"/>
      <c r="E625" s="50"/>
      <c r="F625" s="51"/>
      <c r="G625" s="51"/>
      <c r="H625" s="51"/>
      <c r="I625" s="51"/>
      <c r="J625" s="51"/>
      <c r="K625" s="70"/>
      <c r="L625" s="72"/>
      <c r="M625" s="51"/>
      <c r="N625" s="51"/>
      <c r="O625" s="51"/>
      <c r="P625" s="69"/>
      <c r="Q625" s="69"/>
      <c r="R625" s="69"/>
      <c r="S625" s="69"/>
    </row>
    <row r="626" spans="1:19" ht="23.25" customHeight="1">
      <c r="A626" s="51"/>
      <c r="B626" s="50" t="str">
        <f>IFERROR(VLOOKUP(A626,Briefing_Req!A:M,2,0),"")</f>
        <v/>
      </c>
      <c r="C626" s="143" t="str">
        <f>IFERROR(IF(VLOOKUP(A626,Briefing_Req!A:M,13,0)&lt;&gt;"",VLOOKUP(A626,Briefing_Req!A:M,13,0),VLOOKUP(A626,Briefing_Req!A:M,3,0)),"")</f>
        <v/>
      </c>
      <c r="D626" s="51"/>
      <c r="E626" s="50"/>
      <c r="F626" s="51"/>
      <c r="G626" s="51"/>
      <c r="H626" s="51"/>
      <c r="I626" s="51"/>
      <c r="J626" s="51"/>
      <c r="K626" s="70"/>
      <c r="L626" s="72"/>
      <c r="M626" s="51"/>
      <c r="N626" s="51"/>
      <c r="O626" s="51"/>
      <c r="P626" s="69"/>
      <c r="Q626" s="69"/>
      <c r="R626" s="69"/>
      <c r="S626" s="69"/>
    </row>
    <row r="627" spans="1:19" ht="23.25" customHeight="1">
      <c r="A627" s="51"/>
      <c r="B627" s="50" t="str">
        <f>IFERROR(VLOOKUP(A627,Briefing_Req!A:M,2,0),"")</f>
        <v/>
      </c>
      <c r="C627" s="143" t="str">
        <f>IFERROR(IF(VLOOKUP(A627,Briefing_Req!A:M,13,0)&lt;&gt;"",VLOOKUP(A627,Briefing_Req!A:M,13,0),VLOOKUP(A627,Briefing_Req!A:M,3,0)),"")</f>
        <v/>
      </c>
      <c r="D627" s="51"/>
      <c r="E627" s="50"/>
      <c r="F627" s="51"/>
      <c r="G627" s="51"/>
      <c r="H627" s="51"/>
      <c r="I627" s="51"/>
      <c r="J627" s="51"/>
      <c r="K627" s="70"/>
      <c r="L627" s="72"/>
      <c r="M627" s="51"/>
      <c r="N627" s="51"/>
      <c r="O627" s="51"/>
      <c r="P627" s="69"/>
      <c r="Q627" s="69"/>
      <c r="R627" s="69"/>
      <c r="S627" s="69"/>
    </row>
    <row r="628" spans="1:19" ht="23.25" customHeight="1">
      <c r="A628" s="51"/>
      <c r="B628" s="50" t="str">
        <f>IFERROR(VLOOKUP(A628,Briefing_Req!A:M,2,0),"")</f>
        <v/>
      </c>
      <c r="C628" s="143" t="str">
        <f>IFERROR(IF(VLOOKUP(A628,Briefing_Req!A:M,13,0)&lt;&gt;"",VLOOKUP(A628,Briefing_Req!A:M,13,0),VLOOKUP(A628,Briefing_Req!A:M,3,0)),"")</f>
        <v/>
      </c>
      <c r="D628" s="51"/>
      <c r="E628" s="50"/>
      <c r="F628" s="51"/>
      <c r="G628" s="51"/>
      <c r="H628" s="51"/>
      <c r="I628" s="51"/>
      <c r="J628" s="51"/>
      <c r="K628" s="70"/>
      <c r="L628" s="72"/>
      <c r="M628" s="51"/>
      <c r="N628" s="51"/>
      <c r="O628" s="51"/>
      <c r="P628" s="69"/>
      <c r="Q628" s="69"/>
      <c r="R628" s="69"/>
      <c r="S628" s="69"/>
    </row>
    <row r="629" spans="1:19" ht="23.25" customHeight="1">
      <c r="A629" s="51"/>
      <c r="B629" s="50" t="str">
        <f>IFERROR(VLOOKUP(A629,Briefing_Req!A:M,2,0),"")</f>
        <v/>
      </c>
      <c r="C629" s="143" t="str">
        <f>IFERROR(IF(VLOOKUP(A629,Briefing_Req!A:M,13,0)&lt;&gt;"",VLOOKUP(A629,Briefing_Req!A:M,13,0),VLOOKUP(A629,Briefing_Req!A:M,3,0)),"")</f>
        <v/>
      </c>
      <c r="D629" s="51"/>
      <c r="E629" s="50"/>
      <c r="F629" s="51"/>
      <c r="G629" s="51"/>
      <c r="H629" s="51"/>
      <c r="I629" s="51"/>
      <c r="J629" s="51"/>
      <c r="K629" s="70"/>
      <c r="L629" s="72"/>
      <c r="M629" s="51"/>
      <c r="N629" s="51"/>
      <c r="O629" s="51"/>
      <c r="P629" s="69"/>
      <c r="Q629" s="69"/>
      <c r="R629" s="69"/>
      <c r="S629" s="69"/>
    </row>
    <row r="630" spans="1:19" ht="23.25" customHeight="1">
      <c r="A630" s="51"/>
      <c r="B630" s="50" t="str">
        <f>IFERROR(VLOOKUP(A630,Briefing_Req!A:M,2,0),"")</f>
        <v/>
      </c>
      <c r="C630" s="143" t="str">
        <f>IFERROR(IF(VLOOKUP(A630,Briefing_Req!A:M,13,0)&lt;&gt;"",VLOOKUP(A630,Briefing_Req!A:M,13,0),VLOOKUP(A630,Briefing_Req!A:M,3,0)),"")</f>
        <v/>
      </c>
      <c r="D630" s="51"/>
      <c r="E630" s="50"/>
      <c r="F630" s="51"/>
      <c r="G630" s="51"/>
      <c r="H630" s="51"/>
      <c r="I630" s="51"/>
      <c r="J630" s="51"/>
      <c r="K630" s="70"/>
      <c r="L630" s="72"/>
      <c r="M630" s="51"/>
      <c r="N630" s="51"/>
      <c r="O630" s="51"/>
      <c r="P630" s="69"/>
      <c r="Q630" s="69"/>
      <c r="R630" s="69"/>
      <c r="S630" s="69"/>
    </row>
    <row r="631" spans="1:19" ht="23.25" customHeight="1">
      <c r="A631" s="51"/>
      <c r="B631" s="50" t="str">
        <f>IFERROR(VLOOKUP(A631,Briefing_Req!A:M,2,0),"")</f>
        <v/>
      </c>
      <c r="C631" s="143" t="str">
        <f>IFERROR(IF(VLOOKUP(A631,Briefing_Req!A:M,13,0)&lt;&gt;"",VLOOKUP(A631,Briefing_Req!A:M,13,0),VLOOKUP(A631,Briefing_Req!A:M,3,0)),"")</f>
        <v/>
      </c>
      <c r="D631" s="51"/>
      <c r="E631" s="50"/>
      <c r="F631" s="51"/>
      <c r="G631" s="51"/>
      <c r="H631" s="51"/>
      <c r="I631" s="51"/>
      <c r="J631" s="51"/>
      <c r="K631" s="70"/>
      <c r="L631" s="72"/>
      <c r="M631" s="51"/>
      <c r="N631" s="51"/>
      <c r="O631" s="51"/>
      <c r="P631" s="69"/>
      <c r="Q631" s="69"/>
      <c r="R631" s="69"/>
      <c r="S631" s="69"/>
    </row>
    <row r="632" spans="1:19" ht="23.25" customHeight="1">
      <c r="A632" s="51"/>
      <c r="B632" s="50" t="str">
        <f>IFERROR(VLOOKUP(A632,Briefing_Req!A:M,2,0),"")</f>
        <v/>
      </c>
      <c r="C632" s="143" t="str">
        <f>IFERROR(IF(VLOOKUP(A632,Briefing_Req!A:M,13,0)&lt;&gt;"",VLOOKUP(A632,Briefing_Req!A:M,13,0),VLOOKUP(A632,Briefing_Req!A:M,3,0)),"")</f>
        <v/>
      </c>
      <c r="D632" s="51"/>
      <c r="E632" s="50"/>
      <c r="F632" s="51"/>
      <c r="G632" s="51"/>
      <c r="H632" s="51"/>
      <c r="I632" s="51"/>
      <c r="J632" s="51"/>
      <c r="K632" s="70"/>
      <c r="L632" s="72"/>
      <c r="M632" s="51"/>
      <c r="N632" s="51"/>
      <c r="O632" s="51"/>
      <c r="P632" s="69"/>
      <c r="Q632" s="69"/>
      <c r="R632" s="69"/>
      <c r="S632" s="69"/>
    </row>
    <row r="633" spans="1:19" ht="23.25" customHeight="1">
      <c r="A633" s="51"/>
      <c r="B633" s="50" t="str">
        <f>IFERROR(VLOOKUP(A633,Briefing_Req!A:M,2,0),"")</f>
        <v/>
      </c>
      <c r="C633" s="143" t="str">
        <f>IFERROR(IF(VLOOKUP(A633,Briefing_Req!A:M,13,0)&lt;&gt;"",VLOOKUP(A633,Briefing_Req!A:M,13,0),VLOOKUP(A633,Briefing_Req!A:M,3,0)),"")</f>
        <v/>
      </c>
      <c r="D633" s="51"/>
      <c r="E633" s="50"/>
      <c r="F633" s="51"/>
      <c r="G633" s="51"/>
      <c r="H633" s="51"/>
      <c r="I633" s="51"/>
      <c r="J633" s="51"/>
      <c r="K633" s="70"/>
      <c r="L633" s="72"/>
      <c r="M633" s="51"/>
      <c r="N633" s="51"/>
      <c r="O633" s="51"/>
      <c r="P633" s="69"/>
      <c r="Q633" s="69"/>
      <c r="R633" s="69"/>
      <c r="S633" s="69"/>
    </row>
    <row r="634" spans="1:19" ht="23.25" customHeight="1">
      <c r="A634" s="51"/>
      <c r="B634" s="50" t="str">
        <f>IFERROR(VLOOKUP(A634,Briefing_Req!A:M,2,0),"")</f>
        <v/>
      </c>
      <c r="C634" s="143" t="str">
        <f>IFERROR(IF(VLOOKUP(A634,Briefing_Req!A:M,13,0)&lt;&gt;"",VLOOKUP(A634,Briefing_Req!A:M,13,0),VLOOKUP(A634,Briefing_Req!A:M,3,0)),"")</f>
        <v/>
      </c>
      <c r="D634" s="51"/>
      <c r="E634" s="50"/>
      <c r="F634" s="51"/>
      <c r="G634" s="51"/>
      <c r="H634" s="51"/>
      <c r="I634" s="51"/>
      <c r="J634" s="51"/>
      <c r="K634" s="70"/>
      <c r="L634" s="72"/>
      <c r="M634" s="51"/>
      <c r="N634" s="51"/>
      <c r="O634" s="51"/>
      <c r="P634" s="69"/>
      <c r="Q634" s="69"/>
      <c r="R634" s="69"/>
      <c r="S634" s="69"/>
    </row>
  </sheetData>
  <autoFilter ref="A1:S136"/>
  <dataConsolidate/>
  <mergeCells count="21">
    <mergeCell ref="P141:R141"/>
    <mergeCell ref="P143:S143"/>
    <mergeCell ref="A144:A145"/>
    <mergeCell ref="J144:O144"/>
    <mergeCell ref="F144:F145"/>
    <mergeCell ref="E144:E145"/>
    <mergeCell ref="D144:D145"/>
    <mergeCell ref="C144:C145"/>
    <mergeCell ref="B144:B145"/>
    <mergeCell ref="C141:G143"/>
    <mergeCell ref="J141:K141"/>
    <mergeCell ref="L141:M141"/>
    <mergeCell ref="N141:O141"/>
    <mergeCell ref="L142:M142"/>
    <mergeCell ref="N142:O142"/>
    <mergeCell ref="J142:K142"/>
    <mergeCell ref="G144:G145"/>
    <mergeCell ref="I144:I145"/>
    <mergeCell ref="H144:H145"/>
    <mergeCell ref="P144:S144"/>
    <mergeCell ref="P142:R142"/>
  </mergeCells>
  <conditionalFormatting sqref="S146:S634">
    <cfRule type="expression" dxfId="0" priority="1" stopIfTrue="1">
      <formula>AND(O146&lt;&gt;"",S146="ERRO")</formula>
    </cfRule>
  </conditionalFormatting>
  <pageMargins left="0.511811024" right="0.511811024" top="0.78740157499999996" bottom="0.78740157499999996" header="0.31496062000000002" footer="0.31496062000000002"/>
  <pageSetup paperSize="9" scale="62"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
  <sheetViews>
    <sheetView zoomScale="90" zoomScaleNormal="90" workbookViewId="0">
      <selection activeCell="C13" sqref="C13"/>
    </sheetView>
  </sheetViews>
  <sheetFormatPr defaultColWidth="5.75" defaultRowHeight="12.75"/>
  <cols>
    <col min="1" max="1" width="27.875" customWidth="1"/>
    <col min="2" max="2" width="26.75" customWidth="1"/>
    <col min="3" max="3" width="62.5" customWidth="1"/>
    <col min="4" max="4" width="17.25" customWidth="1"/>
  </cols>
  <sheetData>
    <row r="1" spans="1:4" ht="15">
      <c r="A1" s="59" t="s">
        <v>150</v>
      </c>
      <c r="B1" s="59" t="s">
        <v>233</v>
      </c>
      <c r="C1" s="59" t="s">
        <v>233</v>
      </c>
      <c r="D1" s="61" t="s">
        <v>62</v>
      </c>
    </row>
    <row r="2" spans="1:4" ht="33.75">
      <c r="A2" s="199" t="s">
        <v>234</v>
      </c>
      <c r="B2" s="205" t="s">
        <v>235</v>
      </c>
      <c r="C2" s="60" t="s">
        <v>236</v>
      </c>
      <c r="D2" s="180" t="s">
        <v>157</v>
      </c>
    </row>
    <row r="3" spans="1:4" ht="33.75">
      <c r="A3" s="200"/>
      <c r="B3" s="205"/>
      <c r="C3" s="60" t="s">
        <v>237</v>
      </c>
      <c r="D3" s="180" t="s">
        <v>161</v>
      </c>
    </row>
    <row r="4" spans="1:4" ht="45">
      <c r="A4" s="201"/>
      <c r="B4" s="205"/>
      <c r="C4" s="60" t="s">
        <v>238</v>
      </c>
      <c r="D4" s="180" t="s">
        <v>165</v>
      </c>
    </row>
    <row r="5" spans="1:4" ht="33.75" customHeight="1">
      <c r="A5" s="199" t="s">
        <v>234</v>
      </c>
      <c r="B5" s="202" t="s">
        <v>239</v>
      </c>
      <c r="C5" s="60" t="s">
        <v>240</v>
      </c>
      <c r="D5" s="180" t="s">
        <v>157</v>
      </c>
    </row>
    <row r="6" spans="1:4" ht="33.75">
      <c r="A6" s="200"/>
      <c r="B6" s="203"/>
      <c r="C6" s="60" t="s">
        <v>241</v>
      </c>
      <c r="D6" s="180" t="s">
        <v>161</v>
      </c>
    </row>
    <row r="7" spans="1:4" ht="33.75">
      <c r="A7" s="201"/>
      <c r="B7" s="204"/>
      <c r="C7" s="60" t="s">
        <v>242</v>
      </c>
      <c r="D7" s="180" t="s">
        <v>165</v>
      </c>
    </row>
    <row r="8" spans="1:4" ht="22.5" customHeight="1">
      <c r="A8" s="199" t="s">
        <v>234</v>
      </c>
      <c r="B8" s="202" t="s">
        <v>243</v>
      </c>
      <c r="C8" s="60" t="s">
        <v>244</v>
      </c>
      <c r="D8" s="180" t="s">
        <v>157</v>
      </c>
    </row>
    <row r="9" spans="1:4" ht="22.5">
      <c r="A9" s="200"/>
      <c r="B9" s="203"/>
      <c r="C9" s="60" t="s">
        <v>245</v>
      </c>
      <c r="D9" s="180" t="s">
        <v>161</v>
      </c>
    </row>
    <row r="10" spans="1:4" ht="22.5">
      <c r="A10" s="201"/>
      <c r="B10" s="204"/>
      <c r="C10" s="60" t="s">
        <v>246</v>
      </c>
      <c r="D10" s="180" t="s">
        <v>165</v>
      </c>
    </row>
    <row r="11" spans="1:4" ht="22.5" customHeight="1">
      <c r="A11" s="199" t="s">
        <v>234</v>
      </c>
      <c r="B11" s="202" t="s">
        <v>247</v>
      </c>
      <c r="C11" s="60" t="s">
        <v>248</v>
      </c>
      <c r="D11" s="180" t="s">
        <v>157</v>
      </c>
    </row>
    <row r="12" spans="1:4" ht="33.75">
      <c r="A12" s="200"/>
      <c r="B12" s="203"/>
      <c r="C12" s="60" t="s">
        <v>249</v>
      </c>
      <c r="D12" s="180" t="s">
        <v>161</v>
      </c>
    </row>
    <row r="13" spans="1:4" ht="45">
      <c r="A13" s="201"/>
      <c r="B13" s="204"/>
      <c r="C13" s="60" t="s">
        <v>250</v>
      </c>
      <c r="D13" s="180" t="s">
        <v>165</v>
      </c>
    </row>
    <row r="14" spans="1:4" ht="33.75" customHeight="1">
      <c r="A14" s="199" t="s">
        <v>234</v>
      </c>
      <c r="B14" s="202" t="s">
        <v>251</v>
      </c>
      <c r="C14" s="60" t="s">
        <v>252</v>
      </c>
      <c r="D14" s="180" t="s">
        <v>157</v>
      </c>
    </row>
    <row r="15" spans="1:4" ht="33.75">
      <c r="A15" s="200"/>
      <c r="B15" s="203"/>
      <c r="C15" s="60" t="s">
        <v>253</v>
      </c>
      <c r="D15" s="180" t="s">
        <v>161</v>
      </c>
    </row>
    <row r="16" spans="1:4" ht="33.75">
      <c r="A16" s="201"/>
      <c r="B16" s="204"/>
      <c r="C16" s="60" t="s">
        <v>254</v>
      </c>
      <c r="D16" s="180" t="s">
        <v>165</v>
      </c>
    </row>
    <row r="17" spans="1:4" ht="22.5">
      <c r="A17" s="199" t="s">
        <v>167</v>
      </c>
      <c r="B17" s="202" t="s">
        <v>189</v>
      </c>
      <c r="C17" s="74" t="s">
        <v>255</v>
      </c>
      <c r="D17" s="180" t="s">
        <v>157</v>
      </c>
    </row>
    <row r="18" spans="1:4" ht="22.5">
      <c r="A18" s="200" t="s">
        <v>167</v>
      </c>
      <c r="B18" s="203" t="s">
        <v>189</v>
      </c>
      <c r="C18" s="74" t="s">
        <v>256</v>
      </c>
      <c r="D18" s="180" t="s">
        <v>195</v>
      </c>
    </row>
    <row r="19" spans="1:4" ht="22.5">
      <c r="A19" s="201" t="s">
        <v>167</v>
      </c>
      <c r="B19" s="204" t="s">
        <v>189</v>
      </c>
      <c r="C19" s="74" t="s">
        <v>257</v>
      </c>
      <c r="D19" s="180" t="s">
        <v>165</v>
      </c>
    </row>
    <row r="20" spans="1:4" ht="22.5">
      <c r="A20" s="199" t="s">
        <v>178</v>
      </c>
      <c r="B20" s="202" t="s">
        <v>197</v>
      </c>
      <c r="C20" s="75" t="s">
        <v>258</v>
      </c>
      <c r="D20" s="180" t="s">
        <v>157</v>
      </c>
    </row>
    <row r="21" spans="1:4" ht="22.5">
      <c r="A21" s="200" t="s">
        <v>178</v>
      </c>
      <c r="B21" s="203" t="s">
        <v>197</v>
      </c>
      <c r="C21" s="75" t="s">
        <v>259</v>
      </c>
      <c r="D21" s="180" t="s">
        <v>195</v>
      </c>
    </row>
    <row r="22" spans="1:4" ht="45">
      <c r="A22" s="201" t="s">
        <v>178</v>
      </c>
      <c r="B22" s="204" t="s">
        <v>197</v>
      </c>
      <c r="C22" s="75" t="s">
        <v>260</v>
      </c>
      <c r="D22" s="180" t="s">
        <v>165</v>
      </c>
    </row>
    <row r="23" spans="1:4" ht="22.5">
      <c r="A23" s="199" t="s">
        <v>175</v>
      </c>
      <c r="B23" s="202" t="s">
        <v>197</v>
      </c>
      <c r="C23" s="75" t="s">
        <v>261</v>
      </c>
      <c r="D23" s="180" t="s">
        <v>157</v>
      </c>
    </row>
    <row r="24" spans="1:4" ht="22.5">
      <c r="A24" s="200" t="s">
        <v>175</v>
      </c>
      <c r="B24" s="203" t="s">
        <v>197</v>
      </c>
      <c r="C24" s="75" t="s">
        <v>262</v>
      </c>
      <c r="D24" s="180" t="s">
        <v>195</v>
      </c>
    </row>
    <row r="25" spans="1:4" ht="33.75">
      <c r="A25" s="201" t="s">
        <v>175</v>
      </c>
      <c r="B25" s="204" t="s">
        <v>197</v>
      </c>
      <c r="C25" s="75" t="s">
        <v>263</v>
      </c>
      <c r="D25" s="180" t="s">
        <v>165</v>
      </c>
    </row>
    <row r="26" spans="1:4" ht="22.5">
      <c r="A26" s="199" t="s">
        <v>175</v>
      </c>
      <c r="B26" s="202" t="s">
        <v>196</v>
      </c>
      <c r="C26" s="75" t="s">
        <v>264</v>
      </c>
      <c r="D26" s="180" t="s">
        <v>157</v>
      </c>
    </row>
    <row r="27" spans="1:4" ht="22.5">
      <c r="A27" s="200" t="s">
        <v>175</v>
      </c>
      <c r="B27" s="203" t="s">
        <v>265</v>
      </c>
      <c r="C27" s="75" t="s">
        <v>266</v>
      </c>
      <c r="D27" s="180" t="s">
        <v>195</v>
      </c>
    </row>
    <row r="28" spans="1:4" ht="33.75">
      <c r="A28" s="201" t="s">
        <v>175</v>
      </c>
      <c r="B28" s="204" t="s">
        <v>265</v>
      </c>
      <c r="C28" s="75" t="s">
        <v>263</v>
      </c>
      <c r="D28" s="180" t="s">
        <v>165</v>
      </c>
    </row>
    <row r="29" spans="1:4" ht="22.5">
      <c r="A29" s="199" t="s">
        <v>167</v>
      </c>
      <c r="B29" s="202" t="s">
        <v>191</v>
      </c>
      <c r="C29" s="75" t="s">
        <v>267</v>
      </c>
      <c r="D29" s="180" t="s">
        <v>157</v>
      </c>
    </row>
    <row r="30" spans="1:4" ht="22.5">
      <c r="A30" s="200" t="s">
        <v>167</v>
      </c>
      <c r="B30" s="203" t="s">
        <v>191</v>
      </c>
      <c r="C30" s="75" t="s">
        <v>268</v>
      </c>
      <c r="D30" s="180" t="s">
        <v>195</v>
      </c>
    </row>
    <row r="31" spans="1:4" ht="22.5">
      <c r="A31" s="201" t="s">
        <v>167</v>
      </c>
      <c r="B31" s="204" t="s">
        <v>191</v>
      </c>
      <c r="C31" s="75" t="s">
        <v>269</v>
      </c>
      <c r="D31" s="180" t="s">
        <v>165</v>
      </c>
    </row>
    <row r="32" spans="1:4" ht="33.75">
      <c r="A32" s="199" t="s">
        <v>167</v>
      </c>
      <c r="B32" s="202" t="s">
        <v>190</v>
      </c>
      <c r="C32" s="75" t="s">
        <v>270</v>
      </c>
      <c r="D32" s="180" t="s">
        <v>157</v>
      </c>
    </row>
    <row r="33" spans="1:4" ht="33.75">
      <c r="A33" s="200" t="s">
        <v>167</v>
      </c>
      <c r="B33" s="203" t="s">
        <v>190</v>
      </c>
      <c r="C33" s="75" t="s">
        <v>271</v>
      </c>
      <c r="D33" s="180" t="s">
        <v>195</v>
      </c>
    </row>
    <row r="34" spans="1:4" ht="45">
      <c r="A34" s="201" t="s">
        <v>167</v>
      </c>
      <c r="B34" s="204" t="s">
        <v>190</v>
      </c>
      <c r="C34" s="75" t="s">
        <v>272</v>
      </c>
      <c r="D34" s="180" t="s">
        <v>165</v>
      </c>
    </row>
    <row r="35" spans="1:4" ht="33.75">
      <c r="A35" s="199" t="s">
        <v>167</v>
      </c>
      <c r="B35" s="202" t="s">
        <v>192</v>
      </c>
      <c r="C35" s="75" t="s">
        <v>273</v>
      </c>
      <c r="D35" s="180" t="s">
        <v>157</v>
      </c>
    </row>
    <row r="36" spans="1:4" ht="33.75">
      <c r="A36" s="200" t="s">
        <v>167</v>
      </c>
      <c r="B36" s="203" t="s">
        <v>192</v>
      </c>
      <c r="C36" s="75" t="s">
        <v>274</v>
      </c>
      <c r="D36" s="180" t="s">
        <v>195</v>
      </c>
    </row>
    <row r="37" spans="1:4" ht="33.75">
      <c r="A37" s="201" t="s">
        <v>167</v>
      </c>
      <c r="B37" s="204" t="s">
        <v>192</v>
      </c>
      <c r="C37" s="75" t="s">
        <v>275</v>
      </c>
      <c r="D37" s="180" t="s">
        <v>165</v>
      </c>
    </row>
    <row r="38" spans="1:4" ht="22.5">
      <c r="A38" s="199" t="s">
        <v>167</v>
      </c>
      <c r="B38" s="202" t="s">
        <v>193</v>
      </c>
      <c r="C38" s="75" t="s">
        <v>276</v>
      </c>
      <c r="D38" s="180" t="s">
        <v>157</v>
      </c>
    </row>
    <row r="39" spans="1:4" ht="33.75">
      <c r="A39" s="200" t="s">
        <v>167</v>
      </c>
      <c r="B39" s="203" t="s">
        <v>193</v>
      </c>
      <c r="C39" s="75" t="s">
        <v>277</v>
      </c>
      <c r="D39" s="180" t="s">
        <v>195</v>
      </c>
    </row>
    <row r="40" spans="1:4" ht="33.75">
      <c r="A40" s="201" t="s">
        <v>167</v>
      </c>
      <c r="B40" s="204" t="s">
        <v>193</v>
      </c>
      <c r="C40" s="75" t="s">
        <v>278</v>
      </c>
      <c r="D40" s="180" t="s">
        <v>165</v>
      </c>
    </row>
    <row r="41" spans="1:4" ht="33.75">
      <c r="A41" s="199" t="s">
        <v>163</v>
      </c>
      <c r="B41" s="202" t="s">
        <v>187</v>
      </c>
      <c r="C41" s="75" t="s">
        <v>279</v>
      </c>
      <c r="D41" s="180" t="s">
        <v>157</v>
      </c>
    </row>
    <row r="42" spans="1:4" ht="33.75">
      <c r="A42" s="200" t="s">
        <v>163</v>
      </c>
      <c r="B42" s="203" t="s">
        <v>187</v>
      </c>
      <c r="C42" s="75" t="s">
        <v>280</v>
      </c>
      <c r="D42" s="180" t="s">
        <v>195</v>
      </c>
    </row>
    <row r="43" spans="1:4" ht="22.5">
      <c r="A43" s="201" t="s">
        <v>163</v>
      </c>
      <c r="B43" s="204" t="s">
        <v>187</v>
      </c>
      <c r="C43" s="75" t="s">
        <v>281</v>
      </c>
      <c r="D43" s="180" t="s">
        <v>165</v>
      </c>
    </row>
    <row r="44" spans="1:4" ht="33.75">
      <c r="A44" s="199" t="s">
        <v>163</v>
      </c>
      <c r="B44" s="202" t="s">
        <v>188</v>
      </c>
      <c r="C44" s="75" t="s">
        <v>282</v>
      </c>
      <c r="D44" s="180" t="s">
        <v>157</v>
      </c>
    </row>
    <row r="45" spans="1:4" ht="33.75">
      <c r="A45" s="200" t="s">
        <v>163</v>
      </c>
      <c r="B45" s="203" t="s">
        <v>188</v>
      </c>
      <c r="C45" s="75" t="s">
        <v>283</v>
      </c>
      <c r="D45" s="180" t="s">
        <v>195</v>
      </c>
    </row>
    <row r="46" spans="1:4" ht="33.75">
      <c r="A46" s="201" t="s">
        <v>163</v>
      </c>
      <c r="B46" s="204" t="s">
        <v>188</v>
      </c>
      <c r="C46" s="75" t="s">
        <v>284</v>
      </c>
      <c r="D46" s="180" t="s">
        <v>165</v>
      </c>
    </row>
    <row r="47" spans="1:4" ht="22.5">
      <c r="A47" s="199" t="s">
        <v>163</v>
      </c>
      <c r="B47" s="202" t="s">
        <v>186</v>
      </c>
      <c r="C47" s="75" t="s">
        <v>285</v>
      </c>
      <c r="D47" s="180" t="s">
        <v>157</v>
      </c>
    </row>
    <row r="48" spans="1:4" ht="22.5">
      <c r="A48" s="200" t="s">
        <v>163</v>
      </c>
      <c r="B48" s="203" t="s">
        <v>186</v>
      </c>
      <c r="C48" s="75" t="s">
        <v>286</v>
      </c>
      <c r="D48" s="180" t="s">
        <v>195</v>
      </c>
    </row>
    <row r="49" spans="1:4" ht="22.5">
      <c r="A49" s="201" t="s">
        <v>163</v>
      </c>
      <c r="B49" s="204" t="s">
        <v>186</v>
      </c>
      <c r="C49" s="75" t="s">
        <v>287</v>
      </c>
      <c r="D49" s="180" t="s">
        <v>165</v>
      </c>
    </row>
    <row r="50" spans="1:4" ht="22.5">
      <c r="A50" s="199" t="s">
        <v>169</v>
      </c>
      <c r="B50" s="202" t="s">
        <v>156</v>
      </c>
      <c r="C50" s="76" t="s">
        <v>288</v>
      </c>
      <c r="D50" s="180" t="s">
        <v>157</v>
      </c>
    </row>
    <row r="51" spans="1:4" ht="33.75">
      <c r="A51" s="200" t="s">
        <v>169</v>
      </c>
      <c r="B51" s="203" t="s">
        <v>156</v>
      </c>
      <c r="C51" s="76" t="s">
        <v>289</v>
      </c>
      <c r="D51" s="180" t="s">
        <v>161</v>
      </c>
    </row>
    <row r="52" spans="1:4" ht="33.75">
      <c r="A52" s="201" t="s">
        <v>169</v>
      </c>
      <c r="B52" s="204" t="s">
        <v>156</v>
      </c>
      <c r="C52" s="76" t="s">
        <v>290</v>
      </c>
      <c r="D52" s="180" t="s">
        <v>165</v>
      </c>
    </row>
    <row r="53" spans="1:4" ht="22.5">
      <c r="A53" s="199" t="s">
        <v>169</v>
      </c>
      <c r="B53" s="202" t="s">
        <v>160</v>
      </c>
      <c r="C53" s="76" t="s">
        <v>244</v>
      </c>
      <c r="D53" s="180" t="s">
        <v>157</v>
      </c>
    </row>
    <row r="54" spans="1:4" ht="22.5">
      <c r="A54" s="200" t="s">
        <v>169</v>
      </c>
      <c r="B54" s="203" t="s">
        <v>160</v>
      </c>
      <c r="C54" s="76" t="s">
        <v>245</v>
      </c>
      <c r="D54" s="180" t="s">
        <v>161</v>
      </c>
    </row>
    <row r="55" spans="1:4" ht="22.5">
      <c r="A55" s="201" t="s">
        <v>169</v>
      </c>
      <c r="B55" s="204" t="s">
        <v>160</v>
      </c>
      <c r="C55" s="76" t="s">
        <v>246</v>
      </c>
      <c r="D55" s="180" t="s">
        <v>165</v>
      </c>
    </row>
    <row r="56" spans="1:4" ht="33.75">
      <c r="A56" s="199" t="s">
        <v>169</v>
      </c>
      <c r="B56" s="202" t="s">
        <v>194</v>
      </c>
      <c r="C56" s="76" t="s">
        <v>291</v>
      </c>
      <c r="D56" s="180" t="s">
        <v>157</v>
      </c>
    </row>
    <row r="57" spans="1:4" ht="56.25">
      <c r="A57" s="200" t="s">
        <v>169</v>
      </c>
      <c r="B57" s="203" t="s">
        <v>194</v>
      </c>
      <c r="C57" s="76" t="s">
        <v>292</v>
      </c>
      <c r="D57" s="180" t="s">
        <v>161</v>
      </c>
    </row>
    <row r="58" spans="1:4" ht="45">
      <c r="A58" s="201" t="s">
        <v>169</v>
      </c>
      <c r="B58" s="204" t="s">
        <v>194</v>
      </c>
      <c r="C58" s="76" t="s">
        <v>293</v>
      </c>
      <c r="D58" s="180" t="s">
        <v>165</v>
      </c>
    </row>
    <row r="59" spans="1:4" ht="33.75">
      <c r="A59" s="199" t="s">
        <v>169</v>
      </c>
      <c r="B59" s="202" t="s">
        <v>168</v>
      </c>
      <c r="C59" s="76" t="s">
        <v>294</v>
      </c>
      <c r="D59" s="180" t="s">
        <v>157</v>
      </c>
    </row>
    <row r="60" spans="1:4" ht="45">
      <c r="A60" s="200" t="s">
        <v>169</v>
      </c>
      <c r="B60" s="203" t="s">
        <v>168</v>
      </c>
      <c r="C60" s="76" t="s">
        <v>295</v>
      </c>
      <c r="D60" s="180" t="s">
        <v>161</v>
      </c>
    </row>
    <row r="61" spans="1:4" ht="56.25">
      <c r="A61" s="201" t="s">
        <v>169</v>
      </c>
      <c r="B61" s="204" t="s">
        <v>168</v>
      </c>
      <c r="C61" s="76" t="s">
        <v>296</v>
      </c>
      <c r="D61" s="180" t="s">
        <v>165</v>
      </c>
    </row>
    <row r="62" spans="1:4" ht="22.5">
      <c r="A62" s="199" t="s">
        <v>169</v>
      </c>
      <c r="B62" s="202" t="s">
        <v>170</v>
      </c>
      <c r="C62" s="76" t="s">
        <v>288</v>
      </c>
      <c r="D62" s="180" t="s">
        <v>157</v>
      </c>
    </row>
    <row r="63" spans="1:4" ht="33.75">
      <c r="A63" s="200" t="s">
        <v>169</v>
      </c>
      <c r="B63" s="203" t="s">
        <v>170</v>
      </c>
      <c r="C63" s="76" t="s">
        <v>297</v>
      </c>
      <c r="D63" s="180" t="s">
        <v>161</v>
      </c>
    </row>
    <row r="64" spans="1:4" ht="33.75">
      <c r="A64" s="201" t="s">
        <v>169</v>
      </c>
      <c r="B64" s="204" t="s">
        <v>170</v>
      </c>
      <c r="C64" s="76" t="s">
        <v>298</v>
      </c>
      <c r="D64" s="180" t="s">
        <v>165</v>
      </c>
    </row>
    <row r="65" spans="1:4" ht="22.5">
      <c r="A65" s="199" t="s">
        <v>169</v>
      </c>
      <c r="B65" s="202" t="s">
        <v>173</v>
      </c>
      <c r="C65" s="76" t="s">
        <v>244</v>
      </c>
      <c r="D65" s="180" t="s">
        <v>157</v>
      </c>
    </row>
    <row r="66" spans="1:4" ht="22.5">
      <c r="A66" s="200" t="s">
        <v>169</v>
      </c>
      <c r="B66" s="203" t="s">
        <v>173</v>
      </c>
      <c r="C66" s="76" t="s">
        <v>245</v>
      </c>
      <c r="D66" s="180" t="s">
        <v>161</v>
      </c>
    </row>
    <row r="67" spans="1:4" ht="22.5">
      <c r="A67" s="201" t="s">
        <v>169</v>
      </c>
      <c r="B67" s="204" t="s">
        <v>173</v>
      </c>
      <c r="C67" s="76" t="s">
        <v>246</v>
      </c>
      <c r="D67" s="180" t="s">
        <v>165</v>
      </c>
    </row>
    <row r="68" spans="1:4" ht="33.75">
      <c r="A68" s="199" t="s">
        <v>169</v>
      </c>
      <c r="B68" s="202" t="s">
        <v>179</v>
      </c>
      <c r="C68" s="76" t="s">
        <v>299</v>
      </c>
      <c r="D68" s="180" t="s">
        <v>157</v>
      </c>
    </row>
    <row r="69" spans="1:4" ht="45">
      <c r="A69" s="200" t="s">
        <v>169</v>
      </c>
      <c r="B69" s="203" t="s">
        <v>179</v>
      </c>
      <c r="C69" s="76" t="s">
        <v>300</v>
      </c>
      <c r="D69" s="180" t="s">
        <v>161</v>
      </c>
    </row>
    <row r="70" spans="1:4" ht="56.25">
      <c r="A70" s="201" t="s">
        <v>169</v>
      </c>
      <c r="B70" s="204" t="s">
        <v>179</v>
      </c>
      <c r="C70" s="76" t="s">
        <v>301</v>
      </c>
      <c r="D70" s="180" t="s">
        <v>165</v>
      </c>
    </row>
    <row r="71" spans="1:4" ht="45">
      <c r="A71" s="199" t="s">
        <v>172</v>
      </c>
      <c r="B71" s="202" t="s">
        <v>194</v>
      </c>
      <c r="C71" s="76" t="s">
        <v>302</v>
      </c>
      <c r="D71" s="180" t="s">
        <v>157</v>
      </c>
    </row>
    <row r="72" spans="1:4" ht="33.75">
      <c r="A72" s="200" t="s">
        <v>172</v>
      </c>
      <c r="B72" s="203" t="s">
        <v>194</v>
      </c>
      <c r="C72" s="76" t="s">
        <v>303</v>
      </c>
      <c r="D72" s="180" t="s">
        <v>161</v>
      </c>
    </row>
    <row r="73" spans="1:4" ht="45">
      <c r="A73" s="201" t="s">
        <v>172</v>
      </c>
      <c r="B73" s="204" t="s">
        <v>194</v>
      </c>
      <c r="C73" s="76" t="s">
        <v>304</v>
      </c>
      <c r="D73" s="180" t="s">
        <v>165</v>
      </c>
    </row>
    <row r="74" spans="1:4" ht="22.5">
      <c r="A74" s="199" t="s">
        <v>172</v>
      </c>
      <c r="B74" s="202" t="s">
        <v>168</v>
      </c>
      <c r="C74" s="76" t="s">
        <v>305</v>
      </c>
      <c r="D74" s="180" t="s">
        <v>157</v>
      </c>
    </row>
    <row r="75" spans="1:4" ht="56.25">
      <c r="A75" s="200" t="s">
        <v>172</v>
      </c>
      <c r="B75" s="203" t="s">
        <v>168</v>
      </c>
      <c r="C75" s="76" t="s">
        <v>306</v>
      </c>
      <c r="D75" s="180" t="s">
        <v>161</v>
      </c>
    </row>
    <row r="76" spans="1:4" ht="33.75">
      <c r="A76" s="201" t="s">
        <v>172</v>
      </c>
      <c r="B76" s="204" t="s">
        <v>168</v>
      </c>
      <c r="C76" s="76" t="s">
        <v>307</v>
      </c>
      <c r="D76" s="180" t="s">
        <v>165</v>
      </c>
    </row>
    <row r="77" spans="1:4" ht="22.5">
      <c r="A77" s="199" t="s">
        <v>172</v>
      </c>
      <c r="B77" s="202" t="s">
        <v>179</v>
      </c>
      <c r="C77" s="76" t="s">
        <v>308</v>
      </c>
      <c r="D77" s="180" t="s">
        <v>157</v>
      </c>
    </row>
    <row r="78" spans="1:4" ht="33.75">
      <c r="A78" s="200" t="s">
        <v>172</v>
      </c>
      <c r="B78" s="203" t="s">
        <v>179</v>
      </c>
      <c r="C78" s="76" t="s">
        <v>309</v>
      </c>
      <c r="D78" s="180" t="s">
        <v>161</v>
      </c>
    </row>
    <row r="79" spans="1:4" ht="45">
      <c r="A79" s="201" t="s">
        <v>172</v>
      </c>
      <c r="B79" s="204" t="s">
        <v>179</v>
      </c>
      <c r="C79" s="76" t="s">
        <v>310</v>
      </c>
      <c r="D79" s="180" t="s">
        <v>165</v>
      </c>
    </row>
    <row r="80" spans="1:4" ht="22.5">
      <c r="A80" s="199" t="s">
        <v>181</v>
      </c>
      <c r="B80" s="202" t="s">
        <v>156</v>
      </c>
      <c r="C80" s="76" t="s">
        <v>288</v>
      </c>
      <c r="D80" s="180" t="s">
        <v>157</v>
      </c>
    </row>
    <row r="81" spans="1:4" ht="33.75">
      <c r="A81" s="200" t="s">
        <v>181</v>
      </c>
      <c r="B81" s="203" t="s">
        <v>156</v>
      </c>
      <c r="C81" s="76" t="s">
        <v>289</v>
      </c>
      <c r="D81" s="180" t="s">
        <v>161</v>
      </c>
    </row>
    <row r="82" spans="1:4" ht="33.75">
      <c r="A82" s="201" t="s">
        <v>181</v>
      </c>
      <c r="B82" s="204" t="s">
        <v>156</v>
      </c>
      <c r="C82" s="76" t="s">
        <v>290</v>
      </c>
      <c r="D82" s="180" t="s">
        <v>165</v>
      </c>
    </row>
    <row r="83" spans="1:4" ht="22.5">
      <c r="A83" s="199" t="s">
        <v>181</v>
      </c>
      <c r="B83" s="202" t="s">
        <v>160</v>
      </c>
      <c r="C83" s="76" t="s">
        <v>244</v>
      </c>
      <c r="D83" s="180" t="s">
        <v>157</v>
      </c>
    </row>
    <row r="84" spans="1:4" ht="22.5">
      <c r="A84" s="200" t="s">
        <v>181</v>
      </c>
      <c r="B84" s="203" t="s">
        <v>160</v>
      </c>
      <c r="C84" s="76" t="s">
        <v>245</v>
      </c>
      <c r="D84" s="180" t="s">
        <v>161</v>
      </c>
    </row>
    <row r="85" spans="1:4" ht="22.5">
      <c r="A85" s="201" t="s">
        <v>181</v>
      </c>
      <c r="B85" s="204" t="s">
        <v>160</v>
      </c>
      <c r="C85" s="76" t="s">
        <v>246</v>
      </c>
      <c r="D85" s="180" t="s">
        <v>165</v>
      </c>
    </row>
    <row r="86" spans="1:4" ht="33.75">
      <c r="A86" s="199" t="s">
        <v>181</v>
      </c>
      <c r="B86" s="202" t="s">
        <v>194</v>
      </c>
      <c r="C86" s="76" t="s">
        <v>311</v>
      </c>
      <c r="D86" s="180" t="s">
        <v>157</v>
      </c>
    </row>
    <row r="87" spans="1:4" ht="56.25">
      <c r="A87" s="200" t="s">
        <v>181</v>
      </c>
      <c r="B87" s="203" t="s">
        <v>194</v>
      </c>
      <c r="C87" s="76" t="s">
        <v>312</v>
      </c>
      <c r="D87" s="180" t="s">
        <v>161</v>
      </c>
    </row>
    <row r="88" spans="1:4" ht="45">
      <c r="A88" s="201" t="s">
        <v>181</v>
      </c>
      <c r="B88" s="204" t="s">
        <v>194</v>
      </c>
      <c r="C88" s="76" t="s">
        <v>313</v>
      </c>
      <c r="D88" s="180" t="s">
        <v>165</v>
      </c>
    </row>
    <row r="89" spans="1:4" ht="33.75">
      <c r="A89" s="199" t="s">
        <v>181</v>
      </c>
      <c r="B89" s="202" t="s">
        <v>168</v>
      </c>
      <c r="C89" s="76" t="s">
        <v>294</v>
      </c>
      <c r="D89" s="180" t="s">
        <v>157</v>
      </c>
    </row>
    <row r="90" spans="1:4" ht="45">
      <c r="A90" s="200" t="s">
        <v>181</v>
      </c>
      <c r="B90" s="203" t="s">
        <v>168</v>
      </c>
      <c r="C90" s="76" t="s">
        <v>295</v>
      </c>
      <c r="D90" s="180" t="s">
        <v>161</v>
      </c>
    </row>
    <row r="91" spans="1:4" ht="56.25">
      <c r="A91" s="201" t="s">
        <v>181</v>
      </c>
      <c r="B91" s="204" t="s">
        <v>168</v>
      </c>
      <c r="C91" s="76" t="s">
        <v>314</v>
      </c>
      <c r="D91" s="180" t="s">
        <v>165</v>
      </c>
    </row>
    <row r="92" spans="1:4" ht="22.5">
      <c r="A92" s="199" t="s">
        <v>181</v>
      </c>
      <c r="B92" s="202" t="s">
        <v>170</v>
      </c>
      <c r="C92" s="76" t="s">
        <v>288</v>
      </c>
      <c r="D92" s="180" t="s">
        <v>157</v>
      </c>
    </row>
    <row r="93" spans="1:4" ht="33.75">
      <c r="A93" s="200" t="s">
        <v>181</v>
      </c>
      <c r="B93" s="203" t="s">
        <v>170</v>
      </c>
      <c r="C93" s="76" t="s">
        <v>297</v>
      </c>
      <c r="D93" s="180" t="s">
        <v>161</v>
      </c>
    </row>
    <row r="94" spans="1:4" ht="33.75">
      <c r="A94" s="201" t="s">
        <v>181</v>
      </c>
      <c r="B94" s="204" t="s">
        <v>170</v>
      </c>
      <c r="C94" s="76" t="s">
        <v>298</v>
      </c>
      <c r="D94" s="180" t="s">
        <v>165</v>
      </c>
    </row>
    <row r="95" spans="1:4" ht="22.5">
      <c r="A95" s="199" t="s">
        <v>181</v>
      </c>
      <c r="B95" s="202" t="s">
        <v>173</v>
      </c>
      <c r="C95" s="76" t="s">
        <v>244</v>
      </c>
      <c r="D95" s="180" t="s">
        <v>157</v>
      </c>
    </row>
    <row r="96" spans="1:4" ht="22.5">
      <c r="A96" s="200" t="s">
        <v>181</v>
      </c>
      <c r="B96" s="203" t="s">
        <v>173</v>
      </c>
      <c r="C96" s="76" t="s">
        <v>245</v>
      </c>
      <c r="D96" s="180" t="s">
        <v>161</v>
      </c>
    </row>
    <row r="97" spans="1:4" ht="22.5">
      <c r="A97" s="201" t="s">
        <v>181</v>
      </c>
      <c r="B97" s="204" t="s">
        <v>173</v>
      </c>
      <c r="C97" s="76" t="s">
        <v>246</v>
      </c>
      <c r="D97" s="180" t="s">
        <v>165</v>
      </c>
    </row>
    <row r="98" spans="1:4" ht="33.75">
      <c r="A98" s="199" t="s">
        <v>181</v>
      </c>
      <c r="B98" s="202" t="s">
        <v>179</v>
      </c>
      <c r="C98" s="76" t="s">
        <v>299</v>
      </c>
      <c r="D98" s="180" t="s">
        <v>157</v>
      </c>
    </row>
    <row r="99" spans="1:4" ht="45">
      <c r="A99" s="200" t="s">
        <v>181</v>
      </c>
      <c r="B99" s="203" t="s">
        <v>179</v>
      </c>
      <c r="C99" s="76" t="s">
        <v>315</v>
      </c>
      <c r="D99" s="180" t="s">
        <v>161</v>
      </c>
    </row>
    <row r="100" spans="1:4" ht="56.25">
      <c r="A100" s="201" t="s">
        <v>181</v>
      </c>
      <c r="B100" s="204" t="s">
        <v>179</v>
      </c>
      <c r="C100" s="76" t="s">
        <v>316</v>
      </c>
      <c r="D100" s="180" t="s">
        <v>165</v>
      </c>
    </row>
  </sheetData>
  <autoFilter ref="A1:D100"/>
  <mergeCells count="66">
    <mergeCell ref="A14:A16"/>
    <mergeCell ref="A2:A4"/>
    <mergeCell ref="A5:A7"/>
    <mergeCell ref="A8:A10"/>
    <mergeCell ref="A11:A13"/>
    <mergeCell ref="B2:B4"/>
    <mergeCell ref="B5:B7"/>
    <mergeCell ref="B8:B10"/>
    <mergeCell ref="B11:B13"/>
    <mergeCell ref="B14:B16"/>
    <mergeCell ref="A17:A19"/>
    <mergeCell ref="B17:B19"/>
    <mergeCell ref="A20:A22"/>
    <mergeCell ref="B20:B22"/>
    <mergeCell ref="A23:A25"/>
    <mergeCell ref="B23:B25"/>
    <mergeCell ref="A26:A28"/>
    <mergeCell ref="B26:B28"/>
    <mergeCell ref="A29:A31"/>
    <mergeCell ref="B29:B31"/>
    <mergeCell ref="A32:A34"/>
    <mergeCell ref="B32:B34"/>
    <mergeCell ref="A35:A37"/>
    <mergeCell ref="B35:B37"/>
    <mergeCell ref="A38:A40"/>
    <mergeCell ref="B38:B40"/>
    <mergeCell ref="A41:A43"/>
    <mergeCell ref="B41:B43"/>
    <mergeCell ref="A44:A46"/>
    <mergeCell ref="B44:B46"/>
    <mergeCell ref="A47:A49"/>
    <mergeCell ref="B47:B49"/>
    <mergeCell ref="A50:A52"/>
    <mergeCell ref="B50:B52"/>
    <mergeCell ref="A53:A55"/>
    <mergeCell ref="B53:B55"/>
    <mergeCell ref="A56:A58"/>
    <mergeCell ref="B56:B58"/>
    <mergeCell ref="A59:A61"/>
    <mergeCell ref="B59:B61"/>
    <mergeCell ref="A62:A64"/>
    <mergeCell ref="B62:B64"/>
    <mergeCell ref="A65:A67"/>
    <mergeCell ref="B65:B67"/>
    <mergeCell ref="A68:A70"/>
    <mergeCell ref="B68:B70"/>
    <mergeCell ref="A71:A73"/>
    <mergeCell ref="B71:B73"/>
    <mergeCell ref="A74:A76"/>
    <mergeCell ref="B74:B76"/>
    <mergeCell ref="A77:A79"/>
    <mergeCell ref="B77:B79"/>
    <mergeCell ref="A80:A82"/>
    <mergeCell ref="B80:B82"/>
    <mergeCell ref="A83:A85"/>
    <mergeCell ref="B83:B85"/>
    <mergeCell ref="A86:A88"/>
    <mergeCell ref="B86:B88"/>
    <mergeCell ref="A98:A100"/>
    <mergeCell ref="B98:B100"/>
    <mergeCell ref="A89:A91"/>
    <mergeCell ref="B89:B91"/>
    <mergeCell ref="A92:A94"/>
    <mergeCell ref="B92:B94"/>
    <mergeCell ref="A95:A97"/>
    <mergeCell ref="B95:B97"/>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2"/>
  <sheetViews>
    <sheetView topLeftCell="A8" zoomScale="80" zoomScaleNormal="80" workbookViewId="0">
      <selection activeCell="G28" sqref="G28"/>
    </sheetView>
  </sheetViews>
  <sheetFormatPr defaultColWidth="9" defaultRowHeight="12.75"/>
  <cols>
    <col min="1" max="1" width="10.625" customWidth="1"/>
    <col min="2" max="2" width="20.5" customWidth="1"/>
    <col min="3" max="3" width="20" bestFit="1" customWidth="1"/>
    <col min="4" max="4" width="20" customWidth="1"/>
    <col min="5" max="5" width="8.875" customWidth="1"/>
    <col min="6" max="6" width="12.375" customWidth="1"/>
    <col min="7" max="7" width="24.625" customWidth="1"/>
    <col min="8" max="8" width="20" bestFit="1" customWidth="1"/>
    <col min="9" max="9" width="13.75" customWidth="1"/>
    <col min="10" max="11" width="12.375" customWidth="1"/>
  </cols>
  <sheetData>
    <row r="1" spans="1:20" s="43" customFormat="1" ht="19.5" customHeight="1">
      <c r="A1" s="39" t="s">
        <v>317</v>
      </c>
      <c r="B1" s="40"/>
      <c r="C1" s="40"/>
      <c r="D1" s="53"/>
      <c r="E1" s="41"/>
      <c r="F1" s="42" t="s">
        <v>318</v>
      </c>
      <c r="G1" s="42"/>
      <c r="H1" s="42"/>
      <c r="I1" s="42"/>
      <c r="J1" s="42"/>
      <c r="K1" s="42"/>
      <c r="M1" s="44"/>
      <c r="N1" s="44"/>
      <c r="O1" s="44"/>
      <c r="P1" s="45"/>
      <c r="Q1" s="45"/>
      <c r="R1" s="45"/>
      <c r="S1" s="45"/>
      <c r="T1" s="45"/>
    </row>
    <row r="2" spans="1:20" s="30" customFormat="1" ht="25.5">
      <c r="A2" s="37" t="s">
        <v>25</v>
      </c>
      <c r="B2" s="37" t="s">
        <v>319</v>
      </c>
      <c r="C2" s="37" t="s">
        <v>320</v>
      </c>
      <c r="D2" s="54"/>
      <c r="E2" s="19"/>
      <c r="F2" s="38" t="s">
        <v>44</v>
      </c>
      <c r="G2" s="38" t="s">
        <v>212</v>
      </c>
      <c r="I2" s="38" t="s">
        <v>66</v>
      </c>
      <c r="J2" s="38" t="s">
        <v>62</v>
      </c>
      <c r="M2" s="32"/>
      <c r="N2" s="32"/>
      <c r="O2" s="32"/>
      <c r="P2" s="35"/>
      <c r="Q2" s="35"/>
      <c r="R2" s="35"/>
      <c r="S2" s="35"/>
      <c r="T2" s="35"/>
    </row>
    <row r="3" spans="1:20" s="35" customFormat="1">
      <c r="A3" s="19">
        <v>1</v>
      </c>
      <c r="B3" s="19" t="s">
        <v>143</v>
      </c>
      <c r="C3" s="19" t="s">
        <v>100</v>
      </c>
      <c r="D3" s="19"/>
      <c r="E3" s="19"/>
      <c r="F3" s="34" t="s">
        <v>230</v>
      </c>
      <c r="G3" s="32" t="s">
        <v>226</v>
      </c>
      <c r="H3" s="30"/>
      <c r="I3" s="32" t="s">
        <v>321</v>
      </c>
      <c r="J3" s="33" t="s">
        <v>165</v>
      </c>
      <c r="K3" s="30"/>
      <c r="M3" s="32"/>
      <c r="N3" s="32"/>
      <c r="O3" s="32"/>
    </row>
    <row r="4" spans="1:20" s="35" customFormat="1">
      <c r="A4" s="19">
        <v>2</v>
      </c>
      <c r="B4" s="19" t="s">
        <v>144</v>
      </c>
      <c r="C4" s="19" t="s">
        <v>109</v>
      </c>
      <c r="D4" s="19"/>
      <c r="E4" s="19"/>
      <c r="F4" s="36" t="s">
        <v>218</v>
      </c>
      <c r="G4" s="32" t="s">
        <v>322</v>
      </c>
      <c r="H4" s="30"/>
      <c r="I4" s="32" t="s">
        <v>323</v>
      </c>
      <c r="J4" s="33" t="s">
        <v>161</v>
      </c>
      <c r="K4" s="30"/>
      <c r="M4" s="32"/>
      <c r="N4" s="32"/>
      <c r="O4" s="32"/>
    </row>
    <row r="5" spans="1:20" s="35" customFormat="1">
      <c r="A5" s="19">
        <v>3</v>
      </c>
      <c r="B5" s="19" t="s">
        <v>145</v>
      </c>
      <c r="C5" s="19" t="s">
        <v>111</v>
      </c>
      <c r="D5" s="19"/>
      <c r="E5" s="19"/>
      <c r="F5" s="36" t="s">
        <v>324</v>
      </c>
      <c r="G5" s="32" t="s">
        <v>222</v>
      </c>
      <c r="H5" s="30"/>
      <c r="I5" s="32" t="s">
        <v>223</v>
      </c>
      <c r="J5" s="33" t="s">
        <v>157</v>
      </c>
      <c r="K5" s="30"/>
      <c r="M5" s="32"/>
      <c r="N5" s="32"/>
      <c r="O5" s="32"/>
    </row>
    <row r="6" spans="1:20" s="35" customFormat="1">
      <c r="A6" s="32"/>
      <c r="B6" s="19" t="s">
        <v>146</v>
      </c>
      <c r="C6" s="19" t="s">
        <v>325</v>
      </c>
      <c r="D6" s="19"/>
      <c r="E6" s="19"/>
      <c r="F6" s="32"/>
      <c r="G6" s="32"/>
      <c r="H6" s="30"/>
      <c r="I6" s="32" t="s">
        <v>232</v>
      </c>
      <c r="J6" s="32"/>
      <c r="K6" s="30"/>
      <c r="M6" s="32"/>
      <c r="N6" s="32"/>
      <c r="O6" s="32"/>
    </row>
    <row r="7" spans="1:20" s="35" customFormat="1">
      <c r="A7" s="32"/>
      <c r="B7" s="19" t="s">
        <v>147</v>
      </c>
      <c r="C7" s="19" t="s">
        <v>326</v>
      </c>
      <c r="D7" s="19"/>
      <c r="E7" s="19"/>
      <c r="F7" s="32"/>
      <c r="G7" s="32"/>
      <c r="H7" s="30"/>
      <c r="I7" s="32"/>
      <c r="J7" s="32"/>
      <c r="K7" s="30"/>
      <c r="M7" s="32"/>
      <c r="N7" s="32"/>
      <c r="O7" s="32"/>
    </row>
    <row r="8" spans="1:20" s="35" customFormat="1">
      <c r="A8" s="19"/>
      <c r="B8" s="32" t="s">
        <v>148</v>
      </c>
      <c r="C8" s="19" t="s">
        <v>117</v>
      </c>
      <c r="D8" s="19"/>
      <c r="E8" s="19"/>
      <c r="F8" s="32"/>
      <c r="G8" s="32"/>
      <c r="H8" s="30"/>
      <c r="I8" s="32"/>
      <c r="J8" s="32"/>
      <c r="K8" s="30"/>
      <c r="M8" s="32"/>
      <c r="N8" s="32"/>
      <c r="O8" s="32"/>
    </row>
    <row r="9" spans="1:20" s="35" customFormat="1">
      <c r="A9" s="19"/>
      <c r="B9" s="19"/>
      <c r="C9" s="19" t="s">
        <v>181</v>
      </c>
      <c r="D9" s="19"/>
      <c r="E9" s="19"/>
      <c r="F9" s="32"/>
      <c r="G9" s="32"/>
      <c r="H9" s="32"/>
      <c r="I9" s="32"/>
      <c r="J9" s="32"/>
      <c r="K9" s="32"/>
      <c r="M9" s="32"/>
      <c r="N9" s="32"/>
      <c r="O9" s="32"/>
    </row>
    <row r="10" spans="1:20" s="35" customFormat="1">
      <c r="A10" s="19"/>
      <c r="B10" s="19"/>
      <c r="C10" s="19" t="s">
        <v>119</v>
      </c>
      <c r="D10" s="19"/>
      <c r="E10" s="19"/>
      <c r="F10" s="32"/>
      <c r="G10" s="32"/>
      <c r="H10" s="32"/>
      <c r="I10" s="32"/>
      <c r="J10" s="32"/>
      <c r="K10" s="32"/>
      <c r="M10" s="32"/>
      <c r="N10" s="32"/>
      <c r="O10" s="32"/>
    </row>
    <row r="11" spans="1:20" s="35" customFormat="1">
      <c r="A11" s="19"/>
      <c r="B11" s="19"/>
      <c r="C11" s="19" t="s">
        <v>121</v>
      </c>
      <c r="D11" s="19"/>
      <c r="E11" s="19"/>
      <c r="F11" s="32"/>
      <c r="G11" s="32"/>
      <c r="H11" s="32"/>
      <c r="I11" s="32"/>
      <c r="J11" s="32"/>
      <c r="K11" s="32"/>
      <c r="M11" s="32"/>
      <c r="N11" s="32"/>
      <c r="O11" s="32"/>
    </row>
    <row r="12" spans="1:20" s="35" customFormat="1">
      <c r="A12" s="19"/>
      <c r="B12" s="19"/>
      <c r="C12" s="19" t="s">
        <v>123</v>
      </c>
      <c r="D12" s="19"/>
      <c r="E12" s="19"/>
      <c r="F12" s="32"/>
      <c r="G12" s="32"/>
      <c r="H12" s="32"/>
      <c r="I12" s="32"/>
      <c r="J12" s="32"/>
      <c r="K12" s="32"/>
      <c r="M12" s="32"/>
      <c r="N12" s="32"/>
      <c r="O12" s="32"/>
    </row>
    <row r="13" spans="1:20" s="35" customFormat="1">
      <c r="A13" s="19"/>
      <c r="B13" s="19"/>
      <c r="C13" s="19" t="s">
        <v>125</v>
      </c>
      <c r="D13" s="19"/>
      <c r="E13" s="19"/>
      <c r="F13" s="32"/>
      <c r="G13" s="32"/>
      <c r="H13" s="32"/>
      <c r="I13" s="32"/>
      <c r="J13" s="32"/>
      <c r="K13" s="32"/>
      <c r="M13" s="32"/>
      <c r="N13" s="32"/>
      <c r="O13" s="32"/>
    </row>
    <row r="14" spans="1:20" s="35" customFormat="1">
      <c r="A14" s="19"/>
      <c r="B14" s="19"/>
      <c r="C14" s="19" t="s">
        <v>127</v>
      </c>
      <c r="D14" s="19"/>
      <c r="E14" s="19"/>
      <c r="F14" s="32"/>
      <c r="G14" s="32"/>
      <c r="H14" s="32"/>
      <c r="I14" s="32"/>
      <c r="J14" s="32"/>
      <c r="K14" s="32"/>
      <c r="M14" s="32"/>
      <c r="N14" s="32"/>
      <c r="O14" s="32"/>
    </row>
    <row r="15" spans="1:20" s="35" customFormat="1">
      <c r="A15" s="19"/>
      <c r="B15" s="19"/>
      <c r="C15" s="19" t="s">
        <v>129</v>
      </c>
      <c r="D15" s="19"/>
      <c r="E15" s="19"/>
      <c r="F15" s="32"/>
      <c r="G15" s="32"/>
      <c r="H15" s="32"/>
      <c r="I15" s="32"/>
      <c r="J15" s="32"/>
      <c r="K15" s="32"/>
      <c r="M15" s="32"/>
      <c r="N15" s="32"/>
      <c r="O15" s="32"/>
    </row>
    <row r="16" spans="1:20" s="35" customFormat="1">
      <c r="A16" s="19"/>
      <c r="B16" s="19"/>
      <c r="C16" s="19" t="s">
        <v>131</v>
      </c>
      <c r="D16" s="19"/>
      <c r="E16" s="19"/>
      <c r="F16" s="32"/>
      <c r="G16" s="32"/>
      <c r="H16" s="32"/>
      <c r="I16" s="32"/>
      <c r="J16" s="32"/>
      <c r="K16" s="32"/>
      <c r="M16" s="32"/>
      <c r="N16" s="32"/>
      <c r="O16" s="32"/>
    </row>
    <row r="17" spans="1:15" s="35" customFormat="1">
      <c r="A17" s="19"/>
      <c r="B17" s="19"/>
      <c r="C17" s="19" t="s">
        <v>133</v>
      </c>
      <c r="D17" s="19"/>
      <c r="E17" s="19"/>
      <c r="F17" s="32"/>
      <c r="G17" s="32"/>
      <c r="H17" s="32"/>
      <c r="I17" s="32"/>
      <c r="J17" s="32"/>
      <c r="K17" s="32"/>
      <c r="M17" s="32"/>
      <c r="N17" s="32"/>
      <c r="O17" s="32"/>
    </row>
    <row r="18" spans="1:15" s="35" customFormat="1">
      <c r="A18" s="19"/>
      <c r="B18" s="19"/>
      <c r="C18" s="19" t="s">
        <v>135</v>
      </c>
      <c r="D18" s="19"/>
      <c r="E18" s="19"/>
      <c r="F18" s="32"/>
      <c r="G18" s="32"/>
      <c r="H18" s="32"/>
      <c r="I18" s="32"/>
      <c r="J18" s="32"/>
      <c r="K18" s="32"/>
      <c r="M18" s="32"/>
      <c r="N18" s="32"/>
      <c r="O18" s="32"/>
    </row>
    <row r="19" spans="1:15" s="35" customFormat="1">
      <c r="A19" s="19"/>
      <c r="B19" s="19"/>
      <c r="C19" s="19" t="s">
        <v>137</v>
      </c>
      <c r="D19" s="19"/>
      <c r="E19" s="19"/>
      <c r="F19" s="36"/>
      <c r="G19" s="32"/>
      <c r="H19" s="32"/>
      <c r="I19" s="32"/>
      <c r="J19" s="32"/>
      <c r="K19" s="32"/>
      <c r="M19" s="32"/>
      <c r="N19" s="32"/>
      <c r="O19" s="32"/>
    </row>
    <row r="20" spans="1:15" s="35" customFormat="1">
      <c r="A20" s="32"/>
      <c r="B20" s="32"/>
      <c r="C20" s="19" t="s">
        <v>139</v>
      </c>
      <c r="D20" s="19"/>
      <c r="E20" s="19"/>
      <c r="F20" s="36"/>
      <c r="G20" s="32"/>
      <c r="H20" s="32"/>
      <c r="I20" s="32"/>
      <c r="J20" s="32"/>
      <c r="K20" s="32"/>
      <c r="M20" s="32"/>
      <c r="N20" s="32"/>
      <c r="O20" s="32"/>
    </row>
    <row r="21" spans="1:15" s="35" customFormat="1">
      <c r="A21" s="32"/>
      <c r="B21" s="32"/>
      <c r="C21" s="19"/>
      <c r="D21" s="19"/>
      <c r="E21" s="19"/>
      <c r="F21" s="36"/>
      <c r="G21" s="32"/>
      <c r="H21" s="32"/>
      <c r="I21" s="32"/>
      <c r="J21" s="32"/>
      <c r="K21" s="32"/>
      <c r="M21" s="32"/>
      <c r="N21" s="32"/>
      <c r="O21" s="32"/>
    </row>
    <row r="22" spans="1:15" s="35" customFormat="1">
      <c r="A22" s="32"/>
      <c r="B22" s="32"/>
      <c r="C22" s="19"/>
      <c r="D22" s="19"/>
      <c r="E22" s="19"/>
      <c r="F22" s="36"/>
      <c r="G22" s="32"/>
      <c r="H22" s="32"/>
      <c r="I22" s="32"/>
      <c r="J22" s="32"/>
      <c r="K22" s="32"/>
      <c r="M22" s="32"/>
      <c r="N22" s="32"/>
      <c r="O22" s="32"/>
    </row>
    <row r="23" spans="1:15" s="35" customFormat="1">
      <c r="A23" s="32"/>
      <c r="B23" s="32"/>
      <c r="C23" s="19"/>
      <c r="D23" s="19"/>
      <c r="E23" s="19"/>
      <c r="F23" s="36"/>
      <c r="G23" s="32"/>
      <c r="H23" s="32"/>
      <c r="I23" s="32"/>
      <c r="J23" s="32"/>
      <c r="K23" s="32"/>
      <c r="M23" s="32"/>
      <c r="N23" s="32"/>
      <c r="O23" s="32"/>
    </row>
    <row r="24" spans="1:15" s="35" customFormat="1">
      <c r="A24" s="32"/>
      <c r="B24" s="32"/>
      <c r="C24" s="19"/>
      <c r="D24" s="19"/>
      <c r="E24" s="19"/>
      <c r="F24" s="36"/>
      <c r="G24" s="32"/>
      <c r="H24" s="32"/>
      <c r="I24" s="32"/>
      <c r="J24" s="32"/>
      <c r="K24" s="32"/>
      <c r="M24" s="32"/>
      <c r="N24" s="32"/>
      <c r="O24" s="32"/>
    </row>
    <row r="25" spans="1:15" s="35" customFormat="1">
      <c r="A25" s="32"/>
      <c r="B25" s="32"/>
      <c r="C25" s="32"/>
      <c r="D25" s="32"/>
      <c r="E25" s="32"/>
      <c r="F25" s="36"/>
      <c r="G25" s="32"/>
      <c r="H25" s="32"/>
      <c r="I25" s="32"/>
      <c r="J25" s="32"/>
      <c r="K25" s="32"/>
      <c r="M25" s="32"/>
      <c r="N25" s="32"/>
      <c r="O25" s="32"/>
    </row>
    <row r="26" spans="1:15" s="35" customFormat="1">
      <c r="A26" s="32"/>
      <c r="B26" s="32"/>
      <c r="C26" s="32"/>
      <c r="D26" s="32"/>
      <c r="E26" s="32"/>
      <c r="F26" s="36"/>
      <c r="G26" s="32"/>
      <c r="H26" s="32"/>
      <c r="I26" s="32"/>
      <c r="J26" s="32"/>
      <c r="K26" s="32"/>
      <c r="M26" s="32"/>
      <c r="N26" s="32"/>
      <c r="O26" s="32"/>
    </row>
    <row r="27" spans="1:15" s="35" customFormat="1">
      <c r="A27" s="32"/>
      <c r="B27" s="32"/>
      <c r="C27" s="32"/>
      <c r="D27" s="32"/>
      <c r="E27" s="32"/>
      <c r="F27" s="36"/>
      <c r="G27" s="32"/>
      <c r="H27" s="32"/>
      <c r="I27" s="32"/>
      <c r="J27" s="32"/>
      <c r="K27" s="32"/>
      <c r="M27" s="32"/>
      <c r="N27" s="32"/>
      <c r="O27" s="32"/>
    </row>
    <row r="28" spans="1:15" s="35" customFormat="1">
      <c r="A28" s="32"/>
      <c r="B28" s="32"/>
      <c r="C28" s="32"/>
      <c r="D28" s="32"/>
      <c r="E28" s="32"/>
      <c r="F28" s="36"/>
      <c r="G28" s="32"/>
      <c r="H28" s="55"/>
      <c r="I28" s="32"/>
      <c r="J28" s="32"/>
      <c r="K28" s="32"/>
      <c r="M28" s="32"/>
      <c r="N28" s="32"/>
      <c r="O28" s="32"/>
    </row>
    <row r="29" spans="1:15" s="35" customFormat="1">
      <c r="A29" s="32"/>
      <c r="B29" s="32"/>
      <c r="C29" s="32"/>
      <c r="D29" s="32"/>
      <c r="E29" s="32"/>
      <c r="F29" s="36"/>
      <c r="G29" s="32"/>
      <c r="H29" s="55"/>
      <c r="I29" s="32"/>
      <c r="J29" s="32"/>
      <c r="K29" s="32"/>
      <c r="M29" s="32"/>
      <c r="N29" s="32"/>
      <c r="O29" s="32"/>
    </row>
    <row r="30" spans="1:15" s="35" customFormat="1">
      <c r="A30" s="32"/>
      <c r="B30" s="32"/>
      <c r="C30" s="32"/>
      <c r="D30" s="32"/>
      <c r="E30" s="32"/>
      <c r="F30" s="36"/>
      <c r="G30" s="32"/>
      <c r="H30" s="55"/>
      <c r="I30" s="32"/>
      <c r="J30" s="32"/>
      <c r="K30" s="32"/>
      <c r="M30" s="32"/>
      <c r="N30" s="32"/>
      <c r="O30" s="32"/>
    </row>
    <row r="31" spans="1:15" s="35" customFormat="1">
      <c r="A31" s="32"/>
      <c r="B31" s="32"/>
      <c r="C31" s="32"/>
      <c r="D31" s="32"/>
      <c r="E31" s="32"/>
      <c r="F31" s="36"/>
      <c r="G31" s="32"/>
      <c r="H31" s="55"/>
      <c r="I31" s="32"/>
      <c r="J31" s="32"/>
      <c r="K31" s="32"/>
      <c r="M31" s="32"/>
      <c r="N31" s="32"/>
      <c r="O31" s="32"/>
    </row>
    <row r="32" spans="1:15">
      <c r="A32" s="32"/>
      <c r="B32" s="32"/>
      <c r="C32" s="32"/>
      <c r="D32" s="32"/>
      <c r="E32" s="32"/>
      <c r="F32" s="36"/>
      <c r="G32" s="31"/>
      <c r="H32" s="56"/>
      <c r="I32" s="31"/>
      <c r="J32" s="31"/>
      <c r="K32" s="31"/>
      <c r="M32" s="31"/>
      <c r="N32" s="31"/>
      <c r="O32" s="31"/>
    </row>
    <row r="33" spans="1:15">
      <c r="A33" s="32"/>
      <c r="B33" s="32"/>
      <c r="C33" s="32"/>
      <c r="D33" s="32"/>
      <c r="E33" s="32"/>
      <c r="F33" s="36"/>
      <c r="G33" s="31"/>
      <c r="H33" s="56"/>
      <c r="I33" s="31"/>
      <c r="J33" s="31"/>
      <c r="K33" s="31"/>
      <c r="M33" s="31"/>
      <c r="N33" s="31"/>
      <c r="O33" s="31"/>
    </row>
    <row r="34" spans="1:15">
      <c r="A34" s="32"/>
      <c r="B34" s="32"/>
      <c r="C34" s="32"/>
      <c r="D34" s="32"/>
      <c r="E34" s="32"/>
      <c r="F34" s="36"/>
      <c r="G34" s="31"/>
      <c r="H34" s="56"/>
      <c r="I34" s="31"/>
      <c r="J34" s="31"/>
      <c r="K34" s="31"/>
      <c r="M34" s="31"/>
      <c r="N34" s="31"/>
      <c r="O34" s="31"/>
    </row>
    <row r="35" spans="1:15">
      <c r="A35" s="32"/>
      <c r="B35" s="32"/>
      <c r="C35" s="32"/>
      <c r="D35" s="32"/>
      <c r="E35" s="32"/>
      <c r="F35" s="36"/>
      <c r="G35" s="31"/>
      <c r="H35" s="31"/>
      <c r="I35" s="31"/>
      <c r="J35" s="31"/>
      <c r="K35" s="31"/>
      <c r="M35" s="31"/>
      <c r="N35" s="31"/>
      <c r="O35" s="31"/>
    </row>
    <row r="36" spans="1:15">
      <c r="A36" s="32"/>
      <c r="B36" s="32"/>
      <c r="C36" s="32"/>
      <c r="D36" s="32"/>
      <c r="E36" s="32"/>
      <c r="F36" s="36"/>
      <c r="G36" s="31"/>
      <c r="H36" s="31"/>
      <c r="I36" s="31"/>
      <c r="J36" s="31"/>
      <c r="K36" s="31"/>
      <c r="M36" s="31"/>
      <c r="N36" s="31"/>
      <c r="O36" s="31"/>
    </row>
    <row r="37" spans="1:15">
      <c r="A37" s="32"/>
      <c r="B37" s="32"/>
      <c r="C37" s="32"/>
      <c r="D37" s="32"/>
      <c r="E37" s="32"/>
      <c r="F37" s="36"/>
      <c r="G37" s="31"/>
      <c r="H37" s="31"/>
      <c r="I37" s="31"/>
      <c r="J37" s="31"/>
      <c r="K37" s="31"/>
      <c r="M37" s="31"/>
      <c r="N37" s="31"/>
      <c r="O37" s="31"/>
    </row>
    <row r="38" spans="1:15">
      <c r="A38" s="32"/>
      <c r="B38" s="32"/>
      <c r="C38" s="32"/>
      <c r="D38" s="32"/>
      <c r="E38" s="32"/>
      <c r="F38" s="36"/>
      <c r="G38" s="31"/>
      <c r="H38" s="31"/>
      <c r="I38" s="31"/>
      <c r="J38" s="31"/>
      <c r="K38" s="31"/>
      <c r="M38" s="31"/>
      <c r="N38" s="31"/>
      <c r="O38" s="31"/>
    </row>
    <row r="39" spans="1:15">
      <c r="A39" s="32"/>
      <c r="B39" s="32"/>
      <c r="C39" s="32"/>
      <c r="D39" s="32"/>
      <c r="E39" s="32"/>
      <c r="F39" s="36"/>
      <c r="G39" s="31"/>
      <c r="H39" s="31"/>
      <c r="I39" s="31"/>
      <c r="J39" s="31"/>
      <c r="K39" s="31"/>
      <c r="M39" s="31"/>
      <c r="N39" s="31"/>
      <c r="O39" s="31"/>
    </row>
    <row r="40" spans="1:15">
      <c r="A40" s="32"/>
      <c r="B40" s="32"/>
      <c r="C40" s="32"/>
      <c r="D40" s="32"/>
      <c r="E40" s="32"/>
      <c r="F40" s="36"/>
      <c r="G40" s="31"/>
      <c r="H40" s="31"/>
      <c r="I40" s="31"/>
      <c r="J40" s="31"/>
      <c r="K40" s="31"/>
      <c r="M40" s="31"/>
      <c r="N40" s="31"/>
      <c r="O40" s="31"/>
    </row>
    <row r="41" spans="1:15">
      <c r="A41" s="32"/>
      <c r="B41" s="32"/>
      <c r="C41" s="32"/>
      <c r="D41" s="32"/>
      <c r="E41" s="32"/>
      <c r="F41" s="36"/>
      <c r="G41" s="31"/>
      <c r="H41" s="31"/>
      <c r="I41" s="31"/>
      <c r="J41" s="31"/>
      <c r="K41" s="31"/>
      <c r="M41" s="31"/>
      <c r="N41" s="31"/>
      <c r="O41" s="31"/>
    </row>
    <row r="42" spans="1:15">
      <c r="A42" s="32"/>
      <c r="B42" s="32"/>
      <c r="C42" s="32"/>
      <c r="D42" s="32"/>
      <c r="E42" s="32"/>
      <c r="F42" s="36"/>
      <c r="G42" s="31"/>
      <c r="H42" s="31"/>
      <c r="I42" s="31"/>
      <c r="J42" s="31"/>
      <c r="K42" s="31"/>
      <c r="M42" s="31"/>
      <c r="N42" s="31"/>
      <c r="O42" s="31"/>
    </row>
    <row r="43" spans="1:15">
      <c r="A43" s="32"/>
      <c r="B43" s="32"/>
      <c r="C43" s="32"/>
      <c r="D43" s="32"/>
      <c r="E43" s="32"/>
      <c r="F43" s="36"/>
      <c r="G43" s="31"/>
      <c r="H43" s="31"/>
      <c r="I43" s="31"/>
      <c r="J43" s="31"/>
      <c r="K43" s="31"/>
      <c r="M43" s="31"/>
      <c r="N43" s="31"/>
      <c r="O43" s="31"/>
    </row>
    <row r="44" spans="1:15">
      <c r="A44" s="32"/>
      <c r="B44" s="32"/>
      <c r="C44" s="32"/>
      <c r="D44" s="32"/>
      <c r="E44" s="32"/>
      <c r="F44" s="36"/>
      <c r="G44" s="31"/>
      <c r="H44" s="31"/>
      <c r="I44" s="31"/>
      <c r="J44" s="31"/>
      <c r="K44" s="31"/>
      <c r="M44" s="31"/>
      <c r="N44" s="31"/>
      <c r="O44" s="31"/>
    </row>
    <row r="45" spans="1:15">
      <c r="A45" s="32"/>
      <c r="B45" s="32"/>
      <c r="C45" s="32"/>
      <c r="D45" s="32"/>
      <c r="E45" s="32"/>
      <c r="F45" s="36"/>
      <c r="G45" s="31"/>
      <c r="H45" s="31"/>
      <c r="I45" s="31"/>
      <c r="J45" s="31"/>
      <c r="K45" s="31"/>
      <c r="M45" s="31"/>
      <c r="N45" s="31"/>
      <c r="O45" s="31"/>
    </row>
    <row r="46" spans="1:15">
      <c r="A46" s="32"/>
      <c r="B46" s="32"/>
      <c r="C46" s="32"/>
      <c r="D46" s="32"/>
      <c r="E46" s="32"/>
      <c r="F46" s="36"/>
      <c r="G46" s="31"/>
      <c r="H46" s="31"/>
      <c r="I46" s="31"/>
      <c r="J46" s="31"/>
      <c r="K46" s="31"/>
      <c r="M46" s="31"/>
      <c r="N46" s="31"/>
      <c r="O46" s="31"/>
    </row>
    <row r="47" spans="1:15">
      <c r="A47" s="32"/>
      <c r="B47" s="32"/>
      <c r="C47" s="32"/>
      <c r="D47" s="32"/>
      <c r="E47" s="32"/>
      <c r="F47" s="36"/>
      <c r="G47" s="31"/>
      <c r="H47" s="31"/>
      <c r="I47" s="31"/>
      <c r="J47" s="31"/>
      <c r="K47" s="31"/>
      <c r="M47" s="31"/>
      <c r="N47" s="31"/>
      <c r="O47" s="31"/>
    </row>
    <row r="48" spans="1:15">
      <c r="A48" s="32"/>
      <c r="B48" s="32"/>
      <c r="C48" s="32"/>
      <c r="D48" s="32"/>
      <c r="E48" s="32"/>
      <c r="F48" s="36"/>
      <c r="G48" s="31"/>
      <c r="H48" s="31"/>
      <c r="I48" s="31"/>
      <c r="J48" s="31"/>
      <c r="K48" s="31"/>
      <c r="M48" s="31"/>
      <c r="N48" s="31"/>
      <c r="O48" s="31"/>
    </row>
    <row r="49" spans="1:15">
      <c r="A49" s="32"/>
      <c r="B49" s="32"/>
      <c r="C49" s="32"/>
      <c r="D49" s="32"/>
      <c r="E49" s="32"/>
      <c r="F49" s="36"/>
      <c r="G49" s="31"/>
      <c r="H49" s="31"/>
      <c r="I49" s="31"/>
      <c r="J49" s="31"/>
      <c r="K49" s="31"/>
      <c r="M49" s="31"/>
      <c r="N49" s="31"/>
      <c r="O49" s="31"/>
    </row>
    <row r="50" spans="1:15">
      <c r="A50" s="32"/>
      <c r="B50" s="32"/>
      <c r="C50" s="32"/>
      <c r="D50" s="32"/>
      <c r="E50" s="32"/>
      <c r="F50" s="36"/>
      <c r="G50" s="31"/>
      <c r="H50" s="31"/>
      <c r="I50" s="31"/>
      <c r="J50" s="31"/>
      <c r="K50" s="31"/>
      <c r="M50" s="31"/>
      <c r="N50" s="31"/>
      <c r="O50" s="31"/>
    </row>
    <row r="51" spans="1:15">
      <c r="A51" s="32"/>
      <c r="B51" s="32"/>
      <c r="C51" s="32"/>
      <c r="D51" s="32"/>
      <c r="E51" s="32"/>
      <c r="F51" s="36"/>
      <c r="G51" s="31"/>
      <c r="H51" s="31"/>
      <c r="I51" s="31"/>
      <c r="J51" s="31"/>
      <c r="K51" s="31"/>
      <c r="M51" s="31"/>
      <c r="N51" s="31"/>
      <c r="O51" s="31"/>
    </row>
    <row r="52" spans="1:15" s="35" customFormat="1">
      <c r="A52" s="32"/>
      <c r="B52" s="32"/>
      <c r="C52" s="32"/>
      <c r="D52" s="32"/>
      <c r="E52" s="32"/>
      <c r="F52" s="36"/>
      <c r="G52" s="32"/>
      <c r="H52" s="32"/>
      <c r="I52" s="32"/>
      <c r="J52" s="32"/>
      <c r="K52" s="32"/>
      <c r="M52" s="32"/>
      <c r="N52" s="32"/>
      <c r="O52" s="32"/>
    </row>
    <row r="53" spans="1:15">
      <c r="A53" s="32"/>
      <c r="B53" s="32"/>
      <c r="C53" s="32"/>
      <c r="D53" s="32"/>
      <c r="E53" s="32"/>
      <c r="F53" s="36"/>
      <c r="G53" s="31"/>
      <c r="H53" s="31"/>
      <c r="I53" s="31"/>
      <c r="J53" s="31"/>
      <c r="K53" s="31"/>
      <c r="M53" s="31"/>
      <c r="N53" s="31"/>
      <c r="O53" s="31"/>
    </row>
    <row r="54" spans="1:15">
      <c r="A54" s="32"/>
      <c r="B54" s="32"/>
      <c r="C54" s="32"/>
      <c r="D54" s="32"/>
      <c r="E54" s="32"/>
      <c r="F54" s="36"/>
      <c r="G54" s="31"/>
      <c r="H54" s="31"/>
      <c r="I54" s="31"/>
      <c r="J54" s="31"/>
      <c r="K54" s="31"/>
      <c r="M54" s="31"/>
      <c r="N54" s="31"/>
      <c r="O54" s="31"/>
    </row>
    <row r="55" spans="1:15">
      <c r="A55" s="32"/>
      <c r="B55" s="32"/>
      <c r="C55" s="32"/>
      <c r="D55" s="32"/>
      <c r="E55" s="32"/>
      <c r="F55" s="36"/>
      <c r="G55" s="31"/>
      <c r="H55" s="31"/>
      <c r="I55" s="31"/>
      <c r="J55" s="31"/>
      <c r="K55" s="31"/>
      <c r="M55" s="31"/>
      <c r="N55" s="31"/>
      <c r="O55" s="31"/>
    </row>
    <row r="56" spans="1:15">
      <c r="A56" s="32"/>
      <c r="B56" s="32"/>
      <c r="C56" s="32"/>
      <c r="D56" s="32"/>
      <c r="E56" s="32"/>
      <c r="F56" s="36"/>
      <c r="G56" s="31"/>
      <c r="H56" s="31"/>
      <c r="I56" s="31"/>
      <c r="J56" s="31"/>
      <c r="K56" s="31"/>
      <c r="M56" s="31"/>
      <c r="N56" s="31"/>
      <c r="O56" s="31"/>
    </row>
    <row r="57" spans="1:15">
      <c r="A57" s="32"/>
      <c r="B57" s="32"/>
      <c r="C57" s="32"/>
      <c r="D57" s="32"/>
      <c r="E57" s="32"/>
      <c r="F57" s="36"/>
      <c r="G57" s="31"/>
      <c r="H57" s="31"/>
      <c r="I57" s="31"/>
      <c r="J57" s="31"/>
      <c r="K57" s="31"/>
      <c r="M57" s="31"/>
      <c r="N57" s="31"/>
      <c r="O57" s="31"/>
    </row>
    <row r="58" spans="1:15">
      <c r="A58" s="32"/>
      <c r="B58" s="32"/>
      <c r="C58" s="32"/>
      <c r="D58" s="32"/>
      <c r="E58" s="32"/>
      <c r="F58" s="36"/>
      <c r="G58" s="31"/>
      <c r="H58" s="31"/>
      <c r="I58" s="31"/>
      <c r="J58" s="31"/>
      <c r="K58" s="31"/>
      <c r="M58" s="31"/>
      <c r="N58" s="31"/>
      <c r="O58" s="31"/>
    </row>
    <row r="59" spans="1:15">
      <c r="A59" s="32"/>
      <c r="B59" s="32"/>
      <c r="C59" s="32"/>
      <c r="D59" s="32"/>
      <c r="E59" s="32"/>
      <c r="F59" s="36"/>
      <c r="G59" s="31"/>
      <c r="H59" s="31"/>
      <c r="I59" s="31"/>
      <c r="J59" s="31"/>
      <c r="K59" s="31"/>
      <c r="M59" s="31"/>
      <c r="N59" s="31"/>
      <c r="O59" s="31"/>
    </row>
    <row r="60" spans="1:15">
      <c r="A60" s="32"/>
      <c r="B60" s="32"/>
      <c r="C60" s="32"/>
      <c r="D60" s="32"/>
      <c r="E60" s="32"/>
      <c r="F60" s="36"/>
      <c r="G60" s="31"/>
      <c r="H60" s="31"/>
      <c r="I60" s="31"/>
      <c r="J60" s="31"/>
      <c r="K60" s="31"/>
      <c r="M60" s="31"/>
      <c r="N60" s="31"/>
      <c r="O60" s="31"/>
    </row>
    <row r="61" spans="1:15">
      <c r="A61" s="32"/>
      <c r="B61" s="32"/>
      <c r="C61" s="32"/>
      <c r="D61" s="32"/>
      <c r="E61" s="32"/>
      <c r="F61" s="36"/>
      <c r="G61" s="31"/>
      <c r="H61" s="31"/>
      <c r="I61" s="31"/>
      <c r="J61" s="31"/>
      <c r="K61" s="31"/>
      <c r="M61" s="31"/>
      <c r="N61" s="31"/>
      <c r="O61" s="31"/>
    </row>
    <row r="62" spans="1:15">
      <c r="A62" s="32"/>
      <c r="B62" s="32"/>
      <c r="C62" s="32"/>
      <c r="D62" s="32"/>
      <c r="E62" s="32"/>
      <c r="F62" s="36"/>
      <c r="G62" s="31"/>
      <c r="H62" s="31"/>
      <c r="I62" s="31"/>
      <c r="J62" s="31"/>
      <c r="K62" s="31"/>
      <c r="M62" s="31"/>
      <c r="N62" s="31"/>
      <c r="O62" s="31"/>
    </row>
    <row r="63" spans="1:15">
      <c r="A63" s="32"/>
      <c r="B63" s="32"/>
      <c r="C63" s="32"/>
      <c r="D63" s="32"/>
      <c r="E63" s="32"/>
      <c r="F63" s="36"/>
      <c r="G63" s="31"/>
      <c r="H63" s="31"/>
      <c r="I63" s="31"/>
      <c r="J63" s="31"/>
      <c r="K63" s="31"/>
      <c r="M63" s="31"/>
      <c r="N63" s="31"/>
      <c r="O63" s="31"/>
    </row>
    <row r="64" spans="1:15">
      <c r="A64" s="32"/>
      <c r="B64" s="32"/>
      <c r="C64" s="32"/>
      <c r="D64" s="32"/>
      <c r="E64" s="32"/>
      <c r="F64" s="36"/>
      <c r="G64" s="31"/>
      <c r="H64" s="31"/>
      <c r="I64" s="31"/>
      <c r="J64" s="31"/>
      <c r="K64" s="31"/>
      <c r="M64" s="31"/>
      <c r="N64" s="31"/>
      <c r="O64" s="31"/>
    </row>
    <row r="65" spans="1:15">
      <c r="A65" s="32"/>
      <c r="B65" s="32"/>
      <c r="C65" s="32"/>
      <c r="D65" s="32"/>
      <c r="E65" s="32"/>
      <c r="F65" s="36"/>
      <c r="G65" s="31"/>
      <c r="H65" s="31"/>
      <c r="I65" s="31"/>
      <c r="J65" s="31"/>
      <c r="K65" s="31"/>
      <c r="M65" s="31"/>
      <c r="N65" s="31"/>
      <c r="O65" s="31"/>
    </row>
    <row r="66" spans="1:15">
      <c r="A66" s="32"/>
      <c r="B66" s="32"/>
      <c r="C66" s="32"/>
      <c r="D66" s="32"/>
      <c r="E66" s="32"/>
      <c r="F66" s="36"/>
      <c r="G66" s="31"/>
      <c r="H66" s="31"/>
      <c r="I66" s="31"/>
      <c r="J66" s="31"/>
      <c r="K66" s="31"/>
      <c r="M66" s="31"/>
      <c r="N66" s="31"/>
      <c r="O66" s="31"/>
    </row>
    <row r="67" spans="1:15">
      <c r="A67" s="32"/>
      <c r="B67" s="32"/>
      <c r="C67" s="32"/>
      <c r="D67" s="32"/>
      <c r="E67" s="32"/>
      <c r="F67" s="36"/>
      <c r="G67" s="31"/>
      <c r="H67" s="31"/>
      <c r="I67" s="31"/>
      <c r="J67" s="31"/>
      <c r="K67" s="31"/>
      <c r="M67" s="31"/>
      <c r="N67" s="31"/>
      <c r="O67" s="31"/>
    </row>
    <row r="68" spans="1:15">
      <c r="A68" s="32"/>
      <c r="B68" s="32"/>
      <c r="C68" s="32"/>
      <c r="D68" s="32"/>
      <c r="E68" s="32"/>
      <c r="F68" s="36"/>
      <c r="G68" s="31"/>
      <c r="H68" s="31"/>
      <c r="I68" s="31"/>
      <c r="J68" s="31"/>
      <c r="K68" s="31"/>
      <c r="M68" s="31"/>
      <c r="N68" s="31"/>
      <c r="O68" s="31"/>
    </row>
    <row r="69" spans="1:15">
      <c r="A69" s="32"/>
      <c r="B69" s="32"/>
      <c r="C69" s="32"/>
      <c r="D69" s="32"/>
      <c r="E69" s="32"/>
      <c r="F69" s="36"/>
      <c r="G69" s="31"/>
      <c r="H69" s="31"/>
      <c r="I69" s="31"/>
      <c r="J69" s="31"/>
      <c r="K69" s="31"/>
      <c r="M69" s="31"/>
      <c r="N69" s="31"/>
      <c r="O69" s="31"/>
    </row>
    <row r="70" spans="1:15">
      <c r="A70" s="32"/>
      <c r="B70" s="32"/>
      <c r="C70" s="32"/>
      <c r="D70" s="32"/>
      <c r="E70" s="32"/>
      <c r="F70" s="36"/>
      <c r="G70" s="31"/>
      <c r="H70" s="31"/>
      <c r="I70" s="31"/>
      <c r="J70" s="31"/>
      <c r="K70" s="31"/>
      <c r="M70" s="31"/>
      <c r="N70" s="31"/>
      <c r="O70" s="31"/>
    </row>
    <row r="71" spans="1:15">
      <c r="A71" s="32"/>
      <c r="B71" s="32"/>
      <c r="C71" s="32"/>
      <c r="D71" s="32"/>
      <c r="E71" s="32"/>
      <c r="F71" s="36"/>
      <c r="G71" s="31"/>
      <c r="H71" s="31"/>
      <c r="I71" s="31"/>
      <c r="J71" s="31"/>
      <c r="K71" s="31"/>
      <c r="M71" s="31"/>
      <c r="N71" s="31"/>
      <c r="O71" s="31"/>
    </row>
    <row r="72" spans="1:15">
      <c r="A72" s="32"/>
      <c r="B72" s="32"/>
      <c r="C72" s="32"/>
      <c r="D72" s="32"/>
      <c r="E72" s="32"/>
      <c r="F72" s="36"/>
      <c r="G72" s="31"/>
      <c r="H72" s="31"/>
      <c r="I72" s="31"/>
      <c r="J72" s="31"/>
      <c r="K72" s="31"/>
      <c r="M72" s="31"/>
      <c r="N72" s="31"/>
      <c r="O72" s="31"/>
    </row>
    <row r="73" spans="1:15">
      <c r="A73" s="32"/>
      <c r="B73" s="32"/>
      <c r="C73" s="32"/>
      <c r="D73" s="32"/>
      <c r="E73" s="32"/>
      <c r="F73" s="36"/>
      <c r="G73" s="31"/>
      <c r="H73" s="31"/>
      <c r="I73" s="31"/>
      <c r="J73" s="31"/>
      <c r="K73" s="31"/>
      <c r="M73" s="31"/>
      <c r="N73" s="31"/>
      <c r="O73" s="31"/>
    </row>
    <row r="74" spans="1:15">
      <c r="A74" s="32"/>
      <c r="B74" s="32"/>
      <c r="C74" s="32"/>
      <c r="D74" s="32"/>
      <c r="E74" s="32"/>
      <c r="F74" s="36"/>
      <c r="G74" s="31"/>
      <c r="H74" s="31"/>
      <c r="I74" s="31"/>
      <c r="J74" s="31"/>
      <c r="K74" s="31"/>
      <c r="M74" s="31"/>
      <c r="N74" s="31"/>
      <c r="O74" s="31"/>
    </row>
    <row r="75" spans="1:15">
      <c r="A75" s="32"/>
      <c r="B75" s="32"/>
      <c r="C75" s="32"/>
      <c r="D75" s="32"/>
      <c r="E75" s="32"/>
      <c r="F75" s="36"/>
      <c r="G75" s="31"/>
      <c r="H75" s="31"/>
      <c r="I75" s="31"/>
      <c r="J75" s="31"/>
      <c r="K75" s="31"/>
      <c r="M75" s="31"/>
      <c r="N75" s="31"/>
      <c r="O75" s="31"/>
    </row>
    <row r="76" spans="1:15">
      <c r="A76" s="32"/>
      <c r="B76" s="32"/>
      <c r="C76" s="32"/>
      <c r="D76" s="32"/>
      <c r="E76" s="32"/>
      <c r="F76" s="36"/>
      <c r="G76" s="31"/>
      <c r="H76" s="31"/>
      <c r="I76" s="31"/>
      <c r="J76" s="31"/>
      <c r="K76" s="31"/>
      <c r="M76" s="31"/>
      <c r="N76" s="31"/>
      <c r="O76" s="31"/>
    </row>
    <row r="77" spans="1:15">
      <c r="A77" s="32"/>
      <c r="B77" s="32"/>
      <c r="C77" s="32"/>
      <c r="D77" s="32"/>
      <c r="E77" s="32"/>
      <c r="F77" s="36"/>
      <c r="G77" s="31"/>
      <c r="H77" s="31"/>
      <c r="I77" s="31"/>
      <c r="J77" s="31"/>
      <c r="K77" s="31"/>
      <c r="M77" s="31"/>
      <c r="N77" s="31"/>
      <c r="O77" s="31"/>
    </row>
    <row r="78" spans="1:15">
      <c r="A78" s="32"/>
      <c r="B78" s="32"/>
      <c r="C78" s="32"/>
      <c r="D78" s="32"/>
      <c r="E78" s="32"/>
      <c r="F78" s="36"/>
      <c r="G78" s="31"/>
      <c r="H78" s="31"/>
      <c r="I78" s="31"/>
      <c r="J78" s="31"/>
      <c r="K78" s="31"/>
      <c r="M78" s="31"/>
      <c r="N78" s="31"/>
      <c r="O78" s="31"/>
    </row>
    <row r="79" spans="1:15">
      <c r="A79" s="32"/>
      <c r="B79" s="32"/>
      <c r="C79" s="32"/>
      <c r="D79" s="32"/>
      <c r="E79" s="32"/>
      <c r="F79" s="36"/>
      <c r="G79" s="31"/>
      <c r="H79" s="31"/>
      <c r="I79" s="31"/>
      <c r="J79" s="31"/>
      <c r="K79" s="31"/>
      <c r="M79" s="31"/>
      <c r="N79" s="31"/>
      <c r="O79" s="31"/>
    </row>
    <row r="80" spans="1:15">
      <c r="A80" s="32"/>
      <c r="B80" s="32"/>
      <c r="C80" s="32"/>
      <c r="D80" s="32"/>
      <c r="E80" s="32"/>
      <c r="F80" s="36"/>
      <c r="G80" s="31"/>
      <c r="H80" s="31"/>
      <c r="I80" s="31"/>
      <c r="J80" s="31"/>
      <c r="K80" s="31"/>
      <c r="M80" s="31"/>
      <c r="N80" s="31"/>
      <c r="O80" s="31"/>
    </row>
    <row r="81" spans="1:16">
      <c r="A81" s="32"/>
      <c r="B81" s="32"/>
      <c r="C81" s="32"/>
      <c r="D81" s="32"/>
      <c r="E81" s="32"/>
      <c r="F81" s="36"/>
      <c r="G81" s="31"/>
      <c r="H81" s="31"/>
      <c r="I81" s="31"/>
      <c r="J81" s="31"/>
      <c r="K81" s="31"/>
      <c r="M81" s="31"/>
      <c r="N81" s="31"/>
      <c r="O81" s="31"/>
    </row>
    <row r="82" spans="1:16">
      <c r="A82" s="32"/>
      <c r="B82" s="32"/>
      <c r="C82" s="32"/>
      <c r="D82" s="32"/>
      <c r="E82" s="32"/>
      <c r="F82" s="36"/>
      <c r="G82" s="31"/>
      <c r="H82" s="31"/>
      <c r="I82" s="31"/>
      <c r="J82" s="31"/>
      <c r="K82" s="31"/>
      <c r="M82" s="31"/>
      <c r="N82" s="31"/>
      <c r="O82" s="31"/>
    </row>
    <row r="83" spans="1:16">
      <c r="A83" s="32"/>
      <c r="B83" s="32"/>
      <c r="C83" s="32"/>
      <c r="D83" s="32"/>
      <c r="E83" s="32"/>
      <c r="F83" s="36"/>
      <c r="G83" s="31"/>
      <c r="H83" s="31"/>
      <c r="I83" s="31"/>
      <c r="J83" s="31"/>
      <c r="K83" s="31"/>
      <c r="M83" s="31"/>
      <c r="N83" s="31"/>
      <c r="O83" s="31"/>
    </row>
    <row r="84" spans="1:16">
      <c r="A84" s="32"/>
      <c r="B84" s="32"/>
      <c r="C84" s="32"/>
      <c r="D84" s="32"/>
      <c r="E84" s="32"/>
      <c r="F84" s="36"/>
      <c r="G84" s="31"/>
      <c r="H84" s="31"/>
      <c r="I84" s="31"/>
      <c r="J84" s="31"/>
      <c r="K84" s="31"/>
      <c r="M84" s="31"/>
      <c r="N84" s="31"/>
      <c r="O84" s="31"/>
    </row>
    <row r="85" spans="1:16">
      <c r="A85" s="32"/>
      <c r="B85" s="32"/>
      <c r="C85" s="32"/>
      <c r="D85" s="32"/>
      <c r="E85" s="32"/>
      <c r="F85" s="36"/>
      <c r="G85" s="31"/>
      <c r="H85" s="31"/>
      <c r="I85" s="31"/>
      <c r="J85" s="31"/>
      <c r="K85" s="31"/>
      <c r="M85" s="31"/>
      <c r="N85" s="31"/>
      <c r="O85" s="31"/>
    </row>
    <row r="86" spans="1:16">
      <c r="A86" s="32"/>
      <c r="B86" s="32"/>
      <c r="C86" s="32"/>
      <c r="D86" s="32"/>
      <c r="E86" s="32"/>
      <c r="F86" s="36"/>
      <c r="G86" s="31"/>
      <c r="H86" s="31"/>
      <c r="I86" s="31"/>
      <c r="J86" s="31"/>
      <c r="K86" s="31"/>
      <c r="M86" s="31"/>
      <c r="N86" s="31"/>
      <c r="O86" s="31"/>
    </row>
    <row r="87" spans="1:16">
      <c r="A87" s="32"/>
      <c r="B87" s="32"/>
      <c r="C87" s="32"/>
      <c r="D87" s="32"/>
      <c r="E87" s="32"/>
      <c r="F87" s="36"/>
      <c r="G87" s="31"/>
      <c r="H87" s="31"/>
      <c r="I87" s="31"/>
      <c r="J87" s="31"/>
      <c r="K87" s="31"/>
      <c r="M87" s="31"/>
      <c r="N87" s="31"/>
      <c r="O87" s="31"/>
    </row>
    <row r="88" spans="1:16">
      <c r="A88" s="32"/>
      <c r="B88" s="32"/>
      <c r="C88" s="32"/>
      <c r="D88" s="32"/>
      <c r="E88" s="32"/>
      <c r="F88" s="36"/>
      <c r="G88" s="31"/>
      <c r="H88" s="31"/>
      <c r="I88" s="31"/>
      <c r="J88" s="31"/>
      <c r="K88" s="31"/>
      <c r="M88" s="31"/>
      <c r="N88" s="31"/>
      <c r="O88" s="31"/>
    </row>
    <row r="89" spans="1:16">
      <c r="A89" s="32"/>
      <c r="B89" s="32"/>
      <c r="C89" s="32"/>
      <c r="D89" s="32"/>
      <c r="E89" s="32"/>
      <c r="F89" s="36"/>
      <c r="G89" s="31"/>
      <c r="H89" s="31"/>
      <c r="I89" s="31"/>
      <c r="J89" s="31"/>
      <c r="K89" s="31"/>
      <c r="M89" s="31"/>
      <c r="N89" s="31"/>
      <c r="O89" s="31"/>
    </row>
    <row r="90" spans="1:16">
      <c r="A90" s="32"/>
      <c r="B90" s="32"/>
      <c r="C90" s="32"/>
      <c r="D90" s="32"/>
      <c r="E90" s="32"/>
      <c r="F90" s="36"/>
      <c r="G90" s="31"/>
      <c r="H90" s="31"/>
      <c r="I90" s="31"/>
      <c r="J90" s="31"/>
      <c r="K90" s="31"/>
      <c r="M90" s="31"/>
      <c r="N90" s="31"/>
      <c r="O90" s="31"/>
    </row>
    <row r="91" spans="1:16">
      <c r="A91" s="32"/>
      <c r="B91" s="32"/>
      <c r="C91" s="32"/>
      <c r="D91" s="32"/>
      <c r="E91" s="32"/>
      <c r="F91" s="36"/>
      <c r="G91" s="31"/>
      <c r="H91" s="31"/>
      <c r="I91" s="31"/>
      <c r="J91" s="31"/>
      <c r="K91" s="31"/>
      <c r="M91" s="31"/>
      <c r="N91" s="31"/>
      <c r="O91" s="31"/>
    </row>
    <row r="92" spans="1:16">
      <c r="A92" s="32"/>
      <c r="B92" s="32"/>
      <c r="C92" s="32"/>
      <c r="D92" s="32"/>
      <c r="E92" s="32"/>
      <c r="F92" s="36"/>
      <c r="G92" s="31"/>
      <c r="H92" s="31"/>
      <c r="I92" s="31"/>
      <c r="J92" s="31"/>
      <c r="K92" s="31"/>
      <c r="M92" s="31"/>
      <c r="N92" s="31"/>
      <c r="O92" s="31"/>
    </row>
    <row r="93" spans="1:16">
      <c r="A93" s="32"/>
      <c r="B93" s="32"/>
      <c r="C93" s="32"/>
      <c r="D93" s="32"/>
      <c r="E93" s="32"/>
      <c r="F93" s="36"/>
      <c r="G93" s="31"/>
      <c r="H93" s="31"/>
      <c r="I93" s="31"/>
      <c r="J93" s="31"/>
      <c r="K93" s="31"/>
      <c r="M93" s="31"/>
      <c r="N93" s="31"/>
      <c r="O93" s="31"/>
    </row>
    <row r="94" spans="1:16">
      <c r="A94" s="32"/>
      <c r="B94" s="32"/>
      <c r="C94" s="32"/>
      <c r="D94" s="32"/>
      <c r="E94" s="32"/>
      <c r="F94" s="36"/>
      <c r="G94" s="31"/>
      <c r="H94" s="31"/>
      <c r="I94" s="31"/>
      <c r="J94" s="31"/>
      <c r="K94" s="31"/>
      <c r="L94" s="31"/>
      <c r="N94" s="31"/>
      <c r="O94" s="31"/>
      <c r="P94" s="31"/>
    </row>
    <row r="95" spans="1:16">
      <c r="A95" s="32"/>
      <c r="B95" s="32"/>
      <c r="C95" s="32"/>
      <c r="D95" s="32"/>
      <c r="E95" s="32"/>
      <c r="F95" s="36"/>
      <c r="G95" s="31"/>
      <c r="H95" s="31"/>
      <c r="I95" s="31"/>
      <c r="J95" s="31"/>
      <c r="K95" s="31"/>
      <c r="L95" s="31"/>
      <c r="N95" s="31"/>
      <c r="O95" s="31"/>
      <c r="P95" s="31"/>
    </row>
    <row r="96" spans="1:16">
      <c r="A96" s="32"/>
      <c r="B96" s="32"/>
      <c r="C96" s="32"/>
      <c r="D96" s="32"/>
      <c r="E96" s="32"/>
      <c r="F96" s="36"/>
      <c r="G96" s="31"/>
      <c r="H96" s="31"/>
      <c r="I96" s="31"/>
      <c r="J96" s="31"/>
      <c r="K96" s="31"/>
      <c r="L96" s="31"/>
      <c r="N96" s="31"/>
      <c r="O96" s="31"/>
      <c r="P96" s="31"/>
    </row>
    <row r="97" spans="1:16">
      <c r="A97" s="32"/>
      <c r="B97" s="32"/>
      <c r="C97" s="32"/>
      <c r="D97" s="32"/>
      <c r="E97" s="32"/>
      <c r="F97" s="36"/>
      <c r="G97" s="31"/>
      <c r="H97" s="31"/>
      <c r="I97" s="31"/>
      <c r="J97" s="31"/>
      <c r="K97" s="31"/>
      <c r="L97" s="31"/>
      <c r="N97" s="31"/>
      <c r="O97" s="31"/>
      <c r="P97" s="31"/>
    </row>
    <row r="98" spans="1:16">
      <c r="A98" s="32"/>
      <c r="B98" s="32"/>
      <c r="C98" s="32"/>
      <c r="D98" s="32"/>
      <c r="E98" s="32"/>
      <c r="F98" s="36"/>
      <c r="G98" s="31"/>
      <c r="H98" s="31"/>
      <c r="I98" s="31"/>
      <c r="J98" s="31"/>
      <c r="K98" s="31"/>
      <c r="L98" s="31"/>
      <c r="N98" s="31"/>
      <c r="O98" s="31"/>
      <c r="P98" s="31"/>
    </row>
    <row r="99" spans="1:16">
      <c r="A99" s="32"/>
      <c r="B99" s="32"/>
      <c r="C99" s="32"/>
      <c r="D99" s="32"/>
      <c r="E99" s="32"/>
      <c r="F99" s="36"/>
      <c r="G99" s="31"/>
      <c r="H99" s="31"/>
      <c r="I99" s="31"/>
      <c r="J99" s="31"/>
      <c r="K99" s="31"/>
      <c r="L99" s="31"/>
      <c r="N99" s="31"/>
      <c r="O99" s="31"/>
      <c r="P99" s="31"/>
    </row>
    <row r="100" spans="1:16">
      <c r="A100" s="32"/>
      <c r="B100" s="32"/>
      <c r="C100" s="32"/>
      <c r="D100" s="32"/>
      <c r="E100" s="32"/>
      <c r="F100" s="36"/>
      <c r="G100" s="31"/>
      <c r="H100" s="31"/>
      <c r="I100" s="31"/>
      <c r="J100" s="31"/>
      <c r="K100" s="31"/>
      <c r="L100" s="31"/>
      <c r="N100" s="31"/>
      <c r="O100" s="31"/>
      <c r="P100" s="31"/>
    </row>
    <row r="101" spans="1:16">
      <c r="A101" s="32"/>
      <c r="B101" s="32"/>
      <c r="C101" s="32"/>
      <c r="D101" s="32"/>
      <c r="E101" s="32"/>
      <c r="F101" s="36"/>
      <c r="G101" s="31"/>
      <c r="H101" s="31"/>
      <c r="I101" s="31"/>
      <c r="J101" s="31"/>
      <c r="K101" s="31"/>
      <c r="L101" s="31"/>
      <c r="N101" s="31"/>
      <c r="O101" s="31"/>
      <c r="P101" s="31"/>
    </row>
    <row r="102" spans="1:16">
      <c r="A102" s="32"/>
      <c r="B102" s="32"/>
      <c r="C102" s="32"/>
      <c r="D102" s="32"/>
      <c r="E102" s="32"/>
      <c r="F102" s="36"/>
      <c r="G102" s="31"/>
      <c r="H102" s="31"/>
      <c r="I102" s="31"/>
      <c r="J102" s="31"/>
      <c r="K102" s="31"/>
      <c r="L102" s="31"/>
      <c r="N102" s="31"/>
      <c r="O102" s="31"/>
      <c r="P102" s="31"/>
    </row>
    <row r="103" spans="1:16">
      <c r="A103" s="32"/>
      <c r="B103" s="32"/>
      <c r="C103" s="32"/>
      <c r="D103" s="32"/>
      <c r="E103" s="32"/>
      <c r="F103" s="36"/>
      <c r="G103" s="31"/>
      <c r="H103" s="31"/>
      <c r="I103" s="31"/>
      <c r="J103" s="31"/>
      <c r="K103" s="31"/>
      <c r="L103" s="31"/>
      <c r="N103" s="31"/>
      <c r="O103" s="31"/>
      <c r="P103" s="31"/>
    </row>
    <row r="104" spans="1:16">
      <c r="A104" s="32"/>
      <c r="B104" s="32"/>
      <c r="C104" s="32"/>
      <c r="D104" s="32"/>
      <c r="E104" s="32"/>
      <c r="F104" s="36"/>
      <c r="G104" s="31"/>
      <c r="H104" s="31"/>
      <c r="I104" s="31"/>
      <c r="J104" s="31"/>
      <c r="K104" s="31"/>
      <c r="L104" s="31"/>
      <c r="N104" s="31"/>
      <c r="O104" s="31"/>
      <c r="P104" s="31"/>
    </row>
    <row r="105" spans="1:16">
      <c r="A105" s="32"/>
      <c r="B105" s="32"/>
      <c r="C105" s="32"/>
      <c r="D105" s="32"/>
      <c r="E105" s="32"/>
      <c r="F105" s="36"/>
      <c r="G105" s="31"/>
      <c r="H105" s="31"/>
      <c r="I105" s="31"/>
      <c r="J105" s="31"/>
      <c r="K105" s="31"/>
      <c r="L105" s="31"/>
      <c r="N105" s="31"/>
      <c r="O105" s="31"/>
      <c r="P105" s="31"/>
    </row>
    <row r="106" spans="1:16">
      <c r="A106" s="32"/>
      <c r="B106" s="32"/>
      <c r="C106" s="32"/>
      <c r="D106" s="32"/>
      <c r="E106" s="32"/>
      <c r="F106" s="36"/>
      <c r="G106" s="31"/>
      <c r="H106" s="31"/>
      <c r="I106" s="31"/>
      <c r="J106" s="31"/>
      <c r="K106" s="31"/>
      <c r="L106" s="31"/>
      <c r="N106" s="31"/>
      <c r="O106" s="31"/>
      <c r="P106" s="31"/>
    </row>
    <row r="107" spans="1:16">
      <c r="A107" s="32"/>
      <c r="B107" s="32"/>
      <c r="C107" s="32"/>
      <c r="D107" s="32"/>
      <c r="E107" s="32"/>
      <c r="F107" s="36"/>
      <c r="G107" s="31"/>
      <c r="H107" s="31"/>
      <c r="I107" s="31"/>
      <c r="J107" s="31"/>
      <c r="K107" s="31"/>
      <c r="L107" s="31"/>
      <c r="N107" s="31"/>
      <c r="O107" s="31"/>
      <c r="P107" s="31"/>
    </row>
    <row r="108" spans="1:16">
      <c r="A108" s="32"/>
      <c r="B108" s="32"/>
      <c r="C108" s="32"/>
      <c r="D108" s="32"/>
      <c r="E108" s="32"/>
      <c r="F108" s="36"/>
      <c r="G108" s="31"/>
      <c r="H108" s="31"/>
      <c r="I108" s="31"/>
      <c r="J108" s="31"/>
      <c r="K108" s="31"/>
      <c r="L108" s="31"/>
      <c r="N108" s="31"/>
      <c r="O108" s="31"/>
      <c r="P108" s="31"/>
    </row>
    <row r="109" spans="1:16">
      <c r="A109" s="32"/>
      <c r="B109" s="32"/>
      <c r="C109" s="32"/>
      <c r="D109" s="32"/>
      <c r="E109" s="32"/>
      <c r="F109" s="36"/>
      <c r="G109" s="31"/>
      <c r="H109" s="31"/>
      <c r="I109" s="31"/>
      <c r="J109" s="31"/>
      <c r="K109" s="31"/>
      <c r="L109" s="31"/>
      <c r="N109" s="31"/>
      <c r="O109" s="31"/>
      <c r="P109" s="31"/>
    </row>
    <row r="110" spans="1:16">
      <c r="A110" s="32"/>
      <c r="B110" s="32"/>
      <c r="C110" s="32"/>
      <c r="D110" s="32"/>
      <c r="E110" s="32"/>
      <c r="F110" s="36"/>
      <c r="G110" s="31"/>
      <c r="H110" s="31"/>
      <c r="I110" s="31"/>
      <c r="J110" s="31"/>
      <c r="K110" s="31"/>
      <c r="L110" s="31"/>
      <c r="N110" s="31"/>
      <c r="O110" s="31"/>
      <c r="P110" s="31"/>
    </row>
    <row r="111" spans="1:16">
      <c r="A111" s="32"/>
      <c r="B111" s="32"/>
      <c r="C111" s="32"/>
      <c r="D111" s="32"/>
      <c r="E111" s="32"/>
      <c r="F111" s="36"/>
      <c r="G111" s="31"/>
      <c r="H111" s="31"/>
      <c r="I111" s="31"/>
      <c r="J111" s="31"/>
      <c r="K111" s="31"/>
      <c r="L111" s="31"/>
      <c r="N111" s="31"/>
      <c r="O111" s="31"/>
      <c r="P111" s="31"/>
    </row>
    <row r="112" spans="1:16">
      <c r="A112" s="32"/>
      <c r="B112" s="32"/>
      <c r="C112" s="32"/>
      <c r="D112" s="32"/>
      <c r="E112" s="32"/>
      <c r="F112" s="36"/>
      <c r="G112" s="31"/>
      <c r="H112" s="31"/>
      <c r="I112" s="31"/>
      <c r="J112" s="31"/>
      <c r="K112" s="31"/>
      <c r="L112" s="31"/>
      <c r="N112" s="31"/>
      <c r="O112" s="31"/>
      <c r="P112" s="31"/>
    </row>
    <row r="113" spans="1:16">
      <c r="A113" s="32"/>
      <c r="B113" s="32"/>
      <c r="C113" s="32"/>
      <c r="D113" s="32"/>
      <c r="E113" s="32"/>
      <c r="F113" s="36"/>
      <c r="G113" s="31"/>
      <c r="H113" s="31"/>
      <c r="I113" s="31"/>
      <c r="J113" s="31"/>
      <c r="K113" s="31"/>
      <c r="L113" s="31"/>
      <c r="N113" s="31"/>
      <c r="O113" s="31"/>
      <c r="P113" s="31"/>
    </row>
    <row r="114" spans="1:16">
      <c r="A114" s="32"/>
      <c r="B114" s="32"/>
      <c r="C114" s="32"/>
      <c r="D114" s="32"/>
      <c r="E114" s="32"/>
      <c r="F114" s="36"/>
      <c r="G114" s="31"/>
      <c r="H114" s="31"/>
      <c r="I114" s="31"/>
      <c r="J114" s="31"/>
      <c r="K114" s="31"/>
      <c r="L114" s="31"/>
      <c r="N114" s="31"/>
      <c r="O114" s="31"/>
      <c r="P114" s="31"/>
    </row>
    <row r="115" spans="1:16">
      <c r="A115" s="32"/>
      <c r="B115" s="32"/>
      <c r="C115" s="32"/>
      <c r="D115" s="32"/>
      <c r="E115" s="32"/>
      <c r="F115" s="36"/>
      <c r="G115" s="31"/>
      <c r="H115" s="31"/>
      <c r="I115" s="31"/>
      <c r="J115" s="31"/>
      <c r="K115" s="31"/>
      <c r="L115" s="31"/>
      <c r="N115" s="31"/>
      <c r="O115" s="31"/>
      <c r="P115" s="31"/>
    </row>
    <row r="116" spans="1:16">
      <c r="A116" s="32"/>
      <c r="B116" s="32"/>
      <c r="C116" s="32"/>
      <c r="D116" s="32"/>
      <c r="E116" s="32"/>
      <c r="F116" s="36"/>
      <c r="G116" s="31"/>
      <c r="H116" s="31"/>
      <c r="I116" s="31"/>
      <c r="J116" s="31"/>
      <c r="K116" s="31"/>
      <c r="L116" s="31"/>
      <c r="N116" s="31"/>
      <c r="O116" s="31"/>
      <c r="P116" s="31"/>
    </row>
    <row r="117" spans="1:16">
      <c r="A117" s="32"/>
      <c r="B117" s="32"/>
      <c r="C117" s="32"/>
      <c r="D117" s="32"/>
      <c r="E117" s="32"/>
      <c r="F117" s="36"/>
      <c r="G117" s="31"/>
      <c r="H117" s="31"/>
      <c r="I117" s="31"/>
      <c r="J117" s="31"/>
      <c r="K117" s="31"/>
      <c r="L117" s="31"/>
      <c r="N117" s="31"/>
      <c r="O117" s="31"/>
      <c r="P117" s="31"/>
    </row>
    <row r="118" spans="1:16">
      <c r="A118" s="32"/>
      <c r="B118" s="32"/>
      <c r="C118" s="32"/>
      <c r="D118" s="32"/>
      <c r="E118" s="32"/>
      <c r="F118" s="36"/>
      <c r="G118" s="31"/>
      <c r="H118" s="31"/>
      <c r="I118" s="31"/>
      <c r="J118" s="31"/>
      <c r="K118" s="31"/>
      <c r="L118" s="31"/>
      <c r="N118" s="31"/>
      <c r="O118" s="31"/>
      <c r="P118" s="31"/>
    </row>
    <row r="119" spans="1:16">
      <c r="A119" s="32"/>
      <c r="B119" s="32"/>
      <c r="C119" s="32"/>
      <c r="D119" s="32"/>
      <c r="E119" s="32"/>
      <c r="F119" s="36"/>
      <c r="G119" s="31"/>
      <c r="H119" s="31"/>
      <c r="I119" s="31"/>
      <c r="J119" s="31"/>
      <c r="K119" s="31"/>
      <c r="L119" s="31"/>
      <c r="N119" s="31"/>
      <c r="O119" s="31"/>
      <c r="P119" s="31"/>
    </row>
    <row r="120" spans="1:16">
      <c r="A120" s="32"/>
      <c r="B120" s="32"/>
      <c r="C120" s="32"/>
      <c r="D120" s="32"/>
      <c r="E120" s="32"/>
      <c r="F120" s="36"/>
      <c r="G120" s="31"/>
      <c r="H120" s="31"/>
      <c r="I120" s="31"/>
      <c r="J120" s="31"/>
      <c r="K120" s="31"/>
      <c r="L120" s="31"/>
      <c r="N120" s="31"/>
      <c r="O120" s="31"/>
      <c r="P120" s="31"/>
    </row>
    <row r="121" spans="1:16">
      <c r="A121" s="32"/>
      <c r="B121" s="32"/>
      <c r="C121" s="32"/>
      <c r="D121" s="32"/>
      <c r="E121" s="32"/>
      <c r="F121" s="36"/>
      <c r="G121" s="31"/>
      <c r="H121" s="31"/>
      <c r="I121" s="31"/>
      <c r="J121" s="31"/>
      <c r="K121" s="31"/>
      <c r="L121" s="31"/>
      <c r="N121" s="31"/>
      <c r="O121" s="31"/>
      <c r="P121" s="31"/>
    </row>
    <row r="122" spans="1:16">
      <c r="A122" s="32"/>
      <c r="B122" s="32"/>
      <c r="C122" s="32"/>
      <c r="D122" s="32"/>
      <c r="E122" s="32"/>
      <c r="F122" s="36"/>
      <c r="G122" s="31"/>
      <c r="H122" s="31"/>
      <c r="I122" s="31"/>
      <c r="J122" s="31"/>
      <c r="K122" s="31"/>
      <c r="L122" s="31"/>
      <c r="N122" s="31"/>
      <c r="O122" s="31"/>
      <c r="P122" s="31"/>
    </row>
    <row r="123" spans="1:16">
      <c r="A123" s="32"/>
      <c r="B123" s="32"/>
      <c r="C123" s="32"/>
      <c r="D123" s="32"/>
      <c r="E123" s="32"/>
      <c r="F123" s="36"/>
      <c r="G123" s="31"/>
      <c r="H123" s="31"/>
      <c r="I123" s="31"/>
      <c r="J123" s="31"/>
      <c r="K123" s="31"/>
      <c r="L123" s="31"/>
      <c r="N123" s="31"/>
      <c r="O123" s="31"/>
      <c r="P123" s="31"/>
    </row>
    <row r="124" spans="1:16">
      <c r="A124" s="32"/>
      <c r="B124" s="32"/>
      <c r="C124" s="32"/>
      <c r="D124" s="32"/>
      <c r="E124" s="32"/>
      <c r="F124" s="36"/>
      <c r="G124" s="31"/>
      <c r="H124" s="31"/>
      <c r="I124" s="31"/>
      <c r="J124" s="31"/>
      <c r="K124" s="31"/>
      <c r="L124" s="31"/>
      <c r="N124" s="31"/>
      <c r="O124" s="31"/>
      <c r="P124" s="31"/>
    </row>
    <row r="125" spans="1:16">
      <c r="A125" s="32"/>
      <c r="B125" s="32"/>
      <c r="C125" s="32"/>
      <c r="D125" s="32"/>
      <c r="E125" s="32"/>
      <c r="F125" s="36"/>
      <c r="G125" s="31"/>
      <c r="H125" s="31"/>
      <c r="I125" s="31"/>
      <c r="J125" s="31"/>
      <c r="K125" s="31"/>
      <c r="L125" s="31"/>
      <c r="N125" s="31"/>
      <c r="O125" s="31"/>
      <c r="P125" s="31"/>
    </row>
    <row r="126" spans="1:16">
      <c r="A126" s="32"/>
      <c r="B126" s="32"/>
      <c r="C126" s="32"/>
      <c r="D126" s="32"/>
      <c r="E126" s="32"/>
      <c r="F126" s="36"/>
      <c r="G126" s="31"/>
      <c r="H126" s="31"/>
      <c r="I126" s="31"/>
      <c r="J126" s="31"/>
      <c r="K126" s="31"/>
      <c r="L126" s="31"/>
      <c r="N126" s="31"/>
      <c r="O126" s="31"/>
      <c r="P126" s="31"/>
    </row>
    <row r="127" spans="1:16">
      <c r="A127" s="32"/>
      <c r="B127" s="32"/>
      <c r="C127" s="32"/>
      <c r="D127" s="32"/>
      <c r="E127" s="32"/>
      <c r="F127" s="36"/>
      <c r="G127" s="31"/>
      <c r="H127" s="31"/>
      <c r="I127" s="31"/>
      <c r="J127" s="31"/>
      <c r="K127" s="31"/>
      <c r="L127" s="31"/>
      <c r="N127" s="31"/>
      <c r="O127" s="31"/>
      <c r="P127" s="31"/>
    </row>
    <row r="128" spans="1:16">
      <c r="A128" s="32"/>
      <c r="B128" s="32"/>
      <c r="C128" s="32"/>
      <c r="D128" s="32"/>
      <c r="E128" s="32"/>
      <c r="F128" s="36"/>
      <c r="G128" s="31"/>
      <c r="H128" s="31"/>
      <c r="I128" s="31"/>
      <c r="J128" s="31"/>
      <c r="K128" s="31"/>
      <c r="L128" s="31"/>
      <c r="N128" s="31"/>
      <c r="O128" s="31"/>
      <c r="P128" s="31"/>
    </row>
    <row r="129" spans="1:16">
      <c r="A129" s="32"/>
      <c r="B129" s="32"/>
      <c r="C129" s="32"/>
      <c r="D129" s="32"/>
      <c r="E129" s="32"/>
      <c r="F129" s="36"/>
      <c r="G129" s="31"/>
      <c r="H129" s="31"/>
      <c r="I129" s="31"/>
      <c r="J129" s="31"/>
      <c r="K129" s="31"/>
      <c r="L129" s="31"/>
      <c r="N129" s="31"/>
      <c r="O129" s="31"/>
      <c r="P129" s="31"/>
    </row>
    <row r="130" spans="1:16">
      <c r="A130" s="32"/>
      <c r="B130" s="32"/>
      <c r="C130" s="32"/>
      <c r="D130" s="32"/>
      <c r="E130" s="32"/>
      <c r="F130" s="36"/>
      <c r="G130" s="31"/>
      <c r="H130" s="31"/>
      <c r="I130" s="31"/>
      <c r="J130" s="31"/>
      <c r="K130" s="31"/>
      <c r="L130" s="31"/>
      <c r="N130" s="31"/>
      <c r="O130" s="31"/>
      <c r="P130" s="31"/>
    </row>
    <row r="131" spans="1:16">
      <c r="A131" s="32"/>
      <c r="B131" s="32"/>
      <c r="C131" s="32"/>
      <c r="D131" s="32"/>
      <c r="E131" s="32"/>
      <c r="F131" s="36"/>
      <c r="G131" s="31"/>
      <c r="H131" s="31"/>
      <c r="I131" s="31"/>
      <c r="J131" s="31"/>
      <c r="K131" s="31"/>
      <c r="L131" s="31"/>
      <c r="N131" s="31"/>
      <c r="O131" s="31"/>
      <c r="P131" s="31"/>
    </row>
    <row r="132" spans="1:16">
      <c r="A132" s="32"/>
      <c r="B132" s="32"/>
      <c r="C132" s="32"/>
      <c r="D132" s="32"/>
      <c r="E132" s="32"/>
      <c r="F132" s="36"/>
      <c r="G132" s="31"/>
      <c r="H132" s="31"/>
      <c r="I132" s="31"/>
      <c r="J132" s="31"/>
      <c r="K132" s="31"/>
      <c r="L132" s="31"/>
      <c r="N132" s="31"/>
      <c r="O132" s="31"/>
      <c r="P132" s="31"/>
    </row>
    <row r="133" spans="1:16">
      <c r="A133" s="32"/>
      <c r="B133" s="32"/>
      <c r="C133" s="32"/>
      <c r="D133" s="32"/>
      <c r="E133" s="32"/>
      <c r="F133" s="36"/>
      <c r="G133" s="31"/>
      <c r="H133" s="31"/>
      <c r="I133" s="31"/>
      <c r="J133" s="31"/>
      <c r="K133" s="31"/>
      <c r="L133" s="31"/>
      <c r="N133" s="31"/>
      <c r="O133" s="31"/>
      <c r="P133" s="31"/>
    </row>
    <row r="134" spans="1:16">
      <c r="A134" s="32"/>
      <c r="B134" s="32"/>
      <c r="C134" s="32"/>
      <c r="D134" s="32"/>
      <c r="E134" s="32"/>
      <c r="F134" s="36"/>
      <c r="G134" s="31"/>
      <c r="H134" s="31"/>
      <c r="I134" s="31"/>
      <c r="J134" s="31"/>
      <c r="K134" s="31"/>
      <c r="L134" s="31"/>
      <c r="N134" s="31"/>
      <c r="O134" s="31"/>
      <c r="P134" s="31"/>
    </row>
    <row r="135" spans="1:16">
      <c r="A135" s="32"/>
      <c r="B135" s="32"/>
      <c r="C135" s="32"/>
      <c r="D135" s="32"/>
      <c r="E135" s="32"/>
      <c r="F135" s="36"/>
      <c r="G135" s="31"/>
      <c r="H135" s="31"/>
      <c r="I135" s="31"/>
      <c r="J135" s="31"/>
      <c r="K135" s="31"/>
      <c r="L135" s="31"/>
      <c r="N135" s="31"/>
      <c r="O135" s="31"/>
      <c r="P135" s="31"/>
    </row>
    <row r="136" spans="1:16">
      <c r="A136" s="32"/>
      <c r="B136" s="32"/>
      <c r="C136" s="32"/>
      <c r="D136" s="32"/>
      <c r="E136" s="32"/>
      <c r="F136" s="36"/>
      <c r="G136" s="31"/>
      <c r="H136" s="31"/>
      <c r="I136" s="31"/>
      <c r="J136" s="31"/>
      <c r="K136" s="31"/>
      <c r="L136" s="31"/>
      <c r="N136" s="31"/>
      <c r="O136" s="31"/>
      <c r="P136" s="31"/>
    </row>
    <row r="137" spans="1:16">
      <c r="A137" s="32"/>
      <c r="B137" s="32"/>
      <c r="C137" s="32"/>
      <c r="D137" s="32"/>
      <c r="E137" s="32"/>
      <c r="F137" s="36"/>
      <c r="G137" s="31"/>
      <c r="H137" s="31"/>
      <c r="I137" s="31"/>
      <c r="J137" s="31"/>
      <c r="K137" s="31"/>
      <c r="L137" s="31"/>
      <c r="N137" s="31"/>
      <c r="O137" s="31"/>
      <c r="P137" s="31"/>
    </row>
    <row r="138" spans="1:16">
      <c r="A138" s="32"/>
      <c r="B138" s="32"/>
      <c r="C138" s="32"/>
      <c r="D138" s="32"/>
      <c r="E138" s="32"/>
      <c r="F138" s="36"/>
      <c r="G138" s="31"/>
      <c r="H138" s="31"/>
      <c r="I138" s="31"/>
      <c r="J138" s="31"/>
      <c r="K138" s="31"/>
      <c r="L138" s="31"/>
      <c r="N138" s="31"/>
      <c r="O138" s="31"/>
      <c r="P138" s="31"/>
    </row>
    <row r="139" spans="1:16">
      <c r="A139" s="32"/>
      <c r="B139" s="32"/>
      <c r="C139" s="32"/>
      <c r="D139" s="32"/>
      <c r="E139" s="32"/>
      <c r="F139" s="36"/>
      <c r="G139" s="31"/>
      <c r="H139" s="31"/>
      <c r="I139" s="31"/>
      <c r="J139" s="31"/>
      <c r="K139" s="31"/>
      <c r="L139" s="31"/>
      <c r="N139" s="31"/>
      <c r="O139" s="31"/>
      <c r="P139" s="31"/>
    </row>
    <row r="140" spans="1:16">
      <c r="A140" s="32"/>
      <c r="B140" s="32"/>
      <c r="C140" s="32"/>
      <c r="D140" s="32"/>
      <c r="E140" s="32"/>
      <c r="F140" s="36"/>
      <c r="G140" s="31"/>
      <c r="H140" s="31"/>
      <c r="I140" s="31"/>
      <c r="J140" s="31"/>
      <c r="K140" s="31"/>
      <c r="L140" s="31"/>
      <c r="N140" s="31"/>
      <c r="O140" s="31"/>
      <c r="P140" s="31"/>
    </row>
    <row r="141" spans="1:16">
      <c r="A141" s="32"/>
      <c r="B141" s="32"/>
      <c r="C141" s="32"/>
      <c r="D141" s="32"/>
      <c r="E141" s="32"/>
      <c r="F141" s="36"/>
      <c r="G141" s="31"/>
      <c r="H141" s="31"/>
      <c r="I141" s="31"/>
      <c r="J141" s="31"/>
      <c r="K141" s="31"/>
      <c r="L141" s="31"/>
      <c r="N141" s="31"/>
      <c r="O141" s="31"/>
      <c r="P141" s="31"/>
    </row>
    <row r="142" spans="1:16">
      <c r="A142" s="32"/>
      <c r="B142" s="32"/>
      <c r="C142" s="32"/>
      <c r="D142" s="32"/>
      <c r="E142" s="32"/>
      <c r="F142" s="36"/>
      <c r="G142" s="31"/>
      <c r="H142" s="31"/>
      <c r="I142" s="31"/>
      <c r="J142" s="31"/>
      <c r="K142" s="31"/>
      <c r="L142" s="31"/>
      <c r="N142" s="31"/>
      <c r="O142" s="31"/>
      <c r="P142" s="31"/>
    </row>
    <row r="143" spans="1:16">
      <c r="A143" s="32"/>
      <c r="B143" s="32"/>
      <c r="C143" s="32"/>
      <c r="D143" s="32"/>
      <c r="E143" s="32"/>
      <c r="F143" s="36"/>
      <c r="G143" s="31"/>
      <c r="H143" s="31"/>
      <c r="I143" s="31"/>
      <c r="J143" s="31"/>
      <c r="K143" s="31"/>
      <c r="L143" s="31"/>
      <c r="N143" s="31"/>
      <c r="O143" s="31"/>
      <c r="P143" s="31"/>
    </row>
    <row r="144" spans="1:16">
      <c r="A144" s="32"/>
      <c r="B144" s="32"/>
      <c r="C144" s="32"/>
      <c r="D144" s="32"/>
      <c r="E144" s="32"/>
      <c r="F144" s="36"/>
      <c r="G144" s="31"/>
      <c r="H144" s="31"/>
      <c r="I144" s="31"/>
      <c r="J144" s="31"/>
      <c r="K144" s="31"/>
      <c r="L144" s="31"/>
      <c r="N144" s="31"/>
      <c r="O144" s="31"/>
      <c r="P144" s="31"/>
    </row>
    <row r="145" spans="1:16">
      <c r="A145" s="32"/>
      <c r="B145" s="32"/>
      <c r="C145" s="32"/>
      <c r="D145" s="32"/>
      <c r="E145" s="32"/>
      <c r="F145" s="36"/>
      <c r="G145" s="31"/>
      <c r="H145" s="31"/>
      <c r="I145" s="31"/>
      <c r="J145" s="31"/>
      <c r="K145" s="31"/>
      <c r="L145" s="31"/>
      <c r="N145" s="31"/>
      <c r="O145" s="31"/>
      <c r="P145" s="31"/>
    </row>
    <row r="146" spans="1:16">
      <c r="A146" s="32"/>
      <c r="B146" s="32"/>
      <c r="C146" s="32"/>
      <c r="D146" s="32"/>
      <c r="E146" s="32"/>
      <c r="F146" s="36"/>
      <c r="G146" s="31"/>
      <c r="H146" s="31"/>
      <c r="I146" s="31"/>
      <c r="J146" s="31"/>
      <c r="K146" s="31"/>
      <c r="L146" s="31"/>
      <c r="N146" s="31"/>
      <c r="O146" s="31"/>
      <c r="P146" s="31"/>
    </row>
    <row r="147" spans="1:16">
      <c r="A147" s="32"/>
      <c r="B147" s="32"/>
      <c r="C147" s="32"/>
      <c r="D147" s="32"/>
      <c r="E147" s="32"/>
      <c r="F147" s="36"/>
      <c r="G147" s="31"/>
      <c r="H147" s="31"/>
      <c r="I147" s="31"/>
      <c r="J147" s="31"/>
      <c r="K147" s="31"/>
      <c r="L147" s="31"/>
      <c r="N147" s="31"/>
      <c r="O147" s="31"/>
      <c r="P147" s="31"/>
    </row>
    <row r="148" spans="1:16">
      <c r="A148" s="32"/>
      <c r="B148" s="32"/>
      <c r="C148" s="32"/>
      <c r="D148" s="32"/>
      <c r="E148" s="32"/>
      <c r="F148" s="36"/>
      <c r="G148" s="31"/>
      <c r="H148" s="31"/>
      <c r="I148" s="31"/>
      <c r="J148" s="31"/>
      <c r="K148" s="31"/>
      <c r="L148" s="31"/>
      <c r="N148" s="31"/>
      <c r="O148" s="31"/>
      <c r="P148" s="31"/>
    </row>
    <row r="149" spans="1:16">
      <c r="A149" s="32"/>
      <c r="B149" s="32"/>
      <c r="C149" s="32"/>
      <c r="D149" s="32"/>
      <c r="E149" s="32"/>
      <c r="F149" s="36"/>
      <c r="G149" s="31"/>
      <c r="H149" s="31"/>
      <c r="I149" s="31"/>
      <c r="J149" s="31"/>
      <c r="K149" s="31"/>
      <c r="L149" s="31"/>
      <c r="N149" s="31"/>
      <c r="O149" s="31"/>
      <c r="P149" s="31"/>
    </row>
    <row r="150" spans="1:16">
      <c r="A150" s="32"/>
      <c r="B150" s="32"/>
      <c r="C150" s="32"/>
      <c r="D150" s="32"/>
      <c r="E150" s="32"/>
      <c r="F150" s="36"/>
      <c r="G150" s="31"/>
      <c r="H150" s="31"/>
      <c r="I150" s="31"/>
      <c r="J150" s="31"/>
      <c r="K150" s="31"/>
      <c r="L150" s="31"/>
      <c r="N150" s="31"/>
      <c r="O150" s="31"/>
      <c r="P150" s="31"/>
    </row>
    <row r="151" spans="1:16">
      <c r="A151" s="32"/>
      <c r="B151" s="32"/>
      <c r="C151" s="32"/>
      <c r="D151" s="32"/>
      <c r="E151" s="32"/>
      <c r="F151" s="36"/>
      <c r="G151" s="31"/>
      <c r="H151" s="31"/>
      <c r="I151" s="31"/>
      <c r="J151" s="31"/>
      <c r="K151" s="31"/>
      <c r="L151" s="31"/>
      <c r="N151" s="31"/>
      <c r="O151" s="31"/>
      <c r="P151" s="31"/>
    </row>
    <row r="152" spans="1:16">
      <c r="A152" s="32"/>
      <c r="B152" s="32"/>
      <c r="C152" s="32"/>
      <c r="D152" s="32"/>
      <c r="E152" s="32"/>
      <c r="F152" s="36"/>
      <c r="G152" s="31"/>
      <c r="H152" s="31"/>
      <c r="I152" s="31"/>
      <c r="J152" s="31"/>
      <c r="K152" s="31"/>
      <c r="L152" s="31"/>
      <c r="N152" s="31"/>
      <c r="O152" s="31"/>
      <c r="P152" s="31"/>
    </row>
    <row r="153" spans="1:16">
      <c r="A153" s="32"/>
      <c r="B153" s="32"/>
      <c r="C153" s="32"/>
      <c r="D153" s="32"/>
      <c r="E153" s="32"/>
      <c r="F153" s="36"/>
      <c r="G153" s="31"/>
      <c r="H153" s="31"/>
      <c r="I153" s="31"/>
      <c r="J153" s="31"/>
      <c r="K153" s="31"/>
      <c r="L153" s="31"/>
      <c r="N153" s="31"/>
      <c r="O153" s="31"/>
      <c r="P153" s="31"/>
    </row>
    <row r="154" spans="1:16">
      <c r="A154" s="32"/>
      <c r="B154" s="32"/>
      <c r="C154" s="32"/>
      <c r="D154" s="32"/>
      <c r="E154" s="32"/>
      <c r="F154" s="36"/>
    </row>
    <row r="155" spans="1:16">
      <c r="A155" s="32"/>
      <c r="B155" s="32"/>
      <c r="C155" s="32"/>
      <c r="D155" s="32"/>
      <c r="E155" s="32"/>
      <c r="F155" s="36"/>
    </row>
    <row r="156" spans="1:16">
      <c r="A156" s="32"/>
      <c r="B156" s="32"/>
      <c r="C156" s="32"/>
      <c r="D156" s="32"/>
      <c r="E156" s="32"/>
      <c r="F156" s="36"/>
    </row>
    <row r="157" spans="1:16">
      <c r="A157" s="32"/>
      <c r="B157" s="32"/>
      <c r="C157" s="32"/>
      <c r="D157" s="32"/>
      <c r="E157" s="32"/>
      <c r="F157" s="36"/>
    </row>
    <row r="158" spans="1:16">
      <c r="A158" s="32"/>
      <c r="B158" s="32"/>
      <c r="C158" s="32"/>
      <c r="D158" s="32"/>
      <c r="E158" s="32"/>
      <c r="F158" s="36"/>
    </row>
    <row r="159" spans="1:16">
      <c r="A159" s="32"/>
      <c r="B159" s="32"/>
      <c r="C159" s="32"/>
      <c r="D159" s="32"/>
      <c r="E159" s="32"/>
      <c r="F159" s="36"/>
    </row>
    <row r="160" spans="1:16">
      <c r="A160" s="32"/>
      <c r="B160" s="32"/>
      <c r="C160" s="32"/>
      <c r="D160" s="32"/>
      <c r="E160" s="32"/>
      <c r="F160" s="36"/>
    </row>
    <row r="161" spans="1:6">
      <c r="A161" s="32"/>
      <c r="B161" s="32"/>
      <c r="C161" s="32"/>
      <c r="D161" s="32"/>
      <c r="E161" s="32"/>
      <c r="F161" s="36"/>
    </row>
    <row r="162" spans="1:6">
      <c r="A162" s="32"/>
      <c r="B162" s="32"/>
      <c r="C162" s="32"/>
      <c r="D162" s="32"/>
      <c r="E162" s="32"/>
      <c r="F162" s="36"/>
    </row>
    <row r="163" spans="1:6">
      <c r="A163" s="32"/>
      <c r="B163" s="32"/>
      <c r="C163" s="32"/>
      <c r="D163" s="32"/>
      <c r="E163" s="32"/>
      <c r="F163" s="36"/>
    </row>
    <row r="164" spans="1:6">
      <c r="A164" s="32"/>
      <c r="B164" s="32"/>
      <c r="C164" s="32"/>
      <c r="D164" s="32"/>
      <c r="E164" s="32"/>
      <c r="F164" s="36"/>
    </row>
    <row r="165" spans="1:6">
      <c r="A165" s="32"/>
      <c r="B165" s="32"/>
      <c r="C165" s="32"/>
      <c r="D165" s="32"/>
      <c r="E165" s="32"/>
      <c r="F165" s="36"/>
    </row>
    <row r="166" spans="1:6">
      <c r="A166" s="32"/>
      <c r="B166" s="32"/>
      <c r="C166" s="32"/>
      <c r="D166" s="32"/>
      <c r="E166" s="32"/>
      <c r="F166" s="36"/>
    </row>
    <row r="167" spans="1:6">
      <c r="A167" s="32"/>
      <c r="B167" s="32"/>
      <c r="C167" s="32"/>
      <c r="D167" s="32"/>
      <c r="E167" s="32"/>
      <c r="F167" s="36"/>
    </row>
    <row r="168" spans="1:6">
      <c r="A168" s="32"/>
      <c r="B168" s="32"/>
      <c r="C168" s="32"/>
      <c r="D168" s="32"/>
      <c r="E168" s="32"/>
      <c r="F168" s="36"/>
    </row>
    <row r="169" spans="1:6">
      <c r="A169" s="32"/>
      <c r="B169" s="32"/>
      <c r="C169" s="32"/>
      <c r="D169" s="32"/>
      <c r="E169" s="32"/>
      <c r="F169" s="36"/>
    </row>
    <row r="170" spans="1:6">
      <c r="A170" s="32"/>
      <c r="B170" s="32"/>
      <c r="C170" s="32"/>
      <c r="D170" s="32"/>
      <c r="E170" s="32"/>
      <c r="F170" s="36"/>
    </row>
    <row r="171" spans="1:6">
      <c r="A171" s="32"/>
      <c r="B171" s="32"/>
      <c r="C171" s="32"/>
      <c r="D171" s="32"/>
      <c r="E171" s="32"/>
      <c r="F171" s="36"/>
    </row>
    <row r="172" spans="1:6">
      <c r="A172" s="32"/>
      <c r="B172" s="32"/>
      <c r="C172" s="32"/>
      <c r="D172" s="32"/>
      <c r="E172" s="32"/>
      <c r="F172" s="36"/>
    </row>
    <row r="173" spans="1:6">
      <c r="A173" s="32"/>
      <c r="B173" s="32"/>
      <c r="C173" s="32"/>
      <c r="D173" s="32"/>
      <c r="E173" s="32"/>
      <c r="F173" s="36"/>
    </row>
    <row r="174" spans="1:6">
      <c r="A174" s="32"/>
      <c r="B174" s="32"/>
      <c r="C174" s="32"/>
      <c r="D174" s="32"/>
      <c r="E174" s="32"/>
      <c r="F174" s="36"/>
    </row>
    <row r="175" spans="1:6">
      <c r="A175" s="32"/>
      <c r="B175" s="32"/>
      <c r="C175" s="32"/>
      <c r="D175" s="32"/>
      <c r="E175" s="32"/>
      <c r="F175" s="36"/>
    </row>
    <row r="176" spans="1:6">
      <c r="A176" s="32"/>
      <c r="B176" s="32"/>
      <c r="C176" s="32"/>
      <c r="D176" s="32"/>
      <c r="E176" s="32"/>
      <c r="F176" s="36"/>
    </row>
    <row r="177" spans="1:6">
      <c r="A177" s="32"/>
      <c r="B177" s="32"/>
      <c r="C177" s="32"/>
      <c r="D177" s="32"/>
      <c r="E177" s="32"/>
      <c r="F177" s="36"/>
    </row>
    <row r="178" spans="1:6">
      <c r="A178" s="32"/>
      <c r="B178" s="32"/>
      <c r="C178" s="32"/>
      <c r="D178" s="32"/>
      <c r="E178" s="32"/>
      <c r="F178" s="36"/>
    </row>
    <row r="179" spans="1:6">
      <c r="A179" s="32"/>
      <c r="B179" s="32"/>
      <c r="C179" s="32"/>
      <c r="D179" s="32"/>
      <c r="E179" s="32"/>
      <c r="F179" s="36"/>
    </row>
    <row r="180" spans="1:6">
      <c r="A180" s="32"/>
      <c r="B180" s="32"/>
      <c r="C180" s="32"/>
      <c r="D180" s="32"/>
      <c r="E180" s="32"/>
      <c r="F180" s="36"/>
    </row>
    <row r="181" spans="1:6">
      <c r="A181" s="32"/>
      <c r="B181" s="32"/>
      <c r="C181" s="32"/>
      <c r="D181" s="32"/>
      <c r="E181" s="32"/>
      <c r="F181" s="36"/>
    </row>
    <row r="182" spans="1:6">
      <c r="A182" s="32"/>
      <c r="B182" s="32"/>
      <c r="C182" s="32"/>
      <c r="D182" s="32"/>
      <c r="E182" s="32"/>
      <c r="F182" s="36"/>
    </row>
    <row r="183" spans="1:6">
      <c r="A183" s="32"/>
      <c r="B183" s="32"/>
      <c r="C183" s="32"/>
      <c r="D183" s="32"/>
      <c r="E183" s="32"/>
      <c r="F183" s="36"/>
    </row>
    <row r="184" spans="1:6">
      <c r="A184" s="32"/>
      <c r="B184" s="32"/>
      <c r="C184" s="32"/>
      <c r="D184" s="32"/>
      <c r="E184" s="32"/>
      <c r="F184" s="36"/>
    </row>
    <row r="185" spans="1:6">
      <c r="A185" s="32"/>
      <c r="B185" s="32"/>
      <c r="C185" s="32"/>
      <c r="D185" s="32"/>
      <c r="E185" s="32"/>
      <c r="F185" s="36"/>
    </row>
    <row r="186" spans="1:6">
      <c r="A186" s="32"/>
      <c r="B186" s="32"/>
      <c r="C186" s="32"/>
      <c r="D186" s="32"/>
      <c r="E186" s="32"/>
      <c r="F186" s="36"/>
    </row>
    <row r="187" spans="1:6">
      <c r="A187" s="32"/>
      <c r="B187" s="32"/>
      <c r="C187" s="32"/>
      <c r="D187" s="32"/>
      <c r="E187" s="32"/>
      <c r="F187" s="36"/>
    </row>
    <row r="188" spans="1:6">
      <c r="A188" s="32"/>
      <c r="B188" s="32"/>
      <c r="C188" s="32"/>
      <c r="D188" s="32"/>
      <c r="E188" s="32"/>
      <c r="F188" s="36"/>
    </row>
    <row r="189" spans="1:6">
      <c r="A189" s="32"/>
      <c r="B189" s="32"/>
      <c r="C189" s="32"/>
      <c r="D189" s="32"/>
      <c r="E189" s="32"/>
      <c r="F189" s="36"/>
    </row>
    <row r="190" spans="1:6">
      <c r="A190" s="32"/>
      <c r="B190" s="32"/>
      <c r="C190" s="32"/>
      <c r="D190" s="32"/>
      <c r="E190" s="32"/>
      <c r="F190" s="36"/>
    </row>
    <row r="191" spans="1:6">
      <c r="A191" s="32"/>
      <c r="B191" s="32"/>
      <c r="C191" s="32"/>
      <c r="D191" s="32"/>
      <c r="E191" s="32"/>
      <c r="F191" s="36"/>
    </row>
    <row r="192" spans="1:6">
      <c r="A192" s="32"/>
      <c r="B192" s="32"/>
      <c r="C192" s="32"/>
      <c r="D192" s="32"/>
      <c r="E192" s="32"/>
      <c r="F192" s="36"/>
    </row>
    <row r="193" spans="1:6">
      <c r="A193" s="32"/>
      <c r="B193" s="32"/>
      <c r="C193" s="32"/>
      <c r="D193" s="32"/>
      <c r="E193" s="32"/>
      <c r="F193" s="36"/>
    </row>
    <row r="194" spans="1:6">
      <c r="A194" s="32"/>
      <c r="B194" s="32"/>
      <c r="C194" s="32"/>
      <c r="D194" s="32"/>
      <c r="E194" s="32"/>
      <c r="F194" s="36"/>
    </row>
    <row r="195" spans="1:6">
      <c r="A195" s="32"/>
      <c r="B195" s="32"/>
      <c r="C195" s="32"/>
      <c r="D195" s="32"/>
      <c r="E195" s="32"/>
      <c r="F195" s="36"/>
    </row>
    <row r="196" spans="1:6">
      <c r="A196" s="32"/>
      <c r="B196" s="32"/>
      <c r="C196" s="32"/>
      <c r="D196" s="32"/>
      <c r="E196" s="32"/>
      <c r="F196" s="36"/>
    </row>
    <row r="197" spans="1:6">
      <c r="A197" s="32"/>
      <c r="B197" s="32"/>
      <c r="C197" s="32"/>
      <c r="D197" s="32"/>
      <c r="E197" s="32"/>
      <c r="F197" s="36"/>
    </row>
    <row r="198" spans="1:6">
      <c r="A198" s="32"/>
      <c r="B198" s="32"/>
      <c r="C198" s="32"/>
      <c r="D198" s="32"/>
      <c r="E198" s="32"/>
      <c r="F198" s="36"/>
    </row>
    <row r="199" spans="1:6">
      <c r="A199" s="32"/>
      <c r="B199" s="32"/>
      <c r="C199" s="32"/>
      <c r="D199" s="32"/>
      <c r="E199" s="32"/>
      <c r="F199" s="36"/>
    </row>
    <row r="200" spans="1:6">
      <c r="A200" s="32"/>
      <c r="B200" s="32"/>
      <c r="C200" s="32"/>
      <c r="D200" s="32"/>
      <c r="E200" s="32"/>
      <c r="F200" s="36"/>
    </row>
    <row r="201" spans="1:6">
      <c r="A201" s="32"/>
      <c r="B201" s="32"/>
      <c r="C201" s="32"/>
      <c r="D201" s="32"/>
      <c r="E201" s="32"/>
      <c r="F201" s="36"/>
    </row>
    <row r="202" spans="1:6">
      <c r="A202" s="32"/>
      <c r="B202" s="32"/>
      <c r="C202" s="32"/>
      <c r="D202" s="32"/>
      <c r="E202" s="32"/>
      <c r="F202" s="36"/>
    </row>
    <row r="203" spans="1:6">
      <c r="A203" s="32"/>
      <c r="B203" s="32"/>
      <c r="C203" s="32"/>
      <c r="D203" s="32"/>
      <c r="E203" s="32"/>
      <c r="F203" s="36"/>
    </row>
    <row r="204" spans="1:6">
      <c r="A204" s="32"/>
      <c r="B204" s="32"/>
      <c r="C204" s="32"/>
      <c r="D204" s="32"/>
      <c r="E204" s="32"/>
      <c r="F204" s="36"/>
    </row>
    <row r="205" spans="1:6">
      <c r="A205" s="32"/>
      <c r="B205" s="32"/>
      <c r="C205" s="32"/>
      <c r="D205" s="32"/>
      <c r="E205" s="32"/>
      <c r="F205" s="36"/>
    </row>
    <row r="206" spans="1:6">
      <c r="A206" s="32"/>
      <c r="B206" s="32"/>
      <c r="C206" s="32"/>
      <c r="D206" s="32"/>
      <c r="E206" s="32"/>
      <c r="F206" s="36"/>
    </row>
    <row r="207" spans="1:6">
      <c r="A207" s="32"/>
      <c r="B207" s="32"/>
      <c r="C207" s="32"/>
      <c r="D207" s="32"/>
      <c r="E207" s="32"/>
      <c r="F207" s="36"/>
    </row>
    <row r="208" spans="1:6">
      <c r="A208" s="32"/>
      <c r="B208" s="32"/>
      <c r="C208" s="32"/>
      <c r="D208" s="32"/>
      <c r="E208" s="32"/>
      <c r="F208" s="36"/>
    </row>
    <row r="209" spans="1:6">
      <c r="A209" s="32"/>
      <c r="B209" s="32"/>
      <c r="C209" s="32"/>
      <c r="D209" s="32"/>
      <c r="E209" s="32"/>
      <c r="F209" s="36"/>
    </row>
    <row r="210" spans="1:6">
      <c r="A210" s="32"/>
      <c r="B210" s="32"/>
      <c r="C210" s="32"/>
      <c r="D210" s="32"/>
      <c r="E210" s="32"/>
      <c r="F210" s="36"/>
    </row>
    <row r="211" spans="1:6">
      <c r="A211" s="32"/>
      <c r="B211" s="32"/>
      <c r="C211" s="32"/>
      <c r="D211" s="32"/>
      <c r="E211" s="32"/>
      <c r="F211" s="36"/>
    </row>
    <row r="212" spans="1:6">
      <c r="A212" s="32"/>
      <c r="B212" s="32"/>
      <c r="C212" s="32"/>
      <c r="D212" s="32"/>
      <c r="E212" s="32"/>
      <c r="F212" s="36"/>
    </row>
    <row r="213" spans="1:6">
      <c r="A213" s="32"/>
      <c r="B213" s="32"/>
      <c r="C213" s="32"/>
      <c r="D213" s="32"/>
      <c r="E213" s="32"/>
      <c r="F213" s="36"/>
    </row>
    <row r="214" spans="1:6">
      <c r="A214" s="32"/>
      <c r="B214" s="32"/>
      <c r="C214" s="32"/>
      <c r="D214" s="32"/>
      <c r="E214" s="32"/>
      <c r="F214" s="36"/>
    </row>
    <row r="215" spans="1:6">
      <c r="A215" s="32"/>
      <c r="B215" s="32"/>
      <c r="C215" s="32"/>
      <c r="D215" s="32"/>
      <c r="E215" s="32"/>
      <c r="F215" s="36"/>
    </row>
    <row r="216" spans="1:6">
      <c r="A216" s="32"/>
      <c r="B216" s="32"/>
      <c r="C216" s="32"/>
      <c r="D216" s="32"/>
      <c r="E216" s="32"/>
      <c r="F216" s="36"/>
    </row>
    <row r="217" spans="1:6">
      <c r="A217" s="32"/>
      <c r="B217" s="32"/>
      <c r="C217" s="32"/>
      <c r="D217" s="32"/>
      <c r="E217" s="32"/>
      <c r="F217" s="36"/>
    </row>
    <row r="218" spans="1:6">
      <c r="A218" s="32"/>
      <c r="B218" s="32"/>
      <c r="C218" s="32"/>
      <c r="D218" s="32"/>
      <c r="E218" s="32"/>
      <c r="F218" s="36"/>
    </row>
    <row r="219" spans="1:6">
      <c r="A219" s="32"/>
      <c r="B219" s="32"/>
      <c r="C219" s="32"/>
      <c r="D219" s="32"/>
      <c r="E219" s="32"/>
      <c r="F219" s="36"/>
    </row>
    <row r="220" spans="1:6">
      <c r="A220" s="32"/>
      <c r="B220" s="32"/>
      <c r="C220" s="32"/>
      <c r="D220" s="32"/>
      <c r="E220" s="32"/>
      <c r="F220" s="36"/>
    </row>
    <row r="221" spans="1:6">
      <c r="A221" s="32"/>
      <c r="B221" s="32"/>
      <c r="C221" s="32"/>
      <c r="D221" s="32"/>
      <c r="E221" s="32"/>
      <c r="F221" s="36"/>
    </row>
    <row r="222" spans="1:6">
      <c r="A222" s="32"/>
      <c r="B222" s="32"/>
      <c r="C222" s="32"/>
      <c r="D222" s="32"/>
      <c r="E222" s="32"/>
      <c r="F222" s="36"/>
    </row>
    <row r="223" spans="1:6">
      <c r="A223" s="32"/>
      <c r="B223" s="32"/>
      <c r="C223" s="32"/>
      <c r="D223" s="32"/>
      <c r="E223" s="32"/>
      <c r="F223" s="36"/>
    </row>
    <row r="224" spans="1:6">
      <c r="A224" s="32"/>
      <c r="B224" s="32"/>
      <c r="C224" s="32"/>
      <c r="D224" s="32"/>
      <c r="E224" s="32"/>
      <c r="F224" s="36"/>
    </row>
    <row r="225" spans="1:6">
      <c r="A225" s="32"/>
      <c r="B225" s="32"/>
      <c r="C225" s="32"/>
      <c r="D225" s="32"/>
      <c r="E225" s="32"/>
      <c r="F225" s="36"/>
    </row>
    <row r="226" spans="1:6">
      <c r="A226" s="32"/>
      <c r="B226" s="32"/>
      <c r="C226" s="32"/>
      <c r="D226" s="32"/>
      <c r="E226" s="32"/>
      <c r="F226" s="36"/>
    </row>
    <row r="227" spans="1:6">
      <c r="A227" s="32"/>
      <c r="B227" s="32"/>
      <c r="C227" s="32"/>
      <c r="D227" s="32"/>
      <c r="E227" s="32"/>
      <c r="F227" s="36"/>
    </row>
    <row r="228" spans="1:6">
      <c r="A228" s="32"/>
      <c r="B228" s="32"/>
      <c r="C228" s="32"/>
      <c r="D228" s="32"/>
      <c r="E228" s="32"/>
      <c r="F228" s="36"/>
    </row>
    <row r="229" spans="1:6">
      <c r="A229" s="32"/>
      <c r="B229" s="32"/>
      <c r="C229" s="32"/>
      <c r="D229" s="32"/>
      <c r="E229" s="32"/>
      <c r="F229" s="36"/>
    </row>
    <row r="230" spans="1:6">
      <c r="A230" s="32"/>
      <c r="B230" s="32"/>
      <c r="C230" s="32"/>
      <c r="D230" s="32"/>
      <c r="E230" s="32"/>
      <c r="F230" s="36"/>
    </row>
    <row r="231" spans="1:6">
      <c r="A231" s="32"/>
      <c r="B231" s="32"/>
      <c r="C231" s="32"/>
      <c r="D231" s="32"/>
      <c r="E231" s="32"/>
      <c r="F231" s="36"/>
    </row>
    <row r="232" spans="1:6">
      <c r="A232" s="32"/>
      <c r="B232" s="32"/>
      <c r="C232" s="32"/>
      <c r="D232" s="32"/>
      <c r="E232" s="32"/>
      <c r="F232" s="36"/>
    </row>
    <row r="233" spans="1:6">
      <c r="A233" s="32"/>
      <c r="B233" s="32"/>
      <c r="C233" s="32"/>
      <c r="D233" s="32"/>
      <c r="E233" s="32"/>
      <c r="F233" s="36"/>
    </row>
    <row r="234" spans="1:6">
      <c r="A234" s="32"/>
      <c r="B234" s="32"/>
      <c r="C234" s="32"/>
      <c r="D234" s="32"/>
      <c r="E234" s="32"/>
      <c r="F234" s="36"/>
    </row>
    <row r="235" spans="1:6">
      <c r="A235" s="32"/>
      <c r="B235" s="32"/>
      <c r="C235" s="32"/>
      <c r="D235" s="32"/>
      <c r="E235" s="32"/>
      <c r="F235" s="36"/>
    </row>
    <row r="236" spans="1:6">
      <c r="A236" s="32"/>
      <c r="B236" s="32"/>
      <c r="C236" s="32"/>
      <c r="D236" s="32"/>
      <c r="E236" s="32"/>
      <c r="F236" s="36"/>
    </row>
    <row r="237" spans="1:6">
      <c r="A237" s="32"/>
      <c r="B237" s="32"/>
      <c r="C237" s="32"/>
      <c r="D237" s="32"/>
      <c r="E237" s="32"/>
      <c r="F237" s="36"/>
    </row>
    <row r="238" spans="1:6">
      <c r="A238" s="32"/>
      <c r="B238" s="32"/>
      <c r="C238" s="32"/>
      <c r="D238" s="32"/>
      <c r="E238" s="32"/>
      <c r="F238" s="36"/>
    </row>
    <row r="239" spans="1:6">
      <c r="A239" s="32"/>
      <c r="B239" s="32"/>
      <c r="C239" s="32"/>
      <c r="D239" s="32"/>
      <c r="E239" s="32"/>
      <c r="F239" s="36"/>
    </row>
    <row r="240" spans="1:6">
      <c r="A240" s="32"/>
      <c r="B240" s="32"/>
      <c r="C240" s="32"/>
      <c r="D240" s="32"/>
      <c r="E240" s="32"/>
      <c r="F240" s="36"/>
    </row>
    <row r="241" spans="1:6">
      <c r="A241" s="32"/>
      <c r="B241" s="32"/>
      <c r="C241" s="32"/>
      <c r="D241" s="32"/>
      <c r="E241" s="32"/>
      <c r="F241" s="36"/>
    </row>
    <row r="242" spans="1:6">
      <c r="A242" s="32"/>
      <c r="B242" s="32"/>
      <c r="C242" s="32"/>
      <c r="D242" s="32"/>
      <c r="E242" s="32"/>
      <c r="F242" s="36"/>
    </row>
    <row r="243" spans="1:6">
      <c r="A243" s="32"/>
      <c r="B243" s="32"/>
      <c r="C243" s="32"/>
      <c r="D243" s="32"/>
      <c r="E243" s="32"/>
      <c r="F243" s="36"/>
    </row>
    <row r="244" spans="1:6">
      <c r="A244" s="32"/>
      <c r="B244" s="32"/>
      <c r="C244" s="32"/>
      <c r="D244" s="32"/>
      <c r="E244" s="32"/>
      <c r="F244" s="36"/>
    </row>
    <row r="245" spans="1:6">
      <c r="A245" s="32"/>
      <c r="B245" s="32"/>
      <c r="C245" s="32"/>
      <c r="D245" s="32"/>
      <c r="E245" s="32"/>
      <c r="F245" s="36"/>
    </row>
    <row r="246" spans="1:6">
      <c r="A246" s="32"/>
      <c r="B246" s="32"/>
      <c r="C246" s="32"/>
      <c r="D246" s="32"/>
      <c r="E246" s="32"/>
      <c r="F246" s="36"/>
    </row>
    <row r="247" spans="1:6">
      <c r="A247" s="32"/>
      <c r="B247" s="32"/>
      <c r="C247" s="32"/>
      <c r="D247" s="32"/>
      <c r="E247" s="32"/>
      <c r="F247" s="36"/>
    </row>
    <row r="248" spans="1:6">
      <c r="A248" s="32"/>
      <c r="B248" s="32"/>
      <c r="C248" s="32"/>
      <c r="D248" s="32"/>
      <c r="E248" s="32"/>
      <c r="F248" s="36"/>
    </row>
    <row r="249" spans="1:6">
      <c r="A249" s="32"/>
      <c r="B249" s="32"/>
      <c r="C249" s="32"/>
      <c r="D249" s="32"/>
      <c r="E249" s="32"/>
      <c r="F249" s="36"/>
    </row>
    <row r="250" spans="1:6">
      <c r="A250" s="32"/>
      <c r="B250" s="32"/>
      <c r="C250" s="32"/>
      <c r="D250" s="32"/>
      <c r="E250" s="32"/>
      <c r="F250" s="36"/>
    </row>
    <row r="251" spans="1:6">
      <c r="A251" s="32"/>
      <c r="B251" s="32"/>
      <c r="C251" s="32"/>
      <c r="D251" s="32"/>
      <c r="E251" s="32"/>
      <c r="F251" s="36"/>
    </row>
    <row r="252" spans="1:6">
      <c r="A252" s="32"/>
      <c r="B252" s="32"/>
      <c r="C252" s="32"/>
      <c r="D252" s="32"/>
      <c r="E252" s="32"/>
      <c r="F252" s="36"/>
    </row>
    <row r="253" spans="1:6">
      <c r="A253" s="32"/>
      <c r="B253" s="32"/>
      <c r="C253" s="32"/>
      <c r="D253" s="32"/>
      <c r="E253" s="32"/>
      <c r="F253" s="36"/>
    </row>
    <row r="254" spans="1:6">
      <c r="A254" s="32"/>
      <c r="B254" s="32"/>
      <c r="C254" s="32"/>
      <c r="D254" s="32"/>
      <c r="E254" s="32"/>
      <c r="F254" s="36"/>
    </row>
    <row r="255" spans="1:6">
      <c r="A255" s="32"/>
      <c r="B255" s="32"/>
      <c r="C255" s="32"/>
      <c r="D255" s="32"/>
      <c r="E255" s="32"/>
      <c r="F255" s="36"/>
    </row>
    <row r="256" spans="1:6">
      <c r="A256" s="32"/>
      <c r="B256" s="32"/>
      <c r="C256" s="32"/>
      <c r="D256" s="32"/>
      <c r="E256" s="32"/>
      <c r="F256" s="36"/>
    </row>
    <row r="257" spans="1:6">
      <c r="A257" s="32"/>
      <c r="B257" s="32"/>
      <c r="C257" s="32"/>
      <c r="D257" s="32"/>
      <c r="E257" s="32"/>
      <c r="F257" s="36"/>
    </row>
    <row r="258" spans="1:6">
      <c r="A258" s="32"/>
      <c r="B258" s="32"/>
      <c r="C258" s="32"/>
      <c r="D258" s="32"/>
      <c r="E258" s="32"/>
      <c r="F258" s="36"/>
    </row>
    <row r="259" spans="1:6">
      <c r="A259" s="32"/>
      <c r="B259" s="32"/>
      <c r="C259" s="32"/>
      <c r="D259" s="32"/>
      <c r="E259" s="32"/>
      <c r="F259" s="36"/>
    </row>
    <row r="260" spans="1:6">
      <c r="A260" s="32"/>
      <c r="B260" s="32"/>
      <c r="C260" s="32"/>
      <c r="D260" s="32"/>
      <c r="E260" s="32"/>
      <c r="F260" s="36"/>
    </row>
    <row r="261" spans="1:6">
      <c r="A261" s="32"/>
      <c r="B261" s="32"/>
      <c r="C261" s="32"/>
      <c r="D261" s="32"/>
      <c r="E261" s="32"/>
      <c r="F261" s="36"/>
    </row>
    <row r="262" spans="1:6">
      <c r="A262" s="32"/>
      <c r="B262" s="32"/>
      <c r="C262" s="32"/>
      <c r="D262" s="32"/>
      <c r="E262" s="32"/>
      <c r="F262" s="36"/>
    </row>
    <row r="263" spans="1:6">
      <c r="A263" s="32"/>
      <c r="B263" s="32"/>
      <c r="C263" s="32"/>
      <c r="D263" s="32"/>
      <c r="E263" s="32"/>
      <c r="F263" s="36"/>
    </row>
    <row r="264" spans="1:6">
      <c r="A264" s="32"/>
      <c r="B264" s="32"/>
      <c r="C264" s="32"/>
      <c r="D264" s="32"/>
      <c r="E264" s="32"/>
      <c r="F264" s="36"/>
    </row>
    <row r="265" spans="1:6">
      <c r="A265" s="32"/>
      <c r="B265" s="32"/>
      <c r="C265" s="32"/>
      <c r="D265" s="32"/>
      <c r="E265" s="32"/>
      <c r="F265" s="36"/>
    </row>
    <row r="266" spans="1:6">
      <c r="A266" s="32"/>
      <c r="B266" s="32"/>
      <c r="C266" s="32"/>
      <c r="D266" s="32"/>
      <c r="E266" s="32"/>
      <c r="F266" s="36"/>
    </row>
    <row r="267" spans="1:6">
      <c r="A267" s="32"/>
      <c r="B267" s="32"/>
      <c r="C267" s="32"/>
      <c r="D267" s="32"/>
      <c r="E267" s="32"/>
      <c r="F267" s="36"/>
    </row>
    <row r="268" spans="1:6">
      <c r="A268" s="32"/>
      <c r="B268" s="32"/>
      <c r="C268" s="32"/>
      <c r="D268" s="32"/>
      <c r="E268" s="32"/>
      <c r="F268" s="36"/>
    </row>
    <row r="269" spans="1:6">
      <c r="A269" s="32"/>
      <c r="B269" s="32"/>
      <c r="C269" s="32"/>
      <c r="D269" s="32"/>
      <c r="E269" s="32"/>
      <c r="F269" s="36"/>
    </row>
    <row r="270" spans="1:6">
      <c r="A270" s="32"/>
      <c r="B270" s="32"/>
      <c r="C270" s="32"/>
      <c r="D270" s="32"/>
      <c r="E270" s="32"/>
      <c r="F270" s="36"/>
    </row>
    <row r="271" spans="1:6">
      <c r="A271" s="32"/>
      <c r="B271" s="32"/>
      <c r="C271" s="32"/>
      <c r="D271" s="32"/>
      <c r="E271" s="32"/>
      <c r="F271" s="36"/>
    </row>
    <row r="272" spans="1:6">
      <c r="A272" s="32"/>
      <c r="B272" s="32"/>
      <c r="C272" s="32"/>
      <c r="D272" s="32"/>
      <c r="E272" s="32"/>
      <c r="F272" s="36"/>
    </row>
    <row r="273" spans="1:6">
      <c r="A273" s="32"/>
      <c r="B273" s="32"/>
      <c r="C273" s="32"/>
      <c r="D273" s="32"/>
      <c r="E273" s="32"/>
      <c r="F273" s="36"/>
    </row>
    <row r="274" spans="1:6">
      <c r="A274" s="32"/>
      <c r="B274" s="32"/>
      <c r="C274" s="32"/>
      <c r="D274" s="32"/>
      <c r="E274" s="32"/>
      <c r="F274" s="36"/>
    </row>
    <row r="275" spans="1:6">
      <c r="A275" s="32"/>
      <c r="B275" s="32"/>
      <c r="C275" s="32"/>
      <c r="D275" s="32"/>
      <c r="E275" s="32"/>
      <c r="F275" s="36"/>
    </row>
    <row r="276" spans="1:6">
      <c r="A276" s="32"/>
      <c r="B276" s="32"/>
      <c r="C276" s="32"/>
      <c r="D276" s="32"/>
      <c r="E276" s="32"/>
      <c r="F276" s="36"/>
    </row>
    <row r="277" spans="1:6">
      <c r="A277" s="32"/>
      <c r="B277" s="32"/>
      <c r="C277" s="32"/>
      <c r="D277" s="32"/>
      <c r="E277" s="32"/>
      <c r="F277" s="36"/>
    </row>
    <row r="278" spans="1:6">
      <c r="A278" s="32"/>
      <c r="B278" s="32"/>
      <c r="C278" s="32"/>
      <c r="D278" s="32"/>
      <c r="E278" s="32"/>
      <c r="F278" s="36"/>
    </row>
    <row r="279" spans="1:6">
      <c r="A279" s="32"/>
      <c r="B279" s="32"/>
      <c r="C279" s="32"/>
      <c r="D279" s="32"/>
      <c r="E279" s="32"/>
      <c r="F279" s="36"/>
    </row>
    <row r="280" spans="1:6">
      <c r="A280" s="32"/>
      <c r="B280" s="32"/>
      <c r="C280" s="32"/>
      <c r="D280" s="32"/>
      <c r="E280" s="32"/>
      <c r="F280" s="36"/>
    </row>
    <row r="281" spans="1:6">
      <c r="A281" s="32"/>
      <c r="B281" s="32"/>
      <c r="C281" s="32"/>
      <c r="D281" s="32"/>
      <c r="E281" s="32"/>
      <c r="F281" s="36"/>
    </row>
    <row r="282" spans="1:6">
      <c r="A282" s="32"/>
      <c r="B282" s="32"/>
      <c r="C282" s="32"/>
      <c r="D282" s="32"/>
      <c r="E282" s="32"/>
      <c r="F282" s="36"/>
    </row>
    <row r="283" spans="1:6">
      <c r="A283" s="32"/>
      <c r="B283" s="32"/>
      <c r="C283" s="32"/>
      <c r="D283" s="32"/>
      <c r="E283" s="32"/>
      <c r="F283" s="36"/>
    </row>
    <row r="284" spans="1:6">
      <c r="A284" s="32"/>
      <c r="B284" s="32"/>
      <c r="C284" s="32"/>
      <c r="D284" s="32"/>
      <c r="E284" s="32"/>
      <c r="F284" s="36"/>
    </row>
    <row r="285" spans="1:6">
      <c r="A285" s="32"/>
      <c r="B285" s="32"/>
      <c r="C285" s="32"/>
      <c r="D285" s="32"/>
      <c r="E285" s="32"/>
      <c r="F285" s="36"/>
    </row>
    <row r="286" spans="1:6">
      <c r="A286" s="32"/>
      <c r="B286" s="32"/>
      <c r="C286" s="32"/>
      <c r="D286" s="32"/>
      <c r="E286" s="32"/>
      <c r="F286" s="36"/>
    </row>
    <row r="287" spans="1:6">
      <c r="A287" s="32"/>
      <c r="B287" s="32"/>
      <c r="C287" s="32"/>
      <c r="D287" s="32"/>
      <c r="E287" s="32"/>
      <c r="F287" s="36"/>
    </row>
    <row r="288" spans="1:6">
      <c r="A288" s="32"/>
      <c r="B288" s="32"/>
      <c r="C288" s="32"/>
      <c r="D288" s="32"/>
      <c r="E288" s="32"/>
      <c r="F288" s="36"/>
    </row>
    <row r="289" spans="1:6">
      <c r="A289" s="32"/>
      <c r="B289" s="32"/>
      <c r="C289" s="32"/>
      <c r="D289" s="32"/>
      <c r="E289" s="32"/>
      <c r="F289" s="36"/>
    </row>
    <row r="290" spans="1:6">
      <c r="A290" s="32"/>
      <c r="B290" s="32"/>
      <c r="C290" s="32"/>
      <c r="D290" s="32"/>
      <c r="E290" s="32"/>
      <c r="F290" s="36"/>
    </row>
    <row r="291" spans="1:6">
      <c r="A291" s="32"/>
      <c r="B291" s="32"/>
      <c r="C291" s="32"/>
      <c r="D291" s="32"/>
      <c r="E291" s="32"/>
      <c r="F291" s="36"/>
    </row>
    <row r="292" spans="1:6">
      <c r="A292" s="32"/>
      <c r="B292" s="32"/>
      <c r="C292" s="32"/>
      <c r="D292" s="32"/>
      <c r="E292" s="32"/>
      <c r="F292" s="36"/>
    </row>
    <row r="293" spans="1:6">
      <c r="A293" s="32"/>
      <c r="B293" s="32"/>
      <c r="C293" s="32"/>
      <c r="D293" s="32"/>
      <c r="E293" s="32"/>
      <c r="F293" s="36"/>
    </row>
    <row r="294" spans="1:6">
      <c r="A294" s="32"/>
      <c r="B294" s="32"/>
      <c r="C294" s="32"/>
      <c r="D294" s="32"/>
      <c r="E294" s="32"/>
      <c r="F294" s="36"/>
    </row>
    <row r="295" spans="1:6">
      <c r="A295" s="32"/>
      <c r="B295" s="32"/>
      <c r="C295" s="32"/>
      <c r="D295" s="32"/>
      <c r="E295" s="32"/>
      <c r="F295" s="36"/>
    </row>
    <row r="296" spans="1:6">
      <c r="A296" s="32"/>
      <c r="B296" s="32"/>
      <c r="C296" s="32"/>
      <c r="D296" s="32"/>
      <c r="E296" s="32"/>
      <c r="F296" s="36"/>
    </row>
    <row r="297" spans="1:6">
      <c r="A297" s="32"/>
      <c r="B297" s="32"/>
      <c r="C297" s="32"/>
      <c r="D297" s="32"/>
      <c r="E297" s="32"/>
      <c r="F297" s="36"/>
    </row>
    <row r="298" spans="1:6">
      <c r="A298" s="32"/>
      <c r="B298" s="32"/>
      <c r="C298" s="32"/>
      <c r="D298" s="32"/>
      <c r="E298" s="32"/>
      <c r="F298" s="36"/>
    </row>
    <row r="299" spans="1:6">
      <c r="A299" s="32"/>
      <c r="B299" s="32"/>
      <c r="C299" s="32"/>
      <c r="D299" s="32"/>
      <c r="E299" s="32"/>
      <c r="F299" s="36"/>
    </row>
    <row r="300" spans="1:6">
      <c r="A300" s="32"/>
      <c r="B300" s="32"/>
      <c r="C300" s="32"/>
      <c r="D300" s="32"/>
      <c r="E300" s="32"/>
      <c r="F300" s="36"/>
    </row>
    <row r="301" spans="1:6">
      <c r="A301" s="32"/>
      <c r="B301" s="32"/>
      <c r="C301" s="32"/>
      <c r="D301" s="32"/>
      <c r="E301" s="32"/>
      <c r="F301" s="36"/>
    </row>
    <row r="302" spans="1:6">
      <c r="A302" s="32"/>
      <c r="B302" s="32"/>
      <c r="C302" s="32"/>
      <c r="D302" s="32"/>
      <c r="E302" s="32"/>
      <c r="F302" s="36"/>
    </row>
    <row r="303" spans="1:6">
      <c r="A303" s="32"/>
      <c r="B303" s="32"/>
      <c r="C303" s="32"/>
      <c r="D303" s="32"/>
      <c r="E303" s="32"/>
      <c r="F303" s="36"/>
    </row>
    <row r="304" spans="1:6">
      <c r="A304" s="32"/>
      <c r="B304" s="32"/>
      <c r="C304" s="32"/>
      <c r="D304" s="32"/>
      <c r="E304" s="32"/>
      <c r="F304" s="36"/>
    </row>
    <row r="305" spans="1:6">
      <c r="A305" s="32"/>
      <c r="B305" s="32"/>
      <c r="C305" s="32"/>
      <c r="D305" s="32"/>
      <c r="E305" s="32"/>
      <c r="F305" s="36"/>
    </row>
    <row r="306" spans="1:6">
      <c r="A306" s="32"/>
      <c r="B306" s="32"/>
      <c r="C306" s="32"/>
      <c r="D306" s="32"/>
      <c r="E306" s="32"/>
      <c r="F306" s="36"/>
    </row>
    <row r="307" spans="1:6">
      <c r="A307" s="32"/>
      <c r="B307" s="32"/>
      <c r="C307" s="32"/>
      <c r="D307" s="32"/>
      <c r="E307" s="32"/>
      <c r="F307" s="36"/>
    </row>
    <row r="308" spans="1:6">
      <c r="A308" s="32"/>
      <c r="B308" s="32"/>
      <c r="C308" s="32"/>
      <c r="D308" s="32"/>
      <c r="E308" s="32"/>
      <c r="F308" s="36"/>
    </row>
    <row r="309" spans="1:6">
      <c r="A309" s="32"/>
      <c r="B309" s="32"/>
      <c r="C309" s="32"/>
      <c r="D309" s="32"/>
      <c r="E309" s="32"/>
      <c r="F309" s="36"/>
    </row>
    <row r="310" spans="1:6">
      <c r="A310" s="32"/>
      <c r="B310" s="32"/>
      <c r="C310" s="32"/>
      <c r="D310" s="32"/>
      <c r="E310" s="32"/>
      <c r="F310" s="36"/>
    </row>
    <row r="311" spans="1:6">
      <c r="A311" s="32"/>
      <c r="B311" s="32"/>
      <c r="C311" s="32"/>
      <c r="D311" s="32"/>
      <c r="E311" s="32"/>
      <c r="F311" s="36"/>
    </row>
    <row r="312" spans="1:6">
      <c r="A312" s="32"/>
      <c r="B312" s="32"/>
      <c r="C312" s="32"/>
      <c r="D312" s="32"/>
      <c r="E312" s="32"/>
      <c r="F312" s="36"/>
    </row>
    <row r="313" spans="1:6">
      <c r="A313" s="32"/>
      <c r="B313" s="32"/>
      <c r="C313" s="32"/>
      <c r="D313" s="32"/>
      <c r="E313" s="32"/>
      <c r="F313" s="36"/>
    </row>
    <row r="314" spans="1:6">
      <c r="A314" s="32"/>
      <c r="B314" s="32"/>
      <c r="C314" s="32"/>
      <c r="D314" s="32"/>
      <c r="E314" s="32"/>
      <c r="F314" s="36"/>
    </row>
    <row r="315" spans="1:6">
      <c r="A315" s="32"/>
      <c r="B315" s="32"/>
      <c r="C315" s="32"/>
      <c r="D315" s="32"/>
      <c r="E315" s="32"/>
      <c r="F315" s="36"/>
    </row>
    <row r="316" spans="1:6">
      <c r="A316" s="32"/>
      <c r="B316" s="32"/>
      <c r="C316" s="32"/>
      <c r="D316" s="32"/>
      <c r="E316" s="32"/>
      <c r="F316" s="36"/>
    </row>
    <row r="317" spans="1:6">
      <c r="A317" s="32"/>
      <c r="B317" s="32"/>
      <c r="C317" s="32"/>
      <c r="D317" s="32"/>
      <c r="E317" s="32"/>
      <c r="F317" s="36"/>
    </row>
    <row r="318" spans="1:6">
      <c r="A318" s="32"/>
      <c r="B318" s="32"/>
      <c r="C318" s="32"/>
      <c r="D318" s="32"/>
      <c r="E318" s="32"/>
      <c r="F318" s="36"/>
    </row>
    <row r="319" spans="1:6">
      <c r="A319" s="32"/>
      <c r="B319" s="32"/>
      <c r="C319" s="32"/>
      <c r="D319" s="32"/>
      <c r="E319" s="32"/>
      <c r="F319" s="36"/>
    </row>
    <row r="320" spans="1:6">
      <c r="A320" s="32"/>
      <c r="B320" s="32"/>
      <c r="C320" s="32"/>
      <c r="D320" s="32"/>
      <c r="E320" s="32"/>
      <c r="F320" s="36"/>
    </row>
    <row r="321" spans="1:6">
      <c r="A321" s="32"/>
      <c r="B321" s="32"/>
      <c r="C321" s="32"/>
      <c r="D321" s="32"/>
      <c r="E321" s="32"/>
      <c r="F321" s="36"/>
    </row>
    <row r="322" spans="1:6">
      <c r="A322" s="32"/>
      <c r="B322" s="32"/>
      <c r="C322" s="32"/>
      <c r="D322" s="32"/>
      <c r="E322" s="32"/>
      <c r="F322" s="36"/>
    </row>
    <row r="323" spans="1:6">
      <c r="A323" s="32"/>
      <c r="B323" s="32"/>
      <c r="C323" s="32"/>
      <c r="D323" s="32"/>
      <c r="E323" s="32"/>
      <c r="F323" s="36"/>
    </row>
    <row r="324" spans="1:6">
      <c r="A324" s="32"/>
      <c r="B324" s="32"/>
      <c r="C324" s="32"/>
      <c r="D324" s="32"/>
      <c r="E324" s="32"/>
      <c r="F324" s="36"/>
    </row>
    <row r="325" spans="1:6">
      <c r="A325" s="32"/>
      <c r="B325" s="32"/>
      <c r="C325" s="32"/>
      <c r="D325" s="32"/>
      <c r="E325" s="32"/>
      <c r="F325" s="36"/>
    </row>
    <row r="326" spans="1:6">
      <c r="A326" s="32"/>
      <c r="B326" s="32"/>
      <c r="C326" s="32"/>
      <c r="D326" s="32"/>
      <c r="E326" s="32"/>
      <c r="F326" s="36"/>
    </row>
    <row r="327" spans="1:6">
      <c r="A327" s="32"/>
      <c r="B327" s="32"/>
      <c r="C327" s="32"/>
      <c r="D327" s="32"/>
      <c r="E327" s="32"/>
      <c r="F327" s="36"/>
    </row>
    <row r="328" spans="1:6">
      <c r="A328" s="32"/>
      <c r="B328" s="32"/>
      <c r="C328" s="32"/>
      <c r="D328" s="32"/>
      <c r="E328" s="32"/>
      <c r="F328" s="36"/>
    </row>
    <row r="329" spans="1:6">
      <c r="A329" s="32"/>
      <c r="B329" s="32"/>
      <c r="C329" s="32"/>
      <c r="D329" s="32"/>
      <c r="E329" s="32"/>
      <c r="F329" s="36"/>
    </row>
    <row r="330" spans="1:6">
      <c r="A330" s="32"/>
      <c r="B330" s="32"/>
      <c r="C330" s="32"/>
      <c r="D330" s="32"/>
      <c r="E330" s="32"/>
      <c r="F330" s="36"/>
    </row>
    <row r="331" spans="1:6">
      <c r="A331" s="32"/>
      <c r="B331" s="32"/>
      <c r="C331" s="32"/>
      <c r="D331" s="32"/>
      <c r="E331" s="32"/>
      <c r="F331" s="36"/>
    </row>
    <row r="332" spans="1:6">
      <c r="A332" s="32"/>
      <c r="B332" s="32"/>
      <c r="C332" s="32"/>
      <c r="D332" s="32"/>
      <c r="E332" s="32"/>
      <c r="F332" s="36"/>
    </row>
    <row r="333" spans="1:6">
      <c r="A333" s="32"/>
      <c r="B333" s="32"/>
      <c r="C333" s="32"/>
      <c r="D333" s="32"/>
      <c r="E333" s="32"/>
      <c r="F333" s="36"/>
    </row>
    <row r="334" spans="1:6">
      <c r="A334" s="32"/>
      <c r="B334" s="32"/>
      <c r="C334" s="32"/>
      <c r="D334" s="32"/>
      <c r="E334" s="32"/>
      <c r="F334" s="36"/>
    </row>
    <row r="335" spans="1:6">
      <c r="A335" s="32"/>
      <c r="B335" s="32"/>
      <c r="C335" s="32"/>
      <c r="D335" s="32"/>
      <c r="E335" s="32"/>
      <c r="F335" s="36"/>
    </row>
    <row r="336" spans="1:6">
      <c r="A336" s="32"/>
      <c r="B336" s="32"/>
      <c r="C336" s="32"/>
      <c r="D336" s="32"/>
      <c r="E336" s="32"/>
      <c r="F336" s="36"/>
    </row>
    <row r="337" spans="1:6">
      <c r="A337" s="32"/>
      <c r="B337" s="32"/>
      <c r="C337" s="32"/>
      <c r="D337" s="32"/>
      <c r="E337" s="32"/>
      <c r="F337" s="36"/>
    </row>
    <row r="338" spans="1:6">
      <c r="A338" s="32"/>
      <c r="B338" s="32"/>
      <c r="C338" s="32"/>
      <c r="D338" s="32"/>
      <c r="E338" s="32"/>
      <c r="F338" s="36"/>
    </row>
    <row r="339" spans="1:6">
      <c r="A339" s="32"/>
      <c r="B339" s="32"/>
      <c r="C339" s="32"/>
      <c r="D339" s="32"/>
      <c r="E339" s="32"/>
      <c r="F339" s="36"/>
    </row>
    <row r="340" spans="1:6">
      <c r="A340" s="32"/>
      <c r="B340" s="32"/>
      <c r="C340" s="32"/>
      <c r="D340" s="32"/>
      <c r="E340" s="32"/>
      <c r="F340" s="36"/>
    </row>
    <row r="341" spans="1:6">
      <c r="A341" s="32"/>
      <c r="B341" s="32"/>
      <c r="C341" s="32"/>
      <c r="D341" s="32"/>
      <c r="E341" s="32"/>
      <c r="F341" s="36"/>
    </row>
    <row r="342" spans="1:6">
      <c r="A342" s="32"/>
      <c r="B342" s="32"/>
      <c r="C342" s="32"/>
      <c r="D342" s="32"/>
      <c r="E342" s="32"/>
      <c r="F342" s="36"/>
    </row>
  </sheetData>
  <sortState ref="A28:E184">
    <sortCondition ref="A28:A184"/>
    <sortCondition ref="B28:B184"/>
  </sortState>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40D48C9728A1D448E8EFB12B5FC8877" ma:contentTypeVersion="0" ma:contentTypeDescription="Crie um novo documento." ma:contentTypeScope="" ma:versionID="00287dc5c455ddebdc488126797f3398">
  <xsd:schema xmlns:xsd="http://www.w3.org/2001/XMLSchema" xmlns:xs="http://www.w3.org/2001/XMLSchema" xmlns:p="http://schemas.microsoft.com/office/2006/metadata/properties" targetNamespace="http://schemas.microsoft.com/office/2006/metadata/properties" ma:root="true" ma:fieldsID="acb358bd3c4937f8c29cf3e1e721863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434C68-0998-4D71-A082-20B68F6FD573}"/>
</file>

<file path=customXml/itemProps2.xml><?xml version="1.0" encoding="utf-8"?>
<ds:datastoreItem xmlns:ds="http://schemas.openxmlformats.org/officeDocument/2006/customXml" ds:itemID="{CFAC812F-CF8D-44B1-9C69-BA7BFCAB8BA7}"/>
</file>

<file path=customXml/itemProps3.xml><?xml version="1.0" encoding="utf-8"?>
<ds:datastoreItem xmlns:ds="http://schemas.openxmlformats.org/officeDocument/2006/customXml" ds:itemID="{6B2F0070-736B-429D-AE26-C56A050D31DB}"/>
</file>

<file path=docProps/app.xml><?xml version="1.0" encoding="utf-8"?>
<Properties xmlns="http://schemas.openxmlformats.org/officeDocument/2006/extended-properties" xmlns:vt="http://schemas.openxmlformats.org/officeDocument/2006/docPropsVTypes">
  <Application>Microsoft Excel Web App</Application>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SIMONE RIBEIRO</dc:creator>
  <cp:lastModifiedBy>Fernando Brunetti</cp:lastModifiedBy>
  <dcterms:created xsi:type="dcterms:W3CDTF">2012-10-04T19:28:04Z</dcterms:created>
  <dcterms:modified xsi:type="dcterms:W3CDTF">2015-06-23T13:31:14Z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0x010100A40D48C9728A1D448E8EFB12B5FC8877</vt:lpwstr>
  </property>
</Properties>
</file>