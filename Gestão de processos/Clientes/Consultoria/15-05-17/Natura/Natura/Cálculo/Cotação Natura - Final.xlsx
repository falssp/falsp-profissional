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con\Desktop\CHACON - Consultoria Ilimitada\Projetos e Prospects\Natura\Propostas e Orçamentos\"/>
    </mc:Choice>
  </mc:AlternateContent>
  <bookViews>
    <workbookView xWindow="0" yWindow="0" windowWidth="20325" windowHeight="7560"/>
  </bookViews>
  <sheets>
    <sheet name="Natura - Final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8" i="1" l="1"/>
  <c r="F12" i="1"/>
  <c r="G12" i="1"/>
  <c r="L6" i="1" l="1"/>
  <c r="L19" i="1"/>
  <c r="G13" i="1"/>
  <c r="F13" i="1"/>
  <c r="G11" i="1"/>
  <c r="F11" i="1"/>
  <c r="G10" i="1"/>
  <c r="F10" i="1"/>
  <c r="L7" i="1"/>
  <c r="L5" i="1"/>
  <c r="L4" i="1"/>
  <c r="C17" i="1" l="1"/>
  <c r="L14" i="1"/>
  <c r="L15" i="1" s="1"/>
  <c r="L16" i="1" s="1"/>
  <c r="L17" i="1" l="1"/>
  <c r="H17" i="1" s="1"/>
  <c r="C16" i="1" l="1"/>
  <c r="C18" i="1" s="1"/>
  <c r="C19" i="1" s="1"/>
  <c r="C20" i="1" s="1"/>
  <c r="H20" i="1"/>
  <c r="L18" i="1"/>
  <c r="H18" i="1"/>
  <c r="L20" i="1"/>
  <c r="H19" i="1"/>
  <c r="E20" i="1" l="1"/>
</calcChain>
</file>

<file path=xl/comments1.xml><?xml version="1.0" encoding="utf-8"?>
<comments xmlns="http://schemas.openxmlformats.org/spreadsheetml/2006/main">
  <authors>
    <author>Adolpho Chacon</author>
  </authors>
  <commentList>
    <comment ref="B7" authorId="0" shapeId="0">
      <text>
        <r>
          <rPr>
            <b/>
            <sz val="9"/>
            <color indexed="81"/>
            <rFont val="Segoe UI"/>
            <charset val="1"/>
          </rPr>
          <t>Adolpho Chacon:</t>
        </r>
        <r>
          <rPr>
            <sz val="9"/>
            <color indexed="81"/>
            <rFont val="Segoe UI"/>
            <charset val="1"/>
          </rPr>
          <t xml:space="preserve">
</t>
        </r>
      </text>
    </comment>
    <comment ref="C17" authorId="0" shapeId="0">
      <text>
        <r>
          <rPr>
            <b/>
            <sz val="9"/>
            <color indexed="81"/>
            <rFont val="Segoe UI"/>
            <family val="2"/>
          </rPr>
          <t xml:space="preserve">3 meses cheios X 2,5 de alocação
</t>
        </r>
      </text>
    </comment>
  </commentList>
</comments>
</file>

<file path=xl/sharedStrings.xml><?xml version="1.0" encoding="utf-8"?>
<sst xmlns="http://schemas.openxmlformats.org/spreadsheetml/2006/main" count="43" uniqueCount="36">
  <si>
    <t>Receitas</t>
  </si>
  <si>
    <t>Meses</t>
  </si>
  <si>
    <t>Recurso</t>
  </si>
  <si>
    <t>Taxa Hora</t>
  </si>
  <si>
    <t>junho</t>
  </si>
  <si>
    <t>julho</t>
  </si>
  <si>
    <t>agosto</t>
  </si>
  <si>
    <t>Total</t>
  </si>
  <si>
    <t>Consultor Líder</t>
  </si>
  <si>
    <t>Consultor Executor</t>
  </si>
  <si>
    <t>Consultor QA</t>
  </si>
  <si>
    <t>Analista Apoio</t>
  </si>
  <si>
    <t>Remuneração Equipe</t>
  </si>
  <si>
    <t>Hora Paga</t>
  </si>
  <si>
    <t>% Pago</t>
  </si>
  <si>
    <t>Mensal</t>
  </si>
  <si>
    <t>Cálculos</t>
  </si>
  <si>
    <t>Resultado</t>
  </si>
  <si>
    <t>Faturamento</t>
  </si>
  <si>
    <t>Comissão</t>
  </si>
  <si>
    <t>Faturamento Projeto</t>
  </si>
  <si>
    <t>Parcela</t>
  </si>
  <si>
    <t>Percentual</t>
  </si>
  <si>
    <t>Valor</t>
  </si>
  <si>
    <t>Impostos</t>
  </si>
  <si>
    <t>Remuneração Projeto</t>
  </si>
  <si>
    <t>Setup</t>
  </si>
  <si>
    <t>TOTAL</t>
  </si>
  <si>
    <t>30 dias</t>
  </si>
  <si>
    <t>Média Mensal</t>
  </si>
  <si>
    <t>Margem</t>
  </si>
  <si>
    <t>60 dias</t>
  </si>
  <si>
    <t>Horas</t>
  </si>
  <si>
    <t>Resultado Mensal</t>
  </si>
  <si>
    <t>Aceite</t>
  </si>
  <si>
    <t>Média 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</si>
</sst>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2" borderId="0" xfId="0" applyFill="1"/>
    <xf numFmtId="44" fontId="0" fillId="2" borderId="0" xfId="2" applyFont="1" applyFill="1"/>
    <xf numFmtId="0" fontId="0" fillId="2" borderId="0" xfId="0" applyFill="1" applyAlignment="1">
      <alignment horizontal="center"/>
    </xf>
    <xf numFmtId="44" fontId="0" fillId="2" borderId="0" xfId="0" applyNumberFormat="1" applyFill="1"/>
    <xf numFmtId="44" fontId="0" fillId="0" borderId="0" xfId="0" applyNumberFormat="1"/>
    <xf numFmtId="10" fontId="0" fillId="0" borderId="0" xfId="3" applyNumberFormat="1" applyFont="1"/>
    <xf numFmtId="164" fontId="0" fillId="2" borderId="0" xfId="3" applyNumberFormat="1" applyFont="1" applyFill="1"/>
    <xf numFmtId="10" fontId="2" fillId="3" borderId="0" xfId="0" applyNumberFormat="1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44" fontId="0" fillId="2" borderId="0" xfId="2" applyNumberFormat="1" applyFont="1" applyFill="1"/>
    <xf numFmtId="0" fontId="0" fillId="2" borderId="0" xfId="0" applyFill="1" applyAlignment="1">
      <alignment horizontal="left"/>
    </xf>
    <xf numFmtId="9" fontId="0" fillId="2" borderId="0" xfId="2" applyNumberFormat="1" applyFont="1" applyFill="1" applyAlignment="1">
      <alignment horizontal="center"/>
    </xf>
    <xf numFmtId="0" fontId="3" fillId="2" borderId="0" xfId="0" applyFont="1" applyFill="1"/>
    <xf numFmtId="44" fontId="3" fillId="2" borderId="0" xfId="0" applyNumberFormat="1" applyFont="1" applyFill="1"/>
    <xf numFmtId="9" fontId="0" fillId="2" borderId="0" xfId="3" applyFont="1" applyFill="1" applyAlignment="1">
      <alignment horizontal="center"/>
    </xf>
    <xf numFmtId="0" fontId="5" fillId="2" borderId="0" xfId="0" applyFont="1" applyFill="1" applyAlignment="1">
      <alignment horizontal="center"/>
    </xf>
    <xf numFmtId="44" fontId="6" fillId="4" borderId="0" xfId="0" applyNumberFormat="1" applyFont="1" applyFill="1"/>
    <xf numFmtId="0" fontId="4" fillId="0" borderId="0" xfId="0" applyFont="1" applyAlignment="1">
      <alignment horizontal="center"/>
    </xf>
    <xf numFmtId="9" fontId="0" fillId="2" borderId="0" xfId="0" applyNumberFormat="1" applyFill="1" applyAlignment="1">
      <alignment horizontal="center"/>
    </xf>
    <xf numFmtId="0" fontId="0" fillId="2" borderId="0" xfId="1" applyNumberFormat="1" applyFont="1" applyFill="1" applyAlignment="1">
      <alignment horizontal="center"/>
    </xf>
    <xf numFmtId="0" fontId="0" fillId="0" borderId="0" xfId="0" applyNumberFormat="1"/>
    <xf numFmtId="44" fontId="7" fillId="2" borderId="0" xfId="0" applyNumberFormat="1" applyFont="1" applyFill="1"/>
    <xf numFmtId="164" fontId="4" fillId="0" borderId="0" xfId="3" applyNumberFormat="1" applyFont="1" applyAlignment="1">
      <alignment horizontal="center"/>
    </xf>
    <xf numFmtId="0" fontId="0" fillId="2" borderId="0" xfId="0" applyFont="1" applyFill="1" applyAlignment="1">
      <alignment horizontal="left"/>
    </xf>
    <xf numFmtId="9" fontId="0" fillId="0" borderId="0" xfId="2" applyNumberFormat="1" applyFont="1" applyAlignment="1"/>
    <xf numFmtId="0" fontId="5" fillId="0" borderId="0" xfId="0" applyFon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1">
    <dxf>
      <font>
        <b/>
        <i val="0"/>
        <strike val="0"/>
        <color rgb="FF0070C0"/>
      </font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N23"/>
  <sheetViews>
    <sheetView tabSelected="1" zoomScaleNormal="100" workbookViewId="0">
      <selection activeCell="N16" sqref="N16"/>
    </sheetView>
  </sheetViews>
  <sheetFormatPr defaultRowHeight="15" x14ac:dyDescent="0.25"/>
  <cols>
    <col min="1" max="1" width="2.85546875" customWidth="1"/>
    <col min="2" max="2" width="21.28515625" customWidth="1"/>
    <col min="3" max="3" width="14.42578125" bestFit="1" customWidth="1"/>
    <col min="4" max="4" width="1.7109375" customWidth="1"/>
    <col min="5" max="9" width="13.7109375" customWidth="1"/>
    <col min="10" max="10" width="13.5703125" bestFit="1" customWidth="1"/>
    <col min="11" max="11" width="10.7109375" bestFit="1" customWidth="1"/>
    <col min="12" max="12" width="26.28515625" bestFit="1" customWidth="1"/>
    <col min="13" max="13" width="2.7109375" customWidth="1"/>
    <col min="14" max="14" width="10.7109375" bestFit="1" customWidth="1"/>
    <col min="15" max="15" width="11.140625" bestFit="1" customWidth="1"/>
    <col min="17" max="17" width="13.28515625" bestFit="1" customWidth="1"/>
    <col min="18" max="18" width="10.5703125" bestFit="1" customWidth="1"/>
  </cols>
  <sheetData>
    <row r="1" spans="2:12" x14ac:dyDescent="0.25">
      <c r="E1" s="1"/>
      <c r="F1" s="1"/>
      <c r="G1" s="1"/>
      <c r="H1" s="1"/>
      <c r="I1" s="2"/>
    </row>
    <row r="2" spans="2:12" x14ac:dyDescent="0.25">
      <c r="B2" s="3" t="s">
        <v>0</v>
      </c>
      <c r="C2" s="3"/>
      <c r="D2" s="3"/>
      <c r="E2" s="3"/>
      <c r="F2" s="3"/>
      <c r="G2" s="3"/>
      <c r="H2" s="3"/>
      <c r="I2" s="3"/>
      <c r="J2" s="3"/>
      <c r="K2" s="4" t="s">
        <v>1</v>
      </c>
      <c r="L2" s="5">
        <v>2.5</v>
      </c>
    </row>
    <row r="3" spans="2:12" s="2" customFormat="1" x14ac:dyDescent="0.25">
      <c r="B3" s="6" t="s">
        <v>2</v>
      </c>
      <c r="C3" s="6" t="s">
        <v>3</v>
      </c>
      <c r="D3" s="6"/>
      <c r="E3" s="6" t="s">
        <v>4</v>
      </c>
      <c r="F3" s="6" t="s">
        <v>5</v>
      </c>
      <c r="G3" s="6" t="s">
        <v>6</v>
      </c>
      <c r="H3" s="6"/>
      <c r="I3" s="6"/>
      <c r="J3" s="6"/>
      <c r="K3" s="6"/>
      <c r="L3" s="6" t="s">
        <v>7</v>
      </c>
    </row>
    <row r="4" spans="2:12" x14ac:dyDescent="0.25">
      <c r="B4" s="7" t="s">
        <v>8</v>
      </c>
      <c r="C4" s="8">
        <v>127</v>
      </c>
      <c r="D4" s="7"/>
      <c r="E4" s="9">
        <v>168</v>
      </c>
      <c r="F4" s="9">
        <v>168</v>
      </c>
      <c r="G4" s="9">
        <v>80</v>
      </c>
      <c r="H4" s="9"/>
      <c r="I4" s="9"/>
      <c r="J4" s="9"/>
      <c r="K4" s="7"/>
      <c r="L4" s="10">
        <f>SUM(E4:J4)*C4</f>
        <v>52832</v>
      </c>
    </row>
    <row r="5" spans="2:12" x14ac:dyDescent="0.25">
      <c r="B5" s="7" t="s">
        <v>9</v>
      </c>
      <c r="C5" s="8">
        <v>100</v>
      </c>
      <c r="D5" s="7"/>
      <c r="E5" s="9">
        <v>168</v>
      </c>
      <c r="F5" s="9">
        <v>168</v>
      </c>
      <c r="G5" s="9">
        <v>80</v>
      </c>
      <c r="H5" s="9"/>
      <c r="I5" s="9"/>
      <c r="J5" s="9"/>
      <c r="K5" s="7"/>
      <c r="L5" s="10">
        <f>SUM(E5:J5)*C5</f>
        <v>41600</v>
      </c>
    </row>
    <row r="6" spans="2:12" x14ac:dyDescent="0.25">
      <c r="B6" s="7" t="s">
        <v>10</v>
      </c>
      <c r="C6" s="8">
        <v>175</v>
      </c>
      <c r="D6" s="7"/>
      <c r="E6" s="9">
        <v>32</v>
      </c>
      <c r="F6" s="9">
        <v>32</v>
      </c>
      <c r="G6" s="9">
        <v>16</v>
      </c>
      <c r="H6" s="9"/>
      <c r="I6" s="9"/>
      <c r="J6" s="9"/>
      <c r="K6" s="7"/>
      <c r="L6" s="10">
        <f>SUM(E6:J6)*C6</f>
        <v>14000</v>
      </c>
    </row>
    <row r="7" spans="2:12" x14ac:dyDescent="0.25">
      <c r="B7" s="7" t="s">
        <v>11</v>
      </c>
      <c r="C7" s="8">
        <v>50</v>
      </c>
      <c r="D7" s="7"/>
      <c r="E7" s="9">
        <v>132</v>
      </c>
      <c r="F7" s="9">
        <v>132</v>
      </c>
      <c r="G7" s="9">
        <v>64</v>
      </c>
      <c r="H7" s="9"/>
      <c r="I7" s="9"/>
      <c r="J7" s="9"/>
      <c r="K7" s="7"/>
      <c r="L7" s="10">
        <f>SUM(E7:J7)*C7</f>
        <v>16400</v>
      </c>
    </row>
    <row r="8" spans="2:12" x14ac:dyDescent="0.25">
      <c r="C8" s="11"/>
    </row>
    <row r="9" spans="2:12" x14ac:dyDescent="0.25">
      <c r="B9" s="3" t="s">
        <v>12</v>
      </c>
      <c r="C9" s="3"/>
      <c r="D9" s="7"/>
      <c r="E9" s="6" t="s">
        <v>13</v>
      </c>
      <c r="F9" s="6" t="s">
        <v>14</v>
      </c>
      <c r="G9" s="6" t="s">
        <v>15</v>
      </c>
      <c r="L9" s="12"/>
    </row>
    <row r="10" spans="2:12" x14ac:dyDescent="0.25">
      <c r="B10" s="7" t="s">
        <v>8</v>
      </c>
      <c r="C10" s="10"/>
      <c r="D10" s="7"/>
      <c r="E10" s="10"/>
      <c r="F10" s="13">
        <f>E10/C4</f>
        <v>0</v>
      </c>
      <c r="G10" s="10">
        <f>E10*E4</f>
        <v>0</v>
      </c>
    </row>
    <row r="11" spans="2:12" x14ac:dyDescent="0.25">
      <c r="B11" s="7" t="s">
        <v>9</v>
      </c>
      <c r="C11" s="10"/>
      <c r="D11" s="7"/>
      <c r="E11" s="10"/>
      <c r="F11" s="13">
        <f>E11/C5</f>
        <v>0</v>
      </c>
      <c r="G11" s="10">
        <f>E11*E5</f>
        <v>0</v>
      </c>
    </row>
    <row r="12" spans="2:12" x14ac:dyDescent="0.25">
      <c r="B12" s="7" t="s">
        <v>10</v>
      </c>
      <c r="C12" s="10"/>
      <c r="D12" s="7"/>
      <c r="E12" s="10">
        <v>175</v>
      </c>
      <c r="F12" s="13">
        <f>E12/C6</f>
        <v>1</v>
      </c>
      <c r="G12" s="10">
        <f>E12*E6</f>
        <v>5600</v>
      </c>
    </row>
    <row r="13" spans="2:12" x14ac:dyDescent="0.25">
      <c r="B13" s="7" t="s">
        <v>11</v>
      </c>
      <c r="C13" s="10"/>
      <c r="D13" s="7"/>
      <c r="E13" s="10">
        <v>23</v>
      </c>
      <c r="F13" s="13">
        <f>E13/C7</f>
        <v>0.46</v>
      </c>
      <c r="G13" s="10">
        <f>E13*E7</f>
        <v>3036</v>
      </c>
      <c r="J13" s="3" t="s">
        <v>16</v>
      </c>
      <c r="K13" s="3"/>
      <c r="L13" s="3"/>
    </row>
    <row r="14" spans="2:12" x14ac:dyDescent="0.25">
      <c r="J14" s="7" t="s">
        <v>7</v>
      </c>
      <c r="K14" s="7"/>
      <c r="L14" s="10">
        <f>SUM(L4:L7)</f>
        <v>124832</v>
      </c>
    </row>
    <row r="15" spans="2:12" x14ac:dyDescent="0.25">
      <c r="B15" s="3" t="s">
        <v>17</v>
      </c>
      <c r="C15" s="3"/>
      <c r="F15" s="3" t="s">
        <v>18</v>
      </c>
      <c r="G15" s="3"/>
      <c r="H15" s="3"/>
      <c r="J15" s="7" t="s">
        <v>19</v>
      </c>
      <c r="K15" s="14"/>
      <c r="L15" s="10">
        <f>L14*K15</f>
        <v>0</v>
      </c>
    </row>
    <row r="16" spans="2:12" x14ac:dyDescent="0.25">
      <c r="B16" s="7" t="s">
        <v>20</v>
      </c>
      <c r="C16" s="10">
        <f>L17</f>
        <v>137315.20000000001</v>
      </c>
      <c r="F16" s="6" t="s">
        <v>21</v>
      </c>
      <c r="G16" s="6" t="s">
        <v>22</v>
      </c>
      <c r="H16" s="6" t="s">
        <v>23</v>
      </c>
      <c r="J16" s="7" t="s">
        <v>24</v>
      </c>
      <c r="K16" s="15">
        <v>0.1</v>
      </c>
      <c r="L16" s="10">
        <f>(L14+L15)*K16</f>
        <v>12483.2</v>
      </c>
    </row>
    <row r="17" spans="2:14" x14ac:dyDescent="0.25">
      <c r="B17" s="7" t="s">
        <v>25</v>
      </c>
      <c r="C17" s="16">
        <f>(G10+G11+G12+G13)*L2</f>
        <v>21590</v>
      </c>
      <c r="F17" s="17" t="s">
        <v>26</v>
      </c>
      <c r="G17" s="18">
        <v>0.15</v>
      </c>
      <c r="H17" s="10">
        <f>L17*G17</f>
        <v>20597.280000000002</v>
      </c>
      <c r="I17" s="11"/>
      <c r="J17" s="19" t="s">
        <v>27</v>
      </c>
      <c r="K17" s="19"/>
      <c r="L17" s="20">
        <f>SUM(L14:L16)</f>
        <v>137315.20000000001</v>
      </c>
    </row>
    <row r="18" spans="2:14" x14ac:dyDescent="0.25">
      <c r="B18" s="7" t="s">
        <v>24</v>
      </c>
      <c r="C18" s="10">
        <f>C16*0.082</f>
        <v>11259.846400000002</v>
      </c>
      <c r="F18" s="17" t="s">
        <v>28</v>
      </c>
      <c r="G18" s="21">
        <v>0.35</v>
      </c>
      <c r="H18" s="10">
        <f>L17*G18</f>
        <v>48060.32</v>
      </c>
      <c r="I18" s="11"/>
      <c r="J18" s="7" t="s">
        <v>29</v>
      </c>
      <c r="K18" s="22">
        <f>L2</f>
        <v>2.5</v>
      </c>
      <c r="L18" s="10">
        <f>L17/K18</f>
        <v>54926.080000000002</v>
      </c>
    </row>
    <row r="19" spans="2:14" x14ac:dyDescent="0.25">
      <c r="B19" s="7" t="s">
        <v>17</v>
      </c>
      <c r="C19" s="23">
        <f>C16-C17-C18</f>
        <v>104465.3536</v>
      </c>
      <c r="E19" s="24" t="s">
        <v>30</v>
      </c>
      <c r="F19" s="17" t="s">
        <v>31</v>
      </c>
      <c r="G19" s="25">
        <v>0.35</v>
      </c>
      <c r="H19" s="10">
        <f>L17*G19</f>
        <v>48060.32</v>
      </c>
      <c r="I19" s="11"/>
      <c r="J19" s="7" t="s">
        <v>32</v>
      </c>
      <c r="K19" s="7"/>
      <c r="L19" s="26">
        <f>SUM(E4:G7)</f>
        <v>1240</v>
      </c>
      <c r="N19" s="27"/>
    </row>
    <row r="20" spans="2:14" x14ac:dyDescent="0.25">
      <c r="B20" s="7" t="s">
        <v>33</v>
      </c>
      <c r="C20" s="28">
        <f>C19/K18</f>
        <v>41786.141439999999</v>
      </c>
      <c r="E20" s="29">
        <f>(C20*L2)/C16</f>
        <v>0.76077050173615157</v>
      </c>
      <c r="F20" s="30" t="s">
        <v>34</v>
      </c>
      <c r="G20" s="25">
        <v>0.15</v>
      </c>
      <c r="H20" s="10">
        <f>L17*G20</f>
        <v>20597.280000000002</v>
      </c>
      <c r="I20" s="11"/>
      <c r="J20" s="7" t="s">
        <v>35</v>
      </c>
      <c r="K20" s="7"/>
      <c r="L20" s="8">
        <f>L17/L19</f>
        <v>110.73806451612904</v>
      </c>
      <c r="N20" s="11"/>
    </row>
    <row r="21" spans="2:14" x14ac:dyDescent="0.25">
      <c r="J21" s="31"/>
    </row>
    <row r="22" spans="2:14" x14ac:dyDescent="0.25">
      <c r="L22" s="32"/>
    </row>
    <row r="23" spans="2:14" x14ac:dyDescent="0.25">
      <c r="L23" s="32"/>
    </row>
  </sheetData>
  <mergeCells count="5">
    <mergeCell ref="B2:J2"/>
    <mergeCell ref="B9:C9"/>
    <mergeCell ref="J13:L13"/>
    <mergeCell ref="B15:C15"/>
    <mergeCell ref="F15:H15"/>
  </mergeCells>
  <conditionalFormatting sqref="E20">
    <cfRule type="cellIs" dxfId="0" priority="1" operator="greaterThan">
      <formula>0.35</formula>
    </cfRule>
  </conditionalFormatting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Natura - Final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Adolpho Chacon</dc:creator>
  <cp:lastModifiedBy>Adolpho Chacon</cp:lastModifiedBy>
  <dcterms:created xsi:type="dcterms:W3CDTF">2015-06-11T21:46:38Z</dcterms:created>
  <dcterms:modified xsi:type="dcterms:W3CDTF">2015-06-11T22:03:57Z</dcterms:modified>
</cp:coreProperties>
</file>