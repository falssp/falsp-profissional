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600" yWindow="2310" windowWidth="14760" windowHeight="5520" tabRatio="733"/>
  </bookViews>
  <sheets>
    <sheet name="STATUS ATUALIZADO JAN2015" sheetId="19" r:id="rId1"/>
    <sheet name="Cronograma Subprocesso" sheetId="14" state="hidden" r:id="rId2"/>
    <sheet name="Plan1" sheetId="15" state="hidden" r:id="rId3"/>
    <sheet name="Plan2" sheetId="18" state="hidden" r:id="rId4"/>
  </sheets>
  <definedNames>
    <definedName name="_xlnm._FilterDatabase" localSheetId="0" hidden="1">'STATUS ATUALIZADO JAN2015'!$A$1:$F$99</definedName>
  </definedNames>
  <calcPr calcId="145621"/>
</workbook>
</file>

<file path=xl/calcChain.xml><?xml version="1.0" encoding="utf-8"?>
<calcChain xmlns="http://schemas.openxmlformats.org/spreadsheetml/2006/main">
  <c r="E15" i="18" l="1"/>
  <c r="E13" i="18"/>
  <c r="D13" i="18"/>
</calcChain>
</file>

<file path=xl/comments1.xml><?xml version="1.0" encoding="utf-8"?>
<comments xmlns="http://schemas.openxmlformats.org/spreadsheetml/2006/main">
  <authors>
    <author>elima</author>
  </authors>
  <commentList>
    <comment ref="B47" authorId="0">
      <text>
        <r>
          <rPr>
            <b/>
            <sz val="9"/>
            <color indexed="81"/>
            <rFont val="Tahoma"/>
            <charset val="1"/>
          </rPr>
          <t>elima:</t>
        </r>
        <r>
          <rPr>
            <sz val="9"/>
            <color indexed="81"/>
            <rFont val="Tahoma"/>
            <charset val="1"/>
          </rPr>
          <t xml:space="preserve">
Esta NM não está atrelada ao processo GTD.05 (mas deveria - ação para o futuro), está "solta" no Natura.doc.
</t>
        </r>
        <r>
          <rPr>
            <b/>
            <sz val="9"/>
            <color indexed="81"/>
            <rFont val="Tahoma"/>
            <family val="2"/>
          </rPr>
          <t>NM-0237 deve ser o adaptada para o novo template de norma.</t>
        </r>
      </text>
    </comment>
    <comment ref="B48" authorId="0">
      <text>
        <r>
          <rPr>
            <b/>
            <sz val="9"/>
            <color indexed="81"/>
            <rFont val="Tahoma"/>
            <charset val="1"/>
          </rPr>
          <t>elima:</t>
        </r>
        <r>
          <rPr>
            <sz val="9"/>
            <color indexed="81"/>
            <rFont val="Tahoma"/>
            <charset val="1"/>
          </rPr>
          <t xml:space="preserve">
Esta NM não está atrelada ao processo GTD.05 (mas deveria - ação para o futuro), está "solta" no Natura.doc.
</t>
        </r>
        <r>
          <rPr>
            <b/>
            <sz val="9"/>
            <color indexed="81"/>
            <rFont val="Tahoma"/>
            <family val="2"/>
          </rPr>
          <t>NM-0159 deve ser uma Instrução de Trabalho não uma norma. A norma atual deve ser cancelada do Natura.doc.</t>
        </r>
      </text>
    </comment>
  </commentList>
</comments>
</file>

<file path=xl/sharedStrings.xml><?xml version="1.0" encoding="utf-8"?>
<sst xmlns="http://schemas.openxmlformats.org/spreadsheetml/2006/main" count="535" uniqueCount="239">
  <si>
    <t>Cristina Gouveia</t>
  </si>
  <si>
    <t>PR-0771</t>
  </si>
  <si>
    <t>Acompanhamento de Performance de Parceiros de Tecnologia</t>
  </si>
  <si>
    <t>IT-2058</t>
  </si>
  <si>
    <t>IT-2057</t>
  </si>
  <si>
    <t>IT-2056</t>
  </si>
  <si>
    <t xml:space="preserve">Monitorar vencimento de contratos </t>
  </si>
  <si>
    <t>GTD.08.003 - Acompanhamento da Performance</t>
  </si>
  <si>
    <t>PR-0770</t>
  </si>
  <si>
    <t>Estabelecimento de Parcerias</t>
  </si>
  <si>
    <t>IT-2050</t>
  </si>
  <si>
    <t>GTD.08.002 - Estabelecimento de Parcerias</t>
  </si>
  <si>
    <t>GTD.08 - Gestão do Relacionamento com Parceiros de Tecnologia</t>
  </si>
  <si>
    <t>Weslley Figueiredo</t>
  </si>
  <si>
    <t>IT-2111</t>
  </si>
  <si>
    <t>Realizar PoC de Novas Soluções ou Tecnologias</t>
  </si>
  <si>
    <t>GTD.07.003 - Prospecção e Seleção de Tecnologia</t>
  </si>
  <si>
    <t>IT-2109</t>
  </si>
  <si>
    <t>Realizar Solicitação e Emissão do Parecer de Arquitetura</t>
  </si>
  <si>
    <t>GTD.07.002 - Controle da Arquitetura Corporativa</t>
  </si>
  <si>
    <t>IT-2107</t>
  </si>
  <si>
    <t>Atualizar documentos de base e padrões de Arquitetura</t>
  </si>
  <si>
    <t>GTD.07.001 - Planejamento de Arquitetura Corporativa</t>
  </si>
  <si>
    <t>GTD.07 - Arquitetura Corporativa</t>
  </si>
  <si>
    <t>Thalita Begliomini</t>
  </si>
  <si>
    <t>IT-2072</t>
  </si>
  <si>
    <t>Medir desempenho de projetos e iniciativas</t>
  </si>
  <si>
    <t>IT-2071</t>
  </si>
  <si>
    <t>Validar conformidade e QA da metodologia</t>
  </si>
  <si>
    <t>IT-2070</t>
  </si>
  <si>
    <t>Realizar Monitoramento e Controle do Portfolio</t>
  </si>
  <si>
    <t>IT-2069</t>
  </si>
  <si>
    <t>Alinhar Portfolio</t>
  </si>
  <si>
    <t>GTD.06.003 - Gestão de Portfólio</t>
  </si>
  <si>
    <t>IT-2068</t>
  </si>
  <si>
    <t>GTD.06.002 - Gestão de Entregas</t>
  </si>
  <si>
    <t>IT-2164</t>
  </si>
  <si>
    <t>Atualizar informações e status da demanda</t>
  </si>
  <si>
    <t>IT-2067</t>
  </si>
  <si>
    <t>IT-2033</t>
  </si>
  <si>
    <t>Realizar classificação e priorização das demandas</t>
  </si>
  <si>
    <t>GTD.06.001 - Gestão de Demandas</t>
  </si>
  <si>
    <t>GTD.06 - Gestão de Demandas, Entregas e Portfólio</t>
  </si>
  <si>
    <t>Marcus Marques</t>
  </si>
  <si>
    <t>NM-0314</t>
  </si>
  <si>
    <t>Gestão do Nível de Serviço</t>
  </si>
  <si>
    <t>IT-2371</t>
  </si>
  <si>
    <t>Monitorar os níveis de serviço</t>
  </si>
  <si>
    <t>GTD.05.005 - Gestão de Níveis de Serviço</t>
  </si>
  <si>
    <t>NM-0335</t>
  </si>
  <si>
    <t>Gestão da Operação</t>
  </si>
  <si>
    <t>PR-0803</t>
  </si>
  <si>
    <t>GTD.05.004 - Gestão da Operação</t>
  </si>
  <si>
    <t>NM-0304</t>
  </si>
  <si>
    <t>Gestão de Mudança e Configuração</t>
  </si>
  <si>
    <t>PR-0779</t>
  </si>
  <si>
    <t>IT-2324</t>
  </si>
  <si>
    <t>Preencher a solicitação de Mudança</t>
  </si>
  <si>
    <t>GTD.05.003 - Gestão de Mudanças e Configuração</t>
  </si>
  <si>
    <t>PR-0811</t>
  </si>
  <si>
    <t>Gestão de Problemas</t>
  </si>
  <si>
    <t>IT-2116</t>
  </si>
  <si>
    <t>IT-2112</t>
  </si>
  <si>
    <t>IT-2104</t>
  </si>
  <si>
    <t>GTD.05.002 - Gestão de Problemas</t>
  </si>
  <si>
    <t>Rosimeire Carvalho Moraes</t>
  </si>
  <si>
    <t>PR-0804</t>
  </si>
  <si>
    <t>Gestão de Eventos</t>
  </si>
  <si>
    <t>IT-2130</t>
  </si>
  <si>
    <t>Encaminhar notificação de avaliação de atendimento</t>
  </si>
  <si>
    <t>IT-2345</t>
  </si>
  <si>
    <t>Reabrir chamado</t>
  </si>
  <si>
    <t>IT-2065</t>
  </si>
  <si>
    <t>Encerrar chamado</t>
  </si>
  <si>
    <t>IT-2064</t>
  </si>
  <si>
    <t>Realizar Escalonamento de Eventos</t>
  </si>
  <si>
    <t>IT-2062</t>
  </si>
  <si>
    <t>Abrir chamado</t>
  </si>
  <si>
    <t>GTD.05.001 - Gestão de Eventos</t>
  </si>
  <si>
    <t>GTD.05 - Gestão de Serviços</t>
  </si>
  <si>
    <t>Raquel Fares</t>
  </si>
  <si>
    <t>GTD.04.004 - Transição</t>
  </si>
  <si>
    <t>GTD.04.003 - Suporte Pós Implantação</t>
  </si>
  <si>
    <t>GTD.04.001 - Preparação para Implantação</t>
  </si>
  <si>
    <t>GTD.04 - Entrega de Serviços</t>
  </si>
  <si>
    <t>Fernando Brunetti</t>
  </si>
  <si>
    <t>GTD.03 - Desenvolvimento de Soluções e Serviços</t>
  </si>
  <si>
    <t>Alexandre Guarnieri</t>
  </si>
  <si>
    <t>IT-2038</t>
  </si>
  <si>
    <t>IT-2037</t>
  </si>
  <si>
    <t xml:space="preserve">Qualificar o Briefing </t>
  </si>
  <si>
    <t>IT-2036</t>
  </si>
  <si>
    <t>IT-2035</t>
  </si>
  <si>
    <t>Escrever o Briefing</t>
  </si>
  <si>
    <t>GTD.01.001 - Consultoria em Tecnologia Digital</t>
  </si>
  <si>
    <t>GTD.01 - Gestão do Relacionamento com Parceiros de Negócio</t>
  </si>
  <si>
    <t>Responsável</t>
  </si>
  <si>
    <t>Cód. Natura.doc</t>
  </si>
  <si>
    <t>Subprocesso</t>
  </si>
  <si>
    <t>Realizado</t>
  </si>
  <si>
    <t>Planejado</t>
  </si>
  <si>
    <t>Elaborar a pauta e minuta da GMUD</t>
  </si>
  <si>
    <t>IT-2753</t>
  </si>
  <si>
    <t>IT-2755</t>
  </si>
  <si>
    <t>IT-2768</t>
  </si>
  <si>
    <t>NM-1754</t>
  </si>
  <si>
    <t>Setembro</t>
  </si>
  <si>
    <t>SETEMBRO</t>
  </si>
  <si>
    <t>OUTUBRO</t>
  </si>
  <si>
    <t>NOVEMBRO</t>
  </si>
  <si>
    <t>MELHORIA CONTINUA 
PROCESSOS TD</t>
  </si>
  <si>
    <t>GTD 01 - Gestão do Relacionamento com parceiros de Negócios</t>
  </si>
  <si>
    <t>GTD 03 - Desenvolvimento de Soluções e Serviços</t>
  </si>
  <si>
    <t>GTD 04 - Entrega de Serviços</t>
  </si>
  <si>
    <t>GTD 05 - Gestão de Serviços</t>
  </si>
  <si>
    <t>GTD 06 - Gestão de demandas, entregas e portfólio</t>
  </si>
  <si>
    <t>GTD 07 - Arquitetura Corporativa</t>
  </si>
  <si>
    <t>GTD 08 - Gestão do Relacionamento com parceiros de tecnologia</t>
  </si>
  <si>
    <t>Reunião semanal de Melhoria Contínua</t>
  </si>
  <si>
    <t>Reunião Individual para tratar ações do diagóstico</t>
  </si>
  <si>
    <t>Reunião de Entendimento e / ou Validação com OIs</t>
  </si>
  <si>
    <t>Indicadores de Subprocesso com Marcio Buck</t>
  </si>
  <si>
    <t>Julho</t>
  </si>
  <si>
    <t>Agosto</t>
  </si>
  <si>
    <t>Semana 4</t>
  </si>
  <si>
    <t>Semana 1</t>
  </si>
  <si>
    <t>Semana 2</t>
  </si>
  <si>
    <t>Semana 3</t>
  </si>
  <si>
    <t>de 28 a 01/08</t>
  </si>
  <si>
    <t>de 4 a 8</t>
  </si>
  <si>
    <t>de 11 a 15</t>
  </si>
  <si>
    <t>de 18 a 22</t>
  </si>
  <si>
    <t>de 25 a 29</t>
  </si>
  <si>
    <t>de 1 a 5</t>
  </si>
  <si>
    <t>de 8 a 12</t>
  </si>
  <si>
    <t>de 15 a 19</t>
  </si>
  <si>
    <t>GTD.04 - Entrega de Serviços - parte I</t>
  </si>
  <si>
    <t>GTD.05 - Gestão de Serviços - parte I</t>
  </si>
  <si>
    <t>Concluído</t>
  </si>
  <si>
    <t>GTD.01</t>
  </si>
  <si>
    <t>GTD.03</t>
  </si>
  <si>
    <t>GTD.04</t>
  </si>
  <si>
    <t>GTD.05</t>
  </si>
  <si>
    <t>GTD.06</t>
  </si>
  <si>
    <t>GTD.07</t>
  </si>
  <si>
    <t>GTD.08</t>
  </si>
  <si>
    <t>Thiago Libbos</t>
  </si>
  <si>
    <t>PR-0880</t>
  </si>
  <si>
    <t>PR-0881</t>
  </si>
  <si>
    <t>PR-0882</t>
  </si>
  <si>
    <t>Sim</t>
  </si>
  <si>
    <t>Solicitar distrato</t>
  </si>
  <si>
    <t>Verificar necessidade de cadastrar fornecedor</t>
  </si>
  <si>
    <t>Solicitar avaliação da saúde financeira</t>
  </si>
  <si>
    <t>PR-0887</t>
  </si>
  <si>
    <t>PR-0886</t>
  </si>
  <si>
    <t>PR-0888</t>
  </si>
  <si>
    <t>Ana Paula Jimenez</t>
  </si>
  <si>
    <t>Marcela Oliveira</t>
  </si>
  <si>
    <t>IT-2859</t>
  </si>
  <si>
    <t>IT-2860</t>
  </si>
  <si>
    <t>IT-2861</t>
  </si>
  <si>
    <t>Solicitar cadastro do fornecedor</t>
  </si>
  <si>
    <t>IT-2863</t>
  </si>
  <si>
    <t>IT-2864</t>
  </si>
  <si>
    <t>IT-2865</t>
  </si>
  <si>
    <t>IT-2866</t>
  </si>
  <si>
    <t>Solicitar a criação da SLC</t>
  </si>
  <si>
    <t>Juliane Souza</t>
  </si>
  <si>
    <t>Alessandra Guilherme</t>
  </si>
  <si>
    <t>Maristela Elias</t>
  </si>
  <si>
    <t>PR-0889</t>
  </si>
  <si>
    <t>Finalizar a solicitação de mudança</t>
  </si>
  <si>
    <t>Evaldo Silva Souza</t>
  </si>
  <si>
    <t>NM-0237</t>
  </si>
  <si>
    <t>Reescrever o Briefing</t>
  </si>
  <si>
    <t>Transformar o Briefing em Demanda</t>
  </si>
  <si>
    <t>Atualizar a base de dados</t>
  </si>
  <si>
    <t>Realizar transferência do contrato</t>
  </si>
  <si>
    <t>Registrar o problema</t>
  </si>
  <si>
    <t>Elaborar plano de implantação</t>
  </si>
  <si>
    <t>Carlos Kida</t>
  </si>
  <si>
    <t>Publicado</t>
  </si>
  <si>
    <t>Aprovado</t>
  </si>
  <si>
    <t>IT-2090</t>
  </si>
  <si>
    <t>IT-2881</t>
  </si>
  <si>
    <t xml:space="preserve">Associar o Problema </t>
  </si>
  <si>
    <t>Formalizar a tratativa do problema</t>
  </si>
  <si>
    <t>IT-2887</t>
  </si>
  <si>
    <t>IT-2886</t>
  </si>
  <si>
    <t>NM-1781</t>
  </si>
  <si>
    <t>IT-2896</t>
  </si>
  <si>
    <t>ID</t>
  </si>
  <si>
    <t>Acompanhar o pagamento</t>
  </si>
  <si>
    <t>IT-2907</t>
  </si>
  <si>
    <t>IT-2908</t>
  </si>
  <si>
    <t>Gerar Chave de Desenvolvedor</t>
  </si>
  <si>
    <t>Tratar JOBS de UC4</t>
  </si>
  <si>
    <t>PR-0901</t>
  </si>
  <si>
    <t>PR-0902</t>
  </si>
  <si>
    <t>PR-0903</t>
  </si>
  <si>
    <t>Desenvolvimento de Soluções e Serviços</t>
  </si>
  <si>
    <t>GTD-03</t>
  </si>
  <si>
    <t>GTD-01</t>
  </si>
  <si>
    <t>GTD-04</t>
  </si>
  <si>
    <t>GTD-05</t>
  </si>
  <si>
    <t>GTD-06</t>
  </si>
  <si>
    <t>GTD-07</t>
  </si>
  <si>
    <t>GTD-08</t>
  </si>
  <si>
    <t>Preparação para Implantação</t>
  </si>
  <si>
    <t>Suporte pós implantação</t>
  </si>
  <si>
    <t>Transição</t>
  </si>
  <si>
    <t>Entrega de Serviços</t>
  </si>
  <si>
    <t>Gestão de Demandas</t>
  </si>
  <si>
    <t>Verirficar esboço da solução e classificação da demanda</t>
  </si>
  <si>
    <t>Avaliar e mapear interdependência entre demandas</t>
  </si>
  <si>
    <t>Gestão de Portfólio</t>
  </si>
  <si>
    <t>Gestão de Demandas, Entregas e Portfólio</t>
  </si>
  <si>
    <t>Gestão de Entregas</t>
  </si>
  <si>
    <t>NM-0334</t>
  </si>
  <si>
    <t>Controle da Arquitetura Corporativa</t>
  </si>
  <si>
    <t>Arquitetura Corporativa</t>
  </si>
  <si>
    <t>Prospecção e Seleção de Tecnologia</t>
  </si>
  <si>
    <t>Gestão do Relacionamento com Parceiros Externos</t>
  </si>
  <si>
    <t>NM-1790</t>
  </si>
  <si>
    <t>Realizar alinhamento da contratação</t>
  </si>
  <si>
    <t>Solicitar contratação</t>
  </si>
  <si>
    <t>Criar SLC</t>
  </si>
  <si>
    <t>Criar Requisição de Serviços</t>
  </si>
  <si>
    <t>IT-2930</t>
  </si>
  <si>
    <t>Criar a folha de serviço</t>
  </si>
  <si>
    <t>Liberar serviço</t>
  </si>
  <si>
    <t xml:space="preserve">NM-1782 </t>
  </si>
  <si>
    <t>Consultoria de Tecnologia Digital</t>
  </si>
  <si>
    <t>Norma de Microinformática</t>
  </si>
  <si>
    <t>Utilizar Serviços de Videoconferência</t>
  </si>
  <si>
    <t>NM-1797</t>
  </si>
  <si>
    <t>PR-0906</t>
  </si>
  <si>
    <t>Registrar o chamado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</si>
</sst>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theme="1"/>
      <name val="Verdana"/>
      <family val="2"/>
    </font>
    <font>
      <b/>
      <sz val="10"/>
      <color theme="1"/>
      <name val="Verdana"/>
      <family val="2"/>
    </font>
    <font>
      <i/>
      <sz val="10"/>
      <color theme="4"/>
      <name val="Verdana"/>
      <family val="2"/>
    </font>
    <font>
      <sz val="10"/>
      <name val="Verdana"/>
      <family val="2"/>
    </font>
    <font>
      <b/>
      <sz val="10"/>
      <color theme="0"/>
      <name val="Verdana"/>
      <family val="2"/>
    </font>
    <font>
      <sz val="10"/>
      <color theme="0"/>
      <name val="Verdana"/>
      <family val="2"/>
    </font>
    <font>
      <sz val="9"/>
      <color theme="1"/>
      <name val="Verdana"/>
      <family val="2"/>
    </font>
    <font>
      <sz val="9"/>
      <name val="Verdana"/>
      <family val="2"/>
    </font>
    <font>
      <b/>
      <sz val="9"/>
      <color theme="1"/>
      <name val="Verdana"/>
      <family val="2"/>
    </font>
    <font>
      <i/>
      <sz val="9"/>
      <color theme="4"/>
      <name val="Verdan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249977111117893"/>
        <bgColor indexed="64"/>
      </patternFill>
    </fill>
    <fill>
      <gradientFill degree="90">
        <stop position="0">
          <color rgb="FF09BFFF"/>
        </stop>
        <stop position="1">
          <color theme="0" tint="-0.34900967436750391"/>
        </stop>
      </gradientFill>
    </fill>
    <fill>
      <patternFill patternType="solid">
        <fgColor rgb="FF09BFFF"/>
        <bgColor indexed="64"/>
      </patternFill>
    </fill>
  </fills>
  <borders count="4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/>
      <diagonal/>
    </border>
    <border>
      <left style="hair">
        <color auto="1"/>
      </left>
      <right style="thin">
        <color indexed="64"/>
      </right>
      <top/>
      <bottom/>
      <diagonal/>
    </border>
    <border>
      <left/>
      <right style="hair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3" fontId="3" fillId="0" borderId="1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/>
    </xf>
    <xf numFmtId="0" fontId="0" fillId="5" borderId="2" xfId="0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3" fontId="6" fillId="0" borderId="1" xfId="0" applyNumberFormat="1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3" fontId="7" fillId="0" borderId="1" xfId="0" applyNumberFormat="1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4" fillId="4" borderId="18" xfId="0" applyNumberFormat="1" applyFont="1" applyFill="1" applyBorder="1" applyAlignment="1">
      <alignment horizontal="center" vertical="center" wrapText="1"/>
    </xf>
    <xf numFmtId="0" fontId="4" fillId="4" borderId="3" xfId="0" applyNumberFormat="1" applyFont="1" applyFill="1" applyBorder="1" applyAlignment="1">
      <alignment horizontal="center" vertical="center" wrapText="1"/>
    </xf>
    <xf numFmtId="0" fontId="4" fillId="8" borderId="3" xfId="0" applyNumberFormat="1" applyFont="1" applyFill="1" applyBorder="1" applyAlignment="1">
      <alignment horizontal="center" vertical="center" wrapText="1"/>
    </xf>
    <xf numFmtId="0" fontId="4" fillId="4" borderId="19" xfId="0" applyNumberFormat="1" applyFont="1" applyFill="1" applyBorder="1" applyAlignment="1">
      <alignment horizontal="center" vertical="center" wrapText="1"/>
    </xf>
    <xf numFmtId="0" fontId="4" fillId="8" borderId="18" xfId="0" applyNumberFormat="1" applyFont="1" applyFill="1" applyBorder="1" applyAlignment="1">
      <alignment horizontal="center" vertical="center" wrapText="1"/>
    </xf>
    <xf numFmtId="0" fontId="4" fillId="4" borderId="20" xfId="0" applyNumberFormat="1" applyFont="1" applyFill="1" applyBorder="1" applyAlignment="1">
      <alignment horizontal="center" vertical="center" wrapText="1"/>
    </xf>
    <xf numFmtId="0" fontId="1" fillId="0" borderId="21" xfId="0" applyNumberFormat="1" applyFont="1" applyFill="1" applyBorder="1" applyAlignment="1">
      <alignment horizontal="center" vertical="center"/>
    </xf>
    <xf numFmtId="0" fontId="1" fillId="10" borderId="22" xfId="0" applyNumberFormat="1" applyFont="1" applyFill="1" applyBorder="1" applyAlignment="1">
      <alignment horizontal="center" vertical="center"/>
    </xf>
    <xf numFmtId="0" fontId="1" fillId="7" borderId="22" xfId="0" applyNumberFormat="1" applyFont="1" applyFill="1" applyBorder="1" applyAlignment="1">
      <alignment horizontal="center" vertical="center"/>
    </xf>
    <xf numFmtId="0" fontId="1" fillId="6" borderId="22" xfId="0" applyNumberFormat="1" applyFont="1" applyFill="1" applyBorder="1" applyAlignment="1">
      <alignment horizontal="center" vertical="center"/>
    </xf>
    <xf numFmtId="0" fontId="1" fillId="0" borderId="22" xfId="0" applyNumberFormat="1" applyFont="1" applyFill="1" applyBorder="1" applyAlignment="1">
      <alignment horizontal="center" vertical="center"/>
    </xf>
    <xf numFmtId="0" fontId="1" fillId="10" borderId="23" xfId="0" applyNumberFormat="1" applyFont="1" applyFill="1" applyBorder="1" applyAlignment="1">
      <alignment horizontal="center" vertical="center"/>
    </xf>
    <xf numFmtId="0" fontId="1" fillId="9" borderId="22" xfId="0" applyNumberFormat="1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NumberFormat="1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horizontal="center" vertical="center"/>
    </xf>
    <xf numFmtId="0" fontId="1" fillId="7" borderId="6" xfId="0" applyNumberFormat="1" applyFont="1" applyFill="1" applyBorder="1" applyAlignment="1">
      <alignment horizontal="center" vertical="center"/>
    </xf>
    <xf numFmtId="0" fontId="1" fillId="0" borderId="26" xfId="0" applyNumberFormat="1" applyFont="1" applyFill="1" applyBorder="1" applyAlignment="1">
      <alignment horizontal="center" vertical="center"/>
    </xf>
    <xf numFmtId="0" fontId="1" fillId="7" borderId="25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3" xfId="0" applyNumberFormat="1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10" borderId="6" xfId="0" applyNumberFormat="1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1" fillId="9" borderId="22" xfId="0" applyFont="1" applyFill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1" fillId="10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11" borderId="22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8" xfId="0" applyBorder="1" applyAlignment="1">
      <alignment horizontal="left" vertical="center" wrapText="1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8" borderId="29" xfId="0" applyFill="1" applyBorder="1" applyAlignment="1">
      <alignment horizontal="center" vertical="center"/>
    </xf>
    <xf numFmtId="0" fontId="0" fillId="8" borderId="30" xfId="0" applyFill="1" applyBorder="1" applyAlignment="1">
      <alignment horizontal="center" vertical="center"/>
    </xf>
    <xf numFmtId="0" fontId="0" fillId="0" borderId="32" xfId="0" applyBorder="1" applyAlignment="1">
      <alignment horizontal="left" vertical="center" wrapText="1"/>
    </xf>
    <xf numFmtId="0" fontId="0" fillId="8" borderId="32" xfId="0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8" borderId="33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34" xfId="0" applyFill="1" applyBorder="1" applyAlignment="1">
      <alignment horizontal="center" vertical="center"/>
    </xf>
    <xf numFmtId="0" fontId="0" fillId="0" borderId="35" xfId="0" applyBorder="1" applyAlignment="1">
      <alignment horizontal="left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8" borderId="38" xfId="0" applyFill="1" applyBorder="1" applyAlignment="1">
      <alignment horizontal="center" vertical="center"/>
    </xf>
    <xf numFmtId="0" fontId="0" fillId="8" borderId="37" xfId="0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0" xfId="0"/>
    <xf numFmtId="0" fontId="1" fillId="0" borderId="5" xfId="0" applyFont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1" fillId="0" borderId="24" xfId="0" applyNumberFormat="1" applyFont="1" applyFill="1" applyBorder="1" applyAlignment="1">
      <alignment horizontal="center" vertical="center"/>
    </xf>
    <xf numFmtId="0" fontId="1" fillId="0" borderId="27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39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3" fontId="9" fillId="5" borderId="1" xfId="0" applyNumberFormat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/>
    </xf>
    <xf numFmtId="2" fontId="1" fillId="12" borderId="45" xfId="0" applyNumberFormat="1" applyFont="1" applyFill="1" applyBorder="1" applyAlignment="1">
      <alignment horizontal="center" vertical="center"/>
    </xf>
    <xf numFmtId="0" fontId="0" fillId="0" borderId="32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4" xfId="0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42" xfId="0" applyFill="1" applyBorder="1" applyAlignment="1">
      <alignment horizontal="center" vertical="center"/>
    </xf>
    <xf numFmtId="0" fontId="3" fillId="0" borderId="35" xfId="0" applyFont="1" applyFill="1" applyBorder="1" applyAlignment="1">
      <alignment horizontal="center" vertical="center"/>
    </xf>
    <xf numFmtId="0" fontId="0" fillId="0" borderId="43" xfId="0" applyFill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  <color rgb="FF09BFFF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66"/>
  </sheetPr>
  <dimension ref="A1:F99"/>
  <sheetViews>
    <sheetView showGridLines="0" tabSelected="1" workbookViewId="0">
      <selection activeCell="C17" sqref="C17"/>
    </sheetView>
  </sheetViews>
  <sheetFormatPr defaultRowHeight="12.75" x14ac:dyDescent="0.2"/>
  <cols>
    <col min="1" max="1" width="7.375" style="102" customWidth="1"/>
    <col min="2" max="2" width="56.5" bestFit="1" customWidth="1"/>
    <col min="3" max="3" width="22.625" bestFit="1" customWidth="1"/>
    <col min="4" max="5" width="10.125" style="102" customWidth="1"/>
    <col min="6" max="6" width="13" bestFit="1" customWidth="1"/>
  </cols>
  <sheetData>
    <row r="1" spans="1:6" ht="25.5" x14ac:dyDescent="0.2">
      <c r="A1" s="10" t="s">
        <v>192</v>
      </c>
      <c r="B1" s="10" t="s">
        <v>98</v>
      </c>
      <c r="C1" s="10" t="s">
        <v>96</v>
      </c>
      <c r="D1" s="10" t="s">
        <v>182</v>
      </c>
      <c r="E1" s="10" t="s">
        <v>183</v>
      </c>
      <c r="F1" s="10" t="s">
        <v>97</v>
      </c>
    </row>
    <row r="2" spans="1:6" x14ac:dyDescent="0.2">
      <c r="A2" s="17"/>
      <c r="B2" s="17" t="s">
        <v>95</v>
      </c>
      <c r="C2" s="19"/>
      <c r="D2" s="19"/>
      <c r="E2" s="19"/>
      <c r="F2" s="18"/>
    </row>
    <row r="3" spans="1:6" x14ac:dyDescent="0.2">
      <c r="A3" s="20"/>
      <c r="B3" s="20" t="s">
        <v>94</v>
      </c>
      <c r="C3" s="22"/>
      <c r="D3" s="22"/>
      <c r="E3" s="22"/>
      <c r="F3" s="21"/>
    </row>
    <row r="4" spans="1:6" x14ac:dyDescent="0.2">
      <c r="A4" s="23" t="s">
        <v>203</v>
      </c>
      <c r="B4" s="23" t="s">
        <v>93</v>
      </c>
      <c r="C4" s="25" t="s">
        <v>87</v>
      </c>
      <c r="D4" s="25" t="s">
        <v>150</v>
      </c>
      <c r="E4" s="25" t="s">
        <v>150</v>
      </c>
      <c r="F4" s="29" t="s">
        <v>92</v>
      </c>
    </row>
    <row r="5" spans="1:6" x14ac:dyDescent="0.2">
      <c r="A5" s="23" t="s">
        <v>203</v>
      </c>
      <c r="B5" s="23" t="s">
        <v>175</v>
      </c>
      <c r="C5" s="25" t="s">
        <v>87</v>
      </c>
      <c r="D5" s="25" t="s">
        <v>150</v>
      </c>
      <c r="E5" s="25" t="s">
        <v>150</v>
      </c>
      <c r="F5" s="29" t="s">
        <v>91</v>
      </c>
    </row>
    <row r="6" spans="1:6" x14ac:dyDescent="0.2">
      <c r="A6" s="23" t="s">
        <v>203</v>
      </c>
      <c r="B6" s="23" t="s">
        <v>90</v>
      </c>
      <c r="C6" s="25" t="s">
        <v>87</v>
      </c>
      <c r="D6" s="25" t="s">
        <v>150</v>
      </c>
      <c r="E6" s="25" t="s">
        <v>150</v>
      </c>
      <c r="F6" s="29" t="s">
        <v>89</v>
      </c>
    </row>
    <row r="7" spans="1:6" x14ac:dyDescent="0.2">
      <c r="A7" s="23" t="s">
        <v>203</v>
      </c>
      <c r="B7" s="23" t="s">
        <v>176</v>
      </c>
      <c r="C7" s="25" t="s">
        <v>87</v>
      </c>
      <c r="D7" s="25" t="s">
        <v>150</v>
      </c>
      <c r="E7" s="25" t="s">
        <v>150</v>
      </c>
      <c r="F7" s="29" t="s">
        <v>88</v>
      </c>
    </row>
    <row r="8" spans="1:6" x14ac:dyDescent="0.2">
      <c r="A8" s="23" t="s">
        <v>203</v>
      </c>
      <c r="B8" s="23" t="s">
        <v>233</v>
      </c>
      <c r="C8" s="113" t="s">
        <v>87</v>
      </c>
      <c r="D8" s="113" t="s">
        <v>150</v>
      </c>
      <c r="E8" s="25" t="s">
        <v>150</v>
      </c>
      <c r="F8" s="29" t="s">
        <v>171</v>
      </c>
    </row>
    <row r="9" spans="1:6" s="102" customFormat="1" x14ac:dyDescent="0.2">
      <c r="A9" s="17"/>
      <c r="B9" s="17" t="s">
        <v>86</v>
      </c>
      <c r="C9" s="27"/>
      <c r="D9" s="27"/>
      <c r="E9" s="27"/>
      <c r="F9" s="26"/>
    </row>
    <row r="10" spans="1:6" s="102" customFormat="1" x14ac:dyDescent="0.2">
      <c r="A10" s="23" t="s">
        <v>202</v>
      </c>
      <c r="B10" s="23" t="s">
        <v>201</v>
      </c>
      <c r="C10" s="25" t="s">
        <v>85</v>
      </c>
      <c r="D10" s="25" t="s">
        <v>150</v>
      </c>
      <c r="E10" s="25" t="s">
        <v>150</v>
      </c>
      <c r="F10" s="24" t="s">
        <v>237</v>
      </c>
    </row>
    <row r="11" spans="1:6" x14ac:dyDescent="0.2">
      <c r="A11" s="17"/>
      <c r="B11" s="17" t="s">
        <v>84</v>
      </c>
      <c r="C11" s="27"/>
      <c r="D11" s="27"/>
      <c r="E11" s="27"/>
      <c r="F11" s="26"/>
    </row>
    <row r="12" spans="1:6" x14ac:dyDescent="0.2">
      <c r="A12" s="20"/>
      <c r="B12" s="20" t="s">
        <v>83</v>
      </c>
      <c r="C12" s="22"/>
      <c r="D12" s="22"/>
      <c r="E12" s="22"/>
      <c r="F12" s="21"/>
    </row>
    <row r="13" spans="1:6" x14ac:dyDescent="0.2">
      <c r="A13" s="30" t="s">
        <v>204</v>
      </c>
      <c r="B13" s="30" t="s">
        <v>180</v>
      </c>
      <c r="C13" s="32" t="s">
        <v>181</v>
      </c>
      <c r="D13" s="32" t="s">
        <v>150</v>
      </c>
      <c r="E13" s="32" t="s">
        <v>150</v>
      </c>
      <c r="F13" s="126" t="s">
        <v>184</v>
      </c>
    </row>
    <row r="14" spans="1:6" x14ac:dyDescent="0.2">
      <c r="A14" s="30" t="s">
        <v>204</v>
      </c>
      <c r="B14" s="30" t="s">
        <v>209</v>
      </c>
      <c r="C14" s="32" t="s">
        <v>181</v>
      </c>
      <c r="D14" s="32" t="s">
        <v>150</v>
      </c>
      <c r="E14" s="32" t="s">
        <v>150</v>
      </c>
      <c r="F14" s="118" t="s">
        <v>198</v>
      </c>
    </row>
    <row r="15" spans="1:6" x14ac:dyDescent="0.2">
      <c r="A15" s="20"/>
      <c r="B15" s="20" t="s">
        <v>82</v>
      </c>
      <c r="C15" s="22"/>
      <c r="D15" s="22"/>
      <c r="E15" s="22"/>
      <c r="F15" s="127"/>
    </row>
    <row r="16" spans="1:6" x14ac:dyDescent="0.2">
      <c r="A16" s="30" t="s">
        <v>204</v>
      </c>
      <c r="B16" s="30" t="s">
        <v>210</v>
      </c>
      <c r="C16" s="32" t="s">
        <v>181</v>
      </c>
      <c r="D16" s="32" t="s">
        <v>150</v>
      </c>
      <c r="E16" s="32" t="s">
        <v>150</v>
      </c>
      <c r="F16" s="118" t="s">
        <v>199</v>
      </c>
    </row>
    <row r="17" spans="1:6" x14ac:dyDescent="0.2">
      <c r="A17" s="20"/>
      <c r="B17" s="20" t="s">
        <v>81</v>
      </c>
      <c r="C17" s="22"/>
      <c r="D17" s="22"/>
      <c r="E17" s="22"/>
      <c r="F17" s="127"/>
    </row>
    <row r="18" spans="1:6" x14ac:dyDescent="0.2">
      <c r="A18" s="30" t="s">
        <v>204</v>
      </c>
      <c r="B18" s="30" t="s">
        <v>211</v>
      </c>
      <c r="C18" s="32" t="s">
        <v>181</v>
      </c>
      <c r="D18" s="32" t="s">
        <v>150</v>
      </c>
      <c r="E18" s="32" t="s">
        <v>150</v>
      </c>
      <c r="F18" s="118" t="s">
        <v>200</v>
      </c>
    </row>
    <row r="19" spans="1:6" x14ac:dyDescent="0.2">
      <c r="A19" s="30" t="s">
        <v>204</v>
      </c>
      <c r="B19" s="30" t="s">
        <v>212</v>
      </c>
      <c r="C19" s="32" t="s">
        <v>181</v>
      </c>
      <c r="D19" s="32" t="s">
        <v>150</v>
      </c>
      <c r="E19" s="32" t="s">
        <v>150</v>
      </c>
      <c r="F19" s="126" t="s">
        <v>190</v>
      </c>
    </row>
    <row r="20" spans="1:6" x14ac:dyDescent="0.2">
      <c r="A20" s="17"/>
      <c r="B20" s="17" t="s">
        <v>79</v>
      </c>
      <c r="C20" s="27"/>
      <c r="D20" s="27"/>
      <c r="E20" s="27"/>
      <c r="F20" s="26"/>
    </row>
    <row r="21" spans="1:6" x14ac:dyDescent="0.2">
      <c r="A21" s="20"/>
      <c r="B21" s="20" t="s">
        <v>78</v>
      </c>
      <c r="C21" s="34"/>
      <c r="D21" s="34"/>
      <c r="E21" s="34"/>
      <c r="F21" s="33"/>
    </row>
    <row r="22" spans="1:6" x14ac:dyDescent="0.2">
      <c r="A22" s="23" t="s">
        <v>205</v>
      </c>
      <c r="B22" s="23" t="s">
        <v>77</v>
      </c>
      <c r="C22" s="35" t="s">
        <v>65</v>
      </c>
      <c r="D22" s="25" t="s">
        <v>150</v>
      </c>
      <c r="E22" s="25" t="s">
        <v>150</v>
      </c>
      <c r="F22" s="29" t="s">
        <v>76</v>
      </c>
    </row>
    <row r="23" spans="1:6" x14ac:dyDescent="0.2">
      <c r="A23" s="23" t="s">
        <v>205</v>
      </c>
      <c r="B23" s="23" t="s">
        <v>238</v>
      </c>
      <c r="C23" s="35" t="s">
        <v>65</v>
      </c>
      <c r="D23" s="25" t="s">
        <v>150</v>
      </c>
      <c r="E23" s="25" t="s">
        <v>150</v>
      </c>
      <c r="F23" s="29" t="s">
        <v>103</v>
      </c>
    </row>
    <row r="24" spans="1:6" x14ac:dyDescent="0.2">
      <c r="A24" s="36" t="s">
        <v>205</v>
      </c>
      <c r="B24" s="36" t="s">
        <v>75</v>
      </c>
      <c r="C24" s="35" t="s">
        <v>65</v>
      </c>
      <c r="D24" s="25" t="s">
        <v>150</v>
      </c>
      <c r="E24" s="25" t="s">
        <v>150</v>
      </c>
      <c r="F24" s="115" t="s">
        <v>74</v>
      </c>
    </row>
    <row r="25" spans="1:6" x14ac:dyDescent="0.2">
      <c r="A25" s="23" t="s">
        <v>205</v>
      </c>
      <c r="B25" s="23" t="s">
        <v>73</v>
      </c>
      <c r="C25" s="35" t="s">
        <v>65</v>
      </c>
      <c r="D25" s="25" t="s">
        <v>150</v>
      </c>
      <c r="E25" s="25" t="s">
        <v>150</v>
      </c>
      <c r="F25" s="37" t="s">
        <v>72</v>
      </c>
    </row>
    <row r="26" spans="1:6" x14ac:dyDescent="0.2">
      <c r="A26" s="23" t="s">
        <v>205</v>
      </c>
      <c r="B26" s="23" t="s">
        <v>71</v>
      </c>
      <c r="C26" s="35" t="s">
        <v>65</v>
      </c>
      <c r="D26" s="25" t="s">
        <v>150</v>
      </c>
      <c r="E26" s="25" t="s">
        <v>150</v>
      </c>
      <c r="F26" s="37" t="s">
        <v>70</v>
      </c>
    </row>
    <row r="27" spans="1:6" x14ac:dyDescent="0.2">
      <c r="A27" s="23" t="s">
        <v>205</v>
      </c>
      <c r="B27" s="23" t="s">
        <v>69</v>
      </c>
      <c r="C27" s="35" t="s">
        <v>65</v>
      </c>
      <c r="D27" s="25" t="s">
        <v>150</v>
      </c>
      <c r="E27" s="25" t="s">
        <v>150</v>
      </c>
      <c r="F27" s="29" t="s">
        <v>68</v>
      </c>
    </row>
    <row r="28" spans="1:6" x14ac:dyDescent="0.2">
      <c r="A28" s="23" t="s">
        <v>205</v>
      </c>
      <c r="B28" s="23" t="s">
        <v>67</v>
      </c>
      <c r="C28" s="35" t="s">
        <v>65</v>
      </c>
      <c r="D28" s="25" t="s">
        <v>150</v>
      </c>
      <c r="E28" s="25" t="s">
        <v>150</v>
      </c>
      <c r="F28" s="37" t="s">
        <v>66</v>
      </c>
    </row>
    <row r="29" spans="1:6" x14ac:dyDescent="0.2">
      <c r="A29" s="23" t="s">
        <v>205</v>
      </c>
      <c r="B29" s="23" t="s">
        <v>67</v>
      </c>
      <c r="C29" s="35" t="s">
        <v>65</v>
      </c>
      <c r="D29" s="25" t="s">
        <v>150</v>
      </c>
      <c r="E29" s="25" t="s">
        <v>150</v>
      </c>
      <c r="F29" s="37" t="s">
        <v>232</v>
      </c>
    </row>
    <row r="30" spans="1:6" x14ac:dyDescent="0.2">
      <c r="A30" s="20"/>
      <c r="B30" s="20" t="s">
        <v>64</v>
      </c>
      <c r="C30" s="34"/>
      <c r="D30" s="34"/>
      <c r="E30" s="34"/>
      <c r="F30" s="33"/>
    </row>
    <row r="31" spans="1:6" x14ac:dyDescent="0.2">
      <c r="A31" s="23" t="s">
        <v>205</v>
      </c>
      <c r="B31" s="23" t="s">
        <v>186</v>
      </c>
      <c r="C31" s="35" t="s">
        <v>157</v>
      </c>
      <c r="D31" s="25" t="s">
        <v>150</v>
      </c>
      <c r="E31" s="25" t="s">
        <v>150</v>
      </c>
      <c r="F31" s="37" t="s">
        <v>63</v>
      </c>
    </row>
    <row r="32" spans="1:6" x14ac:dyDescent="0.2">
      <c r="A32" s="23" t="s">
        <v>205</v>
      </c>
      <c r="B32" s="23" t="s">
        <v>179</v>
      </c>
      <c r="C32" s="35" t="s">
        <v>157</v>
      </c>
      <c r="D32" s="25" t="s">
        <v>150</v>
      </c>
      <c r="E32" s="25" t="s">
        <v>150</v>
      </c>
      <c r="F32" s="37" t="s">
        <v>62</v>
      </c>
    </row>
    <row r="33" spans="1:6" x14ac:dyDescent="0.2">
      <c r="A33" s="23" t="s">
        <v>205</v>
      </c>
      <c r="B33" s="23" t="s">
        <v>187</v>
      </c>
      <c r="C33" s="35" t="s">
        <v>157</v>
      </c>
      <c r="D33" s="25" t="s">
        <v>150</v>
      </c>
      <c r="E33" s="25" t="s">
        <v>150</v>
      </c>
      <c r="F33" s="37" t="s">
        <v>61</v>
      </c>
    </row>
    <row r="34" spans="1:6" x14ac:dyDescent="0.2">
      <c r="A34" s="23" t="s">
        <v>205</v>
      </c>
      <c r="B34" s="23" t="s">
        <v>60</v>
      </c>
      <c r="C34" s="35" t="s">
        <v>157</v>
      </c>
      <c r="D34" s="25" t="s">
        <v>150</v>
      </c>
      <c r="E34" s="25" t="s">
        <v>150</v>
      </c>
      <c r="F34" s="37" t="s">
        <v>59</v>
      </c>
    </row>
    <row r="35" spans="1:6" x14ac:dyDescent="0.2">
      <c r="A35" s="23" t="s">
        <v>205</v>
      </c>
      <c r="B35" s="23" t="s">
        <v>60</v>
      </c>
      <c r="C35" s="35" t="s">
        <v>157</v>
      </c>
      <c r="D35" s="25" t="s">
        <v>150</v>
      </c>
      <c r="E35" s="25" t="s">
        <v>150</v>
      </c>
      <c r="F35" s="37" t="s">
        <v>105</v>
      </c>
    </row>
    <row r="36" spans="1:6" x14ac:dyDescent="0.2">
      <c r="A36" s="20"/>
      <c r="B36" s="20" t="s">
        <v>58</v>
      </c>
      <c r="C36" s="34"/>
      <c r="D36" s="34"/>
      <c r="E36" s="34"/>
      <c r="F36" s="33"/>
    </row>
    <row r="37" spans="1:6" x14ac:dyDescent="0.2">
      <c r="A37" s="23" t="s">
        <v>205</v>
      </c>
      <c r="B37" s="23" t="s">
        <v>57</v>
      </c>
      <c r="C37" s="35" t="s">
        <v>158</v>
      </c>
      <c r="D37" s="25" t="s">
        <v>150</v>
      </c>
      <c r="E37" s="25" t="s">
        <v>150</v>
      </c>
      <c r="F37" s="37" t="s">
        <v>56</v>
      </c>
    </row>
    <row r="38" spans="1:6" x14ac:dyDescent="0.2">
      <c r="A38" s="23" t="s">
        <v>205</v>
      </c>
      <c r="B38" s="23" t="s">
        <v>101</v>
      </c>
      <c r="C38" s="35" t="s">
        <v>158</v>
      </c>
      <c r="D38" s="25" t="s">
        <v>150</v>
      </c>
      <c r="E38" s="25" t="s">
        <v>150</v>
      </c>
      <c r="F38" s="37" t="s">
        <v>104</v>
      </c>
    </row>
    <row r="39" spans="1:6" x14ac:dyDescent="0.2">
      <c r="A39" s="23" t="s">
        <v>205</v>
      </c>
      <c r="B39" s="23" t="s">
        <v>172</v>
      </c>
      <c r="C39" s="35" t="s">
        <v>158</v>
      </c>
      <c r="D39" s="25" t="s">
        <v>150</v>
      </c>
      <c r="E39" s="25" t="s">
        <v>150</v>
      </c>
      <c r="F39" s="37" t="s">
        <v>102</v>
      </c>
    </row>
    <row r="40" spans="1:6" x14ac:dyDescent="0.2">
      <c r="A40" s="23" t="s">
        <v>205</v>
      </c>
      <c r="B40" s="23" t="s">
        <v>54</v>
      </c>
      <c r="C40" s="35" t="s">
        <v>158</v>
      </c>
      <c r="D40" s="25" t="s">
        <v>150</v>
      </c>
      <c r="E40" s="25" t="s">
        <v>150</v>
      </c>
      <c r="F40" s="37" t="s">
        <v>55</v>
      </c>
    </row>
    <row r="41" spans="1:6" x14ac:dyDescent="0.2">
      <c r="A41" s="23" t="s">
        <v>205</v>
      </c>
      <c r="B41" s="23" t="s">
        <v>54</v>
      </c>
      <c r="C41" s="35" t="s">
        <v>158</v>
      </c>
      <c r="D41" s="25" t="s">
        <v>150</v>
      </c>
      <c r="E41" s="25" t="s">
        <v>150</v>
      </c>
      <c r="F41" s="37" t="s">
        <v>53</v>
      </c>
    </row>
    <row r="42" spans="1:6" x14ac:dyDescent="0.2">
      <c r="A42" s="20"/>
      <c r="B42" s="20" t="s">
        <v>52</v>
      </c>
      <c r="C42" s="34"/>
      <c r="D42" s="34"/>
      <c r="E42" s="34"/>
      <c r="F42" s="33"/>
    </row>
    <row r="43" spans="1:6" x14ac:dyDescent="0.2">
      <c r="A43" s="23" t="s">
        <v>205</v>
      </c>
      <c r="B43" s="23" t="s">
        <v>50</v>
      </c>
      <c r="C43" s="35" t="s">
        <v>157</v>
      </c>
      <c r="D43" s="25" t="s">
        <v>150</v>
      </c>
      <c r="E43" s="25" t="s">
        <v>150</v>
      </c>
      <c r="F43" s="37" t="s">
        <v>51</v>
      </c>
    </row>
    <row r="44" spans="1:6" x14ac:dyDescent="0.2">
      <c r="A44" s="23" t="s">
        <v>205</v>
      </c>
      <c r="B44" s="23" t="s">
        <v>50</v>
      </c>
      <c r="C44" s="35" t="s">
        <v>157</v>
      </c>
      <c r="D44" s="25" t="s">
        <v>150</v>
      </c>
      <c r="E44" s="25" t="s">
        <v>150</v>
      </c>
      <c r="F44" s="37" t="s">
        <v>49</v>
      </c>
    </row>
    <row r="45" spans="1:6" s="102" customFormat="1" x14ac:dyDescent="0.2">
      <c r="A45" s="23" t="s">
        <v>205</v>
      </c>
      <c r="B45" s="23" t="s">
        <v>196</v>
      </c>
      <c r="C45" s="35" t="s">
        <v>157</v>
      </c>
      <c r="D45" s="25" t="s">
        <v>150</v>
      </c>
      <c r="E45" s="25" t="s">
        <v>150</v>
      </c>
      <c r="F45" s="37" t="s">
        <v>194</v>
      </c>
    </row>
    <row r="46" spans="1:6" s="102" customFormat="1" x14ac:dyDescent="0.2">
      <c r="A46" s="23" t="s">
        <v>205</v>
      </c>
      <c r="B46" s="23" t="s">
        <v>197</v>
      </c>
      <c r="C46" s="35" t="s">
        <v>157</v>
      </c>
      <c r="D46" s="25" t="s">
        <v>150</v>
      </c>
      <c r="E46" s="25" t="s">
        <v>150</v>
      </c>
      <c r="F46" s="37" t="s">
        <v>195</v>
      </c>
    </row>
    <row r="47" spans="1:6" x14ac:dyDescent="0.2">
      <c r="A47" s="23" t="s">
        <v>205</v>
      </c>
      <c r="B47" s="23" t="s">
        <v>234</v>
      </c>
      <c r="C47" s="35" t="s">
        <v>173</v>
      </c>
      <c r="D47" s="25" t="s">
        <v>150</v>
      </c>
      <c r="E47" s="25" t="s">
        <v>150</v>
      </c>
      <c r="F47" s="37" t="s">
        <v>174</v>
      </c>
    </row>
    <row r="48" spans="1:6" x14ac:dyDescent="0.2">
      <c r="A48" s="23" t="s">
        <v>205</v>
      </c>
      <c r="B48" s="23" t="s">
        <v>235</v>
      </c>
      <c r="C48" s="35" t="s">
        <v>173</v>
      </c>
      <c r="D48" s="25" t="s">
        <v>150</v>
      </c>
      <c r="E48" s="25" t="s">
        <v>150</v>
      </c>
      <c r="F48" s="37" t="s">
        <v>191</v>
      </c>
    </row>
    <row r="49" spans="1:6" x14ac:dyDescent="0.2">
      <c r="A49" s="20"/>
      <c r="B49" s="20" t="s">
        <v>48</v>
      </c>
      <c r="C49" s="34"/>
      <c r="D49" s="34"/>
      <c r="E49" s="34"/>
      <c r="F49" s="33"/>
    </row>
    <row r="50" spans="1:6" x14ac:dyDescent="0.2">
      <c r="A50" s="23" t="s">
        <v>205</v>
      </c>
      <c r="B50" s="23" t="s">
        <v>47</v>
      </c>
      <c r="C50" s="35" t="s">
        <v>157</v>
      </c>
      <c r="D50" s="25" t="s">
        <v>150</v>
      </c>
      <c r="E50" s="25" t="s">
        <v>150</v>
      </c>
      <c r="F50" s="37" t="s">
        <v>46</v>
      </c>
    </row>
    <row r="51" spans="1:6" x14ac:dyDescent="0.2">
      <c r="A51" s="23" t="s">
        <v>205</v>
      </c>
      <c r="B51" s="23" t="s">
        <v>45</v>
      </c>
      <c r="C51" s="35" t="s">
        <v>43</v>
      </c>
      <c r="D51" s="25" t="s">
        <v>150</v>
      </c>
      <c r="E51" s="25" t="s">
        <v>150</v>
      </c>
      <c r="F51" s="37" t="s">
        <v>44</v>
      </c>
    </row>
    <row r="52" spans="1:6" x14ac:dyDescent="0.2">
      <c r="A52" s="17"/>
      <c r="B52" s="17" t="s">
        <v>42</v>
      </c>
      <c r="C52" s="27"/>
      <c r="D52" s="27"/>
      <c r="E52" s="27"/>
      <c r="F52" s="26"/>
    </row>
    <row r="53" spans="1:6" x14ac:dyDescent="0.2">
      <c r="A53" s="20"/>
      <c r="B53" s="20" t="s">
        <v>41</v>
      </c>
      <c r="C53" s="34"/>
      <c r="D53" s="34"/>
      <c r="E53" s="34"/>
      <c r="F53" s="33"/>
    </row>
    <row r="54" spans="1:6" x14ac:dyDescent="0.2">
      <c r="A54" s="38" t="s">
        <v>206</v>
      </c>
      <c r="B54" s="38" t="s">
        <v>40</v>
      </c>
      <c r="C54" s="25" t="s">
        <v>146</v>
      </c>
      <c r="D54" s="25" t="s">
        <v>150</v>
      </c>
      <c r="E54" s="25" t="s">
        <v>150</v>
      </c>
      <c r="F54" s="29" t="s">
        <v>39</v>
      </c>
    </row>
    <row r="55" spans="1:6" x14ac:dyDescent="0.2">
      <c r="A55" s="28" t="s">
        <v>206</v>
      </c>
      <c r="B55" s="28" t="s">
        <v>214</v>
      </c>
      <c r="C55" s="25" t="s">
        <v>146</v>
      </c>
      <c r="D55" s="25" t="s">
        <v>150</v>
      </c>
      <c r="E55" s="25" t="s">
        <v>150</v>
      </c>
      <c r="F55" s="29" t="s">
        <v>38</v>
      </c>
    </row>
    <row r="56" spans="1:6" x14ac:dyDescent="0.2">
      <c r="A56" s="28" t="s">
        <v>206</v>
      </c>
      <c r="B56" s="28" t="s">
        <v>37</v>
      </c>
      <c r="C56" s="25" t="s">
        <v>146</v>
      </c>
      <c r="D56" s="25" t="s">
        <v>150</v>
      </c>
      <c r="E56" s="25" t="s">
        <v>150</v>
      </c>
      <c r="F56" s="29" t="s">
        <v>36</v>
      </c>
    </row>
    <row r="57" spans="1:6" x14ac:dyDescent="0.2">
      <c r="A57" s="28" t="s">
        <v>206</v>
      </c>
      <c r="B57" s="28" t="s">
        <v>213</v>
      </c>
      <c r="C57" s="25" t="s">
        <v>24</v>
      </c>
      <c r="D57" s="25" t="s">
        <v>150</v>
      </c>
      <c r="E57" s="25" t="s">
        <v>150</v>
      </c>
      <c r="F57" s="29" t="s">
        <v>154</v>
      </c>
    </row>
    <row r="58" spans="1:6" x14ac:dyDescent="0.2">
      <c r="A58" s="39"/>
      <c r="B58" s="39" t="s">
        <v>35</v>
      </c>
      <c r="C58" s="34"/>
      <c r="D58" s="34"/>
      <c r="E58" s="34"/>
      <c r="F58" s="33"/>
    </row>
    <row r="59" spans="1:6" x14ac:dyDescent="0.2">
      <c r="A59" s="28" t="s">
        <v>206</v>
      </c>
      <c r="B59" s="28" t="s">
        <v>215</v>
      </c>
      <c r="C59" s="25" t="s">
        <v>146</v>
      </c>
      <c r="D59" s="25" t="s">
        <v>150</v>
      </c>
      <c r="E59" s="25" t="s">
        <v>150</v>
      </c>
      <c r="F59" s="29" t="s">
        <v>34</v>
      </c>
    </row>
    <row r="60" spans="1:6" x14ac:dyDescent="0.2">
      <c r="A60" s="28" t="s">
        <v>206</v>
      </c>
      <c r="B60" s="28" t="s">
        <v>218</v>
      </c>
      <c r="C60" s="25" t="s">
        <v>24</v>
      </c>
      <c r="D60" s="25" t="s">
        <v>150</v>
      </c>
      <c r="E60" s="25" t="s">
        <v>150</v>
      </c>
      <c r="F60" s="29" t="s">
        <v>155</v>
      </c>
    </row>
    <row r="61" spans="1:6" x14ac:dyDescent="0.2">
      <c r="A61" s="39"/>
      <c r="B61" s="39" t="s">
        <v>33</v>
      </c>
      <c r="C61" s="34"/>
      <c r="D61" s="34"/>
      <c r="E61" s="34"/>
      <c r="F61" s="33"/>
    </row>
    <row r="62" spans="1:6" x14ac:dyDescent="0.2">
      <c r="A62" s="28" t="s">
        <v>206</v>
      </c>
      <c r="B62" s="28" t="s">
        <v>32</v>
      </c>
      <c r="C62" s="25" t="s">
        <v>24</v>
      </c>
      <c r="D62" s="25" t="s">
        <v>150</v>
      </c>
      <c r="E62" s="25" t="s">
        <v>150</v>
      </c>
      <c r="F62" s="29" t="s">
        <v>31</v>
      </c>
    </row>
    <row r="63" spans="1:6" x14ac:dyDescent="0.2">
      <c r="A63" s="28" t="s">
        <v>206</v>
      </c>
      <c r="B63" s="28" t="s">
        <v>30</v>
      </c>
      <c r="C63" s="25" t="s">
        <v>24</v>
      </c>
      <c r="D63" s="25" t="s">
        <v>150</v>
      </c>
      <c r="E63" s="25" t="s">
        <v>150</v>
      </c>
      <c r="F63" s="29" t="s">
        <v>29</v>
      </c>
    </row>
    <row r="64" spans="1:6" x14ac:dyDescent="0.2">
      <c r="A64" s="28" t="s">
        <v>206</v>
      </c>
      <c r="B64" s="28" t="s">
        <v>28</v>
      </c>
      <c r="C64" s="25" t="s">
        <v>24</v>
      </c>
      <c r="D64" s="25" t="s">
        <v>150</v>
      </c>
      <c r="E64" s="25" t="s">
        <v>150</v>
      </c>
      <c r="F64" s="29" t="s">
        <v>27</v>
      </c>
    </row>
    <row r="65" spans="1:6" x14ac:dyDescent="0.2">
      <c r="A65" s="28" t="s">
        <v>206</v>
      </c>
      <c r="B65" s="28" t="s">
        <v>26</v>
      </c>
      <c r="C65" s="25" t="s">
        <v>24</v>
      </c>
      <c r="D65" s="25" t="s">
        <v>150</v>
      </c>
      <c r="E65" s="25" t="s">
        <v>150</v>
      </c>
      <c r="F65" s="29" t="s">
        <v>25</v>
      </c>
    </row>
    <row r="66" spans="1:6" x14ac:dyDescent="0.2">
      <c r="A66" s="28" t="s">
        <v>206</v>
      </c>
      <c r="B66" s="28" t="s">
        <v>216</v>
      </c>
      <c r="C66" s="25" t="s">
        <v>24</v>
      </c>
      <c r="D66" s="25" t="s">
        <v>150</v>
      </c>
      <c r="E66" s="25" t="s">
        <v>150</v>
      </c>
      <c r="F66" s="29" t="s">
        <v>156</v>
      </c>
    </row>
    <row r="67" spans="1:6" x14ac:dyDescent="0.2">
      <c r="A67" s="28" t="s">
        <v>206</v>
      </c>
      <c r="B67" s="28" t="s">
        <v>217</v>
      </c>
      <c r="C67" s="25" t="s">
        <v>24</v>
      </c>
      <c r="D67" s="25" t="s">
        <v>150</v>
      </c>
      <c r="E67" s="25" t="s">
        <v>150</v>
      </c>
      <c r="F67" s="29" t="s">
        <v>236</v>
      </c>
    </row>
    <row r="68" spans="1:6" x14ac:dyDescent="0.2">
      <c r="A68" s="4"/>
      <c r="B68" s="4" t="s">
        <v>23</v>
      </c>
      <c r="C68" s="15"/>
      <c r="D68" s="15"/>
      <c r="E68" s="15"/>
      <c r="F68" s="3"/>
    </row>
    <row r="69" spans="1:6" x14ac:dyDescent="0.2">
      <c r="A69" s="11"/>
      <c r="B69" s="11" t="s">
        <v>22</v>
      </c>
      <c r="C69" s="14"/>
      <c r="D69" s="14"/>
      <c r="E69" s="14"/>
      <c r="F69" s="12"/>
    </row>
    <row r="70" spans="1:6" x14ac:dyDescent="0.2">
      <c r="A70" s="7" t="s">
        <v>207</v>
      </c>
      <c r="B70" s="7" t="s">
        <v>21</v>
      </c>
      <c r="C70" s="5" t="s">
        <v>13</v>
      </c>
      <c r="D70" s="5" t="s">
        <v>150</v>
      </c>
      <c r="E70" s="5" t="s">
        <v>150</v>
      </c>
      <c r="F70" s="29" t="s">
        <v>20</v>
      </c>
    </row>
    <row r="71" spans="1:6" x14ac:dyDescent="0.2">
      <c r="A71" s="6" t="s">
        <v>207</v>
      </c>
      <c r="B71" s="6" t="s">
        <v>221</v>
      </c>
      <c r="C71" s="5" t="s">
        <v>13</v>
      </c>
      <c r="D71" s="5" t="s">
        <v>150</v>
      </c>
      <c r="E71" s="5" t="s">
        <v>150</v>
      </c>
      <c r="F71" s="125" t="s">
        <v>147</v>
      </c>
    </row>
    <row r="72" spans="1:6" x14ac:dyDescent="0.2">
      <c r="A72" s="13"/>
      <c r="B72" s="13" t="s">
        <v>19</v>
      </c>
      <c r="C72" s="14"/>
      <c r="D72" s="14"/>
      <c r="E72" s="14"/>
      <c r="F72" s="12"/>
    </row>
    <row r="73" spans="1:6" x14ac:dyDescent="0.2">
      <c r="A73" s="7" t="s">
        <v>207</v>
      </c>
      <c r="B73" s="7" t="s">
        <v>18</v>
      </c>
      <c r="C73" s="5" t="s">
        <v>13</v>
      </c>
      <c r="D73" s="5" t="s">
        <v>150</v>
      </c>
      <c r="E73" s="5" t="s">
        <v>150</v>
      </c>
      <c r="F73" s="125" t="s">
        <v>17</v>
      </c>
    </row>
    <row r="74" spans="1:6" x14ac:dyDescent="0.2">
      <c r="A74" s="6" t="s">
        <v>207</v>
      </c>
      <c r="B74" s="6" t="s">
        <v>220</v>
      </c>
      <c r="C74" s="5" t="s">
        <v>13</v>
      </c>
      <c r="D74" s="5" t="s">
        <v>150</v>
      </c>
      <c r="E74" s="5" t="s">
        <v>150</v>
      </c>
      <c r="F74" s="125" t="s">
        <v>148</v>
      </c>
    </row>
    <row r="75" spans="1:6" s="102" customFormat="1" x14ac:dyDescent="0.2">
      <c r="A75" s="6" t="s">
        <v>207</v>
      </c>
      <c r="B75" s="6" t="s">
        <v>220</v>
      </c>
      <c r="C75" s="5" t="s">
        <v>13</v>
      </c>
      <c r="D75" s="5" t="s">
        <v>150</v>
      </c>
      <c r="E75" s="5" t="s">
        <v>150</v>
      </c>
      <c r="F75" s="125" t="s">
        <v>219</v>
      </c>
    </row>
    <row r="76" spans="1:6" x14ac:dyDescent="0.2">
      <c r="A76" s="13"/>
      <c r="B76" s="13" t="s">
        <v>16</v>
      </c>
      <c r="C76" s="14"/>
      <c r="D76" s="14"/>
      <c r="E76" s="14"/>
      <c r="F76" s="12"/>
    </row>
    <row r="77" spans="1:6" x14ac:dyDescent="0.2">
      <c r="A77" s="7" t="s">
        <v>207</v>
      </c>
      <c r="B77" s="7" t="s">
        <v>15</v>
      </c>
      <c r="C77" s="5" t="s">
        <v>13</v>
      </c>
      <c r="D77" s="5" t="s">
        <v>150</v>
      </c>
      <c r="E77" s="5" t="s">
        <v>150</v>
      </c>
      <c r="F77" s="29" t="s">
        <v>14</v>
      </c>
    </row>
    <row r="78" spans="1:6" x14ac:dyDescent="0.2">
      <c r="A78" s="6" t="s">
        <v>207</v>
      </c>
      <c r="B78" s="6" t="s">
        <v>222</v>
      </c>
      <c r="C78" s="5" t="s">
        <v>13</v>
      </c>
      <c r="D78" s="5" t="s">
        <v>150</v>
      </c>
      <c r="E78" s="5" t="s">
        <v>150</v>
      </c>
      <c r="F78" s="125" t="s">
        <v>149</v>
      </c>
    </row>
    <row r="79" spans="1:6" x14ac:dyDescent="0.2">
      <c r="A79" s="17"/>
      <c r="B79" s="17" t="s">
        <v>12</v>
      </c>
      <c r="C79" s="27"/>
      <c r="D79" s="27"/>
      <c r="E79" s="27"/>
      <c r="F79" s="26"/>
    </row>
    <row r="80" spans="1:6" x14ac:dyDescent="0.2">
      <c r="A80" s="114"/>
      <c r="B80" s="114" t="s">
        <v>11</v>
      </c>
      <c r="C80" s="22"/>
      <c r="D80" s="22"/>
      <c r="E80" s="22"/>
      <c r="F80" s="21"/>
    </row>
    <row r="81" spans="1:6" x14ac:dyDescent="0.2">
      <c r="A81" s="28" t="s">
        <v>208</v>
      </c>
      <c r="B81" s="28" t="s">
        <v>225</v>
      </c>
      <c r="C81" s="35" t="s">
        <v>170</v>
      </c>
      <c r="D81" s="35" t="s">
        <v>150</v>
      </c>
      <c r="E81" s="35" t="s">
        <v>150</v>
      </c>
      <c r="F81" s="31" t="s">
        <v>10</v>
      </c>
    </row>
    <row r="82" spans="1:6" x14ac:dyDescent="0.2">
      <c r="A82" s="28" t="s">
        <v>208</v>
      </c>
      <c r="B82" s="28" t="s">
        <v>226</v>
      </c>
      <c r="C82" s="35" t="s">
        <v>170</v>
      </c>
      <c r="D82" s="35" t="s">
        <v>150</v>
      </c>
      <c r="E82" s="35" t="s">
        <v>150</v>
      </c>
      <c r="F82" s="128" t="s">
        <v>160</v>
      </c>
    </row>
    <row r="83" spans="1:6" x14ac:dyDescent="0.2">
      <c r="A83" s="28" t="s">
        <v>208</v>
      </c>
      <c r="B83" s="28" t="s">
        <v>151</v>
      </c>
      <c r="C83" s="35" t="s">
        <v>170</v>
      </c>
      <c r="D83" s="35" t="s">
        <v>150</v>
      </c>
      <c r="E83" s="35" t="s">
        <v>150</v>
      </c>
      <c r="F83" s="128" t="s">
        <v>161</v>
      </c>
    </row>
    <row r="84" spans="1:6" x14ac:dyDescent="0.2">
      <c r="A84" s="28" t="s">
        <v>208</v>
      </c>
      <c r="B84" s="28" t="s">
        <v>152</v>
      </c>
      <c r="C84" s="35" t="s">
        <v>169</v>
      </c>
      <c r="D84" s="35" t="s">
        <v>150</v>
      </c>
      <c r="E84" s="35" t="s">
        <v>150</v>
      </c>
      <c r="F84" s="128" t="s">
        <v>163</v>
      </c>
    </row>
    <row r="85" spans="1:6" x14ac:dyDescent="0.2">
      <c r="A85" s="28" t="s">
        <v>208</v>
      </c>
      <c r="B85" s="28" t="s">
        <v>162</v>
      </c>
      <c r="C85" s="35" t="s">
        <v>169</v>
      </c>
      <c r="D85" s="35" t="s">
        <v>150</v>
      </c>
      <c r="E85" s="35" t="s">
        <v>150</v>
      </c>
      <c r="F85" s="128" t="s">
        <v>164</v>
      </c>
    </row>
    <row r="86" spans="1:6" x14ac:dyDescent="0.2">
      <c r="A86" s="28" t="s">
        <v>208</v>
      </c>
      <c r="B86" s="28" t="s">
        <v>153</v>
      </c>
      <c r="C86" s="35" t="s">
        <v>169</v>
      </c>
      <c r="D86" s="35" t="s">
        <v>150</v>
      </c>
      <c r="E86" s="35" t="s">
        <v>150</v>
      </c>
      <c r="F86" s="128" t="s">
        <v>165</v>
      </c>
    </row>
    <row r="87" spans="1:6" x14ac:dyDescent="0.2">
      <c r="A87" s="28" t="s">
        <v>208</v>
      </c>
      <c r="B87" s="28" t="s">
        <v>167</v>
      </c>
      <c r="C87" s="35" t="s">
        <v>168</v>
      </c>
      <c r="D87" s="35" t="s">
        <v>150</v>
      </c>
      <c r="E87" s="35" t="s">
        <v>150</v>
      </c>
      <c r="F87" s="128" t="s">
        <v>166</v>
      </c>
    </row>
    <row r="88" spans="1:6" x14ac:dyDescent="0.2">
      <c r="A88" s="28" t="s">
        <v>208</v>
      </c>
      <c r="B88" s="28" t="s">
        <v>227</v>
      </c>
      <c r="C88" s="35" t="s">
        <v>168</v>
      </c>
      <c r="D88" s="35" t="s">
        <v>150</v>
      </c>
      <c r="E88" s="35" t="s">
        <v>150</v>
      </c>
      <c r="F88" s="128" t="s">
        <v>185</v>
      </c>
    </row>
    <row r="89" spans="1:6" x14ac:dyDescent="0.2">
      <c r="A89" s="28" t="s">
        <v>208</v>
      </c>
      <c r="B89" s="28" t="s">
        <v>178</v>
      </c>
      <c r="C89" s="35" t="s">
        <v>169</v>
      </c>
      <c r="D89" s="35" t="s">
        <v>150</v>
      </c>
      <c r="E89" s="35" t="s">
        <v>150</v>
      </c>
      <c r="F89" s="115" t="s">
        <v>189</v>
      </c>
    </row>
    <row r="90" spans="1:6" x14ac:dyDescent="0.2">
      <c r="A90" s="28" t="s">
        <v>208</v>
      </c>
      <c r="B90" s="28" t="s">
        <v>9</v>
      </c>
      <c r="C90" s="35" t="s">
        <v>170</v>
      </c>
      <c r="D90" s="35" t="s">
        <v>150</v>
      </c>
      <c r="E90" s="35" t="s">
        <v>150</v>
      </c>
      <c r="F90" s="29" t="s">
        <v>8</v>
      </c>
    </row>
    <row r="91" spans="1:6" x14ac:dyDescent="0.2">
      <c r="A91" s="114"/>
      <c r="B91" s="114" t="s">
        <v>7</v>
      </c>
      <c r="C91" s="22"/>
      <c r="D91" s="22"/>
      <c r="E91" s="22"/>
      <c r="F91" s="21"/>
    </row>
    <row r="92" spans="1:6" x14ac:dyDescent="0.2">
      <c r="A92" s="28" t="s">
        <v>208</v>
      </c>
      <c r="B92" s="28" t="s">
        <v>6</v>
      </c>
      <c r="C92" s="35" t="s">
        <v>170</v>
      </c>
      <c r="D92" s="35" t="s">
        <v>150</v>
      </c>
      <c r="E92" s="35" t="s">
        <v>150</v>
      </c>
      <c r="F92" s="29" t="s">
        <v>159</v>
      </c>
    </row>
    <row r="93" spans="1:6" x14ac:dyDescent="0.2">
      <c r="A93" s="28" t="s">
        <v>208</v>
      </c>
      <c r="B93" s="28" t="s">
        <v>177</v>
      </c>
      <c r="C93" s="35" t="s">
        <v>169</v>
      </c>
      <c r="D93" s="35" t="s">
        <v>150</v>
      </c>
      <c r="E93" s="35" t="s">
        <v>150</v>
      </c>
      <c r="F93" s="29" t="s">
        <v>5</v>
      </c>
    </row>
    <row r="94" spans="1:6" x14ac:dyDescent="0.2">
      <c r="A94" s="28" t="s">
        <v>208</v>
      </c>
      <c r="B94" s="28" t="s">
        <v>228</v>
      </c>
      <c r="C94" s="35" t="s">
        <v>168</v>
      </c>
      <c r="D94" s="35" t="s">
        <v>150</v>
      </c>
      <c r="E94" s="35" t="s">
        <v>150</v>
      </c>
      <c r="F94" s="29" t="s">
        <v>229</v>
      </c>
    </row>
    <row r="95" spans="1:6" x14ac:dyDescent="0.2">
      <c r="A95" s="28" t="s">
        <v>208</v>
      </c>
      <c r="B95" s="28" t="s">
        <v>231</v>
      </c>
      <c r="C95" s="35" t="s">
        <v>170</v>
      </c>
      <c r="D95" s="35" t="s">
        <v>150</v>
      </c>
      <c r="E95" s="35" t="s">
        <v>150</v>
      </c>
      <c r="F95" s="29" t="s">
        <v>4</v>
      </c>
    </row>
    <row r="96" spans="1:6" x14ac:dyDescent="0.2">
      <c r="A96" s="28" t="s">
        <v>208</v>
      </c>
      <c r="B96" s="28" t="s">
        <v>230</v>
      </c>
      <c r="C96" s="35" t="s">
        <v>168</v>
      </c>
      <c r="D96" s="35" t="s">
        <v>150</v>
      </c>
      <c r="E96" s="35" t="s">
        <v>150</v>
      </c>
      <c r="F96" s="29" t="s">
        <v>3</v>
      </c>
    </row>
    <row r="97" spans="1:6" x14ac:dyDescent="0.2">
      <c r="A97" s="28" t="s">
        <v>208</v>
      </c>
      <c r="B97" s="28" t="s">
        <v>193</v>
      </c>
      <c r="C97" s="35" t="s">
        <v>170</v>
      </c>
      <c r="D97" s="35" t="s">
        <v>150</v>
      </c>
      <c r="E97" s="35" t="s">
        <v>150</v>
      </c>
      <c r="F97" s="29" t="s">
        <v>188</v>
      </c>
    </row>
    <row r="98" spans="1:6" x14ac:dyDescent="0.2">
      <c r="A98" s="28" t="s">
        <v>208</v>
      </c>
      <c r="B98" s="28" t="s">
        <v>2</v>
      </c>
      <c r="C98" s="35" t="s">
        <v>170</v>
      </c>
      <c r="D98" s="35" t="s">
        <v>150</v>
      </c>
      <c r="E98" s="35" t="s">
        <v>150</v>
      </c>
      <c r="F98" s="29" t="s">
        <v>1</v>
      </c>
    </row>
    <row r="99" spans="1:6" x14ac:dyDescent="0.2">
      <c r="A99" s="28" t="s">
        <v>208</v>
      </c>
      <c r="B99" s="28" t="s">
        <v>223</v>
      </c>
      <c r="C99" s="35" t="s">
        <v>0</v>
      </c>
      <c r="D99" s="35" t="s">
        <v>150</v>
      </c>
      <c r="E99" s="35" t="s">
        <v>150</v>
      </c>
      <c r="F99" s="29" t="s">
        <v>224</v>
      </c>
    </row>
  </sheetData>
  <autoFilter ref="A1:F99"/>
  <sortState ref="A93:H101">
    <sortCondition ref="F93:F101"/>
  </sortState>
  <pageMargins left="0.511811024" right="0.511811024" top="0.78740157499999996" bottom="0.78740157499999996" header="0.31496062000000002" footer="0.31496062000000002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J26"/>
  <sheetViews>
    <sheetView showGridLines="0" workbookViewId="0">
      <selection activeCell="B2" sqref="B2:B3"/>
    </sheetView>
  </sheetViews>
  <sheetFormatPr defaultRowHeight="12.75" x14ac:dyDescent="0.2"/>
  <cols>
    <col min="1" max="1" width="1.25" customWidth="1"/>
    <col min="2" max="2" width="67.375" customWidth="1"/>
    <col min="3" max="62" width="3.75" style="16" customWidth="1"/>
  </cols>
  <sheetData>
    <row r="1" spans="2:62" ht="12.75" customHeight="1" x14ac:dyDescent="0.2"/>
    <row r="2" spans="2:62" x14ac:dyDescent="0.2">
      <c r="B2" s="129" t="s">
        <v>110</v>
      </c>
      <c r="C2" s="104"/>
      <c r="D2" s="104"/>
      <c r="E2" s="104"/>
      <c r="F2" s="104"/>
      <c r="G2" s="104"/>
      <c r="H2" s="131" t="s">
        <v>107</v>
      </c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3"/>
      <c r="T2" s="131" t="s">
        <v>108</v>
      </c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3"/>
      <c r="AQ2" s="134" t="s">
        <v>109</v>
      </c>
      <c r="AR2" s="132"/>
      <c r="AS2" s="132"/>
      <c r="AT2" s="132"/>
      <c r="AU2" s="132"/>
      <c r="AV2" s="132"/>
      <c r="AW2" s="132"/>
      <c r="AX2" s="132"/>
      <c r="AY2" s="132"/>
      <c r="AZ2" s="132"/>
      <c r="BA2" s="132"/>
      <c r="BB2" s="132"/>
      <c r="BC2" s="132"/>
      <c r="BD2" s="132"/>
      <c r="BE2" s="132"/>
      <c r="BF2" s="132"/>
      <c r="BG2" s="132"/>
      <c r="BH2" s="132"/>
      <c r="BI2" s="132"/>
      <c r="BJ2" s="133"/>
    </row>
    <row r="3" spans="2:62" x14ac:dyDescent="0.2">
      <c r="B3" s="130"/>
      <c r="C3" s="40">
        <v>8</v>
      </c>
      <c r="D3" s="40">
        <v>9</v>
      </c>
      <c r="E3" s="40">
        <v>10</v>
      </c>
      <c r="F3" s="40">
        <v>11</v>
      </c>
      <c r="G3" s="40">
        <v>12</v>
      </c>
      <c r="H3" s="40">
        <v>15</v>
      </c>
      <c r="I3" s="41">
        <v>16</v>
      </c>
      <c r="J3" s="42">
        <v>17</v>
      </c>
      <c r="K3" s="41">
        <v>18</v>
      </c>
      <c r="L3" s="41">
        <v>19</v>
      </c>
      <c r="M3" s="41">
        <v>22</v>
      </c>
      <c r="N3" s="41">
        <v>23</v>
      </c>
      <c r="O3" s="42">
        <v>24</v>
      </c>
      <c r="P3" s="41">
        <v>25</v>
      </c>
      <c r="Q3" s="41">
        <v>26</v>
      </c>
      <c r="R3" s="41">
        <v>29</v>
      </c>
      <c r="S3" s="43">
        <v>30</v>
      </c>
      <c r="T3" s="44">
        <v>1</v>
      </c>
      <c r="U3" s="41">
        <v>2</v>
      </c>
      <c r="V3" s="41">
        <v>3</v>
      </c>
      <c r="W3" s="41">
        <v>6</v>
      </c>
      <c r="X3" s="41">
        <v>7</v>
      </c>
      <c r="Y3" s="42">
        <v>8</v>
      </c>
      <c r="Z3" s="41">
        <v>9</v>
      </c>
      <c r="AA3" s="41">
        <v>10</v>
      </c>
      <c r="AB3" s="41">
        <v>13</v>
      </c>
      <c r="AC3" s="41">
        <v>14</v>
      </c>
      <c r="AD3" s="42">
        <v>15</v>
      </c>
      <c r="AE3" s="41">
        <v>16</v>
      </c>
      <c r="AF3" s="41">
        <v>17</v>
      </c>
      <c r="AG3" s="41">
        <v>20</v>
      </c>
      <c r="AH3" s="41">
        <v>21</v>
      </c>
      <c r="AI3" s="42">
        <v>22</v>
      </c>
      <c r="AJ3" s="41">
        <v>23</v>
      </c>
      <c r="AK3" s="41">
        <v>24</v>
      </c>
      <c r="AL3" s="41">
        <v>27</v>
      </c>
      <c r="AM3" s="41">
        <v>28</v>
      </c>
      <c r="AN3" s="42">
        <v>29</v>
      </c>
      <c r="AO3" s="41">
        <v>30</v>
      </c>
      <c r="AP3" s="43">
        <v>31</v>
      </c>
      <c r="AQ3" s="45">
        <v>3</v>
      </c>
      <c r="AR3" s="41">
        <v>4</v>
      </c>
      <c r="AS3" s="42">
        <v>5</v>
      </c>
      <c r="AT3" s="41">
        <v>6</v>
      </c>
      <c r="AU3" s="41">
        <v>7</v>
      </c>
      <c r="AV3" s="41">
        <v>10</v>
      </c>
      <c r="AW3" s="41">
        <v>11</v>
      </c>
      <c r="AX3" s="42">
        <v>12</v>
      </c>
      <c r="AY3" s="41">
        <v>13</v>
      </c>
      <c r="AZ3" s="41">
        <v>14</v>
      </c>
      <c r="BA3" s="41">
        <v>17</v>
      </c>
      <c r="BB3" s="41">
        <v>18</v>
      </c>
      <c r="BC3" s="42">
        <v>19</v>
      </c>
      <c r="BD3" s="41">
        <v>20</v>
      </c>
      <c r="BE3" s="41">
        <v>21</v>
      </c>
      <c r="BF3" s="41">
        <v>24</v>
      </c>
      <c r="BG3" s="41">
        <v>25</v>
      </c>
      <c r="BH3" s="42">
        <v>26</v>
      </c>
      <c r="BI3" s="41">
        <v>27</v>
      </c>
      <c r="BJ3" s="43">
        <v>28</v>
      </c>
    </row>
    <row r="4" spans="2:62" x14ac:dyDescent="0.2">
      <c r="B4" s="107" t="s">
        <v>111</v>
      </c>
      <c r="C4" s="105"/>
      <c r="D4" s="50"/>
      <c r="E4" s="50"/>
      <c r="F4" s="50"/>
      <c r="G4" s="50"/>
      <c r="H4" s="50"/>
      <c r="I4" s="47"/>
      <c r="J4" s="75"/>
      <c r="K4" s="49"/>
      <c r="L4" s="50"/>
      <c r="M4" s="50"/>
      <c r="N4" s="47"/>
      <c r="O4" s="50"/>
      <c r="P4" s="50"/>
      <c r="Q4" s="50"/>
      <c r="R4" s="50"/>
      <c r="S4" s="51"/>
      <c r="T4" s="46"/>
      <c r="U4" s="50"/>
      <c r="V4" s="50"/>
      <c r="W4" s="50"/>
      <c r="X4" s="50"/>
      <c r="Y4" s="50"/>
      <c r="Z4" s="50"/>
      <c r="AA4" s="52"/>
      <c r="AB4" s="50"/>
      <c r="AC4" s="50"/>
      <c r="AD4" s="50"/>
      <c r="AE4" s="50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4"/>
      <c r="AQ4" s="55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4"/>
    </row>
    <row r="5" spans="2:62" x14ac:dyDescent="0.2">
      <c r="B5" s="108" t="s">
        <v>112</v>
      </c>
      <c r="C5" s="106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8"/>
      <c r="P5" s="57"/>
      <c r="Q5" s="57"/>
      <c r="R5" s="57"/>
      <c r="S5" s="49"/>
      <c r="T5" s="60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2"/>
      <c r="AQ5" s="63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1"/>
      <c r="BF5" s="61"/>
      <c r="BG5" s="61"/>
      <c r="BH5" s="61"/>
      <c r="BI5" s="61"/>
      <c r="BJ5" s="62"/>
    </row>
    <row r="6" spans="2:62" x14ac:dyDescent="0.2">
      <c r="B6" s="107" t="s">
        <v>113</v>
      </c>
      <c r="C6" s="105"/>
      <c r="D6" s="50"/>
      <c r="E6" s="50"/>
      <c r="F6" s="50"/>
      <c r="G6" s="50"/>
      <c r="H6" s="50"/>
      <c r="I6" s="50"/>
      <c r="J6" s="50"/>
      <c r="K6" s="49"/>
      <c r="L6" s="50"/>
      <c r="M6" s="50"/>
      <c r="N6" s="50"/>
      <c r="O6" s="50"/>
      <c r="P6" s="50"/>
      <c r="Q6" s="50"/>
      <c r="R6" s="50"/>
      <c r="S6" s="64"/>
      <c r="T6" s="46"/>
      <c r="U6" s="47"/>
      <c r="V6" s="50"/>
      <c r="W6" s="47"/>
      <c r="X6" s="50"/>
      <c r="Y6" s="48"/>
      <c r="Z6" s="50"/>
      <c r="AA6" s="50"/>
      <c r="AB6" s="50"/>
      <c r="AC6" s="50"/>
      <c r="AD6" s="48"/>
      <c r="AE6" s="50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4"/>
      <c r="AQ6" s="55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4"/>
    </row>
    <row r="7" spans="2:62" x14ac:dyDescent="0.2">
      <c r="B7" s="108" t="s">
        <v>114</v>
      </c>
      <c r="C7" s="52"/>
      <c r="D7" s="52"/>
      <c r="E7" s="49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9"/>
      <c r="T7" s="56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61"/>
      <c r="AG7" s="61"/>
      <c r="AH7" s="53"/>
      <c r="AI7" s="65"/>
      <c r="AJ7" s="52"/>
      <c r="AK7" s="61"/>
      <c r="AL7" s="66"/>
      <c r="AM7" s="66"/>
      <c r="AN7" s="67"/>
      <c r="AO7" s="61"/>
      <c r="AP7" s="62"/>
      <c r="AQ7" s="63"/>
      <c r="AR7" s="67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1"/>
      <c r="BI7" s="61"/>
      <c r="BJ7" s="62"/>
    </row>
    <row r="8" spans="2:62" x14ac:dyDescent="0.2">
      <c r="B8" s="107" t="s">
        <v>115</v>
      </c>
      <c r="C8" s="52"/>
      <c r="D8" s="50"/>
      <c r="E8" s="50"/>
      <c r="F8" s="50"/>
      <c r="G8" s="52"/>
      <c r="H8" s="50"/>
      <c r="I8" s="50"/>
      <c r="J8" s="50"/>
      <c r="K8" s="50"/>
      <c r="L8" s="68"/>
      <c r="M8" s="50"/>
      <c r="N8" s="52"/>
      <c r="O8" s="49"/>
      <c r="P8" s="50"/>
      <c r="Q8" s="50"/>
      <c r="R8" s="50"/>
      <c r="S8" s="64"/>
      <c r="T8" s="46"/>
      <c r="U8" s="50"/>
      <c r="V8" s="50"/>
      <c r="W8" s="50"/>
      <c r="X8" s="47"/>
      <c r="Y8" s="50"/>
      <c r="Z8" s="50"/>
      <c r="AA8" s="50"/>
      <c r="AB8" s="50"/>
      <c r="AC8" s="50"/>
      <c r="AD8" s="50"/>
      <c r="AE8" s="50"/>
      <c r="AF8" s="53"/>
      <c r="AG8" s="53"/>
      <c r="AH8" s="53"/>
      <c r="AI8" s="53"/>
      <c r="AJ8" s="53"/>
      <c r="AK8" s="53"/>
      <c r="AL8" s="53"/>
      <c r="AM8" s="53"/>
      <c r="AN8" s="69"/>
      <c r="AO8" s="53"/>
      <c r="AP8" s="54"/>
      <c r="AQ8" s="55"/>
      <c r="AR8" s="53"/>
      <c r="AS8" s="69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4"/>
    </row>
    <row r="9" spans="2:62" x14ac:dyDescent="0.2">
      <c r="B9" s="108" t="s">
        <v>116</v>
      </c>
      <c r="C9" s="106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49"/>
      <c r="P9" s="57"/>
      <c r="Q9" s="49"/>
      <c r="R9" s="57"/>
      <c r="S9" s="59"/>
      <c r="T9" s="56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2"/>
      <c r="AQ9" s="63"/>
      <c r="AR9" s="61"/>
      <c r="AS9" s="61"/>
      <c r="AT9" s="61"/>
      <c r="AU9" s="61"/>
      <c r="AV9" s="61"/>
      <c r="AW9" s="61"/>
      <c r="AX9" s="69"/>
      <c r="AY9" s="61"/>
      <c r="AZ9" s="61"/>
      <c r="BA9" s="61"/>
      <c r="BB9" s="61"/>
      <c r="BC9" s="69"/>
      <c r="BD9" s="61"/>
      <c r="BE9" s="61"/>
      <c r="BF9" s="61"/>
      <c r="BG9" s="61"/>
      <c r="BH9" s="61"/>
      <c r="BI9" s="61"/>
      <c r="BJ9" s="62"/>
    </row>
    <row r="10" spans="2:62" x14ac:dyDescent="0.2">
      <c r="B10" s="107" t="s">
        <v>117</v>
      </c>
      <c r="C10" s="105"/>
      <c r="D10" s="47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47"/>
      <c r="R10" s="47"/>
      <c r="S10" s="64"/>
      <c r="T10" s="46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4"/>
      <c r="AQ10" s="55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69"/>
      <c r="BI10" s="53"/>
      <c r="BJ10" s="54"/>
    </row>
    <row r="15" spans="2:62" x14ac:dyDescent="0.2">
      <c r="I15" s="70"/>
      <c r="K15" s="71" t="s">
        <v>118</v>
      </c>
    </row>
    <row r="16" spans="2:62" x14ac:dyDescent="0.2">
      <c r="K16" s="71"/>
    </row>
    <row r="17" spans="3:62" x14ac:dyDescent="0.2">
      <c r="C17" s="102"/>
      <c r="D17" s="102"/>
      <c r="E17" s="102"/>
      <c r="F17" s="102"/>
      <c r="G17" s="102"/>
      <c r="H17"/>
      <c r="I17" s="72"/>
      <c r="K17" s="71" t="s">
        <v>119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</row>
    <row r="18" spans="3:62" x14ac:dyDescent="0.2">
      <c r="C18" s="102"/>
      <c r="D18" s="102"/>
      <c r="E18" s="102"/>
      <c r="F18" s="102"/>
      <c r="G18" s="102"/>
      <c r="H18"/>
      <c r="K18" s="71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</row>
    <row r="19" spans="3:62" x14ac:dyDescent="0.2">
      <c r="C19" s="102"/>
      <c r="D19" s="102"/>
      <c r="E19" s="102"/>
      <c r="F19" s="102"/>
      <c r="G19" s="102"/>
      <c r="H19"/>
      <c r="I19" s="73"/>
      <c r="K19" s="71" t="s">
        <v>120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</row>
    <row r="20" spans="3:62" x14ac:dyDescent="0.2">
      <c r="C20" s="102"/>
      <c r="D20" s="102"/>
      <c r="E20" s="102"/>
      <c r="F20" s="102"/>
      <c r="G20" s="102"/>
      <c r="H20"/>
      <c r="K20" s="71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</row>
    <row r="21" spans="3:62" x14ac:dyDescent="0.2">
      <c r="C21" s="102"/>
      <c r="D21" s="102"/>
      <c r="E21" s="102"/>
      <c r="F21" s="102"/>
      <c r="G21" s="102"/>
      <c r="H21"/>
      <c r="I21" s="74"/>
      <c r="K21" s="71" t="s">
        <v>121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</row>
    <row r="22" spans="3:62" x14ac:dyDescent="0.2">
      <c r="C22" s="102"/>
      <c r="D22" s="102"/>
      <c r="E22" s="102"/>
      <c r="F22" s="102"/>
      <c r="G22" s="102"/>
      <c r="H22"/>
      <c r="K22" s="71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</row>
    <row r="23" spans="3:62" x14ac:dyDescent="0.2">
      <c r="C23" s="102"/>
      <c r="D23" s="102"/>
      <c r="E23" s="102"/>
      <c r="F23" s="102"/>
      <c r="G23" s="102"/>
      <c r="H23"/>
      <c r="K23" s="71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</row>
    <row r="24" spans="3:62" x14ac:dyDescent="0.2">
      <c r="C24" s="102"/>
      <c r="D24" s="102"/>
      <c r="E24" s="102"/>
      <c r="F24" s="102"/>
      <c r="G24" s="102"/>
      <c r="H24"/>
      <c r="K24" s="71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</row>
    <row r="25" spans="3:62" x14ac:dyDescent="0.2">
      <c r="C25" s="102"/>
      <c r="D25" s="102"/>
      <c r="E25" s="102"/>
      <c r="F25" s="102"/>
      <c r="G25" s="102"/>
      <c r="H25"/>
      <c r="K25" s="71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</row>
    <row r="26" spans="3:62" x14ac:dyDescent="0.2">
      <c r="C26" s="102"/>
      <c r="D26" s="102"/>
      <c r="E26" s="102"/>
      <c r="F26" s="102"/>
      <c r="G26" s="102"/>
      <c r="H26"/>
      <c r="K26" s="71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</row>
  </sheetData>
  <mergeCells count="4">
    <mergeCell ref="B2:B3"/>
    <mergeCell ref="H2:S2"/>
    <mergeCell ref="T2:AP2"/>
    <mergeCell ref="AQ2:BJ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J15"/>
  <sheetViews>
    <sheetView showGridLines="0" workbookViewId="0">
      <selection activeCell="B6" sqref="B6:B8"/>
    </sheetView>
  </sheetViews>
  <sheetFormatPr defaultRowHeight="12.75" x14ac:dyDescent="0.2"/>
  <cols>
    <col min="1" max="1" width="2.125" customWidth="1"/>
    <col min="2" max="2" width="55" customWidth="1"/>
    <col min="3" max="10" width="12.875" customWidth="1"/>
    <col min="11" max="14" width="3.5" customWidth="1"/>
  </cols>
  <sheetData>
    <row r="6" spans="2:10" x14ac:dyDescent="0.2">
      <c r="B6" s="135" t="s">
        <v>98</v>
      </c>
      <c r="C6" s="9" t="s">
        <v>122</v>
      </c>
      <c r="D6" s="138" t="s">
        <v>123</v>
      </c>
      <c r="E6" s="139"/>
      <c r="F6" s="139"/>
      <c r="G6" s="140"/>
      <c r="H6" s="138" t="s">
        <v>106</v>
      </c>
      <c r="I6" s="139"/>
      <c r="J6" s="140"/>
    </row>
    <row r="7" spans="2:10" x14ac:dyDescent="0.2">
      <c r="B7" s="136"/>
      <c r="C7" s="76" t="s">
        <v>124</v>
      </c>
      <c r="D7" s="76" t="s">
        <v>125</v>
      </c>
      <c r="E7" s="76" t="s">
        <v>126</v>
      </c>
      <c r="F7" s="76" t="s">
        <v>127</v>
      </c>
      <c r="G7" s="77" t="s">
        <v>124</v>
      </c>
      <c r="H7" s="76" t="s">
        <v>125</v>
      </c>
      <c r="I7" s="76" t="s">
        <v>126</v>
      </c>
      <c r="J7" s="76" t="s">
        <v>127</v>
      </c>
    </row>
    <row r="8" spans="2:10" x14ac:dyDescent="0.2">
      <c r="B8" s="137"/>
      <c r="C8" s="78" t="s">
        <v>128</v>
      </c>
      <c r="D8" s="79" t="s">
        <v>129</v>
      </c>
      <c r="E8" s="79" t="s">
        <v>130</v>
      </c>
      <c r="F8" s="79" t="s">
        <v>131</v>
      </c>
      <c r="G8" s="8" t="s">
        <v>132</v>
      </c>
      <c r="H8" s="79" t="s">
        <v>133</v>
      </c>
      <c r="I8" s="79" t="s">
        <v>134</v>
      </c>
      <c r="J8" s="79" t="s">
        <v>135</v>
      </c>
    </row>
    <row r="9" spans="2:10" x14ac:dyDescent="0.2">
      <c r="B9" s="80" t="s">
        <v>95</v>
      </c>
      <c r="C9" s="81"/>
      <c r="D9" s="82"/>
      <c r="E9" s="83"/>
      <c r="F9" s="83"/>
      <c r="G9" s="84"/>
      <c r="H9" s="85"/>
      <c r="I9" s="86"/>
      <c r="J9" s="84"/>
    </row>
    <row r="10" spans="2:10" x14ac:dyDescent="0.2">
      <c r="B10" s="87" t="s">
        <v>86</v>
      </c>
      <c r="C10" s="88"/>
      <c r="D10" s="89"/>
      <c r="E10" s="2"/>
      <c r="F10" s="2"/>
      <c r="G10" s="90"/>
      <c r="H10" s="89"/>
      <c r="I10" s="2"/>
      <c r="J10" s="90"/>
    </row>
    <row r="11" spans="2:10" x14ac:dyDescent="0.2">
      <c r="B11" s="87" t="s">
        <v>136</v>
      </c>
      <c r="C11" s="91"/>
      <c r="D11" s="92"/>
      <c r="E11" s="93"/>
      <c r="F11" s="2"/>
      <c r="G11" s="94"/>
      <c r="H11" s="89"/>
      <c r="I11" s="2"/>
      <c r="J11" s="90"/>
    </row>
    <row r="12" spans="2:10" x14ac:dyDescent="0.2">
      <c r="B12" s="87" t="s">
        <v>137</v>
      </c>
      <c r="C12" s="88"/>
      <c r="D12" s="92"/>
      <c r="E12" s="93"/>
      <c r="F12" s="93"/>
      <c r="G12" s="94"/>
      <c r="H12" s="92"/>
      <c r="I12" s="93"/>
      <c r="J12" s="90"/>
    </row>
    <row r="13" spans="2:10" x14ac:dyDescent="0.2">
      <c r="B13" s="87" t="s">
        <v>42</v>
      </c>
      <c r="C13" s="88"/>
      <c r="D13" s="92"/>
      <c r="E13" s="2"/>
      <c r="F13" s="93"/>
      <c r="G13" s="94"/>
      <c r="H13" s="89"/>
      <c r="I13" s="93"/>
      <c r="J13" s="90"/>
    </row>
    <row r="14" spans="2:10" x14ac:dyDescent="0.2">
      <c r="B14" s="87" t="s">
        <v>23</v>
      </c>
      <c r="C14" s="91"/>
      <c r="D14" s="92"/>
      <c r="E14" s="2"/>
      <c r="F14" s="2"/>
      <c r="G14" s="90"/>
      <c r="H14" s="89"/>
      <c r="I14" s="2"/>
      <c r="J14" s="90"/>
    </row>
    <row r="15" spans="2:10" ht="25.5" x14ac:dyDescent="0.2">
      <c r="B15" s="95" t="s">
        <v>12</v>
      </c>
      <c r="C15" s="96"/>
      <c r="D15" s="97"/>
      <c r="E15" s="98"/>
      <c r="F15" s="98"/>
      <c r="G15" s="99"/>
      <c r="H15" s="97"/>
      <c r="I15" s="100"/>
      <c r="J15" s="101"/>
    </row>
  </sheetData>
  <mergeCells count="3">
    <mergeCell ref="B6:B8"/>
    <mergeCell ref="D6:G6"/>
    <mergeCell ref="H6:J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E15"/>
  <sheetViews>
    <sheetView showGridLines="0" workbookViewId="0">
      <selection activeCell="B5" sqref="B5:E15"/>
    </sheetView>
  </sheetViews>
  <sheetFormatPr defaultRowHeight="12.75" x14ac:dyDescent="0.2"/>
  <cols>
    <col min="2" max="3" width="20" customWidth="1"/>
    <col min="4" max="5" width="13.5" customWidth="1"/>
  </cols>
  <sheetData>
    <row r="5" spans="2:5" x14ac:dyDescent="0.2">
      <c r="B5" s="103" t="s">
        <v>96</v>
      </c>
      <c r="C5" s="103" t="s">
        <v>98</v>
      </c>
      <c r="D5" s="109" t="s">
        <v>100</v>
      </c>
      <c r="E5" s="110" t="s">
        <v>99</v>
      </c>
    </row>
    <row r="6" spans="2:5" x14ac:dyDescent="0.2">
      <c r="B6" s="81" t="s">
        <v>87</v>
      </c>
      <c r="C6" s="81" t="s">
        <v>139</v>
      </c>
      <c r="D6" s="120">
        <v>11</v>
      </c>
      <c r="E6" s="121">
        <v>4</v>
      </c>
    </row>
    <row r="7" spans="2:5" x14ac:dyDescent="0.2">
      <c r="B7" s="91" t="s">
        <v>85</v>
      </c>
      <c r="C7" s="91" t="s">
        <v>140</v>
      </c>
      <c r="D7" s="117">
        <v>0</v>
      </c>
      <c r="E7" s="119">
        <v>0</v>
      </c>
    </row>
    <row r="8" spans="2:5" x14ac:dyDescent="0.2">
      <c r="B8" s="91" t="s">
        <v>80</v>
      </c>
      <c r="C8" s="91" t="s">
        <v>141</v>
      </c>
      <c r="D8" s="117">
        <v>17</v>
      </c>
      <c r="E8" s="119">
        <v>0</v>
      </c>
    </row>
    <row r="9" spans="2:5" x14ac:dyDescent="0.2">
      <c r="B9" s="91" t="s">
        <v>43</v>
      </c>
      <c r="C9" s="91" t="s">
        <v>142</v>
      </c>
      <c r="D9" s="117">
        <v>26</v>
      </c>
      <c r="E9" s="119">
        <v>21</v>
      </c>
    </row>
    <row r="10" spans="2:5" x14ac:dyDescent="0.2">
      <c r="B10" s="91" t="s">
        <v>24</v>
      </c>
      <c r="C10" s="91" t="s">
        <v>143</v>
      </c>
      <c r="D10" s="117">
        <v>13</v>
      </c>
      <c r="E10" s="119">
        <v>11</v>
      </c>
    </row>
    <row r="11" spans="2:5" x14ac:dyDescent="0.2">
      <c r="B11" s="91" t="s">
        <v>13</v>
      </c>
      <c r="C11" s="91" t="s">
        <v>144</v>
      </c>
      <c r="D11" s="117">
        <v>6</v>
      </c>
      <c r="E11" s="119">
        <v>6</v>
      </c>
    </row>
    <row r="12" spans="2:5" x14ac:dyDescent="0.2">
      <c r="B12" s="96" t="s">
        <v>0</v>
      </c>
      <c r="C12" s="96" t="s">
        <v>145</v>
      </c>
      <c r="D12" s="122">
        <v>19</v>
      </c>
      <c r="E12" s="123">
        <v>0</v>
      </c>
    </row>
    <row r="13" spans="2:5" ht="13.5" thickBot="1" x14ac:dyDescent="0.25">
      <c r="C13" s="102"/>
      <c r="D13" s="111">
        <f>SUM(D6:D12)</f>
        <v>92</v>
      </c>
      <c r="E13" s="112">
        <f>SUM(E6:E12)</f>
        <v>42</v>
      </c>
    </row>
    <row r="14" spans="2:5" ht="13.5" thickBot="1" x14ac:dyDescent="0.25">
      <c r="C14" s="1"/>
      <c r="D14" s="1"/>
      <c r="E14" s="1"/>
    </row>
    <row r="15" spans="2:5" ht="13.5" thickBot="1" x14ac:dyDescent="0.25">
      <c r="C15" s="1"/>
      <c r="D15" s="124" t="s">
        <v>138</v>
      </c>
      <c r="E15" s="116">
        <f>100*42/92</f>
        <v>45.652173913043477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3A2EC61DF9EEB4DBED50DB1C14CAEF6" ma:contentTypeVersion="0" ma:contentTypeDescription="Crie um novo documento." ma:contentTypeScope="" ma:versionID="22c9333760dc6f143f2655053987a0d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cb358bd3c4937f8c29cf3e1e721863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7C5E579-990F-4748-AC05-DEB2D2641D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066A60-8C0B-44D0-8FE6-7DC579FF39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7FD1CFA-8EEE-4134-AAE7-379BDAB27557}">
  <ds:schemaRefs>
    <ds:schemaRef ds:uri="http://purl.org/dc/terms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STATUS ATUALIZADO JAN2015</vt:lpstr>
      <vt:lpstr>Cronograma Subprocesso</vt:lpstr>
      <vt:lpstr>Plan1</vt:lpstr>
      <vt:lpstr>Plan2</vt:lpstr>
    </vt:vector>
  </TitlesOfParts>
  <Company>Natura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elima</dc:creator>
  <cp:lastModifiedBy>br88301</cp:lastModifiedBy>
  <dcterms:created xsi:type="dcterms:W3CDTF">2014-08-28T12:27:12Z</dcterms:created>
  <dcterms:modified xsi:type="dcterms:W3CDTF">2015-06-09T22:03:15Z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0x010100C3A2EC61DF9EEB4DBED50DB1C14CAEF6</vt:lpwstr>
  </property>
</Properties>
</file>