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dia/image7.jpg" ContentType="image/jpeg"/>
  <Override PartName="/xl/media/image8.jpg" ContentType="image/jpeg"/>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heme/themeOverride1.xml" ContentType="application/vnd.openxmlformats-officedocument.themeOverride+xml"/>
  <Override PartName="/xl/charts/chart9.xml" ContentType="application/vnd.openxmlformats-officedocument.drawingml.chart+xml"/>
  <Override PartName="/xl/theme/themeOverride2.xml" ContentType="application/vnd.openxmlformats-officedocument.themeOverride+xml"/>
  <Override PartName="/xl/charts/chart10.xml" ContentType="application/vnd.openxmlformats-officedocument.drawingml.chart+xml"/>
  <Override PartName="/xl/theme/themeOverride3.xml" ContentType="application/vnd.openxmlformats-officedocument.themeOverride+xml"/>
  <Override PartName="/xl/charts/chart11.xml" ContentType="application/vnd.openxmlformats-officedocument.drawingml.chart+xml"/>
  <Override PartName="/xl/theme/themeOverride4.xml" ContentType="application/vnd.openxmlformats-officedocument.themeOverride+xml"/>
  <Override PartName="/xl/charts/chart12.xml" ContentType="application/vnd.openxmlformats-officedocument.drawingml.chart+xml"/>
  <Override PartName="/xl/theme/themeOverride5.xml" ContentType="application/vnd.openxmlformats-officedocument.themeOverride+xml"/>
  <Override PartName="/xl/charts/chart13.xml" ContentType="application/vnd.openxmlformats-officedocument.drawingml.chart+xml"/>
  <Override PartName="/xl/theme/themeOverride6.xml" ContentType="application/vnd.openxmlformats-officedocument.themeOverride+xml"/>
  <Override PartName="/xl/charts/chart14.xml" ContentType="application/vnd.openxmlformats-officedocument.drawingml.chart+xml"/>
  <Override PartName="/xl/theme/themeOverride7.xml" ContentType="application/vnd.openxmlformats-officedocument.themeOverride+xml"/>
  <Override PartName="/xl/charts/chart15.xml" ContentType="application/vnd.openxmlformats-officedocument.drawingml.chart+xml"/>
  <Override PartName="/xl/theme/themeOverride8.xml" ContentType="application/vnd.openxmlformats-officedocument.themeOverride+xml"/>
  <Override PartName="/xl/charts/chart16.xml" ContentType="application/vnd.openxmlformats-officedocument.drawingml.chart+xml"/>
  <Override PartName="/xl/theme/themeOverride9.xml" ContentType="application/vnd.openxmlformats-officedocument.themeOverrid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C:\Users\Wagner\Desktop\"/>
    </mc:Choice>
  </mc:AlternateContent>
  <bookViews>
    <workbookView showSheetTabs="0" xWindow="0" yWindow="0" windowWidth="20490" windowHeight="8340" tabRatio="964"/>
  </bookViews>
  <sheets>
    <sheet name="Menu Principal (2)" sheetId="11" r:id="rId1"/>
    <sheet name="Framework COBIT" sheetId="13" r:id="rId2"/>
    <sheet name="Instruções" sheetId="12" r:id="rId3"/>
    <sheet name="Quadro Geral" sheetId="1" state="hidden" r:id="rId4"/>
    <sheet name="PO - Questionário" sheetId="2" r:id="rId5"/>
    <sheet name="AI - Questionário" sheetId="5" r:id="rId6"/>
    <sheet name="DS - Questionário" sheetId="7" r:id="rId7"/>
    <sheet name="MA - Questionário" sheetId="6" r:id="rId8"/>
    <sheet name="Gráficos Maturidade" sheetId="3" r:id="rId9"/>
    <sheet name="Gráficos Conformidade" sheetId="8" r:id="rId10"/>
    <sheet name="Quadro de Domínios e Processos" sheetId="4" state="hidden" r:id="rId11"/>
  </sheets>
  <calcPr calcId="152511"/>
</workbook>
</file>

<file path=xl/calcChain.xml><?xml version="1.0" encoding="utf-8"?>
<calcChain xmlns="http://schemas.openxmlformats.org/spreadsheetml/2006/main">
  <c r="D29" i="7" l="1"/>
  <c r="E28" i="2"/>
  <c r="Z9" i="1" s="1"/>
  <c r="E11" i="2"/>
  <c r="Z7" i="1" s="1"/>
  <c r="E44" i="6"/>
  <c r="C55" i="3" s="1"/>
  <c r="T80" i="3" s="1"/>
  <c r="E33" i="6"/>
  <c r="Z42" i="1" s="1"/>
  <c r="E24" i="6"/>
  <c r="Z41" i="1" s="1"/>
  <c r="E13" i="6"/>
  <c r="C52" i="3" s="1"/>
  <c r="T77" i="3" s="1"/>
  <c r="E123" i="7"/>
  <c r="T16" i="3" s="1"/>
  <c r="T76" i="3" s="1"/>
  <c r="E114" i="7"/>
  <c r="Z37" i="1" s="1"/>
  <c r="E105" i="7"/>
  <c r="T14" i="3" s="1"/>
  <c r="T74" i="3" s="1"/>
  <c r="E95" i="7"/>
  <c r="Z35" i="1" s="1"/>
  <c r="E89" i="7"/>
  <c r="T12" i="3" s="1"/>
  <c r="T72" i="3" s="1"/>
  <c r="E82" i="7"/>
  <c r="Z33" i="1" s="1"/>
  <c r="E73" i="7"/>
  <c r="Z32" i="1" s="1"/>
  <c r="E66" i="7"/>
  <c r="T9" i="3" s="1"/>
  <c r="T69" i="3" s="1"/>
  <c r="E58" i="7"/>
  <c r="T8" i="3" s="1"/>
  <c r="T68" i="3" s="1"/>
  <c r="E43" i="7"/>
  <c r="Z29" i="1" s="1"/>
  <c r="E29" i="7"/>
  <c r="Z28" i="1" s="1"/>
  <c r="E20" i="7"/>
  <c r="T4" i="3" s="1"/>
  <c r="T65" i="3" s="1"/>
  <c r="E12" i="7"/>
  <c r="T3" i="3" s="1"/>
  <c r="T64" i="3" s="1"/>
  <c r="E70" i="5"/>
  <c r="Z24" i="1" s="1"/>
  <c r="E57" i="5"/>
  <c r="C32" i="3" s="1"/>
  <c r="T62" i="3" s="1"/>
  <c r="E48" i="5"/>
  <c r="Z22" i="1" s="1"/>
  <c r="E40" i="5"/>
  <c r="C30" i="3" s="1"/>
  <c r="T60" i="3" s="1"/>
  <c r="E32" i="5"/>
  <c r="Z20" i="1" s="1"/>
  <c r="E24" i="5"/>
  <c r="C28" i="3" s="1"/>
  <c r="T58" i="3" s="1"/>
  <c r="E10" i="5"/>
  <c r="Z18" i="1" s="1"/>
  <c r="E115" i="2"/>
  <c r="C14" i="3" s="1"/>
  <c r="T56" i="3" s="1"/>
  <c r="E97" i="2"/>
  <c r="Z15" i="1" s="1"/>
  <c r="E87" i="2"/>
  <c r="C12" i="3" s="1"/>
  <c r="T54" i="3" s="1"/>
  <c r="E77" i="2"/>
  <c r="C11" i="3" s="1"/>
  <c r="T53" i="3" s="1"/>
  <c r="E65" i="2"/>
  <c r="C10" i="3" s="1"/>
  <c r="T52" i="3" s="1"/>
  <c r="E56" i="2"/>
  <c r="Z11" i="1" s="1"/>
  <c r="E47" i="2"/>
  <c r="Z10" i="1" s="1"/>
  <c r="E19" i="2"/>
  <c r="C5" i="3" s="1"/>
  <c r="T48" i="3" s="1"/>
  <c r="Z43" i="1" l="1"/>
  <c r="C54" i="3"/>
  <c r="T79" i="3" s="1"/>
  <c r="C53" i="3"/>
  <c r="T78" i="3" s="1"/>
  <c r="Z40" i="1"/>
  <c r="Z38" i="1"/>
  <c r="T15" i="3"/>
  <c r="T75" i="3" s="1"/>
  <c r="Z36" i="1"/>
  <c r="T13" i="3"/>
  <c r="T73" i="3" s="1"/>
  <c r="Z34" i="1"/>
  <c r="T11" i="3"/>
  <c r="T71" i="3" s="1"/>
  <c r="T10" i="3"/>
  <c r="T70" i="3" s="1"/>
  <c r="Z31" i="1"/>
  <c r="Z30" i="1"/>
  <c r="T6" i="3"/>
  <c r="T67" i="3" s="1"/>
  <c r="T5" i="3"/>
  <c r="T66" i="3" s="1"/>
  <c r="Z27" i="1"/>
  <c r="Z26" i="1"/>
  <c r="C33" i="3"/>
  <c r="T63" i="3" s="1"/>
  <c r="Z23" i="1"/>
  <c r="C31" i="3"/>
  <c r="T61" i="3" s="1"/>
  <c r="Z21" i="1"/>
  <c r="C29" i="3"/>
  <c r="T59" i="3" s="1"/>
  <c r="Z19" i="1"/>
  <c r="C27" i="3"/>
  <c r="T57" i="3" s="1"/>
  <c r="C4" i="3"/>
  <c r="Z16" i="1"/>
  <c r="C13" i="3"/>
  <c r="T55" i="3" s="1"/>
  <c r="Z14" i="1"/>
  <c r="Z13" i="1"/>
  <c r="Z12" i="1"/>
  <c r="C9" i="3"/>
  <c r="T51" i="3" s="1"/>
  <c r="C8" i="3"/>
  <c r="T50" i="3" s="1"/>
  <c r="C6" i="3"/>
  <c r="T49" i="3" s="1"/>
  <c r="Z8" i="1"/>
  <c r="T47" i="3"/>
  <c r="D12" i="7"/>
  <c r="S3" i="3" s="1"/>
  <c r="S64" i="3" s="1"/>
  <c r="D77" i="2"/>
  <c r="D28" i="2"/>
  <c r="B6" i="3" s="1"/>
  <c r="S49" i="3" s="1"/>
  <c r="G162" i="8"/>
  <c r="F162" i="8"/>
  <c r="E162" i="8"/>
  <c r="D162" i="8"/>
  <c r="C162" i="8"/>
  <c r="G161" i="8"/>
  <c r="F161" i="8"/>
  <c r="E161" i="8"/>
  <c r="D161" i="8"/>
  <c r="C161" i="8"/>
  <c r="G160" i="8"/>
  <c r="F160" i="8"/>
  <c r="E160" i="8"/>
  <c r="D160" i="8"/>
  <c r="C160" i="8"/>
  <c r="G159" i="8"/>
  <c r="F159" i="8"/>
  <c r="E159" i="8"/>
  <c r="D159" i="8"/>
  <c r="C159" i="8"/>
  <c r="G158" i="8"/>
  <c r="F158" i="8"/>
  <c r="E158" i="8"/>
  <c r="D158" i="8"/>
  <c r="C158" i="8"/>
  <c r="G157" i="8"/>
  <c r="F157" i="8"/>
  <c r="E157" i="8"/>
  <c r="D157" i="8"/>
  <c r="C157" i="8"/>
  <c r="G156" i="8"/>
  <c r="F156" i="8"/>
  <c r="E156" i="8"/>
  <c r="D156" i="8"/>
  <c r="C156" i="8"/>
  <c r="G155" i="8"/>
  <c r="F155" i="8"/>
  <c r="E155" i="8"/>
  <c r="D155" i="8"/>
  <c r="C155" i="8"/>
  <c r="G154" i="8"/>
  <c r="F154" i="8"/>
  <c r="E154" i="8"/>
  <c r="D154" i="8"/>
  <c r="C154" i="8"/>
  <c r="G153" i="8"/>
  <c r="F153" i="8"/>
  <c r="E153" i="8"/>
  <c r="D153" i="8"/>
  <c r="C153" i="8"/>
  <c r="G152" i="8"/>
  <c r="F152" i="8"/>
  <c r="E152" i="8"/>
  <c r="D152" i="8"/>
  <c r="C152" i="8"/>
  <c r="G151" i="8"/>
  <c r="F151" i="8"/>
  <c r="E151" i="8"/>
  <c r="D151" i="8"/>
  <c r="C151" i="8"/>
  <c r="G150" i="8"/>
  <c r="F150" i="8"/>
  <c r="E150" i="8"/>
  <c r="D150" i="8"/>
  <c r="C150" i="8"/>
  <c r="B162" i="8"/>
  <c r="B161" i="8"/>
  <c r="B160" i="8"/>
  <c r="B159" i="8"/>
  <c r="B158" i="8"/>
  <c r="B157" i="8"/>
  <c r="B156" i="8"/>
  <c r="B155" i="8"/>
  <c r="B154" i="8"/>
  <c r="B153" i="8"/>
  <c r="B152" i="8"/>
  <c r="B151" i="8"/>
  <c r="B150" i="8"/>
  <c r="G121" i="8"/>
  <c r="F121" i="8"/>
  <c r="E121" i="8"/>
  <c r="D121" i="8"/>
  <c r="C121" i="8"/>
  <c r="G120" i="8"/>
  <c r="F120" i="8"/>
  <c r="E120" i="8"/>
  <c r="D120" i="8"/>
  <c r="C120" i="8"/>
  <c r="B119" i="8"/>
  <c r="G119" i="8"/>
  <c r="F119" i="8"/>
  <c r="E119" i="8"/>
  <c r="D119" i="8"/>
  <c r="C119" i="8"/>
  <c r="B121" i="8"/>
  <c r="B120" i="8"/>
  <c r="G118" i="8"/>
  <c r="F118" i="8"/>
  <c r="E118" i="8"/>
  <c r="D118" i="8"/>
  <c r="C118" i="8"/>
  <c r="B118" i="8"/>
  <c r="G75" i="8"/>
  <c r="G74" i="8"/>
  <c r="G73" i="8"/>
  <c r="G72" i="8"/>
  <c r="G71" i="8"/>
  <c r="G70" i="8"/>
  <c r="G69" i="8"/>
  <c r="F75" i="8"/>
  <c r="F74" i="8"/>
  <c r="F73" i="8"/>
  <c r="F72" i="8"/>
  <c r="F71" i="8"/>
  <c r="F70" i="8"/>
  <c r="F69" i="8"/>
  <c r="E75" i="8"/>
  <c r="E74" i="8"/>
  <c r="E73" i="8"/>
  <c r="E72" i="8"/>
  <c r="E71" i="8"/>
  <c r="E70" i="8"/>
  <c r="E69" i="8"/>
  <c r="D75" i="8"/>
  <c r="D74" i="8"/>
  <c r="D73" i="8"/>
  <c r="D72" i="8"/>
  <c r="D71" i="8"/>
  <c r="D70" i="8"/>
  <c r="D69" i="8"/>
  <c r="C75" i="8"/>
  <c r="C74" i="8"/>
  <c r="C73" i="8"/>
  <c r="C72" i="8"/>
  <c r="C71" i="8"/>
  <c r="C70" i="8"/>
  <c r="C69" i="8"/>
  <c r="B75" i="8"/>
  <c r="B74" i="8"/>
  <c r="B73" i="8"/>
  <c r="B72" i="8"/>
  <c r="B71" i="8"/>
  <c r="B70" i="8"/>
  <c r="B69" i="8"/>
  <c r="G12" i="8"/>
  <c r="G11" i="8"/>
  <c r="G10" i="8"/>
  <c r="G9" i="8"/>
  <c r="G8" i="8"/>
  <c r="G7" i="8"/>
  <c r="G6" i="8"/>
  <c r="G5" i="8"/>
  <c r="G4" i="8"/>
  <c r="G3" i="8"/>
  <c r="F12" i="8"/>
  <c r="F11" i="8"/>
  <c r="F10" i="8"/>
  <c r="F9" i="8"/>
  <c r="F8" i="8"/>
  <c r="F7" i="8"/>
  <c r="F6" i="8"/>
  <c r="F5" i="8"/>
  <c r="F4" i="8"/>
  <c r="F3" i="8"/>
  <c r="E12" i="8"/>
  <c r="E11" i="8"/>
  <c r="E10" i="8"/>
  <c r="E9" i="8"/>
  <c r="E8" i="8"/>
  <c r="E7" i="8"/>
  <c r="E6" i="8"/>
  <c r="E5" i="8"/>
  <c r="E4" i="8"/>
  <c r="E3" i="8"/>
  <c r="D12" i="8"/>
  <c r="D11" i="8"/>
  <c r="D10" i="8"/>
  <c r="D9" i="8"/>
  <c r="D8" i="8"/>
  <c r="D7" i="8"/>
  <c r="D6" i="8"/>
  <c r="D5" i="8"/>
  <c r="D4" i="8"/>
  <c r="D3" i="8"/>
  <c r="C12" i="8"/>
  <c r="C11" i="8"/>
  <c r="C10" i="8"/>
  <c r="C9" i="8"/>
  <c r="C8" i="8"/>
  <c r="C7" i="8"/>
  <c r="H7" i="8" s="1"/>
  <c r="C6" i="8"/>
  <c r="C5" i="8"/>
  <c r="C4" i="8"/>
  <c r="B12" i="8"/>
  <c r="B11" i="8"/>
  <c r="B10" i="8"/>
  <c r="B9" i="8"/>
  <c r="B8" i="8"/>
  <c r="B7" i="8"/>
  <c r="B6" i="8"/>
  <c r="B5" i="8"/>
  <c r="B4" i="8"/>
  <c r="H4" i="8" s="1"/>
  <c r="C3" i="8"/>
  <c r="B3" i="8"/>
  <c r="G38" i="1"/>
  <c r="F38" i="1"/>
  <c r="E38" i="1"/>
  <c r="D38" i="1"/>
  <c r="C38" i="1"/>
  <c r="G37" i="1"/>
  <c r="F37" i="1"/>
  <c r="E37" i="1"/>
  <c r="D37" i="1"/>
  <c r="C37" i="1"/>
  <c r="H36" i="1"/>
  <c r="G36" i="1"/>
  <c r="F36" i="1"/>
  <c r="E36" i="1"/>
  <c r="D36" i="1"/>
  <c r="C36" i="1"/>
  <c r="D35" i="1"/>
  <c r="C35" i="1"/>
  <c r="E34" i="1"/>
  <c r="D34" i="1"/>
  <c r="C34" i="1"/>
  <c r="S34" i="1" s="1"/>
  <c r="R34" i="1" s="1"/>
  <c r="G33" i="1"/>
  <c r="F33" i="1"/>
  <c r="E33" i="1"/>
  <c r="D33" i="1"/>
  <c r="C33" i="1"/>
  <c r="E32" i="1"/>
  <c r="D32" i="1"/>
  <c r="C32" i="1"/>
  <c r="S32" i="1" s="1"/>
  <c r="R32" i="1" s="1"/>
  <c r="F31" i="1"/>
  <c r="E31" i="1"/>
  <c r="D31" i="1"/>
  <c r="C31" i="1"/>
  <c r="M30" i="1"/>
  <c r="L30" i="1"/>
  <c r="K30" i="1"/>
  <c r="J30" i="1"/>
  <c r="I30" i="1"/>
  <c r="H30" i="1"/>
  <c r="G30" i="1"/>
  <c r="F30" i="1"/>
  <c r="E30" i="1"/>
  <c r="D30" i="1"/>
  <c r="C30" i="1"/>
  <c r="D123" i="7"/>
  <c r="S16" i="3" s="1"/>
  <c r="S76" i="3" s="1"/>
  <c r="D114" i="7"/>
  <c r="S15" i="3" s="1"/>
  <c r="S75" i="3" s="1"/>
  <c r="D105" i="7"/>
  <c r="S14" i="3" s="1"/>
  <c r="S74" i="3" s="1"/>
  <c r="K29" i="1"/>
  <c r="J29" i="1"/>
  <c r="I29" i="1"/>
  <c r="H29" i="1"/>
  <c r="G29" i="1"/>
  <c r="F29" i="1"/>
  <c r="E29" i="1"/>
  <c r="D29" i="1"/>
  <c r="C29" i="1"/>
  <c r="G28" i="1"/>
  <c r="F28" i="1"/>
  <c r="E28" i="1"/>
  <c r="D28" i="1"/>
  <c r="C28" i="1"/>
  <c r="F27" i="1"/>
  <c r="E27" i="1"/>
  <c r="D27" i="1"/>
  <c r="C27" i="1"/>
  <c r="H26" i="1"/>
  <c r="G26" i="1"/>
  <c r="F26" i="1"/>
  <c r="E26" i="1"/>
  <c r="D26" i="1"/>
  <c r="C26" i="1"/>
  <c r="D95" i="7"/>
  <c r="S13" i="3"/>
  <c r="S73" i="3" s="1"/>
  <c r="D89" i="7"/>
  <c r="S12" i="3"/>
  <c r="S72" i="3" s="1"/>
  <c r="D82" i="7"/>
  <c r="S11" i="3"/>
  <c r="S71" i="3" s="1"/>
  <c r="D73" i="7"/>
  <c r="S10" i="3" s="1"/>
  <c r="S70" i="3" s="1"/>
  <c r="D66" i="7"/>
  <c r="S9" i="3"/>
  <c r="S69" i="3" s="1"/>
  <c r="D58" i="7"/>
  <c r="S8" i="3" s="1"/>
  <c r="S68" i="3" s="1"/>
  <c r="D43" i="7"/>
  <c r="S6" i="3" s="1"/>
  <c r="S67" i="3" s="1"/>
  <c r="S5" i="3"/>
  <c r="S66" i="3" s="1"/>
  <c r="D20" i="7"/>
  <c r="S4" i="3" s="1"/>
  <c r="S65" i="3" s="1"/>
  <c r="I43" i="1"/>
  <c r="H43" i="1"/>
  <c r="G43" i="1"/>
  <c r="F43" i="1"/>
  <c r="E43" i="1"/>
  <c r="D43" i="1"/>
  <c r="C43" i="1"/>
  <c r="G42" i="1"/>
  <c r="F42" i="1"/>
  <c r="E42" i="1"/>
  <c r="D42" i="1"/>
  <c r="C42" i="1"/>
  <c r="I41" i="1"/>
  <c r="H41" i="1"/>
  <c r="G41" i="1"/>
  <c r="F41" i="1"/>
  <c r="E41" i="1"/>
  <c r="D41" i="1"/>
  <c r="C41" i="1"/>
  <c r="H40" i="1"/>
  <c r="G40" i="1"/>
  <c r="F40" i="1"/>
  <c r="E40" i="1"/>
  <c r="D40" i="1"/>
  <c r="C40" i="1"/>
  <c r="D44" i="6"/>
  <c r="B55" i="3" s="1"/>
  <c r="S80" i="3" s="1"/>
  <c r="D33" i="6"/>
  <c r="B54" i="3" s="1"/>
  <c r="S79" i="3" s="1"/>
  <c r="D24" i="6"/>
  <c r="B53" i="3" s="1"/>
  <c r="S78" i="3" s="1"/>
  <c r="D13" i="6"/>
  <c r="B52" i="3" s="1"/>
  <c r="S77" i="3" s="1"/>
  <c r="K24" i="1"/>
  <c r="J24" i="1"/>
  <c r="I24" i="1"/>
  <c r="H24" i="1"/>
  <c r="G24" i="1"/>
  <c r="F24" i="1"/>
  <c r="E24" i="1"/>
  <c r="D24" i="1"/>
  <c r="C24" i="1"/>
  <c r="G23" i="1"/>
  <c r="F23" i="1"/>
  <c r="E23" i="1"/>
  <c r="D23" i="1"/>
  <c r="C23" i="1"/>
  <c r="F22" i="1"/>
  <c r="E22" i="1"/>
  <c r="D22" i="1"/>
  <c r="C22" i="1"/>
  <c r="D70" i="5"/>
  <c r="B33" i="3"/>
  <c r="S63" i="3" s="1"/>
  <c r="D57" i="5"/>
  <c r="B32" i="3" s="1"/>
  <c r="S62" i="3" s="1"/>
  <c r="D48" i="5"/>
  <c r="B31" i="3"/>
  <c r="S61" i="3" s="1"/>
  <c r="F21" i="1"/>
  <c r="E21" i="1"/>
  <c r="D21" i="1"/>
  <c r="C21" i="1"/>
  <c r="F20" i="1"/>
  <c r="E20" i="1"/>
  <c r="D20" i="1"/>
  <c r="C20" i="1"/>
  <c r="L19" i="1"/>
  <c r="K19" i="1"/>
  <c r="J19" i="1"/>
  <c r="I19" i="1"/>
  <c r="H19" i="1"/>
  <c r="G19" i="1"/>
  <c r="F19" i="1"/>
  <c r="E19" i="1"/>
  <c r="D19" i="1"/>
  <c r="C19" i="1"/>
  <c r="F18" i="1"/>
  <c r="E18" i="1"/>
  <c r="D18" i="1"/>
  <c r="C18" i="1"/>
  <c r="D40" i="5"/>
  <c r="B30" i="3" s="1"/>
  <c r="S60" i="3" s="1"/>
  <c r="D32" i="5"/>
  <c r="B29" i="3" s="1"/>
  <c r="S59" i="3" s="1"/>
  <c r="D24" i="5"/>
  <c r="B28" i="3" s="1"/>
  <c r="S58" i="3" s="1"/>
  <c r="D10" i="5"/>
  <c r="B27" i="3" s="1"/>
  <c r="S57" i="3" s="1"/>
  <c r="P16" i="1"/>
  <c r="O16" i="1"/>
  <c r="N16" i="1"/>
  <c r="M16" i="1"/>
  <c r="L16" i="1"/>
  <c r="K16" i="1"/>
  <c r="G16" i="1"/>
  <c r="J16" i="1"/>
  <c r="I16" i="1"/>
  <c r="H16" i="1"/>
  <c r="F16" i="1"/>
  <c r="E16" i="1"/>
  <c r="D16" i="1"/>
  <c r="C16" i="1"/>
  <c r="H15" i="1"/>
  <c r="G15" i="1"/>
  <c r="F15" i="1"/>
  <c r="E15" i="1"/>
  <c r="D15" i="1"/>
  <c r="C15" i="1"/>
  <c r="H14" i="1"/>
  <c r="G14" i="1"/>
  <c r="F14" i="1"/>
  <c r="E14" i="1"/>
  <c r="D14" i="1"/>
  <c r="C14" i="1"/>
  <c r="J13" i="1"/>
  <c r="I13" i="1"/>
  <c r="H13" i="1"/>
  <c r="G13" i="1"/>
  <c r="F13" i="1"/>
  <c r="E13" i="1"/>
  <c r="D13" i="1"/>
  <c r="C13" i="1"/>
  <c r="G12" i="1"/>
  <c r="F12" i="1"/>
  <c r="E12" i="1"/>
  <c r="D12" i="1"/>
  <c r="C12" i="1"/>
  <c r="G11" i="1"/>
  <c r="F11" i="1"/>
  <c r="E11" i="1"/>
  <c r="D11" i="1"/>
  <c r="C11" i="1"/>
  <c r="Q10" i="1"/>
  <c r="P10" i="1"/>
  <c r="O10" i="1"/>
  <c r="N10" i="1"/>
  <c r="M10" i="1"/>
  <c r="L10" i="1"/>
  <c r="K10" i="1"/>
  <c r="J10" i="1"/>
  <c r="I10" i="1"/>
  <c r="H10" i="1"/>
  <c r="G10" i="1"/>
  <c r="F10" i="1"/>
  <c r="E10" i="1"/>
  <c r="D10" i="1"/>
  <c r="C10" i="1"/>
  <c r="G9" i="1"/>
  <c r="F9" i="1"/>
  <c r="E9" i="1"/>
  <c r="D9" i="1"/>
  <c r="C9" i="1"/>
  <c r="D115" i="2"/>
  <c r="B14" i="3" s="1"/>
  <c r="S56" i="3" s="1"/>
  <c r="D97" i="2"/>
  <c r="B13" i="3" s="1"/>
  <c r="S55" i="3" s="1"/>
  <c r="D87" i="2"/>
  <c r="B12" i="3" s="1"/>
  <c r="S54" i="3" s="1"/>
  <c r="B11" i="3"/>
  <c r="S53" i="3"/>
  <c r="D65" i="2"/>
  <c r="B10" i="3"/>
  <c r="S52" i="3" s="1"/>
  <c r="D56" i="2"/>
  <c r="B9" i="3" s="1"/>
  <c r="S51" i="3" s="1"/>
  <c r="D47" i="2"/>
  <c r="B8" i="3" s="1"/>
  <c r="S50" i="3" s="1"/>
  <c r="D19" i="2"/>
  <c r="B5" i="3"/>
  <c r="S48" i="3" s="1"/>
  <c r="D11" i="2"/>
  <c r="B4" i="3" s="1"/>
  <c r="S47" i="3" s="1"/>
  <c r="F8" i="1"/>
  <c r="E8" i="1"/>
  <c r="D8" i="1"/>
  <c r="C8" i="1"/>
  <c r="H7" i="1"/>
  <c r="G7" i="1"/>
  <c r="F7" i="1"/>
  <c r="E7" i="1"/>
  <c r="D7" i="1"/>
  <c r="C7" i="1"/>
  <c r="Z44" i="1" l="1"/>
  <c r="C103" i="3" s="1"/>
  <c r="H11" i="8"/>
  <c r="H8" i="8"/>
  <c r="H12" i="8"/>
  <c r="H10" i="8"/>
  <c r="H9" i="8"/>
  <c r="H6" i="8"/>
  <c r="H5" i="8"/>
  <c r="H3" i="8"/>
  <c r="C15" i="3"/>
  <c r="S11" i="1"/>
  <c r="R11" i="1" s="1"/>
  <c r="W11" i="1" s="1"/>
  <c r="S15" i="1"/>
  <c r="R15" i="1" s="1"/>
  <c r="T15" i="1" s="1"/>
  <c r="S22" i="1"/>
  <c r="R22" i="1" s="1"/>
  <c r="Y22" i="1" s="1"/>
  <c r="S20" i="1"/>
  <c r="R20" i="1" s="1"/>
  <c r="W20" i="1" s="1"/>
  <c r="S26" i="1"/>
  <c r="R26" i="1" s="1"/>
  <c r="V26" i="1" s="1"/>
  <c r="S31" i="1"/>
  <c r="R31" i="1" s="1"/>
  <c r="Y31" i="1" s="1"/>
  <c r="S33" i="1"/>
  <c r="R33" i="1" s="1"/>
  <c r="W33" i="1" s="1"/>
  <c r="S35" i="1"/>
  <c r="R35" i="1" s="1"/>
  <c r="Y35" i="1" s="1"/>
  <c r="S36" i="1"/>
  <c r="R36" i="1" s="1"/>
  <c r="U36" i="1" s="1"/>
  <c r="X34" i="1"/>
  <c r="Y34" i="1"/>
  <c r="U34" i="1"/>
  <c r="S10" i="1"/>
  <c r="R10" i="1" s="1"/>
  <c r="U10" i="1" s="1"/>
  <c r="S13" i="1"/>
  <c r="R13" i="1" s="1"/>
  <c r="X13" i="1" s="1"/>
  <c r="S16" i="1"/>
  <c r="R16" i="1" s="1"/>
  <c r="Y16" i="1" s="1"/>
  <c r="S40" i="1"/>
  <c r="R40" i="1" s="1"/>
  <c r="U40" i="1" s="1"/>
  <c r="S42" i="1"/>
  <c r="R42" i="1" s="1"/>
  <c r="V42" i="1" s="1"/>
  <c r="S27" i="1"/>
  <c r="R27" i="1" s="1"/>
  <c r="X27" i="1" s="1"/>
  <c r="S29" i="1"/>
  <c r="R29" i="1" s="1"/>
  <c r="U29" i="1" s="1"/>
  <c r="S38" i="1"/>
  <c r="R38" i="1" s="1"/>
  <c r="U38" i="1" s="1"/>
  <c r="S18" i="1"/>
  <c r="R18" i="1" s="1"/>
  <c r="V18" i="1" s="1"/>
  <c r="S23" i="1"/>
  <c r="R23" i="1" s="1"/>
  <c r="V23" i="1" s="1"/>
  <c r="S30" i="1"/>
  <c r="R30" i="1" s="1"/>
  <c r="T30" i="1" s="1"/>
  <c r="S37" i="1"/>
  <c r="R37" i="1" s="1"/>
  <c r="X37" i="1" s="1"/>
  <c r="S7" i="1"/>
  <c r="R7" i="1" s="1"/>
  <c r="W7" i="1" s="1"/>
  <c r="S9" i="1"/>
  <c r="R9" i="1" s="1"/>
  <c r="T9" i="1" s="1"/>
  <c r="S12" i="1"/>
  <c r="R12" i="1" s="1"/>
  <c r="U12" i="1" s="1"/>
  <c r="S14" i="1"/>
  <c r="R14" i="1" s="1"/>
  <c r="T14" i="1" s="1"/>
  <c r="S41" i="1"/>
  <c r="R41" i="1" s="1"/>
  <c r="Y41" i="1" s="1"/>
  <c r="S43" i="1"/>
  <c r="R43" i="1" s="1"/>
  <c r="T43" i="1" s="1"/>
  <c r="S28" i="1"/>
  <c r="R28" i="1" s="1"/>
  <c r="Y28" i="1" s="1"/>
  <c r="S8" i="1"/>
  <c r="R8" i="1" s="1"/>
  <c r="X8" i="1" s="1"/>
  <c r="S19" i="1"/>
  <c r="R19" i="1" s="1"/>
  <c r="V19" i="1" s="1"/>
  <c r="S21" i="1"/>
  <c r="R21" i="1" s="1"/>
  <c r="X21" i="1" s="1"/>
  <c r="S24" i="1"/>
  <c r="R24" i="1" s="1"/>
  <c r="T24" i="1" s="1"/>
  <c r="Y32" i="1"/>
  <c r="U32" i="1"/>
  <c r="X32" i="1"/>
  <c r="T32" i="1"/>
  <c r="W32" i="1"/>
  <c r="V32" i="1"/>
  <c r="V34" i="1"/>
  <c r="W34" i="1"/>
  <c r="T34" i="1"/>
  <c r="Y11" i="1"/>
  <c r="U11" i="1"/>
  <c r="V11" i="1"/>
  <c r="X11" i="1"/>
  <c r="B15" i="3"/>
  <c r="T42" i="1" l="1"/>
  <c r="U42" i="1"/>
  <c r="W42" i="1"/>
  <c r="Y42" i="1"/>
  <c r="V40" i="1"/>
  <c r="X36" i="1"/>
  <c r="T36" i="1"/>
  <c r="V36" i="1"/>
  <c r="Y36" i="1"/>
  <c r="W36" i="1"/>
  <c r="T31" i="1"/>
  <c r="V31" i="1"/>
  <c r="W31" i="1"/>
  <c r="V27" i="1"/>
  <c r="W21" i="1"/>
  <c r="X19" i="1"/>
  <c r="W19" i="1"/>
  <c r="Y19" i="1"/>
  <c r="W18" i="1"/>
  <c r="U18" i="1"/>
  <c r="Y18" i="1"/>
  <c r="Y15" i="1"/>
  <c r="W15" i="1"/>
  <c r="V15" i="1"/>
  <c r="U15" i="1"/>
  <c r="X15" i="1"/>
  <c r="T13" i="1"/>
  <c r="T11" i="1"/>
  <c r="T10" i="1"/>
  <c r="X10" i="1"/>
  <c r="W10" i="1"/>
  <c r="V9" i="1"/>
  <c r="Y9" i="1"/>
  <c r="W9" i="1"/>
  <c r="U7" i="1"/>
  <c r="X26" i="1"/>
  <c r="W26" i="1"/>
  <c r="T26" i="1"/>
  <c r="U26" i="1"/>
  <c r="Y26" i="1"/>
  <c r="T22" i="1"/>
  <c r="X22" i="1"/>
  <c r="X9" i="1"/>
  <c r="W23" i="1"/>
  <c r="U31" i="1"/>
  <c r="Y27" i="1"/>
  <c r="U22" i="1"/>
  <c r="V22" i="1"/>
  <c r="U8" i="1"/>
  <c r="U24" i="1"/>
  <c r="W22" i="1"/>
  <c r="V35" i="1"/>
  <c r="W38" i="1"/>
  <c r="W12" i="1"/>
  <c r="U33" i="1"/>
  <c r="W28" i="1"/>
  <c r="U20" i="1"/>
  <c r="Y38" i="1"/>
  <c r="U37" i="1"/>
  <c r="W14" i="1"/>
  <c r="T8" i="1"/>
  <c r="X35" i="1"/>
  <c r="Y40" i="1"/>
  <c r="U14" i="1"/>
  <c r="Y8" i="1"/>
  <c r="Y20" i="1"/>
  <c r="T20" i="1"/>
  <c r="Y37" i="1"/>
  <c r="T35" i="1"/>
  <c r="T38" i="1"/>
  <c r="V38" i="1"/>
  <c r="W40" i="1"/>
  <c r="W37" i="1"/>
  <c r="U35" i="1"/>
  <c r="X38" i="1"/>
  <c r="T40" i="1"/>
  <c r="Y14" i="1"/>
  <c r="V8" i="1"/>
  <c r="V20" i="1"/>
  <c r="X20" i="1"/>
  <c r="R44" i="1"/>
  <c r="U44" i="1" s="1"/>
  <c r="W8" i="1"/>
  <c r="W35" i="1"/>
  <c r="X40" i="1"/>
  <c r="Y43" i="1"/>
  <c r="V43" i="1"/>
  <c r="X28" i="1"/>
  <c r="W13" i="1"/>
  <c r="X12" i="1"/>
  <c r="U9" i="1"/>
  <c r="U23" i="1"/>
  <c r="T21" i="1"/>
  <c r="T33" i="1"/>
  <c r="V33" i="1"/>
  <c r="X31" i="1"/>
  <c r="T28" i="1"/>
  <c r="V28" i="1"/>
  <c r="T27" i="1"/>
  <c r="X29" i="1"/>
  <c r="W43" i="1"/>
  <c r="X43" i="1"/>
  <c r="T12" i="1"/>
  <c r="Y33" i="1"/>
  <c r="V12" i="1"/>
  <c r="Y23" i="1"/>
  <c r="Y21" i="1"/>
  <c r="X33" i="1"/>
  <c r="V29" i="1"/>
  <c r="U43" i="1"/>
  <c r="V7" i="1"/>
  <c r="W41" i="1"/>
  <c r="V16" i="1"/>
  <c r="Y7" i="1"/>
  <c r="X16" i="1"/>
  <c r="T7" i="1"/>
  <c r="W24" i="1"/>
  <c r="X30" i="1"/>
  <c r="W29" i="1"/>
  <c r="W16" i="1"/>
  <c r="X14" i="1"/>
  <c r="V13" i="1"/>
  <c r="V24" i="1"/>
  <c r="X24" i="1"/>
  <c r="T23" i="1"/>
  <c r="V21" i="1"/>
  <c r="V37" i="1"/>
  <c r="U27" i="1"/>
  <c r="V30" i="1"/>
  <c r="U30" i="1"/>
  <c r="T29" i="1"/>
  <c r="V41" i="1"/>
  <c r="X41" i="1"/>
  <c r="T16" i="1"/>
  <c r="U16" i="1"/>
  <c r="V14" i="1"/>
  <c r="Y13" i="1"/>
  <c r="U13" i="1"/>
  <c r="Y12" i="1"/>
  <c r="Y10" i="1"/>
  <c r="V10" i="1"/>
  <c r="X7" i="1"/>
  <c r="Y24" i="1"/>
  <c r="T19" i="1"/>
  <c r="U19" i="1"/>
  <c r="X23" i="1"/>
  <c r="U21" i="1"/>
  <c r="X18" i="1"/>
  <c r="T18" i="1"/>
  <c r="T37" i="1"/>
  <c r="U28" i="1"/>
  <c r="W27" i="1"/>
  <c r="W30" i="1"/>
  <c r="Y30" i="1"/>
  <c r="Y29" i="1"/>
  <c r="T41" i="1"/>
  <c r="U41" i="1"/>
  <c r="X42" i="1"/>
  <c r="C104" i="3" l="1"/>
  <c r="X44" i="1"/>
  <c r="Y44" i="1"/>
  <c r="V44" i="1"/>
  <c r="W44" i="1"/>
  <c r="T44" i="1"/>
</calcChain>
</file>

<file path=xl/comments1.xml><?xml version="1.0" encoding="utf-8"?>
<comments xmlns="http://schemas.openxmlformats.org/spreadsheetml/2006/main">
  <authors>
    <author>Ronaldo Martins</author>
  </authors>
  <commentList>
    <comment ref="A6" authorId="0" shapeId="0">
      <text>
        <r>
          <rPr>
            <b/>
            <sz val="9"/>
            <color indexed="81"/>
            <rFont val="Tahoma"/>
            <family val="2"/>
          </rPr>
          <t>Ronaldo Martins: Planejamento e Organização</t>
        </r>
        <r>
          <rPr>
            <sz val="9"/>
            <color indexed="81"/>
            <rFont val="Tahoma"/>
            <family val="2"/>
          </rPr>
          <t xml:space="preserve">
Este domínio cobre a estratégia e as táticas, preocupando-se com a identificação da maneira em que TI pode melhor contribuir para atingir os objetivos de negócios. O sucesso da visão estratégica precisa ser planejado, comunicado e gerenciado por diferentes perspectivas. Uma apropriada organização bem como uma adequada infraestrutura tecnológica devem ser colocadas em funcionamento.
Este domínio tipicamente ajuda a responder as seguintes questões gerenciais:
As estratégias de TI e de negócios estão alinhadas?
A empresa está obtendo um ótimo uso dos seus recursos?
Todos na organização entendem os objetivos de TI?
Os riscos de TI são entendidos e estão sendo gerenciados?
A qualidade dos sistemas de TI é adequada às necessidades de negócios?</t>
        </r>
      </text>
    </comment>
    <comment ref="A17" authorId="0" shapeId="0">
      <text>
        <r>
          <rPr>
            <b/>
            <sz val="9"/>
            <color indexed="81"/>
            <rFont val="Tahoma"/>
            <family val="2"/>
          </rPr>
          <t>Ronaldo Martins:</t>
        </r>
        <r>
          <rPr>
            <sz val="9"/>
            <color indexed="81"/>
            <rFont val="Tahoma"/>
            <family val="2"/>
          </rPr>
          <t xml:space="preserve">
Para executar a estratégia de TI, as soluções de TI precisam ser identificadas, desenvolvidas ou adquiridas, implementadas e integradas ao processo de negócios. Além disso, alterações e manutenções nos sistemas existentes são cobertas por esse domínio para assegurar que as soluções continuem a atender aos objetivos de negócios. Este domínio tipicamente trata das seguintes questões de gerenciamento:
Os novos projetos fornecerão soluções que atendam às necessidades de negócios?
Os novos projetos serão entregues no tempo e orçamento previstos?
Os novos sistemas ocorreram apropriadamente quando implementado?
As alterações ocorrerão sem afetar as operações de negócios atuais?</t>
        </r>
      </text>
    </comment>
    <comment ref="A25" authorId="0" shapeId="0">
      <text>
        <r>
          <rPr>
            <b/>
            <sz val="9"/>
            <color indexed="81"/>
            <rFont val="Tahoma"/>
            <family val="2"/>
          </rPr>
          <t>Ronaldo Martins:</t>
        </r>
        <r>
          <rPr>
            <sz val="9"/>
            <color indexed="81"/>
            <rFont val="Tahoma"/>
            <family val="2"/>
          </rPr>
          <t xml:space="preserve">
Este domínio trata da entrega dos serviços solicitados, o que inclui entrega de serviço, gerenciamento da segurança e continuidade, serviços de suporte para os usuários e o gerenciamento de dados e recursos operacionais. Trata geralmente das seguintes questões de gerenciamento:
Os serviços de TI estão sendo entregues de acordo com as prioridades de negócios?
Os custos de TI estão otimizados?
A força de trabalho está habilitada para utilizar os sistemas de TI de maneira produtiva e segura?
Os aspectos de confidencialidade, integridade e disponibilidade estão sendo contemplados para garantir a segurança da informação?</t>
        </r>
      </text>
    </comment>
    <comment ref="A39" authorId="0" shapeId="0">
      <text>
        <r>
          <rPr>
            <b/>
            <sz val="9"/>
            <color indexed="81"/>
            <rFont val="Tahoma"/>
            <family val="2"/>
          </rPr>
          <t>Ronaldo Martins:</t>
        </r>
        <r>
          <rPr>
            <sz val="9"/>
            <color indexed="81"/>
            <rFont val="Tahoma"/>
            <family val="2"/>
          </rPr>
          <t xml:space="preserve">
Todos os processos de TI precisam ser regularmente avaliados com o passar do tempo para assegurar a qualidade e a aderência aos requisitos de controle. Este domínio aborda o gerenciamento de performance, o monitoramento do controle interno, a aderência regulatória e a governança. Trata geralmente das seguintes questões de gerenciamento:
A performance de TI é mensurada para detectar problemas antes que seja muito tarde?
O gerenciamento assegura que os controles internos sejam efetivos e eficientes?
O desempenho da TI pode ser associado aos objetivos de negócio?
Existem controles adequados para garantir confidencialidade, integridade e disponibilidade das informações?</t>
        </r>
      </text>
    </comment>
  </commentList>
</comments>
</file>

<file path=xl/comments2.xml><?xml version="1.0" encoding="utf-8"?>
<comments xmlns="http://schemas.openxmlformats.org/spreadsheetml/2006/main">
  <authors>
    <author>Ronaldo Martins</author>
    <author>Sidnei Gonçalves - UP2Place IT Transformation</author>
  </authors>
  <commentList>
    <comment ref="D4" authorId="0" shapeId="0">
      <text>
        <r>
          <rPr>
            <b/>
            <sz val="10"/>
            <color indexed="81"/>
            <rFont val="Tahoma"/>
            <family val="2"/>
          </rPr>
          <t>Grau de Maturidade:</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4" authorId="0" shapeId="0">
      <text>
        <r>
          <rPr>
            <b/>
            <sz val="10"/>
            <color indexed="81"/>
            <rFont val="Tahoma"/>
            <family val="2"/>
          </rPr>
          <t>Grau de Maturidade:</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4"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4"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4"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4"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2"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1"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5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5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9"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8"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8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8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8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9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9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9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0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0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0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comments3.xml><?xml version="1.0" encoding="utf-8"?>
<comments xmlns="http://schemas.openxmlformats.org/spreadsheetml/2006/main">
  <authors>
    <author>Ronaldo Martins</author>
    <author>Sidnei Gonçalves - UP2Place IT Transformation</author>
  </authors>
  <commentList>
    <comment ref="D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3"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7"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4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4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43"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5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1"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0"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0"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comments4.xml><?xml version="1.0" encoding="utf-8"?>
<comments xmlns="http://schemas.openxmlformats.org/spreadsheetml/2006/main">
  <authors>
    <author>Ronaldo Martins</author>
    <author>Sidnei Gonçalves - UP2Place IT Transformation</author>
  </authors>
  <commentList>
    <comment ref="D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3"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3"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2"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4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4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4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1"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1"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6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9"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9"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7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7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7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8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85"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85"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9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92"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92"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9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9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98"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0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08"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08"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1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1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17"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comments5.xml><?xml version="1.0" encoding="utf-8"?>
<comments xmlns="http://schemas.openxmlformats.org/spreadsheetml/2006/main">
  <authors>
    <author>Ronaldo Martins</author>
    <author>Sidnei Gonçalves - UP2Place IT Transformation</author>
  </authors>
  <commentList>
    <comment ref="D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1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1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1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27"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27"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 ref="D3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E36" authorId="0" shapeId="0">
      <text>
        <r>
          <rPr>
            <b/>
            <sz val="10"/>
            <color indexed="81"/>
            <rFont val="Tahoma"/>
            <family val="2"/>
          </rPr>
          <t>Pontuação:</t>
        </r>
        <r>
          <rPr>
            <sz val="9"/>
            <color indexed="81"/>
            <rFont val="Tahoma"/>
            <family val="2"/>
          </rPr>
          <t xml:space="preserve">
</t>
        </r>
        <r>
          <rPr>
            <b/>
            <sz val="9"/>
            <color indexed="81"/>
            <rFont val="Tahoma"/>
            <family val="2"/>
          </rPr>
          <t>0 =&gt; Inexistente:</t>
        </r>
        <r>
          <rPr>
            <sz val="9"/>
            <color indexed="81"/>
            <rFont val="Tahoma"/>
            <family val="2"/>
          </rPr>
          <t xml:space="preserve"> quando o plano estratégico de TI não é executado. A Direção não está conscientizada de que o planejamento estratégico de TI é necessário para sustentar as metas de negócio.
</t>
        </r>
        <r>
          <rPr>
            <b/>
            <sz val="9"/>
            <color indexed="81"/>
            <rFont val="Tahoma"/>
            <family val="2"/>
          </rPr>
          <t>1 =&gt; Inicial/ Ad hoc:</t>
        </r>
        <r>
          <rPr>
            <sz val="9"/>
            <color indexed="81"/>
            <rFont val="Tahoma"/>
            <family val="2"/>
          </rPr>
          <t xml:space="preserve"> quando a necessidade de um planejamento estratégico de TI é conhecida pela Direção de TI. O planejamento de TI é realizado caso a caso, em resposta a um requisito específico de negócio. O planejamento estratégico de TI é ocasionalmente discutido nas reuniões da Direção de TI. O alinhamento de requisitos de negócio, aplicações e tecnologia ocorre de forma reativa ao invés de seguir uma estratégia corporativa. A posição estratégica de risco é identificada informalmente projeto a projeto.
</t>
        </r>
        <r>
          <rPr>
            <b/>
            <sz val="9"/>
            <color indexed="81"/>
            <rFont val="Tahoma"/>
            <family val="2"/>
          </rPr>
          <t>2 =&gt; Repetível porém Intuitivo:</t>
        </r>
        <r>
          <rPr>
            <sz val="9"/>
            <color indexed="81"/>
            <rFont val="Tahoma"/>
            <family val="2"/>
          </rPr>
          <t xml:space="preserve"> quando O planejamento estratégico de TI é compartilhado com a Direção do Negócio conforme a necessidade. A atualização dos planos de TI acontece em resposta aos pedidos da Direção. As decisões estratégicas são tomadas projeto a projeto, sem consistência com uma estratégia corporativa. Os riscos e benefícios do usuário nas principais decisões estratégicas são determinados de forma intuitiva.
</t>
        </r>
        <r>
          <rPr>
            <b/>
            <sz val="9"/>
            <color indexed="81"/>
            <rFont val="Tahoma"/>
            <family val="2"/>
          </rPr>
          <t>3 =&gt; Processo Definido:</t>
        </r>
        <r>
          <rPr>
            <sz val="9"/>
            <color indexed="81"/>
            <rFont val="Tahoma"/>
            <family val="2"/>
          </rPr>
          <t xml:space="preserve"> quando Uma política define quando e como realizar um planejamento estratégico de TI. O planejamento estratégico de TI segue uma abordagem estruturada, que é documentada e conhecida por todo o pessoal envolvido. O processo do planejamento de TI é razoavelmente discutido e assegura que um planejamento adequado seja realizado. Entretanto, a implementação do processo fica a critério de cada Direção e não há procedimentos para examinar o processo. A estratégia geral de TI inclui uma definição consistente dos
riscos que a organização aceita correr por ser inovadora ou por seguir tendências. As estratégias de recursos financeiros, técnicos e humanos influenciam cada vez mais na aquisição de novos produtos e tecnologias. O planejamento estratégico de TI é discutido nas reuniões de gerenciamento do negócio.
</t>
        </r>
        <r>
          <rPr>
            <b/>
            <sz val="9"/>
            <color indexed="81"/>
            <rFont val="Tahoma"/>
            <family val="2"/>
          </rPr>
          <t>4 =&gt; Gerenciado e Mensurável:</t>
        </r>
        <r>
          <rPr>
            <sz val="9"/>
            <color indexed="81"/>
            <rFont val="Tahoma"/>
            <family val="2"/>
          </rPr>
          <t xml:space="preserve"> quando O planejamento estratégico de TI é uma prática padrão cujas exceções são detectadas pela Direção. O planejamento estratégico de TI é uma função da Direção com nível sênior de responsabilidade. A Direção é capaz de monitorar o processo de planejamento estratégico de TI, tomar decisões baseadas nesse processo e medir sua efetividade. Os planejamentos de TI, de curto e longo prazo
são cascateados de cima para baixo na organização, com atualizações quando necessário. A estratégia de TI e a estratégia global da organização estão se tornando gradativamente mais coordenadas por abordar processos de negócio, capacidades de valor agregado e alavancar o uso de aplicativos e tecnologias na reengenharia dos processos de negócios. Há um processo bem definido para determinar o uso dos recursos internos e externos no desenvolvimento de sistema e operações.
</t>
        </r>
        <r>
          <rPr>
            <b/>
            <sz val="9"/>
            <color indexed="81"/>
            <rFont val="Tahoma"/>
            <family val="2"/>
          </rPr>
          <t>5 =&gt; Otimizado:</t>
        </r>
        <r>
          <rPr>
            <sz val="9"/>
            <color indexed="81"/>
            <rFont val="Tahoma"/>
            <family val="2"/>
          </rPr>
          <t xml:space="preserve"> quando O planejamento estratégico de TI é um processo documentado e dinâmico, sempre considerado no estabelecimento dos objetivos de negócio, e resulta em valor de negócio identificável através dos investimentos em TI. As considerações de risco e o valor agregado são continuamente atualizados no processo de planejamento estratégico de TI. Planos realísticos de TI de longo prazo são desenvolvidos e constantemente atualizados para refletir mudanças na tecnologia e no desenvolvimento relativos ao negócio. Comparações com normas confiáveis e bem conhecidas do mercado são realizadas e integradas ao processo de formulação de estratégias (benchmarking). O planejamento estratégico inclui uma análise de como as novas tecnologias podem criar novas capacidades de negócio e melhorar a vantagem competitiva da organização. </t>
        </r>
      </text>
    </comment>
    <comment ref="F36" authorId="1" shapeId="0">
      <text>
        <r>
          <rPr>
            <b/>
            <sz val="9"/>
            <color indexed="81"/>
            <rFont val="Segoe UI"/>
            <family val="2"/>
          </rPr>
          <t xml:space="preserve"> UP2Place IT Transformation:
</t>
        </r>
        <r>
          <rPr>
            <sz val="9"/>
            <color indexed="81"/>
            <rFont val="Segoe UI"/>
            <family val="2"/>
          </rPr>
          <t xml:space="preserve">Se você não é o responsável ou não tem as informações suficientes para responder estas perguntas, você poderá fazer entrevistas para capturar o grau de maturidade e incluir os comentários neste espaço.
</t>
        </r>
      </text>
    </comment>
  </commentList>
</comments>
</file>

<file path=xl/sharedStrings.xml><?xml version="1.0" encoding="utf-8"?>
<sst xmlns="http://schemas.openxmlformats.org/spreadsheetml/2006/main" count="992" uniqueCount="621">
  <si>
    <t>ACME</t>
  </si>
  <si>
    <t>Levantamento do Nível de Maturidade de TI</t>
  </si>
  <si>
    <t>Abrangência</t>
  </si>
  <si>
    <t xml:space="preserve"> </t>
  </si>
  <si>
    <t>Total Objetos Ctrl</t>
  </si>
  <si>
    <t>Domínio</t>
  </si>
  <si>
    <t>ID/ Processo</t>
  </si>
  <si>
    <t>Maturidade Avaliada</t>
  </si>
  <si>
    <t>Total Objetivos Ctrl</t>
  </si>
  <si>
    <t>0 - Inexistente</t>
  </si>
  <si>
    <t>1- Inicial</t>
  </si>
  <si>
    <t>2- Repetitivo/Intuitivo</t>
  </si>
  <si>
    <t>3- Definidos</t>
  </si>
  <si>
    <t>4- Gerenciados</t>
  </si>
  <si>
    <t>5- Otimizados</t>
  </si>
  <si>
    <t>PO</t>
  </si>
  <si>
    <t>Planejar e Organizar</t>
  </si>
  <si>
    <t>PO1 - Definir um Plano Estratégico de TI</t>
  </si>
  <si>
    <t>PO2 - Definir a Arquitetura da Informação</t>
  </si>
  <si>
    <t>PO3 - Determinar o Direcionamento Tecnológico</t>
  </si>
  <si>
    <t>PO4 - Definir os Processos, Organização e os Relacionamentos de TI</t>
  </si>
  <si>
    <t>PO5 - Gerenciar o Investimento de TI</t>
  </si>
  <si>
    <t>PO6 - Comunicar as Diretrizes e Expectativas da Diretoria</t>
  </si>
  <si>
    <t>PO7 - Gerenciar os Recursos Humanos de TI</t>
  </si>
  <si>
    <t>PO8 - Gerenciar a Qualidade</t>
  </si>
  <si>
    <t>PO9 - Avaliar e Gerenciar os Riscos de TI</t>
  </si>
  <si>
    <t>PO10 - Gerenciar Projetos</t>
  </si>
  <si>
    <t>AI</t>
  </si>
  <si>
    <t>Adquirir e Implementar</t>
  </si>
  <si>
    <t>AI1 - Identificar Solução Automatizadas</t>
  </si>
  <si>
    <t>AI2 - Adquirir e Manter Software Aplicativo</t>
  </si>
  <si>
    <t>AI3 - Adquirir e Manter Infraestrutura de Tecnologia</t>
  </si>
  <si>
    <t>AI4 - Habilitar Operação e Uso</t>
  </si>
  <si>
    <t>AI5 - Adquirir Recursos de TI</t>
  </si>
  <si>
    <t>AI6 - Gerenciar Mudanças</t>
  </si>
  <si>
    <t>AI7 - Instalar e Homologar Soluções e Mudanças</t>
  </si>
  <si>
    <t>DS</t>
  </si>
  <si>
    <t>Entregar Suportar</t>
  </si>
  <si>
    <t>DS1 - Definir e Gerenciar Níveis de Serviços</t>
  </si>
  <si>
    <t>DS2 - Gerenciar Serviços de Terceiros</t>
  </si>
  <si>
    <t>DS3 - Gerenciar Capacidade e Desempenho</t>
  </si>
  <si>
    <t>DS4 - Assegurar Continuidade de Serviços:</t>
  </si>
  <si>
    <t>DS5 - Assegurar a Segurança dos Serviços</t>
  </si>
  <si>
    <t>DS6 - Identificar e Alocar Custos</t>
  </si>
  <si>
    <t>DS7 - Educar e Treinar os Usuários</t>
  </si>
  <si>
    <t>DS8 - Gerenciar a Central de Serviço e os Incidentes</t>
  </si>
  <si>
    <t>DS9 - Gerenciar a Configuração</t>
  </si>
  <si>
    <t>DS10 - Gerenciar os Problemas</t>
  </si>
  <si>
    <t>DS11 - Gerenciar Dados</t>
  </si>
  <si>
    <t>DS12- Gerenciar Ambiente Físico</t>
  </si>
  <si>
    <t>DS13 - Gerenciar operações</t>
  </si>
  <si>
    <t>MA</t>
  </si>
  <si>
    <t>Monitorar e Avaliar</t>
  </si>
  <si>
    <t>MA1 - Monitorar e Avaliar o Desempenho</t>
  </si>
  <si>
    <t>MA2 - Monitorar e Avaliar os Controles Internos</t>
  </si>
  <si>
    <t>MA3 - Assegurar a Conformidade com Requisitos Externos</t>
  </si>
  <si>
    <t>MA4 - Prover a Governança de TI</t>
  </si>
  <si>
    <t>Maturidade Geral da Diretoria de TI</t>
  </si>
  <si>
    <t xml:space="preserve">PO1 </t>
  </si>
  <si>
    <t>Definir um plano estratégico de TI</t>
  </si>
  <si>
    <t>Objetivos Controle</t>
  </si>
  <si>
    <t>Pergunta</t>
  </si>
  <si>
    <t>Gerenciamento do valor de TI</t>
  </si>
  <si>
    <t>Há um alinhamento da estratégia de TI com a estratégia da empresa? Se sim esta estratégia é avaliada periodicamente?</t>
  </si>
  <si>
    <t>Alinhamento entre TI e Negócio</t>
  </si>
  <si>
    <t>As prioridades de negócio estão alinhadas com as prioridades de TI?</t>
  </si>
  <si>
    <t>Avaliação da Capacidade e Desempenho Correntes</t>
  </si>
  <si>
    <t>De acordo com o plano de negócios atual TI consegue entregar os produtos esperados e possui capacidade de planejamento para demandas futuras fruto do crescimento do negócio?</t>
  </si>
  <si>
    <t>Plano Estratégico de TI</t>
  </si>
  <si>
    <t>Existe um plano estratégico de TI de forma que TI contribua com os objetivos de negócio da empresa?</t>
  </si>
  <si>
    <t>Planos Táticos de TI</t>
  </si>
  <si>
    <t>Há um plano tático que direcionem os projetos e por consequencia as iniciativas e recursos necessários para implantação dos mesmos?</t>
  </si>
  <si>
    <t>Gerenciamento do Portfólio de TI</t>
  </si>
  <si>
    <t>Há uma gestão do portfólio de projetos de TI alinhada com os objetivos de negócio e priorizados conforme a sua relevância para este objetivos?</t>
  </si>
  <si>
    <t>Maturidade do Processo</t>
  </si>
  <si>
    <t xml:space="preserve">PO2 </t>
  </si>
  <si>
    <t>Definir a arquitetura da informação</t>
  </si>
  <si>
    <t>Modelo de Arquitetura da Informação da XP</t>
  </si>
  <si>
    <t>Existe uma aqruitetura definida que permita o desenvolvimento de aplicações que suportem a tomada de decisão de negócios provendo suporte a segurança da informação?</t>
  </si>
  <si>
    <t>Dicionário de Dados corporativo e regras de sintaxe de dados</t>
  </si>
  <si>
    <t>Há um dicionário de dados e regras de sintaxe definidas que permita o compartilhamento por toda a organização previnindo a duplicidade de dados?</t>
  </si>
  <si>
    <t>Esquema de Classificação de Dados</t>
  </si>
  <si>
    <t>Os dados são classificados quanto ao acesso (público, confidencial e restrito) e há a definição do proprietário da informação e das permissãoes de acesso?</t>
  </si>
  <si>
    <t>Gerenciamento de Integridade</t>
  </si>
  <si>
    <t>Existem procedimentos que garantam a integridade e a concistência dos dados de forma eletrônica independente do método utilizado?</t>
  </si>
  <si>
    <t>PO3</t>
  </si>
  <si>
    <t>Determinar Direção Tecnológica</t>
  </si>
  <si>
    <t>Planejamento da Diretriz Tecnológica</t>
  </si>
  <si>
    <t>Há um processo de análise das tecnologias existentes e emergentes no sentido de direcionar o planejamento da área de tecnologia para suportar o negócio?</t>
  </si>
  <si>
    <t>Plano de Infraestrutura Tecnológica</t>
  </si>
  <si>
    <t>Há um processo que considera mudanças no ambiente competitivo, economia de escala em investimento em pessoal e sistemas, bem como melhorias na interoperabilidade entre plataformas e aplicações? Elas objetivam proporcionar contingência e um plano de aquisições?</t>
  </si>
  <si>
    <t>Monitoramento, Regulamentos e Tendências Futuras</t>
  </si>
  <si>
    <t>Padrões tecnológicos</t>
  </si>
  <si>
    <t>Conselho de Arquitetura de TI</t>
  </si>
  <si>
    <t>PO4</t>
  </si>
  <si>
    <t>Definir os Processos, Organização e Relacionamentos de TI</t>
  </si>
  <si>
    <t>Estrutura de Processos de TI</t>
  </si>
  <si>
    <t>Comitê Estratégico de TI</t>
  </si>
  <si>
    <t>Comitê Executivo de TI</t>
  </si>
  <si>
    <t>Posicionamento Organizacional da área de TI</t>
  </si>
  <si>
    <t xml:space="preserve">Já foi realizado um posicionamento da área de TI na estrutura geral organizacional através de um modelo que efetivamente considere sua importância e as necessidades de contingência, considerando a importância da TI para a estratégia de negócio e o nível de dependência operacional?
</t>
  </si>
  <si>
    <t>Estrutura Organizacional de TI</t>
  </si>
  <si>
    <t>Há uma estrutura organizacional interna e externa de TI que reflita as necessidades do negócio? Há um processo para revisar periodicamente a estrutura organizacional de TI e ajustar os requisitos de pessoal e estratégias de
fornecimento para atender aos objetivos de negócio esperados e a possíveis situações de mudança?</t>
  </si>
  <si>
    <t>Definição de Papéis e Responsabilidades</t>
  </si>
  <si>
    <t>Responsabilidade pela Garantia de Qualidade</t>
  </si>
  <si>
    <t>Responsabilidade por Riscos, Segurança e Conformidade</t>
  </si>
  <si>
    <t>Proprietários de Dados e Sistemas</t>
  </si>
  <si>
    <t>Supervisão</t>
  </si>
  <si>
    <t>Segregação de Funções</t>
  </si>
  <si>
    <t>Recrutamento de pessoal de TI</t>
  </si>
  <si>
    <t>Pessoal Chave de TI</t>
  </si>
  <si>
    <t>Há um processo para identificar o pessoal-chave de TI (ex., pessoal para reposição/backup) e minimizar o excesso de confiança em um único indivíduo executando uma função crítica?</t>
  </si>
  <si>
    <t>Políticas e Procedimentos para Pessoal Contratado</t>
  </si>
  <si>
    <t>Foram definidas e implementadas as  políticas e procedimentos para controlar as atividades de consultores e outros contratados da área de TI visando assegurar a proteção dos ativos de informação da organização e o cumprimento das exigências contratuais firmadas?</t>
  </si>
  <si>
    <t>Relacionamentos</t>
  </si>
  <si>
    <t>PO5</t>
  </si>
  <si>
    <t>Estrutura da Administração Financeira</t>
  </si>
  <si>
    <t>Já foi criada uma estrutura financeira para gerenciar investimentos e custos de bens e serviços de TI através de portfólios de investimentos, estudos de caso e orçamentos de TI?</t>
  </si>
  <si>
    <t>Priorização dentro do Orçamento de TI</t>
  </si>
  <si>
    <t>Processo de Orçamento de TI</t>
  </si>
  <si>
    <t>Gerenciamento de Custo</t>
  </si>
  <si>
    <t>Gerenciamento de Benefícios</t>
  </si>
  <si>
    <t>PO6</t>
  </si>
  <si>
    <t>Comunicar Metas e Diretrizes Gerenciais</t>
  </si>
  <si>
    <t>Política de TI e Ambiente de Controle</t>
  </si>
  <si>
    <t>Risco de TI Corporativo e Estrutura Interna de Controle</t>
  </si>
  <si>
    <t>Há uma estrutura que estabeleça uma abordagem dos riscos e controles de TI e buscando o alinhamento com as políticas e o ambiente e a  estrutura de riscos e controles da organização?</t>
  </si>
  <si>
    <t>Gerenciamento de Políticas de TI</t>
  </si>
  <si>
    <t>Distribuição da Política</t>
  </si>
  <si>
    <t>Há um processo que assegure  que as políticas de TI sejam exercidas e distribuídas para todo o pessoal relevante, sendo parte integrante das operações corporativas?</t>
  </si>
  <si>
    <t>Comunicação dos Objetivos e Diretrizes de TI</t>
  </si>
  <si>
    <t>É realizada comunicação no sentido de proporcionar a conscientização e entendimento dos objetivos e direcionamentos de  TI de todas as partes interessadas?</t>
  </si>
  <si>
    <t>PO7</t>
  </si>
  <si>
    <t>Gerenciar os Recursos Humanos de TI</t>
  </si>
  <si>
    <t>Recrutamento e Retenção de Pessoal</t>
  </si>
  <si>
    <t>Há  processos de recrutamento de pessoal estejam alinhados com as políticas e os procedimentos de pessoal da organização (por exemplo, nível de escolaridade, comportamental, etc.) que assegurem que a organização
tenha uma força de trabalho de TI apropriada e com as habilidades necessárias para atingir os objetivos da organização?</t>
  </si>
  <si>
    <t>Competências Pessoais</t>
  </si>
  <si>
    <t>Preenchimento de Vagas</t>
  </si>
  <si>
    <t>Há um processo claro para o preenchimento de vagas por posição ou alterações estruturais de TI? Se sim como é feita esta avaliação, formal ou informal?</t>
  </si>
  <si>
    <t>Treinamento do Pessoal</t>
  </si>
  <si>
    <t>Dependência de Indivíduos</t>
  </si>
  <si>
    <t>Procedimentos de Liberação de Pessoal</t>
  </si>
  <si>
    <t>Há uma análise de antecedentes (antigas ocupações) no processo de recrutamento de TI variando conforme a  confidencialidade e/ou da importância da função e  aplicadas aos funcionários, prestadores de serviço e
fornecedores?</t>
  </si>
  <si>
    <t>Avaliação de Desempenho Profissional</t>
  </si>
  <si>
    <t>Mudança e Desligamento de Cargo</t>
  </si>
  <si>
    <t>Há um processo que endereçe as mudanças de cargo, especialmente no caso de desligamentos?  A transferência de conhecimento é providenciada, as responsabilidades redistribuídas e os direitos de acesso eliminados, para que os riscos sejam minimizados e seja assegurada a continuidade da função?</t>
  </si>
  <si>
    <t>PO8</t>
  </si>
  <si>
    <t>Gerenciar a Qualidade</t>
  </si>
  <si>
    <t>Sistema de Gerenciamento de Qualidade (SGQ)</t>
  </si>
  <si>
    <t>Padrões e Práticas de Qualidade de TI</t>
  </si>
  <si>
    <t>Padrões de Desenvolvimento e Aquisição</t>
  </si>
  <si>
    <t>Foco no Cliente</t>
  </si>
  <si>
    <t>A gestão de qualidade tem como foco o cliente determinando seus requisitos e os mantendo alinhados com os padrões e práticas de TI? Existem Papéis e responsabilidades definidos para a resolução de conflitos entre usuário/cliente e a organização de TI?</t>
  </si>
  <si>
    <t>Melhoria Contínua</t>
  </si>
  <si>
    <t>Há um plano geral de qualidade que promove a melhoria continua que é mantido e comunicado regularmente?</t>
  </si>
  <si>
    <t>Medição, Monitoramento e Revisão da Qualidade</t>
  </si>
  <si>
    <t xml:space="preserve">Existem métricas implantadas para monitorar continuamente o atendimento ao SGQ, bem como o valor que o SGQ fornece?  </t>
  </si>
  <si>
    <t>PO9</t>
  </si>
  <si>
    <t>Avaliar e Gerenciar os Riscos de TI</t>
  </si>
  <si>
    <t>Alinhamento da gestão de riscos de TI e de Negócios</t>
  </si>
  <si>
    <t>Estabelecimento do Contexto de Risco</t>
  </si>
  <si>
    <t>Identificação de Eventos</t>
  </si>
  <si>
    <t>Avaliação de Risco</t>
  </si>
  <si>
    <t xml:space="preserve">Há avaliação regular  da probabilidade e o impacto de todos os riscos identificados, utilizando métodos qualitativos e quantitativos?
</t>
  </si>
  <si>
    <t>Resposta ao Risco</t>
  </si>
  <si>
    <t>Existe um processo de respostas a riscos para assegurar que controles mitiguem a exposição aos riscos de forma contínua? Esse processo se existir identifica as estratégias de risco, tais como evitar, reduzir, compartilhar ou aceitar o risco, determinar responsabilidades, e considerar os níveis de tolerância definidos?</t>
  </si>
  <si>
    <t>Manutenção e Monitoramento do Plano de Ação de Risco</t>
  </si>
  <si>
    <t>PO10</t>
  </si>
  <si>
    <t>Gerenciar Projetos</t>
  </si>
  <si>
    <t>Estrutura de Gestão de Programas</t>
  </si>
  <si>
    <t>Estrutura de Gestão de Projetos</t>
  </si>
  <si>
    <t>Há uma estrutura de gestão de projetos que defina o escopo e a abrangência dos projetos gerenciados, bem como os métodos a serem adotados e aplicados a cada projeto iniciado? A estrutura e as metodologias de suporte são integradas aos processos de gerenciamento de projetos?</t>
  </si>
  <si>
    <t>Abordagem da Gestão de Projetos</t>
  </si>
  <si>
    <t>Comprometimento das Partes Interessadas</t>
  </si>
  <si>
    <t>Declaração do Escopo do Projeto</t>
  </si>
  <si>
    <t>Fase de Início do Projeto</t>
  </si>
  <si>
    <t xml:space="preserve">É assegurado que a fase de início do projeto seja formalmente aprovada e comunicada a todas as partes interessadas?  A aprovação da fase de início é baseada nas decisões da governança do PMO?  </t>
  </si>
  <si>
    <t>Plano Integrado de Projeto</t>
  </si>
  <si>
    <t>Recursos do Projeto</t>
  </si>
  <si>
    <t>Gestão de Risco do Projeto</t>
  </si>
  <si>
    <t>Plano de Qualidade de Projeto</t>
  </si>
  <si>
    <t>Há um plano de gestão de qualidade que descreva os critérios de qualidade do projeto e como será implementado?  O plano é formalmente revisado e aceito por todas as partes envolvidas e então incorporado ao plano integrado de projeto?</t>
  </si>
  <si>
    <t>Controle de Mudança de Projeto</t>
  </si>
  <si>
    <t>Planejamento de métodos de validação</t>
  </si>
  <si>
    <t>Medição de Desempenho, Monitoramento e Reporte do Projeto</t>
  </si>
  <si>
    <t>Conclusão do Projeto</t>
  </si>
  <si>
    <t>AI1</t>
  </si>
  <si>
    <t>Identificar Soluções Automatizadas</t>
  </si>
  <si>
    <t>Definição e Manutenção de Requisitos Técnicos e Funcionais de Negócio</t>
  </si>
  <si>
    <t>Como são Identificados, priorizados, especificados e pactuados os requisitos técnicos e funcionais do negócio ?</t>
  </si>
  <si>
    <t>Relatório de Análise de Risco</t>
  </si>
  <si>
    <t>Como são Identificados, documentados e analisados os riscos associados aos requisitos de negócio e desenho de soluções como parte do processo de desenvolvimento dos requisitos da organização?</t>
  </si>
  <si>
    <t>Estudo de Viabilidade e Formulação de Ações Alternativas</t>
  </si>
  <si>
    <t>Decisão e Aprovação de Requisitos e Estudo de Viabilidade</t>
  </si>
  <si>
    <t>AI2</t>
  </si>
  <si>
    <t>Adquirir e Manter Software Aplicativo</t>
  </si>
  <si>
    <t>Projeto em Nível Macro</t>
  </si>
  <si>
    <t>Projeto Detalhado</t>
  </si>
  <si>
    <t>Controle e Auditabilidade do Aplicativo</t>
  </si>
  <si>
    <t>São criados dispositivos do tipo log, trilhas de auditoria dos sistemas quanto as suas funcionalidades, acessos concedidos e conteúdo acessado? Há ferramentas para recuperação e análise destas informações e as mesmas podem ser recuperadas de forma rápida em casos de emergência?</t>
  </si>
  <si>
    <t>Segurança e Disponibilidade do Aplicativo</t>
  </si>
  <si>
    <t>Como são considerados os requisitos de segurança e disponibilidade em resposta aos riscos identificados? Estão em linha com a classificação de sensibilidade dos dados, com a arquitetura de segurança da informação e o perfil de tolerância a riscos da organização?</t>
  </si>
  <si>
    <t>Configuração e Implementação de Software Aplicativo Adquirido</t>
  </si>
  <si>
    <t>São Customizadas e implementadas as funcionalidades automatizadas adquiridas para alcançar os objetivos de negócios?</t>
  </si>
  <si>
    <t>Principais Atualizações dos Sistemas Existentes</t>
  </si>
  <si>
    <t>É seguido um processo de desenvolvimento similar ao de desenvolvimento de novos sistemas quando ocorrer grandes mudanças nos sistemas existentes que possam resultar em mudanças significativas nos projetos e/ou funcionalidades atuais?</t>
  </si>
  <si>
    <t>Desenvolvimento de Software Aplicativo</t>
  </si>
  <si>
    <t>É garantido que as funcionalidades automatizadas sejam desenvolvidas em conformidade com as especificações de projeto, padrões de desenvolvimento e documentação e requisitos de qualidade e de autorização? Além disso é assegurado que todos os aspectos contratuais e legais sejam identificados e considerados nos softwares aplicativos desenvolvidos por terceiros?</t>
  </si>
  <si>
    <t>Garantia de Qualidade de Software</t>
  </si>
  <si>
    <t>Gestão dos Requisitos das Aplicações</t>
  </si>
  <si>
    <t>Manutenção de Software Aplicativo</t>
  </si>
  <si>
    <t>Foi desenvolvida uma estratégia e um plano de manutenção de software aplicativo?</t>
  </si>
  <si>
    <t>AI3</t>
  </si>
  <si>
    <t>Adquirir e Manter Infraestrutura de Tecnologia</t>
  </si>
  <si>
    <t>Plano de Aquisição de Infraestrutura Tecnológica</t>
  </si>
  <si>
    <t>Infraestrutura de Recursos, Proteção e Disponibilidade</t>
  </si>
  <si>
    <t>Manutenção da Infraestrutura</t>
  </si>
  <si>
    <t>Viabilidade do Ambiente de Teste</t>
  </si>
  <si>
    <t>AI4</t>
  </si>
  <si>
    <t>Habilitar Operação e Uso</t>
  </si>
  <si>
    <t>Planejamento para Soluções Operacionais</t>
  </si>
  <si>
    <t>Háum plano para identificar e documentar todos os aspectos técnicos, a capacidade operacional e os níveis de serviços necessários para que todos que irão operar, utilizar e manter as soluções automatizadas possam exercer suas responsabilidades?</t>
  </si>
  <si>
    <t>Transferência de Conhecimento ao Gerenciamento do Negócio</t>
  </si>
  <si>
    <t>Transferência de Conhecimento aos Usuários Finais</t>
  </si>
  <si>
    <t>Transferência de Conhecimento às Equipes de Operações e Suporte</t>
  </si>
  <si>
    <t>Há transferência de  conhecimento e habilidades para permitir que as equipes de operações e suporte técnico entreguem, suportem e mantenham os sistemas e a infraestrutura associada de forma eficaz e eficiente?</t>
  </si>
  <si>
    <t>AI5</t>
  </si>
  <si>
    <t>Adquirir Recursos de TI</t>
  </si>
  <si>
    <t>Controle de Aquisição</t>
  </si>
  <si>
    <t>Existe um conjunto de procedimentos e padrões consistentes com o processo e a estratégia corporativa de aquisição para assegurar que a aquisição de infraestrutura, instalações, hardware, software e serviços satisfaça aos requisitos de negócio?</t>
  </si>
  <si>
    <t>Gerenciamento de Contratos de Fornecedores</t>
  </si>
  <si>
    <t>Seleção de Fornecedores</t>
  </si>
  <si>
    <t>Aquisição de Recursos de TI</t>
  </si>
  <si>
    <t>Há algum tipo de garantia que os interesses da organização sejam protegidos em todos os contratos de aquisição, incluíndo o exercício dos direitos e as obrigações de todas as partes nos termos contratuais de aquisição de software, desenvolvimento de recursos, infraestrutura e serviços?</t>
  </si>
  <si>
    <t>AI6</t>
  </si>
  <si>
    <t>Gerenciar Mudanças</t>
  </si>
  <si>
    <t>Padrões e Procedimentos de Mudança</t>
  </si>
  <si>
    <t>Avaliação de Impacto, Priorização e Autorização</t>
  </si>
  <si>
    <t>São avaliadas todas as solicitações de mudança de modo estruturado com relação a impactos no sistema operacional e na respectiva funcionalidade, assegurando que todas as mudanças sejam categorizadas, priorizadas e autorizadas?</t>
  </si>
  <si>
    <t>Mudanças de Emergência</t>
  </si>
  <si>
    <t>Acompanhamento de Status e Relatórios de Mudanças</t>
  </si>
  <si>
    <t>Finalização da Mudança e Documentação</t>
  </si>
  <si>
    <t>A documentação os procedimentos do sistema e de usuários são atualizados sempre que forem implementadas mudanças no sistema?</t>
  </si>
  <si>
    <t>AI7</t>
  </si>
  <si>
    <t>Treinamento</t>
  </si>
  <si>
    <t>Plano de Teste</t>
  </si>
  <si>
    <t>Podemos afirmar que foi estabelecido um plano de teste baseado nos padrões organizacionais que definem papéis, responsabilidades e critérios de sucesso de entrada e saída e que o plano seja aprovado pelas partes relevantes?</t>
  </si>
  <si>
    <t>Plano de Implementação</t>
  </si>
  <si>
    <t>Há um plano de implementação e de retorno à configuração anterior?  É obtida a aprovação de todas as partes relevantes?</t>
  </si>
  <si>
    <t>Ambiente de Testes</t>
  </si>
  <si>
    <t>Conversão de Dados e Sistemas</t>
  </si>
  <si>
    <t>Há um planejamento da conversão de dados e da migração da infraestrutura como parte dos métodos de desenvolvimento da organização, incluindo trilhas de auditoria, procedimentos de retorno à situação anterior e de recuperação de falhas.</t>
  </si>
  <si>
    <t>Teste de Mudanças</t>
  </si>
  <si>
    <t>É garantido que as mudanças sejam testadas de maneira independente e de acordo com o plano de testes definido antes da migração para o ambiente de produção?</t>
  </si>
  <si>
    <t>Teste de Aceitação Final</t>
  </si>
  <si>
    <t>Promoção para a Produção</t>
  </si>
  <si>
    <t>Revisão pós-implementação</t>
  </si>
  <si>
    <t>São estabelecidos procedimentos em linha com o gerenciamento de mudanças organizacionais para garantir a realização da revisão pósimplementação, conforme definido no plano de implementação?</t>
  </si>
  <si>
    <t xml:space="preserve"> Gerente de Sistemas</t>
  </si>
  <si>
    <t>DS1</t>
  </si>
  <si>
    <t>Definir e Gerenciar Níveis de Serviço</t>
  </si>
  <si>
    <t>Estrutura de Gestão de Níveis de Serviço</t>
  </si>
  <si>
    <t>Definição de Serviços</t>
  </si>
  <si>
    <t>Acordos de Nível de Serviço</t>
  </si>
  <si>
    <t>Acordos de Nível Operacional</t>
  </si>
  <si>
    <t>Monitoramento e Relatório de Realizações de Nível de Serviço</t>
  </si>
  <si>
    <t>Revisão dos Acordos de Nível de Serviço e dos Contratos</t>
  </si>
  <si>
    <t>DS2</t>
  </si>
  <si>
    <t>Gerenciar Serviços Terceirizados</t>
  </si>
  <si>
    <t>Identificação do Relacionamento com Todos os Fornecedores</t>
  </si>
  <si>
    <t>Todos os serviços terceirizados estão identificados e categorizados de acordo com o tipo, a importância e a criticidade? É usual manter documentação formal dos relacionamentos técnicos e organizacionais contemplando papéis e responsabilidades, metas, produtos esperados e as credenciais dos representantes desses fornecedores?</t>
  </si>
  <si>
    <t>Gestão do Relacionamento com Fornecedores</t>
  </si>
  <si>
    <t>Gerenciamento de Riscos do Fornecedor</t>
  </si>
  <si>
    <t>Monitoramento de Desempenho do Fornecedor</t>
  </si>
  <si>
    <t>DS3</t>
  </si>
  <si>
    <t>Gerenciar o Desempenho e a Capacidade</t>
  </si>
  <si>
    <t>Desempenho e Planejamento de Capacidade</t>
  </si>
  <si>
    <t>Capacidade e Desempenho Atuais</t>
  </si>
  <si>
    <t>Foi estebelecido um processo para realizar a análise crítica do desempenho e a capacidade atual dos recursos de TI de forma a determinar se existe capacidade e desempenho suficientes para atendimento conforme os níveis de serviço acordados?</t>
  </si>
  <si>
    <t>Capacidade e Desempenho Futuros</t>
  </si>
  <si>
    <t>Disponibilidade de Recursos de TI</t>
  </si>
  <si>
    <t>Monitoramento e Relatórios</t>
  </si>
  <si>
    <t>DS4</t>
  </si>
  <si>
    <t>Assegurar a Continuidade dos Serviços</t>
  </si>
  <si>
    <t>Estrutura de Continuidade</t>
  </si>
  <si>
    <t>Planos de Continuidade de TI</t>
  </si>
  <si>
    <t>Recursos Críticos de TI</t>
  </si>
  <si>
    <t>Manutenção do Plano de Continuidade de TI</t>
  </si>
  <si>
    <t>Teste do Plano de Continuidade de TI</t>
  </si>
  <si>
    <t>Treinamento do Plano de Continuidade de TI</t>
  </si>
  <si>
    <t>Há um processo para assegurar que todas as partes envolvidas recebam treinamento regular sobre os procedimentos, papéis e respectivas responsabilidades no caso de um incidente ou desastre. Com qual intensidade e frequencia?</t>
  </si>
  <si>
    <t>Distribuição do Plano de Continuidade</t>
  </si>
  <si>
    <t>Recuperação e Retomada dos Serviços de TI</t>
  </si>
  <si>
    <t>Armazenamento de Cópias de Segurança em Locais Remotos</t>
  </si>
  <si>
    <t>Revisão Pós-Retomada dos Serviços</t>
  </si>
  <si>
    <t>Após a retomada bem-sucedida da função de TI depois de um desastre, é são aplicados  procedimentos para avaliar a adequação do plano atual e realizar sua atualização, se necessário?</t>
  </si>
  <si>
    <t>DS5</t>
  </si>
  <si>
    <t>Garantir a Segurança dos Sistemas</t>
  </si>
  <si>
    <t>Gestão da Segurança de TI</t>
  </si>
  <si>
    <t>Plano de Segurança de TI</t>
  </si>
  <si>
    <t>Gestão de Identidade</t>
  </si>
  <si>
    <t>Gestão de Contas de Usuário</t>
  </si>
  <si>
    <t>Teste de Segurança, Vigilância e Monitoramento</t>
  </si>
  <si>
    <t>Definição de Incidente de Segurança</t>
  </si>
  <si>
    <t>Proteção da Tecnologia de Segurança</t>
  </si>
  <si>
    <t>Há processos que garantam  que as tecnologias de segurança importantes sejam invioláveis e que as documentações de segurança não sejam reveladas desnecessariamente?</t>
  </si>
  <si>
    <t>Gestão de Chave Criptográfica</t>
  </si>
  <si>
    <t>São estabelecidas políticas e procedimentos de geração, mudança, revogação, destruição, distribuição, certificação, armazenamento, inserção, uso e arquivamento das chaves criptográficas visando proteger contra sua modificação ou revelação pública não autorizada?</t>
  </si>
  <si>
    <t>Prevenção, Detecção e Correção de Software Malicioso</t>
  </si>
  <si>
    <t>Segurança de Rede</t>
  </si>
  <si>
    <t>Há processos que garamtam  que técnicas de segurança e procedimentos de gestão relacionados (como firewalls, aplicativos de segurança, segmentação de rede e detecção de intrusão sejam utilizados para autorizar o acesso e controlar os fluxos de informação entre redes?</t>
  </si>
  <si>
    <t>Comunicação de Dados Confidenciais</t>
  </si>
  <si>
    <t>É possível assegurar que as transações de comunicação de dados confidenciais ocorram somente por um caminho confiável ou controlado de modo a fornecer autenticação de conteúdo, comprovante de envio, comprovante de recebimento e transações em ambiente seguro?</t>
  </si>
  <si>
    <t>DS6</t>
  </si>
  <si>
    <t>Identificar e Alocar Custos</t>
  </si>
  <si>
    <t>Contabilidade de TI</t>
  </si>
  <si>
    <t>Há um processo para coletar e alocar os custos vigentes de acordo com o modelo de centros de custo definidos? Variações entre as previsões e os custos reais são analisadas e relatadas em conformidade com os sistemas de medição financeira corporativos?</t>
  </si>
  <si>
    <t>Modelagem de Custo e Cobrança</t>
  </si>
  <si>
    <t>Manutenção do Modelo de Custo</t>
  </si>
  <si>
    <t>DS7</t>
  </si>
  <si>
    <t>Educar e Treinar os Usuários</t>
  </si>
  <si>
    <t>Identificação das Necessidades de Ensino e Treinamento</t>
  </si>
  <si>
    <t>Entrega de Treinamento e Ensino</t>
  </si>
  <si>
    <t>Avaliação do Treinamento Recebido</t>
  </si>
  <si>
    <t>DS8</t>
  </si>
  <si>
    <t>Gerenciar a Central de Serviço e os Incidentes</t>
  </si>
  <si>
    <t>Central de Serviço</t>
  </si>
  <si>
    <t>Registro dos Chamados dos Clientes</t>
  </si>
  <si>
    <t>Escalonamento de Incidentes</t>
  </si>
  <si>
    <t>Encerramento de Incidente</t>
  </si>
  <si>
    <t>Relatórios e Análises de Tendências</t>
  </si>
  <si>
    <t>DS9</t>
  </si>
  <si>
    <t>Gerenciar a Configuração</t>
  </si>
  <si>
    <t>Repositório de Configuração e Perfis Básicos</t>
  </si>
  <si>
    <t>Identificação e Manutenção dos Itens de Configuração</t>
  </si>
  <si>
    <t>Foi implantado procedimentos de configuração para suportar a Direção e registrar todas as alterações no repositório de configurações e integrar esses procedimentos com gerenciamento de mudanças, gerenciamento de incidentes e gerenciamento de problemas?</t>
  </si>
  <si>
    <t>Revisão da Integridade de Configuração</t>
  </si>
  <si>
    <t>DS10</t>
  </si>
  <si>
    <t>Gerenciar os Problemas</t>
  </si>
  <si>
    <t>Identificar e Classificar os Problemas</t>
  </si>
  <si>
    <t>Rastreamento e Resolução de Problemas</t>
  </si>
  <si>
    <t>DS11</t>
  </si>
  <si>
    <t>Gerenciar os Dados</t>
  </si>
  <si>
    <t>Requisitos de Negócio para o Gerenciamento de Dados</t>
  </si>
  <si>
    <t>Arranjos de Armazenamento e Retenção</t>
  </si>
  <si>
    <t>Sistema de Gerenciamento de Biblioteca de Mídia</t>
  </si>
  <si>
    <t>Foram definidos e implantados  procedimentos para manter um inventário de mídia local, assegurando sua usabilidade e integridade?</t>
  </si>
  <si>
    <t>Descarte de Dados e Equipamentos</t>
  </si>
  <si>
    <t>Backup e Restauração</t>
  </si>
  <si>
    <t>Requisitos de Segurança para o Gerenciamento de Dados</t>
  </si>
  <si>
    <t>DS12</t>
  </si>
  <si>
    <t>Gerenciar o Ambiente Físico</t>
  </si>
  <si>
    <t>Seleção do Local e Layout</t>
  </si>
  <si>
    <t>Medidas de Segurança Física</t>
  </si>
  <si>
    <t>Foram definidos e implantados as medidas de segurança física alinhadas com os requisitos de negócio para proteger o local e os ativos físicos?
As medidas de segurança física são capazes de efetivamente prevenir, detectar e mitigar riscos relacionados a roubo, temperatura, fogo, fumaça, água, vibração, terrorismo, vandalismo, quedas de energia, produtos químicos ou explosivos?</t>
  </si>
  <si>
    <t>Acesso Físico</t>
  </si>
  <si>
    <t>Proteção contra Fatores Ambientais</t>
  </si>
  <si>
    <t>Gerenciamento de Instalações Físicas</t>
  </si>
  <si>
    <t>DS13</t>
  </si>
  <si>
    <t>Gerenciar as Operações</t>
  </si>
  <si>
    <t>Procedimentos e Instruções de Operações</t>
  </si>
  <si>
    <t>Agendamento de Jobs</t>
  </si>
  <si>
    <t>Monitoramento da Infraestrutura de TI</t>
  </si>
  <si>
    <t>Documentos Confidenciais e Dispositivos de Saída</t>
  </si>
  <si>
    <t>Manutenção Preventiva de Hardware</t>
  </si>
  <si>
    <t>MA1</t>
  </si>
  <si>
    <t>Monitorar e Avaliar o Desempenho de TI</t>
  </si>
  <si>
    <t>Abordagem de Monitoramento</t>
  </si>
  <si>
    <t>Definição e Coleta dos Dados de Monitoramento</t>
  </si>
  <si>
    <t>Método de Monitoramento</t>
  </si>
  <si>
    <t>Avaliação de Desempenho</t>
  </si>
  <si>
    <t>É analisado periodicamente o desempenho com base nas metas, executando a  análise de causa-raiz dos problemas e iniciando ação corretiva para tratar as causas ocultas ou pouco claras?</t>
  </si>
  <si>
    <t>Relatórios para a Alta Direção</t>
  </si>
  <si>
    <t>Ações Corretivas</t>
  </si>
  <si>
    <t>São implementadas ações corretivas com base no monitoramento, na avaliação e nos relatórios de desempenho? Isso inclui acompanhamento de todo o processo de monitoramento, relatórios e avaliações com:
· Análise crítica, negociação e estabelecimento de respostas da gerência
· Atribuição de responsabilidade pelas correções
· Verificação dos resultados das ações acordadas</t>
  </si>
  <si>
    <t>MA2</t>
  </si>
  <si>
    <t>Monitorar e Avaliar os Controles Internos</t>
  </si>
  <si>
    <t>Monitoramento da Estrutura de Controles Internos</t>
  </si>
  <si>
    <t>A gerencia e diretoria monitoram os controles internos dos seus colaboradores? De que forma?</t>
  </si>
  <si>
    <t>Revisão Gerencial</t>
  </si>
  <si>
    <t>Há um processo de revisão e melhoria dos controles internos por parte dos níveis gerenciais?</t>
  </si>
  <si>
    <t>Exceções aos Controles</t>
  </si>
  <si>
    <t>São identificadas todas as exceções aos controles,assegurando que seja feita uma análise crítica das causas-raiz? São  encaminhardas e reportadas adequadamente as exceções às partes interessadas.?</t>
  </si>
  <si>
    <t>Autoavaliação dos Controles</t>
  </si>
  <si>
    <t>Qual o grau de abrangência e a efetividade dos controles internos  sobre os processos, as políticas e os contratos
de TI através de um programa contínuo de autoavaliação?</t>
  </si>
  <si>
    <t>Garantia dos Controles Internos</t>
  </si>
  <si>
    <t>É possível obter maior garantia da abrangência e da eficácia dos controles internos através de avaliações de das áreas usuárias?</t>
  </si>
  <si>
    <t>Controles Internos Aplicados a Terceiros</t>
  </si>
  <si>
    <t>É possível identificar, iniciar, monitorar e implementar ações corretivas com base nas avaliações e nos relatórios de controle?</t>
  </si>
  <si>
    <t>MA3</t>
  </si>
  <si>
    <t>Assegurar a Conformidade com Requisitos Externos</t>
  </si>
  <si>
    <t>Identificação dos Requisitos de Conformidade com Leis, Regulamentações e Contratos Externos</t>
  </si>
  <si>
    <t>Há um processo que permita continuamente identificar as exigências de leis, regulamentos e contratos locais e internacionais que precisam ser atendidos para a inclusão em políticas, padrões, procedimentos e metodologias de TI?</t>
  </si>
  <si>
    <t>Otimização da Resposta aos Requisitos Externos</t>
  </si>
  <si>
    <t>É usual revisar e ajustar políticas, padrões, procedimentos e metodologias de TI para assegurar que os requisitos legais, regulatórios e contratuais sejam atendidos e comunicados?</t>
  </si>
  <si>
    <t>Avaliação da Conformidade com Requisitos Externos</t>
  </si>
  <si>
    <t>Há um processo para confirmar a conformidade de políticas, padrões, procedimentos e metodologias de TI com os requisitos legais e regulatórios?</t>
  </si>
  <si>
    <t>Assegurar a Conformidade</t>
  </si>
  <si>
    <t>Ha um processo para obter e assegurar a conformidade e adesão a todas as políticas internas derivadas de diretrizes legais internas ou externas e requisitos regulatórios ou contratuais externos, confirmando que ações corretivas foram tomadas oportunamente para resolver quaisquer desvios de conformidade pelos proprietário do processo?</t>
  </si>
  <si>
    <t>Informes Integrados</t>
  </si>
  <si>
    <t>Estão integrados os informes de TI sobre requisitos legais, regulatórios e contratuais aos informes similares de outras funções do negócio?</t>
  </si>
  <si>
    <t>MA4</t>
  </si>
  <si>
    <t>Prover Governança de TI</t>
  </si>
  <si>
    <t>Estabelecimento de uma Estrutura de Governança de TI</t>
  </si>
  <si>
    <t>Alinhamento Estratégico</t>
  </si>
  <si>
    <t>Entrega de Valor</t>
  </si>
  <si>
    <t>Gerenciamento de Recursos</t>
  </si>
  <si>
    <t>Gestão de Riscos</t>
  </si>
  <si>
    <t>Medição de Desempenho</t>
  </si>
  <si>
    <t>Avaliação Independente</t>
  </si>
  <si>
    <t>Banchmark de Maturidade : Brazil Infrastructure Maturity X-Ray 2011 (Accenture e IDC)</t>
  </si>
  <si>
    <t>Processos</t>
  </si>
  <si>
    <t>Maturidade Apurada</t>
  </si>
  <si>
    <t>PO1</t>
  </si>
  <si>
    <t>PO2</t>
  </si>
  <si>
    <t>Média</t>
  </si>
  <si>
    <t>Nível Maturidade</t>
  </si>
  <si>
    <t>Domínio PO</t>
  </si>
  <si>
    <t>Processo</t>
  </si>
  <si>
    <t>Nível 0</t>
  </si>
  <si>
    <t>Nível 1</t>
  </si>
  <si>
    <t>Nível 2</t>
  </si>
  <si>
    <t>Nível 3</t>
  </si>
  <si>
    <t>Nível 4</t>
  </si>
  <si>
    <t>Nível 5</t>
  </si>
  <si>
    <t>Total Objetivos</t>
  </si>
  <si>
    <t xml:space="preserve"> PO1 - Definir o plano estratégico de TI</t>
  </si>
  <si>
    <t xml:space="preserve"> PO2 - Definir a arquitetura da informação</t>
  </si>
  <si>
    <t xml:space="preserve"> PO3 - Determinar a direção tecnológica</t>
  </si>
  <si>
    <t xml:space="preserve"> PO4 - Definir processos, organização e relacionamentos da TI</t>
  </si>
  <si>
    <t xml:space="preserve"> PO5 - Gerenciar os investimentos de TI</t>
  </si>
  <si>
    <t xml:space="preserve"> PO6 - Comunicar os objetivos e direção da administração</t>
  </si>
  <si>
    <t xml:space="preserve"> PO7 - Gerenciar os recursos humanos</t>
  </si>
  <si>
    <t xml:space="preserve"> PO8 - Gerenciar a qualidade</t>
  </si>
  <si>
    <t xml:space="preserve"> PO9 - Avaliar e gerenciar os riscos de TI</t>
  </si>
  <si>
    <t xml:space="preserve"> PO10 - Gerenciar projetos</t>
  </si>
  <si>
    <t>Domínio AI</t>
  </si>
  <si>
    <t xml:space="preserve"> AI1 - Identificar as soluções de automação</t>
  </si>
  <si>
    <t xml:space="preserve"> AI2 - Adquirir e manter os Softwares Aplicativos</t>
  </si>
  <si>
    <t xml:space="preserve"> AI3 - Adquirir e manter a infra-estrutura tecnológica</t>
  </si>
  <si>
    <t xml:space="preserve"> AI4 - Habilitar a operação e o uso</t>
  </si>
  <si>
    <t xml:space="preserve"> AI5 - Obter recursos de TI</t>
  </si>
  <si>
    <t xml:space="preserve"> AI6 - Gerenciar as mudanças</t>
  </si>
  <si>
    <t xml:space="preserve"> AI7 - Instalar e validar as soluções e as mudanças</t>
  </si>
  <si>
    <t>Domínio MA</t>
  </si>
  <si>
    <t/>
  </si>
  <si>
    <t>Domínio DS</t>
  </si>
  <si>
    <t>Criação:</t>
  </si>
  <si>
    <t>Ronaldo Martins (Cobit,Itil ePmBok)</t>
  </si>
  <si>
    <t>Contato :</t>
  </si>
  <si>
    <t>ronaldogmartins@hotmail.com</t>
  </si>
  <si>
    <t>Esta planilha foi disponibilizada para uso púbico e os dados aqui apresentados são fictícios, use a vontade entretanto seria ético e correto citar o autor.</t>
  </si>
  <si>
    <t>O Autor não se responsabiliza por eventuais erros de funcionamento não detectados</t>
  </si>
  <si>
    <t>Comentários</t>
  </si>
  <si>
    <t>(0-5)</t>
  </si>
  <si>
    <t>Gerenciar os Investimentos de TI</t>
  </si>
  <si>
    <t>Planejar e Organizar = 20 Min</t>
  </si>
  <si>
    <t>Adquirir e Implementar = 15 Min</t>
  </si>
  <si>
    <t>Entregar e Suportar = 25 Min</t>
  </si>
  <si>
    <t>Monitorar e Avaliar = 10 Min</t>
  </si>
  <si>
    <t>Contatos:</t>
  </si>
  <si>
    <t>(11) 3198-3696</t>
  </si>
  <si>
    <t>email:</t>
  </si>
  <si>
    <t>Fone:</t>
  </si>
  <si>
    <t>Chat:</t>
  </si>
  <si>
    <t>www.up2place.com.br</t>
  </si>
  <si>
    <t>Olá!</t>
  </si>
  <si>
    <t>Ficamos felizes e parabenizamos pelo seu interesse em avaliar o Nível de Maturidade da sua TI!</t>
  </si>
  <si>
    <t>Seguem Instruções para que você consiga fazer a avaliação no menor tempo possível e com muita assetividade:</t>
  </si>
  <si>
    <t>Este material foi elaborado seguindo os princípios da metodologia COBIT e tem como objetivo ajudar os profissionais de TI avaliarem e assim proporem uma transformação para sua TI.</t>
  </si>
  <si>
    <t>1) No menu Principal você encontrará links (botões) para abrir cada um dos 4 Domínios da metodologia</t>
  </si>
  <si>
    <t>3) Nas celulas de atribuição das notas você encontrará explicações para a avaliação e atribuição dos pontos</t>
  </si>
  <si>
    <t>4) Caso você não tenha resposta para todas as perguntas, faça entrevistas com os respectivos responsáveis para que lhe ajudem na atribuição das notas, você também  poderá incluir comentários</t>
  </si>
  <si>
    <t>Boa Avaliação!</t>
  </si>
  <si>
    <t>Conte com a UP2Place para quaisquer esclarecimentos, ajuda durante a avaliação ou na construção de um Plano de Ação!</t>
  </si>
  <si>
    <t>Há um processo para monitorar as tendências das áreas de negócio, tecnologia, infraestrutura, legal e regulatória visando antecipar impactos em TI?
As consequências dessas tendências são incorporadas ao desenvolvimento do plano de infraestrutura de tecnologia de TI?</t>
  </si>
  <si>
    <t>Foi estabelecido um comitê estratégico de TI em nível de Diretoria que  assegure que a governança de TI seja devidamente considerada como parte da governança corporativa, aconselha sobre o direcionamento estratégico e analisa os principais investimentos em nome de toda a Direção?</t>
  </si>
  <si>
    <t>Estão claros,para o pessoal de TI e usuários finais, seus respectivos papéis e responsabilidades, que especifiquem a autoridade, responsabilidade e responsabilização, com o objetivo de atender às necessidades da organização?</t>
  </si>
  <si>
    <t>Foram estabelecidos os procedimentos e disponibilizadas as ferramentas que possibilitem tratar as responsabilidades dos proprietários dos dados e sistemas de informação? Os proprietários tomam decisões sobre a classificação da informação,  dos sistemas e os protegem determinando direitos de acesso  em conformidade com essa classificação?</t>
  </si>
  <si>
    <t>Foram implementadas técnicas de supervisão adequadas na área de TI para assegurar que os papéis e as responsabilidades sejam adequadamente exercidos? Também é possível  avaliar se todo o pessoal tem autoridade e recursos suficientes para exercer seus papéis e responsabilidades e revisar de forma geral os indicadores-chave de desempenho?</t>
  </si>
  <si>
    <t>Foi implementada uma separação de papéis e responsabilidades que reduza a possibilidade de um único indivíduo comprometer um processo crítico ou comprometer a segurança operacional?  A gerência tem como garantir  que o pessoal esteja executando apenas tarefas autorizadas relevantes aos seus respectivos cargos e posições?</t>
  </si>
  <si>
    <t>Existe um processo para avaliar os requisitos de recrutamento regularmente ou com base em grandes mudanças nos ambientes de TI, operacional ou de negócio para garantir que a área de TI tenha quantidade suficiente de pessoal para suportar de forma adequada os objetivos e metas de negócios?</t>
  </si>
  <si>
    <t>Já foi estabelecida uma estrutura otimizada de coordenação, comunicação e conexão entre a função de TI e diversos
outros interesses dentro ou fora da área de TI; por exemplo, Diretoria, unidades de negócios, usuários individuais, fornecedores, profissionais de segurança, gerentes de risco, gerenciamento de pessoal terceirizado e externo e o grupo de conformidade corporativa (compliance)?</t>
  </si>
  <si>
    <t>Há um processo de tomada de decisão para priorizar a alocação dos recursos de TI em operações, projetos e manutenção visando maximizar a contribuição da TI nos retornos dos investimentos realizados em TI e outros serviços e recursos da TI?</t>
  </si>
  <si>
    <t>Há um processoque monitore a capacidades de TI verificando as condições de prestação de serviços pactuadas, realize monitoramento e report das contribuições esperadas de TI para com os resultados de negócio, tanto como um componente de programas de investimento em TI quanto como parte da operação de suporte regular?</t>
  </si>
  <si>
    <t>Há um processo formal e regular de avaliação se o pessoal tem as competências necessárias para exercer suas funções com base na formação, no treinamento ou na experiência apresentada na prática?  Há um programa de qualificação e certificação  apropriado para minimizar discrepâncias?</t>
  </si>
  <si>
    <t>É fornecido ao pessoal de TI treinamento apropriado para manter conhecimento, especializações, habilidades, conscientização sobre controles internos e segurança no nível exigido para atingir os objetivos organizacionais?</t>
  </si>
  <si>
    <t>O que é feito para minimizar a exposição à dependência crítica de pessoas-chave através de captação do conhecimento (documentação), compartilhamento de conhecimento, planejamento da sucessão e desenvolvimento de possíveis substitutos para o papel e a função determinados?</t>
  </si>
  <si>
    <t>Há periodicamente a realização de avaliação dos objetivos individuais derivados dos objetivos da organização, padrões estabelecidos e responsabilidades específicas do cargo? Há feedback formal para os colaboradores?</t>
  </si>
  <si>
    <t>Existem padrões de codificação, convenção de nomes, formato de arquivos, padrões de projeto de arquitetura e dicionário de dados, padrões de interface de usuário, interoperabilidade, eficiência no desempenho de sistemas, escalabilidade, padrões de desenvolvimento e testes, validações comparadas com requisitos, planos de teste, testes unitários, testes de regressão e testes integrados?</t>
  </si>
  <si>
    <t>Há estrutura de gestão de riscos de TI alinhada com a estrutura de gestão de riscos da organização (corporação)?</t>
  </si>
  <si>
    <t>Quando é que a estrutura de avaliação de risco é aplicada para assegurar resultados esperados? 
(Isso inclui a definição dos contextos interno e externo de cada avaliação de risco, o objetivo da avaliação e os critérios pelos quais os riscos são avaliados.)</t>
  </si>
  <si>
    <t>É obtido o comprometimento e participação das partes interessadas afetadas na definição e na execução do projeto dentro do contexto do programa de investimento geral de TI?</t>
  </si>
  <si>
    <t>Há um preocesso de controle de mudança para cada projeto, de forma que todas as mudanças feitas no escopo original do projeto (como custo, cronograma, escopo e qualidade) sejam devidamente revisadas, aprovadas e incorporadas ao plano de projeto integrado em alinhamento com a estrutura de governança de programa e projeto?</t>
  </si>
  <si>
    <t>É realizado um estudo de viabilidade que examine a possibilidade de implementar os requisitos?  O gerenciamento de negócios, suportado pela área de TI,  avalia a viabilidade e as ações alternativas e faz recomendações ao patrocinador do negócio?</t>
  </si>
  <si>
    <t xml:space="preserve">O patrocinador do negócio analisa e aprova  os requisitos técnicos e funcionais do negócio, bem como os relatórios de estudo de viabilidade em estágios-chave predeterminados? </t>
  </si>
  <si>
    <t>Desenvolver e executar o plano de garantia de qualidade de software para obter a qualidade especificada na definição dos requisitos de projeto e nos procedimentos e políticas de qualidade da organização?</t>
  </si>
  <si>
    <t>É acompanhada  a  situação individual dos requisitos (incluindo rejeição de requisitos) durante o desenho, o desenvolvimento e a implementação e garantir que as mudanças nos requisitos sejam aprovadas através de um processo de gerenciamento de mudanças?</t>
  </si>
  <si>
    <t>É preparado um plano para aquisição, implementação e manutenção da infraestrutura tecnológica que satisfaça aos requisitos técnicos e funcionais estabelecidos do negócio e esteja de acordo com a direção tecnológica da organização?</t>
  </si>
  <si>
    <t>Há um ambiente de desenvolvimento e de teste para proporcionar eficiência e eficácia nos testes de viabilidade e integração dos componentes da infraestrutura?</t>
  </si>
  <si>
    <t>É transferido  o conhecimento ao gerenciamento do negócio para permitir que este assuma a propriedade do sistema e dados, bem como exerça suas responsabilidades nos processos de entrega, qualidade de serviço, controles internos e administração da aplicação?</t>
  </si>
  <si>
    <t>É transferido o conhecimento e habilidades para permitir aos usuários o uso efetivo e eficiente dos sistemas aplicativos que sustentam processos de negócio?</t>
  </si>
  <si>
    <t>Há um procedimento para estabelecer, modificar e rescindir contratos com todos os fornecedores? Se sim, o procedimento  contempla as formalidades legais, financeiras, organizacionais, documentais, de desempenho, de segurança e de propriedade intelectual e as responsabilidades e obrigações legais em casos de cancelamento (incluindo cláusulas de penalidades)?</t>
  </si>
  <si>
    <t>Ao selecionar fornecedores de acordo há uma prática formal e justa que assegure a melhor opção viável com base nos requisitos definidos a partir de informações dadas por fornecedores em potencial e acordadas entre fornecedores internos e clientes?</t>
  </si>
  <si>
    <t>Foi estabelecido procedimentos formais de gerenciamento de mudanças para lidar de modo padronizado com todas as solicitações de mudança em aplicações, procedimentos, processos, parâmetros de sistema, parâmetros de serviço e plataformas subjacentes (inclusive solicitações de manutenção e reparo)?</t>
  </si>
  <si>
    <t>Foi estebelecido um processo para definição, solicitação, testes, documentação, avaliação e autorização de mudanças de emergência que não sigam o processo de mudança estabelecido?</t>
  </si>
  <si>
    <t>Foi estabelecido um sistema de acompanhamento e relatórios de mudanças para documentar mudanças rejeitadas, comunicar o status de mudanças aprovadas e em andamento e executar mudanças além de garantir que as mudanças autorizadas sejam implementadas conforme planejado?</t>
  </si>
  <si>
    <t>É comum Treinar a equipe dos departamentos usuários envolvidos e as equipes de operações de TI de acordo com o plano de implementação e treinamento definido e os materiais associados, como parte de todos os projetos de desenvolvimento, implementação ou modificação de sistemas de informação?</t>
  </si>
  <si>
    <t>Há um ambiente de testes seguro que reflita o ambiente de operações planejado no que diz respeito a segurança, controles internos, práticas operacionais, exigências de qualidade e confidencialidade e cargas de trabalho?</t>
  </si>
  <si>
    <t>Os serviços de TI são baseados nas características de serviços e requisitos do negócio, organizados e armazenados centralmente por meio da implementação de uma abordagem de catálogo/portfólio de serviços?</t>
  </si>
  <si>
    <t>É feita regularmente a análise crítica dos acordos de nível de serviço e dos contratos com provedores de serviço internos e externos para assegurar que sejam eficazes e atualizados e que as mudanças em requisitos tenham sido consideradas?</t>
  </si>
  <si>
    <t>É norma formalizar o processo de gestão do relacionamento com cada fornecedor  estabelecendo a ligação entre os clientes e os negócios dos fornecedores e garantindo a qualidade do  relacionamento com base na confiança e na transparência (por exemplo, através dos acordos de nível de serviço)?</t>
  </si>
  <si>
    <t>Já foi estabelecido um processo para monitorar a prestação do serviço de modo a assegurar que o fornecedor atenda aos requisitos atuais do negócio, obedecendo os contratos e acordos de nível de serviço firmados, e que seu desempenho seja competitivo com outros prestadores e condições do mercado?</t>
  </si>
  <si>
    <t>A segurança de TI  é gerenciada no mais alto nível organizacional da empresa de modo que a gestão das ações de segurança esteja em alinhamento com os requisitos do negócio?</t>
  </si>
  <si>
    <t>As  implementações de segurança de TI são testada e monitoradas proativamente e também  revalidadas  que o nível de segurança aprovado seja mantido?  A função de monitoramento e registro de eventos (logging) possibilita a prevenção e/ou detecção prematura de atividades anormais e incomuns que precisem ser tratadas, bem como a subsequente geração de relatórios no tempo apropriado?</t>
  </si>
  <si>
    <t>São definidos e comunicados claramente as características de incidentes de segurança em potencial para que possam ser tratados adequadamente pelos processos de gestão de incidentes ou gestão de problemas?</t>
  </si>
  <si>
    <t>É possível assegurar que medidas preventivas, de detecção e corretivas foram estabelecidas corporativamente, em especial correções de segurança (patches) e controles de vírus, para proteger os sistemas de informação e tecnologias contra malwares (vírus, worms, spyware, spam.)?</t>
  </si>
  <si>
    <t>Há um processo para Identificar todos os custos de TI e associá-los aos serviços de TI, sustentando um modelo transparente de custeio?  Os serviços de TI são associados aos processos de negócio de forma que permita identificar os níveis de faturamento de serviço correspondentes?</t>
  </si>
  <si>
    <t>É realizada periodicamente análise crítica e comparação com referências do mercado (benchmarking) da adequação do modelo de custo/cobrança visando manter a relevância e a adequação aos negócios e às atividades de TI envolvidas?</t>
  </si>
  <si>
    <t>Há avaliação do conteúdo do ensino e do treinamento recebidos no que diz respeito a relevância, qualidade, efetividade, absorção e retenção do conhecimento, custo e valor?  
(Os resultados dessa avaliação servem de base para a definição dos futuros currículos e sessões de treinamento.)</t>
  </si>
  <si>
    <t>São gerados relatórios de atividades da central de serviço, permitindo aos gestores medir o desempenho e o tempo de resposta dos serviços e identificar tendências ou problemas recorrentes, para que o serviço possa ser melhorado?</t>
  </si>
  <si>
    <t>Foi estabelecida  uma ferramenta de suporte e um repositório central para conter todas as informações relevantes sobre os itens de configuração?
Existem meios de monitorar e registrar todos os bens e as mudanças ocorridas neles e manter um perfil básico de itens de configuração de todo sistema e serviço como um ponto de verificação seguro para eventual retorno após as mudanças?</t>
  </si>
  <si>
    <t>Periodicamente são revisados os dados de configuração para verificar e confirmar a integridade da configuração atual e histórica?  É realizada uma análise crítica periódica da política de uso de software, verificando a eventual existência de software pessoal, não autorizado ou excedente ao contrato de licenças vigente?</t>
  </si>
  <si>
    <t>O sistema de gerenciamento de problemas fornece recursos de trilha de auditoria adequados que permitam o rastreamento, a análise e a identificação da causa-raiz de todos os problemas reportados? considerando:
· Todos os itens de configuração associados
· Os problemas e incidentes pendentes
· Os erros conhecidos e suspeitos
· Rastreamento de tendências de problemas</t>
  </si>
  <si>
    <t xml:space="preserve">Foram estabelecidos processo para assegurar que todos os dados esperados sejam recebidos, processados de maneira completa, precisa e no tempo apropriado e que toda saída seja entregue de acordo com os requisitos de negócio? </t>
  </si>
  <si>
    <t>Foram definidos e implantados procedimentos para um efetivo e eficiente armazenamento de dados, retenção e arquivamento para atender aos objetivos de negócio, à política de segurança da organização e às exigências regulatórias?</t>
  </si>
  <si>
    <t>Foram definidos e implantados os procedimentos para assegurar que os requisitos de negócios sejam atendidos no que diz respeito à proteção de dados confidenciais e softwares quando dados e equipamentos são descartados ou transferidos?</t>
  </si>
  <si>
    <t>Foram definidos e implantados os procedimentos de cópia de segurança (backup) e restauração de sistemas, aplicativos, dados e documentação em alinhamento com os requisitos de negócio e o plano de continuidade?</t>
  </si>
  <si>
    <t>Foram definidas e implantadas políticas e procedimentos para identificar e aplicar requisitos de segurança aplicáveis ao recebimento, processamento, armazenamento físico e saída de dados para atender aos objetivos de negócio, à política de segurança da organização e a exigências regulatórias?</t>
  </si>
  <si>
    <t>Foi definido e selecionado  um local para os equipamentos de TI, considerando o alinhamento da estratégia de tecnológica com a estratégia de negócio? A seleção e o planejamento do layout da instalação física devem levaram em consideração os riscos associados a possíveis desastres naturais e não naturais, bem como as leis e regulamentações relevantes, tais como regulamentações de saúde ocupacional e segurança do trabalho?</t>
  </si>
  <si>
    <t>Foram projetados e implementadas medidas de proteção contra fatores ambientais com equipamentos e dispositivos especializados para monitorar e controlar o ambiente devidamente instalados?</t>
  </si>
  <si>
    <t>As instalações físicas são gerenciadas, incluindo equipamentos de energia e comunicação, em alinhamento com leis e regulamentações, requisitos técnicos e de negócio, especificações dos fabricantes e distribuidores de equipamentos e diretrizes de segurança e saúde ocupacional?</t>
  </si>
  <si>
    <t>Já foi organizado o agendamento de jobs, processos e tarefas na sequência mais eficiente, maximizando o processamento e a utilização para atender aos requisitos do negócio?</t>
  </si>
  <si>
    <t>Foram definidos e implantados os procedimentos para monitorar a infraestrutura de TI e eventos relacionados, assegurando que informações cronológicas suficientes estejam sendo armazenadas em registros operacionais para permitir a reconstrução, a revisão e a análise das sequências de operações e outras atividades pertinentes ou de apoio às operações?</t>
  </si>
  <si>
    <t>Foi definido e implantada a proteção física apropriada, práticas de controle e gerenciamento de inventário sobre ativos críticos de TI como formulários especiais, documentos de negociação, impressoras de finalidades especiais ou códigos de segurança?</t>
  </si>
  <si>
    <t>Foram definidos e implantados os procedimentos para assegurar a manutenção da infraestrutura em tempo hábil para reduzir a frequência e o impacto de falhas ou degradação de desempenho?</t>
  </si>
  <si>
    <t>Existe uma abordagem e uma estrutura de monitoramento geral que definam o escopo, a metodologia e o processo a serem seguidos para avaliar a entrega de soluções e serviços de TI e monitorar a contribuição da TI para os resultados do negócio?  A estrutura deve está integrada com o sistema de gestão de desempenho corporativo?</t>
  </si>
  <si>
    <t>Há um método de monitoramento de performance (por exemplo, balanced scorecard) que registre as metas, capture as medições, apresente uma visão ampla e sucinta do desempenho da TI e se ajuste ao sistema de monitoramento corporativo (PL)?</t>
  </si>
  <si>
    <t>É possível avaliar o status dos controles internos aplicados a cada fornecedor de serviço, certificando-se de que fornecedores externos de serviço atendem às exigências legais e regulatórias e às obrigações contratuais?</t>
  </si>
  <si>
    <t>É supervisionar o investimento, o uso e a alocação dos recursos de TI por meio de avaliações periódicas das iniciativas e operações de TI, visando assegurar a existência recursos suficientes e o alinhamento com objetivos estratégicos e necessidades de negócios atuais e futuras?</t>
  </si>
  <si>
    <t>É Obtido  avaliação independente (interna ou externa) sobre a conformidade de TI com leis e regulamentos relevantes, com políticas padrões e procedimentos organizacionais, com práticas geralmente aceitas e a efetiva e eficiente performance de TI?</t>
  </si>
  <si>
    <t>5) Consulte o framework do COBIT clicando na imagem do COBIT no menu principal</t>
  </si>
  <si>
    <t>6) Tempo estimado para cada Domínio:</t>
  </si>
  <si>
    <t>7) Elaboramos este material com muito cuidado, porém não nos responsabilizamos por eventuais erros não detectados</t>
  </si>
  <si>
    <t>8) Caso encontre algum erro, solicitamos, por favor, que nos avise através do e-mail contato@up2place.com.br</t>
  </si>
  <si>
    <t xml:space="preserve">9) Gostaríamos de compartilhar o crédito com Ronaldo Martins - Gerente de Projetos </t>
  </si>
  <si>
    <t>Atual</t>
  </si>
  <si>
    <t>Meta</t>
  </si>
  <si>
    <t>2) Cada domínio é composto de perguntas, para cada pergunta você deverá atribuir uma nota entre 0-5 para situação ATUAL e META desejada</t>
  </si>
  <si>
    <t>META Estabelecida</t>
  </si>
  <si>
    <t>META ESTABELECIDA</t>
  </si>
  <si>
    <t>sidnei.goncalves@up2place.com.br</t>
  </si>
  <si>
    <t>Sidnei Gonçalves</t>
  </si>
  <si>
    <t>Co-Fundador UP2Place</t>
  </si>
  <si>
    <t>Instruções</t>
  </si>
  <si>
    <t xml:space="preserve">Existe processo para prover soluções tecnológicas seguras, eficazes e consistentes, em toda a organização? Há um fórum de tecnologia para prover diretrizes tecnológicas, aconselhamento sobre a infraestrutura de produtos, orientação na seleção da tecnologia e avaliar a conformidade com estes padrões e diretrizes?  </t>
  </si>
  <si>
    <t>Foi estabelecido um conselho de arquitetura de TI para prover diretrizes de arquitetura, orientar as aplicações e verificar a conformidade?</t>
  </si>
  <si>
    <t xml:space="preserve">Há uma estrutura de processos e relacionamentos de TI (por exemplo, gerenciar falhas ou interposições de processos), definição de um proprietário, maturidade, medição de desempenho, melhorias, conformidade, metas de qualidade e planos para atingi-las? </t>
  </si>
  <si>
    <t xml:space="preserve">Já foi estabelecido um comitê executivo (ou equivalente) composto pelas Diretorias Executiva, Negócios e TI para Determinar prioridades dos programas de investimentos em TI em linha com as estratégias e prioridades do negócio? Monitorar o estado atual dos projetos e resolver conflitos de recursos? </t>
  </si>
  <si>
    <t xml:space="preserve">É atribuida a pelo menos um colaborador a responsabilidade pelo desempenho da função de garantia de qualidade (QA, quality assurance)? </t>
  </si>
  <si>
    <t xml:space="preserve">Há um papel definido para realizar o gerenciamento dos riscos de TI, incluindo a responsabilidade específica pela segurança da informação, segurança física e conformidade?  </t>
  </si>
  <si>
    <t>Há um processo para preparar e controlar um orçamento que reflita as prioridades estabelecidas pelo portfólio de projetos e/ou de investimentos de TI da organização, incluindo os custos contínuos de operação e manutenção da infraestrutura atual (Opex)?</t>
  </si>
  <si>
    <t xml:space="preserve">Há um processo de gerenciamento de custo comparando os custos e benefícios reais x planejados?  </t>
  </si>
  <si>
    <t>Já foram definidos os elementos de um ambiente de controle de TI alinhados com o os processo operacional e a filosofia de gerenciamento da empresa?  
Entre esses elementos estão as expectativas e os requisitos de entrega de valor dos investimentos de TI, o grau de aceitação de risco, a integridade, os valores éticos, a competência do pessoal e a responsabilização.?</t>
  </si>
  <si>
    <t xml:space="preserve">Foi desenvolvido um conjunto de políticas para apoiar a estratégia de TI?  Essas políticas  incluem os objetivos das políticas, papéis e responsabilidades, processos de exceções, abordagem de conformidade, referências a procedimentos, padrões e diretrizes?  </t>
  </si>
  <si>
    <t>Há um SGQ que forneça uma abordagem padronizada, formal e contínua de gerenciamento da qualidade e alinhada com os requisitos de negócios?</t>
  </si>
  <si>
    <t xml:space="preserve">Existem procedimentos e padrões para os processos-chave de TI de forma a orientar a organização para alcançar as intenções do SGQ? </t>
  </si>
  <si>
    <t xml:space="preserve">São identificados os eventos (importante ameaça real que explora significativas vulnerabilidades) com potencial impacto negativo nos objetivos ou nas operações da organização, incluindo aspectos de negócios, regulamentação, aspectos jurídicos, tecnologia, parcerias de negócio, recursos humanos e operacionais? </t>
  </si>
  <si>
    <t xml:space="preserve">São priorizadas e planejadas  as atividades de controle em todos os níveis da organização para implementar as respostas aos riscos identificadas como necessárias, incluindo a identificação de custos, benefícios e responsabilidade pela execução? </t>
  </si>
  <si>
    <t xml:space="preserve">São mantidos o programa de projetos (relacionados ao portfólio de programas de investimentos em TI) identificando, definindo, avaliando, priorizando, selecionando, iniciando, gerenciando e controlando projetos? </t>
  </si>
  <si>
    <t xml:space="preserve">Existe uma abordagem de gestão de projetos adequada ao tamanho, à complexidade e aos requisitos regulatórios de cada projeto?  </t>
  </si>
  <si>
    <t xml:space="preserve">É comum documentar a natureza e o escopo do projeto, visando confirmar e desenvolver um entendimento comum do escopo do projeto com as partes interessadas e quanto ao relacionamento com outros projetos de um programa de investimento em TI? </t>
  </si>
  <si>
    <t xml:space="preserve">Há um plano integrado de projeto formalizado e aprovado (que abranja recursos de negócio e de sistemas de informação) para orientar a execução e o controle em todas as etapas do projeto? As atividades e interdependências de múltiplos projetos dentro de um programa são entendidas e documentadas? </t>
  </si>
  <si>
    <t xml:space="preserve">Estão definidas as responsabilidades, relacionamentos, autoridades e critérios de desempenho para os membros da equipe de projeto? Há especificação da  base de aquisição e atribuição de funcionários e/ou prestadores de serviço competentes para o projeto? </t>
  </si>
  <si>
    <t xml:space="preserve">São eliminados ou minimizados os riscos específicos associados a cada projeto através de um processo sistemático de planejamento, identificação, análise, resposta, monitoramento e controle de áreas ou eventos com potencial para causar mudanças indesejadas? </t>
  </si>
  <si>
    <t xml:space="preserve">São realizadas as atividades necessárias para suportar a validação de novos sistemas (ou suas modificações) durante o planejamento do projeto e incluí-las no plano integrado do projeto?  </t>
  </si>
  <si>
    <t xml:space="preserve">É realizada uma avaliação do desempenho do projeto em comparação com critérios-chave (como escopo, cronograma, qualidade, custo e risco) identificando qualquer desvio do plano? Neste caso são avaliados os impactos dos desvios sobre o projeto e o programa e  reportados os resultados às principais partes interessadas? </t>
  </si>
  <si>
    <t>Ao final de cada projeto, as partes interessadas apuram se o projeto gerou os resultados e benefícios planejados, identificando e comunicando quaisquer informação necessárias para que todas as partes interessadas tenham acesso aos  resultados esperados e realizados do projeto e os benefícios do programa?</t>
  </si>
  <si>
    <t xml:space="preserve">Os requisitos de negócio são traduzidos em especificações de projeto em nível macro para o desenvolvimento de software, levando em consideração o direcionamento tecnológico e a arquitetura de informação da organização?  O gerenciamento aprova asespecificações de projeto para assegurar que o projeto de alto nível atenda aos requisitos? </t>
  </si>
  <si>
    <t xml:space="preserve">São detalhados os requisitos técnicos e de projeto dos softwares aplicativos a serem desenvolvidos?  São definidos os critérios de aceitação dos requisitos? Como? São aprovados os requisitos para assegurar que eles correspondam ao projeto em nível macro? </t>
  </si>
  <si>
    <t xml:space="preserve">Foram ou estão sendo implementados controles internos, medidas de segurança e auditabilidade durante a configuração, integração e manutenção de hardware e software da infraestrutura para proteger os recursos e assegurar disponibilidade e integridade?  </t>
  </si>
  <si>
    <t xml:space="preserve">Foi ou está sendo implementada uma estratégia e um plano para manutenção da infraestrutura e para assegurar que as mudanças sejam controladas em alinhamento com os procedimentos de gerenciamento de mudança da organização? </t>
  </si>
  <si>
    <t>É assegurado que o gerenciamento do departamento usuário e da área de TI avalie o resultado do processo de testes como determinado no plano de testes, corrigindo erros significativos identificados no processo de testes, executando todos os testes listados no plano de testes, bem como qualquer teste de regressão necessário?</t>
  </si>
  <si>
    <t xml:space="preserve">Após a conclusão dos testes, é fato controlar a transferência dos sistemas alterados para operação, de acordo com o plano de implementação e obter a aprovação das partes interessadas, como usuários, proprietário do sistema e gerência operacional? </t>
  </si>
  <si>
    <t xml:space="preserve">Existe um modelo que fornece um processo formalizado de gerenciamento de níveis de serviço entre o cliente e o provedor de serviço? Se sim, esse modelo mantém um contínuo alinhamento com os requisitos de negócio e suas prioridades e facilita um entendimento comum entre o cliente e o(s) provedor(es)? </t>
  </si>
  <si>
    <t xml:space="preserve">São definidos os acordos de nível de serviço para todos os serviços críticos de TI com base nos requisitos do cliente e na capacidade de entrega por parte da TI?  </t>
  </si>
  <si>
    <t xml:space="preserve">É garantido que os acordos de nível operacional (OLAs) expliquem como os serviços serão realizados tecnicamente de modo a apoiar o(s) SLA(s) adequadamente? </t>
  </si>
  <si>
    <t xml:space="preserve">É comum monitorar continuamente os critérios de desempenho dos níveis de serviço especificados.? Os relatórios são disponibilizados em um formato compreensível às partes interessadas em termos de realização de níveis de serviço? </t>
  </si>
  <si>
    <t>É usual identificar e minimizar os riscos relacionados à capacidade dos fornecedores de prestação efetiva de serviços de maneira contínua, segura e eficiente, garantindo que os contratos estejam em conformidade com os padrões universais de negócios e de acordo com as exigências legais e regulamentares, acordos de confidencialidade (NDA)?</t>
  </si>
  <si>
    <t xml:space="preserve">Foi estabelecido um processo de planejamento para a realização de análise crítica do desempenho e da capacidade dos recursos de TI, de forma a assegurar que com custos justificáveis o desempenho e a capacidade estejam disponíveis para processar a carga de serviço acordada conforme determinam os acordos de nível de serviço? </t>
  </si>
  <si>
    <t xml:space="preserve">É conduzida regularmente a previsão de desempenho e capacidade dos recursos de TI para minimizar o risco de interrupção de serviços devido a capacidade insuficiente ou degradação do desempenho? São identificados também o excesso de capacidade para possível remanejamento? </t>
  </si>
  <si>
    <t xml:space="preserve">Fornece a capacidade e o desempenho necessários, levando em consideração aspectos como cargas normais de trabalho, contingências, requisitos de armazenamento e ciclos de vida de recurso de TI? </t>
  </si>
  <si>
    <t>Ha monitoramento constante do desempenho e da capacidade dos recursos de TI?  Os dados acumulados permitem manter e sintonizar o desempenho atual no ambiente de TI e tratar questões como capacidade de recuperação, contingência, cargas de trabalho atuais e previstas, planejamento de armazenamento e aquisição de recursos?</t>
  </si>
  <si>
    <t xml:space="preserve">Foi desenvolvido um modelo para continuidade de TI a fim de apoiar o gerenciamento da continuidade do negócio de toda a empresa através de um processo consistente?  Este modelo apoia a determinação das necessidades de capacitação em recuperação da infraestrutura e conduzir o desenvolvimento dos planos de contingência de TI e recuperação de desastres? </t>
  </si>
  <si>
    <t xml:space="preserve">Foram desenvolvidos planos de continuidade de TI com base na estrutura e projetados para reduzir o impacto de uma grande interrupção de funções e processos de negócio fundamentais? </t>
  </si>
  <si>
    <t xml:space="preserve">É dada uma atenção especial aos itens mais críticos no plano de continuidade de TI para assegurar a capacidade de restabelecimento e definir prioridades em situações de recuperação? </t>
  </si>
  <si>
    <t>A gerência de TI é encorajada  a definir e executar procedimentos de controle de mudança para assegurar que o plano de continuidade de TI seja mantido atualizado e reflita sempre os requisitos de negócios atuais?</t>
  </si>
  <si>
    <t xml:space="preserve">O plano de continuidade de TI é testado regularmente para assegurar que os sistemas de TI possam ser efetivamente recuperados, que desvios sejam tratados e que o plano se mantenha relevante?  </t>
  </si>
  <si>
    <t xml:space="preserve">Está definida uma estratégia de distribuição para assegurar que os planos sejam seguramente distribuídos e que estejam apropriadamente disponíveis às partes interessadas e autorizados quando e onde necessário? </t>
  </si>
  <si>
    <t xml:space="preserve">São planejadas as ações a serem executadas nos momentos de recuperação e retomada dos serviços de TI. Isto pode incluir ativação de backup sites, iniciação de processamento alternativo, comunicação para as partes interessadas e os clientes, procedimentos de retorno à produção, etc? </t>
  </si>
  <si>
    <t xml:space="preserve">São armazenadas remotamente todas as mídias de cópias de segurança críticas, documentação e outros recursos de TI necessários para a recuperação da TI e os planos de continuidade de negócio? </t>
  </si>
  <si>
    <t xml:space="preserve">Os requisitos de negócio, de risco e conformidade, em um plano abrangente de segurança de TI, que leve em consideração a infraestrutura de TI e a cultura de segurança estão implementados? </t>
  </si>
  <si>
    <t>Todos os usuários (internos, externos e temporários) e suas atividades nos sistemas de TI (aplicação de negócio, desenvolvimento, operação e manutenção de sistemas) são identificáveis de modo exclusivo?  Os direitos de acesso dos usuários aos sistemas e dados estão em conformidade com as necessidades dos negócios e com os requisitos da função definidos e documentados?</t>
  </si>
  <si>
    <t xml:space="preserve">A solicitação, a emissão, a suspensão, a modificação e o bloqueio de contas de usuário e dos respectivos privilégios são tratados por procedimentos de gestão de contas de usuário, existindo um processo de inclusão e exclusão claro?   
</t>
  </si>
  <si>
    <t xml:space="preserve">Com base na definição de serviço, foi definido um modelo de custo que considere os custos diretos, indiretos e gerais dos serviços e suporte o cálculo das taxas de cobrança por serviço?    </t>
  </si>
  <si>
    <t>É estabelecida e atualizada regularmente um currículo para cada grupo-alvo de empregados? considerando:
· As estratégias e necessidades atuais e futuras do negócio
· Valor da informação como um bem
· Os valores corporativos (valores éticos, cultura de segurança e controle etc.)
· A implementação de nova infraestrutura de TI e softwares (pacotes e aplicações)
· As habilidades, competências, certificação e atualizações necessárias</t>
  </si>
  <si>
    <t>Com base nas necessidades de ensino e treinamento identificadas,  foram definidos os grupos-alvo e seus membros, mecanismos adequados de ministrar os treinamentos, professores, instrutores e monitores?</t>
  </si>
  <si>
    <t>Foi estebelecida uma central de serviço, que é a interface entre o usuário e a TI, para registrar, comunicar, despachar e analisar todos os chamados, incidentes reportados, solicitações de serviços e demanda de informações?</t>
  </si>
  <si>
    <t xml:space="preserve">Foi estabelecida uma função e um sistema que permitam o registro e o rastreamento de ligações, incidentes, solicitações de serviços e necessidade de informações?  Os incidentes são classificados de acordo com as prioridades de negócio e serviço e direcionados à equipe adequada de gerenciamento de problemas?  </t>
  </si>
  <si>
    <t>Foram estabelecidos os procedimentos da central de serviço para que os incidentes que não podem ser resolvidos imediatamente sejam adequadamente encaminhados, conforme os limites definidos no SLA, e soluções temporárias sejam implementadas, se aplicável?</t>
  </si>
  <si>
    <t xml:space="preserve">Foram estabelecidos procedimentos para o monitoramento periódico do encerramento de chamados de cliente assegurando que a central de serviço registre os passos adotados para sua resolução e confirmar se as ações adotadas foram aceitas pelo cliente.? </t>
  </si>
  <si>
    <t xml:space="preserve">Implementar processos para reportar e classificar os problemas identificados como parte do gerenciamento de incidentes? Os passos envolvidos na classificação de problemas são similares aos passos da classificação de incidentes? Eles determinam a categoria, o impacto, a urgência e a prioridade? </t>
  </si>
  <si>
    <t xml:space="preserve">Foram definidos e implantados os procedimentos para conceder, limitar e revogar o acesso a instalações, prédios e áreas de acordo com as necessidades do negócio, inclusive em situações de emergências? </t>
  </si>
  <si>
    <t xml:space="preserve">Foram definidos, implantados  e mantidos os procedimentos padronizados para as operações de TI e assegurado que a equipe de operações esteja familiarizada com todas as atividades operacionais relevantes? </t>
  </si>
  <si>
    <t xml:space="preserve">Há integração com a área de negócios na definição de um conjunto equilibrado de metas de performance que sejam aprovadas pelas áreas de negócio e demais partes interessadas relevantes?  </t>
  </si>
  <si>
    <t xml:space="preserve">São disponibilizados informes para a Alta Direção sobre a contribuição de TI para o negócio, especialmente em termos de desempenho do portfólio da organização, programas de investimentos em TI e soluções e serviços de cada programa? </t>
  </si>
  <si>
    <t xml:space="preserve">Define, estabelece e alinha a estrutura de governança de TI com a governança organizacional e o ambiente de  controle? Basear a estrutura em processos e modelos de controle de TI adequados e implementar práticas e responsabilidades claras para evitar falhas de controle interno e supervisão. </t>
  </si>
  <si>
    <t xml:space="preserve">A Alta Direção está habilitada no entendimento das questões estratégicas de TI, tais como os papéis de TI, as capacidades e os conhecimentos tecnológicos?  Certificar-se de que há um entendimento compartilhado entre o negócio e a TI quanto ao potencial de contribuição de TI com a estratégia de negócio. </t>
  </si>
  <si>
    <t>Gerenciar os programas de investimentos e demais recursos e serviços de TI para assegurar que eles forneçam o maior valor possível no suporte aos objetivos e estratégia do negócio. Assegurar que sejam alcançados os resultados esperados pelo negócio quanto aos investimentos de TI, que o escopo completo de esforços necessários para o alcance desses resultados seja entendido, que estudos de caso abrangentes e consistentes sejam criados e aprovados pelas partes interessadas</t>
  </si>
  <si>
    <t>Trabalhar com o conselho diretor para definir o apetite corporativo por riscos de TI e obter uma razoável segurança de que as práticas de gerenciamento de riscos de TI são adequadas para assegurar que os riscos atuais de TI não excedem o apetite de risco da Alta Direção.</t>
  </si>
  <si>
    <t>Confirmar se os objetivos acordados de TI foram atingidos ou excedidos ou se o progresso na direção dos objetivos de TI atende as expectativas.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</si>
</sst>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b/>
      <sz val="22"/>
      <color theme="1"/>
      <name val="Calibri"/>
      <family val="2"/>
      <scheme val="minor"/>
    </font>
    <font>
      <b/>
      <sz val="18"/>
      <color theme="1"/>
      <name val="Calibri"/>
      <family val="2"/>
      <scheme val="minor"/>
    </font>
    <font>
      <b/>
      <sz val="20"/>
      <color theme="1"/>
      <name val="Calibri"/>
      <family val="2"/>
      <scheme val="minor"/>
    </font>
    <font>
      <b/>
      <sz val="11"/>
      <color rgb="FFFF0000"/>
      <name val="Calibri"/>
      <family val="2"/>
      <scheme val="minor"/>
    </font>
    <font>
      <b/>
      <sz val="12"/>
      <color theme="0"/>
      <name val="Calibri"/>
      <family val="2"/>
      <scheme val="minor"/>
    </font>
    <font>
      <u/>
      <sz val="11"/>
      <color theme="10"/>
      <name val="Calibri"/>
      <family val="2"/>
      <scheme val="minor"/>
    </font>
    <font>
      <sz val="16"/>
      <color theme="1"/>
      <name val="Calibri"/>
      <family val="2"/>
      <scheme val="minor"/>
    </font>
    <font>
      <sz val="10"/>
      <color theme="1"/>
      <name val="Calibri"/>
      <family val="2"/>
      <scheme val="minor"/>
    </font>
    <font>
      <b/>
      <sz val="10"/>
      <color indexed="81"/>
      <name val="Tahoma"/>
      <family val="2"/>
    </font>
    <font>
      <b/>
      <sz val="10"/>
      <color theme="1"/>
      <name val="Calibri"/>
      <family val="2"/>
      <scheme val="minor"/>
    </font>
    <font>
      <sz val="11"/>
      <color theme="0"/>
      <name val="Calibri"/>
      <family val="2"/>
      <scheme val="minor"/>
    </font>
    <font>
      <sz val="9"/>
      <color indexed="81"/>
      <name val="Segoe UI"/>
      <family val="2"/>
    </font>
    <font>
      <b/>
      <sz val="9"/>
      <color indexed="81"/>
      <name val="Segoe UI"/>
      <family val="2"/>
    </font>
    <font>
      <b/>
      <sz val="12"/>
      <color theme="1"/>
      <name val="Calibri"/>
      <family val="2"/>
      <scheme val="minor"/>
    </font>
    <font>
      <b/>
      <sz val="14"/>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0"/>
        <bgColor indexed="64"/>
      </patternFill>
    </fill>
    <fill>
      <patternFill patternType="solid">
        <fgColor theme="4"/>
        <bgColor indexed="64"/>
      </patternFill>
    </fill>
    <fill>
      <patternFill patternType="solid">
        <fgColor theme="4" tint="-0.249977111117893"/>
        <bgColor indexed="64"/>
      </patternFill>
    </fill>
    <fill>
      <patternFill patternType="solid">
        <fgColor theme="3" tint="0.3999755851924192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160">
    <xf numFmtId="0" fontId="0" fillId="0" borderId="0" xfId="0"/>
    <xf numFmtId="0" fontId="0" fillId="0" borderId="0" xfId="0" applyAlignment="1">
      <alignment horizontal="center" vertical="center"/>
    </xf>
    <xf numFmtId="0" fontId="1" fillId="6" borderId="0" xfId="0" applyFont="1" applyFill="1" applyBorder="1" applyAlignment="1">
      <alignment horizontal="center" vertical="center" textRotation="90"/>
    </xf>
    <xf numFmtId="0" fontId="1" fillId="4" borderId="5" xfId="0" applyFont="1" applyFill="1" applyBorder="1" applyAlignment="1">
      <alignment horizontal="center" vertical="center" textRotation="90"/>
    </xf>
    <xf numFmtId="0" fontId="1" fillId="4" borderId="8" xfId="0" applyFont="1" applyFill="1" applyBorder="1" applyAlignment="1">
      <alignment horizontal="center" vertical="center" textRotation="90"/>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5" borderId="5" xfId="0" applyFont="1" applyFill="1" applyBorder="1" applyAlignment="1">
      <alignment horizontal="left" textRotation="90"/>
    </xf>
    <xf numFmtId="0" fontId="1" fillId="5" borderId="7" xfId="0" applyFont="1" applyFill="1" applyBorder="1" applyAlignment="1">
      <alignment horizontal="left" textRotation="90"/>
    </xf>
    <xf numFmtId="0" fontId="1" fillId="5" borderId="8" xfId="0" applyFont="1" applyFill="1" applyBorder="1" applyAlignment="1">
      <alignment horizontal="left" textRotation="90"/>
    </xf>
    <xf numFmtId="0" fontId="0" fillId="0" borderId="2" xfId="0" applyBorder="1"/>
    <xf numFmtId="0" fontId="0" fillId="0" borderId="15"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1" xfId="0" applyBorder="1"/>
    <xf numFmtId="0" fontId="0" fillId="0" borderId="12" xfId="0" applyBorder="1"/>
    <xf numFmtId="0" fontId="0" fillId="0" borderId="4" xfId="0" applyBorder="1"/>
    <xf numFmtId="0" fontId="0" fillId="0" borderId="22" xfId="0" applyBorder="1"/>
    <xf numFmtId="0" fontId="0" fillId="0" borderId="24" xfId="0" applyBorder="1" applyAlignment="1">
      <alignment horizontal="center" vertical="center"/>
    </xf>
    <xf numFmtId="0" fontId="0" fillId="0" borderId="27" xfId="0" applyBorder="1" applyAlignment="1">
      <alignment horizontal="center" vertical="center"/>
    </xf>
    <xf numFmtId="0" fontId="6" fillId="0" borderId="0" xfId="0" applyFont="1"/>
    <xf numFmtId="0" fontId="7" fillId="0" borderId="0" xfId="0" applyFont="1"/>
    <xf numFmtId="0" fontId="0" fillId="0" borderId="0" xfId="0" applyAlignment="1">
      <alignment wrapText="1"/>
    </xf>
    <xf numFmtId="0" fontId="0" fillId="0" borderId="0" xfId="0" applyAlignment="1">
      <alignment horizontal="left" wrapText="1"/>
    </xf>
    <xf numFmtId="0" fontId="7" fillId="0" borderId="0" xfId="0" applyFont="1" applyAlignment="1">
      <alignment horizontal="left" wrapText="1"/>
    </xf>
    <xf numFmtId="0" fontId="0" fillId="0" borderId="28" xfId="0" applyBorder="1"/>
    <xf numFmtId="0" fontId="0" fillId="0" borderId="29" xfId="0" applyBorder="1"/>
    <xf numFmtId="2" fontId="0" fillId="0" borderId="13" xfId="0" applyNumberFormat="1" applyBorder="1" applyAlignment="1">
      <alignment horizontal="center" vertical="center"/>
    </xf>
    <xf numFmtId="2" fontId="0" fillId="0" borderId="16" xfId="0" applyNumberFormat="1" applyBorder="1" applyAlignment="1">
      <alignment horizontal="center" vertical="center"/>
    </xf>
    <xf numFmtId="2" fontId="0" fillId="0" borderId="18" xfId="0" applyNumberFormat="1" applyBorder="1" applyAlignment="1">
      <alignment horizontal="center" vertical="center"/>
    </xf>
    <xf numFmtId="0" fontId="8" fillId="2" borderId="13" xfId="0" applyFont="1" applyFill="1" applyBorder="1" applyAlignment="1">
      <alignment horizontal="center"/>
    </xf>
    <xf numFmtId="0" fontId="8" fillId="2" borderId="14" xfId="0" applyFont="1" applyFill="1" applyBorder="1" applyAlignment="1">
      <alignment horizontal="center"/>
    </xf>
    <xf numFmtId="0" fontId="8" fillId="2" borderId="15" xfId="0" applyFont="1" applyFill="1" applyBorder="1" applyAlignment="1">
      <alignment horizontal="center"/>
    </xf>
    <xf numFmtId="0" fontId="8" fillId="2" borderId="16" xfId="0" applyFont="1" applyFill="1" applyBorder="1" applyAlignment="1">
      <alignment horizontal="center"/>
    </xf>
    <xf numFmtId="0" fontId="8" fillId="2" borderId="1" xfId="0" applyFont="1" applyFill="1" applyBorder="1" applyAlignment="1">
      <alignment horizontal="center"/>
    </xf>
    <xf numFmtId="0" fontId="8" fillId="2" borderId="17"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8" fillId="2" borderId="20" xfId="0" applyFont="1" applyFill="1" applyBorder="1" applyAlignment="1">
      <alignment horizontal="center"/>
    </xf>
    <xf numFmtId="0" fontId="8" fillId="2" borderId="23" xfId="0" applyFont="1" applyFill="1" applyBorder="1" applyAlignment="1">
      <alignment horizontal="center"/>
    </xf>
    <xf numFmtId="0" fontId="8" fillId="2" borderId="4" xfId="0" applyFont="1" applyFill="1" applyBorder="1" applyAlignment="1">
      <alignment horizontal="center"/>
    </xf>
    <xf numFmtId="0" fontId="8" fillId="2" borderId="24" xfId="0" applyFont="1" applyFill="1" applyBorder="1" applyAlignment="1">
      <alignment horizontal="center"/>
    </xf>
    <xf numFmtId="0" fontId="8" fillId="2" borderId="25" xfId="0" applyFont="1" applyFill="1" applyBorder="1" applyAlignment="1">
      <alignment horizontal="center"/>
    </xf>
    <xf numFmtId="0" fontId="8" fillId="2" borderId="26" xfId="0" applyFont="1" applyFill="1" applyBorder="1" applyAlignment="1">
      <alignment horizontal="center"/>
    </xf>
    <xf numFmtId="0" fontId="8" fillId="2" borderId="27" xfId="0" applyFont="1" applyFill="1" applyBorder="1" applyAlignment="1">
      <alignment horizontal="center"/>
    </xf>
    <xf numFmtId="0" fontId="7" fillId="0" borderId="0" xfId="0" applyFont="1" applyAlignment="1">
      <alignment horizontal="left"/>
    </xf>
    <xf numFmtId="0" fontId="6" fillId="0" borderId="0" xfId="0" applyFont="1" applyAlignment="1">
      <alignment horizontal="left"/>
    </xf>
    <xf numFmtId="0" fontId="8" fillId="2" borderId="39" xfId="0" applyFont="1" applyFill="1" applyBorder="1" applyAlignment="1">
      <alignment horizontal="center"/>
    </xf>
    <xf numFmtId="0" fontId="8" fillId="2" borderId="3" xfId="0" applyFont="1" applyFill="1" applyBorder="1" applyAlignment="1">
      <alignment horizontal="center"/>
    </xf>
    <xf numFmtId="0" fontId="8" fillId="2" borderId="40" xfId="0" applyFont="1" applyFill="1" applyBorder="1" applyAlignment="1">
      <alignment horizontal="center"/>
    </xf>
    <xf numFmtId="0" fontId="1" fillId="4" borderId="5"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2" fontId="0" fillId="0" borderId="23" xfId="0" applyNumberFormat="1" applyBorder="1" applyAlignment="1">
      <alignment horizontal="center" vertical="center"/>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Border="1" applyAlignment="1" applyProtection="1">
      <alignment wrapText="1"/>
      <protection locked="0"/>
    </xf>
    <xf numFmtId="0" fontId="0" fillId="0" borderId="0" xfId="0" applyAlignment="1" applyProtection="1">
      <alignment horizontal="center" vertical="center"/>
      <protection locked="0"/>
    </xf>
    <xf numFmtId="2" fontId="0" fillId="0" borderId="25" xfId="0" applyNumberFormat="1" applyBorder="1" applyAlignment="1">
      <alignment horizontal="center" vertical="center"/>
    </xf>
    <xf numFmtId="0" fontId="2" fillId="0" borderId="0" xfId="0" applyFont="1"/>
    <xf numFmtId="0" fontId="0" fillId="0" borderId="0" xfId="0" applyProtection="1">
      <protection locked="0"/>
    </xf>
    <xf numFmtId="0" fontId="0" fillId="0" borderId="0" xfId="0" applyBorder="1"/>
    <xf numFmtId="2" fontId="1" fillId="4" borderId="35" xfId="0" applyNumberFormat="1" applyFont="1" applyFill="1" applyBorder="1" applyAlignment="1">
      <alignment horizontal="center" vertical="center"/>
    </xf>
    <xf numFmtId="2" fontId="1" fillId="4" borderId="31" xfId="0" applyNumberFormat="1" applyFont="1" applyFill="1" applyBorder="1" applyAlignment="1">
      <alignment vertical="center"/>
    </xf>
    <xf numFmtId="0" fontId="0" fillId="0" borderId="1" xfId="0" applyBorder="1"/>
    <xf numFmtId="0" fontId="0" fillId="0" borderId="0" xfId="0" applyAlignment="1">
      <alignment wrapText="1"/>
    </xf>
    <xf numFmtId="0" fontId="0" fillId="0" borderId="19" xfId="0" applyBorder="1"/>
    <xf numFmtId="0" fontId="0" fillId="0" borderId="0" xfId="0" applyAlignment="1" applyProtection="1">
      <alignment wrapText="1"/>
      <protection locked="0"/>
    </xf>
    <xf numFmtId="0" fontId="0" fillId="0" borderId="0" xfId="0"/>
    <xf numFmtId="0" fontId="5" fillId="0" borderId="0" xfId="0" applyFont="1" applyProtection="1">
      <protection locked="0"/>
    </xf>
    <xf numFmtId="0" fontId="10" fillId="0" borderId="0" xfId="1"/>
    <xf numFmtId="0" fontId="1" fillId="4" borderId="4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1" fillId="0" borderId="0" xfId="0" applyFont="1"/>
    <xf numFmtId="0" fontId="1" fillId="0" borderId="0" xfId="0" applyFont="1" applyFill="1" applyBorder="1" applyAlignment="1" applyProtection="1">
      <alignment horizontal="center" vertical="center" wrapText="1"/>
      <protection locked="0"/>
    </xf>
    <xf numFmtId="0" fontId="12" fillId="0" borderId="16" xfId="0" applyFont="1" applyBorder="1" applyAlignment="1">
      <alignment horizontal="center" vertical="center"/>
    </xf>
    <xf numFmtId="0" fontId="12" fillId="0" borderId="1" xfId="0" applyFont="1" applyBorder="1" applyAlignment="1">
      <alignment horizontal="center" vertical="center" wrapText="1"/>
    </xf>
    <xf numFmtId="0" fontId="12" fillId="0" borderId="37" xfId="0" applyFont="1" applyBorder="1" applyAlignment="1" applyProtection="1">
      <alignment horizontal="left" vertical="center" wrapText="1"/>
      <protection locked="0"/>
    </xf>
    <xf numFmtId="0" fontId="12" fillId="0" borderId="38" xfId="0" applyFont="1" applyBorder="1" applyAlignment="1" applyProtection="1">
      <alignment horizontal="left" vertical="center" wrapText="1"/>
      <protection locked="0"/>
    </xf>
    <xf numFmtId="0" fontId="14" fillId="0" borderId="2" xfId="0" applyFont="1" applyBorder="1" applyAlignment="1" applyProtection="1">
      <alignment horizontal="center" vertical="center"/>
      <protection locked="0"/>
    </xf>
    <xf numFmtId="0" fontId="12" fillId="0" borderId="0" xfId="0" applyFont="1"/>
    <xf numFmtId="0" fontId="0" fillId="0" borderId="0" xfId="0" applyFill="1" applyBorder="1"/>
    <xf numFmtId="0" fontId="1" fillId="7" borderId="14"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15" fillId="0" borderId="0" xfId="0" applyFont="1"/>
    <xf numFmtId="2" fontId="15" fillId="0" borderId="0" xfId="0" applyNumberFormat="1" applyFont="1"/>
    <xf numFmtId="0" fontId="1" fillId="0" borderId="0" xfId="0" applyFont="1"/>
    <xf numFmtId="0" fontId="15" fillId="0" borderId="0" xfId="0" applyFont="1" applyBorder="1"/>
    <xf numFmtId="0" fontId="15" fillId="0" borderId="0" xfId="0" quotePrefix="1" applyFont="1"/>
    <xf numFmtId="0" fontId="0" fillId="0" borderId="33" xfId="0" applyBorder="1" applyAlignment="1">
      <alignment horizontal="left" vertical="center" indent="2"/>
    </xf>
    <xf numFmtId="0" fontId="0" fillId="0" borderId="44" xfId="0" applyBorder="1" applyAlignment="1">
      <alignment horizontal="left" vertical="center" indent="2"/>
    </xf>
    <xf numFmtId="0" fontId="0" fillId="0" borderId="45" xfId="0" applyBorder="1" applyAlignment="1">
      <alignment horizontal="left" vertical="center" indent="2"/>
    </xf>
    <xf numFmtId="0" fontId="0" fillId="0" borderId="33" xfId="0" applyBorder="1" applyAlignment="1">
      <alignment horizontal="left" vertical="center" wrapText="1" indent="2"/>
    </xf>
    <xf numFmtId="0" fontId="0" fillId="0" borderId="0" xfId="0" applyBorder="1" applyAlignment="1">
      <alignment horizontal="left" vertical="center" indent="2"/>
    </xf>
    <xf numFmtId="0" fontId="0" fillId="0" borderId="46" xfId="0" applyBorder="1" applyAlignment="1">
      <alignment horizontal="left" vertical="center" indent="2"/>
    </xf>
    <xf numFmtId="0" fontId="2" fillId="0" borderId="33" xfId="0" applyFont="1" applyBorder="1" applyAlignment="1">
      <alignment horizontal="left" vertical="center" indent="2"/>
    </xf>
    <xf numFmtId="0" fontId="0" fillId="0" borderId="33" xfId="0" applyBorder="1" applyAlignment="1">
      <alignment horizontal="left" vertical="center" indent="8"/>
    </xf>
    <xf numFmtId="0" fontId="18" fillId="0" borderId="33" xfId="0" applyFont="1" applyBorder="1" applyAlignment="1">
      <alignment horizontal="left" vertical="center" indent="2"/>
    </xf>
    <xf numFmtId="0" fontId="10" fillId="0" borderId="0" xfId="1" applyBorder="1" applyAlignment="1">
      <alignment horizontal="left" vertical="center" indent="2"/>
    </xf>
    <xf numFmtId="0" fontId="0" fillId="0" borderId="22" xfId="0" applyBorder="1" applyAlignment="1">
      <alignment horizontal="left" vertical="center" indent="2"/>
    </xf>
    <xf numFmtId="0" fontId="0" fillId="0" borderId="47" xfId="0" applyBorder="1" applyAlignment="1">
      <alignment horizontal="left" vertical="center" indent="2"/>
    </xf>
    <xf numFmtId="0" fontId="0" fillId="0" borderId="12" xfId="0" applyBorder="1" applyAlignment="1">
      <alignment horizontal="left" vertical="center" indent="2"/>
    </xf>
    <xf numFmtId="2" fontId="1" fillId="4" borderId="0" xfId="0" applyNumberFormat="1" applyFont="1" applyFill="1" applyAlignment="1" applyProtection="1">
      <alignment horizontal="center" vertical="center"/>
    </xf>
    <xf numFmtId="0" fontId="0" fillId="0" borderId="0" xfId="0" applyAlignment="1" applyProtection="1">
      <alignment wrapText="1"/>
    </xf>
    <xf numFmtId="0" fontId="0" fillId="0" borderId="0" xfId="0" applyProtection="1"/>
    <xf numFmtId="0" fontId="1" fillId="4" borderId="36" xfId="0" applyFont="1" applyFill="1" applyBorder="1" applyAlignment="1" applyProtection="1">
      <alignment horizontal="center" vertical="center"/>
    </xf>
    <xf numFmtId="0" fontId="1" fillId="4" borderId="9" xfId="0" applyFont="1" applyFill="1" applyBorder="1" applyAlignment="1" applyProtection="1">
      <alignment horizontal="center" vertical="center" wrapText="1"/>
    </xf>
    <xf numFmtId="2" fontId="15" fillId="8" borderId="0" xfId="0" applyNumberFormat="1" applyFont="1" applyFill="1" applyAlignment="1" applyProtection="1">
      <alignment horizontal="center" vertical="center"/>
    </xf>
    <xf numFmtId="0" fontId="1" fillId="8" borderId="36" xfId="0" applyFont="1" applyFill="1" applyBorder="1" applyAlignment="1" applyProtection="1">
      <alignment horizontal="center" vertical="center"/>
    </xf>
    <xf numFmtId="0" fontId="1" fillId="8" borderId="9" xfId="0" applyFont="1" applyFill="1" applyBorder="1" applyAlignment="1" applyProtection="1">
      <alignment horizontal="center" vertical="center" wrapText="1"/>
    </xf>
    <xf numFmtId="2" fontId="1" fillId="8" borderId="0" xfId="0" applyNumberFormat="1" applyFont="1" applyFill="1" applyAlignment="1" applyProtection="1">
      <alignment horizontal="center" vertical="center"/>
    </xf>
    <xf numFmtId="0" fontId="1" fillId="8" borderId="0" xfId="0" applyFont="1" applyFill="1" applyAlignment="1" applyProtection="1">
      <alignment horizontal="center" vertical="center"/>
    </xf>
    <xf numFmtId="0" fontId="1" fillId="7" borderId="36" xfId="0" applyFont="1" applyFill="1" applyBorder="1" applyAlignment="1" applyProtection="1">
      <alignment horizontal="center" vertical="center"/>
    </xf>
    <xf numFmtId="0" fontId="1" fillId="7" borderId="9" xfId="0" applyFont="1" applyFill="1" applyBorder="1" applyAlignment="1" applyProtection="1">
      <alignment horizontal="center" vertical="center" wrapText="1"/>
    </xf>
    <xf numFmtId="2" fontId="1" fillId="7" borderId="0" xfId="0" applyNumberFormat="1" applyFont="1" applyFill="1" applyAlignment="1" applyProtection="1">
      <alignment horizontal="center"/>
    </xf>
    <xf numFmtId="0" fontId="1" fillId="9" borderId="36" xfId="0" applyFont="1" applyFill="1" applyBorder="1" applyAlignment="1" applyProtection="1">
      <alignment horizontal="center" vertical="center"/>
    </xf>
    <xf numFmtId="0" fontId="1" fillId="9" borderId="9" xfId="0" applyFont="1" applyFill="1" applyBorder="1" applyAlignment="1" applyProtection="1">
      <alignment horizontal="center" vertical="center" wrapText="1"/>
    </xf>
    <xf numFmtId="2" fontId="1" fillId="9" borderId="0" xfId="0" applyNumberFormat="1" applyFont="1" applyFill="1" applyAlignment="1" applyProtection="1">
      <alignment horizontal="center"/>
    </xf>
    <xf numFmtId="0" fontId="0" fillId="0" borderId="33" xfId="0" quotePrefix="1" applyBorder="1" applyAlignment="1">
      <alignment horizontal="left" vertical="center" indent="2"/>
    </xf>
    <xf numFmtId="0" fontId="19" fillId="0" borderId="41" xfId="0" applyFont="1" applyBorder="1" applyAlignment="1">
      <alignment horizontal="left" vertical="center" wrapText="1" indent="2"/>
    </xf>
    <xf numFmtId="0" fontId="0" fillId="0" borderId="0" xfId="0" quotePrefix="1" applyAlignment="1">
      <alignment horizontal="left"/>
    </xf>
    <xf numFmtId="0" fontId="12" fillId="0" borderId="1" xfId="0" applyFont="1" applyBorder="1" applyAlignment="1">
      <alignment horizontal="left" vertical="top" wrapText="1"/>
    </xf>
    <xf numFmtId="0" fontId="0" fillId="0" borderId="33" xfId="0" applyBorder="1" applyAlignment="1">
      <alignment horizontal="left" vertical="center" wrapText="1" indent="2"/>
    </xf>
    <xf numFmtId="0" fontId="0" fillId="0" borderId="0" xfId="0" applyBorder="1" applyAlignment="1">
      <alignment horizontal="left" vertical="center" wrapText="1" indent="2"/>
    </xf>
    <xf numFmtId="0" fontId="0" fillId="0" borderId="46" xfId="0" applyBorder="1" applyAlignment="1">
      <alignment horizontal="left" vertical="center" wrapText="1" indent="2"/>
    </xf>
    <xf numFmtId="0" fontId="0" fillId="0" borderId="33" xfId="0" quotePrefix="1" applyBorder="1" applyAlignment="1">
      <alignment horizontal="left" vertical="center" wrapText="1" indent="2"/>
    </xf>
    <xf numFmtId="0" fontId="9" fillId="4" borderId="35" xfId="0" applyFont="1" applyFill="1" applyBorder="1" applyAlignment="1">
      <alignment horizontal="center" wrapText="1"/>
    </xf>
    <xf numFmtId="0" fontId="9" fillId="4" borderId="30" xfId="0" applyFont="1" applyFill="1" applyBorder="1" applyAlignment="1">
      <alignment horizontal="center" wrapText="1"/>
    </xf>
    <xf numFmtId="0" fontId="9" fillId="4" borderId="31" xfId="0" applyFont="1" applyFill="1" applyBorder="1" applyAlignment="1">
      <alignment horizontal="center" wrapText="1"/>
    </xf>
    <xf numFmtId="0" fontId="1" fillId="3" borderId="5"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2" fillId="2" borderId="23"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32" xfId="0" applyFont="1" applyFill="1" applyBorder="1" applyAlignment="1">
      <alignment horizontal="center"/>
    </xf>
    <xf numFmtId="0" fontId="2" fillId="2" borderId="33" xfId="0" applyFont="1" applyFill="1" applyBorder="1" applyAlignment="1">
      <alignment horizontal="center"/>
    </xf>
    <xf numFmtId="0" fontId="2" fillId="2" borderId="0" xfId="0" applyFont="1" applyFill="1" applyBorder="1" applyAlignment="1">
      <alignment horizontal="center"/>
    </xf>
    <xf numFmtId="0" fontId="2" fillId="2" borderId="34" xfId="0" applyFont="1" applyFill="1" applyBorder="1" applyAlignment="1">
      <alignment horizontal="center"/>
    </xf>
    <xf numFmtId="0" fontId="1" fillId="4" borderId="42" xfId="0" applyFont="1" applyFill="1" applyBorder="1" applyAlignment="1">
      <alignment horizontal="center" vertical="center" wrapText="1"/>
    </xf>
    <xf numFmtId="0" fontId="1" fillId="4" borderId="43" xfId="0" applyFont="1" applyFill="1" applyBorder="1" applyAlignment="1">
      <alignment horizontal="center" vertical="center" wrapText="1"/>
    </xf>
    <xf numFmtId="0" fontId="1" fillId="4" borderId="11" xfId="0" applyFont="1" applyFill="1" applyBorder="1" applyAlignment="1" applyProtection="1">
      <alignment horizontal="right"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11" xfId="0" applyFont="1" applyFill="1" applyBorder="1" applyAlignment="1">
      <alignment horizontal="right" vertical="center" wrapText="1"/>
    </xf>
    <xf numFmtId="0" fontId="1" fillId="8" borderId="13"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11" xfId="0" applyFont="1" applyFill="1" applyBorder="1" applyAlignment="1">
      <alignment horizontal="right" wrapText="1"/>
    </xf>
    <xf numFmtId="0" fontId="1" fillId="8" borderId="11" xfId="0" applyFont="1" applyFill="1" applyBorder="1" applyAlignment="1">
      <alignment horizontal="right" vertical="center"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1" xfId="0" applyFont="1" applyFill="1" applyBorder="1" applyAlignment="1">
      <alignment horizontal="right" wrapText="1"/>
    </xf>
    <xf numFmtId="0" fontId="1" fillId="7" borderId="0" xfId="0" applyFont="1" applyFill="1" applyBorder="1" applyAlignment="1">
      <alignment horizontal="right" wrapText="1"/>
    </xf>
    <xf numFmtId="0" fontId="1" fillId="9" borderId="13"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1" fillId="9" borderId="11" xfId="0" applyFont="1" applyFill="1" applyBorder="1" applyAlignment="1">
      <alignment horizontal="righ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pt-BR"/>
              <a:t>Planejar &amp; Organizar</a:t>
            </a:r>
          </a:p>
        </c:rich>
      </c:tx>
      <c:overlay val="0"/>
    </c:title>
    <c:autoTitleDeleted val="0"/>
    <c:plotArea>
      <c:layout>
        <c:manualLayout>
          <c:layoutTarget val="inner"/>
          <c:xMode val="edge"/>
          <c:yMode val="edge"/>
          <c:x val="0.16573677242706417"/>
          <c:y val="0.18102338585046188"/>
          <c:w val="0.44299639069532759"/>
          <c:h val="0.7549754802390275"/>
        </c:manualLayout>
      </c:layout>
      <c:radarChart>
        <c:radarStyle val="marker"/>
        <c:varyColors val="0"/>
        <c:ser>
          <c:idx val="0"/>
          <c:order val="0"/>
          <c:tx>
            <c:strRef>
              <c:f>'Gráficos Maturidade'!$B$3</c:f>
              <c:strCache>
                <c:ptCount val="1"/>
                <c:pt idx="0">
                  <c:v>Maturidade Apurada</c:v>
                </c:pt>
              </c:strCache>
            </c:strRef>
          </c:tx>
          <c:cat>
            <c:strRef>
              <c:f>'Gráficos Maturidade'!$A$4:$A$14</c:f>
              <c:strCache>
                <c:ptCount val="11"/>
                <c:pt idx="0">
                  <c:v>PO1</c:v>
                </c:pt>
                <c:pt idx="1">
                  <c:v>PO2</c:v>
                </c:pt>
                <c:pt idx="2">
                  <c:v>PO3</c:v>
                </c:pt>
                <c:pt idx="4">
                  <c:v>PO4</c:v>
                </c:pt>
                <c:pt idx="5">
                  <c:v>PO5</c:v>
                </c:pt>
                <c:pt idx="6">
                  <c:v>PO6</c:v>
                </c:pt>
                <c:pt idx="7">
                  <c:v>PO7</c:v>
                </c:pt>
                <c:pt idx="8">
                  <c:v>PO8</c:v>
                </c:pt>
                <c:pt idx="9">
                  <c:v>PO9</c:v>
                </c:pt>
                <c:pt idx="10">
                  <c:v>PO10</c:v>
                </c:pt>
              </c:strCache>
            </c:strRef>
          </c:cat>
          <c:val>
            <c:numRef>
              <c:f>'Gráficos Maturidade'!$B$4:$B$14</c:f>
              <c:numCache>
                <c:formatCode>0.00</c:formatCode>
                <c:ptCount val="11"/>
                <c:pt idx="0">
                  <c:v>0</c:v>
                </c:pt>
                <c:pt idx="1">
                  <c:v>0</c:v>
                </c:pt>
                <c:pt idx="2">
                  <c:v>0</c:v>
                </c:pt>
                <c:pt idx="4">
                  <c:v>0</c:v>
                </c:pt>
                <c:pt idx="5">
                  <c:v>0</c:v>
                </c:pt>
                <c:pt idx="6">
                  <c:v>0</c:v>
                </c:pt>
                <c:pt idx="7">
                  <c:v>0</c:v>
                </c:pt>
                <c:pt idx="8">
                  <c:v>0</c:v>
                </c:pt>
                <c:pt idx="9">
                  <c:v>0</c:v>
                </c:pt>
                <c:pt idx="10">
                  <c:v>0</c:v>
                </c:pt>
              </c:numCache>
            </c:numRef>
          </c:val>
          <c:extLst xmlns:c16r2="http://schemas.microsoft.com/office/drawing/2015/06/chart">
            <c:ext xmlns:c16="http://schemas.microsoft.com/office/drawing/2014/chart" uri="{C3380CC4-5D6E-409C-BE32-E72D297353CC}">
              <c16:uniqueId val="{00000000-9315-42FD-95EB-52693CC1C5DB}"/>
            </c:ext>
          </c:extLst>
        </c:ser>
        <c:ser>
          <c:idx val="1"/>
          <c:order val="1"/>
          <c:tx>
            <c:strRef>
              <c:f>'Gráficos Maturidade'!$C$3</c:f>
              <c:strCache>
                <c:ptCount val="1"/>
                <c:pt idx="0">
                  <c:v>META Estabelecida</c:v>
                </c:pt>
              </c:strCache>
            </c:strRef>
          </c:tx>
          <c:cat>
            <c:strRef>
              <c:f>'Gráficos Maturidade'!$A$4:$A$14</c:f>
              <c:strCache>
                <c:ptCount val="11"/>
                <c:pt idx="0">
                  <c:v>PO1</c:v>
                </c:pt>
                <c:pt idx="1">
                  <c:v>PO2</c:v>
                </c:pt>
                <c:pt idx="2">
                  <c:v>PO3</c:v>
                </c:pt>
                <c:pt idx="4">
                  <c:v>PO4</c:v>
                </c:pt>
                <c:pt idx="5">
                  <c:v>PO5</c:v>
                </c:pt>
                <c:pt idx="6">
                  <c:v>PO6</c:v>
                </c:pt>
                <c:pt idx="7">
                  <c:v>PO7</c:v>
                </c:pt>
                <c:pt idx="8">
                  <c:v>PO8</c:v>
                </c:pt>
                <c:pt idx="9">
                  <c:v>PO9</c:v>
                </c:pt>
                <c:pt idx="10">
                  <c:v>PO10</c:v>
                </c:pt>
              </c:strCache>
            </c:strRef>
          </c:cat>
          <c:val>
            <c:numRef>
              <c:f>'Gráficos Maturidade'!$C$4:$C$14</c:f>
              <c:numCache>
                <c:formatCode>0.00</c:formatCode>
                <c:ptCount val="11"/>
                <c:pt idx="0">
                  <c:v>0</c:v>
                </c:pt>
                <c:pt idx="1">
                  <c:v>0</c:v>
                </c:pt>
                <c:pt idx="2">
                  <c:v>0</c:v>
                </c:pt>
                <c:pt idx="4">
                  <c:v>0</c:v>
                </c:pt>
                <c:pt idx="5">
                  <c:v>0</c:v>
                </c:pt>
                <c:pt idx="6">
                  <c:v>0</c:v>
                </c:pt>
                <c:pt idx="7">
                  <c:v>0</c:v>
                </c:pt>
                <c:pt idx="8">
                  <c:v>0</c:v>
                </c:pt>
                <c:pt idx="9">
                  <c:v>0</c:v>
                </c:pt>
                <c:pt idx="10">
                  <c:v>0</c:v>
                </c:pt>
              </c:numCache>
            </c:numRef>
          </c:val>
          <c:extLst xmlns:c16r2="http://schemas.microsoft.com/office/drawing/2015/06/chart">
            <c:ext xmlns:c16="http://schemas.microsoft.com/office/drawing/2014/chart" uri="{C3380CC4-5D6E-409C-BE32-E72D297353CC}">
              <c16:uniqueId val="{00000001-9315-42FD-95EB-52693CC1C5DB}"/>
            </c:ext>
          </c:extLst>
        </c:ser>
        <c:dLbls>
          <c:showLegendKey val="0"/>
          <c:showVal val="0"/>
          <c:showCatName val="0"/>
          <c:showSerName val="0"/>
          <c:showPercent val="0"/>
          <c:showBubbleSize val="0"/>
        </c:dLbls>
        <c:axId val="553995632"/>
        <c:axId val="553994456"/>
      </c:radarChart>
      <c:catAx>
        <c:axId val="553995632"/>
        <c:scaling>
          <c:orientation val="minMax"/>
        </c:scaling>
        <c:delete val="0"/>
        <c:axPos val="b"/>
        <c:majorGridlines/>
        <c:numFmt formatCode="General" sourceLinked="0"/>
        <c:majorTickMark val="none"/>
        <c:minorTickMark val="none"/>
        <c:tickLblPos val="nextTo"/>
        <c:crossAx val="553994456"/>
        <c:crosses val="autoZero"/>
        <c:auto val="1"/>
        <c:lblAlgn val="ctr"/>
        <c:lblOffset val="100"/>
        <c:noMultiLvlLbl val="0"/>
      </c:catAx>
      <c:valAx>
        <c:axId val="553994456"/>
        <c:scaling>
          <c:orientation val="minMax"/>
        </c:scaling>
        <c:delete val="0"/>
        <c:axPos val="l"/>
        <c:majorGridlines/>
        <c:numFmt formatCode="0.00" sourceLinked="1"/>
        <c:majorTickMark val="none"/>
        <c:minorTickMark val="none"/>
        <c:tickLblPos val="nextTo"/>
        <c:crossAx val="553995632"/>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pt-BR"/>
              <a:t>Adquirir &amp; Implementar</a:t>
            </a:r>
          </a:p>
        </c:rich>
      </c:tx>
      <c:overlay val="0"/>
    </c:title>
    <c:autoTitleDeleted val="0"/>
    <c:plotArea>
      <c:layout/>
      <c:radarChart>
        <c:radarStyle val="marker"/>
        <c:varyColors val="0"/>
        <c:ser>
          <c:idx val="0"/>
          <c:order val="0"/>
          <c:tx>
            <c:strRef>
              <c:f>'Gráficos Maturidade'!$B$26</c:f>
              <c:strCache>
                <c:ptCount val="1"/>
                <c:pt idx="0">
                  <c:v>Maturidade Apurada</c:v>
                </c:pt>
              </c:strCache>
            </c:strRef>
          </c:tx>
          <c:cat>
            <c:strRef>
              <c:f>'Gráficos Maturidade'!$A$27:$A$33</c:f>
              <c:strCache>
                <c:ptCount val="7"/>
                <c:pt idx="0">
                  <c:v>AI1</c:v>
                </c:pt>
                <c:pt idx="1">
                  <c:v>AI2</c:v>
                </c:pt>
                <c:pt idx="2">
                  <c:v>AI3</c:v>
                </c:pt>
                <c:pt idx="3">
                  <c:v>AI4</c:v>
                </c:pt>
                <c:pt idx="4">
                  <c:v>AI5</c:v>
                </c:pt>
                <c:pt idx="5">
                  <c:v>AI6</c:v>
                </c:pt>
                <c:pt idx="6">
                  <c:v>AI7</c:v>
                </c:pt>
              </c:strCache>
            </c:strRef>
          </c:cat>
          <c:val>
            <c:numRef>
              <c:f>'Gráficos Maturidade'!$B$27:$B$33</c:f>
              <c:numCache>
                <c:formatCode>0.00</c:formatCode>
                <c:ptCount val="7"/>
                <c:pt idx="0">
                  <c:v>0</c:v>
                </c:pt>
                <c:pt idx="1">
                  <c:v>0</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0-BFF1-4F6C-A668-3874F3A1A3C1}"/>
            </c:ext>
          </c:extLst>
        </c:ser>
        <c:ser>
          <c:idx val="1"/>
          <c:order val="1"/>
          <c:tx>
            <c:strRef>
              <c:f>'Gráficos Maturidade'!$C$26</c:f>
              <c:strCache>
                <c:ptCount val="1"/>
                <c:pt idx="0">
                  <c:v>META Estabelecida</c:v>
                </c:pt>
              </c:strCache>
            </c:strRef>
          </c:tx>
          <c:cat>
            <c:strRef>
              <c:f>'Gráficos Maturidade'!$A$27:$A$33</c:f>
              <c:strCache>
                <c:ptCount val="7"/>
                <c:pt idx="0">
                  <c:v>AI1</c:v>
                </c:pt>
                <c:pt idx="1">
                  <c:v>AI2</c:v>
                </c:pt>
                <c:pt idx="2">
                  <c:v>AI3</c:v>
                </c:pt>
                <c:pt idx="3">
                  <c:v>AI4</c:v>
                </c:pt>
                <c:pt idx="4">
                  <c:v>AI5</c:v>
                </c:pt>
                <c:pt idx="5">
                  <c:v>AI6</c:v>
                </c:pt>
                <c:pt idx="6">
                  <c:v>AI7</c:v>
                </c:pt>
              </c:strCache>
            </c:strRef>
          </c:cat>
          <c:val>
            <c:numRef>
              <c:f>'Gráficos Maturidade'!$C$27:$C$33</c:f>
              <c:numCache>
                <c:formatCode>0.00</c:formatCode>
                <c:ptCount val="7"/>
                <c:pt idx="0">
                  <c:v>0</c:v>
                </c:pt>
                <c:pt idx="1">
                  <c:v>0</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1-BFF1-4F6C-A668-3874F3A1A3C1}"/>
            </c:ext>
          </c:extLst>
        </c:ser>
        <c:dLbls>
          <c:showLegendKey val="0"/>
          <c:showVal val="0"/>
          <c:showCatName val="0"/>
          <c:showSerName val="0"/>
          <c:showPercent val="0"/>
          <c:showBubbleSize val="0"/>
        </c:dLbls>
        <c:axId val="553995240"/>
        <c:axId val="553992496"/>
      </c:radarChart>
      <c:catAx>
        <c:axId val="553995240"/>
        <c:scaling>
          <c:orientation val="minMax"/>
        </c:scaling>
        <c:delete val="0"/>
        <c:axPos val="b"/>
        <c:majorGridlines/>
        <c:numFmt formatCode="General" sourceLinked="0"/>
        <c:majorTickMark val="none"/>
        <c:minorTickMark val="none"/>
        <c:tickLblPos val="nextTo"/>
        <c:crossAx val="553992496"/>
        <c:crosses val="autoZero"/>
        <c:auto val="1"/>
        <c:lblAlgn val="ctr"/>
        <c:lblOffset val="100"/>
        <c:noMultiLvlLbl val="0"/>
      </c:catAx>
      <c:valAx>
        <c:axId val="553992496"/>
        <c:scaling>
          <c:orientation val="minMax"/>
        </c:scaling>
        <c:delete val="0"/>
        <c:axPos val="l"/>
        <c:majorGridlines/>
        <c:numFmt formatCode="0.00" sourceLinked="1"/>
        <c:majorTickMark val="none"/>
        <c:minorTickMark val="none"/>
        <c:tickLblPos val="nextTo"/>
        <c:crossAx val="553995240"/>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pt-BR"/>
              <a:t>Monitorar</a:t>
            </a:r>
            <a:r>
              <a:rPr lang="pt-BR" baseline="0"/>
              <a:t> &amp; Avaliar</a:t>
            </a:r>
            <a:endParaRPr lang="pt-BR"/>
          </a:p>
        </c:rich>
      </c:tx>
      <c:overlay val="0"/>
    </c:title>
    <c:autoTitleDeleted val="0"/>
    <c:plotArea>
      <c:layout/>
      <c:radarChart>
        <c:radarStyle val="marker"/>
        <c:varyColors val="0"/>
        <c:ser>
          <c:idx val="0"/>
          <c:order val="0"/>
          <c:tx>
            <c:strRef>
              <c:f>'Gráficos Maturidade'!$B$51</c:f>
              <c:strCache>
                <c:ptCount val="1"/>
                <c:pt idx="0">
                  <c:v>Maturidade Apurada</c:v>
                </c:pt>
              </c:strCache>
            </c:strRef>
          </c:tx>
          <c:cat>
            <c:strRef>
              <c:f>'Gráficos Maturidade'!$A$52:$A$55</c:f>
              <c:strCache>
                <c:ptCount val="4"/>
                <c:pt idx="0">
                  <c:v>MA1</c:v>
                </c:pt>
                <c:pt idx="1">
                  <c:v>MA2</c:v>
                </c:pt>
                <c:pt idx="2">
                  <c:v>MA3</c:v>
                </c:pt>
                <c:pt idx="3">
                  <c:v>MA4</c:v>
                </c:pt>
              </c:strCache>
            </c:strRef>
          </c:cat>
          <c:val>
            <c:numRef>
              <c:f>'Gráficos Maturidade'!$B$52:$B$55</c:f>
              <c:numCache>
                <c:formatCode>0.00</c:formatCode>
                <c:ptCount val="4"/>
                <c:pt idx="0">
                  <c:v>0</c:v>
                </c:pt>
                <c:pt idx="1">
                  <c:v>0</c:v>
                </c:pt>
                <c:pt idx="2">
                  <c:v>0</c:v>
                </c:pt>
                <c:pt idx="3">
                  <c:v>0</c:v>
                </c:pt>
              </c:numCache>
            </c:numRef>
          </c:val>
          <c:extLst xmlns:c16r2="http://schemas.microsoft.com/office/drawing/2015/06/chart">
            <c:ext xmlns:c16="http://schemas.microsoft.com/office/drawing/2014/chart" uri="{C3380CC4-5D6E-409C-BE32-E72D297353CC}">
              <c16:uniqueId val="{00000000-315E-4D13-91F9-265E1ADECD72}"/>
            </c:ext>
          </c:extLst>
        </c:ser>
        <c:ser>
          <c:idx val="1"/>
          <c:order val="1"/>
          <c:tx>
            <c:strRef>
              <c:f>'Gráficos Maturidade'!$C$51</c:f>
              <c:strCache>
                <c:ptCount val="1"/>
                <c:pt idx="0">
                  <c:v>META Estabelecida</c:v>
                </c:pt>
              </c:strCache>
            </c:strRef>
          </c:tx>
          <c:cat>
            <c:strRef>
              <c:f>'Gráficos Maturidade'!$A$52:$A$55</c:f>
              <c:strCache>
                <c:ptCount val="4"/>
                <c:pt idx="0">
                  <c:v>MA1</c:v>
                </c:pt>
                <c:pt idx="1">
                  <c:v>MA2</c:v>
                </c:pt>
                <c:pt idx="2">
                  <c:v>MA3</c:v>
                </c:pt>
                <c:pt idx="3">
                  <c:v>MA4</c:v>
                </c:pt>
              </c:strCache>
            </c:strRef>
          </c:cat>
          <c:val>
            <c:numRef>
              <c:f>'Gráficos Maturidade'!$C$52:$C$55</c:f>
              <c:numCache>
                <c:formatCode>0.00</c:formatCode>
                <c:ptCount val="4"/>
                <c:pt idx="0">
                  <c:v>0</c:v>
                </c:pt>
                <c:pt idx="1">
                  <c:v>0</c:v>
                </c:pt>
                <c:pt idx="2">
                  <c:v>0</c:v>
                </c:pt>
                <c:pt idx="3">
                  <c:v>0</c:v>
                </c:pt>
              </c:numCache>
            </c:numRef>
          </c:val>
          <c:extLst xmlns:c16r2="http://schemas.microsoft.com/office/drawing/2015/06/chart">
            <c:ext xmlns:c16="http://schemas.microsoft.com/office/drawing/2014/chart" uri="{C3380CC4-5D6E-409C-BE32-E72D297353CC}">
              <c16:uniqueId val="{00000001-315E-4D13-91F9-265E1ADECD72}"/>
            </c:ext>
          </c:extLst>
        </c:ser>
        <c:dLbls>
          <c:showLegendKey val="0"/>
          <c:showVal val="0"/>
          <c:showCatName val="0"/>
          <c:showSerName val="0"/>
          <c:showPercent val="0"/>
          <c:showBubbleSize val="0"/>
        </c:dLbls>
        <c:axId val="508990888"/>
        <c:axId val="551119008"/>
      </c:radarChart>
      <c:catAx>
        <c:axId val="508990888"/>
        <c:scaling>
          <c:orientation val="minMax"/>
        </c:scaling>
        <c:delete val="0"/>
        <c:axPos val="b"/>
        <c:majorGridlines/>
        <c:numFmt formatCode="General" sourceLinked="0"/>
        <c:majorTickMark val="none"/>
        <c:minorTickMark val="none"/>
        <c:tickLblPos val="nextTo"/>
        <c:spPr>
          <a:ln w="9525">
            <a:noFill/>
          </a:ln>
        </c:spPr>
        <c:crossAx val="551119008"/>
        <c:crosses val="autoZero"/>
        <c:auto val="1"/>
        <c:lblAlgn val="ctr"/>
        <c:lblOffset val="100"/>
        <c:noMultiLvlLbl val="0"/>
      </c:catAx>
      <c:valAx>
        <c:axId val="551119008"/>
        <c:scaling>
          <c:orientation val="minMax"/>
        </c:scaling>
        <c:delete val="0"/>
        <c:axPos val="l"/>
        <c:majorGridlines/>
        <c:numFmt formatCode="0.00" sourceLinked="1"/>
        <c:majorTickMark val="none"/>
        <c:minorTickMark val="none"/>
        <c:tickLblPos val="nextTo"/>
        <c:crossAx val="508990888"/>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Entregar e Suportar</a:t>
            </a:r>
          </a:p>
        </c:rich>
      </c:tx>
      <c:overlay val="0"/>
    </c:title>
    <c:autoTitleDeleted val="0"/>
    <c:plotArea>
      <c:layout/>
      <c:radarChart>
        <c:radarStyle val="marker"/>
        <c:varyColors val="0"/>
        <c:ser>
          <c:idx val="0"/>
          <c:order val="0"/>
          <c:tx>
            <c:strRef>
              <c:f>'Gráficos Maturidade'!$S$2</c:f>
              <c:strCache>
                <c:ptCount val="1"/>
                <c:pt idx="0">
                  <c:v>Maturidade Apurada</c:v>
                </c:pt>
              </c:strCache>
            </c:strRef>
          </c:tx>
          <c:cat>
            <c:strRef>
              <c:f>'Gráficos Maturidade'!$R$3:$R$16</c:f>
              <c:strCache>
                <c:ptCount val="14"/>
                <c:pt idx="0">
                  <c:v>DS1</c:v>
                </c:pt>
                <c:pt idx="1">
                  <c:v>DS2</c:v>
                </c:pt>
                <c:pt idx="2">
                  <c:v>DS3</c:v>
                </c:pt>
                <c:pt idx="3">
                  <c:v>DS4</c:v>
                </c:pt>
                <c:pt idx="5">
                  <c:v>DS5</c:v>
                </c:pt>
                <c:pt idx="6">
                  <c:v>DS6</c:v>
                </c:pt>
                <c:pt idx="7">
                  <c:v>DS7</c:v>
                </c:pt>
                <c:pt idx="8">
                  <c:v>DS8</c:v>
                </c:pt>
                <c:pt idx="9">
                  <c:v>DS9</c:v>
                </c:pt>
                <c:pt idx="10">
                  <c:v>DS10</c:v>
                </c:pt>
                <c:pt idx="11">
                  <c:v>DS11</c:v>
                </c:pt>
                <c:pt idx="12">
                  <c:v>DS12</c:v>
                </c:pt>
                <c:pt idx="13">
                  <c:v>DS13</c:v>
                </c:pt>
              </c:strCache>
            </c:strRef>
          </c:cat>
          <c:val>
            <c:numRef>
              <c:f>'Gráficos Maturidade'!$S$3:$S$16</c:f>
              <c:numCache>
                <c:formatCode>0.00</c:formatCode>
                <c:ptCount val="14"/>
                <c:pt idx="0">
                  <c:v>0</c:v>
                </c:pt>
                <c:pt idx="1">
                  <c:v>0</c:v>
                </c:pt>
                <c:pt idx="2">
                  <c:v>0</c:v>
                </c:pt>
                <c:pt idx="3">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0-D9B6-4D44-95D7-C6C421BA7E72}"/>
            </c:ext>
          </c:extLst>
        </c:ser>
        <c:ser>
          <c:idx val="1"/>
          <c:order val="1"/>
          <c:tx>
            <c:strRef>
              <c:f>'Gráficos Maturidade'!$T$2</c:f>
              <c:strCache>
                <c:ptCount val="1"/>
                <c:pt idx="0">
                  <c:v>META Estabelecida</c:v>
                </c:pt>
              </c:strCache>
            </c:strRef>
          </c:tx>
          <c:cat>
            <c:strRef>
              <c:f>'Gráficos Maturidade'!$R$3:$R$16</c:f>
              <c:strCache>
                <c:ptCount val="14"/>
                <c:pt idx="0">
                  <c:v>DS1</c:v>
                </c:pt>
                <c:pt idx="1">
                  <c:v>DS2</c:v>
                </c:pt>
                <c:pt idx="2">
                  <c:v>DS3</c:v>
                </c:pt>
                <c:pt idx="3">
                  <c:v>DS4</c:v>
                </c:pt>
                <c:pt idx="5">
                  <c:v>DS5</c:v>
                </c:pt>
                <c:pt idx="6">
                  <c:v>DS6</c:v>
                </c:pt>
                <c:pt idx="7">
                  <c:v>DS7</c:v>
                </c:pt>
                <c:pt idx="8">
                  <c:v>DS8</c:v>
                </c:pt>
                <c:pt idx="9">
                  <c:v>DS9</c:v>
                </c:pt>
                <c:pt idx="10">
                  <c:v>DS10</c:v>
                </c:pt>
                <c:pt idx="11">
                  <c:v>DS11</c:v>
                </c:pt>
                <c:pt idx="12">
                  <c:v>DS12</c:v>
                </c:pt>
                <c:pt idx="13">
                  <c:v>DS13</c:v>
                </c:pt>
              </c:strCache>
            </c:strRef>
          </c:cat>
          <c:val>
            <c:numRef>
              <c:f>'Gráficos Maturidade'!$T$3:$T$16</c:f>
              <c:numCache>
                <c:formatCode>0.00</c:formatCode>
                <c:ptCount val="14"/>
                <c:pt idx="0">
                  <c:v>0</c:v>
                </c:pt>
                <c:pt idx="1">
                  <c:v>0</c:v>
                </c:pt>
                <c:pt idx="2">
                  <c:v>0</c:v>
                </c:pt>
                <c:pt idx="3">
                  <c:v>0</c:v>
                </c:pt>
                <c:pt idx="5">
                  <c:v>0</c:v>
                </c:pt>
                <c:pt idx="6">
                  <c:v>0</c:v>
                </c:pt>
                <c:pt idx="7">
                  <c:v>0</c:v>
                </c:pt>
                <c:pt idx="8">
                  <c:v>0</c:v>
                </c:pt>
                <c:pt idx="9">
                  <c:v>0</c:v>
                </c:pt>
                <c:pt idx="10">
                  <c:v>0</c:v>
                </c:pt>
                <c:pt idx="11">
                  <c:v>0</c:v>
                </c:pt>
                <c:pt idx="12">
                  <c:v>0</c:v>
                </c:pt>
                <c:pt idx="13">
                  <c:v>0</c:v>
                </c:pt>
              </c:numCache>
            </c:numRef>
          </c:val>
          <c:extLst xmlns:c16r2="http://schemas.microsoft.com/office/drawing/2015/06/chart">
            <c:ext xmlns:c16="http://schemas.microsoft.com/office/drawing/2014/chart" uri="{C3380CC4-5D6E-409C-BE32-E72D297353CC}">
              <c16:uniqueId val="{00000001-D9B6-4D44-95D7-C6C421BA7E72}"/>
            </c:ext>
          </c:extLst>
        </c:ser>
        <c:dLbls>
          <c:showLegendKey val="0"/>
          <c:showVal val="0"/>
          <c:showCatName val="0"/>
          <c:showSerName val="0"/>
          <c:showPercent val="0"/>
          <c:showBubbleSize val="0"/>
        </c:dLbls>
        <c:axId val="551118616"/>
        <c:axId val="551119400"/>
      </c:radarChart>
      <c:catAx>
        <c:axId val="551118616"/>
        <c:scaling>
          <c:orientation val="minMax"/>
        </c:scaling>
        <c:delete val="0"/>
        <c:axPos val="b"/>
        <c:majorGridlines/>
        <c:numFmt formatCode="General" sourceLinked="0"/>
        <c:majorTickMark val="none"/>
        <c:minorTickMark val="none"/>
        <c:tickLblPos val="nextTo"/>
        <c:spPr>
          <a:ln w="9525">
            <a:noFill/>
          </a:ln>
        </c:spPr>
        <c:crossAx val="551119400"/>
        <c:crosses val="autoZero"/>
        <c:auto val="1"/>
        <c:lblAlgn val="ctr"/>
        <c:lblOffset val="100"/>
        <c:noMultiLvlLbl val="0"/>
      </c:catAx>
      <c:valAx>
        <c:axId val="551119400"/>
        <c:scaling>
          <c:orientation val="minMax"/>
        </c:scaling>
        <c:delete val="0"/>
        <c:axPos val="l"/>
        <c:majorGridlines/>
        <c:numFmt formatCode="0.00" sourceLinked="1"/>
        <c:majorTickMark val="none"/>
        <c:minorTickMark val="none"/>
        <c:tickLblPos val="nextTo"/>
        <c:crossAx val="551118616"/>
        <c:crosses val="autoZero"/>
        <c:crossBetween val="between"/>
      </c:valAx>
    </c:plotArea>
    <c:legend>
      <c:legendPos val="r"/>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pt-BR" sz="2000"/>
              <a:t>Maturidade - Todos os Processos</a:t>
            </a:r>
          </a:p>
        </c:rich>
      </c:tx>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pt-BR"/>
        </a:p>
      </c:txPr>
    </c:title>
    <c:autoTitleDeleted val="0"/>
    <c:plotArea>
      <c:layout/>
      <c:radarChart>
        <c:radarStyle val="marker"/>
        <c:varyColors val="0"/>
        <c:ser>
          <c:idx val="0"/>
          <c:order val="0"/>
          <c:tx>
            <c:strRef>
              <c:f>'Gráficos Maturidade'!$S$46</c:f>
              <c:strCache>
                <c:ptCount val="1"/>
                <c:pt idx="0">
                  <c:v>Maturidade Apurada</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'Gráficos Maturidade'!$R$47:$R$80</c:f>
              <c:strCache>
                <c:ptCount val="34"/>
                <c:pt idx="0">
                  <c:v>PO1</c:v>
                </c:pt>
                <c:pt idx="1">
                  <c:v>PO2</c:v>
                </c:pt>
                <c:pt idx="2">
                  <c:v>PO3</c:v>
                </c:pt>
                <c:pt idx="3">
                  <c:v>PO4</c:v>
                </c:pt>
                <c:pt idx="4">
                  <c:v>PO5</c:v>
                </c:pt>
                <c:pt idx="5">
                  <c:v>PO6</c:v>
                </c:pt>
                <c:pt idx="6">
                  <c:v>PO7</c:v>
                </c:pt>
                <c:pt idx="7">
                  <c:v>PO8</c:v>
                </c:pt>
                <c:pt idx="8">
                  <c:v>PO9</c:v>
                </c:pt>
                <c:pt idx="9">
                  <c:v>PO10</c:v>
                </c:pt>
                <c:pt idx="10">
                  <c:v>AI1</c:v>
                </c:pt>
                <c:pt idx="11">
                  <c:v>AI2</c:v>
                </c:pt>
                <c:pt idx="12">
                  <c:v>AI3</c:v>
                </c:pt>
                <c:pt idx="13">
                  <c:v>AI4</c:v>
                </c:pt>
                <c:pt idx="14">
                  <c:v>AI5</c:v>
                </c:pt>
                <c:pt idx="15">
                  <c:v>AI6</c:v>
                </c:pt>
                <c:pt idx="16">
                  <c:v>AI7</c:v>
                </c:pt>
                <c:pt idx="17">
                  <c:v>DS1</c:v>
                </c:pt>
                <c:pt idx="18">
                  <c:v>DS2</c:v>
                </c:pt>
                <c:pt idx="19">
                  <c:v>DS3</c:v>
                </c:pt>
                <c:pt idx="20">
                  <c:v>DS4</c:v>
                </c:pt>
                <c:pt idx="21">
                  <c:v>DS5</c:v>
                </c:pt>
                <c:pt idx="22">
                  <c:v>DS6</c:v>
                </c:pt>
                <c:pt idx="23">
                  <c:v>DS7</c:v>
                </c:pt>
                <c:pt idx="24">
                  <c:v>DS8</c:v>
                </c:pt>
                <c:pt idx="25">
                  <c:v>DS9</c:v>
                </c:pt>
                <c:pt idx="26">
                  <c:v>DS10</c:v>
                </c:pt>
                <c:pt idx="27">
                  <c:v>DS11</c:v>
                </c:pt>
                <c:pt idx="28">
                  <c:v>DS12</c:v>
                </c:pt>
                <c:pt idx="29">
                  <c:v>DS13</c:v>
                </c:pt>
                <c:pt idx="30">
                  <c:v>MA1</c:v>
                </c:pt>
                <c:pt idx="31">
                  <c:v>MA2</c:v>
                </c:pt>
                <c:pt idx="32">
                  <c:v>MA3</c:v>
                </c:pt>
                <c:pt idx="33">
                  <c:v>MA4</c:v>
                </c:pt>
              </c:strCache>
            </c:strRef>
          </c:cat>
          <c:val>
            <c:numRef>
              <c:f>'Gráficos Maturidade'!$S$47:$S$80</c:f>
              <c:numCache>
                <c:formatCode>0.00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xmlns:c16r2="http://schemas.microsoft.com/office/drawing/2015/06/chart">
            <c:ext xmlns:c16="http://schemas.microsoft.com/office/drawing/2014/chart" uri="{C3380CC4-5D6E-409C-BE32-E72D297353CC}">
              <c16:uniqueId val="{00000000-B041-4F51-819C-111D0C375A1F}"/>
            </c:ext>
          </c:extLst>
        </c:ser>
        <c:ser>
          <c:idx val="1"/>
          <c:order val="1"/>
          <c:tx>
            <c:strRef>
              <c:f>'Gráficos Maturidade'!$T$46</c:f>
              <c:strCache>
                <c:ptCount val="1"/>
                <c:pt idx="0">
                  <c:v>META Estabelecida</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'Gráficos Maturidade'!$R$47:$R$80</c:f>
              <c:strCache>
                <c:ptCount val="34"/>
                <c:pt idx="0">
                  <c:v>PO1</c:v>
                </c:pt>
                <c:pt idx="1">
                  <c:v>PO2</c:v>
                </c:pt>
                <c:pt idx="2">
                  <c:v>PO3</c:v>
                </c:pt>
                <c:pt idx="3">
                  <c:v>PO4</c:v>
                </c:pt>
                <c:pt idx="4">
                  <c:v>PO5</c:v>
                </c:pt>
                <c:pt idx="5">
                  <c:v>PO6</c:v>
                </c:pt>
                <c:pt idx="6">
                  <c:v>PO7</c:v>
                </c:pt>
                <c:pt idx="7">
                  <c:v>PO8</c:v>
                </c:pt>
                <c:pt idx="8">
                  <c:v>PO9</c:v>
                </c:pt>
                <c:pt idx="9">
                  <c:v>PO10</c:v>
                </c:pt>
                <c:pt idx="10">
                  <c:v>AI1</c:v>
                </c:pt>
                <c:pt idx="11">
                  <c:v>AI2</c:v>
                </c:pt>
                <c:pt idx="12">
                  <c:v>AI3</c:v>
                </c:pt>
                <c:pt idx="13">
                  <c:v>AI4</c:v>
                </c:pt>
                <c:pt idx="14">
                  <c:v>AI5</c:v>
                </c:pt>
                <c:pt idx="15">
                  <c:v>AI6</c:v>
                </c:pt>
                <c:pt idx="16">
                  <c:v>AI7</c:v>
                </c:pt>
                <c:pt idx="17">
                  <c:v>DS1</c:v>
                </c:pt>
                <c:pt idx="18">
                  <c:v>DS2</c:v>
                </c:pt>
                <c:pt idx="19">
                  <c:v>DS3</c:v>
                </c:pt>
                <c:pt idx="20">
                  <c:v>DS4</c:v>
                </c:pt>
                <c:pt idx="21">
                  <c:v>DS5</c:v>
                </c:pt>
                <c:pt idx="22">
                  <c:v>DS6</c:v>
                </c:pt>
                <c:pt idx="23">
                  <c:v>DS7</c:v>
                </c:pt>
                <c:pt idx="24">
                  <c:v>DS8</c:v>
                </c:pt>
                <c:pt idx="25">
                  <c:v>DS9</c:v>
                </c:pt>
                <c:pt idx="26">
                  <c:v>DS10</c:v>
                </c:pt>
                <c:pt idx="27">
                  <c:v>DS11</c:v>
                </c:pt>
                <c:pt idx="28">
                  <c:v>DS12</c:v>
                </c:pt>
                <c:pt idx="29">
                  <c:v>DS13</c:v>
                </c:pt>
                <c:pt idx="30">
                  <c:v>MA1</c:v>
                </c:pt>
                <c:pt idx="31">
                  <c:v>MA2</c:v>
                </c:pt>
                <c:pt idx="32">
                  <c:v>MA3</c:v>
                </c:pt>
                <c:pt idx="33">
                  <c:v>MA4</c:v>
                </c:pt>
              </c:strCache>
            </c:strRef>
          </c:cat>
          <c:val>
            <c:numRef>
              <c:f>'Gráficos Maturidade'!$T$47:$T$80</c:f>
              <c:numCache>
                <c:formatCode>0.00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xmlns:c16r2="http://schemas.microsoft.com/office/drawing/2015/06/chart">
            <c:ext xmlns:c16="http://schemas.microsoft.com/office/drawing/2014/chart" uri="{C3380CC4-5D6E-409C-BE32-E72D297353CC}">
              <c16:uniqueId val="{00000001-B041-4F51-819C-111D0C375A1F}"/>
            </c:ext>
          </c:extLst>
        </c:ser>
        <c:dLbls>
          <c:showLegendKey val="0"/>
          <c:showVal val="0"/>
          <c:showCatName val="0"/>
          <c:showSerName val="0"/>
          <c:showPercent val="0"/>
          <c:showBubbleSize val="0"/>
        </c:dLbls>
        <c:axId val="551118224"/>
        <c:axId val="551122536"/>
      </c:radarChart>
      <c:catAx>
        <c:axId val="55111822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pt-BR"/>
          </a:p>
        </c:txPr>
        <c:crossAx val="551122536"/>
        <c:crosses val="autoZero"/>
        <c:auto val="1"/>
        <c:lblAlgn val="ctr"/>
        <c:lblOffset val="100"/>
        <c:noMultiLvlLbl val="0"/>
      </c:catAx>
      <c:valAx>
        <c:axId val="55112253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551118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Maturidade de TI x META Estabelecida</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'Gráficos Maturidade'!$C$102</c:f>
              <c:strCache>
                <c:ptCount val="1"/>
                <c:pt idx="0">
                  <c:v>Nível Maturidade</c:v>
                </c:pt>
              </c:strCache>
            </c:strRef>
          </c:tx>
          <c:invertIfNegative val="0"/>
          <c:dPt>
            <c:idx val="0"/>
            <c:invertIfNegative val="0"/>
            <c:bubble3D val="0"/>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dLbl>
              <c:idx val="0"/>
              <c:layout>
                <c:manualLayout>
                  <c:x val="3.3466181692822991E-2"/>
                  <c:y val="-1.1232345759550652E-3"/>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layout>
                    <c:manualLayout>
                      <c:w val="6.8723630632302662E-2"/>
                      <c:h val="7.8592811723243491E-2"/>
                    </c:manualLayout>
                  </c15:layout>
                </c:ext>
              </c:extLst>
            </c:dLbl>
            <c:dLbl>
              <c:idx val="1"/>
              <c:layout>
                <c:manualLayout>
                  <c:x val="2.3623150604922035E-2"/>
                  <c:y val="-6.7394074557304067E-3"/>
                </c:manualLayout>
              </c:layout>
              <c:numFmt formatCode="#,##0.00" sourceLinked="0"/>
              <c:spPr>
                <a:noFill/>
                <a:ln>
                  <a:noFill/>
                </a:ln>
                <a:effectLst/>
              </c:spPr>
              <c:txPr>
                <a:bodyPr rot="0" spcFirstLastPara="1" vertOverflow="ellipsis" vert="horz" wrap="square" lIns="38100" tIns="19050" rIns="38100" bIns="19050" anchor="ctr" anchorCtr="0">
                  <a:spAutoFit/>
                </a:bodyPr>
                <a:lstStyle/>
                <a:p>
                  <a:pPr algn="ctr" rtl="0">
                    <a:defRPr lang="pt-BR" sz="1800" b="1" i="0" u="none" strike="noStrike" kern="1200" baseline="0">
                      <a:solidFill>
                        <a:sysClr val="window" lastClr="FFFFFF">
                          <a:lumMod val="85000"/>
                        </a:sys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Maturidade'!$B$103:$B$104</c:f>
              <c:strCache>
                <c:ptCount val="2"/>
                <c:pt idx="0">
                  <c:v>META Estabelecida</c:v>
                </c:pt>
                <c:pt idx="1">
                  <c:v>Maturidade Apurada</c:v>
                </c:pt>
              </c:strCache>
            </c:strRef>
          </c:cat>
          <c:val>
            <c:numRef>
              <c:f>'Gráficos Maturidade'!$C$103:$C$104</c:f>
              <c:numCache>
                <c:formatCode>0.00</c:formatCode>
                <c:ptCount val="2"/>
                <c:pt idx="0">
                  <c:v>0</c:v>
                </c:pt>
                <c:pt idx="1">
                  <c:v>0</c:v>
                </c:pt>
              </c:numCache>
            </c:numRef>
          </c:val>
          <c:extLst xmlns:c16r2="http://schemas.microsoft.com/office/drawing/2015/06/chart">
            <c:ext xmlns:c16="http://schemas.microsoft.com/office/drawing/2014/chart" uri="{C3380CC4-5D6E-409C-BE32-E72D297353CC}">
              <c16:uniqueId val="{00000000-219C-4F09-8485-349EFFE647A5}"/>
            </c:ext>
          </c:extLst>
        </c:ser>
        <c:dLbls>
          <c:showLegendKey val="0"/>
          <c:showVal val="0"/>
          <c:showCatName val="0"/>
          <c:showSerName val="0"/>
          <c:showPercent val="0"/>
          <c:showBubbleSize val="0"/>
        </c:dLbls>
        <c:gapWidth val="150"/>
        <c:shape val="cylinder"/>
        <c:axId val="551119792"/>
        <c:axId val="551120184"/>
        <c:axId val="0"/>
      </c:bar3DChart>
      <c:catAx>
        <c:axId val="551119792"/>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pt-BR"/>
          </a:p>
        </c:txPr>
        <c:crossAx val="551120184"/>
        <c:crosses val="autoZero"/>
        <c:auto val="1"/>
        <c:lblAlgn val="ctr"/>
        <c:lblOffset val="100"/>
        <c:noMultiLvlLbl val="0"/>
      </c:catAx>
      <c:valAx>
        <c:axId val="55112018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pt-BR" sz="1600"/>
                  <a:t>TPontos Apurados</a:t>
                </a:r>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pt-B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5511197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Conformidade'!$A$3</c:f>
              <c:strCache>
                <c:ptCount val="1"/>
                <c:pt idx="0">
                  <c:v> PO1 - Definir o plano estratégico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Conformidade'!$B$3:$G$3</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E03F-44E1-B6CA-975185DAB061}"/>
            </c:ext>
          </c:extLst>
        </c:ser>
        <c:dLbls>
          <c:showLegendKey val="0"/>
          <c:showVal val="0"/>
          <c:showCatName val="0"/>
          <c:showSerName val="0"/>
          <c:showPercent val="0"/>
          <c:showBubbleSize val="0"/>
        </c:dLbls>
        <c:gapWidth val="150"/>
        <c:shape val="cylinder"/>
        <c:axId val="551120576"/>
        <c:axId val="551121752"/>
        <c:axId val="0"/>
      </c:bar3DChart>
      <c:catAx>
        <c:axId val="55112057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21752"/>
        <c:crosses val="autoZero"/>
        <c:auto val="1"/>
        <c:lblAlgn val="ctr"/>
        <c:lblOffset val="100"/>
        <c:noMultiLvlLbl val="0"/>
      </c:catAx>
      <c:valAx>
        <c:axId val="55112175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2057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PO2 - Definir a arquitetura da informação</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Conformidade'!$A$4</c:f>
              <c:strCache>
                <c:ptCount val="1"/>
                <c:pt idx="0">
                  <c:v> PO2 - Definir a arquitetura da informação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Conformidade'!$B$4:$G$4</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D639-40DA-AEDA-87C96D7287AF}"/>
            </c:ext>
          </c:extLst>
        </c:ser>
        <c:dLbls>
          <c:showLegendKey val="0"/>
          <c:showVal val="0"/>
          <c:showCatName val="0"/>
          <c:showSerName val="0"/>
          <c:showPercent val="0"/>
          <c:showBubbleSize val="0"/>
        </c:dLbls>
        <c:gapWidth val="150"/>
        <c:shape val="cylinder"/>
        <c:axId val="551121360"/>
        <c:axId val="551123320"/>
        <c:axId val="0"/>
      </c:bar3DChart>
      <c:catAx>
        <c:axId val="551121360"/>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123320"/>
        <c:crosses val="autoZero"/>
        <c:auto val="1"/>
        <c:lblAlgn val="ctr"/>
        <c:lblOffset val="100"/>
        <c:noMultiLvlLbl val="0"/>
      </c:catAx>
      <c:valAx>
        <c:axId val="551123320"/>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2136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PO3 - Determinar a direção tecnológica</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Conformidade'!$A$5</c:f>
              <c:strCache>
                <c:ptCount val="1"/>
                <c:pt idx="0">
                  <c:v> PO3 - Determinar a direção tecnológica</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Conformidade'!$B$5:$G$5</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F918-4879-ACC8-49644B1B3015}"/>
            </c:ext>
          </c:extLst>
        </c:ser>
        <c:dLbls>
          <c:showLegendKey val="0"/>
          <c:showVal val="0"/>
          <c:showCatName val="0"/>
          <c:showSerName val="0"/>
          <c:showPercent val="0"/>
          <c:showBubbleSize val="0"/>
        </c:dLbls>
        <c:gapWidth val="150"/>
        <c:shape val="cylinder"/>
        <c:axId val="551117440"/>
        <c:axId val="551117832"/>
        <c:axId val="0"/>
      </c:bar3DChart>
      <c:catAx>
        <c:axId val="551117440"/>
        <c:scaling>
          <c:orientation val="minMax"/>
        </c:scaling>
        <c:delete val="0"/>
        <c:axPos val="b"/>
        <c:title>
          <c:tx>
            <c:rich>
              <a:bodyPr/>
              <a:lstStyle/>
              <a:p>
                <a:pPr>
                  <a:defRPr/>
                </a:pPr>
                <a:r>
                  <a:rPr lang="pt-BR"/>
                  <a:t>Escala de</a:t>
                </a:r>
                <a:r>
                  <a:rPr lang="pt-BR" baseline="0"/>
                  <a:t> Maturidade</a:t>
                </a:r>
                <a:endParaRPr lang="pt-BR"/>
              </a:p>
            </c:rich>
          </c:tx>
          <c:overlay val="0"/>
        </c:title>
        <c:numFmt formatCode="General" sourceLinked="0"/>
        <c:majorTickMark val="none"/>
        <c:minorTickMark val="none"/>
        <c:tickLblPos val="nextTo"/>
        <c:crossAx val="551117832"/>
        <c:crosses val="autoZero"/>
        <c:auto val="1"/>
        <c:lblAlgn val="ctr"/>
        <c:lblOffset val="100"/>
        <c:noMultiLvlLbl val="0"/>
      </c:catAx>
      <c:valAx>
        <c:axId val="55111783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1744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PO4 - Definir processos, organização e relacionamentos da TI</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Conformidade'!$A$6</c:f>
              <c:strCache>
                <c:ptCount val="1"/>
                <c:pt idx="0">
                  <c:v> PO4 - Definir processos, organização e relacionamentos da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Conformidade'!$B$6:$G$6</c:f>
              <c:numCache>
                <c:formatCode>General</c:formatCode>
                <c:ptCount val="6"/>
                <c:pt idx="0">
                  <c:v>15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44EE-489F-9E2E-AD4DB86B0C29}"/>
            </c:ext>
          </c:extLst>
        </c:ser>
        <c:dLbls>
          <c:showLegendKey val="0"/>
          <c:showVal val="0"/>
          <c:showCatName val="0"/>
          <c:showSerName val="0"/>
          <c:showPercent val="0"/>
          <c:showBubbleSize val="0"/>
        </c:dLbls>
        <c:gapWidth val="150"/>
        <c:shape val="cylinder"/>
        <c:axId val="551099408"/>
        <c:axId val="551100192"/>
        <c:axId val="0"/>
      </c:bar3DChart>
      <c:catAx>
        <c:axId val="55109940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0192"/>
        <c:crosses val="autoZero"/>
        <c:auto val="1"/>
        <c:lblAlgn val="ctr"/>
        <c:lblOffset val="100"/>
        <c:noMultiLvlLbl val="0"/>
      </c:catAx>
      <c:valAx>
        <c:axId val="55110019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940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PO5 - Gerenciar os investimentos de TI</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c:f>
              <c:strCache>
                <c:ptCount val="1"/>
                <c:pt idx="0">
                  <c:v> PO5 - Gerenciar os investimentos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Conformidade'!$B$7:$G$7</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A45-45D2-9519-8EFAB9DED99E}"/>
            </c:ext>
          </c:extLst>
        </c:ser>
        <c:dLbls>
          <c:showLegendKey val="0"/>
          <c:showVal val="0"/>
          <c:showCatName val="0"/>
          <c:showSerName val="0"/>
          <c:showPercent val="0"/>
          <c:showBubbleSize val="0"/>
        </c:dLbls>
        <c:gapWidth val="150"/>
        <c:shape val="cylinder"/>
        <c:axId val="551098232"/>
        <c:axId val="551096272"/>
        <c:axId val="0"/>
      </c:bar3DChart>
      <c:catAx>
        <c:axId val="55109823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096272"/>
        <c:crosses val="autoZero"/>
        <c:auto val="1"/>
        <c:lblAlgn val="ctr"/>
        <c:lblOffset val="100"/>
        <c:noMultiLvlLbl val="0"/>
      </c:catAx>
      <c:valAx>
        <c:axId val="55109627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823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tx>
        <c:rich>
          <a:bodyPr/>
          <a:lstStyle/>
          <a:p>
            <a:pPr>
              <a:defRPr/>
            </a:pPr>
            <a:r>
              <a:rPr lang="pt-BR"/>
              <a:t> PO6 - Comunicar os objetivos e direção da administração</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Conformidade'!$A$8</c:f>
              <c:strCache>
                <c:ptCount val="1"/>
                <c:pt idx="0">
                  <c:v> PO6 - Comunicar os objetivos e direção da administração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Conformidade'!$B$8:$G$8</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2302-4ED8-8715-CFB1E64E0685}"/>
            </c:ext>
          </c:extLst>
        </c:ser>
        <c:dLbls>
          <c:showLegendKey val="0"/>
          <c:showVal val="0"/>
          <c:showCatName val="0"/>
          <c:showSerName val="0"/>
          <c:showPercent val="0"/>
          <c:showBubbleSize val="0"/>
        </c:dLbls>
        <c:gapWidth val="150"/>
        <c:shape val="cylinder"/>
        <c:axId val="551097840"/>
        <c:axId val="551102936"/>
        <c:axId val="0"/>
      </c:bar3DChart>
      <c:catAx>
        <c:axId val="55109784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2936"/>
        <c:crosses val="autoZero"/>
        <c:auto val="1"/>
        <c:lblAlgn val="ctr"/>
        <c:lblOffset val="100"/>
        <c:noMultiLvlLbl val="0"/>
      </c:catAx>
      <c:valAx>
        <c:axId val="55110293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784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Conformidade'!$A$9</c:f>
              <c:strCache>
                <c:ptCount val="1"/>
                <c:pt idx="0">
                  <c:v> PO7 - Gerenciar os recursos humanos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Conformidade'!$B$9:$G$9</c:f>
              <c:numCache>
                <c:formatCode>General</c:formatCode>
                <c:ptCount val="6"/>
                <c:pt idx="0">
                  <c:v>8</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B8AB-4761-ABFD-50A2C90D454A}"/>
            </c:ext>
          </c:extLst>
        </c:ser>
        <c:dLbls>
          <c:showLegendKey val="0"/>
          <c:showVal val="0"/>
          <c:showCatName val="0"/>
          <c:showSerName val="0"/>
          <c:showPercent val="0"/>
          <c:showBubbleSize val="0"/>
        </c:dLbls>
        <c:gapWidth val="150"/>
        <c:shape val="cylinder"/>
        <c:axId val="551099800"/>
        <c:axId val="551095096"/>
        <c:axId val="0"/>
      </c:bar3DChart>
      <c:catAx>
        <c:axId val="55109980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095096"/>
        <c:crosses val="autoZero"/>
        <c:auto val="1"/>
        <c:lblAlgn val="ctr"/>
        <c:lblOffset val="100"/>
        <c:noMultiLvlLbl val="0"/>
      </c:catAx>
      <c:valAx>
        <c:axId val="551095096"/>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980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Conformidade'!$A$10</c:f>
              <c:strCache>
                <c:ptCount val="1"/>
                <c:pt idx="0">
                  <c:v> PO8 - Gerenciar a qualidade</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Conformidade'!$B$10:$G$10</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B45B-4560-B34D-13BDA52EAE88}"/>
            </c:ext>
          </c:extLst>
        </c:ser>
        <c:dLbls>
          <c:showLegendKey val="0"/>
          <c:showVal val="0"/>
          <c:showCatName val="0"/>
          <c:showSerName val="0"/>
          <c:showPercent val="0"/>
          <c:showBubbleSize val="0"/>
        </c:dLbls>
        <c:gapWidth val="150"/>
        <c:shape val="cylinder"/>
        <c:axId val="551100976"/>
        <c:axId val="551099016"/>
        <c:axId val="0"/>
      </c:bar3DChart>
      <c:catAx>
        <c:axId val="551100976"/>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099016"/>
        <c:crosses val="autoZero"/>
        <c:auto val="1"/>
        <c:lblAlgn val="ctr"/>
        <c:lblOffset val="100"/>
        <c:noMultiLvlLbl val="0"/>
      </c:catAx>
      <c:valAx>
        <c:axId val="55109901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0097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Conformidade'!$A$11</c:f>
              <c:strCache>
                <c:ptCount val="1"/>
                <c:pt idx="0">
                  <c:v> PO9 - Avaliar e gerenciar os riscos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Conformidade'!$B$11:$G$11</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0A2B-43EE-A3D7-8969C971DD74}"/>
            </c:ext>
          </c:extLst>
        </c:ser>
        <c:dLbls>
          <c:showLegendKey val="0"/>
          <c:showVal val="0"/>
          <c:showCatName val="0"/>
          <c:showSerName val="0"/>
          <c:showPercent val="0"/>
          <c:showBubbleSize val="0"/>
        </c:dLbls>
        <c:gapWidth val="150"/>
        <c:shape val="cylinder"/>
        <c:axId val="551094312"/>
        <c:axId val="551101760"/>
        <c:axId val="0"/>
      </c:bar3DChart>
      <c:catAx>
        <c:axId val="551094312"/>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101760"/>
        <c:crosses val="autoZero"/>
        <c:auto val="1"/>
        <c:lblAlgn val="ctr"/>
        <c:lblOffset val="100"/>
        <c:noMultiLvlLbl val="0"/>
      </c:catAx>
      <c:valAx>
        <c:axId val="551101760"/>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09431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4"/>
    </mc:Choice>
    <mc:Fallback>
      <c:style val="34"/>
    </mc:Fallback>
  </mc:AlternateContent>
  <c:clrMapOvr bg1="lt1" tx1="dk1" bg2="lt2" tx2="dk2" accent1="accent1" accent2="accent2" accent3="accent3" accent4="accent4" accent5="accent5" accent6="accent6" hlink="hlink" folHlink="folHlink"/>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Conformidade'!$A$12</c:f>
              <c:strCache>
                <c:ptCount val="1"/>
                <c:pt idx="0">
                  <c:v> PO10 - Gerenciar projetos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Conformidade'!$B$2:$G$2</c:f>
              <c:strCache>
                <c:ptCount val="6"/>
                <c:pt idx="0">
                  <c:v>Nível 0</c:v>
                </c:pt>
                <c:pt idx="1">
                  <c:v>Nível 1</c:v>
                </c:pt>
                <c:pt idx="2">
                  <c:v>Nível 2</c:v>
                </c:pt>
                <c:pt idx="3">
                  <c:v>Nível 3</c:v>
                </c:pt>
                <c:pt idx="4">
                  <c:v>Nível 4</c:v>
                </c:pt>
                <c:pt idx="5">
                  <c:v>Nível 5</c:v>
                </c:pt>
              </c:strCache>
            </c:strRef>
          </c:cat>
          <c:val>
            <c:numRef>
              <c:f>'Gráficos Conformidade'!$B$12:$G$12</c:f>
              <c:numCache>
                <c:formatCode>General</c:formatCode>
                <c:ptCount val="6"/>
                <c:pt idx="0">
                  <c:v>14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1EE-4617-9696-FBD60885971D}"/>
            </c:ext>
          </c:extLst>
        </c:ser>
        <c:dLbls>
          <c:showLegendKey val="0"/>
          <c:showVal val="0"/>
          <c:showCatName val="0"/>
          <c:showSerName val="0"/>
          <c:showPercent val="0"/>
          <c:showBubbleSize val="0"/>
        </c:dLbls>
        <c:gapWidth val="150"/>
        <c:shape val="cylinder"/>
        <c:axId val="551102152"/>
        <c:axId val="551092352"/>
        <c:axId val="0"/>
      </c:bar3DChart>
      <c:catAx>
        <c:axId val="551102152"/>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51092352"/>
        <c:crosses val="autoZero"/>
        <c:auto val="1"/>
        <c:lblAlgn val="ctr"/>
        <c:lblOffset val="100"/>
        <c:noMultiLvlLbl val="0"/>
      </c:catAx>
      <c:valAx>
        <c:axId val="55109235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5110215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Conformidade'!$A$69</c:f>
              <c:strCache>
                <c:ptCount val="1"/>
                <c:pt idx="0">
                  <c:v> AI1 - Identificar as soluções de automação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Conformidade'!$B$69:$G$69</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A1D0-4BDD-B1E4-BB8419880B78}"/>
            </c:ext>
          </c:extLst>
        </c:ser>
        <c:dLbls>
          <c:showLegendKey val="0"/>
          <c:showVal val="0"/>
          <c:showCatName val="0"/>
          <c:showSerName val="0"/>
          <c:showPercent val="0"/>
          <c:showBubbleSize val="0"/>
        </c:dLbls>
        <c:gapWidth val="150"/>
        <c:shape val="cylinder"/>
        <c:axId val="551095488"/>
        <c:axId val="551104504"/>
        <c:axId val="0"/>
      </c:bar3DChart>
      <c:catAx>
        <c:axId val="55109548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4504"/>
        <c:crosses val="autoZero"/>
        <c:auto val="1"/>
        <c:lblAlgn val="ctr"/>
        <c:lblOffset val="100"/>
        <c:noMultiLvlLbl val="0"/>
      </c:catAx>
      <c:valAx>
        <c:axId val="55110450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548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Conformidade'!$A$70</c:f>
              <c:strCache>
                <c:ptCount val="1"/>
                <c:pt idx="0">
                  <c:v> AI2 - Adquirir e manter os Softwares Aplicativos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Conformidade'!$B$70:$G$70</c:f>
              <c:numCache>
                <c:formatCode>General</c:formatCode>
                <c:ptCount val="6"/>
                <c:pt idx="0">
                  <c:v>10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4D7-4152-9507-ABB54B96EB7D}"/>
            </c:ext>
          </c:extLst>
        </c:ser>
        <c:dLbls>
          <c:showLegendKey val="0"/>
          <c:showVal val="0"/>
          <c:showCatName val="0"/>
          <c:showSerName val="0"/>
          <c:showPercent val="0"/>
          <c:showBubbleSize val="0"/>
        </c:dLbls>
        <c:gapWidth val="150"/>
        <c:shape val="cylinder"/>
        <c:axId val="551103328"/>
        <c:axId val="551095880"/>
        <c:axId val="0"/>
      </c:bar3DChart>
      <c:catAx>
        <c:axId val="55110332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095880"/>
        <c:crosses val="autoZero"/>
        <c:auto val="1"/>
        <c:lblAlgn val="ctr"/>
        <c:lblOffset val="100"/>
        <c:noMultiLvlLbl val="0"/>
      </c:catAx>
      <c:valAx>
        <c:axId val="55109588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332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Conformidade'!$A$71</c:f>
              <c:strCache>
                <c:ptCount val="1"/>
                <c:pt idx="0">
                  <c:v> AI3 - Adquirir e manter a infra-estrutura tecnológica</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Conformidade'!$B$71:$G$71</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1F0C-45C0-8F03-A54A7EEE6013}"/>
            </c:ext>
          </c:extLst>
        </c:ser>
        <c:dLbls>
          <c:showLegendKey val="0"/>
          <c:showVal val="0"/>
          <c:showCatName val="0"/>
          <c:showSerName val="0"/>
          <c:showPercent val="0"/>
          <c:showBubbleSize val="0"/>
        </c:dLbls>
        <c:gapWidth val="150"/>
        <c:shape val="cylinder"/>
        <c:axId val="551094704"/>
        <c:axId val="551104112"/>
        <c:axId val="0"/>
      </c:bar3DChart>
      <c:catAx>
        <c:axId val="551094704"/>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4112"/>
        <c:crosses val="autoZero"/>
        <c:auto val="1"/>
        <c:lblAlgn val="ctr"/>
        <c:lblOffset val="100"/>
        <c:noMultiLvlLbl val="0"/>
      </c:catAx>
      <c:valAx>
        <c:axId val="551104112"/>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4704"/>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Conformidade'!$A$72</c:f>
              <c:strCache>
                <c:ptCount val="1"/>
                <c:pt idx="0">
                  <c:v> AI4 - Habilitar a operação e o uso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Conformidade'!$B$72:$G$72</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A29A-4578-9A59-519F5D30DB0A}"/>
            </c:ext>
          </c:extLst>
        </c:ser>
        <c:dLbls>
          <c:showLegendKey val="0"/>
          <c:showVal val="0"/>
          <c:showCatName val="0"/>
          <c:showSerName val="0"/>
          <c:showPercent val="0"/>
          <c:showBubbleSize val="0"/>
        </c:dLbls>
        <c:gapWidth val="150"/>
        <c:shape val="cylinder"/>
        <c:axId val="551093920"/>
        <c:axId val="551104896"/>
        <c:axId val="0"/>
      </c:bar3DChart>
      <c:catAx>
        <c:axId val="55109392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4896"/>
        <c:crosses val="autoZero"/>
        <c:auto val="1"/>
        <c:lblAlgn val="ctr"/>
        <c:lblOffset val="100"/>
        <c:noMultiLvlLbl val="0"/>
      </c:catAx>
      <c:valAx>
        <c:axId val="551104896"/>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09392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Conformidade'!$A$73</c:f>
              <c:strCache>
                <c:ptCount val="1"/>
                <c:pt idx="0">
                  <c:v> AI5 - Obter recursos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Conformidade'!$B$73:$G$73</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C65C-4477-B2C9-502962DBCB50}"/>
            </c:ext>
          </c:extLst>
        </c:ser>
        <c:dLbls>
          <c:showLegendKey val="0"/>
          <c:showVal val="0"/>
          <c:showCatName val="0"/>
          <c:showSerName val="0"/>
          <c:showPercent val="0"/>
          <c:showBubbleSize val="0"/>
        </c:dLbls>
        <c:gapWidth val="150"/>
        <c:shape val="cylinder"/>
        <c:axId val="551109600"/>
        <c:axId val="551105288"/>
        <c:axId val="0"/>
      </c:bar3DChart>
      <c:catAx>
        <c:axId val="551109600"/>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5288"/>
        <c:crosses val="autoZero"/>
        <c:auto val="1"/>
        <c:lblAlgn val="ctr"/>
        <c:lblOffset val="100"/>
        <c:noMultiLvlLbl val="0"/>
      </c:catAx>
      <c:valAx>
        <c:axId val="551105288"/>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960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Conformidade'!$A$74</c:f>
              <c:strCache>
                <c:ptCount val="1"/>
                <c:pt idx="0">
                  <c:v> AI6 - Gerenciar as mudanças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Conformidade'!$B$74:$G$74</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0922-40D9-8387-8F5D8C212F4E}"/>
            </c:ext>
          </c:extLst>
        </c:ser>
        <c:dLbls>
          <c:showLegendKey val="0"/>
          <c:showVal val="0"/>
          <c:showCatName val="0"/>
          <c:showSerName val="0"/>
          <c:showPercent val="0"/>
          <c:showBubbleSize val="0"/>
        </c:dLbls>
        <c:gapWidth val="150"/>
        <c:shape val="cylinder"/>
        <c:axId val="551112344"/>
        <c:axId val="551114304"/>
        <c:axId val="0"/>
      </c:bar3DChart>
      <c:catAx>
        <c:axId val="551112344"/>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4304"/>
        <c:crosses val="autoZero"/>
        <c:auto val="1"/>
        <c:lblAlgn val="ctr"/>
        <c:lblOffset val="100"/>
        <c:noMultiLvlLbl val="0"/>
      </c:catAx>
      <c:valAx>
        <c:axId val="551114304"/>
        <c:scaling>
          <c:orientation val="minMax"/>
        </c:scaling>
        <c:delete val="0"/>
        <c:axPos val="l"/>
        <c:majorGridlines/>
        <c:title>
          <c:tx>
            <c:rich>
              <a:bodyPr/>
              <a:lstStyle/>
              <a:p>
                <a:pPr>
                  <a:defRPr/>
                </a:pPr>
                <a:r>
                  <a:rPr lang="pt-BR"/>
                  <a:t>Título</a:t>
                </a:r>
              </a:p>
            </c:rich>
          </c:tx>
          <c:overlay val="0"/>
        </c:title>
        <c:numFmt formatCode="General" sourceLinked="1"/>
        <c:majorTickMark val="out"/>
        <c:minorTickMark val="none"/>
        <c:tickLblPos val="nextTo"/>
        <c:crossAx val="551112344"/>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6"/>
    </mc:Choice>
    <mc:Fallback>
      <c:style val="36"/>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Conformidade'!$A$75</c:f>
              <c:strCache>
                <c:ptCount val="1"/>
                <c:pt idx="0">
                  <c:v> AI7 - Instalar e validar as soluções e as mudanças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Conformidade'!$B$68:$G$68</c:f>
              <c:strCache>
                <c:ptCount val="6"/>
                <c:pt idx="0">
                  <c:v>Nível 0</c:v>
                </c:pt>
                <c:pt idx="1">
                  <c:v>Nível 1</c:v>
                </c:pt>
                <c:pt idx="2">
                  <c:v>Nível 2</c:v>
                </c:pt>
                <c:pt idx="3">
                  <c:v>Nível 3</c:v>
                </c:pt>
                <c:pt idx="4">
                  <c:v>Nível 4</c:v>
                </c:pt>
                <c:pt idx="5">
                  <c:v>Nível 5</c:v>
                </c:pt>
              </c:strCache>
            </c:strRef>
          </c:cat>
          <c:val>
            <c:numRef>
              <c:f>'Gráficos Conformidade'!$B$75:$G$75</c:f>
              <c:numCache>
                <c:formatCode>General</c:formatCode>
                <c:ptCount val="6"/>
                <c:pt idx="0">
                  <c:v>18</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1F85-4ECA-B322-ED3750814A09}"/>
            </c:ext>
          </c:extLst>
        </c:ser>
        <c:dLbls>
          <c:showLegendKey val="0"/>
          <c:showVal val="0"/>
          <c:showCatName val="0"/>
          <c:showSerName val="0"/>
          <c:showPercent val="0"/>
          <c:showBubbleSize val="0"/>
        </c:dLbls>
        <c:gapWidth val="150"/>
        <c:shape val="cylinder"/>
        <c:axId val="551113912"/>
        <c:axId val="551116656"/>
        <c:axId val="0"/>
      </c:bar3DChart>
      <c:catAx>
        <c:axId val="55111391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6656"/>
        <c:crosses val="autoZero"/>
        <c:auto val="1"/>
        <c:lblAlgn val="ctr"/>
        <c:lblOffset val="100"/>
        <c:noMultiLvlLbl val="0"/>
      </c:catAx>
      <c:valAx>
        <c:axId val="551116656"/>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1391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Conformidade'!$A$118</c:f>
              <c:strCache>
                <c:ptCount val="1"/>
                <c:pt idx="0">
                  <c:v>MA1 - Monitorar e Avaliar o Desempenho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Conformidade'!$B$118:$G$118</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CD3F-473C-99A7-36668726792C}"/>
            </c:ext>
          </c:extLst>
        </c:ser>
        <c:dLbls>
          <c:showLegendKey val="0"/>
          <c:showVal val="0"/>
          <c:showCatName val="0"/>
          <c:showSerName val="0"/>
          <c:showPercent val="0"/>
          <c:showBubbleSize val="0"/>
        </c:dLbls>
        <c:gapWidth val="150"/>
        <c:shape val="cylinder"/>
        <c:axId val="551109992"/>
        <c:axId val="551115480"/>
        <c:axId val="0"/>
      </c:bar3DChart>
      <c:catAx>
        <c:axId val="55110999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5480"/>
        <c:crosses val="autoZero"/>
        <c:auto val="1"/>
        <c:lblAlgn val="ctr"/>
        <c:lblOffset val="100"/>
        <c:noMultiLvlLbl val="0"/>
      </c:catAx>
      <c:valAx>
        <c:axId val="55111548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999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Conformidade'!$A$119</c:f>
              <c:strCache>
                <c:ptCount val="1"/>
                <c:pt idx="0">
                  <c:v>MA2 - Monitorar e Avaliar os Controles Internos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Conformidade'!$B$119:$G$119</c:f>
              <c:numCache>
                <c:formatCode>General</c:formatCode>
                <c:ptCount val="6"/>
                <c:pt idx="0">
                  <c:v>7</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2F86-4868-BDD5-E095E6E0A8E3}"/>
            </c:ext>
          </c:extLst>
        </c:ser>
        <c:dLbls>
          <c:showLegendKey val="0"/>
          <c:showVal val="0"/>
          <c:showCatName val="0"/>
          <c:showSerName val="0"/>
          <c:showPercent val="0"/>
          <c:showBubbleSize val="0"/>
        </c:dLbls>
        <c:gapWidth val="150"/>
        <c:shape val="cylinder"/>
        <c:axId val="551113128"/>
        <c:axId val="551110384"/>
        <c:axId val="0"/>
      </c:bar3DChart>
      <c:catAx>
        <c:axId val="55111312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0384"/>
        <c:crosses val="autoZero"/>
        <c:auto val="1"/>
        <c:lblAlgn val="ctr"/>
        <c:lblOffset val="100"/>
        <c:noMultiLvlLbl val="0"/>
      </c:catAx>
      <c:valAx>
        <c:axId val="55111038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1312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Conformidade'!$A$120</c:f>
              <c:strCache>
                <c:ptCount val="1"/>
                <c:pt idx="0">
                  <c:v>MA3 - Assegurar a Conformidade com Requisitos Externos</c:v>
                </c:pt>
              </c:strCache>
            </c:strRef>
          </c:tx>
          <c:invertIfNegative val="0"/>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Conformidade'!$B$120:$G$120</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8EE2-41BB-84B9-800A01B17BA0}"/>
            </c:ext>
          </c:extLst>
        </c:ser>
        <c:dLbls>
          <c:showLegendKey val="0"/>
          <c:showVal val="0"/>
          <c:showCatName val="0"/>
          <c:showSerName val="0"/>
          <c:showPercent val="0"/>
          <c:showBubbleSize val="0"/>
        </c:dLbls>
        <c:gapWidth val="150"/>
        <c:shape val="cylinder"/>
        <c:axId val="551108032"/>
        <c:axId val="551111168"/>
        <c:axId val="0"/>
      </c:bar3DChart>
      <c:catAx>
        <c:axId val="55110803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1168"/>
        <c:crosses val="autoZero"/>
        <c:auto val="1"/>
        <c:lblAlgn val="ctr"/>
        <c:lblOffset val="100"/>
        <c:noMultiLvlLbl val="0"/>
      </c:catAx>
      <c:valAx>
        <c:axId val="551111168"/>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803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37"/>
    </mc:Choice>
    <mc:Fallback>
      <c:style val="37"/>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Conformidade'!$A$121</c:f>
              <c:strCache>
                <c:ptCount val="1"/>
                <c:pt idx="0">
                  <c:v>MA4 - Prover a Governança de TI</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Conformidade'!$B$117:$G$117</c:f>
              <c:strCache>
                <c:ptCount val="6"/>
                <c:pt idx="0">
                  <c:v>Nível 0</c:v>
                </c:pt>
                <c:pt idx="1">
                  <c:v>Nível 1</c:v>
                </c:pt>
                <c:pt idx="2">
                  <c:v>Nível 2</c:v>
                </c:pt>
                <c:pt idx="3">
                  <c:v>Nível 3</c:v>
                </c:pt>
                <c:pt idx="4">
                  <c:v>Nível 4</c:v>
                </c:pt>
                <c:pt idx="5">
                  <c:v>Nível 5</c:v>
                </c:pt>
              </c:strCache>
            </c:strRef>
          </c:cat>
          <c:val>
            <c:numRef>
              <c:f>'Gráficos Conformidade'!$B$121:$G$121</c:f>
              <c:numCache>
                <c:formatCode>General</c:formatCode>
                <c:ptCount val="6"/>
                <c:pt idx="0">
                  <c:v>7</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B0D5-4BD6-AB0E-4CB44C33055F}"/>
            </c:ext>
          </c:extLst>
        </c:ser>
        <c:dLbls>
          <c:showLegendKey val="0"/>
          <c:showVal val="0"/>
          <c:showCatName val="0"/>
          <c:showSerName val="0"/>
          <c:showPercent val="0"/>
          <c:showBubbleSize val="0"/>
        </c:dLbls>
        <c:gapWidth val="150"/>
        <c:shape val="cylinder"/>
        <c:axId val="551115872"/>
        <c:axId val="551116264"/>
        <c:axId val="0"/>
      </c:bar3DChart>
      <c:catAx>
        <c:axId val="55111587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6264"/>
        <c:crosses val="autoZero"/>
        <c:auto val="1"/>
        <c:lblAlgn val="ctr"/>
        <c:lblOffset val="100"/>
        <c:noMultiLvlLbl val="0"/>
      </c:catAx>
      <c:valAx>
        <c:axId val="55111626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1587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Conformidade'!$A$150</c:f>
              <c:strCache>
                <c:ptCount val="1"/>
                <c:pt idx="0">
                  <c:v>DS1 - Definir e Gerenciar Níveis de Serviços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Conformidade'!$B$150:$G$150</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09E3-4B4A-A939-B34D0149453A}"/>
            </c:ext>
          </c:extLst>
        </c:ser>
        <c:dLbls>
          <c:showLegendKey val="0"/>
          <c:showVal val="0"/>
          <c:showCatName val="0"/>
          <c:showSerName val="0"/>
          <c:showPercent val="0"/>
          <c:showBubbleSize val="0"/>
        </c:dLbls>
        <c:gapWidth val="150"/>
        <c:shape val="cylinder"/>
        <c:axId val="551106072"/>
        <c:axId val="551106464"/>
        <c:axId val="0"/>
      </c:bar3DChart>
      <c:catAx>
        <c:axId val="551106072"/>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6464"/>
        <c:crosses val="autoZero"/>
        <c:auto val="1"/>
        <c:lblAlgn val="ctr"/>
        <c:lblOffset val="100"/>
        <c:noMultiLvlLbl val="0"/>
      </c:catAx>
      <c:valAx>
        <c:axId val="551106464"/>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607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Conformidade'!$A$151</c:f>
              <c:strCache>
                <c:ptCount val="1"/>
                <c:pt idx="0">
                  <c:v>DS2 - Gerenciar Serviços de Terceiros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Conformidade'!$B$151:$G$151</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9D76-456A-BFE6-3EC8279019EA}"/>
            </c:ext>
          </c:extLst>
        </c:ser>
        <c:dLbls>
          <c:showLegendKey val="0"/>
          <c:showVal val="0"/>
          <c:showCatName val="0"/>
          <c:showSerName val="0"/>
          <c:showPercent val="0"/>
          <c:showBubbleSize val="0"/>
        </c:dLbls>
        <c:gapWidth val="150"/>
        <c:shape val="cylinder"/>
        <c:axId val="551107248"/>
        <c:axId val="551111560"/>
        <c:axId val="0"/>
      </c:bar3DChart>
      <c:catAx>
        <c:axId val="551107248"/>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11560"/>
        <c:crosses val="autoZero"/>
        <c:auto val="1"/>
        <c:lblAlgn val="ctr"/>
        <c:lblOffset val="100"/>
        <c:noMultiLvlLbl val="0"/>
      </c:catAx>
      <c:valAx>
        <c:axId val="55111156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724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Conformidade'!$A$152</c:f>
              <c:strCache>
                <c:ptCount val="1"/>
                <c:pt idx="0">
                  <c:v>DS3 - Gerenciar Capacidade e Desempenho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Conformidade'!$B$152:$G$152</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8A8A-4B35-9533-B9AB5369209D}"/>
            </c:ext>
          </c:extLst>
        </c:ser>
        <c:dLbls>
          <c:showLegendKey val="0"/>
          <c:showVal val="0"/>
          <c:showCatName val="0"/>
          <c:showSerName val="0"/>
          <c:showPercent val="0"/>
          <c:showBubbleSize val="0"/>
        </c:dLbls>
        <c:gapWidth val="150"/>
        <c:shape val="cylinder"/>
        <c:axId val="551108816"/>
        <c:axId val="551107640"/>
        <c:axId val="0"/>
      </c:bar3DChart>
      <c:catAx>
        <c:axId val="55110881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51107640"/>
        <c:crosses val="autoZero"/>
        <c:auto val="1"/>
        <c:lblAlgn val="ctr"/>
        <c:lblOffset val="100"/>
        <c:noMultiLvlLbl val="0"/>
      </c:catAx>
      <c:valAx>
        <c:axId val="55110764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5110881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Conformidade'!$A$153</c:f>
              <c:strCache>
                <c:ptCount val="1"/>
                <c:pt idx="0">
                  <c:v>DS4 - Assegurar Continuidade de Serviços: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Conformidade'!$B$153:$G$153</c:f>
              <c:numCache>
                <c:formatCode>General</c:formatCode>
                <c:ptCount val="6"/>
                <c:pt idx="0">
                  <c:v>10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654C-446F-ADF6-A4CBB73415A0}"/>
            </c:ext>
          </c:extLst>
        </c:ser>
        <c:dLbls>
          <c:showLegendKey val="0"/>
          <c:showVal val="0"/>
          <c:showCatName val="0"/>
          <c:showSerName val="0"/>
          <c:showPercent val="0"/>
          <c:showBubbleSize val="0"/>
        </c:dLbls>
        <c:gapWidth val="150"/>
        <c:shape val="cylinder"/>
        <c:axId val="515571648"/>
        <c:axId val="515563024"/>
        <c:axId val="0"/>
      </c:bar3DChart>
      <c:catAx>
        <c:axId val="515571648"/>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3024"/>
        <c:crosses val="autoZero"/>
        <c:auto val="1"/>
        <c:lblAlgn val="ctr"/>
        <c:lblOffset val="100"/>
        <c:noMultiLvlLbl val="0"/>
      </c:catAx>
      <c:valAx>
        <c:axId val="515563024"/>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7164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Conformidade'!$A$154</c:f>
              <c:strCache>
                <c:ptCount val="1"/>
                <c:pt idx="0">
                  <c:v>DS5 - Assegurar a Segurança dos Serviços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Conformidade'!$B$154:$G$154</c:f>
              <c:numCache>
                <c:formatCode>General</c:formatCode>
                <c:ptCount val="6"/>
                <c:pt idx="0">
                  <c:v>11</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9B2-4411-A55E-C4202763B062}"/>
            </c:ext>
          </c:extLst>
        </c:ser>
        <c:dLbls>
          <c:showLegendKey val="0"/>
          <c:showVal val="0"/>
          <c:showCatName val="0"/>
          <c:showSerName val="0"/>
          <c:showPercent val="0"/>
          <c:showBubbleSize val="0"/>
        </c:dLbls>
        <c:gapWidth val="150"/>
        <c:shape val="cylinder"/>
        <c:axId val="515563416"/>
        <c:axId val="515559496"/>
        <c:axId val="0"/>
      </c:bar3DChart>
      <c:catAx>
        <c:axId val="51556341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15559496"/>
        <c:crosses val="autoZero"/>
        <c:auto val="1"/>
        <c:lblAlgn val="ctr"/>
        <c:lblOffset val="100"/>
        <c:noMultiLvlLbl val="0"/>
      </c:catAx>
      <c:valAx>
        <c:axId val="51555949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341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Conformidade'!$A$155</c:f>
              <c:strCache>
                <c:ptCount val="1"/>
                <c:pt idx="0">
                  <c:v>DS6 - Identificar e Alocar Custos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Conformidade'!$B$155:$G$155</c:f>
              <c:numCache>
                <c:formatCode>General</c:formatCode>
                <c:ptCount val="6"/>
                <c:pt idx="0">
                  <c:v>4</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9E20-48B8-8E42-5ACA9F9205CC}"/>
            </c:ext>
          </c:extLst>
        </c:ser>
        <c:dLbls>
          <c:showLegendKey val="0"/>
          <c:showVal val="0"/>
          <c:showCatName val="0"/>
          <c:showSerName val="0"/>
          <c:showPercent val="0"/>
          <c:showBubbleSize val="0"/>
        </c:dLbls>
        <c:gapWidth val="150"/>
        <c:shape val="cylinder"/>
        <c:axId val="515565376"/>
        <c:axId val="515566160"/>
        <c:axId val="0"/>
      </c:bar3DChart>
      <c:catAx>
        <c:axId val="515565376"/>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6160"/>
        <c:crosses val="autoZero"/>
        <c:auto val="1"/>
        <c:lblAlgn val="ctr"/>
        <c:lblOffset val="100"/>
        <c:noMultiLvlLbl val="0"/>
      </c:catAx>
      <c:valAx>
        <c:axId val="515566160"/>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537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Conformidade'!$A$156</c:f>
              <c:strCache>
                <c:ptCount val="1"/>
                <c:pt idx="0">
                  <c:v>DS7 - Educar e Treinar os Usuários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Conformidade'!$B$156:$G$156</c:f>
              <c:numCache>
                <c:formatCode>General</c:formatCode>
                <c:ptCount val="6"/>
                <c:pt idx="0">
                  <c:v>3</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7604-4D3F-95B5-CD860EB322D9}"/>
            </c:ext>
          </c:extLst>
        </c:ser>
        <c:dLbls>
          <c:showLegendKey val="0"/>
          <c:showVal val="0"/>
          <c:showCatName val="0"/>
          <c:showSerName val="0"/>
          <c:showPercent val="0"/>
          <c:showBubbleSize val="0"/>
        </c:dLbls>
        <c:gapWidth val="150"/>
        <c:shape val="cylinder"/>
        <c:axId val="515562240"/>
        <c:axId val="515566552"/>
        <c:axId val="0"/>
      </c:bar3DChart>
      <c:catAx>
        <c:axId val="515562240"/>
        <c:scaling>
          <c:orientation val="minMax"/>
        </c:scaling>
        <c:delete val="0"/>
        <c:axPos val="b"/>
        <c:title>
          <c:tx>
            <c:rich>
              <a:bodyPr/>
              <a:lstStyle/>
              <a:p>
                <a:pPr>
                  <a:defRPr/>
                </a:pPr>
                <a:r>
                  <a:rPr lang="pt-BR"/>
                  <a:t>Escala</a:t>
                </a:r>
                <a:r>
                  <a:rPr lang="pt-BR" baseline="0"/>
                  <a:t> de Maturidade</a:t>
                </a:r>
              </a:p>
            </c:rich>
          </c:tx>
          <c:overlay val="0"/>
        </c:title>
        <c:numFmt formatCode="General" sourceLinked="0"/>
        <c:majorTickMark val="none"/>
        <c:minorTickMark val="none"/>
        <c:tickLblPos val="nextTo"/>
        <c:crossAx val="515566552"/>
        <c:crosses val="autoZero"/>
        <c:auto val="1"/>
        <c:lblAlgn val="ctr"/>
        <c:lblOffset val="100"/>
        <c:noMultiLvlLbl val="0"/>
      </c:catAx>
      <c:valAx>
        <c:axId val="51556655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224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Conformidade'!$A$157</c:f>
              <c:strCache>
                <c:ptCount val="1"/>
                <c:pt idx="0">
                  <c:v>DS8 - Gerenciar a Central de Serviço e os Incidentes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Conformidade'!$B$157:$G$157</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AB46-40DA-83F8-C7E8B6F4A125}"/>
            </c:ext>
          </c:extLst>
        </c:ser>
        <c:dLbls>
          <c:showLegendKey val="0"/>
          <c:showVal val="0"/>
          <c:showCatName val="0"/>
          <c:showSerName val="0"/>
          <c:showPercent val="0"/>
          <c:showBubbleSize val="0"/>
        </c:dLbls>
        <c:gapWidth val="150"/>
        <c:shape val="cylinder"/>
        <c:axId val="515567728"/>
        <c:axId val="515569688"/>
        <c:axId val="0"/>
      </c:bar3DChart>
      <c:catAx>
        <c:axId val="515567728"/>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9688"/>
        <c:crosses val="autoZero"/>
        <c:auto val="1"/>
        <c:lblAlgn val="ctr"/>
        <c:lblOffset val="100"/>
        <c:noMultiLvlLbl val="0"/>
      </c:catAx>
      <c:valAx>
        <c:axId val="515569688"/>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772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Conformidade'!$A$158</c:f>
              <c:strCache>
                <c:ptCount val="1"/>
                <c:pt idx="0">
                  <c:v>DS9 - Gerenciar a Configuração</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Conformidade'!$B$158:$G$158</c:f>
              <c:numCache>
                <c:formatCode>General</c:formatCode>
                <c:ptCount val="6"/>
                <c:pt idx="0">
                  <c:v>3</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FFC9-4F6A-90CC-A8ECEE3110F6}"/>
            </c:ext>
          </c:extLst>
        </c:ser>
        <c:dLbls>
          <c:showLegendKey val="0"/>
          <c:showVal val="0"/>
          <c:showCatName val="0"/>
          <c:showSerName val="0"/>
          <c:showPercent val="0"/>
          <c:showBubbleSize val="0"/>
        </c:dLbls>
        <c:gapWidth val="150"/>
        <c:shape val="cylinder"/>
        <c:axId val="515570864"/>
        <c:axId val="515559888"/>
        <c:axId val="0"/>
      </c:bar3DChart>
      <c:catAx>
        <c:axId val="515570864"/>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15559888"/>
        <c:crosses val="autoZero"/>
        <c:auto val="1"/>
        <c:lblAlgn val="ctr"/>
        <c:lblOffset val="100"/>
        <c:noMultiLvlLbl val="0"/>
      </c:catAx>
      <c:valAx>
        <c:axId val="515559888"/>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70864"/>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Conformidade'!$A$159</c:f>
              <c:strCache>
                <c:ptCount val="1"/>
                <c:pt idx="0">
                  <c:v>DS10 - Gerenciar os Problemas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Conformidade'!$B$159:$G$159</c:f>
              <c:numCache>
                <c:formatCode>General</c:formatCode>
                <c:ptCount val="6"/>
                <c:pt idx="0">
                  <c:v>2</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9736-42A0-87E4-E6B88E6AE673}"/>
            </c:ext>
          </c:extLst>
        </c:ser>
        <c:dLbls>
          <c:showLegendKey val="0"/>
          <c:showVal val="0"/>
          <c:showCatName val="0"/>
          <c:showSerName val="0"/>
          <c:showPercent val="0"/>
          <c:showBubbleSize val="0"/>
        </c:dLbls>
        <c:gapWidth val="150"/>
        <c:shape val="cylinder"/>
        <c:axId val="515571256"/>
        <c:axId val="515560280"/>
        <c:axId val="0"/>
      </c:bar3DChart>
      <c:catAx>
        <c:axId val="515571256"/>
        <c:scaling>
          <c:orientation val="minMax"/>
        </c:scaling>
        <c:delete val="0"/>
        <c:axPos val="b"/>
        <c:title>
          <c:tx>
            <c:rich>
              <a:bodyPr/>
              <a:lstStyle/>
              <a:p>
                <a:pPr>
                  <a:defRPr/>
                </a:pPr>
                <a:r>
                  <a:rPr lang="pt-BR"/>
                  <a:t>Escala de Maturidade</a:t>
                </a:r>
              </a:p>
            </c:rich>
          </c:tx>
          <c:overlay val="0"/>
        </c:title>
        <c:numFmt formatCode="General" sourceLinked="0"/>
        <c:majorTickMark val="none"/>
        <c:minorTickMark val="none"/>
        <c:tickLblPos val="nextTo"/>
        <c:crossAx val="515560280"/>
        <c:crosses val="autoZero"/>
        <c:auto val="1"/>
        <c:lblAlgn val="ctr"/>
        <c:lblOffset val="100"/>
        <c:noMultiLvlLbl val="0"/>
      </c:catAx>
      <c:valAx>
        <c:axId val="515560280"/>
        <c:scaling>
          <c:orientation val="minMax"/>
        </c:scaling>
        <c:delete val="0"/>
        <c:axPos val="l"/>
        <c:majorGridlines/>
        <c:title>
          <c:tx>
            <c:rich>
              <a:bodyPr/>
              <a:lstStyle/>
              <a:p>
                <a:pPr>
                  <a:defRPr/>
                </a:pPr>
                <a:r>
                  <a:rPr lang="pt-BR"/>
                  <a:t>Objetivos de Controle</a:t>
                </a:r>
              </a:p>
            </c:rich>
          </c:tx>
          <c:overlay val="0"/>
        </c:title>
        <c:numFmt formatCode="General" sourceLinked="1"/>
        <c:majorTickMark val="out"/>
        <c:minorTickMark val="none"/>
        <c:tickLblPos val="nextTo"/>
        <c:crossAx val="51557125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Conformidade'!$A$160</c:f>
              <c:strCache>
                <c:ptCount val="1"/>
                <c:pt idx="0">
                  <c:v>DS11 - Gerenciar Dados</c:v>
                </c:pt>
              </c:strCache>
            </c:strRef>
          </c:tx>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Conformidade'!$B$160:$G$160</c:f>
              <c:numCache>
                <c:formatCode>General</c:formatCode>
                <c:ptCount val="6"/>
                <c:pt idx="0">
                  <c:v>6</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6B74-4EDE-9AF5-1AF896657505}"/>
            </c:ext>
          </c:extLst>
        </c:ser>
        <c:dLbls>
          <c:showLegendKey val="0"/>
          <c:showVal val="0"/>
          <c:showCatName val="0"/>
          <c:showSerName val="0"/>
          <c:showPercent val="0"/>
          <c:showBubbleSize val="0"/>
        </c:dLbls>
        <c:gapWidth val="150"/>
        <c:shape val="cylinder"/>
        <c:axId val="515568512"/>
        <c:axId val="515569296"/>
        <c:axId val="0"/>
      </c:bar3DChart>
      <c:catAx>
        <c:axId val="515568512"/>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69296"/>
        <c:crosses val="autoZero"/>
        <c:auto val="1"/>
        <c:lblAlgn val="ctr"/>
        <c:lblOffset val="100"/>
        <c:noMultiLvlLbl val="0"/>
      </c:catAx>
      <c:valAx>
        <c:axId val="515569296"/>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8512"/>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Conformidade'!$A$161</c:f>
              <c:strCache>
                <c:ptCount val="1"/>
                <c:pt idx="0">
                  <c:v>DS12- Gerenciar Ambiente Físico</c:v>
                </c:pt>
              </c:strCache>
            </c:strRef>
          </c:tx>
          <c:invertIfNegative val="0"/>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Conformidade'!$B$161:$G$161</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7ED3-4427-8C15-91722AFF92FA}"/>
            </c:ext>
          </c:extLst>
        </c:ser>
        <c:dLbls>
          <c:showLegendKey val="0"/>
          <c:showVal val="0"/>
          <c:showCatName val="0"/>
          <c:showSerName val="0"/>
          <c:showPercent val="0"/>
          <c:showBubbleSize val="0"/>
        </c:dLbls>
        <c:gapWidth val="150"/>
        <c:shape val="cylinder"/>
        <c:axId val="515567336"/>
        <c:axId val="515564200"/>
        <c:axId val="0"/>
      </c:bar3DChart>
      <c:catAx>
        <c:axId val="515567336"/>
        <c:scaling>
          <c:orientation val="minMax"/>
        </c:scaling>
        <c:delete val="0"/>
        <c:axPos val="b"/>
        <c:title>
          <c:tx>
            <c:rich>
              <a:bodyPr/>
              <a:lstStyle/>
              <a:p>
                <a:pPr>
                  <a:defRPr/>
                </a:pPr>
                <a:r>
                  <a:rPr lang="pt-BR"/>
                  <a:t>Título</a:t>
                </a:r>
              </a:p>
            </c:rich>
          </c:tx>
          <c:overlay val="0"/>
        </c:title>
        <c:numFmt formatCode="General" sourceLinked="0"/>
        <c:majorTickMark val="none"/>
        <c:minorTickMark val="none"/>
        <c:tickLblPos val="nextTo"/>
        <c:crossAx val="515564200"/>
        <c:crosses val="autoZero"/>
        <c:auto val="1"/>
        <c:lblAlgn val="ctr"/>
        <c:lblOffset val="100"/>
        <c:noMultiLvlLbl val="0"/>
      </c:catAx>
      <c:valAx>
        <c:axId val="515564200"/>
        <c:scaling>
          <c:orientation val="minMax"/>
        </c:scaling>
        <c:delete val="0"/>
        <c:axPos val="l"/>
        <c:majorGridlines/>
        <c:title>
          <c:tx>
            <c:rich>
              <a:bodyPr/>
              <a:lstStyle/>
              <a:p>
                <a:pPr>
                  <a:defRPr/>
                </a:pPr>
                <a:r>
                  <a:rPr lang="pt-BR"/>
                  <a:t>Objetivos</a:t>
                </a:r>
                <a:r>
                  <a:rPr lang="pt-BR" baseline="0"/>
                  <a:t> </a:t>
                </a:r>
                <a:endParaRPr lang="pt-BR"/>
              </a:p>
            </c:rich>
          </c:tx>
          <c:overlay val="0"/>
        </c:title>
        <c:numFmt formatCode="General" sourceLinked="1"/>
        <c:majorTickMark val="out"/>
        <c:minorTickMark val="none"/>
        <c:tickLblPos val="nextTo"/>
        <c:crossAx val="515567336"/>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'Gráficos Conformidade'!$A$162</c:f>
              <c:strCache>
                <c:ptCount val="1"/>
                <c:pt idx="0">
                  <c:v>DS13 - Gerenciar operações</c:v>
                </c:pt>
              </c:strCache>
            </c:strRef>
          </c:tx>
          <c:invertIfNegative val="0"/>
          <c:cat>
            <c:strRef>
              <c:f>'Gráficos Conformidade'!$B$149:$G$149</c:f>
              <c:strCache>
                <c:ptCount val="6"/>
                <c:pt idx="0">
                  <c:v>Nível 0</c:v>
                </c:pt>
                <c:pt idx="1">
                  <c:v>Nível 1</c:v>
                </c:pt>
                <c:pt idx="2">
                  <c:v>Nível 2</c:v>
                </c:pt>
                <c:pt idx="3">
                  <c:v>Nível 3</c:v>
                </c:pt>
                <c:pt idx="4">
                  <c:v>Nível 4</c:v>
                </c:pt>
                <c:pt idx="5">
                  <c:v>Nível 5</c:v>
                </c:pt>
              </c:strCache>
            </c:strRef>
          </c:cat>
          <c:val>
            <c:numRef>
              <c:f>'Gráficos Conformidade'!$B$162:$G$162</c:f>
              <c:numCache>
                <c:formatCode>General</c:formatCode>
                <c:ptCount val="6"/>
                <c:pt idx="0">
                  <c:v>5</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5478-46C3-AFA2-4FB5C68DFB7B}"/>
            </c:ext>
          </c:extLst>
        </c:ser>
        <c:dLbls>
          <c:showLegendKey val="0"/>
          <c:showVal val="0"/>
          <c:showCatName val="0"/>
          <c:showSerName val="0"/>
          <c:showPercent val="0"/>
          <c:showBubbleSize val="0"/>
        </c:dLbls>
        <c:gapWidth val="150"/>
        <c:shape val="cylinder"/>
        <c:axId val="515568120"/>
        <c:axId val="515570472"/>
        <c:axId val="0"/>
      </c:bar3DChart>
      <c:catAx>
        <c:axId val="515568120"/>
        <c:scaling>
          <c:orientation val="minMax"/>
        </c:scaling>
        <c:delete val="0"/>
        <c:axPos val="b"/>
        <c:title>
          <c:tx>
            <c:rich>
              <a:bodyPr/>
              <a:lstStyle/>
              <a:p>
                <a:pPr>
                  <a:defRPr/>
                </a:pPr>
                <a:r>
                  <a:rPr lang="pt-BR"/>
                  <a:t>Escala</a:t>
                </a:r>
                <a:r>
                  <a:rPr lang="pt-BR" baseline="0"/>
                  <a:t> de Maturidade</a:t>
                </a:r>
                <a:endParaRPr lang="pt-BR"/>
              </a:p>
            </c:rich>
          </c:tx>
          <c:overlay val="0"/>
        </c:title>
        <c:numFmt formatCode="General" sourceLinked="0"/>
        <c:majorTickMark val="none"/>
        <c:minorTickMark val="none"/>
        <c:tickLblPos val="nextTo"/>
        <c:crossAx val="515570472"/>
        <c:crosses val="autoZero"/>
        <c:auto val="1"/>
        <c:lblAlgn val="ctr"/>
        <c:lblOffset val="100"/>
        <c:noMultiLvlLbl val="0"/>
      </c:catAx>
      <c:valAx>
        <c:axId val="515570472"/>
        <c:scaling>
          <c:orientation val="minMax"/>
        </c:scaling>
        <c:delete val="0"/>
        <c:axPos val="l"/>
        <c:majorGridlines/>
        <c:title>
          <c:tx>
            <c:rich>
              <a:bodyPr/>
              <a:lstStyle/>
              <a:p>
                <a:pPr>
                  <a:defRPr/>
                </a:pPr>
                <a:r>
                  <a:rPr lang="pt-BR"/>
                  <a:t>Objetivos</a:t>
                </a:r>
                <a:r>
                  <a:rPr lang="pt-BR" baseline="0"/>
                  <a:t> de Controle</a:t>
                </a:r>
                <a:endParaRPr lang="pt-BR"/>
              </a:p>
            </c:rich>
          </c:tx>
          <c:overlay val="0"/>
        </c:title>
        <c:numFmt formatCode="General" sourceLinked="1"/>
        <c:majorTickMark val="out"/>
        <c:minorTickMark val="none"/>
        <c:tickLblPos val="nextTo"/>
        <c:crossAx val="51556812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DS - Question&#225;rio'!A1"/><Relationship Id="rId18" Type="http://schemas.openxmlformats.org/officeDocument/2006/relationships/image" Target="../media/image7.jpg"/><Relationship Id="rId3" Type="http://schemas.openxmlformats.org/officeDocument/2006/relationships/hyperlink" Target="https://www.facebook.com/up2place?fref=ts" TargetMode="External"/><Relationship Id="rId7" Type="http://schemas.openxmlformats.org/officeDocument/2006/relationships/hyperlink" Target="https://twitter.com/UP2Place" TargetMode="External"/><Relationship Id="rId12" Type="http://schemas.openxmlformats.org/officeDocument/2006/relationships/hyperlink" Target="#'AI - Question&#225;rio'!A1"/><Relationship Id="rId17" Type="http://schemas.openxmlformats.org/officeDocument/2006/relationships/hyperlink" Target="#Instru&#231;&#245;es!A1"/><Relationship Id="rId2" Type="http://schemas.openxmlformats.org/officeDocument/2006/relationships/image" Target="../media/image1.jpeg"/><Relationship Id="rId16" Type="http://schemas.openxmlformats.org/officeDocument/2006/relationships/hyperlink" Target="#'Gr&#225;ficos Maturidade'!A1"/><Relationship Id="rId20" Type="http://schemas.openxmlformats.org/officeDocument/2006/relationships/image" Target="../media/image8.jpg"/><Relationship Id="rId1" Type="http://schemas.openxmlformats.org/officeDocument/2006/relationships/hyperlink" Target="#'PO - Question&#225;rio'!A1"/><Relationship Id="rId6" Type="http://schemas.openxmlformats.org/officeDocument/2006/relationships/image" Target="../media/image3.jpeg"/><Relationship Id="rId11" Type="http://schemas.openxmlformats.org/officeDocument/2006/relationships/image" Target="../media/image6.png"/><Relationship Id="rId5" Type="http://schemas.openxmlformats.org/officeDocument/2006/relationships/hyperlink" Target="https://www.linkedin.com/company/up2place-consulting?trk=top_nav_home" TargetMode="External"/><Relationship Id="rId15" Type="http://schemas.openxmlformats.org/officeDocument/2006/relationships/hyperlink" Target="#'Gr&#225;ficos Conformidade'!A1"/><Relationship Id="rId10" Type="http://schemas.openxmlformats.org/officeDocument/2006/relationships/image" Target="../media/image5.png"/><Relationship Id="rId19" Type="http://schemas.openxmlformats.org/officeDocument/2006/relationships/hyperlink" Target="#'Framework COBIT'!A1"/><Relationship Id="rId4" Type="http://schemas.openxmlformats.org/officeDocument/2006/relationships/image" Target="../media/image2.jpg"/><Relationship Id="rId9" Type="http://schemas.openxmlformats.org/officeDocument/2006/relationships/hyperlink" Target="http://www.up2place.com.br/" TargetMode="External"/><Relationship Id="rId14" Type="http://schemas.openxmlformats.org/officeDocument/2006/relationships/hyperlink" Target="#'MA - Question&#225;rio'!A1"/></Relationships>
</file>

<file path=xl/drawings/_rels/drawing2.xml.rels><?xml version="1.0" encoding="UTF-8" standalone="yes"?>
<Relationships xmlns="http://schemas.openxmlformats.org/package/2006/relationships"><Relationship Id="rId3" Type="http://schemas.openxmlformats.org/officeDocument/2006/relationships/hyperlink" Target="#'Menu Principal (2)'!A1"/><Relationship Id="rId2" Type="http://schemas.openxmlformats.org/officeDocument/2006/relationships/image" Target="../media/image8.jp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hyperlink" Target="#'Menu Principal (2)'!A1"/></Relationships>
</file>

<file path=xl/drawings/_rels/drawing4.xml.rels><?xml version="1.0" encoding="UTF-8" standalone="yes"?>
<Relationships xmlns="http://schemas.openxmlformats.org/package/2006/relationships"><Relationship Id="rId3" Type="http://schemas.openxmlformats.org/officeDocument/2006/relationships/hyperlink" Target="#'Gr&#225;ficos Conformidade'!A1"/><Relationship Id="rId2" Type="http://schemas.openxmlformats.org/officeDocument/2006/relationships/hyperlink" Target="#'PO - Question&#225;rio'!A1"/><Relationship Id="rId1" Type="http://schemas.openxmlformats.org/officeDocument/2006/relationships/hyperlink" Target="#'Menu Principal (2)'!A1"/><Relationship Id="rId5" Type="http://schemas.openxmlformats.org/officeDocument/2006/relationships/image" Target="../media/image10.jpeg"/><Relationship Id="rId4" Type="http://schemas.openxmlformats.org/officeDocument/2006/relationships/hyperlink" Target="#'Gr&#225;ficos Maturidade'!A1"/></Relationships>
</file>

<file path=xl/drawings/_rels/drawing5.xml.rels><?xml version="1.0" encoding="UTF-8" standalone="yes"?>
<Relationships xmlns="http://schemas.openxmlformats.org/package/2006/relationships"><Relationship Id="rId3" Type="http://schemas.openxmlformats.org/officeDocument/2006/relationships/hyperlink" Target="#'PO - Question&#225;rio'!A1"/><Relationship Id="rId2" Type="http://schemas.openxmlformats.org/officeDocument/2006/relationships/hyperlink" Target="#'Menu Principal (2)'!A1"/><Relationship Id="rId1" Type="http://schemas.openxmlformats.org/officeDocument/2006/relationships/image" Target="../media/image11.jpeg"/><Relationship Id="rId5" Type="http://schemas.openxmlformats.org/officeDocument/2006/relationships/hyperlink" Target="#'Gr&#225;ficos Maturidade'!A1"/><Relationship Id="rId4" Type="http://schemas.openxmlformats.org/officeDocument/2006/relationships/hyperlink" Target="#'Gr&#225;ficos Conformidade'!A1"/></Relationships>
</file>

<file path=xl/drawings/_rels/drawing6.xml.rels><?xml version="1.0" encoding="UTF-8" standalone="yes"?>
<Relationships xmlns="http://schemas.openxmlformats.org/package/2006/relationships"><Relationship Id="rId3" Type="http://schemas.openxmlformats.org/officeDocument/2006/relationships/hyperlink" Target="#'PO - Question&#225;rio'!A1"/><Relationship Id="rId2" Type="http://schemas.openxmlformats.org/officeDocument/2006/relationships/hyperlink" Target="#'Menu Principal (2)'!A1"/><Relationship Id="rId1" Type="http://schemas.openxmlformats.org/officeDocument/2006/relationships/image" Target="../media/image11.jpeg"/><Relationship Id="rId5" Type="http://schemas.openxmlformats.org/officeDocument/2006/relationships/hyperlink" Target="#'Gr&#225;ficos Maturidade'!A1"/><Relationship Id="rId4" Type="http://schemas.openxmlformats.org/officeDocument/2006/relationships/hyperlink" Target="#'Gr&#225;ficos Conformidade'!A1"/></Relationships>
</file>

<file path=xl/drawings/_rels/drawing7.xml.rels><?xml version="1.0" encoding="UTF-8" standalone="yes"?>
<Relationships xmlns="http://schemas.openxmlformats.org/package/2006/relationships"><Relationship Id="rId3" Type="http://schemas.openxmlformats.org/officeDocument/2006/relationships/hyperlink" Target="#'PO - Question&#225;rio'!A1"/><Relationship Id="rId2" Type="http://schemas.openxmlformats.org/officeDocument/2006/relationships/hyperlink" Target="#'Menu Principal (2)'!A1"/><Relationship Id="rId1" Type="http://schemas.openxmlformats.org/officeDocument/2006/relationships/image" Target="../media/image11.jpeg"/><Relationship Id="rId5" Type="http://schemas.openxmlformats.org/officeDocument/2006/relationships/hyperlink" Target="#'Gr&#225;ficos Maturidade'!A1"/><Relationship Id="rId4" Type="http://schemas.openxmlformats.org/officeDocument/2006/relationships/hyperlink" Target="#'Gr&#225;ficos Conformidade'!A1"/></Relationships>
</file>

<file path=xl/drawings/_rels/drawing8.xml.rels><?xml version="1.0" encoding="UTF-8" standalone="yes"?>
<Relationships xmlns="http://schemas.openxmlformats.org/package/2006/relationships"><Relationship Id="rId8" Type="http://schemas.openxmlformats.org/officeDocument/2006/relationships/hyperlink" Target="#'Menu Principal (2)'!A1"/><Relationship Id="rId3" Type="http://schemas.openxmlformats.org/officeDocument/2006/relationships/chart" Target="../charts/chart3.xml"/><Relationship Id="rId7" Type="http://schemas.openxmlformats.org/officeDocument/2006/relationships/hyperlink" Target="#'PO - Question&#225;rio'!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26" Type="http://schemas.openxmlformats.org/officeDocument/2006/relationships/chart" Target="../charts/chart32.xml"/><Relationship Id="rId3" Type="http://schemas.openxmlformats.org/officeDocument/2006/relationships/chart" Target="../charts/chart9.xml"/><Relationship Id="rId21" Type="http://schemas.openxmlformats.org/officeDocument/2006/relationships/chart" Target="../charts/chart27.xml"/><Relationship Id="rId34" Type="http://schemas.openxmlformats.org/officeDocument/2006/relationships/chart" Target="../charts/chart40.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33" Type="http://schemas.openxmlformats.org/officeDocument/2006/relationships/chart" Target="../charts/chart39.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29" Type="http://schemas.openxmlformats.org/officeDocument/2006/relationships/chart" Target="../charts/chart35.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32" Type="http://schemas.openxmlformats.org/officeDocument/2006/relationships/chart" Target="../charts/chart38.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28" Type="http://schemas.openxmlformats.org/officeDocument/2006/relationships/chart" Target="../charts/chart34.xml"/><Relationship Id="rId36" Type="http://schemas.openxmlformats.org/officeDocument/2006/relationships/hyperlink" Target="#'Menu Principal (2)'!A1"/><Relationship Id="rId10" Type="http://schemas.openxmlformats.org/officeDocument/2006/relationships/chart" Target="../charts/chart16.xml"/><Relationship Id="rId19" Type="http://schemas.openxmlformats.org/officeDocument/2006/relationships/chart" Target="../charts/chart25.xml"/><Relationship Id="rId31" Type="http://schemas.openxmlformats.org/officeDocument/2006/relationships/chart" Target="../charts/chart37.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 Id="rId27" Type="http://schemas.openxmlformats.org/officeDocument/2006/relationships/chart" Target="../charts/chart33.xml"/><Relationship Id="rId30" Type="http://schemas.openxmlformats.org/officeDocument/2006/relationships/chart" Target="../charts/chart36.xml"/><Relationship Id="rId35" Type="http://schemas.openxmlformats.org/officeDocument/2006/relationships/hyperlink" Target="#'PO - Question&#225;rio'!A1"/></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219076</xdr:colOff>
      <xdr:row>5</xdr:row>
      <xdr:rowOff>133350</xdr:rowOff>
    </xdr:from>
    <xdr:to>
      <xdr:col>11</xdr:col>
      <xdr:colOff>257175</xdr:colOff>
      <xdr:row>8</xdr:row>
      <xdr:rowOff>19050</xdr:rowOff>
    </xdr:to>
    <xdr:grpSp>
      <xdr:nvGrpSpPr>
        <xdr:cNvPr id="2" name="Grupo 1"/>
        <xdr:cNvGrpSpPr/>
      </xdr:nvGrpSpPr>
      <xdr:grpSpPr>
        <a:xfrm>
          <a:off x="2047876" y="1162050"/>
          <a:ext cx="4914899" cy="457200"/>
          <a:chOff x="-1" y="18"/>
          <a:chExt cx="6086477" cy="762622"/>
        </a:xfrm>
        <a:solidFill>
          <a:schemeClr val="tx2">
            <a:lumMod val="75000"/>
          </a:schemeClr>
        </a:solidFill>
      </xdr:grpSpPr>
      <xdr:sp macro="" textlink="">
        <xdr:nvSpPr>
          <xdr:cNvPr id="3" name="Pentágono 2">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 name="Pentágono 4">
            <a:hlinkClick xmlns:r="http://schemas.openxmlformats.org/officeDocument/2006/relationships" r:id="rId1"/>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Planejar e Organizar</a:t>
            </a:r>
          </a:p>
        </xdr:txBody>
      </xdr:sp>
    </xdr:grpSp>
    <xdr:clientData/>
  </xdr:twoCellAnchor>
  <xdr:twoCellAnchor>
    <xdr:from>
      <xdr:col>3</xdr:col>
      <xdr:colOff>76200</xdr:colOff>
      <xdr:row>5</xdr:row>
      <xdr:rowOff>76200</xdr:rowOff>
    </xdr:from>
    <xdr:to>
      <xdr:col>4</xdr:col>
      <xdr:colOff>28575</xdr:colOff>
      <xdr:row>8</xdr:row>
      <xdr:rowOff>19051</xdr:rowOff>
    </xdr:to>
    <xdr:sp macro="" textlink="">
      <xdr:nvSpPr>
        <xdr:cNvPr id="5" name="Elipse 4"/>
        <xdr:cNvSpPr/>
      </xdr:nvSpPr>
      <xdr:spPr>
        <a:xfrm>
          <a:off x="1905000" y="1104900"/>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95250</xdr:colOff>
      <xdr:row>0</xdr:row>
      <xdr:rowOff>47626</xdr:rowOff>
    </xdr:from>
    <xdr:to>
      <xdr:col>15</xdr:col>
      <xdr:colOff>228600</xdr:colOff>
      <xdr:row>4</xdr:row>
      <xdr:rowOff>19050</xdr:rowOff>
    </xdr:to>
    <xdr:sp macro="" textlink="">
      <xdr:nvSpPr>
        <xdr:cNvPr id="22" name="Retângulo 21"/>
        <xdr:cNvSpPr/>
      </xdr:nvSpPr>
      <xdr:spPr>
        <a:xfrm>
          <a:off x="1924050" y="47626"/>
          <a:ext cx="7448550" cy="809624"/>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800"/>
            <a:t>Avaliação do Nível de Maturidade de TI</a:t>
          </a:r>
        </a:p>
      </xdr:txBody>
    </xdr:sp>
    <xdr:clientData/>
  </xdr:twoCellAnchor>
  <xdr:twoCellAnchor editAs="oneCell">
    <xdr:from>
      <xdr:col>13</xdr:col>
      <xdr:colOff>266700</xdr:colOff>
      <xdr:row>20</xdr:row>
      <xdr:rowOff>47625</xdr:rowOff>
    </xdr:from>
    <xdr:to>
      <xdr:col>14</xdr:col>
      <xdr:colOff>292658</xdr:colOff>
      <xdr:row>22</xdr:row>
      <xdr:rowOff>85725</xdr:rowOff>
    </xdr:to>
    <xdr:pic>
      <xdr:nvPicPr>
        <xdr:cNvPr id="23" name="Imagem 22">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91500" y="3933825"/>
          <a:ext cx="635558" cy="419100"/>
        </a:xfrm>
        <a:prstGeom prst="rect">
          <a:avLst/>
        </a:prstGeom>
      </xdr:spPr>
    </xdr:pic>
    <xdr:clientData/>
  </xdr:twoCellAnchor>
  <xdr:twoCellAnchor editAs="oneCell">
    <xdr:from>
      <xdr:col>13</xdr:col>
      <xdr:colOff>381000</xdr:colOff>
      <xdr:row>23</xdr:row>
      <xdr:rowOff>38099</xdr:rowOff>
    </xdr:from>
    <xdr:to>
      <xdr:col>14</xdr:col>
      <xdr:colOff>180975</xdr:colOff>
      <xdr:row>25</xdr:row>
      <xdr:rowOff>66674</xdr:rowOff>
    </xdr:to>
    <xdr:pic>
      <xdr:nvPicPr>
        <xdr:cNvPr id="24" name="Imagem 23">
          <a:hlinkClick xmlns:r="http://schemas.openxmlformats.org/officeDocument/2006/relationships" r:id="rId5"/>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305800" y="4495799"/>
          <a:ext cx="409575" cy="409575"/>
        </a:xfrm>
        <a:prstGeom prst="rect">
          <a:avLst/>
        </a:prstGeom>
      </xdr:spPr>
    </xdr:pic>
    <xdr:clientData/>
  </xdr:twoCellAnchor>
  <xdr:twoCellAnchor editAs="oneCell">
    <xdr:from>
      <xdr:col>13</xdr:col>
      <xdr:colOff>381000</xdr:colOff>
      <xdr:row>26</xdr:row>
      <xdr:rowOff>9525</xdr:rowOff>
    </xdr:from>
    <xdr:to>
      <xdr:col>14</xdr:col>
      <xdr:colOff>200025</xdr:colOff>
      <xdr:row>28</xdr:row>
      <xdr:rowOff>57150</xdr:rowOff>
    </xdr:to>
    <xdr:pic>
      <xdr:nvPicPr>
        <xdr:cNvPr id="25" name="Imagem 24">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05800" y="5038725"/>
          <a:ext cx="428625" cy="428625"/>
        </a:xfrm>
        <a:prstGeom prst="rect">
          <a:avLst/>
        </a:prstGeom>
      </xdr:spPr>
    </xdr:pic>
    <xdr:clientData/>
  </xdr:twoCellAnchor>
  <xdr:oneCellAnchor>
    <xdr:from>
      <xdr:col>3</xdr:col>
      <xdr:colOff>180976</xdr:colOff>
      <xdr:row>20</xdr:row>
      <xdr:rowOff>9525</xdr:rowOff>
    </xdr:from>
    <xdr:ext cx="4991099" cy="2033762"/>
    <xdr:sp macro="" textlink="">
      <xdr:nvSpPr>
        <xdr:cNvPr id="26" name="CaixaDeTexto 25"/>
        <xdr:cNvSpPr txBox="1"/>
      </xdr:nvSpPr>
      <xdr:spPr>
        <a:xfrm>
          <a:off x="2009776" y="3895725"/>
          <a:ext cx="4991099" cy="2033762"/>
        </a:xfrm>
        <a:prstGeom prst="rect">
          <a:avLst/>
        </a:prstGeom>
        <a:solidFill>
          <a:schemeClr val="tx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200" b="1">
              <a:solidFill>
                <a:schemeClr val="bg1"/>
              </a:solidFill>
            </a:rPr>
            <a:t>QUEM SOMOS:</a:t>
          </a:r>
        </a:p>
        <a:p>
          <a:endParaRPr lang="pt-BR" b="1">
            <a:solidFill>
              <a:schemeClr val="bg1"/>
            </a:solidFill>
          </a:endParaRPr>
        </a:p>
        <a:p>
          <a:r>
            <a:rPr lang="pt-BR" b="1">
              <a:solidFill>
                <a:schemeClr val="bg1"/>
              </a:solidFill>
            </a:rPr>
            <a:t>Conectamos as necessidades de negócios utilizando as novas metodologias com a potencialidade das novas tecnologias.</a:t>
          </a:r>
        </a:p>
        <a:p>
          <a:endParaRPr lang="pt-BR" b="1">
            <a:solidFill>
              <a:schemeClr val="bg1"/>
            </a:solidFill>
          </a:endParaRPr>
        </a:p>
        <a:p>
          <a:r>
            <a:rPr lang="pt-BR" b="1">
              <a:solidFill>
                <a:schemeClr val="bg1"/>
              </a:solidFill>
            </a:rPr>
            <a:t>Com a experiência dos seus sócios fundadores a UP2Place diferencia-se através do conhecimento de processos e tecnologias, aliadas aos novos métodos e modelos de negócios.</a:t>
          </a:r>
        </a:p>
        <a:p>
          <a:endParaRPr lang="pt-BR" b="1">
            <a:solidFill>
              <a:schemeClr val="bg1"/>
            </a:solidFill>
          </a:endParaRPr>
        </a:p>
        <a:p>
          <a:r>
            <a:rPr lang="pt-BR" b="1">
              <a:solidFill>
                <a:schemeClr val="bg1"/>
              </a:solidFill>
            </a:rPr>
            <a:t>Nosso propósito é ajudar os nossos clientes a identificarem suas dificuldades e </a:t>
          </a:r>
        </a:p>
        <a:p>
          <a:r>
            <a:rPr lang="pt-BR" b="1">
              <a:solidFill>
                <a:schemeClr val="bg1"/>
              </a:solidFill>
            </a:rPr>
            <a:t>oportunidades através de um olhar pragmático.</a:t>
          </a:r>
        </a:p>
      </xdr:txBody>
    </xdr:sp>
    <xdr:clientData/>
  </xdr:oneCellAnchor>
  <xdr:twoCellAnchor editAs="oneCell">
    <xdr:from>
      <xdr:col>12</xdr:col>
      <xdr:colOff>285750</xdr:colOff>
      <xdr:row>28</xdr:row>
      <xdr:rowOff>19050</xdr:rowOff>
    </xdr:from>
    <xdr:to>
      <xdr:col>15</xdr:col>
      <xdr:colOff>276225</xdr:colOff>
      <xdr:row>30</xdr:row>
      <xdr:rowOff>119623</xdr:rowOff>
    </xdr:to>
    <xdr:pic>
      <xdr:nvPicPr>
        <xdr:cNvPr id="27" name="Imagem 26">
          <a:hlinkClick xmlns:r="http://schemas.openxmlformats.org/officeDocument/2006/relationships" r:id="rId9"/>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00950" y="5429250"/>
          <a:ext cx="1819275" cy="481573"/>
        </a:xfrm>
        <a:prstGeom prst="rect">
          <a:avLst/>
        </a:prstGeom>
      </xdr:spPr>
    </xdr:pic>
    <xdr:clientData/>
  </xdr:twoCellAnchor>
  <xdr:twoCellAnchor editAs="oneCell">
    <xdr:from>
      <xdr:col>1</xdr:col>
      <xdr:colOff>257176</xdr:colOff>
      <xdr:row>0</xdr:row>
      <xdr:rowOff>28575</xdr:rowOff>
    </xdr:from>
    <xdr:to>
      <xdr:col>2</xdr:col>
      <xdr:colOff>542925</xdr:colOff>
      <xdr:row>4</xdr:row>
      <xdr:rowOff>85724</xdr:rowOff>
    </xdr:to>
    <xdr:pic>
      <xdr:nvPicPr>
        <xdr:cNvPr id="28" name="Imagem 27">
          <a:hlinkClick xmlns:r="http://schemas.openxmlformats.org/officeDocument/2006/relationships" r:id="rId9"/>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6776" y="28575"/>
          <a:ext cx="895349" cy="895349"/>
        </a:xfrm>
        <a:prstGeom prst="rect">
          <a:avLst/>
        </a:prstGeom>
      </xdr:spPr>
    </xdr:pic>
    <xdr:clientData/>
  </xdr:twoCellAnchor>
  <xdr:twoCellAnchor>
    <xdr:from>
      <xdr:col>3</xdr:col>
      <xdr:colOff>219076</xdr:colOff>
      <xdr:row>8</xdr:row>
      <xdr:rowOff>76200</xdr:rowOff>
    </xdr:from>
    <xdr:to>
      <xdr:col>11</xdr:col>
      <xdr:colOff>257175</xdr:colOff>
      <xdr:row>10</xdr:row>
      <xdr:rowOff>152400</xdr:rowOff>
    </xdr:to>
    <xdr:grpSp>
      <xdr:nvGrpSpPr>
        <xdr:cNvPr id="29" name="Grupo 28"/>
        <xdr:cNvGrpSpPr/>
      </xdr:nvGrpSpPr>
      <xdr:grpSpPr>
        <a:xfrm>
          <a:off x="2047876" y="1676400"/>
          <a:ext cx="4914899" cy="457200"/>
          <a:chOff x="-1" y="18"/>
          <a:chExt cx="6086477" cy="762622"/>
        </a:xfrm>
        <a:solidFill>
          <a:schemeClr val="tx2">
            <a:lumMod val="75000"/>
          </a:schemeClr>
        </a:solidFill>
      </xdr:grpSpPr>
      <xdr:sp macro="" textlink="">
        <xdr:nvSpPr>
          <xdr:cNvPr id="30" name="Pentágono 29">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1" name="Pentágono 4">
            <a:hlinkClick xmlns:r="http://schemas.openxmlformats.org/officeDocument/2006/relationships" r:id="rId12"/>
          </xdr:cNvPr>
          <xdr:cNvSpPr/>
        </xdr:nvSpPr>
        <xdr:spPr>
          <a:xfrm rot="21600000">
            <a:off x="190654" y="18"/>
            <a:ext cx="5895822" cy="762622"/>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Adquirir</a:t>
            </a:r>
            <a:r>
              <a:rPr lang="pt-BR" sz="2800" kern="1200" baseline="0"/>
              <a:t> e Implementar</a:t>
            </a:r>
            <a:endParaRPr lang="pt-BR" sz="2800" kern="1200"/>
          </a:p>
        </xdr:txBody>
      </xdr:sp>
    </xdr:grpSp>
    <xdr:clientData/>
  </xdr:twoCellAnchor>
  <xdr:twoCellAnchor>
    <xdr:from>
      <xdr:col>3</xdr:col>
      <xdr:colOff>76200</xdr:colOff>
      <xdr:row>8</xdr:row>
      <xdr:rowOff>19050</xdr:rowOff>
    </xdr:from>
    <xdr:to>
      <xdr:col>4</xdr:col>
      <xdr:colOff>28575</xdr:colOff>
      <xdr:row>10</xdr:row>
      <xdr:rowOff>152401</xdr:rowOff>
    </xdr:to>
    <xdr:sp macro="" textlink="">
      <xdr:nvSpPr>
        <xdr:cNvPr id="32" name="Elipse 31"/>
        <xdr:cNvSpPr/>
      </xdr:nvSpPr>
      <xdr:spPr>
        <a:xfrm>
          <a:off x="1905000" y="1619250"/>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228601</xdr:colOff>
      <xdr:row>11</xdr:row>
      <xdr:rowOff>9525</xdr:rowOff>
    </xdr:from>
    <xdr:to>
      <xdr:col>11</xdr:col>
      <xdr:colOff>266700</xdr:colOff>
      <xdr:row>13</xdr:row>
      <xdr:rowOff>85725</xdr:rowOff>
    </xdr:to>
    <xdr:grpSp>
      <xdr:nvGrpSpPr>
        <xdr:cNvPr id="33" name="Grupo 32"/>
        <xdr:cNvGrpSpPr/>
      </xdr:nvGrpSpPr>
      <xdr:grpSpPr>
        <a:xfrm>
          <a:off x="2057401" y="2181225"/>
          <a:ext cx="4914899" cy="457200"/>
          <a:chOff x="-1" y="18"/>
          <a:chExt cx="6086477" cy="762622"/>
        </a:xfrm>
        <a:solidFill>
          <a:schemeClr val="accent1"/>
        </a:solidFill>
      </xdr:grpSpPr>
      <xdr:sp macro="" textlink="">
        <xdr:nvSpPr>
          <xdr:cNvPr id="34" name="Pentágono 33">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5" name="Pentágono 4">
            <a:hlinkClick xmlns:r="http://schemas.openxmlformats.org/officeDocument/2006/relationships" r:id="rId13"/>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Entregar e Suportar</a:t>
            </a:r>
          </a:p>
        </xdr:txBody>
      </xdr:sp>
    </xdr:grpSp>
    <xdr:clientData/>
  </xdr:twoCellAnchor>
  <xdr:twoCellAnchor>
    <xdr:from>
      <xdr:col>3</xdr:col>
      <xdr:colOff>85725</xdr:colOff>
      <xdr:row>10</xdr:row>
      <xdr:rowOff>142875</xdr:rowOff>
    </xdr:from>
    <xdr:to>
      <xdr:col>4</xdr:col>
      <xdr:colOff>38100</xdr:colOff>
      <xdr:row>13</xdr:row>
      <xdr:rowOff>85726</xdr:rowOff>
    </xdr:to>
    <xdr:sp macro="" textlink="">
      <xdr:nvSpPr>
        <xdr:cNvPr id="36" name="Elipse 35"/>
        <xdr:cNvSpPr/>
      </xdr:nvSpPr>
      <xdr:spPr>
        <a:xfrm>
          <a:off x="1914525" y="2124075"/>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238126</xdr:colOff>
      <xdr:row>13</xdr:row>
      <xdr:rowOff>133350</xdr:rowOff>
    </xdr:from>
    <xdr:to>
      <xdr:col>11</xdr:col>
      <xdr:colOff>276225</xdr:colOff>
      <xdr:row>16</xdr:row>
      <xdr:rowOff>19050</xdr:rowOff>
    </xdr:to>
    <xdr:grpSp>
      <xdr:nvGrpSpPr>
        <xdr:cNvPr id="37" name="Grupo 36"/>
        <xdr:cNvGrpSpPr/>
      </xdr:nvGrpSpPr>
      <xdr:grpSpPr>
        <a:xfrm>
          <a:off x="2066926" y="2686050"/>
          <a:ext cx="4914899" cy="457200"/>
          <a:chOff x="-1" y="18"/>
          <a:chExt cx="6086477" cy="762622"/>
        </a:xfrm>
        <a:solidFill>
          <a:schemeClr val="tx2">
            <a:lumMod val="60000"/>
            <a:lumOff val="40000"/>
          </a:schemeClr>
        </a:solidFill>
      </xdr:grpSpPr>
      <xdr:sp macro="" textlink="">
        <xdr:nvSpPr>
          <xdr:cNvPr id="38" name="Pentágono 37">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9" name="Pentágono 4">
            <a:hlinkClick xmlns:r="http://schemas.openxmlformats.org/officeDocument/2006/relationships" r:id="rId1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Monitorar e Avaliar</a:t>
            </a:r>
          </a:p>
        </xdr:txBody>
      </xdr:sp>
    </xdr:grpSp>
    <xdr:clientData/>
  </xdr:twoCellAnchor>
  <xdr:twoCellAnchor>
    <xdr:from>
      <xdr:col>3</xdr:col>
      <xdr:colOff>95250</xdr:colOff>
      <xdr:row>13</xdr:row>
      <xdr:rowOff>76200</xdr:rowOff>
    </xdr:from>
    <xdr:to>
      <xdr:col>4</xdr:col>
      <xdr:colOff>47625</xdr:colOff>
      <xdr:row>16</xdr:row>
      <xdr:rowOff>19051</xdr:rowOff>
    </xdr:to>
    <xdr:sp macro="" textlink="">
      <xdr:nvSpPr>
        <xdr:cNvPr id="40" name="Elipse 39"/>
        <xdr:cNvSpPr/>
      </xdr:nvSpPr>
      <xdr:spPr>
        <a:xfrm>
          <a:off x="1924050" y="2628900"/>
          <a:ext cx="561975" cy="514351"/>
        </a:xfrm>
        <a:prstGeom prst="ellipse">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3</xdr:col>
      <xdr:colOff>247652</xdr:colOff>
      <xdr:row>16</xdr:row>
      <xdr:rowOff>76200</xdr:rowOff>
    </xdr:from>
    <xdr:to>
      <xdr:col>7</xdr:col>
      <xdr:colOff>142876</xdr:colOff>
      <xdr:row>19</xdr:row>
      <xdr:rowOff>133350</xdr:rowOff>
    </xdr:to>
    <xdr:grpSp>
      <xdr:nvGrpSpPr>
        <xdr:cNvPr id="41" name="Grupo 40"/>
        <xdr:cNvGrpSpPr/>
      </xdr:nvGrpSpPr>
      <xdr:grpSpPr>
        <a:xfrm>
          <a:off x="2076452" y="3200400"/>
          <a:ext cx="2333624" cy="628650"/>
          <a:chOff x="-1" y="18"/>
          <a:chExt cx="6086477" cy="762622"/>
        </a:xfrm>
        <a:solidFill>
          <a:srgbClr val="C00000"/>
        </a:solidFill>
      </xdr:grpSpPr>
      <xdr:sp macro="" textlink="">
        <xdr:nvSpPr>
          <xdr:cNvPr id="42" name="Pentágono 41">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3" name="Pentágono 4">
            <a:hlinkClick xmlns:r="http://schemas.openxmlformats.org/officeDocument/2006/relationships" r:id="rId1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1800" kern="1200"/>
              <a:t>Gráficos Conformidade</a:t>
            </a:r>
          </a:p>
        </xdr:txBody>
      </xdr:sp>
    </xdr:grpSp>
    <xdr:clientData/>
  </xdr:twoCellAnchor>
  <xdr:twoCellAnchor>
    <xdr:from>
      <xdr:col>7</xdr:col>
      <xdr:colOff>381000</xdr:colOff>
      <xdr:row>16</xdr:row>
      <xdr:rowOff>85725</xdr:rowOff>
    </xdr:from>
    <xdr:to>
      <xdr:col>11</xdr:col>
      <xdr:colOff>276224</xdr:colOff>
      <xdr:row>19</xdr:row>
      <xdr:rowOff>142875</xdr:rowOff>
    </xdr:to>
    <xdr:grpSp>
      <xdr:nvGrpSpPr>
        <xdr:cNvPr id="48" name="Grupo 47"/>
        <xdr:cNvGrpSpPr/>
      </xdr:nvGrpSpPr>
      <xdr:grpSpPr>
        <a:xfrm>
          <a:off x="4648200" y="3209925"/>
          <a:ext cx="2333624" cy="628650"/>
          <a:chOff x="-1" y="18"/>
          <a:chExt cx="6086477" cy="762622"/>
        </a:xfrm>
        <a:solidFill>
          <a:srgbClr val="C00000"/>
        </a:solidFill>
      </xdr:grpSpPr>
      <xdr:sp macro="" textlink="">
        <xdr:nvSpPr>
          <xdr:cNvPr id="49" name="Pentágono 48">
            <a:hlinkClick xmlns:r="http://schemas.openxmlformats.org/officeDocument/2006/relationships" r:id="rId1"/>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50" name="Pentágono 4">
            <a:hlinkClick xmlns:r="http://schemas.openxmlformats.org/officeDocument/2006/relationships" r:id="rId16"/>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1800" kern="1200"/>
              <a:t>Gráficos Maturidade</a:t>
            </a:r>
          </a:p>
        </xdr:txBody>
      </xdr:sp>
    </xdr:grpSp>
    <xdr:clientData/>
  </xdr:twoCellAnchor>
  <xdr:twoCellAnchor>
    <xdr:from>
      <xdr:col>10</xdr:col>
      <xdr:colOff>438150</xdr:colOff>
      <xdr:row>6</xdr:row>
      <xdr:rowOff>104774</xdr:rowOff>
    </xdr:from>
    <xdr:to>
      <xdr:col>11</xdr:col>
      <xdr:colOff>28575</xdr:colOff>
      <xdr:row>7</xdr:row>
      <xdr:rowOff>103631</xdr:rowOff>
    </xdr:to>
    <xdr:sp macro="" textlink="">
      <xdr:nvSpPr>
        <xdr:cNvPr id="51" name="Divisa 50">
          <a:hlinkClick xmlns:r="http://schemas.openxmlformats.org/officeDocument/2006/relationships" r:id="rId1"/>
        </xdr:cNvPr>
        <xdr:cNvSpPr/>
      </xdr:nvSpPr>
      <xdr:spPr>
        <a:xfrm>
          <a:off x="6534150" y="1323974"/>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457200</xdr:colOff>
      <xdr:row>9</xdr:row>
      <xdr:rowOff>19049</xdr:rowOff>
    </xdr:from>
    <xdr:to>
      <xdr:col>11</xdr:col>
      <xdr:colOff>47625</xdr:colOff>
      <xdr:row>10</xdr:row>
      <xdr:rowOff>17906</xdr:rowOff>
    </xdr:to>
    <xdr:sp macro="" textlink="">
      <xdr:nvSpPr>
        <xdr:cNvPr id="52" name="Divisa 51">
          <a:hlinkClick xmlns:r="http://schemas.openxmlformats.org/officeDocument/2006/relationships" r:id="rId12"/>
        </xdr:cNvPr>
        <xdr:cNvSpPr/>
      </xdr:nvSpPr>
      <xdr:spPr>
        <a:xfrm>
          <a:off x="6553200" y="180974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447675</xdr:colOff>
      <xdr:row>11</xdr:row>
      <xdr:rowOff>142874</xdr:rowOff>
    </xdr:from>
    <xdr:to>
      <xdr:col>11</xdr:col>
      <xdr:colOff>38100</xdr:colOff>
      <xdr:row>12</xdr:row>
      <xdr:rowOff>141731</xdr:rowOff>
    </xdr:to>
    <xdr:sp macro="" textlink="">
      <xdr:nvSpPr>
        <xdr:cNvPr id="53" name="Divisa 52">
          <a:hlinkClick xmlns:r="http://schemas.openxmlformats.org/officeDocument/2006/relationships" r:id="rId13"/>
        </xdr:cNvPr>
        <xdr:cNvSpPr/>
      </xdr:nvSpPr>
      <xdr:spPr>
        <a:xfrm>
          <a:off x="6543675" y="2314574"/>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466725</xdr:colOff>
      <xdr:row>14</xdr:row>
      <xdr:rowOff>57149</xdr:rowOff>
    </xdr:from>
    <xdr:to>
      <xdr:col>11</xdr:col>
      <xdr:colOff>57150</xdr:colOff>
      <xdr:row>15</xdr:row>
      <xdr:rowOff>56006</xdr:rowOff>
    </xdr:to>
    <xdr:sp macro="" textlink="">
      <xdr:nvSpPr>
        <xdr:cNvPr id="54" name="Divisa 53">
          <a:hlinkClick xmlns:r="http://schemas.openxmlformats.org/officeDocument/2006/relationships" r:id="rId14"/>
        </xdr:cNvPr>
        <xdr:cNvSpPr/>
      </xdr:nvSpPr>
      <xdr:spPr>
        <a:xfrm>
          <a:off x="6562725" y="280034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10</xdr:col>
      <xdr:colOff>476250</xdr:colOff>
      <xdr:row>17</xdr:row>
      <xdr:rowOff>114299</xdr:rowOff>
    </xdr:from>
    <xdr:to>
      <xdr:col>11</xdr:col>
      <xdr:colOff>66675</xdr:colOff>
      <xdr:row>18</xdr:row>
      <xdr:rowOff>113156</xdr:rowOff>
    </xdr:to>
    <xdr:sp macro="" textlink="">
      <xdr:nvSpPr>
        <xdr:cNvPr id="55" name="Divisa 54">
          <a:hlinkClick xmlns:r="http://schemas.openxmlformats.org/officeDocument/2006/relationships" r:id="rId16"/>
        </xdr:cNvPr>
        <xdr:cNvSpPr/>
      </xdr:nvSpPr>
      <xdr:spPr>
        <a:xfrm>
          <a:off x="6572250" y="342899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6</xdr:col>
      <xdr:colOff>381000</xdr:colOff>
      <xdr:row>17</xdr:row>
      <xdr:rowOff>95249</xdr:rowOff>
    </xdr:from>
    <xdr:to>
      <xdr:col>6</xdr:col>
      <xdr:colOff>581025</xdr:colOff>
      <xdr:row>18</xdr:row>
      <xdr:rowOff>94106</xdr:rowOff>
    </xdr:to>
    <xdr:sp macro="" textlink="">
      <xdr:nvSpPr>
        <xdr:cNvPr id="56" name="Divisa 55">
          <a:hlinkClick xmlns:r="http://schemas.openxmlformats.org/officeDocument/2006/relationships" r:id="rId15"/>
        </xdr:cNvPr>
        <xdr:cNvSpPr/>
      </xdr:nvSpPr>
      <xdr:spPr>
        <a:xfrm>
          <a:off x="4038600" y="3409949"/>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12</xdr:col>
      <xdr:colOff>219076</xdr:colOff>
      <xdr:row>4</xdr:row>
      <xdr:rowOff>180974</xdr:rowOff>
    </xdr:from>
    <xdr:to>
      <xdr:col>15</xdr:col>
      <xdr:colOff>171451</xdr:colOff>
      <xdr:row>14</xdr:row>
      <xdr:rowOff>57149</xdr:rowOff>
    </xdr:to>
    <xdr:grpSp>
      <xdr:nvGrpSpPr>
        <xdr:cNvPr id="9" name="Grupo 8">
          <a:hlinkClick xmlns:r="http://schemas.openxmlformats.org/officeDocument/2006/relationships" r:id="rId17"/>
        </xdr:cNvPr>
        <xdr:cNvGrpSpPr/>
      </xdr:nvGrpSpPr>
      <xdr:grpSpPr>
        <a:xfrm>
          <a:off x="7534276" y="1019174"/>
          <a:ext cx="1781175" cy="1781175"/>
          <a:chOff x="7534276" y="1019174"/>
          <a:chExt cx="1781175" cy="1781175"/>
        </a:xfrm>
      </xdr:grpSpPr>
      <xdr:pic>
        <xdr:nvPicPr>
          <xdr:cNvPr id="45" name="Imagem 44"/>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534276" y="1019174"/>
            <a:ext cx="1781175" cy="1781175"/>
          </a:xfrm>
          <a:prstGeom prst="rect">
            <a:avLst/>
          </a:prstGeom>
        </xdr:spPr>
      </xdr:pic>
      <xdr:sp macro="" textlink="">
        <xdr:nvSpPr>
          <xdr:cNvPr id="46" name="Retângulo 45"/>
          <xdr:cNvSpPr/>
        </xdr:nvSpPr>
        <xdr:spPr>
          <a:xfrm>
            <a:off x="7905750" y="2476500"/>
            <a:ext cx="1200150" cy="276225"/>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pt-BR" sz="1400" b="1"/>
              <a:t>Instruções</a:t>
            </a:r>
          </a:p>
        </xdr:txBody>
      </xdr:sp>
    </xdr:grpSp>
    <xdr:clientData/>
  </xdr:twoCellAnchor>
  <xdr:twoCellAnchor>
    <xdr:from>
      <xdr:col>12</xdr:col>
      <xdr:colOff>600075</xdr:colOff>
      <xdr:row>14</xdr:row>
      <xdr:rowOff>140170</xdr:rowOff>
    </xdr:from>
    <xdr:to>
      <xdr:col>14</xdr:col>
      <xdr:colOff>581025</xdr:colOff>
      <xdr:row>19</xdr:row>
      <xdr:rowOff>114300</xdr:rowOff>
    </xdr:to>
    <xdr:grpSp>
      <xdr:nvGrpSpPr>
        <xdr:cNvPr id="7" name="Grupo 6"/>
        <xdr:cNvGrpSpPr/>
      </xdr:nvGrpSpPr>
      <xdr:grpSpPr>
        <a:xfrm>
          <a:off x="7915275" y="2883370"/>
          <a:ext cx="1200150" cy="926630"/>
          <a:chOff x="7915275" y="2883370"/>
          <a:chExt cx="1200150" cy="926630"/>
        </a:xfrm>
      </xdr:grpSpPr>
      <xdr:pic>
        <xdr:nvPicPr>
          <xdr:cNvPr id="6" name="Imagem 5">
            <a:hlinkClick xmlns:r="http://schemas.openxmlformats.org/officeDocument/2006/relationships" r:id="rId19"/>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943850" y="2883370"/>
            <a:ext cx="1152525" cy="926630"/>
          </a:xfrm>
          <a:prstGeom prst="rect">
            <a:avLst/>
          </a:prstGeom>
        </xdr:spPr>
      </xdr:pic>
      <xdr:sp macro="" textlink="">
        <xdr:nvSpPr>
          <xdr:cNvPr id="44" name="Retângulo 43">
            <a:hlinkClick xmlns:r="http://schemas.openxmlformats.org/officeDocument/2006/relationships" r:id="rId19"/>
          </xdr:cNvPr>
          <xdr:cNvSpPr/>
        </xdr:nvSpPr>
        <xdr:spPr>
          <a:xfrm>
            <a:off x="7915275" y="3524250"/>
            <a:ext cx="1200150" cy="276225"/>
          </a:xfrm>
          <a:prstGeom prst="rect">
            <a:avLst/>
          </a:prstGeom>
          <a:solidFill>
            <a:schemeClr val="tx2"/>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pt-BR" sz="1400" b="1"/>
              <a:t>Framework</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228600</xdr:colOff>
      <xdr:row>0</xdr:row>
      <xdr:rowOff>104775</xdr:rowOff>
    </xdr:from>
    <xdr:to>
      <xdr:col>18</xdr:col>
      <xdr:colOff>504825</xdr:colOff>
      <xdr:row>30</xdr:row>
      <xdr:rowOff>171450</xdr:rowOff>
    </xdr:to>
    <xdr:pic>
      <xdr:nvPicPr>
        <xdr:cNvPr id="2" name="Imagem 1"/>
        <xdr:cNvPicPr>
          <a:picLocks noChangeAspect="1"/>
        </xdr:cNvPicPr>
      </xdr:nvPicPr>
      <xdr:blipFill rotWithShape="1">
        <a:blip xmlns:r="http://schemas.openxmlformats.org/officeDocument/2006/relationships" r:embed="rId1"/>
        <a:srcRect l="17864" t="9376" r="5039" b="11578"/>
        <a:stretch/>
      </xdr:blipFill>
      <xdr:spPr>
        <a:xfrm>
          <a:off x="1447800" y="104775"/>
          <a:ext cx="10029825" cy="5781675"/>
        </a:xfrm>
        <a:prstGeom prst="rect">
          <a:avLst/>
        </a:prstGeom>
      </xdr:spPr>
    </xdr:pic>
    <xdr:clientData/>
  </xdr:twoCellAnchor>
  <xdr:twoCellAnchor editAs="oneCell">
    <xdr:from>
      <xdr:col>4</xdr:col>
      <xdr:colOff>123825</xdr:colOff>
      <xdr:row>0</xdr:row>
      <xdr:rowOff>104775</xdr:rowOff>
    </xdr:from>
    <xdr:to>
      <xdr:col>6</xdr:col>
      <xdr:colOff>57150</xdr:colOff>
      <xdr:row>5</xdr:row>
      <xdr:rowOff>78905</xdr:rowOff>
    </xdr:to>
    <xdr:pic>
      <xdr:nvPicPr>
        <xdr:cNvPr id="3" name="Imagem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62225" y="104775"/>
          <a:ext cx="1152525" cy="926630"/>
        </a:xfrm>
        <a:prstGeom prst="rect">
          <a:avLst/>
        </a:prstGeom>
      </xdr:spPr>
    </xdr:pic>
    <xdr:clientData/>
  </xdr:twoCellAnchor>
  <xdr:twoCellAnchor>
    <xdr:from>
      <xdr:col>15</xdr:col>
      <xdr:colOff>419100</xdr:colOff>
      <xdr:row>0</xdr:row>
      <xdr:rowOff>28575</xdr:rowOff>
    </xdr:from>
    <xdr:to>
      <xdr:col>18</xdr:col>
      <xdr:colOff>28575</xdr:colOff>
      <xdr:row>4</xdr:row>
      <xdr:rowOff>133350</xdr:rowOff>
    </xdr:to>
    <xdr:sp macro="" textlink="">
      <xdr:nvSpPr>
        <xdr:cNvPr id="4" name="Seta para a esquerda 3">
          <a:hlinkClick xmlns:r="http://schemas.openxmlformats.org/officeDocument/2006/relationships" r:id="rId3"/>
        </xdr:cNvPr>
        <xdr:cNvSpPr/>
      </xdr:nvSpPr>
      <xdr:spPr>
        <a:xfrm>
          <a:off x="9563100" y="28575"/>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552450</xdr:colOff>
      <xdr:row>28</xdr:row>
      <xdr:rowOff>28575</xdr:rowOff>
    </xdr:from>
    <xdr:to>
      <xdr:col>12</xdr:col>
      <xdr:colOff>161925</xdr:colOff>
      <xdr:row>32</xdr:row>
      <xdr:rowOff>133350</xdr:rowOff>
    </xdr:to>
    <xdr:sp macro="" textlink="">
      <xdr:nvSpPr>
        <xdr:cNvPr id="2" name="Seta para a esquerda 1">
          <a:hlinkClick xmlns:r="http://schemas.openxmlformats.org/officeDocument/2006/relationships" r:id="rId1"/>
        </xdr:cNvPr>
        <xdr:cNvSpPr/>
      </xdr:nvSpPr>
      <xdr:spPr>
        <a:xfrm>
          <a:off x="7077075" y="5381625"/>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2162175</xdr:colOff>
      <xdr:row>116</xdr:row>
      <xdr:rowOff>38099</xdr:rowOff>
    </xdr:from>
    <xdr:to>
      <xdr:col>5</xdr:col>
      <xdr:colOff>3600450</xdr:colOff>
      <xdr:row>120</xdr:row>
      <xdr:rowOff>142874</xdr:rowOff>
    </xdr:to>
    <xdr:sp macro="" textlink="">
      <xdr:nvSpPr>
        <xdr:cNvPr id="5" name="Seta para a esquerda 4">
          <a:hlinkClick xmlns:r="http://schemas.openxmlformats.org/officeDocument/2006/relationships" r:id="rId1"/>
        </xdr:cNvPr>
        <xdr:cNvSpPr/>
      </xdr:nvSpPr>
      <xdr:spPr>
        <a:xfrm>
          <a:off x="10753725" y="63407924"/>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5</xdr:col>
      <xdr:colOff>2171700</xdr:colOff>
      <xdr:row>0</xdr:row>
      <xdr:rowOff>66675</xdr:rowOff>
    </xdr:from>
    <xdr:to>
      <xdr:col>5</xdr:col>
      <xdr:colOff>3609975</xdr:colOff>
      <xdr:row>2</xdr:row>
      <xdr:rowOff>38100</xdr:rowOff>
    </xdr:to>
    <xdr:sp macro="" textlink="">
      <xdr:nvSpPr>
        <xdr:cNvPr id="7" name="Seta para a esquerda 6">
          <a:hlinkClick xmlns:r="http://schemas.openxmlformats.org/officeDocument/2006/relationships" r:id="rId1"/>
        </xdr:cNvPr>
        <xdr:cNvSpPr/>
      </xdr:nvSpPr>
      <xdr:spPr>
        <a:xfrm>
          <a:off x="10763250" y="66675"/>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266701</xdr:colOff>
      <xdr:row>117</xdr:row>
      <xdr:rowOff>57150</xdr:rowOff>
    </xdr:from>
    <xdr:to>
      <xdr:col>2</xdr:col>
      <xdr:colOff>3419475</xdr:colOff>
      <xdr:row>119</xdr:row>
      <xdr:rowOff>133350</xdr:rowOff>
    </xdr:to>
    <xdr:grpSp>
      <xdr:nvGrpSpPr>
        <xdr:cNvPr id="17" name="Grupo 16"/>
        <xdr:cNvGrpSpPr/>
      </xdr:nvGrpSpPr>
      <xdr:grpSpPr>
        <a:xfrm>
          <a:off x="266701" y="47872650"/>
          <a:ext cx="4848224" cy="457200"/>
          <a:chOff x="-1" y="18"/>
          <a:chExt cx="6086477" cy="762622"/>
        </a:xfrm>
        <a:solidFill>
          <a:srgbClr val="C00000"/>
        </a:solidFill>
      </xdr:grpSpPr>
      <xdr:sp macro="" textlink="">
        <xdr:nvSpPr>
          <xdr:cNvPr id="18" name="Pentágono 17">
            <a:hlinkClick xmlns:r="http://schemas.openxmlformats.org/officeDocument/2006/relationships" r:id="rId2"/>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Pentágono 4">
            <a:hlinkClick xmlns:r="http://schemas.openxmlformats.org/officeDocument/2006/relationships" r:id="rId3"/>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3676651</xdr:colOff>
      <xdr:row>117</xdr:row>
      <xdr:rowOff>57150</xdr:rowOff>
    </xdr:from>
    <xdr:to>
      <xdr:col>5</xdr:col>
      <xdr:colOff>1762125</xdr:colOff>
      <xdr:row>119</xdr:row>
      <xdr:rowOff>133350</xdr:rowOff>
    </xdr:to>
    <xdr:grpSp>
      <xdr:nvGrpSpPr>
        <xdr:cNvPr id="21" name="Grupo 20"/>
        <xdr:cNvGrpSpPr/>
      </xdr:nvGrpSpPr>
      <xdr:grpSpPr>
        <a:xfrm>
          <a:off x="5372101" y="47872650"/>
          <a:ext cx="4914899" cy="457200"/>
          <a:chOff x="-1" y="18"/>
          <a:chExt cx="6086477" cy="762622"/>
        </a:xfrm>
        <a:solidFill>
          <a:srgbClr val="C00000"/>
        </a:solidFill>
      </xdr:grpSpPr>
      <xdr:sp macro="" textlink="">
        <xdr:nvSpPr>
          <xdr:cNvPr id="22" name="Pentágono 21">
            <a:hlinkClick xmlns:r="http://schemas.openxmlformats.org/officeDocument/2006/relationships" r:id="rId2"/>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3"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twoCellAnchor>
    <xdr:from>
      <xdr:col>1</xdr:col>
      <xdr:colOff>381000</xdr:colOff>
      <xdr:row>0</xdr:row>
      <xdr:rowOff>85725</xdr:rowOff>
    </xdr:from>
    <xdr:to>
      <xdr:col>3</xdr:col>
      <xdr:colOff>333375</xdr:colOff>
      <xdr:row>1</xdr:row>
      <xdr:rowOff>514350</xdr:rowOff>
    </xdr:to>
    <xdr:sp macro="" textlink="">
      <xdr:nvSpPr>
        <xdr:cNvPr id="26" name="Pentágono 4"/>
        <xdr:cNvSpPr/>
      </xdr:nvSpPr>
      <xdr:spPr>
        <a:xfrm>
          <a:off x="962025" y="85725"/>
          <a:ext cx="7448550" cy="762000"/>
        </a:xfrm>
        <a:prstGeom prst="rect">
          <a:avLst/>
        </a:prstGeom>
        <a:solidFill>
          <a:schemeClr val="tx2">
            <a:lumMod val="75000"/>
          </a:schemeClr>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Planejar e Organizar</a:t>
          </a:r>
        </a:p>
      </xdr:txBody>
    </xdr:sp>
    <xdr:clientData/>
  </xdr:twoCellAnchor>
  <xdr:twoCellAnchor>
    <xdr:from>
      <xdr:col>0</xdr:col>
      <xdr:colOff>533400</xdr:colOff>
      <xdr:row>0</xdr:row>
      <xdr:rowOff>76200</xdr:rowOff>
    </xdr:from>
    <xdr:to>
      <xdr:col>1</xdr:col>
      <xdr:colOff>705472</xdr:colOff>
      <xdr:row>1</xdr:row>
      <xdr:rowOff>505447</xdr:rowOff>
    </xdr:to>
    <xdr:sp macro="" textlink="">
      <xdr:nvSpPr>
        <xdr:cNvPr id="27" name="Elipse 26"/>
        <xdr:cNvSpPr/>
      </xdr:nvSpPr>
      <xdr:spPr>
        <a:xfrm>
          <a:off x="533400" y="76200"/>
          <a:ext cx="753097" cy="762622"/>
        </a:xfrm>
        <a:prstGeom prst="ellipse">
          <a:avLst/>
        </a:prstGeom>
        <a:blipFill>
          <a:blip xmlns:r="http://schemas.openxmlformats.org/officeDocument/2006/relationships" r:embed="rId5"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305360</xdr:colOff>
      <xdr:row>0</xdr:row>
      <xdr:rowOff>54348</xdr:rowOff>
    </xdr:from>
    <xdr:to>
      <xdr:col>5</xdr:col>
      <xdr:colOff>459441</xdr:colOff>
      <xdr:row>2</xdr:row>
      <xdr:rowOff>212912</xdr:rowOff>
    </xdr:to>
    <xdr:sp macro="" textlink="">
      <xdr:nvSpPr>
        <xdr:cNvPr id="6" name="Pentágono 4"/>
        <xdr:cNvSpPr/>
      </xdr:nvSpPr>
      <xdr:spPr>
        <a:xfrm>
          <a:off x="1179419" y="54348"/>
          <a:ext cx="9544610" cy="987799"/>
        </a:xfrm>
        <a:prstGeom prst="rect">
          <a:avLst/>
        </a:prstGeom>
        <a:solidFill>
          <a:schemeClr val="accent1">
            <a:lumMod val="75000"/>
          </a:schemeClr>
        </a:solidFill>
        <a:ln>
          <a:solidFill>
            <a:schemeClr val="accent1">
              <a:lumMod val="75000"/>
            </a:schemeClr>
          </a:solidFill>
        </a:ln>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2800">
              <a:solidFill>
                <a:schemeClr val="lt1"/>
              </a:solidFill>
              <a:effectLst/>
              <a:latin typeface="+mn-lt"/>
              <a:ea typeface="+mn-ea"/>
              <a:cs typeface="+mn-cs"/>
            </a:rPr>
            <a:t>Adquirir</a:t>
          </a:r>
          <a:r>
            <a:rPr lang="pt-BR" sz="2800" baseline="0">
              <a:solidFill>
                <a:schemeClr val="lt1"/>
              </a:solidFill>
              <a:effectLst/>
              <a:latin typeface="+mn-lt"/>
              <a:ea typeface="+mn-ea"/>
              <a:cs typeface="+mn-cs"/>
            </a:rPr>
            <a:t> e Implementar</a:t>
          </a:r>
          <a:endParaRPr lang="pt-BR" sz="6000">
            <a:effectLst/>
          </a:endParaRPr>
        </a:p>
      </xdr:txBody>
    </xdr:sp>
    <xdr:clientData/>
  </xdr:twoCellAnchor>
  <xdr:twoCellAnchor>
    <xdr:from>
      <xdr:col>0</xdr:col>
      <xdr:colOff>493059</xdr:colOff>
      <xdr:row>0</xdr:row>
      <xdr:rowOff>1</xdr:rowOff>
    </xdr:from>
    <xdr:to>
      <xdr:col>1</xdr:col>
      <xdr:colOff>672975</xdr:colOff>
      <xdr:row>2</xdr:row>
      <xdr:rowOff>224118</xdr:rowOff>
    </xdr:to>
    <xdr:sp macro="" textlink="">
      <xdr:nvSpPr>
        <xdr:cNvPr id="8" name="Elipse 7"/>
        <xdr:cNvSpPr/>
      </xdr:nvSpPr>
      <xdr:spPr>
        <a:xfrm>
          <a:off x="493059" y="1"/>
          <a:ext cx="1053975" cy="1053352"/>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5</xdr:col>
      <xdr:colOff>2633383</xdr:colOff>
      <xdr:row>0</xdr:row>
      <xdr:rowOff>65554</xdr:rowOff>
    </xdr:from>
    <xdr:to>
      <xdr:col>6</xdr:col>
      <xdr:colOff>17930</xdr:colOff>
      <xdr:row>2</xdr:row>
      <xdr:rowOff>381000</xdr:rowOff>
    </xdr:to>
    <xdr:sp macro="" textlink="">
      <xdr:nvSpPr>
        <xdr:cNvPr id="9" name="Seta para a esquerda 8">
          <a:hlinkClick xmlns:r="http://schemas.openxmlformats.org/officeDocument/2006/relationships" r:id="rId2"/>
        </xdr:cNvPr>
        <xdr:cNvSpPr/>
      </xdr:nvSpPr>
      <xdr:spPr>
        <a:xfrm>
          <a:off x="12897971" y="65554"/>
          <a:ext cx="1822077" cy="1144681"/>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5</xdr:col>
      <xdr:colOff>2900642</xdr:colOff>
      <xdr:row>72</xdr:row>
      <xdr:rowOff>33618</xdr:rowOff>
    </xdr:from>
    <xdr:to>
      <xdr:col>5</xdr:col>
      <xdr:colOff>4338917</xdr:colOff>
      <xdr:row>76</xdr:row>
      <xdr:rowOff>138393</xdr:rowOff>
    </xdr:to>
    <xdr:sp macro="" textlink="">
      <xdr:nvSpPr>
        <xdr:cNvPr id="18" name="Seta para a esquerda 17">
          <a:hlinkClick xmlns:r="http://schemas.openxmlformats.org/officeDocument/2006/relationships" r:id="rId2"/>
        </xdr:cNvPr>
        <xdr:cNvSpPr/>
      </xdr:nvSpPr>
      <xdr:spPr>
        <a:xfrm>
          <a:off x="12963524" y="32911677"/>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0</xdr:colOff>
      <xdr:row>73</xdr:row>
      <xdr:rowOff>19051</xdr:rowOff>
    </xdr:from>
    <xdr:to>
      <xdr:col>2</xdr:col>
      <xdr:colOff>2472577</xdr:colOff>
      <xdr:row>75</xdr:row>
      <xdr:rowOff>95251</xdr:rowOff>
    </xdr:to>
    <xdr:grpSp>
      <xdr:nvGrpSpPr>
        <xdr:cNvPr id="19" name="Grupo 18"/>
        <xdr:cNvGrpSpPr/>
      </xdr:nvGrpSpPr>
      <xdr:grpSpPr>
        <a:xfrm>
          <a:off x="0" y="24952139"/>
          <a:ext cx="5666253" cy="457200"/>
          <a:chOff x="-1" y="18"/>
          <a:chExt cx="6086477" cy="762622"/>
        </a:xfrm>
        <a:solidFill>
          <a:srgbClr val="C00000"/>
        </a:solidFill>
      </xdr:grpSpPr>
      <xdr:sp macro="" textlink="">
        <xdr:nvSpPr>
          <xdr:cNvPr id="20" name="Pentágono 19">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1"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3014382</xdr:colOff>
      <xdr:row>73</xdr:row>
      <xdr:rowOff>22412</xdr:rowOff>
    </xdr:from>
    <xdr:to>
      <xdr:col>5</xdr:col>
      <xdr:colOff>925044</xdr:colOff>
      <xdr:row>75</xdr:row>
      <xdr:rowOff>98612</xdr:rowOff>
    </xdr:to>
    <xdr:grpSp>
      <xdr:nvGrpSpPr>
        <xdr:cNvPr id="26" name="Grupo 25"/>
        <xdr:cNvGrpSpPr/>
      </xdr:nvGrpSpPr>
      <xdr:grpSpPr>
        <a:xfrm>
          <a:off x="6208058" y="24955500"/>
          <a:ext cx="5754780" cy="457200"/>
          <a:chOff x="-1" y="18"/>
          <a:chExt cx="6086477" cy="762622"/>
        </a:xfrm>
        <a:solidFill>
          <a:srgbClr val="C00000"/>
        </a:solidFill>
      </xdr:grpSpPr>
      <xdr:sp macro="" textlink="">
        <xdr:nvSpPr>
          <xdr:cNvPr id="27" name="Pentágono 26">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8" name="Pentágono 4">
            <a:hlinkClick xmlns:r="http://schemas.openxmlformats.org/officeDocument/2006/relationships" r:id="rId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142876</xdr:colOff>
      <xdr:row>0</xdr:row>
      <xdr:rowOff>73025</xdr:rowOff>
    </xdr:from>
    <xdr:to>
      <xdr:col>3</xdr:col>
      <xdr:colOff>1322917</xdr:colOff>
      <xdr:row>2</xdr:row>
      <xdr:rowOff>306917</xdr:rowOff>
    </xdr:to>
    <xdr:sp macro="" textlink="">
      <xdr:nvSpPr>
        <xdr:cNvPr id="2" name="Pentágono 4"/>
        <xdr:cNvSpPr/>
      </xdr:nvSpPr>
      <xdr:spPr>
        <a:xfrm>
          <a:off x="1127126" y="73025"/>
          <a:ext cx="7487708" cy="911225"/>
        </a:xfrm>
        <a:prstGeom prst="rect">
          <a:avLst/>
        </a:prstGeom>
        <a:solidFill>
          <a:schemeClr val="accent1"/>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3200">
              <a:solidFill>
                <a:schemeClr val="lt1"/>
              </a:solidFill>
              <a:effectLst/>
              <a:latin typeface="+mn-lt"/>
              <a:ea typeface="+mn-ea"/>
              <a:cs typeface="+mn-cs"/>
            </a:rPr>
            <a:t>Entregar e Suportar</a:t>
          </a:r>
          <a:endParaRPr lang="pt-BR" sz="6600">
            <a:effectLst/>
          </a:endParaRPr>
        </a:p>
      </xdr:txBody>
    </xdr:sp>
    <xdr:clientData/>
  </xdr:twoCellAnchor>
  <xdr:twoCellAnchor>
    <xdr:from>
      <xdr:col>0</xdr:col>
      <xdr:colOff>613833</xdr:colOff>
      <xdr:row>0</xdr:row>
      <xdr:rowOff>63501</xdr:rowOff>
    </xdr:from>
    <xdr:to>
      <xdr:col>1</xdr:col>
      <xdr:colOff>474080</xdr:colOff>
      <xdr:row>2</xdr:row>
      <xdr:rowOff>297908</xdr:rowOff>
    </xdr:to>
    <xdr:sp macro="" textlink="">
      <xdr:nvSpPr>
        <xdr:cNvPr id="3" name="Elipse 2"/>
        <xdr:cNvSpPr/>
      </xdr:nvSpPr>
      <xdr:spPr>
        <a:xfrm>
          <a:off x="613833" y="63501"/>
          <a:ext cx="844497" cy="911740"/>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5</xdr:col>
      <xdr:colOff>2169584</xdr:colOff>
      <xdr:row>0</xdr:row>
      <xdr:rowOff>0</xdr:rowOff>
    </xdr:from>
    <xdr:to>
      <xdr:col>5</xdr:col>
      <xdr:colOff>3724276</xdr:colOff>
      <xdr:row>3</xdr:row>
      <xdr:rowOff>21167</xdr:rowOff>
    </xdr:to>
    <xdr:sp macro="" textlink="">
      <xdr:nvSpPr>
        <xdr:cNvPr id="4" name="Seta para a esquerda 3">
          <a:hlinkClick xmlns:r="http://schemas.openxmlformats.org/officeDocument/2006/relationships" r:id="rId2"/>
        </xdr:cNvPr>
        <xdr:cNvSpPr/>
      </xdr:nvSpPr>
      <xdr:spPr>
        <a:xfrm>
          <a:off x="12107334" y="0"/>
          <a:ext cx="1554692" cy="1037167"/>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5</xdr:col>
      <xdr:colOff>2274980</xdr:colOff>
      <xdr:row>124</xdr:row>
      <xdr:rowOff>127000</xdr:rowOff>
    </xdr:from>
    <xdr:to>
      <xdr:col>5</xdr:col>
      <xdr:colOff>3713255</xdr:colOff>
      <xdr:row>129</xdr:row>
      <xdr:rowOff>41275</xdr:rowOff>
    </xdr:to>
    <xdr:sp macro="" textlink="">
      <xdr:nvSpPr>
        <xdr:cNvPr id="13" name="Seta para a esquerda 12">
          <a:hlinkClick xmlns:r="http://schemas.openxmlformats.org/officeDocument/2006/relationships" r:id="rId2"/>
        </xdr:cNvPr>
        <xdr:cNvSpPr/>
      </xdr:nvSpPr>
      <xdr:spPr>
        <a:xfrm>
          <a:off x="12212730" y="76760917"/>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105833</xdr:colOff>
      <xdr:row>125</xdr:row>
      <xdr:rowOff>123016</xdr:rowOff>
    </xdr:from>
    <xdr:to>
      <xdr:col>2</xdr:col>
      <xdr:colOff>3168586</xdr:colOff>
      <xdr:row>128</xdr:row>
      <xdr:rowOff>8716</xdr:rowOff>
    </xdr:to>
    <xdr:grpSp>
      <xdr:nvGrpSpPr>
        <xdr:cNvPr id="14" name="Grupo 13"/>
        <xdr:cNvGrpSpPr/>
      </xdr:nvGrpSpPr>
      <xdr:grpSpPr>
        <a:xfrm>
          <a:off x="105833" y="47038933"/>
          <a:ext cx="5666253" cy="457200"/>
          <a:chOff x="-1" y="18"/>
          <a:chExt cx="6086477" cy="762622"/>
        </a:xfrm>
        <a:solidFill>
          <a:srgbClr val="C00000"/>
        </a:solidFill>
      </xdr:grpSpPr>
      <xdr:sp macro="" textlink="">
        <xdr:nvSpPr>
          <xdr:cNvPr id="15" name="Pentágono 14">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6"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3710391</xdr:colOff>
      <xdr:row>125</xdr:row>
      <xdr:rowOff>126377</xdr:rowOff>
    </xdr:from>
    <xdr:to>
      <xdr:col>5</xdr:col>
      <xdr:colOff>1357715</xdr:colOff>
      <xdr:row>128</xdr:row>
      <xdr:rowOff>12077</xdr:rowOff>
    </xdr:to>
    <xdr:grpSp>
      <xdr:nvGrpSpPr>
        <xdr:cNvPr id="17" name="Grupo 16"/>
        <xdr:cNvGrpSpPr/>
      </xdr:nvGrpSpPr>
      <xdr:grpSpPr>
        <a:xfrm>
          <a:off x="6313891" y="47042294"/>
          <a:ext cx="4896907" cy="457200"/>
          <a:chOff x="-1" y="18"/>
          <a:chExt cx="6086477" cy="762622"/>
        </a:xfrm>
        <a:solidFill>
          <a:srgbClr val="C00000"/>
        </a:solidFill>
      </xdr:grpSpPr>
      <xdr:sp macro="" textlink="">
        <xdr:nvSpPr>
          <xdr:cNvPr id="18" name="Pentágono 17">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Pentágono 4">
            <a:hlinkClick xmlns:r="http://schemas.openxmlformats.org/officeDocument/2006/relationships" r:id="rId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381000</xdr:colOff>
      <xdr:row>0</xdr:row>
      <xdr:rowOff>128588</xdr:rowOff>
    </xdr:from>
    <xdr:to>
      <xdr:col>5</xdr:col>
      <xdr:colOff>1309688</xdr:colOff>
      <xdr:row>3</xdr:row>
      <xdr:rowOff>119063</xdr:rowOff>
    </xdr:to>
    <xdr:sp macro="" textlink="">
      <xdr:nvSpPr>
        <xdr:cNvPr id="2" name="Pentágono 4"/>
        <xdr:cNvSpPr/>
      </xdr:nvSpPr>
      <xdr:spPr>
        <a:xfrm>
          <a:off x="1369219" y="128588"/>
          <a:ext cx="8239125" cy="990600"/>
        </a:xfrm>
        <a:prstGeom prst="rect">
          <a:avLst/>
        </a:prstGeom>
        <a:solidFill>
          <a:schemeClr val="tx2">
            <a:lumMod val="60000"/>
            <a:lumOff val="40000"/>
          </a:schemeClr>
        </a:solid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3200">
              <a:solidFill>
                <a:schemeClr val="lt1"/>
              </a:solidFill>
              <a:effectLst/>
              <a:latin typeface="+mn-lt"/>
              <a:ea typeface="+mn-ea"/>
              <a:cs typeface="+mn-cs"/>
            </a:rPr>
            <a:t>Monitorar e Avaliar</a:t>
          </a:r>
          <a:endParaRPr lang="pt-BR" sz="6600">
            <a:effectLst/>
          </a:endParaRPr>
        </a:p>
      </xdr:txBody>
    </xdr:sp>
    <xdr:clientData/>
  </xdr:twoCellAnchor>
  <xdr:twoCellAnchor>
    <xdr:from>
      <xdr:col>0</xdr:col>
      <xdr:colOff>869156</xdr:colOff>
      <xdr:row>0</xdr:row>
      <xdr:rowOff>119062</xdr:rowOff>
    </xdr:from>
    <xdr:to>
      <xdr:col>1</xdr:col>
      <xdr:colOff>788455</xdr:colOff>
      <xdr:row>3</xdr:row>
      <xdr:rowOff>142875</xdr:rowOff>
    </xdr:to>
    <xdr:sp macro="" textlink="">
      <xdr:nvSpPr>
        <xdr:cNvPr id="3" name="Elipse 2"/>
        <xdr:cNvSpPr/>
      </xdr:nvSpPr>
      <xdr:spPr>
        <a:xfrm>
          <a:off x="869156" y="119062"/>
          <a:ext cx="907518" cy="1023938"/>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15000" r="-15000"/>
          </a:stretch>
        </a:blipFill>
      </xdr:spPr>
      <xdr:style>
        <a:lnRef idx="2">
          <a:schemeClr val="lt1">
            <a:hueOff val="0"/>
            <a:satOff val="0"/>
            <a:lumOff val="0"/>
            <a:alphaOff val="0"/>
          </a:schemeClr>
        </a:lnRef>
        <a:fillRef idx="1">
          <a:scrgbClr r="0" g="0" b="0"/>
        </a:fillRef>
        <a:effectRef idx="0">
          <a:schemeClr val="accent1">
            <a:tint val="50000"/>
            <a:hueOff val="0"/>
            <a:satOff val="0"/>
            <a:lumOff val="0"/>
            <a:alphaOff val="0"/>
          </a:schemeClr>
        </a:effectRef>
        <a:fontRef idx="minor">
          <a:schemeClr val="lt1">
            <a:hueOff val="0"/>
            <a:satOff val="0"/>
            <a:lumOff val="0"/>
            <a:alphaOff val="0"/>
          </a:schemeClr>
        </a:fontRef>
      </xdr:style>
    </xdr:sp>
    <xdr:clientData/>
  </xdr:twoCellAnchor>
  <xdr:twoCellAnchor>
    <xdr:from>
      <xdr:col>5</xdr:col>
      <xdr:colOff>3226592</xdr:colOff>
      <xdr:row>0</xdr:row>
      <xdr:rowOff>238124</xdr:rowOff>
    </xdr:from>
    <xdr:to>
      <xdr:col>7</xdr:col>
      <xdr:colOff>42597</xdr:colOff>
      <xdr:row>3</xdr:row>
      <xdr:rowOff>321469</xdr:rowOff>
    </xdr:to>
    <xdr:sp macro="" textlink="">
      <xdr:nvSpPr>
        <xdr:cNvPr id="4" name="Seta para a esquerda 3">
          <a:hlinkClick xmlns:r="http://schemas.openxmlformats.org/officeDocument/2006/relationships" r:id="rId2"/>
        </xdr:cNvPr>
        <xdr:cNvSpPr/>
      </xdr:nvSpPr>
      <xdr:spPr>
        <a:xfrm>
          <a:off x="13501686" y="238124"/>
          <a:ext cx="1792817" cy="1083470"/>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twoCellAnchor>
    <xdr:from>
      <xdr:col>0</xdr:col>
      <xdr:colOff>619125</xdr:colOff>
      <xdr:row>44</xdr:row>
      <xdr:rowOff>190499</xdr:rowOff>
    </xdr:from>
    <xdr:to>
      <xdr:col>2</xdr:col>
      <xdr:colOff>4047003</xdr:colOff>
      <xdr:row>48</xdr:row>
      <xdr:rowOff>59530</xdr:rowOff>
    </xdr:to>
    <xdr:grpSp>
      <xdr:nvGrpSpPr>
        <xdr:cNvPr id="41" name="Grupo 40"/>
        <xdr:cNvGrpSpPr/>
      </xdr:nvGrpSpPr>
      <xdr:grpSpPr>
        <a:xfrm>
          <a:off x="619125" y="15656718"/>
          <a:ext cx="6035347" cy="631031"/>
          <a:chOff x="-1" y="18"/>
          <a:chExt cx="6086477" cy="762622"/>
        </a:xfrm>
        <a:solidFill>
          <a:srgbClr val="C00000"/>
        </a:solidFill>
      </xdr:grpSpPr>
      <xdr:sp macro="" textlink="">
        <xdr:nvSpPr>
          <xdr:cNvPr id="42" name="Pentágono 41">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3" name="Pentágono 4">
            <a:hlinkClick xmlns:r="http://schemas.openxmlformats.org/officeDocument/2006/relationships" r:id="rId4"/>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2</xdr:col>
      <xdr:colOff>4274343</xdr:colOff>
      <xdr:row>45</xdr:row>
      <xdr:rowOff>3360</xdr:rowOff>
    </xdr:from>
    <xdr:to>
      <xdr:col>5</xdr:col>
      <xdr:colOff>1902757</xdr:colOff>
      <xdr:row>48</xdr:row>
      <xdr:rowOff>95249</xdr:rowOff>
    </xdr:to>
    <xdr:grpSp>
      <xdr:nvGrpSpPr>
        <xdr:cNvPr id="44" name="Grupo 43"/>
        <xdr:cNvGrpSpPr/>
      </xdr:nvGrpSpPr>
      <xdr:grpSpPr>
        <a:xfrm>
          <a:off x="6881812" y="15660079"/>
          <a:ext cx="5891351" cy="663389"/>
          <a:chOff x="-1" y="18"/>
          <a:chExt cx="6086477" cy="762622"/>
        </a:xfrm>
        <a:solidFill>
          <a:srgbClr val="C00000"/>
        </a:solidFill>
      </xdr:grpSpPr>
      <xdr:sp macro="" textlink="">
        <xdr:nvSpPr>
          <xdr:cNvPr id="45" name="Pentágono 44">
            <a:hlinkClick xmlns:r="http://schemas.openxmlformats.org/officeDocument/2006/relationships" r:id="rId3"/>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46" name="Pentágono 4">
            <a:hlinkClick xmlns:r="http://schemas.openxmlformats.org/officeDocument/2006/relationships" r:id="rId5"/>
          </xdr:cNvPr>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Maturidade</a:t>
            </a:r>
          </a:p>
        </xdr:txBody>
      </xdr:sp>
    </xdr:grpSp>
    <xdr:clientData/>
  </xdr:twoCellAnchor>
  <xdr:twoCellAnchor>
    <xdr:from>
      <xdr:col>5</xdr:col>
      <xdr:colOff>3369469</xdr:colOff>
      <xdr:row>44</xdr:row>
      <xdr:rowOff>119063</xdr:rowOff>
    </xdr:from>
    <xdr:to>
      <xdr:col>5</xdr:col>
      <xdr:colOff>4807744</xdr:colOff>
      <xdr:row>49</xdr:row>
      <xdr:rowOff>33338</xdr:rowOff>
    </xdr:to>
    <xdr:sp macro="" textlink="">
      <xdr:nvSpPr>
        <xdr:cNvPr id="47" name="Seta para a esquerda 46">
          <a:hlinkClick xmlns:r="http://schemas.openxmlformats.org/officeDocument/2006/relationships" r:id="rId2"/>
        </xdr:cNvPr>
        <xdr:cNvSpPr/>
      </xdr:nvSpPr>
      <xdr:spPr>
        <a:xfrm>
          <a:off x="13644563" y="28396407"/>
          <a:ext cx="1438275" cy="866775"/>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161924</xdr:colOff>
      <xdr:row>6</xdr:row>
      <xdr:rowOff>68261</xdr:rowOff>
    </xdr:from>
    <xdr:to>
      <xdr:col>8</xdr:col>
      <xdr:colOff>412749</xdr:colOff>
      <xdr:row>24</xdr:row>
      <xdr:rowOff>149225</xdr:rowOff>
    </xdr:to>
    <xdr:graphicFrame macro="">
      <xdr:nvGraphicFramePr>
        <xdr:cNvPr id="2" name="Gráfico 1">
          <a:extLst>
            <a:ext uri="{FF2B5EF4-FFF2-40B4-BE49-F238E27FC236}">
              <a16:creationId xmlns:a16="http://schemas.microsoft.com/office/drawing/2014/main" xmlns=""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506411</xdr:colOff>
      <xdr:row>6</xdr:row>
      <xdr:rowOff>87311</xdr:rowOff>
    </xdr:from>
    <xdr:to>
      <xdr:col>18</xdr:col>
      <xdr:colOff>333374</xdr:colOff>
      <xdr:row>24</xdr:row>
      <xdr:rowOff>139700</xdr:rowOff>
    </xdr:to>
    <xdr:graphicFrame macro="">
      <xdr:nvGraphicFramePr>
        <xdr:cNvPr id="3" name="Gráfico 2">
          <a:extLst>
            <a:ext uri="{FF2B5EF4-FFF2-40B4-BE49-F238E27FC236}">
              <a16:creationId xmlns:a16="http://schemas.microsoft.com/office/drawing/2014/main" xmlns=""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147410</xdr:colOff>
      <xdr:row>25</xdr:row>
      <xdr:rowOff>79829</xdr:rowOff>
    </xdr:from>
    <xdr:to>
      <xdr:col>8</xdr:col>
      <xdr:colOff>381000</xdr:colOff>
      <xdr:row>44</xdr:row>
      <xdr:rowOff>1</xdr:rowOff>
    </xdr:to>
    <xdr:graphicFrame macro="">
      <xdr:nvGraphicFramePr>
        <xdr:cNvPr id="4" name="Gráfico 3">
          <a:extLst>
            <a:ext uri="{FF2B5EF4-FFF2-40B4-BE49-F238E27FC236}">
              <a16:creationId xmlns:a16="http://schemas.microsoft.com/office/drawing/2014/main" xmlns=""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444501</xdr:colOff>
      <xdr:row>6</xdr:row>
      <xdr:rowOff>31751</xdr:rowOff>
    </xdr:from>
    <xdr:to>
      <xdr:col>28</xdr:col>
      <xdr:colOff>587377</xdr:colOff>
      <xdr:row>24</xdr:row>
      <xdr:rowOff>95251</xdr:rowOff>
    </xdr:to>
    <xdr:graphicFrame macro="">
      <xdr:nvGraphicFramePr>
        <xdr:cNvPr id="6" name="Gráfico 5">
          <a:extLst>
            <a:ext uri="{FF2B5EF4-FFF2-40B4-BE49-F238E27FC236}">
              <a16:creationId xmlns:a16="http://schemas.microsoft.com/office/drawing/2014/main" xmlns=""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48</xdr:row>
      <xdr:rowOff>50345</xdr:rowOff>
    </xdr:from>
    <xdr:to>
      <xdr:col>15</xdr:col>
      <xdr:colOff>417286</xdr:colOff>
      <xdr:row>77</xdr:row>
      <xdr:rowOff>176893</xdr:rowOff>
    </xdr:to>
    <xdr:graphicFrame macro="">
      <xdr:nvGraphicFramePr>
        <xdr:cNvPr id="5" name="Gráfico 4">
          <a:extLst>
            <a:ext uri="{FF2B5EF4-FFF2-40B4-BE49-F238E27FC236}">
              <a16:creationId xmlns:a16="http://schemas.microsoft.com/office/drawing/2014/main" xmlns=""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514802</xdr:colOff>
      <xdr:row>48</xdr:row>
      <xdr:rowOff>29934</xdr:rowOff>
    </xdr:from>
    <xdr:to>
      <xdr:col>28</xdr:col>
      <xdr:colOff>539750</xdr:colOff>
      <xdr:row>77</xdr:row>
      <xdr:rowOff>158750</xdr:rowOff>
    </xdr:to>
    <xdr:graphicFrame macro="">
      <xdr:nvGraphicFramePr>
        <xdr:cNvPr id="7" name="Gráfico 6">
          <a:extLst>
            <a:ext uri="{FF2B5EF4-FFF2-40B4-BE49-F238E27FC236}">
              <a16:creationId xmlns:a16="http://schemas.microsoft.com/office/drawing/2014/main" xmlns=""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0</xdr:row>
      <xdr:rowOff>0</xdr:rowOff>
    </xdr:from>
    <xdr:to>
      <xdr:col>1</xdr:col>
      <xdr:colOff>200025</xdr:colOff>
      <xdr:row>0</xdr:row>
      <xdr:rowOff>189357</xdr:rowOff>
    </xdr:to>
    <xdr:sp macro="" textlink="">
      <xdr:nvSpPr>
        <xdr:cNvPr id="12" name="Divisa 11"/>
        <xdr:cNvSpPr/>
      </xdr:nvSpPr>
      <xdr:spPr>
        <a:xfrm>
          <a:off x="746125" y="0"/>
          <a:ext cx="200025" cy="1893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chemeClr val="tx1"/>
            </a:solidFill>
          </a:endParaRPr>
        </a:p>
      </xdr:txBody>
    </xdr:sp>
    <xdr:clientData/>
  </xdr:twoCellAnchor>
  <xdr:twoCellAnchor>
    <xdr:from>
      <xdr:col>2</xdr:col>
      <xdr:colOff>1142999</xdr:colOff>
      <xdr:row>0</xdr:row>
      <xdr:rowOff>142874</xdr:rowOff>
    </xdr:from>
    <xdr:to>
      <xdr:col>20</xdr:col>
      <xdr:colOff>31750</xdr:colOff>
      <xdr:row>5</xdr:row>
      <xdr:rowOff>381000</xdr:rowOff>
    </xdr:to>
    <xdr:grpSp>
      <xdr:nvGrpSpPr>
        <xdr:cNvPr id="13" name="Grupo 12"/>
        <xdr:cNvGrpSpPr/>
      </xdr:nvGrpSpPr>
      <xdr:grpSpPr>
        <a:xfrm>
          <a:off x="3317874" y="142874"/>
          <a:ext cx="12112626" cy="1190626"/>
          <a:chOff x="-1" y="18"/>
          <a:chExt cx="6086477" cy="762622"/>
        </a:xfrm>
        <a:solidFill>
          <a:srgbClr val="C00000"/>
        </a:solidFill>
      </xdr:grpSpPr>
      <xdr:sp macro="" textlink="">
        <xdr:nvSpPr>
          <xdr:cNvPr id="14" name="Pentágono 13">
            <a:hlinkClick xmlns:r="http://schemas.openxmlformats.org/officeDocument/2006/relationships" r:id="rId7"/>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Pentágono 4"/>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algn="ctr"/>
            <a:r>
              <a:rPr lang="pt-BR" sz="3200" b="1">
                <a:solidFill>
                  <a:schemeClr val="lt1"/>
                </a:solidFill>
                <a:effectLst/>
                <a:latin typeface="+mn-lt"/>
                <a:ea typeface="+mn-ea"/>
                <a:cs typeface="+mn-cs"/>
              </a:rPr>
              <a:t>Gráficos Maturidade</a:t>
            </a:r>
            <a:endParaRPr lang="pt-BR" sz="6600" b="1">
              <a:effectLst/>
            </a:endParaRPr>
          </a:p>
        </xdr:txBody>
      </xdr:sp>
    </xdr:grpSp>
    <xdr:clientData/>
  </xdr:twoCellAnchor>
  <xdr:twoCellAnchor>
    <xdr:from>
      <xdr:col>24</xdr:col>
      <xdr:colOff>0</xdr:colOff>
      <xdr:row>0</xdr:row>
      <xdr:rowOff>31750</xdr:rowOff>
    </xdr:from>
    <xdr:to>
      <xdr:col>28</xdr:col>
      <xdr:colOff>379944</xdr:colOff>
      <xdr:row>5</xdr:row>
      <xdr:rowOff>460376</xdr:rowOff>
    </xdr:to>
    <xdr:sp macro="" textlink="">
      <xdr:nvSpPr>
        <xdr:cNvPr id="16" name="Seta para a esquerda 15">
          <a:hlinkClick xmlns:r="http://schemas.openxmlformats.org/officeDocument/2006/relationships" r:id="rId8"/>
        </xdr:cNvPr>
        <xdr:cNvSpPr/>
      </xdr:nvSpPr>
      <xdr:spPr>
        <a:xfrm>
          <a:off x="17811750" y="31750"/>
          <a:ext cx="2792944" cy="1381126"/>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400" b="1"/>
            <a:t>Menu</a:t>
          </a:r>
          <a:endParaRPr lang="pt-BR" sz="2400" b="1"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169334</xdr:colOff>
      <xdr:row>6</xdr:row>
      <xdr:rowOff>42333</xdr:rowOff>
    </xdr:from>
    <xdr:to>
      <xdr:col>1</xdr:col>
      <xdr:colOff>465666</xdr:colOff>
      <xdr:row>20</xdr:row>
      <xdr:rowOff>169333</xdr:rowOff>
    </xdr:to>
    <xdr:graphicFrame macro="">
      <xdr:nvGraphicFramePr>
        <xdr:cNvPr id="4" name="Gráfico 3">
          <a:extLst>
            <a:ext uri="{FF2B5EF4-FFF2-40B4-BE49-F238E27FC236}">
              <a16:creationId xmlns:a16="http://schemas.microsoft.com/office/drawing/2014/main" xmlns=""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126996</xdr:colOff>
      <xdr:row>6</xdr:row>
      <xdr:rowOff>31750</xdr:rowOff>
    </xdr:from>
    <xdr:to>
      <xdr:col>9</xdr:col>
      <xdr:colOff>412748</xdr:colOff>
      <xdr:row>20</xdr:row>
      <xdr:rowOff>138640</xdr:rowOff>
    </xdr:to>
    <xdr:graphicFrame macro="">
      <xdr:nvGraphicFramePr>
        <xdr:cNvPr id="6" name="Gráfico 5">
          <a:extLst>
            <a:ext uri="{FF2B5EF4-FFF2-40B4-BE49-F238E27FC236}">
              <a16:creationId xmlns:a16="http://schemas.microsoft.com/office/drawing/2014/main" xmlns=""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507999</xdr:colOff>
      <xdr:row>6</xdr:row>
      <xdr:rowOff>30692</xdr:rowOff>
    </xdr:from>
    <xdr:to>
      <xdr:col>17</xdr:col>
      <xdr:colOff>169332</xdr:colOff>
      <xdr:row>20</xdr:row>
      <xdr:rowOff>106892</xdr:rowOff>
    </xdr:to>
    <xdr:graphicFrame macro="">
      <xdr:nvGraphicFramePr>
        <xdr:cNvPr id="7" name="Gráfico 6">
          <a:extLst>
            <a:ext uri="{FF2B5EF4-FFF2-40B4-BE49-F238E27FC236}">
              <a16:creationId xmlns:a16="http://schemas.microsoft.com/office/drawing/2014/main" xmlns=""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105834</xdr:colOff>
      <xdr:row>21</xdr:row>
      <xdr:rowOff>178858</xdr:rowOff>
    </xdr:from>
    <xdr:to>
      <xdr:col>2</xdr:col>
      <xdr:colOff>42334</xdr:colOff>
      <xdr:row>36</xdr:row>
      <xdr:rowOff>64558</xdr:rowOff>
    </xdr:to>
    <xdr:graphicFrame macro="">
      <xdr:nvGraphicFramePr>
        <xdr:cNvPr id="8" name="Gráfico 7">
          <a:extLst>
            <a:ext uri="{FF2B5EF4-FFF2-40B4-BE49-F238E27FC236}">
              <a16:creationId xmlns:a16="http://schemas.microsoft.com/office/drawing/2014/main" xmlns=""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169333</xdr:colOff>
      <xdr:row>21</xdr:row>
      <xdr:rowOff>178858</xdr:rowOff>
    </xdr:from>
    <xdr:to>
      <xdr:col>9</xdr:col>
      <xdr:colOff>444500</xdr:colOff>
      <xdr:row>36</xdr:row>
      <xdr:rowOff>64558</xdr:rowOff>
    </xdr:to>
    <xdr:graphicFrame macro="">
      <xdr:nvGraphicFramePr>
        <xdr:cNvPr id="10" name="Gráfico 9">
          <a:extLst>
            <a:ext uri="{FF2B5EF4-FFF2-40B4-BE49-F238E27FC236}">
              <a16:creationId xmlns:a16="http://schemas.microsoft.com/office/drawing/2014/main" xmlns=""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42333</xdr:colOff>
      <xdr:row>21</xdr:row>
      <xdr:rowOff>168275</xdr:rowOff>
    </xdr:from>
    <xdr:to>
      <xdr:col>17</xdr:col>
      <xdr:colOff>317500</xdr:colOff>
      <xdr:row>36</xdr:row>
      <xdr:rowOff>53975</xdr:rowOff>
    </xdr:to>
    <xdr:graphicFrame macro="">
      <xdr:nvGraphicFramePr>
        <xdr:cNvPr id="11" name="Gráfico 10">
          <a:extLst>
            <a:ext uri="{FF2B5EF4-FFF2-40B4-BE49-F238E27FC236}">
              <a16:creationId xmlns:a16="http://schemas.microsoft.com/office/drawing/2014/main" xmlns=""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52917</xdr:colOff>
      <xdr:row>37</xdr:row>
      <xdr:rowOff>9524</xdr:rowOff>
    </xdr:from>
    <xdr:to>
      <xdr:col>1</xdr:col>
      <xdr:colOff>603250</xdr:colOff>
      <xdr:row>51</xdr:row>
      <xdr:rowOff>85724</xdr:rowOff>
    </xdr:to>
    <xdr:graphicFrame macro="">
      <xdr:nvGraphicFramePr>
        <xdr:cNvPr id="12" name="Gráfico 11">
          <a:extLst>
            <a:ext uri="{FF2B5EF4-FFF2-40B4-BE49-F238E27FC236}">
              <a16:creationId xmlns:a16="http://schemas.microsoft.com/office/drawing/2014/main" xmlns=""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169333</xdr:colOff>
      <xdr:row>37</xdr:row>
      <xdr:rowOff>41274</xdr:rowOff>
    </xdr:from>
    <xdr:to>
      <xdr:col>9</xdr:col>
      <xdr:colOff>444500</xdr:colOff>
      <xdr:row>51</xdr:row>
      <xdr:rowOff>117474</xdr:rowOff>
    </xdr:to>
    <xdr:graphicFrame macro="">
      <xdr:nvGraphicFramePr>
        <xdr:cNvPr id="13" name="Gráfico 12">
          <a:extLst>
            <a:ext uri="{FF2B5EF4-FFF2-40B4-BE49-F238E27FC236}">
              <a16:creationId xmlns:a16="http://schemas.microsoft.com/office/drawing/2014/main" xmlns=""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10583</xdr:colOff>
      <xdr:row>37</xdr:row>
      <xdr:rowOff>41274</xdr:rowOff>
    </xdr:from>
    <xdr:to>
      <xdr:col>17</xdr:col>
      <xdr:colOff>285750</xdr:colOff>
      <xdr:row>51</xdr:row>
      <xdr:rowOff>117474</xdr:rowOff>
    </xdr:to>
    <xdr:graphicFrame macro="">
      <xdr:nvGraphicFramePr>
        <xdr:cNvPr id="14" name="Gráfico 13">
          <a:extLst>
            <a:ext uri="{FF2B5EF4-FFF2-40B4-BE49-F238E27FC236}">
              <a16:creationId xmlns:a16="http://schemas.microsoft.com/office/drawing/2014/main" xmlns=""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52915</xdr:colOff>
      <xdr:row>52</xdr:row>
      <xdr:rowOff>51857</xdr:rowOff>
    </xdr:from>
    <xdr:to>
      <xdr:col>1</xdr:col>
      <xdr:colOff>603248</xdr:colOff>
      <xdr:row>66</xdr:row>
      <xdr:rowOff>128057</xdr:rowOff>
    </xdr:to>
    <xdr:graphicFrame macro="">
      <xdr:nvGraphicFramePr>
        <xdr:cNvPr id="15" name="Gráfico 14">
          <a:extLst>
            <a:ext uri="{FF2B5EF4-FFF2-40B4-BE49-F238E27FC236}">
              <a16:creationId xmlns:a16="http://schemas.microsoft.com/office/drawing/2014/main" xmlns=""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63500</xdr:colOff>
      <xdr:row>69</xdr:row>
      <xdr:rowOff>9525</xdr:rowOff>
    </xdr:from>
    <xdr:to>
      <xdr:col>2</xdr:col>
      <xdr:colOff>0</xdr:colOff>
      <xdr:row>83</xdr:row>
      <xdr:rowOff>85725</xdr:rowOff>
    </xdr:to>
    <xdr:graphicFrame macro="">
      <xdr:nvGraphicFramePr>
        <xdr:cNvPr id="2" name="Gráfico 1">
          <a:extLst>
            <a:ext uri="{FF2B5EF4-FFF2-40B4-BE49-F238E27FC236}">
              <a16:creationId xmlns:a16="http://schemas.microsoft.com/office/drawing/2014/main" xmlns=""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137584</xdr:colOff>
      <xdr:row>68</xdr:row>
      <xdr:rowOff>189442</xdr:rowOff>
    </xdr:from>
    <xdr:to>
      <xdr:col>9</xdr:col>
      <xdr:colOff>412751</xdr:colOff>
      <xdr:row>83</xdr:row>
      <xdr:rowOff>75142</xdr:rowOff>
    </xdr:to>
    <xdr:graphicFrame macro="">
      <xdr:nvGraphicFramePr>
        <xdr:cNvPr id="5" name="Gráfico 4">
          <a:extLst>
            <a:ext uri="{FF2B5EF4-FFF2-40B4-BE49-F238E27FC236}">
              <a16:creationId xmlns:a16="http://schemas.microsoft.com/office/drawing/2014/main" xmlns=""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529167</xdr:colOff>
      <xdr:row>68</xdr:row>
      <xdr:rowOff>178858</xdr:rowOff>
    </xdr:from>
    <xdr:to>
      <xdr:col>17</xdr:col>
      <xdr:colOff>190500</xdr:colOff>
      <xdr:row>83</xdr:row>
      <xdr:rowOff>64558</xdr:rowOff>
    </xdr:to>
    <xdr:graphicFrame macro="">
      <xdr:nvGraphicFramePr>
        <xdr:cNvPr id="9" name="Gráfico 8">
          <a:extLst>
            <a:ext uri="{FF2B5EF4-FFF2-40B4-BE49-F238E27FC236}">
              <a16:creationId xmlns:a16="http://schemas.microsoft.com/office/drawing/2014/main" xmlns=""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42334</xdr:colOff>
      <xdr:row>84</xdr:row>
      <xdr:rowOff>9525</xdr:rowOff>
    </xdr:from>
    <xdr:to>
      <xdr:col>1</xdr:col>
      <xdr:colOff>592667</xdr:colOff>
      <xdr:row>98</xdr:row>
      <xdr:rowOff>85725</xdr:rowOff>
    </xdr:to>
    <xdr:graphicFrame macro="">
      <xdr:nvGraphicFramePr>
        <xdr:cNvPr id="16" name="Gráfico 15">
          <a:extLst>
            <a:ext uri="{FF2B5EF4-FFF2-40B4-BE49-F238E27FC236}">
              <a16:creationId xmlns:a16="http://schemas.microsoft.com/office/drawing/2014/main" xmlns="" i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127001</xdr:colOff>
      <xdr:row>84</xdr:row>
      <xdr:rowOff>20108</xdr:rowOff>
    </xdr:from>
    <xdr:to>
      <xdr:col>9</xdr:col>
      <xdr:colOff>402168</xdr:colOff>
      <xdr:row>98</xdr:row>
      <xdr:rowOff>96308</xdr:rowOff>
    </xdr:to>
    <xdr:graphicFrame macro="">
      <xdr:nvGraphicFramePr>
        <xdr:cNvPr id="17" name="Gráfico 16">
          <a:extLst>
            <a:ext uri="{FF2B5EF4-FFF2-40B4-BE49-F238E27FC236}">
              <a16:creationId xmlns:a16="http://schemas.microsoft.com/office/drawing/2014/main" xmlns="" id="{00000000-0008-0000-07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560917</xdr:colOff>
      <xdr:row>84</xdr:row>
      <xdr:rowOff>9524</xdr:rowOff>
    </xdr:from>
    <xdr:to>
      <xdr:col>17</xdr:col>
      <xdr:colOff>222250</xdr:colOff>
      <xdr:row>98</xdr:row>
      <xdr:rowOff>85724</xdr:rowOff>
    </xdr:to>
    <xdr:graphicFrame macro="">
      <xdr:nvGraphicFramePr>
        <xdr:cNvPr id="18" name="Gráfico 17">
          <a:extLst>
            <a:ext uri="{FF2B5EF4-FFF2-40B4-BE49-F238E27FC236}">
              <a16:creationId xmlns:a16="http://schemas.microsoft.com/office/drawing/2014/main" xmlns="" id="{00000000-0008-0000-07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63500</xdr:colOff>
      <xdr:row>99</xdr:row>
      <xdr:rowOff>20108</xdr:rowOff>
    </xdr:from>
    <xdr:to>
      <xdr:col>2</xdr:col>
      <xdr:colOff>0</xdr:colOff>
      <xdr:row>113</xdr:row>
      <xdr:rowOff>96308</xdr:rowOff>
    </xdr:to>
    <xdr:graphicFrame macro="">
      <xdr:nvGraphicFramePr>
        <xdr:cNvPr id="19" name="Gráfico 18">
          <a:extLst>
            <a:ext uri="{FF2B5EF4-FFF2-40B4-BE49-F238E27FC236}">
              <a16:creationId xmlns:a16="http://schemas.microsoft.com/office/drawing/2014/main" xmlns="" id="{00000000-0008-0000-07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21167</xdr:colOff>
      <xdr:row>114</xdr:row>
      <xdr:rowOff>115358</xdr:rowOff>
    </xdr:from>
    <xdr:to>
      <xdr:col>1</xdr:col>
      <xdr:colOff>571500</xdr:colOff>
      <xdr:row>129</xdr:row>
      <xdr:rowOff>1058</xdr:rowOff>
    </xdr:to>
    <xdr:graphicFrame macro="">
      <xdr:nvGraphicFramePr>
        <xdr:cNvPr id="20" name="Gráfico 19">
          <a:extLst>
            <a:ext uri="{FF2B5EF4-FFF2-40B4-BE49-F238E27FC236}">
              <a16:creationId xmlns:a16="http://schemas.microsoft.com/office/drawing/2014/main" xmlns="" id="{00000000-0008-0000-07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10584</xdr:colOff>
      <xdr:row>114</xdr:row>
      <xdr:rowOff>125942</xdr:rowOff>
    </xdr:from>
    <xdr:to>
      <xdr:col>9</xdr:col>
      <xdr:colOff>285751</xdr:colOff>
      <xdr:row>129</xdr:row>
      <xdr:rowOff>11642</xdr:rowOff>
    </xdr:to>
    <xdr:graphicFrame macro="">
      <xdr:nvGraphicFramePr>
        <xdr:cNvPr id="21" name="Gráfico 20">
          <a:extLst>
            <a:ext uri="{FF2B5EF4-FFF2-40B4-BE49-F238E27FC236}">
              <a16:creationId xmlns:a16="http://schemas.microsoft.com/office/drawing/2014/main" xmlns="" id="{00000000-0008-0000-07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349251</xdr:colOff>
      <xdr:row>114</xdr:row>
      <xdr:rowOff>115358</xdr:rowOff>
    </xdr:from>
    <xdr:to>
      <xdr:col>17</xdr:col>
      <xdr:colOff>10584</xdr:colOff>
      <xdr:row>129</xdr:row>
      <xdr:rowOff>1058</xdr:rowOff>
    </xdr:to>
    <xdr:graphicFrame macro="">
      <xdr:nvGraphicFramePr>
        <xdr:cNvPr id="22" name="Gráfico 21">
          <a:extLst>
            <a:ext uri="{FF2B5EF4-FFF2-40B4-BE49-F238E27FC236}">
              <a16:creationId xmlns:a16="http://schemas.microsoft.com/office/drawing/2014/main" xmlns="" id="{00000000-0008-0000-07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42334</xdr:colOff>
      <xdr:row>129</xdr:row>
      <xdr:rowOff>83608</xdr:rowOff>
    </xdr:from>
    <xdr:to>
      <xdr:col>1</xdr:col>
      <xdr:colOff>592667</xdr:colOff>
      <xdr:row>143</xdr:row>
      <xdr:rowOff>159808</xdr:rowOff>
    </xdr:to>
    <xdr:graphicFrame macro="">
      <xdr:nvGraphicFramePr>
        <xdr:cNvPr id="23" name="Gráfico 22">
          <a:extLst>
            <a:ext uri="{FF2B5EF4-FFF2-40B4-BE49-F238E27FC236}">
              <a16:creationId xmlns:a16="http://schemas.microsoft.com/office/drawing/2014/main" xmlns="" id="{00000000-0008-0000-07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xdr:colOff>
      <xdr:row>145</xdr:row>
      <xdr:rowOff>127000</xdr:rowOff>
    </xdr:from>
    <xdr:to>
      <xdr:col>1</xdr:col>
      <xdr:colOff>550334</xdr:colOff>
      <xdr:row>160</xdr:row>
      <xdr:rowOff>53975</xdr:rowOff>
    </xdr:to>
    <xdr:graphicFrame macro="">
      <xdr:nvGraphicFramePr>
        <xdr:cNvPr id="24" name="Gráfico 23">
          <a:extLst>
            <a:ext uri="{FF2B5EF4-FFF2-40B4-BE49-F238E27FC236}">
              <a16:creationId xmlns:a16="http://schemas.microsoft.com/office/drawing/2014/main" xmlns="" id="{00000000-0008-0000-07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10584</xdr:colOff>
      <xdr:row>145</xdr:row>
      <xdr:rowOff>125941</xdr:rowOff>
    </xdr:from>
    <xdr:to>
      <xdr:col>9</xdr:col>
      <xdr:colOff>285751</xdr:colOff>
      <xdr:row>160</xdr:row>
      <xdr:rowOff>11641</xdr:rowOff>
    </xdr:to>
    <xdr:graphicFrame macro="">
      <xdr:nvGraphicFramePr>
        <xdr:cNvPr id="25" name="Gráfico 24">
          <a:extLst>
            <a:ext uri="{FF2B5EF4-FFF2-40B4-BE49-F238E27FC236}">
              <a16:creationId xmlns:a16="http://schemas.microsoft.com/office/drawing/2014/main" xmlns="" id="{00000000-0008-0000-07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370418</xdr:colOff>
      <xdr:row>145</xdr:row>
      <xdr:rowOff>136524</xdr:rowOff>
    </xdr:from>
    <xdr:to>
      <xdr:col>17</xdr:col>
      <xdr:colOff>31751</xdr:colOff>
      <xdr:row>160</xdr:row>
      <xdr:rowOff>22224</xdr:rowOff>
    </xdr:to>
    <xdr:graphicFrame macro="">
      <xdr:nvGraphicFramePr>
        <xdr:cNvPr id="26" name="Gráfico 25">
          <a:extLst>
            <a:ext uri="{FF2B5EF4-FFF2-40B4-BE49-F238E27FC236}">
              <a16:creationId xmlns:a16="http://schemas.microsoft.com/office/drawing/2014/main" xmlns="" id="{00000000-0008-0000-07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160</xdr:row>
      <xdr:rowOff>115358</xdr:rowOff>
    </xdr:from>
    <xdr:to>
      <xdr:col>1</xdr:col>
      <xdr:colOff>550333</xdr:colOff>
      <xdr:row>175</xdr:row>
      <xdr:rowOff>1058</xdr:rowOff>
    </xdr:to>
    <xdr:graphicFrame macro="">
      <xdr:nvGraphicFramePr>
        <xdr:cNvPr id="27" name="Gráfico 26">
          <a:extLst>
            <a:ext uri="{FF2B5EF4-FFF2-40B4-BE49-F238E27FC236}">
              <a16:creationId xmlns:a16="http://schemas.microsoft.com/office/drawing/2014/main" xmlns="" id="{00000000-0008-0000-07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31751</xdr:colOff>
      <xdr:row>160</xdr:row>
      <xdr:rowOff>115358</xdr:rowOff>
    </xdr:from>
    <xdr:to>
      <xdr:col>9</xdr:col>
      <xdr:colOff>306918</xdr:colOff>
      <xdr:row>175</xdr:row>
      <xdr:rowOff>1058</xdr:rowOff>
    </xdr:to>
    <xdr:graphicFrame macro="">
      <xdr:nvGraphicFramePr>
        <xdr:cNvPr id="28" name="Gráfico 27">
          <a:extLst>
            <a:ext uri="{FF2B5EF4-FFF2-40B4-BE49-F238E27FC236}">
              <a16:creationId xmlns:a16="http://schemas.microsoft.com/office/drawing/2014/main" xmlns="" id="{00000000-0008-0000-07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391584</xdr:colOff>
      <xdr:row>160</xdr:row>
      <xdr:rowOff>115358</xdr:rowOff>
    </xdr:from>
    <xdr:to>
      <xdr:col>17</xdr:col>
      <xdr:colOff>52917</xdr:colOff>
      <xdr:row>175</xdr:row>
      <xdr:rowOff>1058</xdr:rowOff>
    </xdr:to>
    <xdr:graphicFrame macro="">
      <xdr:nvGraphicFramePr>
        <xdr:cNvPr id="29" name="Gráfico 28">
          <a:extLst>
            <a:ext uri="{FF2B5EF4-FFF2-40B4-BE49-F238E27FC236}">
              <a16:creationId xmlns:a16="http://schemas.microsoft.com/office/drawing/2014/main" xmlns="" id="{00000000-0008-0000-07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0</xdr:colOff>
      <xdr:row>175</xdr:row>
      <xdr:rowOff>51858</xdr:rowOff>
    </xdr:from>
    <xdr:to>
      <xdr:col>1</xdr:col>
      <xdr:colOff>550333</xdr:colOff>
      <xdr:row>189</xdr:row>
      <xdr:rowOff>128058</xdr:rowOff>
    </xdr:to>
    <xdr:graphicFrame macro="">
      <xdr:nvGraphicFramePr>
        <xdr:cNvPr id="30" name="Gráfico 29">
          <a:extLst>
            <a:ext uri="{FF2B5EF4-FFF2-40B4-BE49-F238E27FC236}">
              <a16:creationId xmlns:a16="http://schemas.microsoft.com/office/drawing/2014/main" xmlns=""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xdr:col>
      <xdr:colOff>42333</xdr:colOff>
      <xdr:row>175</xdr:row>
      <xdr:rowOff>83608</xdr:rowOff>
    </xdr:from>
    <xdr:to>
      <xdr:col>9</xdr:col>
      <xdr:colOff>317500</xdr:colOff>
      <xdr:row>189</xdr:row>
      <xdr:rowOff>159808</xdr:rowOff>
    </xdr:to>
    <xdr:graphicFrame macro="">
      <xdr:nvGraphicFramePr>
        <xdr:cNvPr id="31" name="Gráfico 30">
          <a:extLst>
            <a:ext uri="{FF2B5EF4-FFF2-40B4-BE49-F238E27FC236}">
              <a16:creationId xmlns:a16="http://schemas.microsoft.com/office/drawing/2014/main" xmlns="" id="{00000000-0008-0000-07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9</xdr:col>
      <xdr:colOff>381001</xdr:colOff>
      <xdr:row>175</xdr:row>
      <xdr:rowOff>73025</xdr:rowOff>
    </xdr:from>
    <xdr:to>
      <xdr:col>17</xdr:col>
      <xdr:colOff>42334</xdr:colOff>
      <xdr:row>189</xdr:row>
      <xdr:rowOff>149225</xdr:rowOff>
    </xdr:to>
    <xdr:graphicFrame macro="">
      <xdr:nvGraphicFramePr>
        <xdr:cNvPr id="32" name="Gráfico 31">
          <a:extLst>
            <a:ext uri="{FF2B5EF4-FFF2-40B4-BE49-F238E27FC236}">
              <a16:creationId xmlns:a16="http://schemas.microsoft.com/office/drawing/2014/main" xmlns="" id="{00000000-0008-0000-07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0</xdr:col>
      <xdr:colOff>0</xdr:colOff>
      <xdr:row>190</xdr:row>
      <xdr:rowOff>20108</xdr:rowOff>
    </xdr:from>
    <xdr:to>
      <xdr:col>1</xdr:col>
      <xdr:colOff>550333</xdr:colOff>
      <xdr:row>204</xdr:row>
      <xdr:rowOff>96308</xdr:rowOff>
    </xdr:to>
    <xdr:graphicFrame macro="">
      <xdr:nvGraphicFramePr>
        <xdr:cNvPr id="33" name="Gráfico 32">
          <a:extLst>
            <a:ext uri="{FF2B5EF4-FFF2-40B4-BE49-F238E27FC236}">
              <a16:creationId xmlns:a16="http://schemas.microsoft.com/office/drawing/2014/main" xmlns="" id="{00000000-0008-0000-07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xdr:col>
      <xdr:colOff>21167</xdr:colOff>
      <xdr:row>190</xdr:row>
      <xdr:rowOff>30692</xdr:rowOff>
    </xdr:from>
    <xdr:to>
      <xdr:col>9</xdr:col>
      <xdr:colOff>296334</xdr:colOff>
      <xdr:row>204</xdr:row>
      <xdr:rowOff>106892</xdr:rowOff>
    </xdr:to>
    <xdr:graphicFrame macro="">
      <xdr:nvGraphicFramePr>
        <xdr:cNvPr id="34" name="Gráfico 33">
          <a:extLst>
            <a:ext uri="{FF2B5EF4-FFF2-40B4-BE49-F238E27FC236}">
              <a16:creationId xmlns:a16="http://schemas.microsoft.com/office/drawing/2014/main" xmlns="" id="{00000000-0008-0000-07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9</xdr:col>
      <xdr:colOff>391584</xdr:colOff>
      <xdr:row>190</xdr:row>
      <xdr:rowOff>30692</xdr:rowOff>
    </xdr:from>
    <xdr:to>
      <xdr:col>17</xdr:col>
      <xdr:colOff>52917</xdr:colOff>
      <xdr:row>204</xdr:row>
      <xdr:rowOff>106892</xdr:rowOff>
    </xdr:to>
    <xdr:graphicFrame macro="">
      <xdr:nvGraphicFramePr>
        <xdr:cNvPr id="35" name="Gráfico 34">
          <a:extLst>
            <a:ext uri="{FF2B5EF4-FFF2-40B4-BE49-F238E27FC236}">
              <a16:creationId xmlns:a16="http://schemas.microsoft.com/office/drawing/2014/main" xmlns="" id="{00000000-0008-0000-07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0</xdr:col>
      <xdr:colOff>21167</xdr:colOff>
      <xdr:row>204</xdr:row>
      <xdr:rowOff>189441</xdr:rowOff>
    </xdr:from>
    <xdr:to>
      <xdr:col>1</xdr:col>
      <xdr:colOff>571500</xdr:colOff>
      <xdr:row>219</xdr:row>
      <xdr:rowOff>75141</xdr:rowOff>
    </xdr:to>
    <xdr:graphicFrame macro="">
      <xdr:nvGraphicFramePr>
        <xdr:cNvPr id="36" name="Gráfico 35">
          <a:extLst>
            <a:ext uri="{FF2B5EF4-FFF2-40B4-BE49-F238E27FC236}">
              <a16:creationId xmlns:a16="http://schemas.microsoft.com/office/drawing/2014/main" xmlns="" id="{00000000-0008-0000-07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0</xdr:col>
      <xdr:colOff>1989668</xdr:colOff>
      <xdr:row>0</xdr:row>
      <xdr:rowOff>95251</xdr:rowOff>
    </xdr:from>
    <xdr:to>
      <xdr:col>10</xdr:col>
      <xdr:colOff>254001</xdr:colOff>
      <xdr:row>5</xdr:row>
      <xdr:rowOff>21167</xdr:rowOff>
    </xdr:to>
    <xdr:grpSp>
      <xdr:nvGrpSpPr>
        <xdr:cNvPr id="37" name="Grupo 36"/>
        <xdr:cNvGrpSpPr/>
      </xdr:nvGrpSpPr>
      <xdr:grpSpPr>
        <a:xfrm>
          <a:off x="1989668" y="95251"/>
          <a:ext cx="7810500" cy="878416"/>
          <a:chOff x="-1" y="18"/>
          <a:chExt cx="6086477" cy="762622"/>
        </a:xfrm>
        <a:solidFill>
          <a:srgbClr val="C00000"/>
        </a:solidFill>
      </xdr:grpSpPr>
      <xdr:sp macro="" textlink="">
        <xdr:nvSpPr>
          <xdr:cNvPr id="38" name="Pentágono 37">
            <a:hlinkClick xmlns:r="http://schemas.openxmlformats.org/officeDocument/2006/relationships" r:id="rId35"/>
          </xdr:cNvPr>
          <xdr:cNvSpPr/>
        </xdr:nvSpPr>
        <xdr:spPr>
          <a:xfrm rot="10800000">
            <a:off x="-1" y="18"/>
            <a:ext cx="6086477" cy="762622"/>
          </a:xfrm>
          <a:prstGeom prst="homePlate">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9" name="Pentágono 4"/>
          <xdr:cNvSpPr/>
        </xdr:nvSpPr>
        <xdr:spPr>
          <a:xfrm rot="21600000">
            <a:off x="190654" y="18"/>
            <a:ext cx="5895822" cy="762622"/>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336295" tIns="133350" rIns="248920" bIns="133350" numCol="1" spcCol="1270" anchor="ctr" anchorCtr="0">
            <a:noAutofit/>
          </a:bodyPr>
          <a:lstStyle/>
          <a:p>
            <a:pPr lvl="0" algn="ctr" defTabSz="1555750">
              <a:lnSpc>
                <a:spcPct val="90000"/>
              </a:lnSpc>
              <a:spcBef>
                <a:spcPct val="0"/>
              </a:spcBef>
              <a:spcAft>
                <a:spcPct val="35000"/>
              </a:spcAft>
            </a:pPr>
            <a:r>
              <a:rPr lang="pt-BR" sz="2800" kern="1200"/>
              <a:t>Gráficos Conformidade</a:t>
            </a:r>
          </a:p>
        </xdr:txBody>
      </xdr:sp>
    </xdr:grpSp>
    <xdr:clientData/>
  </xdr:twoCellAnchor>
  <xdr:twoCellAnchor>
    <xdr:from>
      <xdr:col>13</xdr:col>
      <xdr:colOff>296332</xdr:colOff>
      <xdr:row>0</xdr:row>
      <xdr:rowOff>84666</xdr:rowOff>
    </xdr:from>
    <xdr:to>
      <xdr:col>16</xdr:col>
      <xdr:colOff>364067</xdr:colOff>
      <xdr:row>5</xdr:row>
      <xdr:rowOff>116416</xdr:rowOff>
    </xdr:to>
    <xdr:sp macro="" textlink="">
      <xdr:nvSpPr>
        <xdr:cNvPr id="40" name="Seta para a esquerda 39">
          <a:hlinkClick xmlns:r="http://schemas.openxmlformats.org/officeDocument/2006/relationships" r:id="rId36"/>
        </xdr:cNvPr>
        <xdr:cNvSpPr/>
      </xdr:nvSpPr>
      <xdr:spPr>
        <a:xfrm>
          <a:off x="11683999" y="84666"/>
          <a:ext cx="1909235" cy="984250"/>
        </a:xfrm>
        <a:prstGeom prst="leftArrow">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t>Menu</a:t>
          </a:r>
          <a:endParaRPr lang="pt-BR" sz="1400" b="1" baseline="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371475</xdr:colOff>
      <xdr:row>13</xdr:row>
      <xdr:rowOff>152400</xdr:rowOff>
    </xdr:to>
    <xdr:pic>
      <xdr:nvPicPr>
        <xdr:cNvPr id="3" name="Imagem 2">
          <a:extLst>
            <a:ext uri="{FF2B5EF4-FFF2-40B4-BE49-F238E27FC236}">
              <a16:creationId xmlns:a16="http://schemas.microsoft.com/office/drawing/2014/main" xmlns=""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029075"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533400</xdr:colOff>
      <xdr:row>0</xdr:row>
      <xdr:rowOff>0</xdr:rowOff>
    </xdr:from>
    <xdr:to>
      <xdr:col>13</xdr:col>
      <xdr:colOff>247650</xdr:colOff>
      <xdr:row>9</xdr:row>
      <xdr:rowOff>180975</xdr:rowOff>
    </xdr:to>
    <xdr:pic>
      <xdr:nvPicPr>
        <xdr:cNvPr id="4" name="Imagem 3">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91000" y="0"/>
          <a:ext cx="3981450"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323850</xdr:colOff>
      <xdr:row>0</xdr:row>
      <xdr:rowOff>19050</xdr:rowOff>
    </xdr:from>
    <xdr:to>
      <xdr:col>20</xdr:col>
      <xdr:colOff>38100</xdr:colOff>
      <xdr:row>15</xdr:row>
      <xdr:rowOff>161925</xdr:rowOff>
    </xdr:to>
    <xdr:pic>
      <xdr:nvPicPr>
        <xdr:cNvPr id="5" name="Imagem 4">
          <a:extLst>
            <a:ext uri="{FF2B5EF4-FFF2-40B4-BE49-F238E27FC236}">
              <a16:creationId xmlns:a16="http://schemas.microsoft.com/office/drawing/2014/main" xmlns="" id="{00000000-0008-0000-08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48650" y="19050"/>
          <a:ext cx="3981450" cy="3000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533400</xdr:colOff>
      <xdr:row>10</xdr:row>
      <xdr:rowOff>142875</xdr:rowOff>
    </xdr:from>
    <xdr:to>
      <xdr:col>13</xdr:col>
      <xdr:colOff>266700</xdr:colOff>
      <xdr:row>17</xdr:row>
      <xdr:rowOff>161925</xdr:rowOff>
    </xdr:to>
    <xdr:pic>
      <xdr:nvPicPr>
        <xdr:cNvPr id="6" name="Imagem 5">
          <a:extLst>
            <a:ext uri="{FF2B5EF4-FFF2-40B4-BE49-F238E27FC236}">
              <a16:creationId xmlns:a16="http://schemas.microsoft.com/office/drawing/2014/main" xmlns="" id="{00000000-0008-0000-08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91000" y="2047875"/>
          <a:ext cx="400050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up2place.com.br/" TargetMode="External"/><Relationship Id="rId1" Type="http://schemas.openxmlformats.org/officeDocument/2006/relationships/hyperlink" Target="mailto:sidnei.goncalves@up2place.com.br"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mailto:ronaldogmartins@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D32"/>
  <sheetViews>
    <sheetView showGridLines="0" showRowColHeaders="0" tabSelected="1" zoomScaleNormal="100" workbookViewId="0"/>
  </sheetViews>
  <sheetFormatPr defaultColWidth="9.140625" defaultRowHeight="15" x14ac:dyDescent="0.25"/>
  <cols>
    <col min="1" max="16384" width="9.140625" style="69"/>
  </cols>
  <sheetData>
    <row r="1" spans="1:3" ht="21" x14ac:dyDescent="0.35">
      <c r="C1" s="74"/>
    </row>
    <row r="7" spans="1:3" x14ac:dyDescent="0.25">
      <c r="A7" s="60"/>
    </row>
    <row r="32" spans="4:4" x14ac:dyDescent="0.25">
      <c r="D32" s="81"/>
    </row>
  </sheetData>
  <sheetProtection algorithmName="SHA-512" hashValue="ZiJ9MYNngEgf6VtImyzfrjs+Xdpaqpqt3OxhLjY6+g8+rHXw4ZRrK1qiDfzoEi/b6Np9HPd30zaZFOa3sA1l/Q==" saltValue="k5767gi874H3A2oWoHFbaw==" spinCount="100000" sheet="1" objects="1" scenarios="1" selectLockedCells="1"/>
  <pageMargins left="0.511811024" right="0.511811024" top="0.78740157499999996" bottom="0.78740157499999996" header="0.31496062000000002" footer="0.31496062000000002"/>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Normal="100" workbookViewId="0">
      <selection activeCell="T4" sqref="T4"/>
    </sheetView>
  </sheetViews>
  <sheetFormatPr defaultRowHeight="15" x14ac:dyDescent="0.25"/>
  <sheetData/>
  <sheetProtection algorithmName="SHA-512" hashValue="7WfBhzjPx+rcBq9LcsNRha2YJXUagqrpaJ0cW/2+Vf8NqRcwrCzoN8MfTQv9t2sk1TKyeAqOITDIOz09RKDqQw==" saltValue="i46e0hTDsg6m0MRsFq3kYQ==" spinCount="100000" sheet="1" objects="1" scenarios="1" selectLockedCells="1" selectUnlockedCells="1"/>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3"/>
  <sheetViews>
    <sheetView showGridLines="0" showRowColHeaders="0" topLeftCell="A13" workbookViewId="0">
      <selection activeCell="B2" sqref="B2"/>
    </sheetView>
  </sheetViews>
  <sheetFormatPr defaultRowHeight="15" x14ac:dyDescent="0.25"/>
  <cols>
    <col min="1" max="1" width="25.28515625" customWidth="1"/>
    <col min="2" max="2" width="8.5703125" customWidth="1"/>
  </cols>
  <sheetData>
    <row r="1" spans="2:14" s="69" customFormat="1" x14ac:dyDescent="0.25">
      <c r="N1" s="122" t="s">
        <v>554</v>
      </c>
    </row>
    <row r="2" spans="2:14" ht="18.75" x14ac:dyDescent="0.25">
      <c r="B2" s="121" t="s">
        <v>466</v>
      </c>
      <c r="C2" s="92"/>
      <c r="D2" s="92"/>
      <c r="E2" s="92"/>
      <c r="F2" s="92"/>
      <c r="G2" s="92"/>
      <c r="H2" s="92"/>
      <c r="I2" s="92"/>
      <c r="J2" s="92"/>
      <c r="K2" s="92"/>
      <c r="L2" s="92"/>
      <c r="M2" s="92"/>
      <c r="N2" s="93"/>
    </row>
    <row r="3" spans="2:14" ht="10.5" customHeight="1" x14ac:dyDescent="0.25">
      <c r="B3" s="94"/>
      <c r="C3" s="95"/>
      <c r="D3" s="95"/>
      <c r="E3" s="95"/>
      <c r="F3" s="95"/>
      <c r="G3" s="95"/>
      <c r="H3" s="95"/>
      <c r="I3" s="95"/>
      <c r="J3" s="95"/>
      <c r="K3" s="95"/>
      <c r="L3" s="95"/>
      <c r="M3" s="95"/>
      <c r="N3" s="96"/>
    </row>
    <row r="4" spans="2:14" x14ac:dyDescent="0.25">
      <c r="B4" s="91" t="s">
        <v>467</v>
      </c>
      <c r="C4" s="95"/>
      <c r="D4" s="95"/>
      <c r="E4" s="95"/>
      <c r="F4" s="95"/>
      <c r="G4" s="95"/>
      <c r="H4" s="95"/>
      <c r="I4" s="95"/>
      <c r="J4" s="95"/>
      <c r="K4" s="95"/>
      <c r="L4" s="95"/>
      <c r="M4" s="95"/>
      <c r="N4" s="96"/>
    </row>
    <row r="5" spans="2:14" ht="8.25" customHeight="1" x14ac:dyDescent="0.25">
      <c r="B5" s="91"/>
      <c r="C5" s="95"/>
      <c r="D5" s="95"/>
      <c r="E5" s="95"/>
      <c r="F5" s="95"/>
      <c r="G5" s="95"/>
      <c r="H5" s="95"/>
      <c r="I5" s="95"/>
      <c r="J5" s="95"/>
      <c r="K5" s="95"/>
      <c r="L5" s="95"/>
      <c r="M5" s="95"/>
      <c r="N5" s="96"/>
    </row>
    <row r="6" spans="2:14" ht="39.75" customHeight="1" x14ac:dyDescent="0.25">
      <c r="B6" s="124" t="s">
        <v>469</v>
      </c>
      <c r="C6" s="125"/>
      <c r="D6" s="125"/>
      <c r="E6" s="125"/>
      <c r="F6" s="125"/>
      <c r="G6" s="125"/>
      <c r="H6" s="125"/>
      <c r="I6" s="125"/>
      <c r="J6" s="125"/>
      <c r="K6" s="125"/>
      <c r="L6" s="125"/>
      <c r="M6" s="125"/>
      <c r="N6" s="96"/>
    </row>
    <row r="7" spans="2:14" x14ac:dyDescent="0.25">
      <c r="B7" s="97" t="s">
        <v>468</v>
      </c>
      <c r="C7" s="95"/>
      <c r="D7" s="95"/>
      <c r="E7" s="95"/>
      <c r="F7" s="95"/>
      <c r="G7" s="95"/>
      <c r="H7" s="95"/>
      <c r="I7" s="95"/>
      <c r="J7" s="95"/>
      <c r="K7" s="95"/>
      <c r="L7" s="95"/>
      <c r="M7" s="95"/>
      <c r="N7" s="96"/>
    </row>
    <row r="8" spans="2:14" x14ac:dyDescent="0.25">
      <c r="B8" s="91"/>
      <c r="C8" s="95"/>
      <c r="D8" s="95"/>
      <c r="E8" s="95"/>
      <c r="F8" s="95"/>
      <c r="G8" s="95"/>
      <c r="H8" s="95"/>
      <c r="I8" s="95"/>
      <c r="J8" s="95"/>
      <c r="K8" s="95"/>
      <c r="L8" s="95"/>
      <c r="M8" s="95"/>
      <c r="N8" s="96"/>
    </row>
    <row r="9" spans="2:14" x14ac:dyDescent="0.25">
      <c r="B9" s="91" t="s">
        <v>470</v>
      </c>
      <c r="C9" s="95"/>
      <c r="D9" s="95"/>
      <c r="E9" s="95"/>
      <c r="F9" s="95"/>
      <c r="G9" s="95"/>
      <c r="H9" s="95"/>
      <c r="I9" s="95"/>
      <c r="J9" s="95"/>
      <c r="K9" s="95"/>
      <c r="L9" s="95"/>
      <c r="M9" s="95"/>
      <c r="N9" s="96"/>
    </row>
    <row r="10" spans="2:14" s="69" customFormat="1" ht="25.5" customHeight="1" x14ac:dyDescent="0.25">
      <c r="B10" s="124" t="s">
        <v>548</v>
      </c>
      <c r="C10" s="125"/>
      <c r="D10" s="125"/>
      <c r="E10" s="125"/>
      <c r="F10" s="125"/>
      <c r="G10" s="125"/>
      <c r="H10" s="125"/>
      <c r="I10" s="125"/>
      <c r="J10" s="125"/>
      <c r="K10" s="125"/>
      <c r="L10" s="125"/>
      <c r="M10" s="125"/>
      <c r="N10" s="126"/>
    </row>
    <row r="11" spans="2:14" s="69" customFormat="1" x14ac:dyDescent="0.25">
      <c r="B11" s="91" t="s">
        <v>471</v>
      </c>
      <c r="C11" s="95"/>
      <c r="D11" s="95"/>
      <c r="E11" s="95"/>
      <c r="F11" s="95"/>
      <c r="G11" s="95"/>
      <c r="H11" s="95"/>
      <c r="I11" s="95"/>
      <c r="J11" s="95"/>
      <c r="K11" s="95"/>
      <c r="L11" s="95"/>
      <c r="M11" s="95"/>
      <c r="N11" s="96"/>
    </row>
    <row r="12" spans="2:14" s="69" customFormat="1" ht="32.25" customHeight="1" x14ac:dyDescent="0.25">
      <c r="B12" s="124" t="s">
        <v>472</v>
      </c>
      <c r="C12" s="125"/>
      <c r="D12" s="125"/>
      <c r="E12" s="125"/>
      <c r="F12" s="125"/>
      <c r="G12" s="125"/>
      <c r="H12" s="125"/>
      <c r="I12" s="125"/>
      <c r="J12" s="125"/>
      <c r="K12" s="125"/>
      <c r="L12" s="125"/>
      <c r="M12" s="125"/>
      <c r="N12" s="126"/>
    </row>
    <row r="13" spans="2:14" s="69" customFormat="1" x14ac:dyDescent="0.25">
      <c r="B13" s="127" t="s">
        <v>541</v>
      </c>
      <c r="C13" s="125"/>
      <c r="D13" s="125"/>
      <c r="E13" s="125"/>
      <c r="F13" s="125"/>
      <c r="G13" s="125"/>
      <c r="H13" s="125"/>
      <c r="I13" s="125"/>
      <c r="J13" s="125"/>
      <c r="K13" s="125"/>
      <c r="L13" s="125"/>
      <c r="M13" s="125"/>
      <c r="N13" s="126"/>
    </row>
    <row r="14" spans="2:14" x14ac:dyDescent="0.25">
      <c r="B14" s="120" t="s">
        <v>542</v>
      </c>
      <c r="C14" s="95"/>
      <c r="D14" s="95"/>
      <c r="E14" s="95"/>
      <c r="F14" s="95"/>
      <c r="G14" s="95"/>
      <c r="H14" s="95"/>
      <c r="I14" s="95"/>
      <c r="J14" s="95"/>
      <c r="K14" s="95"/>
      <c r="L14" s="95"/>
      <c r="M14" s="95"/>
      <c r="N14" s="96"/>
    </row>
    <row r="15" spans="2:14" x14ac:dyDescent="0.25">
      <c r="B15" s="98" t="s">
        <v>456</v>
      </c>
      <c r="C15" s="95"/>
      <c r="D15" s="95"/>
      <c r="E15" s="95"/>
      <c r="F15" s="95"/>
      <c r="G15" s="95"/>
      <c r="H15" s="95"/>
      <c r="I15" s="95"/>
      <c r="J15" s="95"/>
      <c r="K15" s="95"/>
      <c r="L15" s="95"/>
      <c r="M15" s="95"/>
      <c r="N15" s="96"/>
    </row>
    <row r="16" spans="2:14" x14ac:dyDescent="0.25">
      <c r="B16" s="98" t="s">
        <v>457</v>
      </c>
      <c r="C16" s="95"/>
      <c r="D16" s="95"/>
      <c r="E16" s="95"/>
      <c r="F16" s="95"/>
      <c r="G16" s="95"/>
      <c r="H16" s="95"/>
      <c r="I16" s="95"/>
      <c r="J16" s="95"/>
      <c r="K16" s="95"/>
      <c r="L16" s="95"/>
      <c r="M16" s="95"/>
      <c r="N16" s="96"/>
    </row>
    <row r="17" spans="2:14" x14ac:dyDescent="0.25">
      <c r="B17" s="98" t="s">
        <v>458</v>
      </c>
      <c r="C17" s="95"/>
      <c r="D17" s="95"/>
      <c r="E17" s="95"/>
      <c r="F17" s="95"/>
      <c r="G17" s="95"/>
      <c r="H17" s="95"/>
      <c r="I17" s="95"/>
      <c r="J17" s="95"/>
      <c r="K17" s="95"/>
      <c r="L17" s="95"/>
      <c r="M17" s="95"/>
      <c r="N17" s="96"/>
    </row>
    <row r="18" spans="2:14" x14ac:dyDescent="0.25">
      <c r="B18" s="98" t="s">
        <v>459</v>
      </c>
      <c r="C18" s="95"/>
      <c r="D18" s="95"/>
      <c r="E18" s="95"/>
      <c r="F18" s="95"/>
      <c r="G18" s="95"/>
      <c r="H18" s="95"/>
      <c r="I18" s="95"/>
      <c r="J18" s="95"/>
      <c r="K18" s="95"/>
      <c r="L18" s="95"/>
      <c r="M18" s="95"/>
      <c r="N18" s="96"/>
    </row>
    <row r="19" spans="2:14" x14ac:dyDescent="0.25">
      <c r="B19" s="120" t="s">
        <v>543</v>
      </c>
      <c r="C19" s="95"/>
      <c r="D19" s="95"/>
      <c r="E19" s="95"/>
      <c r="F19" s="95"/>
      <c r="G19" s="95"/>
      <c r="H19" s="95"/>
      <c r="I19" s="95"/>
      <c r="J19" s="95"/>
      <c r="K19" s="95"/>
      <c r="L19" s="95"/>
      <c r="M19" s="95"/>
      <c r="N19" s="96"/>
    </row>
    <row r="20" spans="2:14" x14ac:dyDescent="0.25">
      <c r="B20" s="120" t="s">
        <v>544</v>
      </c>
      <c r="C20" s="95"/>
      <c r="D20" s="95"/>
      <c r="E20" s="95"/>
      <c r="F20" s="95"/>
      <c r="G20" s="95"/>
      <c r="H20" s="95"/>
      <c r="I20" s="95"/>
      <c r="J20" s="95"/>
      <c r="K20" s="95"/>
      <c r="L20" s="95"/>
      <c r="M20" s="95"/>
      <c r="N20" s="96"/>
    </row>
    <row r="21" spans="2:14" s="69" customFormat="1" x14ac:dyDescent="0.25">
      <c r="B21" s="120" t="s">
        <v>545</v>
      </c>
      <c r="C21" s="95"/>
      <c r="D21" s="95"/>
      <c r="E21" s="95"/>
      <c r="F21" s="95"/>
      <c r="G21" s="95"/>
      <c r="H21" s="95"/>
      <c r="I21" s="95"/>
      <c r="J21" s="95"/>
      <c r="K21" s="95"/>
      <c r="L21" s="95"/>
      <c r="M21" s="95"/>
      <c r="N21" s="96"/>
    </row>
    <row r="22" spans="2:14" x14ac:dyDescent="0.25">
      <c r="B22" s="91"/>
      <c r="C22" s="95"/>
      <c r="D22" s="95"/>
      <c r="E22" s="95"/>
      <c r="F22" s="95"/>
      <c r="G22" s="95"/>
      <c r="H22" s="95"/>
      <c r="I22" s="95"/>
      <c r="J22" s="95"/>
      <c r="K22" s="95"/>
      <c r="L22" s="95"/>
      <c r="M22" s="95"/>
      <c r="N22" s="96"/>
    </row>
    <row r="23" spans="2:14" x14ac:dyDescent="0.25">
      <c r="B23" s="97" t="s">
        <v>474</v>
      </c>
      <c r="C23" s="95"/>
      <c r="D23" s="95"/>
      <c r="E23" s="95"/>
      <c r="F23" s="95"/>
      <c r="G23" s="95"/>
      <c r="H23" s="95"/>
      <c r="I23" s="95"/>
      <c r="J23" s="95"/>
      <c r="K23" s="95"/>
      <c r="L23" s="95"/>
      <c r="M23" s="95"/>
      <c r="N23" s="96"/>
    </row>
    <row r="24" spans="2:14" x14ac:dyDescent="0.25">
      <c r="B24" s="91"/>
      <c r="C24" s="95"/>
      <c r="D24" s="95"/>
      <c r="E24" s="95"/>
      <c r="F24" s="95"/>
      <c r="G24" s="95"/>
      <c r="H24" s="95"/>
      <c r="I24" s="95"/>
      <c r="J24" s="95"/>
      <c r="K24" s="95"/>
      <c r="L24" s="95"/>
      <c r="M24" s="95"/>
      <c r="N24" s="96"/>
    </row>
    <row r="25" spans="2:14" ht="15.75" customHeight="1" x14ac:dyDescent="0.25">
      <c r="B25" s="99" t="s">
        <v>460</v>
      </c>
      <c r="C25" s="95"/>
      <c r="D25" s="95"/>
      <c r="E25" s="95"/>
      <c r="F25" s="95"/>
      <c r="G25" s="95"/>
      <c r="H25" s="95"/>
      <c r="I25" s="95"/>
      <c r="J25" s="95"/>
      <c r="K25" s="95"/>
      <c r="L25" s="95"/>
      <c r="M25" s="95"/>
      <c r="N25" s="96"/>
    </row>
    <row r="26" spans="2:14" x14ac:dyDescent="0.25">
      <c r="B26" s="97" t="s">
        <v>462</v>
      </c>
      <c r="C26" s="100" t="s">
        <v>551</v>
      </c>
      <c r="D26" s="95"/>
      <c r="E26" s="95"/>
      <c r="F26" s="95"/>
      <c r="G26" s="95"/>
      <c r="H26" s="95"/>
      <c r="I26" s="95"/>
      <c r="J26" s="95"/>
      <c r="K26" s="95"/>
      <c r="L26" s="95"/>
      <c r="M26" s="95"/>
      <c r="N26" s="96"/>
    </row>
    <row r="27" spans="2:14" x14ac:dyDescent="0.25">
      <c r="B27" s="97" t="s">
        <v>463</v>
      </c>
      <c r="C27" s="95" t="s">
        <v>461</v>
      </c>
      <c r="D27" s="95"/>
      <c r="E27" s="95"/>
      <c r="F27" s="95"/>
      <c r="G27" s="95"/>
      <c r="H27" s="95"/>
      <c r="I27" s="95"/>
      <c r="J27" s="95"/>
      <c r="K27" s="95"/>
      <c r="L27" s="95"/>
      <c r="M27" s="95"/>
      <c r="N27" s="96"/>
    </row>
    <row r="28" spans="2:14" x14ac:dyDescent="0.25">
      <c r="B28" s="97" t="s">
        <v>464</v>
      </c>
      <c r="C28" s="100" t="s">
        <v>465</v>
      </c>
      <c r="D28" s="95"/>
      <c r="E28" s="95"/>
      <c r="F28" s="95"/>
      <c r="G28" s="95"/>
      <c r="H28" s="95"/>
      <c r="I28" s="95"/>
      <c r="J28" s="95"/>
      <c r="K28" s="95"/>
      <c r="L28" s="95"/>
      <c r="M28" s="95"/>
      <c r="N28" s="96"/>
    </row>
    <row r="29" spans="2:14" x14ac:dyDescent="0.25">
      <c r="B29" s="91"/>
      <c r="C29" s="95"/>
      <c r="D29" s="95"/>
      <c r="E29" s="95"/>
      <c r="F29" s="95"/>
      <c r="G29" s="95"/>
      <c r="H29" s="95"/>
      <c r="I29" s="95"/>
      <c r="J29" s="95"/>
      <c r="K29" s="95"/>
      <c r="L29" s="95"/>
      <c r="M29" s="95"/>
      <c r="N29" s="96"/>
    </row>
    <row r="30" spans="2:14" x14ac:dyDescent="0.25">
      <c r="B30" s="91" t="s">
        <v>473</v>
      </c>
      <c r="C30" s="95"/>
      <c r="D30" s="95"/>
      <c r="E30" s="95"/>
      <c r="F30" s="95"/>
      <c r="G30" s="95"/>
      <c r="H30" s="95"/>
      <c r="I30" s="95"/>
      <c r="J30" s="95"/>
      <c r="K30" s="95"/>
      <c r="L30" s="95"/>
      <c r="M30" s="95"/>
      <c r="N30" s="96"/>
    </row>
    <row r="31" spans="2:14" x14ac:dyDescent="0.25">
      <c r="B31" s="91"/>
      <c r="C31" s="95"/>
      <c r="D31" s="95"/>
      <c r="E31" s="95"/>
      <c r="F31" s="95"/>
      <c r="G31" s="95"/>
      <c r="H31" s="95"/>
      <c r="I31" s="95"/>
      <c r="J31" s="95"/>
      <c r="K31" s="95"/>
      <c r="L31" s="95"/>
      <c r="M31" s="95"/>
      <c r="N31" s="96"/>
    </row>
    <row r="32" spans="2:14" x14ac:dyDescent="0.25">
      <c r="B32" s="91" t="s">
        <v>552</v>
      </c>
      <c r="C32" s="95"/>
      <c r="D32" s="95"/>
      <c r="E32" s="95"/>
      <c r="F32" s="95"/>
      <c r="G32" s="95"/>
      <c r="H32" s="95"/>
      <c r="I32" s="95"/>
      <c r="J32" s="95"/>
      <c r="K32" s="95"/>
      <c r="L32" s="95"/>
      <c r="M32" s="95"/>
      <c r="N32" s="96"/>
    </row>
    <row r="33" spans="2:14" x14ac:dyDescent="0.25">
      <c r="B33" s="101" t="s">
        <v>553</v>
      </c>
      <c r="C33" s="102"/>
      <c r="D33" s="102"/>
      <c r="E33" s="102"/>
      <c r="F33" s="102"/>
      <c r="G33" s="102"/>
      <c r="H33" s="102"/>
      <c r="I33" s="102"/>
      <c r="J33" s="102"/>
      <c r="K33" s="102"/>
      <c r="L33" s="102"/>
      <c r="M33" s="102"/>
      <c r="N33" s="103"/>
    </row>
  </sheetData>
  <sheetProtection algorithmName="SHA-512" hashValue="vrCddyaMfuA0bKc3AjeCHHdnaoe05p+zgnb278v714W68Wp1qp3VgIp5YXXhXIvmLL7RUw9s3XT3RkRYyV/Vmw==" saltValue="2CqAEW6V+wISm4fQtNc38g==" spinCount="100000" sheet="1" objects="1" scenarios="1" selectLockedCells="1" selectUnlockedCells="1"/>
  <mergeCells count="4">
    <mergeCell ref="B12:N12"/>
    <mergeCell ref="B6:M6"/>
    <mergeCell ref="B13:N13"/>
    <mergeCell ref="B10:N10"/>
  </mergeCells>
  <hyperlinks>
    <hyperlink ref="C26" r:id="rId1"/>
    <hyperlink ref="C28" r:id="rId2"/>
  </hyperlinks>
  <pageMargins left="0.511811024" right="0.511811024" top="0.78740157499999996" bottom="0.78740157499999996" header="0.31496062000000002" footer="0.31496062000000002"/>
  <pageSetup paperSize="9" orientation="portrait" horizontalDpi="360" verticalDpi="360"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44"/>
  <sheetViews>
    <sheetView showGridLines="0" zoomScale="85" zoomScaleNormal="85" workbookViewId="0">
      <selection activeCell="Z44" sqref="Z44"/>
    </sheetView>
  </sheetViews>
  <sheetFormatPr defaultRowHeight="15" x14ac:dyDescent="0.25"/>
  <cols>
    <col min="1" max="1" width="8.28515625" customWidth="1"/>
    <col min="2" max="2" width="64.28515625" customWidth="1"/>
    <col min="3" max="17" width="3.7109375" customWidth="1"/>
    <col min="18" max="18" width="7.28515625" style="1" customWidth="1"/>
    <col min="19" max="19" width="5.5703125" style="1" customWidth="1"/>
    <col min="20" max="25" width="3.7109375" customWidth="1"/>
    <col min="26" max="26" width="7.28515625" style="1" customWidth="1"/>
  </cols>
  <sheetData>
    <row r="1" spans="1:26" ht="28.5" x14ac:dyDescent="0.45">
      <c r="A1" s="70" t="s">
        <v>0</v>
      </c>
      <c r="B1" s="70"/>
      <c r="C1" s="61"/>
      <c r="D1" s="61"/>
      <c r="E1" s="61"/>
      <c r="F1" s="61"/>
      <c r="G1" s="69"/>
      <c r="H1" s="69"/>
      <c r="I1" s="69"/>
      <c r="J1" s="69"/>
      <c r="K1" s="69"/>
      <c r="L1" s="69"/>
      <c r="M1" s="69"/>
      <c r="N1" s="69"/>
      <c r="O1" s="69"/>
      <c r="P1" s="69"/>
      <c r="Q1" s="69"/>
      <c r="T1" s="69"/>
      <c r="U1" s="69"/>
      <c r="V1" s="69"/>
      <c r="W1" s="69"/>
      <c r="X1" s="69"/>
      <c r="Y1" s="69"/>
    </row>
    <row r="2" spans="1:26" ht="28.5" x14ac:dyDescent="0.45">
      <c r="A2" s="70" t="s">
        <v>1</v>
      </c>
      <c r="B2" s="70"/>
      <c r="C2" s="61"/>
      <c r="D2" s="61"/>
      <c r="E2" s="61"/>
      <c r="F2" s="61"/>
      <c r="G2" s="69"/>
      <c r="H2" s="69"/>
      <c r="I2" s="69"/>
      <c r="J2" s="69"/>
      <c r="K2" s="69"/>
      <c r="L2" s="69"/>
      <c r="M2" s="69"/>
      <c r="N2" s="69"/>
      <c r="O2" s="69"/>
      <c r="P2" s="69"/>
      <c r="Q2" s="69"/>
      <c r="T2" s="69"/>
      <c r="U2" s="69"/>
      <c r="V2" s="69"/>
      <c r="W2" s="69"/>
      <c r="X2" s="69"/>
      <c r="Y2" s="69"/>
    </row>
    <row r="3" spans="1:26" ht="26.25" customHeight="1" thickBot="1" x14ac:dyDescent="0.3">
      <c r="A3" s="69"/>
      <c r="B3" s="69"/>
      <c r="C3" s="69"/>
      <c r="D3" s="69"/>
      <c r="E3" s="69"/>
      <c r="F3" s="69"/>
      <c r="G3" s="69"/>
      <c r="H3" s="69"/>
      <c r="I3" s="69"/>
      <c r="J3" s="69"/>
      <c r="K3" s="69"/>
      <c r="L3" s="69"/>
      <c r="M3" s="69"/>
      <c r="N3" s="69"/>
      <c r="O3" s="69"/>
      <c r="P3" s="69"/>
      <c r="Q3" s="69"/>
      <c r="T3" s="69"/>
      <c r="U3" s="69"/>
      <c r="V3" s="69"/>
      <c r="W3" s="69"/>
      <c r="X3" s="69"/>
      <c r="Y3" s="69"/>
    </row>
    <row r="4" spans="1:26" ht="18" customHeight="1" thickBot="1" x14ac:dyDescent="0.3">
      <c r="A4" s="69"/>
      <c r="B4" s="69"/>
      <c r="C4" s="131" t="s">
        <v>2</v>
      </c>
      <c r="D4" s="132"/>
      <c r="E4" s="132"/>
      <c r="F4" s="132"/>
      <c r="G4" s="132"/>
      <c r="H4" s="132"/>
      <c r="I4" s="132"/>
      <c r="J4" s="132"/>
      <c r="K4" s="132"/>
      <c r="L4" s="132"/>
      <c r="M4" s="132"/>
      <c r="N4" s="132"/>
      <c r="O4" s="132"/>
      <c r="P4" s="132"/>
      <c r="Q4" s="133"/>
      <c r="R4" s="2" t="s">
        <v>3</v>
      </c>
      <c r="S4" s="2" t="s">
        <v>4</v>
      </c>
      <c r="T4" s="69"/>
      <c r="U4" s="69"/>
      <c r="V4" s="69"/>
      <c r="W4" s="69"/>
      <c r="X4" s="69"/>
      <c r="Y4" s="69"/>
      <c r="Z4" s="2"/>
    </row>
    <row r="5" spans="1:26" ht="111" thickBot="1" x14ac:dyDescent="0.3">
      <c r="A5" s="5" t="s">
        <v>5</v>
      </c>
      <c r="B5" s="6" t="s">
        <v>6</v>
      </c>
      <c r="C5" s="7">
        <v>1</v>
      </c>
      <c r="D5" s="7">
        <v>2</v>
      </c>
      <c r="E5" s="7">
        <v>3</v>
      </c>
      <c r="F5" s="7">
        <v>4</v>
      </c>
      <c r="G5" s="7">
        <v>5</v>
      </c>
      <c r="H5" s="7">
        <v>6</v>
      </c>
      <c r="I5" s="7">
        <v>7</v>
      </c>
      <c r="J5" s="7">
        <v>8</v>
      </c>
      <c r="K5" s="7">
        <v>9</v>
      </c>
      <c r="L5" s="7">
        <v>10</v>
      </c>
      <c r="M5" s="7">
        <v>11</v>
      </c>
      <c r="N5" s="7">
        <v>12</v>
      </c>
      <c r="O5" s="7">
        <v>13</v>
      </c>
      <c r="P5" s="7">
        <v>14</v>
      </c>
      <c r="Q5" s="6">
        <v>15</v>
      </c>
      <c r="R5" s="3" t="s">
        <v>7</v>
      </c>
      <c r="S5" s="4" t="s">
        <v>8</v>
      </c>
      <c r="T5" s="8" t="s">
        <v>9</v>
      </c>
      <c r="U5" s="9" t="s">
        <v>10</v>
      </c>
      <c r="V5" s="9" t="s">
        <v>11</v>
      </c>
      <c r="W5" s="9" t="s">
        <v>12</v>
      </c>
      <c r="X5" s="9" t="s">
        <v>13</v>
      </c>
      <c r="Y5" s="10" t="s">
        <v>14</v>
      </c>
      <c r="Z5" s="3" t="s">
        <v>550</v>
      </c>
    </row>
    <row r="6" spans="1:26" ht="15.75" thickBot="1" x14ac:dyDescent="0.3">
      <c r="A6" s="134" t="s">
        <v>15</v>
      </c>
      <c r="B6" s="137" t="s">
        <v>16</v>
      </c>
      <c r="C6" s="138"/>
      <c r="D6" s="138"/>
      <c r="E6" s="138"/>
      <c r="F6" s="138"/>
      <c r="G6" s="138"/>
      <c r="H6" s="138"/>
      <c r="I6" s="138"/>
      <c r="J6" s="138"/>
      <c r="K6" s="138"/>
      <c r="L6" s="138"/>
      <c r="M6" s="138"/>
      <c r="N6" s="138"/>
      <c r="O6" s="138"/>
      <c r="P6" s="138"/>
      <c r="Q6" s="138"/>
      <c r="R6" s="138"/>
      <c r="S6" s="138"/>
      <c r="T6" s="138"/>
      <c r="U6" s="138"/>
      <c r="V6" s="138"/>
      <c r="W6" s="138"/>
      <c r="X6" s="138"/>
      <c r="Y6" s="139"/>
      <c r="Z6"/>
    </row>
    <row r="7" spans="1:26" ht="15.75" thickBot="1" x14ac:dyDescent="0.3">
      <c r="A7" s="135"/>
      <c r="B7" s="65" t="s">
        <v>17</v>
      </c>
      <c r="C7" s="65">
        <f>+'PO - Questionário'!D5</f>
        <v>0</v>
      </c>
      <c r="D7" s="65">
        <f>+'PO - Questionário'!D6</f>
        <v>0</v>
      </c>
      <c r="E7" s="65">
        <f>+'PO - Questionário'!D7</f>
        <v>0</v>
      </c>
      <c r="F7" s="65">
        <f>+'PO - Questionário'!D8</f>
        <v>0</v>
      </c>
      <c r="G7" s="65">
        <f>+'PO - Questionário'!D9</f>
        <v>0</v>
      </c>
      <c r="H7" s="65">
        <f>+'PO - Questionário'!D10</f>
        <v>0</v>
      </c>
      <c r="I7" s="65"/>
      <c r="J7" s="65"/>
      <c r="K7" s="65"/>
      <c r="L7" s="65"/>
      <c r="M7" s="65"/>
      <c r="N7" s="65"/>
      <c r="O7" s="65"/>
      <c r="P7" s="65"/>
      <c r="Q7" s="11"/>
      <c r="R7" s="28">
        <f t="shared" ref="R7:R16" si="0">+SUM(C7:Q7)/S7</f>
        <v>0</v>
      </c>
      <c r="S7" s="12">
        <f t="shared" ref="S7:S16" si="1">COUNTA(C7:Q7)</f>
        <v>6</v>
      </c>
      <c r="T7" s="31" t="str">
        <f>IF($R7&lt;1,"X","")</f>
        <v>X</v>
      </c>
      <c r="U7" s="32" t="str">
        <f>IF( AND($R7&gt;=1,$R7&lt;2),"X","")</f>
        <v/>
      </c>
      <c r="V7" s="32" t="str">
        <f>IF( AND($R7&gt;=2,$R7&lt;3),"X","")</f>
        <v/>
      </c>
      <c r="W7" s="32" t="str">
        <f>IF( AND($R7&gt;=3,$R7&lt;4),"X","")</f>
        <v/>
      </c>
      <c r="X7" s="32" t="str">
        <f>IF( AND($R7&gt;=4,$R7&lt;5),"X","")</f>
        <v/>
      </c>
      <c r="Y7" s="33" t="str">
        <f>IF( $R7&gt;=5,"X","")</f>
        <v/>
      </c>
      <c r="Z7" s="28">
        <f>'PO - Questionário'!E11</f>
        <v>0</v>
      </c>
    </row>
    <row r="8" spans="1:26" ht="15.75" thickBot="1" x14ac:dyDescent="0.3">
      <c r="A8" s="135"/>
      <c r="B8" s="65" t="s">
        <v>18</v>
      </c>
      <c r="C8" s="65">
        <f>+'PO - Questionário'!D15</f>
        <v>0</v>
      </c>
      <c r="D8" s="65">
        <f>+'PO - Questionário'!D16</f>
        <v>0</v>
      </c>
      <c r="E8" s="65">
        <f>+'PO - Questionário'!D17</f>
        <v>0</v>
      </c>
      <c r="F8" s="65">
        <f>+'PO - Questionário'!D18</f>
        <v>0</v>
      </c>
      <c r="G8" s="65"/>
      <c r="H8" s="65"/>
      <c r="I8" s="65"/>
      <c r="J8" s="65"/>
      <c r="K8" s="65"/>
      <c r="L8" s="65"/>
      <c r="M8" s="65"/>
      <c r="N8" s="65"/>
      <c r="O8" s="65"/>
      <c r="P8" s="65"/>
      <c r="Q8" s="11"/>
      <c r="R8" s="29">
        <f t="shared" si="0"/>
        <v>0</v>
      </c>
      <c r="S8" s="13">
        <f t="shared" si="1"/>
        <v>4</v>
      </c>
      <c r="T8" s="34" t="str">
        <f t="shared" ref="T8:T44" si="2">IF($R8&lt;1,"X","")</f>
        <v>X</v>
      </c>
      <c r="U8" s="35" t="str">
        <f t="shared" ref="U8:U44" si="3">IF( AND($R8&gt;=1,$R8&lt;2),"X","")</f>
        <v/>
      </c>
      <c r="V8" s="35" t="str">
        <f t="shared" ref="V8:V44" si="4">IF( AND($R8&gt;=2,$R8&lt;3),"X","")</f>
        <v/>
      </c>
      <c r="W8" s="35" t="str">
        <f t="shared" ref="W8:W44" si="5">IF( AND($R8&gt;=3,$R8&lt;4),"X","")</f>
        <v/>
      </c>
      <c r="X8" s="35" t="str">
        <f t="shared" ref="X8:X44" si="6">IF( AND($R8&gt;=4,$R8&lt;5),"X","")</f>
        <v/>
      </c>
      <c r="Y8" s="36" t="str">
        <f t="shared" ref="Y8:Y44" si="7">IF( $R8&gt;=5,"X","")</f>
        <v/>
      </c>
      <c r="Z8" s="28">
        <f>'PO - Questionário'!E19</f>
        <v>0</v>
      </c>
    </row>
    <row r="9" spans="1:26" ht="15.75" thickBot="1" x14ac:dyDescent="0.3">
      <c r="A9" s="135"/>
      <c r="B9" s="65" t="s">
        <v>19</v>
      </c>
      <c r="C9" s="65">
        <f>+'PO - Questionário'!D23</f>
        <v>0</v>
      </c>
      <c r="D9" s="65">
        <f>+'PO - Questionário'!D24</f>
        <v>0</v>
      </c>
      <c r="E9" s="65">
        <f>+'PO - Questionário'!D25</f>
        <v>0</v>
      </c>
      <c r="F9" s="65">
        <f>+'PO - Questionário'!D26</f>
        <v>0</v>
      </c>
      <c r="G9" s="65">
        <f>+'PO - Questionário'!D27</f>
        <v>0</v>
      </c>
      <c r="H9" s="65"/>
      <c r="I9" s="65"/>
      <c r="J9" s="65"/>
      <c r="K9" s="65"/>
      <c r="L9" s="65"/>
      <c r="M9" s="65"/>
      <c r="N9" s="65"/>
      <c r="O9" s="65"/>
      <c r="P9" s="65"/>
      <c r="Q9" s="11"/>
      <c r="R9" s="29">
        <f t="shared" si="0"/>
        <v>0</v>
      </c>
      <c r="S9" s="13">
        <f t="shared" si="1"/>
        <v>5</v>
      </c>
      <c r="T9" s="34" t="str">
        <f t="shared" si="2"/>
        <v>X</v>
      </c>
      <c r="U9" s="35" t="str">
        <f t="shared" si="3"/>
        <v/>
      </c>
      <c r="V9" s="35" t="str">
        <f t="shared" si="4"/>
        <v/>
      </c>
      <c r="W9" s="35" t="str">
        <f t="shared" si="5"/>
        <v/>
      </c>
      <c r="X9" s="35" t="str">
        <f t="shared" si="6"/>
        <v/>
      </c>
      <c r="Y9" s="36" t="str">
        <f t="shared" si="7"/>
        <v/>
      </c>
      <c r="Z9" s="28">
        <f>'PO - Questionário'!E28</f>
        <v>0</v>
      </c>
    </row>
    <row r="10" spans="1:26" ht="15.75" thickBot="1" x14ac:dyDescent="0.3">
      <c r="A10" s="135"/>
      <c r="B10" s="65" t="s">
        <v>20</v>
      </c>
      <c r="C10" s="65">
        <f>+'PO - Questionário'!D32</f>
        <v>0</v>
      </c>
      <c r="D10" s="65">
        <f>+'PO - Questionário'!D33</f>
        <v>0</v>
      </c>
      <c r="E10" s="65">
        <f>+'PO - Questionário'!D34</f>
        <v>0</v>
      </c>
      <c r="F10" s="65">
        <f>+'PO - Questionário'!D35</f>
        <v>0</v>
      </c>
      <c r="G10" s="65">
        <f>+'PO - Questionário'!D36</f>
        <v>0</v>
      </c>
      <c r="H10" s="65">
        <f>+'PO - Questionário'!D37</f>
        <v>0</v>
      </c>
      <c r="I10" s="65">
        <f>+'PO - Questionário'!D38</f>
        <v>0</v>
      </c>
      <c r="J10" s="65">
        <f>+'PO - Questionário'!D39</f>
        <v>0</v>
      </c>
      <c r="K10" s="65">
        <f>+'PO - Questionário'!D40</f>
        <v>0</v>
      </c>
      <c r="L10" s="65">
        <f>+'PO - Questionário'!D41</f>
        <v>0</v>
      </c>
      <c r="M10" s="65">
        <f>+'PO - Questionário'!D42</f>
        <v>0</v>
      </c>
      <c r="N10" s="65">
        <f>+'PO - Questionário'!D43</f>
        <v>0</v>
      </c>
      <c r="O10" s="65">
        <f>+'PO - Questionário'!D44</f>
        <v>0</v>
      </c>
      <c r="P10" s="65">
        <f>+'PO - Questionário'!D45</f>
        <v>0</v>
      </c>
      <c r="Q10" s="11">
        <f>+'PO - Questionário'!D46</f>
        <v>0</v>
      </c>
      <c r="R10" s="29">
        <f t="shared" si="0"/>
        <v>0</v>
      </c>
      <c r="S10" s="13">
        <f t="shared" si="1"/>
        <v>15</v>
      </c>
      <c r="T10" s="34" t="str">
        <f t="shared" si="2"/>
        <v>X</v>
      </c>
      <c r="U10" s="35" t="str">
        <f t="shared" si="3"/>
        <v/>
      </c>
      <c r="V10" s="35" t="str">
        <f t="shared" si="4"/>
        <v/>
      </c>
      <c r="W10" s="35" t="str">
        <f t="shared" si="5"/>
        <v/>
      </c>
      <c r="X10" s="35" t="str">
        <f t="shared" si="6"/>
        <v/>
      </c>
      <c r="Y10" s="36" t="str">
        <f t="shared" si="7"/>
        <v/>
      </c>
      <c r="Z10" s="28">
        <f>'PO - Questionário'!E47</f>
        <v>0</v>
      </c>
    </row>
    <row r="11" spans="1:26" ht="15.75" thickBot="1" x14ac:dyDescent="0.3">
      <c r="A11" s="135"/>
      <c r="B11" s="65" t="s">
        <v>21</v>
      </c>
      <c r="C11" s="65">
        <f>+'PO - Questionário'!D51</f>
        <v>0</v>
      </c>
      <c r="D11" s="65">
        <f>+'PO - Questionário'!D52</f>
        <v>0</v>
      </c>
      <c r="E11" s="65">
        <f>+'PO - Questionário'!D53</f>
        <v>0</v>
      </c>
      <c r="F11" s="65">
        <f>+'PO - Questionário'!D54</f>
        <v>0</v>
      </c>
      <c r="G11" s="65">
        <f>+'PO - Questionário'!D55</f>
        <v>0</v>
      </c>
      <c r="H11" s="65"/>
      <c r="I11" s="65"/>
      <c r="J11" s="65"/>
      <c r="K11" s="65"/>
      <c r="L11" s="65"/>
      <c r="M11" s="65"/>
      <c r="N11" s="65"/>
      <c r="O11" s="65"/>
      <c r="P11" s="65"/>
      <c r="Q11" s="11"/>
      <c r="R11" s="29">
        <f t="shared" si="0"/>
        <v>0</v>
      </c>
      <c r="S11" s="13">
        <f t="shared" si="1"/>
        <v>5</v>
      </c>
      <c r="T11" s="34" t="str">
        <f t="shared" si="2"/>
        <v>X</v>
      </c>
      <c r="U11" s="35" t="str">
        <f t="shared" si="3"/>
        <v/>
      </c>
      <c r="V11" s="35" t="str">
        <f t="shared" si="4"/>
        <v/>
      </c>
      <c r="W11" s="35" t="str">
        <f t="shared" si="5"/>
        <v/>
      </c>
      <c r="X11" s="35" t="str">
        <f t="shared" si="6"/>
        <v/>
      </c>
      <c r="Y11" s="36" t="str">
        <f t="shared" si="7"/>
        <v/>
      </c>
      <c r="Z11" s="28">
        <f>'PO - Questionário'!E56</f>
        <v>0</v>
      </c>
    </row>
    <row r="12" spans="1:26" ht="15.75" thickBot="1" x14ac:dyDescent="0.3">
      <c r="A12" s="135"/>
      <c r="B12" s="65" t="s">
        <v>22</v>
      </c>
      <c r="C12" s="65">
        <f>+'PO - Questionário'!D60</f>
        <v>0</v>
      </c>
      <c r="D12" s="65">
        <f>+'PO - Questionário'!D61</f>
        <v>0</v>
      </c>
      <c r="E12" s="65">
        <f>+'PO - Questionário'!D62</f>
        <v>0</v>
      </c>
      <c r="F12" s="65">
        <f>+'PO - Questionário'!D63</f>
        <v>0</v>
      </c>
      <c r="G12" s="65">
        <f>+'PO - Questionário'!D64</f>
        <v>0</v>
      </c>
      <c r="H12" s="65"/>
      <c r="I12" s="65"/>
      <c r="J12" s="65"/>
      <c r="K12" s="65"/>
      <c r="L12" s="65"/>
      <c r="M12" s="65"/>
      <c r="N12" s="65"/>
      <c r="O12" s="65"/>
      <c r="P12" s="65"/>
      <c r="Q12" s="11"/>
      <c r="R12" s="29">
        <f t="shared" si="0"/>
        <v>0</v>
      </c>
      <c r="S12" s="13">
        <f t="shared" si="1"/>
        <v>5</v>
      </c>
      <c r="T12" s="34" t="str">
        <f t="shared" si="2"/>
        <v>X</v>
      </c>
      <c r="U12" s="35" t="str">
        <f t="shared" si="3"/>
        <v/>
      </c>
      <c r="V12" s="35" t="str">
        <f t="shared" si="4"/>
        <v/>
      </c>
      <c r="W12" s="35" t="str">
        <f t="shared" si="5"/>
        <v/>
      </c>
      <c r="X12" s="35" t="str">
        <f t="shared" si="6"/>
        <v/>
      </c>
      <c r="Y12" s="36" t="str">
        <f t="shared" si="7"/>
        <v/>
      </c>
      <c r="Z12" s="28">
        <f>'PO - Questionário'!E65</f>
        <v>0</v>
      </c>
    </row>
    <row r="13" spans="1:26" ht="15.75" thickBot="1" x14ac:dyDescent="0.3">
      <c r="A13" s="135"/>
      <c r="B13" s="65" t="s">
        <v>23</v>
      </c>
      <c r="C13" s="65">
        <f>+'PO - Questionário'!D69</f>
        <v>0</v>
      </c>
      <c r="D13" s="65">
        <f>+'PO - Questionário'!D70</f>
        <v>0</v>
      </c>
      <c r="E13" s="65">
        <f>+'PO - Questionário'!D71</f>
        <v>0</v>
      </c>
      <c r="F13" s="65">
        <f>+'PO - Questionário'!D72</f>
        <v>0</v>
      </c>
      <c r="G13" s="65">
        <f>+'PO - Questionário'!D73</f>
        <v>0</v>
      </c>
      <c r="H13" s="65">
        <f>+'PO - Questionário'!D74</f>
        <v>0</v>
      </c>
      <c r="I13" s="65">
        <f>+'PO - Questionário'!D75</f>
        <v>0</v>
      </c>
      <c r="J13" s="65">
        <f>+'PO - Questionário'!D76</f>
        <v>0</v>
      </c>
      <c r="K13" s="65"/>
      <c r="L13" s="65"/>
      <c r="M13" s="65"/>
      <c r="N13" s="65"/>
      <c r="O13" s="65"/>
      <c r="P13" s="65"/>
      <c r="Q13" s="11"/>
      <c r="R13" s="29">
        <f t="shared" si="0"/>
        <v>0</v>
      </c>
      <c r="S13" s="13">
        <f t="shared" si="1"/>
        <v>8</v>
      </c>
      <c r="T13" s="34" t="str">
        <f t="shared" si="2"/>
        <v>X</v>
      </c>
      <c r="U13" s="35" t="str">
        <f t="shared" si="3"/>
        <v/>
      </c>
      <c r="V13" s="35" t="str">
        <f t="shared" si="4"/>
        <v/>
      </c>
      <c r="W13" s="35" t="str">
        <f t="shared" si="5"/>
        <v/>
      </c>
      <c r="X13" s="35" t="str">
        <f t="shared" si="6"/>
        <v/>
      </c>
      <c r="Y13" s="36" t="str">
        <f t="shared" si="7"/>
        <v/>
      </c>
      <c r="Z13" s="28">
        <f>'PO - Questionário'!E77</f>
        <v>0</v>
      </c>
    </row>
    <row r="14" spans="1:26" ht="15.75" thickBot="1" x14ac:dyDescent="0.3">
      <c r="A14" s="135"/>
      <c r="B14" s="65" t="s">
        <v>24</v>
      </c>
      <c r="C14" s="65">
        <f>+'PO - Questionário'!D81</f>
        <v>0</v>
      </c>
      <c r="D14" s="65">
        <f>+'PO - Questionário'!D82</f>
        <v>0</v>
      </c>
      <c r="E14" s="65">
        <f>+'PO - Questionário'!D83</f>
        <v>0</v>
      </c>
      <c r="F14" s="65">
        <f>+'PO - Questionário'!D84</f>
        <v>0</v>
      </c>
      <c r="G14" s="65">
        <f>+'PO - Questionário'!D85</f>
        <v>0</v>
      </c>
      <c r="H14" s="65">
        <f>+'PO - Questionário'!D86</f>
        <v>0</v>
      </c>
      <c r="I14" s="65"/>
      <c r="J14" s="65"/>
      <c r="K14" s="65"/>
      <c r="L14" s="65"/>
      <c r="M14" s="65"/>
      <c r="N14" s="65"/>
      <c r="O14" s="65"/>
      <c r="P14" s="65"/>
      <c r="Q14" s="11"/>
      <c r="R14" s="29">
        <f t="shared" si="0"/>
        <v>0</v>
      </c>
      <c r="S14" s="13">
        <f t="shared" si="1"/>
        <v>6</v>
      </c>
      <c r="T14" s="34" t="str">
        <f t="shared" si="2"/>
        <v>X</v>
      </c>
      <c r="U14" s="35" t="str">
        <f t="shared" si="3"/>
        <v/>
      </c>
      <c r="V14" s="35" t="str">
        <f t="shared" si="4"/>
        <v/>
      </c>
      <c r="W14" s="35" t="str">
        <f t="shared" si="5"/>
        <v/>
      </c>
      <c r="X14" s="35" t="str">
        <f t="shared" si="6"/>
        <v/>
      </c>
      <c r="Y14" s="36" t="str">
        <f t="shared" si="7"/>
        <v/>
      </c>
      <c r="Z14" s="28">
        <f>'PO - Questionário'!E87</f>
        <v>0</v>
      </c>
    </row>
    <row r="15" spans="1:26" ht="15.75" thickBot="1" x14ac:dyDescent="0.3">
      <c r="A15" s="135"/>
      <c r="B15" s="65" t="s">
        <v>25</v>
      </c>
      <c r="C15" s="65">
        <f>+'PO - Questionário'!D91</f>
        <v>0</v>
      </c>
      <c r="D15" s="65">
        <f>+'PO - Questionário'!D92</f>
        <v>0</v>
      </c>
      <c r="E15" s="65">
        <f>+'PO - Questionário'!D93</f>
        <v>0</v>
      </c>
      <c r="F15" s="65">
        <f>+'PO - Questionário'!D94</f>
        <v>0</v>
      </c>
      <c r="G15" s="65">
        <f>+'PO - Questionário'!D95</f>
        <v>0</v>
      </c>
      <c r="H15" s="65">
        <f>+'PO - Questionário'!D96</f>
        <v>0</v>
      </c>
      <c r="I15" s="65"/>
      <c r="J15" s="65"/>
      <c r="K15" s="65"/>
      <c r="L15" s="65"/>
      <c r="M15" s="65"/>
      <c r="N15" s="65"/>
      <c r="O15" s="65"/>
      <c r="P15" s="65"/>
      <c r="Q15" s="11"/>
      <c r="R15" s="29">
        <f t="shared" si="0"/>
        <v>0</v>
      </c>
      <c r="S15" s="13">
        <f t="shared" si="1"/>
        <v>6</v>
      </c>
      <c r="T15" s="34" t="str">
        <f t="shared" si="2"/>
        <v>X</v>
      </c>
      <c r="U15" s="35" t="str">
        <f t="shared" si="3"/>
        <v/>
      </c>
      <c r="V15" s="35" t="str">
        <f t="shared" si="4"/>
        <v/>
      </c>
      <c r="W15" s="35" t="str">
        <f t="shared" si="5"/>
        <v/>
      </c>
      <c r="X15" s="35" t="str">
        <f t="shared" si="6"/>
        <v/>
      </c>
      <c r="Y15" s="36" t="str">
        <f t="shared" si="7"/>
        <v/>
      </c>
      <c r="Z15" s="28">
        <f>'PO - Questionário'!E97</f>
        <v>0</v>
      </c>
    </row>
    <row r="16" spans="1:26" ht="15.75" thickBot="1" x14ac:dyDescent="0.3">
      <c r="A16" s="135"/>
      <c r="B16" s="65" t="s">
        <v>26</v>
      </c>
      <c r="C16" s="65">
        <f>+'PO - Questionário'!D101</f>
        <v>0</v>
      </c>
      <c r="D16" s="65">
        <f>+'PO - Questionário'!D102</f>
        <v>0</v>
      </c>
      <c r="E16" s="65">
        <f>+'PO - Questionário'!D103</f>
        <v>0</v>
      </c>
      <c r="F16" s="65">
        <f>+'PO - Questionário'!D104</f>
        <v>0</v>
      </c>
      <c r="G16" s="65">
        <f>+'PO - Questionário'!D105</f>
        <v>0</v>
      </c>
      <c r="H16" s="65">
        <f>+'PO - Questionário'!D106</f>
        <v>0</v>
      </c>
      <c r="I16" s="65">
        <f>+'PO - Questionário'!D107</f>
        <v>0</v>
      </c>
      <c r="J16" s="65">
        <f>+'PO - Questionário'!D108</f>
        <v>0</v>
      </c>
      <c r="K16" s="65">
        <f>+'PO - Questionário'!D109</f>
        <v>0</v>
      </c>
      <c r="L16" s="65">
        <f>+'PO - Questionário'!D110</f>
        <v>0</v>
      </c>
      <c r="M16" s="65">
        <f>+'PO - Questionário'!D111</f>
        <v>0</v>
      </c>
      <c r="N16" s="65">
        <f>+'PO - Questionário'!D112</f>
        <v>0</v>
      </c>
      <c r="O16" s="65">
        <f>+'PO - Questionário'!D113</f>
        <v>0</v>
      </c>
      <c r="P16" s="65">
        <f>+'PO - Questionário'!D114</f>
        <v>0</v>
      </c>
      <c r="Q16" s="11"/>
      <c r="R16" s="30">
        <f t="shared" si="0"/>
        <v>0</v>
      </c>
      <c r="S16" s="14">
        <f t="shared" si="1"/>
        <v>14</v>
      </c>
      <c r="T16" s="37" t="str">
        <f t="shared" si="2"/>
        <v>X</v>
      </c>
      <c r="U16" s="38" t="str">
        <f t="shared" si="3"/>
        <v/>
      </c>
      <c r="V16" s="38" t="str">
        <f t="shared" si="4"/>
        <v/>
      </c>
      <c r="W16" s="38" t="str">
        <f t="shared" si="5"/>
        <v/>
      </c>
      <c r="X16" s="38" t="str">
        <f t="shared" si="6"/>
        <v/>
      </c>
      <c r="Y16" s="39" t="str">
        <f t="shared" si="7"/>
        <v/>
      </c>
      <c r="Z16" s="28">
        <f>'PO - Questionário'!E115</f>
        <v>0</v>
      </c>
    </row>
    <row r="17" spans="1:26" ht="15.75" thickBot="1" x14ac:dyDescent="0.3">
      <c r="A17" s="135" t="s">
        <v>27</v>
      </c>
      <c r="B17" s="140" t="s">
        <v>28</v>
      </c>
      <c r="C17" s="141"/>
      <c r="D17" s="141"/>
      <c r="E17" s="141"/>
      <c r="F17" s="141"/>
      <c r="G17" s="141"/>
      <c r="H17" s="141"/>
      <c r="I17" s="141"/>
      <c r="J17" s="141"/>
      <c r="K17" s="141"/>
      <c r="L17" s="141"/>
      <c r="M17" s="141"/>
      <c r="N17" s="141"/>
      <c r="O17" s="141"/>
      <c r="P17" s="141"/>
      <c r="Q17" s="141"/>
      <c r="R17" s="141"/>
      <c r="S17" s="141"/>
      <c r="T17" s="141"/>
      <c r="U17" s="141"/>
      <c r="V17" s="141"/>
      <c r="W17" s="141"/>
      <c r="X17" s="141"/>
      <c r="Y17" s="142"/>
      <c r="Z17"/>
    </row>
    <row r="18" spans="1:26" x14ac:dyDescent="0.25">
      <c r="A18" s="135"/>
      <c r="B18" s="65" t="s">
        <v>29</v>
      </c>
      <c r="C18" s="65">
        <f>+'AI - Questionário'!$D6</f>
        <v>0</v>
      </c>
      <c r="D18" s="65">
        <f>+'AI - Questionário'!D7</f>
        <v>0</v>
      </c>
      <c r="E18" s="65">
        <f>+'AI - Questionário'!D8</f>
        <v>0</v>
      </c>
      <c r="F18" s="65">
        <f>+'AI - Questionário'!D9</f>
        <v>0</v>
      </c>
      <c r="G18" s="65"/>
      <c r="H18" s="65"/>
      <c r="I18" s="65"/>
      <c r="J18" s="65"/>
      <c r="K18" s="65"/>
      <c r="L18" s="65"/>
      <c r="M18" s="65"/>
      <c r="N18" s="65"/>
      <c r="O18" s="65"/>
      <c r="P18" s="65"/>
      <c r="Q18" s="11"/>
      <c r="R18" s="28">
        <f t="shared" ref="R18:R24" si="8">+SUM(C18:Q18)/S18</f>
        <v>0</v>
      </c>
      <c r="S18" s="12">
        <f t="shared" ref="S18:S24" si="9">COUNTA(C18:Q18)</f>
        <v>4</v>
      </c>
      <c r="T18" s="31" t="str">
        <f t="shared" si="2"/>
        <v>X</v>
      </c>
      <c r="U18" s="32" t="str">
        <f t="shared" si="3"/>
        <v/>
      </c>
      <c r="V18" s="32" t="str">
        <f t="shared" si="4"/>
        <v/>
      </c>
      <c r="W18" s="32" t="str">
        <f t="shared" si="5"/>
        <v/>
      </c>
      <c r="X18" s="32" t="str">
        <f t="shared" si="6"/>
        <v/>
      </c>
      <c r="Y18" s="33" t="str">
        <f t="shared" si="7"/>
        <v/>
      </c>
      <c r="Z18" s="28">
        <f>'AI - Questionário'!E10</f>
        <v>0</v>
      </c>
    </row>
    <row r="19" spans="1:26" x14ac:dyDescent="0.25">
      <c r="A19" s="135"/>
      <c r="B19" s="65" t="s">
        <v>30</v>
      </c>
      <c r="C19" s="65">
        <f>+'AI - Questionário'!D14</f>
        <v>0</v>
      </c>
      <c r="D19" s="65">
        <f>+'AI - Questionário'!D15</f>
        <v>0</v>
      </c>
      <c r="E19" s="65">
        <f>+'AI - Questionário'!D16</f>
        <v>0</v>
      </c>
      <c r="F19" s="65">
        <f>+'AI - Questionário'!D17</f>
        <v>0</v>
      </c>
      <c r="G19" s="65">
        <f>+'AI - Questionário'!D18</f>
        <v>0</v>
      </c>
      <c r="H19" s="65">
        <f>+'AI - Questionário'!D19</f>
        <v>0</v>
      </c>
      <c r="I19" s="65">
        <f>+'AI - Questionário'!D20</f>
        <v>0</v>
      </c>
      <c r="J19" s="65">
        <f>+'AI - Questionário'!D21</f>
        <v>0</v>
      </c>
      <c r="K19" s="65">
        <f>+'AI - Questionário'!D22</f>
        <v>0</v>
      </c>
      <c r="L19" s="65">
        <f>+'AI - Questionário'!D23</f>
        <v>0</v>
      </c>
      <c r="M19" s="65"/>
      <c r="N19" s="65"/>
      <c r="O19" s="65"/>
      <c r="P19" s="65"/>
      <c r="Q19" s="11"/>
      <c r="R19" s="29">
        <f t="shared" si="8"/>
        <v>0</v>
      </c>
      <c r="S19" s="13">
        <f t="shared" si="9"/>
        <v>10</v>
      </c>
      <c r="T19" s="34" t="str">
        <f t="shared" si="2"/>
        <v>X</v>
      </c>
      <c r="U19" s="35" t="str">
        <f t="shared" si="3"/>
        <v/>
      </c>
      <c r="V19" s="35" t="str">
        <f t="shared" si="4"/>
        <v/>
      </c>
      <c r="W19" s="35" t="str">
        <f t="shared" si="5"/>
        <v/>
      </c>
      <c r="X19" s="35" t="str">
        <f t="shared" si="6"/>
        <v/>
      </c>
      <c r="Y19" s="36" t="str">
        <f t="shared" si="7"/>
        <v/>
      </c>
      <c r="Z19" s="29">
        <f>'AI - Questionário'!E24</f>
        <v>0</v>
      </c>
    </row>
    <row r="20" spans="1:26" x14ac:dyDescent="0.25">
      <c r="A20" s="135"/>
      <c r="B20" s="65" t="s">
        <v>31</v>
      </c>
      <c r="C20" s="65">
        <f>+'AI - Questionário'!D28</f>
        <v>0</v>
      </c>
      <c r="D20" s="65">
        <f>+'AI - Questionário'!D29</f>
        <v>0</v>
      </c>
      <c r="E20" s="65">
        <f>+'AI - Questionário'!D30</f>
        <v>0</v>
      </c>
      <c r="F20" s="65">
        <f>+'AI - Questionário'!D31</f>
        <v>0</v>
      </c>
      <c r="G20" s="65"/>
      <c r="H20" s="65"/>
      <c r="I20" s="65"/>
      <c r="J20" s="65"/>
      <c r="K20" s="65"/>
      <c r="L20" s="65"/>
      <c r="M20" s="65"/>
      <c r="N20" s="65"/>
      <c r="O20" s="65"/>
      <c r="P20" s="65"/>
      <c r="Q20" s="11"/>
      <c r="R20" s="29">
        <f t="shared" si="8"/>
        <v>0</v>
      </c>
      <c r="S20" s="13">
        <f t="shared" si="9"/>
        <v>4</v>
      </c>
      <c r="T20" s="34" t="str">
        <f t="shared" si="2"/>
        <v>X</v>
      </c>
      <c r="U20" s="35" t="str">
        <f t="shared" si="3"/>
        <v/>
      </c>
      <c r="V20" s="35" t="str">
        <f t="shared" si="4"/>
        <v/>
      </c>
      <c r="W20" s="35" t="str">
        <f t="shared" si="5"/>
        <v/>
      </c>
      <c r="X20" s="35" t="str">
        <f t="shared" si="6"/>
        <v/>
      </c>
      <c r="Y20" s="36" t="str">
        <f t="shared" si="7"/>
        <v/>
      </c>
      <c r="Z20" s="29">
        <f>'AI - Questionário'!E32</f>
        <v>0</v>
      </c>
    </row>
    <row r="21" spans="1:26" x14ac:dyDescent="0.25">
      <c r="A21" s="135"/>
      <c r="B21" s="65" t="s">
        <v>32</v>
      </c>
      <c r="C21" s="65">
        <f>+'AI - Questionário'!D36</f>
        <v>0</v>
      </c>
      <c r="D21" s="65">
        <f>+'AI - Questionário'!D37</f>
        <v>0</v>
      </c>
      <c r="E21" s="65">
        <f>+'AI - Questionário'!D38</f>
        <v>0</v>
      </c>
      <c r="F21" s="65">
        <f>+'AI - Questionário'!D39</f>
        <v>0</v>
      </c>
      <c r="G21" s="65"/>
      <c r="H21" s="65"/>
      <c r="I21" s="65"/>
      <c r="J21" s="65"/>
      <c r="K21" s="65"/>
      <c r="L21" s="65"/>
      <c r="M21" s="65"/>
      <c r="N21" s="65"/>
      <c r="O21" s="65"/>
      <c r="P21" s="65"/>
      <c r="Q21" s="11"/>
      <c r="R21" s="29">
        <f t="shared" si="8"/>
        <v>0</v>
      </c>
      <c r="S21" s="13">
        <f t="shared" si="9"/>
        <v>4</v>
      </c>
      <c r="T21" s="34" t="str">
        <f t="shared" si="2"/>
        <v>X</v>
      </c>
      <c r="U21" s="35" t="str">
        <f t="shared" si="3"/>
        <v/>
      </c>
      <c r="V21" s="35" t="str">
        <f t="shared" si="4"/>
        <v/>
      </c>
      <c r="W21" s="35" t="str">
        <f t="shared" si="5"/>
        <v/>
      </c>
      <c r="X21" s="35" t="str">
        <f t="shared" si="6"/>
        <v/>
      </c>
      <c r="Y21" s="36" t="str">
        <f t="shared" si="7"/>
        <v/>
      </c>
      <c r="Z21" s="29">
        <f>'AI - Questionário'!E40</f>
        <v>0</v>
      </c>
    </row>
    <row r="22" spans="1:26" x14ac:dyDescent="0.25">
      <c r="A22" s="135"/>
      <c r="B22" s="65" t="s">
        <v>33</v>
      </c>
      <c r="C22" s="65">
        <f>+'AI - Questionário'!D44</f>
        <v>0</v>
      </c>
      <c r="D22" s="65">
        <f>+'AI - Questionário'!D45</f>
        <v>0</v>
      </c>
      <c r="E22" s="65">
        <f>+'AI - Questionário'!D46</f>
        <v>0</v>
      </c>
      <c r="F22" s="65">
        <f>+'AI - Questionário'!D47</f>
        <v>0</v>
      </c>
      <c r="G22" s="65"/>
      <c r="H22" s="65"/>
      <c r="I22" s="65"/>
      <c r="J22" s="65"/>
      <c r="K22" s="65"/>
      <c r="L22" s="65"/>
      <c r="M22" s="65"/>
      <c r="N22" s="65"/>
      <c r="O22" s="65"/>
      <c r="P22" s="65"/>
      <c r="Q22" s="11"/>
      <c r="R22" s="29">
        <f t="shared" si="8"/>
        <v>0</v>
      </c>
      <c r="S22" s="13">
        <f t="shared" si="9"/>
        <v>4</v>
      </c>
      <c r="T22" s="34" t="str">
        <f t="shared" si="2"/>
        <v>X</v>
      </c>
      <c r="U22" s="35" t="str">
        <f t="shared" si="3"/>
        <v/>
      </c>
      <c r="V22" s="35" t="str">
        <f t="shared" si="4"/>
        <v/>
      </c>
      <c r="W22" s="35" t="str">
        <f t="shared" si="5"/>
        <v/>
      </c>
      <c r="X22" s="35" t="str">
        <f t="shared" si="6"/>
        <v/>
      </c>
      <c r="Y22" s="36" t="str">
        <f t="shared" si="7"/>
        <v/>
      </c>
      <c r="Z22" s="29">
        <f>'AI - Questionário'!E48</f>
        <v>0</v>
      </c>
    </row>
    <row r="23" spans="1:26" x14ac:dyDescent="0.25">
      <c r="A23" s="135"/>
      <c r="B23" s="65" t="s">
        <v>34</v>
      </c>
      <c r="C23" s="65">
        <f>+'AI - Questionário'!D52</f>
        <v>0</v>
      </c>
      <c r="D23" s="65">
        <f>+'AI - Questionário'!D53</f>
        <v>0</v>
      </c>
      <c r="E23" s="65">
        <f>+'AI - Questionário'!D54</f>
        <v>0</v>
      </c>
      <c r="F23" s="65">
        <f>+'AI - Questionário'!D55</f>
        <v>0</v>
      </c>
      <c r="G23" s="65">
        <f>+'AI - Questionário'!D56</f>
        <v>0</v>
      </c>
      <c r="H23" s="65"/>
      <c r="I23" s="65"/>
      <c r="J23" s="65"/>
      <c r="K23" s="65"/>
      <c r="L23" s="65"/>
      <c r="M23" s="65"/>
      <c r="N23" s="65"/>
      <c r="O23" s="65"/>
      <c r="P23" s="65"/>
      <c r="Q23" s="11"/>
      <c r="R23" s="29">
        <f t="shared" si="8"/>
        <v>0</v>
      </c>
      <c r="S23" s="13">
        <f t="shared" si="9"/>
        <v>5</v>
      </c>
      <c r="T23" s="34" t="str">
        <f t="shared" si="2"/>
        <v>X</v>
      </c>
      <c r="U23" s="35" t="str">
        <f t="shared" si="3"/>
        <v/>
      </c>
      <c r="V23" s="35" t="str">
        <f t="shared" si="4"/>
        <v/>
      </c>
      <c r="W23" s="35" t="str">
        <f t="shared" si="5"/>
        <v/>
      </c>
      <c r="X23" s="35" t="str">
        <f t="shared" si="6"/>
        <v/>
      </c>
      <c r="Y23" s="36" t="str">
        <f t="shared" si="7"/>
        <v/>
      </c>
      <c r="Z23" s="29">
        <f>'AI - Questionário'!E57</f>
        <v>0</v>
      </c>
    </row>
    <row r="24" spans="1:26" ht="15.75" thickBot="1" x14ac:dyDescent="0.3">
      <c r="A24" s="135"/>
      <c r="B24" s="65" t="s">
        <v>35</v>
      </c>
      <c r="C24" s="65">
        <f>+'AI - Questionário'!D61</f>
        <v>0</v>
      </c>
      <c r="D24" s="65">
        <f>+'AI - Questionário'!D62</f>
        <v>0</v>
      </c>
      <c r="E24" s="65">
        <f>+'AI - Questionário'!D63</f>
        <v>0</v>
      </c>
      <c r="F24" s="65">
        <f>+'AI - Questionário'!D64</f>
        <v>0</v>
      </c>
      <c r="G24" s="65">
        <f>+'AI - Questionário'!D65</f>
        <v>0</v>
      </c>
      <c r="H24" s="65">
        <f>+'AI - Questionário'!D66</f>
        <v>0</v>
      </c>
      <c r="I24" s="65">
        <f>+'AI - Questionário'!D67</f>
        <v>0</v>
      </c>
      <c r="J24" s="65">
        <f>+'AI - Questionário'!D68</f>
        <v>0</v>
      </c>
      <c r="K24" s="65">
        <f>+'AI - Questionário'!D69</f>
        <v>0</v>
      </c>
      <c r="L24" s="65"/>
      <c r="M24" s="65"/>
      <c r="N24" s="65"/>
      <c r="O24" s="65"/>
      <c r="P24" s="65"/>
      <c r="Q24" s="11"/>
      <c r="R24" s="30">
        <f t="shared" si="8"/>
        <v>0</v>
      </c>
      <c r="S24" s="14">
        <f t="shared" si="9"/>
        <v>9</v>
      </c>
      <c r="T24" s="37" t="str">
        <f t="shared" si="2"/>
        <v>X</v>
      </c>
      <c r="U24" s="38" t="str">
        <f t="shared" si="3"/>
        <v/>
      </c>
      <c r="V24" s="38" t="str">
        <f t="shared" si="4"/>
        <v/>
      </c>
      <c r="W24" s="38" t="str">
        <f t="shared" si="5"/>
        <v/>
      </c>
      <c r="X24" s="38" t="str">
        <f t="shared" si="6"/>
        <v/>
      </c>
      <c r="Y24" s="39" t="str">
        <f t="shared" si="7"/>
        <v/>
      </c>
      <c r="Z24" s="30">
        <f>'AI - Questionário'!E70</f>
        <v>0</v>
      </c>
    </row>
    <row r="25" spans="1:26" ht="15.75" thickBot="1" x14ac:dyDescent="0.3">
      <c r="A25" s="135" t="s">
        <v>36</v>
      </c>
      <c r="B25" s="140" t="s">
        <v>37</v>
      </c>
      <c r="C25" s="141"/>
      <c r="D25" s="141"/>
      <c r="E25" s="141"/>
      <c r="F25" s="141"/>
      <c r="G25" s="141"/>
      <c r="H25" s="141"/>
      <c r="I25" s="141"/>
      <c r="J25" s="141"/>
      <c r="K25" s="141"/>
      <c r="L25" s="141"/>
      <c r="M25" s="141"/>
      <c r="N25" s="141"/>
      <c r="O25" s="141"/>
      <c r="P25" s="141"/>
      <c r="Q25" s="141"/>
      <c r="R25" s="141"/>
      <c r="S25" s="141"/>
      <c r="T25" s="141"/>
      <c r="U25" s="141"/>
      <c r="V25" s="141"/>
      <c r="W25" s="141"/>
      <c r="X25" s="141"/>
      <c r="Y25" s="142"/>
      <c r="Z25"/>
    </row>
    <row r="26" spans="1:26" x14ac:dyDescent="0.25">
      <c r="A26" s="135"/>
      <c r="B26" s="15" t="s">
        <v>38</v>
      </c>
      <c r="C26" s="65">
        <f>+'DS - Questionário'!D6</f>
        <v>0</v>
      </c>
      <c r="D26" s="65">
        <f>+'DS - Questionário'!D7</f>
        <v>0</v>
      </c>
      <c r="E26" s="65">
        <f>+'DS - Questionário'!D8</f>
        <v>0</v>
      </c>
      <c r="F26" s="65">
        <f>+'DS - Questionário'!D9</f>
        <v>0</v>
      </c>
      <c r="G26" s="65">
        <f>+'DS - Questionário'!D10</f>
        <v>0</v>
      </c>
      <c r="H26" s="65">
        <f>+'DS - Questionário'!D11</f>
        <v>0</v>
      </c>
      <c r="I26" s="65"/>
      <c r="J26" s="65"/>
      <c r="K26" s="65"/>
      <c r="L26" s="65"/>
      <c r="M26" s="65"/>
      <c r="N26" s="65"/>
      <c r="O26" s="65"/>
      <c r="P26" s="65"/>
      <c r="Q26" s="11"/>
      <c r="R26" s="28">
        <f t="shared" ref="R26:R38" si="10">+SUM(C26:Q26)/S26</f>
        <v>0</v>
      </c>
      <c r="S26" s="12">
        <f>COUNTA(C26:Q26)</f>
        <v>6</v>
      </c>
      <c r="T26" s="31" t="str">
        <f t="shared" si="2"/>
        <v>X</v>
      </c>
      <c r="U26" s="32" t="str">
        <f t="shared" si="3"/>
        <v/>
      </c>
      <c r="V26" s="32" t="str">
        <f t="shared" si="4"/>
        <v/>
      </c>
      <c r="W26" s="32" t="str">
        <f t="shared" si="5"/>
        <v/>
      </c>
      <c r="X26" s="32" t="str">
        <f t="shared" si="6"/>
        <v/>
      </c>
      <c r="Y26" s="33" t="str">
        <f t="shared" si="7"/>
        <v/>
      </c>
      <c r="Z26" s="28">
        <f>'DS - Questionário'!E12</f>
        <v>0</v>
      </c>
    </row>
    <row r="27" spans="1:26" x14ac:dyDescent="0.25">
      <c r="A27" s="135"/>
      <c r="B27" s="15" t="s">
        <v>39</v>
      </c>
      <c r="C27" s="65">
        <f>+'DS - Questionário'!D16</f>
        <v>0</v>
      </c>
      <c r="D27" s="65">
        <f>+'DS - Questionário'!D17</f>
        <v>0</v>
      </c>
      <c r="E27" s="65">
        <f>+'DS - Questionário'!D18</f>
        <v>0</v>
      </c>
      <c r="F27" s="65">
        <f>+'DS - Questionário'!D19</f>
        <v>0</v>
      </c>
      <c r="G27" s="65"/>
      <c r="H27" s="65"/>
      <c r="I27" s="65"/>
      <c r="J27" s="65"/>
      <c r="K27" s="65"/>
      <c r="L27" s="65"/>
      <c r="M27" s="65"/>
      <c r="N27" s="65"/>
      <c r="O27" s="65"/>
      <c r="P27" s="65"/>
      <c r="Q27" s="11"/>
      <c r="R27" s="29">
        <f t="shared" si="10"/>
        <v>0</v>
      </c>
      <c r="S27" s="13">
        <f>COUNTA(C27:Q27)</f>
        <v>4</v>
      </c>
      <c r="T27" s="34" t="str">
        <f t="shared" si="2"/>
        <v>X</v>
      </c>
      <c r="U27" s="35" t="str">
        <f t="shared" si="3"/>
        <v/>
      </c>
      <c r="V27" s="35" t="str">
        <f t="shared" si="4"/>
        <v/>
      </c>
      <c r="W27" s="35" t="str">
        <f t="shared" si="5"/>
        <v/>
      </c>
      <c r="X27" s="35" t="str">
        <f t="shared" si="6"/>
        <v/>
      </c>
      <c r="Y27" s="36" t="str">
        <f t="shared" si="7"/>
        <v/>
      </c>
      <c r="Z27" s="29">
        <f>'DS - Questionário'!E20</f>
        <v>0</v>
      </c>
    </row>
    <row r="28" spans="1:26" x14ac:dyDescent="0.25">
      <c r="A28" s="135"/>
      <c r="B28" s="15" t="s">
        <v>40</v>
      </c>
      <c r="C28" s="65">
        <f>+'DS - Questionário'!D24</f>
        <v>0</v>
      </c>
      <c r="D28" s="65">
        <f>+'DS - Questionário'!D25</f>
        <v>0</v>
      </c>
      <c r="E28" s="65">
        <f>+'DS - Questionário'!D26</f>
        <v>0</v>
      </c>
      <c r="F28" s="65">
        <f>+'DS - Questionário'!D27</f>
        <v>0</v>
      </c>
      <c r="G28" s="65">
        <f>+'DS - Questionário'!D28</f>
        <v>0</v>
      </c>
      <c r="H28" s="65"/>
      <c r="I28" s="65"/>
      <c r="J28" s="65"/>
      <c r="K28" s="65"/>
      <c r="L28" s="65"/>
      <c r="M28" s="65"/>
      <c r="N28" s="65"/>
      <c r="O28" s="65"/>
      <c r="P28" s="65"/>
      <c r="Q28" s="11"/>
      <c r="R28" s="29">
        <f t="shared" si="10"/>
        <v>0</v>
      </c>
      <c r="S28" s="13">
        <f>COUNTA(C28:Q28)</f>
        <v>5</v>
      </c>
      <c r="T28" s="34" t="str">
        <f t="shared" si="2"/>
        <v>X</v>
      </c>
      <c r="U28" s="35" t="str">
        <f t="shared" si="3"/>
        <v/>
      </c>
      <c r="V28" s="35" t="str">
        <f t="shared" si="4"/>
        <v/>
      </c>
      <c r="W28" s="35" t="str">
        <f t="shared" si="5"/>
        <v/>
      </c>
      <c r="X28" s="35" t="str">
        <f t="shared" si="6"/>
        <v/>
      </c>
      <c r="Y28" s="36" t="str">
        <f t="shared" si="7"/>
        <v/>
      </c>
      <c r="Z28" s="29">
        <f>'DS - Questionário'!E29</f>
        <v>0</v>
      </c>
    </row>
    <row r="29" spans="1:26" x14ac:dyDescent="0.25">
      <c r="A29" s="135"/>
      <c r="B29" s="15" t="s">
        <v>41</v>
      </c>
      <c r="C29" s="65">
        <f>+'DS - Questionário'!D33</f>
        <v>0</v>
      </c>
      <c r="D29" s="65">
        <f>+'DS - Questionário'!D34</f>
        <v>0</v>
      </c>
      <c r="E29" s="65">
        <f>+'DS - Questionário'!D35</f>
        <v>0</v>
      </c>
      <c r="F29" s="65">
        <f>+'DS - Questionário'!D36</f>
        <v>0</v>
      </c>
      <c r="G29" s="65">
        <f>+'DS - Questionário'!D37</f>
        <v>0</v>
      </c>
      <c r="H29" s="65">
        <f>+'DS - Questionário'!D38</f>
        <v>0</v>
      </c>
      <c r="I29" s="65">
        <f>+'DS - Questionário'!D39</f>
        <v>0</v>
      </c>
      <c r="J29" s="65">
        <f>+'DS - Questionário'!D41</f>
        <v>0</v>
      </c>
      <c r="K29" s="65">
        <f>+'DS - Questionário'!D42</f>
        <v>0</v>
      </c>
      <c r="L29" s="65"/>
      <c r="M29" s="65"/>
      <c r="N29" s="65"/>
      <c r="O29" s="65"/>
      <c r="P29" s="65"/>
      <c r="Q29" s="11"/>
      <c r="R29" s="29">
        <f t="shared" si="10"/>
        <v>0</v>
      </c>
      <c r="S29" s="13">
        <f t="shared" ref="S29:S38" si="11">COUNTA(C29:Q29)</f>
        <v>9</v>
      </c>
      <c r="T29" s="34" t="str">
        <f t="shared" si="2"/>
        <v>X</v>
      </c>
      <c r="U29" s="35" t="str">
        <f t="shared" si="3"/>
        <v/>
      </c>
      <c r="V29" s="35" t="str">
        <f t="shared" si="4"/>
        <v/>
      </c>
      <c r="W29" s="35" t="str">
        <f t="shared" si="5"/>
        <v/>
      </c>
      <c r="X29" s="35" t="str">
        <f t="shared" si="6"/>
        <v/>
      </c>
      <c r="Y29" s="36" t="str">
        <f t="shared" si="7"/>
        <v/>
      </c>
      <c r="Z29" s="29">
        <f>'DS - Questionário'!E43</f>
        <v>0</v>
      </c>
    </row>
    <row r="30" spans="1:26" x14ac:dyDescent="0.25">
      <c r="A30" s="135"/>
      <c r="B30" s="15" t="s">
        <v>42</v>
      </c>
      <c r="C30" s="65">
        <f>+'DS - Questionário'!D47</f>
        <v>0</v>
      </c>
      <c r="D30" s="65">
        <f>+'DS - Questionário'!D48</f>
        <v>0</v>
      </c>
      <c r="E30" s="65">
        <f>+'DS - Questionário'!D49</f>
        <v>0</v>
      </c>
      <c r="F30" s="65">
        <f>+'DS - Questionário'!D50</f>
        <v>0</v>
      </c>
      <c r="G30" s="65">
        <f>+'DS - Questionário'!D51</f>
        <v>0</v>
      </c>
      <c r="H30" s="65">
        <f>+'DS - Questionário'!D52</f>
        <v>0</v>
      </c>
      <c r="I30" s="65">
        <f>+'DS - Questionário'!D53</f>
        <v>0</v>
      </c>
      <c r="J30" s="65">
        <f>+'DS - Questionário'!D54</f>
        <v>0</v>
      </c>
      <c r="K30" s="65">
        <f>+'DS - Questionário'!D55</f>
        <v>0</v>
      </c>
      <c r="L30" s="65">
        <f>+'DS - Questionário'!D56</f>
        <v>0</v>
      </c>
      <c r="M30" s="65">
        <f>+'DS - Questionário'!D57</f>
        <v>0</v>
      </c>
      <c r="N30" s="65"/>
      <c r="O30" s="65"/>
      <c r="P30" s="65"/>
      <c r="Q30" s="11"/>
      <c r="R30" s="29">
        <f t="shared" si="10"/>
        <v>0</v>
      </c>
      <c r="S30" s="13">
        <f t="shared" si="11"/>
        <v>11</v>
      </c>
      <c r="T30" s="34" t="str">
        <f t="shared" si="2"/>
        <v>X</v>
      </c>
      <c r="U30" s="35" t="str">
        <f t="shared" si="3"/>
        <v/>
      </c>
      <c r="V30" s="35" t="str">
        <f t="shared" si="4"/>
        <v/>
      </c>
      <c r="W30" s="35" t="str">
        <f t="shared" si="5"/>
        <v/>
      </c>
      <c r="X30" s="35" t="str">
        <f t="shared" si="6"/>
        <v/>
      </c>
      <c r="Y30" s="36" t="str">
        <f t="shared" si="7"/>
        <v/>
      </c>
      <c r="Z30" s="29">
        <f>'DS - Questionário'!E58</f>
        <v>0</v>
      </c>
    </row>
    <row r="31" spans="1:26" x14ac:dyDescent="0.25">
      <c r="A31" s="135"/>
      <c r="B31" s="15" t="s">
        <v>43</v>
      </c>
      <c r="C31" s="65">
        <f>+'DS - Questionário'!D62</f>
        <v>0</v>
      </c>
      <c r="D31" s="65">
        <f>+'DS - Questionário'!D63</f>
        <v>0</v>
      </c>
      <c r="E31" s="65">
        <f>+'DS - Questionário'!D64</f>
        <v>0</v>
      </c>
      <c r="F31" s="65">
        <f>+'DS - Questionário'!D65</f>
        <v>0</v>
      </c>
      <c r="G31" s="65"/>
      <c r="H31" s="65"/>
      <c r="I31" s="65"/>
      <c r="J31" s="65"/>
      <c r="K31" s="65"/>
      <c r="L31" s="65"/>
      <c r="M31" s="65"/>
      <c r="N31" s="65"/>
      <c r="O31" s="65"/>
      <c r="P31" s="65"/>
      <c r="Q31" s="11"/>
      <c r="R31" s="29">
        <f t="shared" si="10"/>
        <v>0</v>
      </c>
      <c r="S31" s="13">
        <f t="shared" si="11"/>
        <v>4</v>
      </c>
      <c r="T31" s="34" t="str">
        <f t="shared" si="2"/>
        <v>X</v>
      </c>
      <c r="U31" s="35" t="str">
        <f t="shared" si="3"/>
        <v/>
      </c>
      <c r="V31" s="35" t="str">
        <f t="shared" si="4"/>
        <v/>
      </c>
      <c r="W31" s="35" t="str">
        <f t="shared" si="5"/>
        <v/>
      </c>
      <c r="X31" s="35" t="str">
        <f t="shared" si="6"/>
        <v/>
      </c>
      <c r="Y31" s="36" t="str">
        <f t="shared" si="7"/>
        <v/>
      </c>
      <c r="Z31" s="29">
        <f>'DS - Questionário'!E66</f>
        <v>0</v>
      </c>
    </row>
    <row r="32" spans="1:26" x14ac:dyDescent="0.25">
      <c r="A32" s="135"/>
      <c r="B32" s="15" t="s">
        <v>44</v>
      </c>
      <c r="C32" s="65">
        <f>+'DS - Questionário'!D70</f>
        <v>0</v>
      </c>
      <c r="D32" s="65">
        <f>+'DS - Questionário'!D71</f>
        <v>0</v>
      </c>
      <c r="E32" s="65">
        <f>+'DS - Questionário'!D72</f>
        <v>0</v>
      </c>
      <c r="F32" s="65"/>
      <c r="G32" s="65"/>
      <c r="H32" s="65"/>
      <c r="I32" s="65"/>
      <c r="J32" s="65"/>
      <c r="K32" s="65"/>
      <c r="L32" s="65"/>
      <c r="M32" s="65"/>
      <c r="N32" s="65"/>
      <c r="O32" s="65"/>
      <c r="P32" s="65"/>
      <c r="Q32" s="11"/>
      <c r="R32" s="29">
        <f t="shared" si="10"/>
        <v>0</v>
      </c>
      <c r="S32" s="13">
        <f t="shared" si="11"/>
        <v>3</v>
      </c>
      <c r="T32" s="34" t="str">
        <f t="shared" si="2"/>
        <v>X</v>
      </c>
      <c r="U32" s="35" t="str">
        <f t="shared" si="3"/>
        <v/>
      </c>
      <c r="V32" s="35" t="str">
        <f t="shared" si="4"/>
        <v/>
      </c>
      <c r="W32" s="35" t="str">
        <f t="shared" si="5"/>
        <v/>
      </c>
      <c r="X32" s="35" t="str">
        <f t="shared" si="6"/>
        <v/>
      </c>
      <c r="Y32" s="36" t="str">
        <f t="shared" si="7"/>
        <v/>
      </c>
      <c r="Z32" s="29">
        <f>'DS - Questionário'!E73</f>
        <v>0</v>
      </c>
    </row>
    <row r="33" spans="1:26" x14ac:dyDescent="0.25">
      <c r="A33" s="135"/>
      <c r="B33" s="15" t="s">
        <v>45</v>
      </c>
      <c r="C33" s="65">
        <f>+'DS - Questionário'!D77</f>
        <v>0</v>
      </c>
      <c r="D33" s="65">
        <f>+'DS - Questionário'!D78</f>
        <v>0</v>
      </c>
      <c r="E33" s="65">
        <f>+'DS - Questionário'!D79</f>
        <v>0</v>
      </c>
      <c r="F33" s="65">
        <f>+'DS - Questionário'!D80</f>
        <v>0</v>
      </c>
      <c r="G33" s="65">
        <f>+'DS - Questionário'!D81</f>
        <v>0</v>
      </c>
      <c r="H33" s="65"/>
      <c r="I33" s="65"/>
      <c r="J33" s="65"/>
      <c r="K33" s="65"/>
      <c r="L33" s="65"/>
      <c r="M33" s="65"/>
      <c r="N33" s="65"/>
      <c r="O33" s="65"/>
      <c r="P33" s="65"/>
      <c r="Q33" s="11"/>
      <c r="R33" s="29">
        <f t="shared" si="10"/>
        <v>0</v>
      </c>
      <c r="S33" s="13">
        <f t="shared" si="11"/>
        <v>5</v>
      </c>
      <c r="T33" s="34" t="str">
        <f t="shared" si="2"/>
        <v>X</v>
      </c>
      <c r="U33" s="35" t="str">
        <f t="shared" si="3"/>
        <v/>
      </c>
      <c r="V33" s="35" t="str">
        <f t="shared" si="4"/>
        <v/>
      </c>
      <c r="W33" s="35" t="str">
        <f t="shared" si="5"/>
        <v/>
      </c>
      <c r="X33" s="35" t="str">
        <f t="shared" si="6"/>
        <v/>
      </c>
      <c r="Y33" s="36" t="str">
        <f t="shared" si="7"/>
        <v/>
      </c>
      <c r="Z33" s="29">
        <f>'DS - Questionário'!E82</f>
        <v>0</v>
      </c>
    </row>
    <row r="34" spans="1:26" x14ac:dyDescent="0.25">
      <c r="A34" s="135"/>
      <c r="B34" s="15" t="s">
        <v>46</v>
      </c>
      <c r="C34" s="65">
        <f>+'DS - Questionário'!D86</f>
        <v>0</v>
      </c>
      <c r="D34" s="65">
        <f>+'DS - Questionário'!D87</f>
        <v>0</v>
      </c>
      <c r="E34" s="65">
        <f>+'DS - Questionário'!D88</f>
        <v>0</v>
      </c>
      <c r="F34" s="65"/>
      <c r="G34" s="65"/>
      <c r="H34" s="65"/>
      <c r="I34" s="65"/>
      <c r="J34" s="65"/>
      <c r="K34" s="65"/>
      <c r="L34" s="65"/>
      <c r="M34" s="65"/>
      <c r="N34" s="65"/>
      <c r="O34" s="65"/>
      <c r="P34" s="65"/>
      <c r="Q34" s="11"/>
      <c r="R34" s="29">
        <f t="shared" si="10"/>
        <v>0</v>
      </c>
      <c r="S34" s="13">
        <f t="shared" si="11"/>
        <v>3</v>
      </c>
      <c r="T34" s="34" t="str">
        <f t="shared" si="2"/>
        <v>X</v>
      </c>
      <c r="U34" s="35" t="str">
        <f t="shared" si="3"/>
        <v/>
      </c>
      <c r="V34" s="35" t="str">
        <f t="shared" si="4"/>
        <v/>
      </c>
      <c r="W34" s="35" t="str">
        <f t="shared" si="5"/>
        <v/>
      </c>
      <c r="X34" s="35" t="str">
        <f t="shared" si="6"/>
        <v/>
      </c>
      <c r="Y34" s="36" t="str">
        <f t="shared" si="7"/>
        <v/>
      </c>
      <c r="Z34" s="29">
        <f>'DS - Questionário'!E89</f>
        <v>0</v>
      </c>
    </row>
    <row r="35" spans="1:26" x14ac:dyDescent="0.25">
      <c r="A35" s="135"/>
      <c r="B35" s="15" t="s">
        <v>47</v>
      </c>
      <c r="C35" s="65">
        <f>+'DS - Questionário'!D93</f>
        <v>0</v>
      </c>
      <c r="D35" s="65">
        <f>+'DS - Questionário'!D94</f>
        <v>0</v>
      </c>
      <c r="E35" s="65"/>
      <c r="F35" s="65"/>
      <c r="G35" s="65"/>
      <c r="H35" s="65"/>
      <c r="I35" s="65"/>
      <c r="J35" s="65"/>
      <c r="K35" s="65"/>
      <c r="L35" s="65"/>
      <c r="M35" s="65"/>
      <c r="N35" s="65"/>
      <c r="O35" s="65"/>
      <c r="P35" s="65"/>
      <c r="Q35" s="11"/>
      <c r="R35" s="29">
        <f t="shared" si="10"/>
        <v>0</v>
      </c>
      <c r="S35" s="13">
        <f t="shared" si="11"/>
        <v>2</v>
      </c>
      <c r="T35" s="34" t="str">
        <f t="shared" si="2"/>
        <v>X</v>
      </c>
      <c r="U35" s="35" t="str">
        <f t="shared" si="3"/>
        <v/>
      </c>
      <c r="V35" s="35" t="str">
        <f t="shared" si="4"/>
        <v/>
      </c>
      <c r="W35" s="35" t="str">
        <f t="shared" si="5"/>
        <v/>
      </c>
      <c r="X35" s="35" t="str">
        <f t="shared" si="6"/>
        <v/>
      </c>
      <c r="Y35" s="36" t="str">
        <f t="shared" si="7"/>
        <v/>
      </c>
      <c r="Z35" s="29">
        <f>'DS - Questionário'!E95</f>
        <v>0</v>
      </c>
    </row>
    <row r="36" spans="1:26" x14ac:dyDescent="0.25">
      <c r="A36" s="135"/>
      <c r="B36" s="16" t="s">
        <v>48</v>
      </c>
      <c r="C36" s="17">
        <f>+'DS - Questionário'!D99</f>
        <v>0</v>
      </c>
      <c r="D36" s="17">
        <f>+'DS - Questionário'!D100</f>
        <v>0</v>
      </c>
      <c r="E36" s="17">
        <f>+'DS - Questionário'!D101</f>
        <v>0</v>
      </c>
      <c r="F36" s="17">
        <f>+'DS - Questionário'!D102</f>
        <v>0</v>
      </c>
      <c r="G36" s="17">
        <f>+'DS - Questionário'!D103</f>
        <v>0</v>
      </c>
      <c r="H36" s="17">
        <f>+'DS - Questionário'!D104</f>
        <v>0</v>
      </c>
      <c r="I36" s="17"/>
      <c r="J36" s="17"/>
      <c r="K36" s="17"/>
      <c r="L36" s="17"/>
      <c r="M36" s="17"/>
      <c r="N36" s="17"/>
      <c r="O36" s="17"/>
      <c r="P36" s="17"/>
      <c r="Q36" s="18"/>
      <c r="R36" s="54">
        <f t="shared" si="10"/>
        <v>0</v>
      </c>
      <c r="S36" s="19">
        <f t="shared" si="11"/>
        <v>6</v>
      </c>
      <c r="T36" s="40" t="str">
        <f t="shared" si="2"/>
        <v>X</v>
      </c>
      <c r="U36" s="41" t="str">
        <f t="shared" si="3"/>
        <v/>
      </c>
      <c r="V36" s="41" t="str">
        <f t="shared" si="4"/>
        <v/>
      </c>
      <c r="W36" s="41" t="str">
        <f t="shared" si="5"/>
        <v/>
      </c>
      <c r="X36" s="41" t="str">
        <f t="shared" si="6"/>
        <v/>
      </c>
      <c r="Y36" s="42" t="str">
        <f t="shared" si="7"/>
        <v/>
      </c>
      <c r="Z36" s="54">
        <f>'DS - Questionário'!E105</f>
        <v>0</v>
      </c>
    </row>
    <row r="37" spans="1:26" x14ac:dyDescent="0.25">
      <c r="A37" s="135"/>
      <c r="B37" s="16" t="s">
        <v>49</v>
      </c>
      <c r="C37" s="17">
        <f>+'DS - Questionário'!D109</f>
        <v>0</v>
      </c>
      <c r="D37" s="17">
        <f>+'DS - Questionário'!D110</f>
        <v>0</v>
      </c>
      <c r="E37" s="17">
        <f>+'DS - Questionário'!D111</f>
        <v>0</v>
      </c>
      <c r="F37" s="17">
        <f>+'DS - Questionário'!D112</f>
        <v>0</v>
      </c>
      <c r="G37" s="17">
        <f>+'DS - Questionário'!D113</f>
        <v>0</v>
      </c>
      <c r="H37" s="17"/>
      <c r="I37" s="17"/>
      <c r="J37" s="17"/>
      <c r="K37" s="17"/>
      <c r="L37" s="17"/>
      <c r="M37" s="17"/>
      <c r="N37" s="17"/>
      <c r="O37" s="17"/>
      <c r="P37" s="17"/>
      <c r="Q37" s="18"/>
      <c r="R37" s="54">
        <f t="shared" si="10"/>
        <v>0</v>
      </c>
      <c r="S37" s="19">
        <f t="shared" si="11"/>
        <v>5</v>
      </c>
      <c r="T37" s="40" t="str">
        <f t="shared" si="2"/>
        <v>X</v>
      </c>
      <c r="U37" s="41" t="str">
        <f t="shared" si="3"/>
        <v/>
      </c>
      <c r="V37" s="41" t="str">
        <f t="shared" si="4"/>
        <v/>
      </c>
      <c r="W37" s="41" t="str">
        <f t="shared" si="5"/>
        <v/>
      </c>
      <c r="X37" s="41" t="str">
        <f t="shared" si="6"/>
        <v/>
      </c>
      <c r="Y37" s="42" t="str">
        <f t="shared" si="7"/>
        <v/>
      </c>
      <c r="Z37" s="54">
        <f>'DS - Questionário'!E114</f>
        <v>0</v>
      </c>
    </row>
    <row r="38" spans="1:26" ht="15.75" thickBot="1" x14ac:dyDescent="0.3">
      <c r="A38" s="135"/>
      <c r="B38" s="16" t="s">
        <v>50</v>
      </c>
      <c r="C38" s="17">
        <f>+'DS - Questionário'!D118</f>
        <v>0</v>
      </c>
      <c r="D38" s="17">
        <f>+'DS - Questionário'!D119</f>
        <v>0</v>
      </c>
      <c r="E38" s="17">
        <f>+'DS - Questionário'!D120</f>
        <v>0</v>
      </c>
      <c r="F38" s="17">
        <f>+'DS - Questionário'!D121</f>
        <v>0</v>
      </c>
      <c r="G38" s="17">
        <f>+'DS - Questionário'!D122</f>
        <v>0</v>
      </c>
      <c r="H38" s="17"/>
      <c r="I38" s="17"/>
      <c r="J38" s="17"/>
      <c r="K38" s="17"/>
      <c r="L38" s="17"/>
      <c r="M38" s="17"/>
      <c r="N38" s="17"/>
      <c r="O38" s="17"/>
      <c r="P38" s="17"/>
      <c r="Q38" s="18"/>
      <c r="R38" s="59">
        <f t="shared" si="10"/>
        <v>0</v>
      </c>
      <c r="S38" s="20">
        <f t="shared" si="11"/>
        <v>5</v>
      </c>
      <c r="T38" s="43" t="str">
        <f t="shared" si="2"/>
        <v>X</v>
      </c>
      <c r="U38" s="44" t="str">
        <f t="shared" si="3"/>
        <v/>
      </c>
      <c r="V38" s="44" t="str">
        <f t="shared" si="4"/>
        <v/>
      </c>
      <c r="W38" s="44" t="str">
        <f t="shared" si="5"/>
        <v/>
      </c>
      <c r="X38" s="44" t="str">
        <f t="shared" si="6"/>
        <v/>
      </c>
      <c r="Y38" s="45" t="str">
        <f t="shared" si="7"/>
        <v/>
      </c>
      <c r="Z38" s="59">
        <f>'DS - Questionário'!E123</f>
        <v>0</v>
      </c>
    </row>
    <row r="39" spans="1:26" ht="15.75" thickBot="1" x14ac:dyDescent="0.3">
      <c r="A39" s="135" t="s">
        <v>51</v>
      </c>
      <c r="B39" s="140" t="s">
        <v>52</v>
      </c>
      <c r="C39" s="141"/>
      <c r="D39" s="141"/>
      <c r="E39" s="141"/>
      <c r="F39" s="141"/>
      <c r="G39" s="141"/>
      <c r="H39" s="141"/>
      <c r="I39" s="141"/>
      <c r="J39" s="141"/>
      <c r="K39" s="141"/>
      <c r="L39" s="141"/>
      <c r="M39" s="141"/>
      <c r="N39" s="141"/>
      <c r="O39" s="141"/>
      <c r="P39" s="141"/>
      <c r="Q39" s="141"/>
      <c r="R39" s="141"/>
      <c r="S39" s="141"/>
      <c r="T39" s="141"/>
      <c r="U39" s="141"/>
      <c r="V39" s="141"/>
      <c r="W39" s="141"/>
      <c r="X39" s="141"/>
      <c r="Y39" s="142"/>
      <c r="Z39"/>
    </row>
    <row r="40" spans="1:26" x14ac:dyDescent="0.25">
      <c r="A40" s="135"/>
      <c r="B40" s="15" t="s">
        <v>53</v>
      </c>
      <c r="C40" s="65">
        <f>+'MA - Questionário'!D7</f>
        <v>0</v>
      </c>
      <c r="D40" s="65">
        <f>+'MA - Questionário'!D8</f>
        <v>0</v>
      </c>
      <c r="E40" s="65">
        <f>+'MA - Questionário'!D9</f>
        <v>0</v>
      </c>
      <c r="F40" s="65">
        <f>+'MA - Questionário'!D10</f>
        <v>0</v>
      </c>
      <c r="G40" s="65">
        <f>+'MA - Questionário'!D11</f>
        <v>0</v>
      </c>
      <c r="H40" s="65">
        <f>+'MA - Questionário'!D12</f>
        <v>0</v>
      </c>
      <c r="I40" s="65"/>
      <c r="J40" s="65"/>
      <c r="K40" s="65"/>
      <c r="L40" s="65"/>
      <c r="M40" s="65"/>
      <c r="N40" s="65"/>
      <c r="O40" s="65"/>
      <c r="P40" s="65"/>
      <c r="Q40" s="11"/>
      <c r="R40" s="28">
        <f>+SUM(C40:Q40)/S40</f>
        <v>0</v>
      </c>
      <c r="S40" s="12">
        <f>COUNTA(C40:Q40)</f>
        <v>6</v>
      </c>
      <c r="T40" s="31" t="str">
        <f t="shared" si="2"/>
        <v>X</v>
      </c>
      <c r="U40" s="32" t="str">
        <f t="shared" si="3"/>
        <v/>
      </c>
      <c r="V40" s="32" t="str">
        <f t="shared" si="4"/>
        <v/>
      </c>
      <c r="W40" s="32" t="str">
        <f t="shared" si="5"/>
        <v/>
      </c>
      <c r="X40" s="32" t="str">
        <f t="shared" si="6"/>
        <v/>
      </c>
      <c r="Y40" s="33" t="str">
        <f t="shared" si="7"/>
        <v/>
      </c>
      <c r="Z40" s="28">
        <f>'MA - Questionário'!E13</f>
        <v>0</v>
      </c>
    </row>
    <row r="41" spans="1:26" x14ac:dyDescent="0.25">
      <c r="A41" s="135"/>
      <c r="B41" s="15" t="s">
        <v>54</v>
      </c>
      <c r="C41" s="65">
        <f>+'MA - Questionário'!D17</f>
        <v>0</v>
      </c>
      <c r="D41" s="65">
        <f>+'MA - Questionário'!D18</f>
        <v>0</v>
      </c>
      <c r="E41" s="65">
        <f>+'MA - Questionário'!D19</f>
        <v>0</v>
      </c>
      <c r="F41" s="65">
        <f>+'MA - Questionário'!D20</f>
        <v>0</v>
      </c>
      <c r="G41" s="65">
        <f>+'MA - Questionário'!D21</f>
        <v>0</v>
      </c>
      <c r="H41" s="65">
        <f>+'MA - Questionário'!D22</f>
        <v>0</v>
      </c>
      <c r="I41" s="65">
        <f>+'MA - Questionário'!D23</f>
        <v>0</v>
      </c>
      <c r="J41" s="65"/>
      <c r="K41" s="65"/>
      <c r="L41" s="65"/>
      <c r="M41" s="65"/>
      <c r="N41" s="65"/>
      <c r="O41" s="65"/>
      <c r="P41" s="65"/>
      <c r="Q41" s="11"/>
      <c r="R41" s="29">
        <f>+SUM(C41:Q41)/S41</f>
        <v>0</v>
      </c>
      <c r="S41" s="13">
        <f>COUNTA(C41:Q41)</f>
        <v>7</v>
      </c>
      <c r="T41" s="34" t="str">
        <f t="shared" si="2"/>
        <v>X</v>
      </c>
      <c r="U41" s="35" t="str">
        <f t="shared" si="3"/>
        <v/>
      </c>
      <c r="V41" s="35" t="str">
        <f t="shared" si="4"/>
        <v/>
      </c>
      <c r="W41" s="35" t="str">
        <f t="shared" si="5"/>
        <v/>
      </c>
      <c r="X41" s="35" t="str">
        <f t="shared" si="6"/>
        <v/>
      </c>
      <c r="Y41" s="36" t="str">
        <f t="shared" si="7"/>
        <v/>
      </c>
      <c r="Z41" s="29">
        <f>'MA - Questionário'!E24</f>
        <v>0</v>
      </c>
    </row>
    <row r="42" spans="1:26" x14ac:dyDescent="0.25">
      <c r="A42" s="135"/>
      <c r="B42" s="15" t="s">
        <v>55</v>
      </c>
      <c r="C42" s="65">
        <f>+'MA - Questionário'!D28</f>
        <v>0</v>
      </c>
      <c r="D42" s="65">
        <f>+'MA - Questionário'!D29</f>
        <v>0</v>
      </c>
      <c r="E42" s="65">
        <f>+'MA - Questionário'!D30</f>
        <v>0</v>
      </c>
      <c r="F42" s="65">
        <f>+'MA - Questionário'!D31</f>
        <v>0</v>
      </c>
      <c r="G42" s="65">
        <f>+'MA - Questionário'!D32</f>
        <v>0</v>
      </c>
      <c r="H42" s="65"/>
      <c r="I42" s="65"/>
      <c r="J42" s="65"/>
      <c r="K42" s="65"/>
      <c r="L42" s="65"/>
      <c r="M42" s="65"/>
      <c r="N42" s="65"/>
      <c r="O42" s="65"/>
      <c r="P42" s="65"/>
      <c r="Q42" s="11"/>
      <c r="R42" s="29">
        <f>+SUM(C42:Q42)/S42</f>
        <v>0</v>
      </c>
      <c r="S42" s="13">
        <f>COUNTA(C42:Q42)</f>
        <v>5</v>
      </c>
      <c r="T42" s="34" t="str">
        <f t="shared" si="2"/>
        <v>X</v>
      </c>
      <c r="U42" s="35" t="str">
        <f t="shared" si="3"/>
        <v/>
      </c>
      <c r="V42" s="35" t="str">
        <f t="shared" si="4"/>
        <v/>
      </c>
      <c r="W42" s="35" t="str">
        <f t="shared" si="5"/>
        <v/>
      </c>
      <c r="X42" s="35" t="str">
        <f t="shared" si="6"/>
        <v/>
      </c>
      <c r="Y42" s="36" t="str">
        <f t="shared" si="7"/>
        <v/>
      </c>
      <c r="Z42" s="29">
        <f>'MA - Questionário'!E33</f>
        <v>0</v>
      </c>
    </row>
    <row r="43" spans="1:26" ht="15.75" thickBot="1" x14ac:dyDescent="0.3">
      <c r="A43" s="136"/>
      <c r="B43" s="26" t="s">
        <v>56</v>
      </c>
      <c r="C43" s="67">
        <f>+'MA - Questionário'!D37</f>
        <v>0</v>
      </c>
      <c r="D43" s="67">
        <f>+'MA - Questionário'!D38</f>
        <v>0</v>
      </c>
      <c r="E43" s="67">
        <f>+'MA - Questionário'!D39</f>
        <v>0</v>
      </c>
      <c r="F43" s="67">
        <f>+'MA - Questionário'!D40</f>
        <v>0</v>
      </c>
      <c r="G43" s="67">
        <f>+'MA - Questionário'!D41</f>
        <v>0</v>
      </c>
      <c r="H43" s="67">
        <f>+'MA - Questionário'!D42</f>
        <v>0</v>
      </c>
      <c r="I43" s="67">
        <f>+'MA - Questionário'!D43</f>
        <v>0</v>
      </c>
      <c r="J43" s="67"/>
      <c r="K43" s="67"/>
      <c r="L43" s="67"/>
      <c r="M43" s="67"/>
      <c r="N43" s="67"/>
      <c r="O43" s="67"/>
      <c r="P43" s="67"/>
      <c r="Q43" s="27"/>
      <c r="R43" s="30">
        <f>+SUM(C43:Q43)/S43</f>
        <v>0</v>
      </c>
      <c r="S43" s="14">
        <f>COUNTA(C43:Q43)</f>
        <v>7</v>
      </c>
      <c r="T43" s="48" t="str">
        <f t="shared" si="2"/>
        <v>X</v>
      </c>
      <c r="U43" s="49" t="str">
        <f t="shared" si="3"/>
        <v/>
      </c>
      <c r="V43" s="49" t="str">
        <f t="shared" si="4"/>
        <v/>
      </c>
      <c r="W43" s="49" t="str">
        <f t="shared" si="5"/>
        <v/>
      </c>
      <c r="X43" s="49" t="str">
        <f t="shared" si="6"/>
        <v/>
      </c>
      <c r="Y43" s="50" t="str">
        <f t="shared" si="7"/>
        <v/>
      </c>
      <c r="Z43" s="30">
        <f>'MA - Questionário'!E44</f>
        <v>0</v>
      </c>
    </row>
    <row r="44" spans="1:26" ht="16.5" thickBot="1" x14ac:dyDescent="0.3">
      <c r="A44" s="128" t="s">
        <v>57</v>
      </c>
      <c r="B44" s="129"/>
      <c r="C44" s="129"/>
      <c r="D44" s="129"/>
      <c r="E44" s="129"/>
      <c r="F44" s="129"/>
      <c r="G44" s="129"/>
      <c r="H44" s="129"/>
      <c r="I44" s="129"/>
      <c r="J44" s="129"/>
      <c r="K44" s="129"/>
      <c r="L44" s="129"/>
      <c r="M44" s="129"/>
      <c r="N44" s="129"/>
      <c r="O44" s="129"/>
      <c r="P44" s="129"/>
      <c r="Q44" s="130"/>
      <c r="R44" s="63">
        <f>(MEDIAN(R40:R43)+MEDIAN(R26:R38)+MEDIAN(R18:R24)+MEDIAN(R7:R16))/4</f>
        <v>0</v>
      </c>
      <c r="S44" s="64"/>
      <c r="T44" s="51" t="str">
        <f t="shared" si="2"/>
        <v>X</v>
      </c>
      <c r="U44" s="52" t="str">
        <f t="shared" si="3"/>
        <v/>
      </c>
      <c r="V44" s="52" t="str">
        <f t="shared" si="4"/>
        <v/>
      </c>
      <c r="W44" s="52" t="str">
        <f t="shared" si="5"/>
        <v/>
      </c>
      <c r="X44" s="52" t="str">
        <f t="shared" si="6"/>
        <v/>
      </c>
      <c r="Y44" s="53" t="str">
        <f t="shared" si="7"/>
        <v/>
      </c>
      <c r="Z44" s="63">
        <f>(MEDIAN(Z40:Z43)+MEDIAN(Z26:Z38)+MEDIAN(Z18:Z24)+MEDIAN(Z7:Z16))/4</f>
        <v>0</v>
      </c>
    </row>
  </sheetData>
  <mergeCells count="10">
    <mergeCell ref="A44:Q44"/>
    <mergeCell ref="C4:Q4"/>
    <mergeCell ref="A6:A16"/>
    <mergeCell ref="A17:A24"/>
    <mergeCell ref="A25:A38"/>
    <mergeCell ref="A39:A43"/>
    <mergeCell ref="B6:Y6"/>
    <mergeCell ref="B17:Y17"/>
    <mergeCell ref="B25:Y25"/>
    <mergeCell ref="B39:Y39"/>
  </mergeCells>
  <pageMargins left="0.511811024" right="0.511811024" top="0.78740157499999996" bottom="0.78740157499999996" header="0.31496062000000002" footer="0.31496062000000002"/>
  <pageSetup paperSize="9" scale="62" orientation="landscape" horizontalDpi="4294967293"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119"/>
  <sheetViews>
    <sheetView showGridLines="0" showRowColHeaders="0" zoomScaleNormal="100" workbookViewId="0">
      <selection activeCell="E10" sqref="E10"/>
    </sheetView>
  </sheetViews>
  <sheetFormatPr defaultRowHeight="15" x14ac:dyDescent="0.25"/>
  <cols>
    <col min="1" max="1" width="8.7109375" customWidth="1"/>
    <col min="2" max="2" width="16.7109375" style="24" customWidth="1"/>
    <col min="3" max="3" width="87" style="23" customWidth="1"/>
    <col min="4" max="5" width="7.7109375" style="55" customWidth="1"/>
    <col min="6" max="6" width="55.7109375" style="56" customWidth="1"/>
    <col min="7" max="7" width="1.7109375" customWidth="1"/>
  </cols>
  <sheetData>
    <row r="1" spans="1:7" ht="26.25" x14ac:dyDescent="0.4">
      <c r="A1" s="22"/>
      <c r="B1" s="25"/>
      <c r="C1" s="66"/>
      <c r="F1" s="68"/>
    </row>
    <row r="2" spans="1:7" ht="27" thickBot="1" x14ac:dyDescent="0.45">
      <c r="A2" s="22"/>
      <c r="B2" s="25"/>
      <c r="C2" s="66"/>
      <c r="D2" s="55" t="s">
        <v>3</v>
      </c>
      <c r="E2" s="55" t="s">
        <v>3</v>
      </c>
      <c r="F2" s="75"/>
      <c r="G2" s="62"/>
    </row>
    <row r="3" spans="1:7" ht="24" thickBot="1" x14ac:dyDescent="0.4">
      <c r="A3" s="21" t="s">
        <v>58</v>
      </c>
      <c r="B3" s="47" t="s">
        <v>59</v>
      </c>
      <c r="C3" s="66"/>
      <c r="D3" s="107" t="s">
        <v>546</v>
      </c>
      <c r="E3" s="107" t="s">
        <v>547</v>
      </c>
      <c r="F3" s="68"/>
    </row>
    <row r="4" spans="1:7" x14ac:dyDescent="0.25">
      <c r="A4" s="146" t="s">
        <v>60</v>
      </c>
      <c r="B4" s="147"/>
      <c r="C4" s="73" t="s">
        <v>61</v>
      </c>
      <c r="D4" s="107" t="s">
        <v>454</v>
      </c>
      <c r="E4" s="107" t="s">
        <v>454</v>
      </c>
      <c r="F4" s="108" t="s">
        <v>453</v>
      </c>
    </row>
    <row r="5" spans="1:7" ht="25.5" x14ac:dyDescent="0.25">
      <c r="A5" s="76">
        <v>1</v>
      </c>
      <c r="B5" s="77" t="s">
        <v>62</v>
      </c>
      <c r="C5" s="123" t="s">
        <v>63</v>
      </c>
      <c r="D5" s="80">
        <v>0</v>
      </c>
      <c r="E5" s="80">
        <v>0</v>
      </c>
      <c r="F5" s="78"/>
    </row>
    <row r="6" spans="1:7" ht="25.5" x14ac:dyDescent="0.25">
      <c r="A6" s="76">
        <v>2</v>
      </c>
      <c r="B6" s="77" t="s">
        <v>64</v>
      </c>
      <c r="C6" s="123" t="s">
        <v>65</v>
      </c>
      <c r="D6" s="80">
        <v>0</v>
      </c>
      <c r="E6" s="80">
        <v>0</v>
      </c>
      <c r="F6" s="78"/>
    </row>
    <row r="7" spans="1:7" ht="51" x14ac:dyDescent="0.25">
      <c r="A7" s="76">
        <v>3</v>
      </c>
      <c r="B7" s="77" t="s">
        <v>66</v>
      </c>
      <c r="C7" s="123" t="s">
        <v>67</v>
      </c>
      <c r="D7" s="80">
        <v>0</v>
      </c>
      <c r="E7" s="80">
        <v>0</v>
      </c>
      <c r="F7" s="78"/>
    </row>
    <row r="8" spans="1:7" ht="25.5" x14ac:dyDescent="0.25">
      <c r="A8" s="76">
        <v>4</v>
      </c>
      <c r="B8" s="77" t="s">
        <v>68</v>
      </c>
      <c r="C8" s="123" t="s">
        <v>69</v>
      </c>
      <c r="D8" s="80">
        <v>0</v>
      </c>
      <c r="E8" s="80">
        <v>0</v>
      </c>
      <c r="F8" s="78"/>
    </row>
    <row r="9" spans="1:7" ht="25.5" x14ac:dyDescent="0.25">
      <c r="A9" s="76">
        <v>5</v>
      </c>
      <c r="B9" s="77" t="s">
        <v>70</v>
      </c>
      <c r="C9" s="123" t="s">
        <v>71</v>
      </c>
      <c r="D9" s="80">
        <v>0</v>
      </c>
      <c r="E9" s="80">
        <v>0</v>
      </c>
      <c r="F9" s="78"/>
    </row>
    <row r="10" spans="1:7" ht="26.25" thickBot="1" x14ac:dyDescent="0.3">
      <c r="A10" s="76">
        <v>6</v>
      </c>
      <c r="B10" s="77" t="s">
        <v>72</v>
      </c>
      <c r="C10" s="123" t="s">
        <v>73</v>
      </c>
      <c r="D10" s="80">
        <v>0</v>
      </c>
      <c r="E10" s="80">
        <v>0</v>
      </c>
      <c r="F10" s="79"/>
    </row>
    <row r="11" spans="1:7" x14ac:dyDescent="0.25">
      <c r="A11" s="148" t="s">
        <v>74</v>
      </c>
      <c r="B11" s="148"/>
      <c r="C11" s="148"/>
      <c r="D11" s="104">
        <f>+SUM(D5:D10)/COUNTA(D5:D10)</f>
        <v>0</v>
      </c>
      <c r="E11" s="104">
        <f>+SUM(E5:E10)/COUNTA(E5:E10)</f>
        <v>0</v>
      </c>
      <c r="F11" s="68"/>
    </row>
    <row r="12" spans="1:7" x14ac:dyDescent="0.25">
      <c r="A12" s="69"/>
      <c r="C12" s="66"/>
      <c r="F12" s="68"/>
    </row>
    <row r="13" spans="1:7" ht="27" thickBot="1" x14ac:dyDescent="0.45">
      <c r="A13" s="21" t="s">
        <v>75</v>
      </c>
      <c r="B13" s="46" t="s">
        <v>76</v>
      </c>
      <c r="C13" s="66"/>
      <c r="F13" s="68"/>
    </row>
    <row r="14" spans="1:7" x14ac:dyDescent="0.25">
      <c r="A14" s="146" t="s">
        <v>60</v>
      </c>
      <c r="B14" s="147"/>
      <c r="C14" s="73" t="s">
        <v>61</v>
      </c>
      <c r="D14" s="107" t="s">
        <v>454</v>
      </c>
      <c r="E14" s="107" t="s">
        <v>454</v>
      </c>
      <c r="F14" s="108" t="s">
        <v>453</v>
      </c>
    </row>
    <row r="15" spans="1:7" s="69" customFormat="1" ht="38.25" x14ac:dyDescent="0.25">
      <c r="A15" s="76">
        <v>1</v>
      </c>
      <c r="B15" s="77" t="s">
        <v>77</v>
      </c>
      <c r="C15" s="123" t="s">
        <v>78</v>
      </c>
      <c r="D15" s="80">
        <v>0</v>
      </c>
      <c r="E15" s="80">
        <v>0</v>
      </c>
      <c r="F15" s="78"/>
    </row>
    <row r="16" spans="1:7" s="69" customFormat="1" ht="51" x14ac:dyDescent="0.25">
      <c r="A16" s="76">
        <v>2</v>
      </c>
      <c r="B16" s="77" t="s">
        <v>79</v>
      </c>
      <c r="C16" s="123" t="s">
        <v>80</v>
      </c>
      <c r="D16" s="80">
        <v>0</v>
      </c>
      <c r="E16" s="80">
        <v>0</v>
      </c>
      <c r="F16" s="78"/>
    </row>
    <row r="17" spans="1:6" s="69" customFormat="1" ht="38.25" x14ac:dyDescent="0.25">
      <c r="A17" s="76">
        <v>3</v>
      </c>
      <c r="B17" s="77" t="s">
        <v>81</v>
      </c>
      <c r="C17" s="123" t="s">
        <v>82</v>
      </c>
      <c r="D17" s="80">
        <v>0</v>
      </c>
      <c r="E17" s="80">
        <v>0</v>
      </c>
      <c r="F17" s="78"/>
    </row>
    <row r="18" spans="1:6" s="69" customFormat="1" ht="26.25" thickBot="1" x14ac:dyDescent="0.3">
      <c r="A18" s="76">
        <v>4</v>
      </c>
      <c r="B18" s="77" t="s">
        <v>83</v>
      </c>
      <c r="C18" s="123" t="s">
        <v>84</v>
      </c>
      <c r="D18" s="80">
        <v>0</v>
      </c>
      <c r="E18" s="80">
        <v>0</v>
      </c>
      <c r="F18" s="78"/>
    </row>
    <row r="19" spans="1:6" s="106" customFormat="1" x14ac:dyDescent="0.25">
      <c r="A19" s="145" t="s">
        <v>74</v>
      </c>
      <c r="B19" s="145"/>
      <c r="C19" s="145"/>
      <c r="D19" s="104">
        <f>+SUM(D15:D18)/COUNTA(D15:D18)</f>
        <v>0</v>
      </c>
      <c r="E19" s="104">
        <f>+SUM(E15:E18)/COUNTA(E15:E18)</f>
        <v>0</v>
      </c>
      <c r="F19" s="105"/>
    </row>
    <row r="20" spans="1:6" x14ac:dyDescent="0.25">
      <c r="A20" s="69"/>
      <c r="C20" s="66"/>
      <c r="D20" s="55" t="s">
        <v>3</v>
      </c>
      <c r="F20" s="68"/>
    </row>
    <row r="21" spans="1:6" ht="24" thickBot="1" x14ac:dyDescent="0.4">
      <c r="A21" s="21" t="s">
        <v>85</v>
      </c>
      <c r="B21" s="47" t="s">
        <v>86</v>
      </c>
      <c r="C21" s="66"/>
      <c r="D21" s="55" t="s">
        <v>3</v>
      </c>
      <c r="F21" s="68"/>
    </row>
    <row r="22" spans="1:6" x14ac:dyDescent="0.25">
      <c r="A22" s="146" t="s">
        <v>60</v>
      </c>
      <c r="B22" s="147"/>
      <c r="C22" s="73" t="s">
        <v>61</v>
      </c>
      <c r="D22" s="107" t="s">
        <v>454</v>
      </c>
      <c r="E22" s="107" t="s">
        <v>454</v>
      </c>
      <c r="F22" s="108" t="s">
        <v>453</v>
      </c>
    </row>
    <row r="23" spans="1:6" s="69" customFormat="1" ht="38.25" x14ac:dyDescent="0.25">
      <c r="A23" s="76">
        <v>1</v>
      </c>
      <c r="B23" s="77" t="s">
        <v>87</v>
      </c>
      <c r="C23" s="123" t="s">
        <v>88</v>
      </c>
      <c r="D23" s="80">
        <v>0</v>
      </c>
      <c r="E23" s="80">
        <v>0</v>
      </c>
      <c r="F23" s="78"/>
    </row>
    <row r="24" spans="1:6" s="69" customFormat="1" ht="38.25" x14ac:dyDescent="0.25">
      <c r="A24" s="76">
        <v>2</v>
      </c>
      <c r="B24" s="77" t="s">
        <v>89</v>
      </c>
      <c r="C24" s="123" t="s">
        <v>90</v>
      </c>
      <c r="D24" s="80">
        <v>0</v>
      </c>
      <c r="E24" s="80">
        <v>0</v>
      </c>
      <c r="F24" s="78"/>
    </row>
    <row r="25" spans="1:6" s="69" customFormat="1" ht="51" x14ac:dyDescent="0.25">
      <c r="A25" s="76">
        <v>3</v>
      </c>
      <c r="B25" s="77" t="s">
        <v>91</v>
      </c>
      <c r="C25" s="123" t="s">
        <v>475</v>
      </c>
      <c r="D25" s="80">
        <v>0</v>
      </c>
      <c r="E25" s="80">
        <v>0</v>
      </c>
      <c r="F25" s="78"/>
    </row>
    <row r="26" spans="1:6" s="69" customFormat="1" ht="51" x14ac:dyDescent="0.25">
      <c r="A26" s="76">
        <v>4</v>
      </c>
      <c r="B26" s="77" t="s">
        <v>92</v>
      </c>
      <c r="C26" s="123" t="s">
        <v>555</v>
      </c>
      <c r="D26" s="80">
        <v>0</v>
      </c>
      <c r="E26" s="80">
        <v>0</v>
      </c>
      <c r="F26" s="78"/>
    </row>
    <row r="27" spans="1:6" s="69" customFormat="1" ht="26.25" thickBot="1" x14ac:dyDescent="0.3">
      <c r="A27" s="76">
        <v>5</v>
      </c>
      <c r="B27" s="77" t="s">
        <v>93</v>
      </c>
      <c r="C27" s="123" t="s">
        <v>556</v>
      </c>
      <c r="D27" s="80">
        <v>0</v>
      </c>
      <c r="E27" s="80">
        <v>0</v>
      </c>
      <c r="F27" s="78"/>
    </row>
    <row r="28" spans="1:6" s="106" customFormat="1" x14ac:dyDescent="0.25">
      <c r="A28" s="145" t="s">
        <v>74</v>
      </c>
      <c r="B28" s="145"/>
      <c r="C28" s="145"/>
      <c r="D28" s="104">
        <f>+SUM(D23:D27)/COUNTA(D23:D27)</f>
        <v>0</v>
      </c>
      <c r="E28" s="104">
        <f>+SUM(E23:E27)/COUNTA(E23:E27)</f>
        <v>0</v>
      </c>
      <c r="F28" s="105"/>
    </row>
    <row r="29" spans="1:6" x14ac:dyDescent="0.25">
      <c r="A29" s="69"/>
      <c r="C29" s="66"/>
      <c r="D29" s="55">
        <v>0</v>
      </c>
      <c r="F29" s="68"/>
    </row>
    <row r="30" spans="1:6" ht="24" thickBot="1" x14ac:dyDescent="0.4">
      <c r="A30" s="21" t="s">
        <v>94</v>
      </c>
      <c r="B30" s="47" t="s">
        <v>95</v>
      </c>
      <c r="C30" s="66"/>
      <c r="D30" s="55">
        <v>0</v>
      </c>
      <c r="F30" s="68"/>
    </row>
    <row r="31" spans="1:6" x14ac:dyDescent="0.25">
      <c r="A31" s="146" t="s">
        <v>60</v>
      </c>
      <c r="B31" s="147"/>
      <c r="C31" s="73" t="s">
        <v>61</v>
      </c>
      <c r="D31" s="107" t="s">
        <v>454</v>
      </c>
      <c r="E31" s="107" t="s">
        <v>454</v>
      </c>
      <c r="F31" s="108" t="s">
        <v>453</v>
      </c>
    </row>
    <row r="32" spans="1:6" s="69" customFormat="1" ht="38.25" x14ac:dyDescent="0.25">
      <c r="A32" s="76">
        <v>1</v>
      </c>
      <c r="B32" s="77" t="s">
        <v>96</v>
      </c>
      <c r="C32" s="123" t="s">
        <v>557</v>
      </c>
      <c r="D32" s="80">
        <v>0</v>
      </c>
      <c r="E32" s="80">
        <v>0</v>
      </c>
      <c r="F32" s="78"/>
    </row>
    <row r="33" spans="1:6" s="69" customFormat="1" ht="38.25" x14ac:dyDescent="0.25">
      <c r="A33" s="76">
        <v>2</v>
      </c>
      <c r="B33" s="77" t="s">
        <v>97</v>
      </c>
      <c r="C33" s="123" t="s">
        <v>476</v>
      </c>
      <c r="D33" s="80">
        <v>0</v>
      </c>
      <c r="E33" s="80">
        <v>0</v>
      </c>
      <c r="F33" s="78"/>
    </row>
    <row r="34" spans="1:6" s="69" customFormat="1" ht="38.25" x14ac:dyDescent="0.25">
      <c r="A34" s="76">
        <v>3</v>
      </c>
      <c r="B34" s="77" t="s">
        <v>98</v>
      </c>
      <c r="C34" s="123" t="s">
        <v>558</v>
      </c>
      <c r="D34" s="80">
        <v>0</v>
      </c>
      <c r="E34" s="80">
        <v>0</v>
      </c>
      <c r="F34" s="78"/>
    </row>
    <row r="35" spans="1:6" s="69" customFormat="1" ht="51" x14ac:dyDescent="0.25">
      <c r="A35" s="76">
        <v>4</v>
      </c>
      <c r="B35" s="77" t="s">
        <v>99</v>
      </c>
      <c r="C35" s="123" t="s">
        <v>100</v>
      </c>
      <c r="D35" s="80">
        <v>0</v>
      </c>
      <c r="E35" s="80">
        <v>0</v>
      </c>
      <c r="F35" s="78"/>
    </row>
    <row r="36" spans="1:6" s="69" customFormat="1" ht="51" x14ac:dyDescent="0.25">
      <c r="A36" s="76">
        <v>5</v>
      </c>
      <c r="B36" s="77" t="s">
        <v>101</v>
      </c>
      <c r="C36" s="123" t="s">
        <v>102</v>
      </c>
      <c r="D36" s="80">
        <v>0</v>
      </c>
      <c r="E36" s="80">
        <v>0</v>
      </c>
      <c r="F36" s="78"/>
    </row>
    <row r="37" spans="1:6" s="69" customFormat="1" ht="38.25" x14ac:dyDescent="0.25">
      <c r="A37" s="76">
        <v>6</v>
      </c>
      <c r="B37" s="77" t="s">
        <v>103</v>
      </c>
      <c r="C37" s="123" t="s">
        <v>477</v>
      </c>
      <c r="D37" s="80">
        <v>0</v>
      </c>
      <c r="E37" s="80">
        <v>0</v>
      </c>
      <c r="F37" s="78"/>
    </row>
    <row r="38" spans="1:6" s="69" customFormat="1" ht="38.25" x14ac:dyDescent="0.25">
      <c r="A38" s="76">
        <v>7</v>
      </c>
      <c r="B38" s="77" t="s">
        <v>104</v>
      </c>
      <c r="C38" s="123" t="s">
        <v>559</v>
      </c>
      <c r="D38" s="80">
        <v>0</v>
      </c>
      <c r="E38" s="80">
        <v>0</v>
      </c>
      <c r="F38" s="78"/>
    </row>
    <row r="39" spans="1:6" s="69" customFormat="1" ht="51" x14ac:dyDescent="0.25">
      <c r="A39" s="76">
        <v>8</v>
      </c>
      <c r="B39" s="77" t="s">
        <v>105</v>
      </c>
      <c r="C39" s="123" t="s">
        <v>560</v>
      </c>
      <c r="D39" s="80">
        <v>0</v>
      </c>
      <c r="E39" s="80">
        <v>0</v>
      </c>
      <c r="F39" s="78"/>
    </row>
    <row r="40" spans="1:6" s="69" customFormat="1" ht="51" x14ac:dyDescent="0.25">
      <c r="A40" s="76">
        <v>9</v>
      </c>
      <c r="B40" s="77" t="s">
        <v>106</v>
      </c>
      <c r="C40" s="123" t="s">
        <v>478</v>
      </c>
      <c r="D40" s="80">
        <v>0</v>
      </c>
      <c r="E40" s="80">
        <v>0</v>
      </c>
      <c r="F40" s="78"/>
    </row>
    <row r="41" spans="1:6" s="69" customFormat="1" ht="51" x14ac:dyDescent="0.25">
      <c r="A41" s="76">
        <v>10</v>
      </c>
      <c r="B41" s="77" t="s">
        <v>107</v>
      </c>
      <c r="C41" s="123" t="s">
        <v>479</v>
      </c>
      <c r="D41" s="80">
        <v>0</v>
      </c>
      <c r="E41" s="80">
        <v>0</v>
      </c>
      <c r="F41" s="78"/>
    </row>
    <row r="42" spans="1:6" s="69" customFormat="1" ht="51" x14ac:dyDescent="0.25">
      <c r="A42" s="76">
        <v>11</v>
      </c>
      <c r="B42" s="77" t="s">
        <v>108</v>
      </c>
      <c r="C42" s="123" t="s">
        <v>480</v>
      </c>
      <c r="D42" s="80">
        <v>0</v>
      </c>
      <c r="E42" s="80">
        <v>0</v>
      </c>
      <c r="F42" s="78"/>
    </row>
    <row r="43" spans="1:6" s="69" customFormat="1" ht="38.25" x14ac:dyDescent="0.25">
      <c r="A43" s="76">
        <v>12</v>
      </c>
      <c r="B43" s="77" t="s">
        <v>109</v>
      </c>
      <c r="C43" s="123" t="s">
        <v>481</v>
      </c>
      <c r="D43" s="80">
        <v>0</v>
      </c>
      <c r="E43" s="80">
        <v>0</v>
      </c>
      <c r="F43" s="78"/>
    </row>
    <row r="44" spans="1:6" s="69" customFormat="1" ht="25.5" x14ac:dyDescent="0.25">
      <c r="A44" s="76">
        <v>13</v>
      </c>
      <c r="B44" s="77" t="s">
        <v>110</v>
      </c>
      <c r="C44" s="123" t="s">
        <v>111</v>
      </c>
      <c r="D44" s="80">
        <v>0</v>
      </c>
      <c r="E44" s="80">
        <v>0</v>
      </c>
      <c r="F44" s="78"/>
    </row>
    <row r="45" spans="1:6" s="69" customFormat="1" ht="51" x14ac:dyDescent="0.25">
      <c r="A45" s="76">
        <v>14</v>
      </c>
      <c r="B45" s="77" t="s">
        <v>112</v>
      </c>
      <c r="C45" s="123" t="s">
        <v>113</v>
      </c>
      <c r="D45" s="80">
        <v>0</v>
      </c>
      <c r="E45" s="80">
        <v>0</v>
      </c>
      <c r="F45" s="78"/>
    </row>
    <row r="46" spans="1:6" s="69" customFormat="1" ht="64.5" thickBot="1" x14ac:dyDescent="0.3">
      <c r="A46" s="76">
        <v>15</v>
      </c>
      <c r="B46" s="77" t="s">
        <v>114</v>
      </c>
      <c r="C46" s="123" t="s">
        <v>482</v>
      </c>
      <c r="D46" s="80">
        <v>0</v>
      </c>
      <c r="E46" s="80">
        <v>0</v>
      </c>
      <c r="F46" s="78"/>
    </row>
    <row r="47" spans="1:6" s="106" customFormat="1" x14ac:dyDescent="0.25">
      <c r="A47" s="145" t="s">
        <v>74</v>
      </c>
      <c r="B47" s="145"/>
      <c r="C47" s="145"/>
      <c r="D47" s="104">
        <f>+SUM(D32:D46)/COUNTA(D32:D46)</f>
        <v>0</v>
      </c>
      <c r="E47" s="104">
        <f>+SUM(E32:E46)/COUNTA(E32:E46)</f>
        <v>0</v>
      </c>
      <c r="F47" s="105"/>
    </row>
    <row r="48" spans="1:6" x14ac:dyDescent="0.25">
      <c r="A48" s="69"/>
      <c r="C48" s="66"/>
      <c r="D48" s="55" t="s">
        <v>3</v>
      </c>
      <c r="F48" s="68"/>
    </row>
    <row r="49" spans="1:6" ht="24" thickBot="1" x14ac:dyDescent="0.4">
      <c r="A49" s="21" t="s">
        <v>115</v>
      </c>
      <c r="B49" s="47" t="s">
        <v>455</v>
      </c>
      <c r="C49" s="66"/>
      <c r="D49" s="55" t="s">
        <v>3</v>
      </c>
      <c r="F49" s="68"/>
    </row>
    <row r="50" spans="1:6" x14ac:dyDescent="0.25">
      <c r="A50" s="146" t="s">
        <v>60</v>
      </c>
      <c r="B50" s="147"/>
      <c r="C50" s="73" t="s">
        <v>61</v>
      </c>
      <c r="D50" s="107" t="s">
        <v>454</v>
      </c>
      <c r="E50" s="107" t="s">
        <v>454</v>
      </c>
      <c r="F50" s="108" t="s">
        <v>453</v>
      </c>
    </row>
    <row r="51" spans="1:6" s="69" customFormat="1" ht="38.25" x14ac:dyDescent="0.25">
      <c r="A51" s="76">
        <v>1</v>
      </c>
      <c r="B51" s="77" t="s">
        <v>116</v>
      </c>
      <c r="C51" s="123" t="s">
        <v>117</v>
      </c>
      <c r="D51" s="80">
        <v>0</v>
      </c>
      <c r="E51" s="80">
        <v>0</v>
      </c>
      <c r="F51" s="78"/>
    </row>
    <row r="52" spans="1:6" s="69" customFormat="1" ht="38.25" x14ac:dyDescent="0.25">
      <c r="A52" s="76">
        <v>2</v>
      </c>
      <c r="B52" s="77" t="s">
        <v>118</v>
      </c>
      <c r="C52" s="123" t="s">
        <v>483</v>
      </c>
      <c r="D52" s="80">
        <v>0</v>
      </c>
      <c r="E52" s="80">
        <v>0</v>
      </c>
      <c r="F52" s="78"/>
    </row>
    <row r="53" spans="1:6" s="69" customFormat="1" ht="38.25" x14ac:dyDescent="0.25">
      <c r="A53" s="76">
        <v>3</v>
      </c>
      <c r="B53" s="77" t="s">
        <v>119</v>
      </c>
      <c r="C53" s="123" t="s">
        <v>561</v>
      </c>
      <c r="D53" s="80">
        <v>0</v>
      </c>
      <c r="E53" s="80">
        <v>0</v>
      </c>
      <c r="F53" s="78"/>
    </row>
    <row r="54" spans="1:6" s="69" customFormat="1" ht="25.5" x14ac:dyDescent="0.25">
      <c r="A54" s="76">
        <v>4</v>
      </c>
      <c r="B54" s="77" t="s">
        <v>120</v>
      </c>
      <c r="C54" s="123" t="s">
        <v>562</v>
      </c>
      <c r="D54" s="80">
        <v>0</v>
      </c>
      <c r="E54" s="80">
        <v>0</v>
      </c>
      <c r="F54" s="78"/>
    </row>
    <row r="55" spans="1:6" s="69" customFormat="1" ht="51.75" thickBot="1" x14ac:dyDescent="0.3">
      <c r="A55" s="76">
        <v>5</v>
      </c>
      <c r="B55" s="77" t="s">
        <v>121</v>
      </c>
      <c r="C55" s="123" t="s">
        <v>484</v>
      </c>
      <c r="D55" s="80">
        <v>0</v>
      </c>
      <c r="E55" s="80">
        <v>0</v>
      </c>
      <c r="F55" s="78"/>
    </row>
    <row r="56" spans="1:6" s="106" customFormat="1" x14ac:dyDescent="0.25">
      <c r="A56" s="145" t="s">
        <v>74</v>
      </c>
      <c r="B56" s="145"/>
      <c r="C56" s="145"/>
      <c r="D56" s="104">
        <f>+SUM(D51:D55)/COUNTA(D51:D55)</f>
        <v>0</v>
      </c>
      <c r="E56" s="104">
        <f>+SUM(E51:E55)/COUNTA(E51:E55)</f>
        <v>0</v>
      </c>
      <c r="F56" s="105"/>
    </row>
    <row r="57" spans="1:6" x14ac:dyDescent="0.25">
      <c r="A57" s="69"/>
      <c r="C57" s="66"/>
      <c r="D57" s="55" t="s">
        <v>3</v>
      </c>
      <c r="E57" s="55" t="s">
        <v>3</v>
      </c>
      <c r="F57" s="68"/>
    </row>
    <row r="58" spans="1:6" ht="24" thickBot="1" x14ac:dyDescent="0.4">
      <c r="A58" s="21" t="s">
        <v>122</v>
      </c>
      <c r="B58" s="47" t="s">
        <v>123</v>
      </c>
      <c r="C58" s="66"/>
      <c r="D58" s="55" t="s">
        <v>3</v>
      </c>
      <c r="E58" s="55" t="s">
        <v>3</v>
      </c>
      <c r="F58" s="68"/>
    </row>
    <row r="59" spans="1:6" x14ac:dyDescent="0.25">
      <c r="A59" s="146" t="s">
        <v>60</v>
      </c>
      <c r="B59" s="147"/>
      <c r="C59" s="73" t="s">
        <v>61</v>
      </c>
      <c r="D59" s="107" t="s">
        <v>454</v>
      </c>
      <c r="E59" s="107" t="s">
        <v>454</v>
      </c>
      <c r="F59" s="108" t="s">
        <v>453</v>
      </c>
    </row>
    <row r="60" spans="1:6" s="69" customFormat="1" ht="63.75" x14ac:dyDescent="0.25">
      <c r="A60" s="76">
        <v>1</v>
      </c>
      <c r="B60" s="77" t="s">
        <v>124</v>
      </c>
      <c r="C60" s="123" t="s">
        <v>563</v>
      </c>
      <c r="D60" s="80">
        <v>0</v>
      </c>
      <c r="E60" s="80">
        <v>0</v>
      </c>
      <c r="F60" s="78"/>
    </row>
    <row r="61" spans="1:6" s="69" customFormat="1" ht="51" x14ac:dyDescent="0.25">
      <c r="A61" s="76">
        <v>2</v>
      </c>
      <c r="B61" s="77" t="s">
        <v>125</v>
      </c>
      <c r="C61" s="123" t="s">
        <v>126</v>
      </c>
      <c r="D61" s="80">
        <v>0</v>
      </c>
      <c r="E61" s="80">
        <v>0</v>
      </c>
      <c r="F61" s="78"/>
    </row>
    <row r="62" spans="1:6" s="69" customFormat="1" ht="38.25" x14ac:dyDescent="0.25">
      <c r="A62" s="76">
        <v>3</v>
      </c>
      <c r="B62" s="77" t="s">
        <v>127</v>
      </c>
      <c r="C62" s="123" t="s">
        <v>564</v>
      </c>
      <c r="D62" s="80">
        <v>0</v>
      </c>
      <c r="E62" s="80">
        <v>0</v>
      </c>
      <c r="F62" s="78"/>
    </row>
    <row r="63" spans="1:6" s="69" customFormat="1" ht="25.5" x14ac:dyDescent="0.25">
      <c r="A63" s="76">
        <v>4</v>
      </c>
      <c r="B63" s="77" t="s">
        <v>128</v>
      </c>
      <c r="C63" s="123" t="s">
        <v>129</v>
      </c>
      <c r="D63" s="80">
        <v>0</v>
      </c>
      <c r="E63" s="80">
        <v>0</v>
      </c>
      <c r="F63" s="78"/>
    </row>
    <row r="64" spans="1:6" s="69" customFormat="1" ht="39" thickBot="1" x14ac:dyDescent="0.3">
      <c r="A64" s="76">
        <v>5</v>
      </c>
      <c r="B64" s="77" t="s">
        <v>130</v>
      </c>
      <c r="C64" s="123" t="s">
        <v>131</v>
      </c>
      <c r="D64" s="80">
        <v>0</v>
      </c>
      <c r="E64" s="80">
        <v>0</v>
      </c>
      <c r="F64" s="78"/>
    </row>
    <row r="65" spans="1:6" s="106" customFormat="1" x14ac:dyDescent="0.25">
      <c r="A65" s="145" t="s">
        <v>74</v>
      </c>
      <c r="B65" s="145"/>
      <c r="C65" s="145"/>
      <c r="D65" s="104">
        <f>+SUM(D60:D64)/COUNTA(D60:D64)</f>
        <v>0</v>
      </c>
      <c r="E65" s="104">
        <f>+SUM(E60:E64)/COUNTA(E60:E64)</f>
        <v>0</v>
      </c>
      <c r="F65" s="105"/>
    </row>
    <row r="66" spans="1:6" x14ac:dyDescent="0.25">
      <c r="A66" s="69"/>
      <c r="C66" s="66"/>
      <c r="D66" s="55" t="s">
        <v>3</v>
      </c>
      <c r="E66" s="55" t="s">
        <v>3</v>
      </c>
      <c r="F66" s="68"/>
    </row>
    <row r="67" spans="1:6" ht="24" thickBot="1" x14ac:dyDescent="0.4">
      <c r="A67" s="21" t="s">
        <v>132</v>
      </c>
      <c r="B67" s="47" t="s">
        <v>133</v>
      </c>
      <c r="C67" s="66"/>
      <c r="D67" s="55" t="s">
        <v>3</v>
      </c>
      <c r="E67" s="55" t="s">
        <v>3</v>
      </c>
      <c r="F67" s="68"/>
    </row>
    <row r="68" spans="1:6" x14ac:dyDescent="0.25">
      <c r="A68" s="146" t="s">
        <v>60</v>
      </c>
      <c r="B68" s="147"/>
      <c r="C68" s="73" t="s">
        <v>61</v>
      </c>
      <c r="D68" s="107" t="s">
        <v>454</v>
      </c>
      <c r="E68" s="107" t="s">
        <v>454</v>
      </c>
      <c r="F68" s="108" t="s">
        <v>453</v>
      </c>
    </row>
    <row r="69" spans="1:6" s="69" customFormat="1" ht="63.75" x14ac:dyDescent="0.25">
      <c r="A69" s="76">
        <v>1</v>
      </c>
      <c r="B69" s="77" t="s">
        <v>134</v>
      </c>
      <c r="C69" s="123" t="s">
        <v>135</v>
      </c>
      <c r="D69" s="80">
        <v>0</v>
      </c>
      <c r="E69" s="80">
        <v>0</v>
      </c>
      <c r="F69" s="78"/>
    </row>
    <row r="70" spans="1:6" s="69" customFormat="1" ht="38.25" x14ac:dyDescent="0.25">
      <c r="A70" s="76">
        <v>2</v>
      </c>
      <c r="B70" s="77" t="s">
        <v>136</v>
      </c>
      <c r="C70" s="123" t="s">
        <v>485</v>
      </c>
      <c r="D70" s="80">
        <v>0</v>
      </c>
      <c r="E70" s="80">
        <v>0</v>
      </c>
      <c r="F70" s="78"/>
    </row>
    <row r="71" spans="1:6" s="69" customFormat="1" ht="25.5" x14ac:dyDescent="0.25">
      <c r="A71" s="76">
        <v>3</v>
      </c>
      <c r="B71" s="77" t="s">
        <v>137</v>
      </c>
      <c r="C71" s="123" t="s">
        <v>138</v>
      </c>
      <c r="D71" s="80">
        <v>0</v>
      </c>
      <c r="E71" s="80">
        <v>0</v>
      </c>
      <c r="F71" s="78"/>
    </row>
    <row r="72" spans="1:6" s="69" customFormat="1" ht="38.25" x14ac:dyDescent="0.25">
      <c r="A72" s="76">
        <v>4</v>
      </c>
      <c r="B72" s="77" t="s">
        <v>139</v>
      </c>
      <c r="C72" s="123" t="s">
        <v>486</v>
      </c>
      <c r="D72" s="80">
        <v>0</v>
      </c>
      <c r="E72" s="80">
        <v>0</v>
      </c>
      <c r="F72" s="78"/>
    </row>
    <row r="73" spans="1:6" s="69" customFormat="1" ht="38.25" x14ac:dyDescent="0.25">
      <c r="A73" s="76">
        <v>5</v>
      </c>
      <c r="B73" s="77" t="s">
        <v>140</v>
      </c>
      <c r="C73" s="123" t="s">
        <v>487</v>
      </c>
      <c r="D73" s="80">
        <v>0</v>
      </c>
      <c r="E73" s="80">
        <v>0</v>
      </c>
      <c r="F73" s="78"/>
    </row>
    <row r="74" spans="1:6" s="69" customFormat="1" ht="51" x14ac:dyDescent="0.25">
      <c r="A74" s="76">
        <v>6</v>
      </c>
      <c r="B74" s="77" t="s">
        <v>141</v>
      </c>
      <c r="C74" s="123" t="s">
        <v>142</v>
      </c>
      <c r="D74" s="80">
        <v>0</v>
      </c>
      <c r="E74" s="80">
        <v>0</v>
      </c>
      <c r="F74" s="78"/>
    </row>
    <row r="75" spans="1:6" s="69" customFormat="1" ht="38.25" x14ac:dyDescent="0.25">
      <c r="A75" s="76">
        <v>7</v>
      </c>
      <c r="B75" s="77" t="s">
        <v>143</v>
      </c>
      <c r="C75" s="123" t="s">
        <v>488</v>
      </c>
      <c r="D75" s="80">
        <v>0</v>
      </c>
      <c r="E75" s="80">
        <v>0</v>
      </c>
      <c r="F75" s="78"/>
    </row>
    <row r="76" spans="1:6" s="69" customFormat="1" ht="39" thickBot="1" x14ac:dyDescent="0.3">
      <c r="A76" s="76">
        <v>8</v>
      </c>
      <c r="B76" s="77" t="s">
        <v>144</v>
      </c>
      <c r="C76" s="123" t="s">
        <v>145</v>
      </c>
      <c r="D76" s="80">
        <v>0</v>
      </c>
      <c r="E76" s="80">
        <v>0</v>
      </c>
      <c r="F76" s="78"/>
    </row>
    <row r="77" spans="1:6" s="106" customFormat="1" x14ac:dyDescent="0.25">
      <c r="A77" s="145" t="s">
        <v>74</v>
      </c>
      <c r="B77" s="145"/>
      <c r="C77" s="145"/>
      <c r="D77" s="104">
        <f>+SUM(D69:D76)/COUNTA(D69:D76)</f>
        <v>0</v>
      </c>
      <c r="E77" s="104">
        <f>+SUM(E69:E76)/COUNTA(E69:E76)</f>
        <v>0</v>
      </c>
      <c r="F77" s="105"/>
    </row>
    <row r="78" spans="1:6" x14ac:dyDescent="0.25">
      <c r="A78" s="69"/>
      <c r="C78" s="66"/>
      <c r="D78" s="55" t="s">
        <v>3</v>
      </c>
      <c r="E78" s="55" t="s">
        <v>3</v>
      </c>
      <c r="F78" s="68"/>
    </row>
    <row r="79" spans="1:6" ht="24" thickBot="1" x14ac:dyDescent="0.4">
      <c r="A79" s="21" t="s">
        <v>146</v>
      </c>
      <c r="B79" s="47" t="s">
        <v>147</v>
      </c>
      <c r="C79" s="66"/>
      <c r="D79" s="55" t="s">
        <v>3</v>
      </c>
      <c r="E79" s="55" t="s">
        <v>3</v>
      </c>
      <c r="F79" s="68"/>
    </row>
    <row r="80" spans="1:6" x14ac:dyDescent="0.25">
      <c r="A80" s="146" t="s">
        <v>60</v>
      </c>
      <c r="B80" s="147"/>
      <c r="C80" s="73" t="s">
        <v>61</v>
      </c>
      <c r="D80" s="107" t="s">
        <v>454</v>
      </c>
      <c r="E80" s="107" t="s">
        <v>454</v>
      </c>
      <c r="F80" s="108" t="s">
        <v>453</v>
      </c>
    </row>
    <row r="81" spans="1:6" s="69" customFormat="1" ht="38.25" x14ac:dyDescent="0.25">
      <c r="A81" s="76">
        <v>1</v>
      </c>
      <c r="B81" s="77" t="s">
        <v>148</v>
      </c>
      <c r="C81" s="123" t="s">
        <v>565</v>
      </c>
      <c r="D81" s="80">
        <v>0</v>
      </c>
      <c r="E81" s="80">
        <v>0</v>
      </c>
      <c r="F81" s="78"/>
    </row>
    <row r="82" spans="1:6" s="69" customFormat="1" ht="25.5" x14ac:dyDescent="0.25">
      <c r="A82" s="76">
        <v>2</v>
      </c>
      <c r="B82" s="77" t="s">
        <v>149</v>
      </c>
      <c r="C82" s="123" t="s">
        <v>566</v>
      </c>
      <c r="D82" s="80">
        <v>0</v>
      </c>
      <c r="E82" s="80">
        <v>0</v>
      </c>
      <c r="F82" s="78"/>
    </row>
    <row r="83" spans="1:6" s="69" customFormat="1" ht="51" x14ac:dyDescent="0.25">
      <c r="A83" s="76">
        <v>3</v>
      </c>
      <c r="B83" s="77" t="s">
        <v>150</v>
      </c>
      <c r="C83" s="123" t="s">
        <v>489</v>
      </c>
      <c r="D83" s="80">
        <v>0</v>
      </c>
      <c r="E83" s="80">
        <v>0</v>
      </c>
      <c r="F83" s="78"/>
    </row>
    <row r="84" spans="1:6" s="69" customFormat="1" ht="38.25" x14ac:dyDescent="0.25">
      <c r="A84" s="76">
        <v>4</v>
      </c>
      <c r="B84" s="77" t="s">
        <v>151</v>
      </c>
      <c r="C84" s="123" t="s">
        <v>152</v>
      </c>
      <c r="D84" s="80">
        <v>0</v>
      </c>
      <c r="E84" s="80">
        <v>0</v>
      </c>
      <c r="F84" s="78"/>
    </row>
    <row r="85" spans="1:6" s="69" customFormat="1" ht="25.5" x14ac:dyDescent="0.25">
      <c r="A85" s="76">
        <v>5</v>
      </c>
      <c r="B85" s="77" t="s">
        <v>153</v>
      </c>
      <c r="C85" s="123" t="s">
        <v>154</v>
      </c>
      <c r="D85" s="80">
        <v>0</v>
      </c>
      <c r="E85" s="80">
        <v>0</v>
      </c>
      <c r="F85" s="78"/>
    </row>
    <row r="86" spans="1:6" s="69" customFormat="1" ht="51.75" thickBot="1" x14ac:dyDescent="0.3">
      <c r="A86" s="76">
        <v>6</v>
      </c>
      <c r="B86" s="77" t="s">
        <v>155</v>
      </c>
      <c r="C86" s="123" t="s">
        <v>156</v>
      </c>
      <c r="D86" s="80">
        <v>0</v>
      </c>
      <c r="E86" s="80">
        <v>0</v>
      </c>
      <c r="F86" s="78"/>
    </row>
    <row r="87" spans="1:6" s="106" customFormat="1" x14ac:dyDescent="0.25">
      <c r="A87" s="145" t="s">
        <v>74</v>
      </c>
      <c r="B87" s="145"/>
      <c r="C87" s="145"/>
      <c r="D87" s="104">
        <f>+SUM(D81:D86)/COUNTA(D81:D86)</f>
        <v>0</v>
      </c>
      <c r="E87" s="104">
        <f>+SUM(E81:E86)/COUNTA(E81:E86)</f>
        <v>0</v>
      </c>
      <c r="F87" s="105"/>
    </row>
    <row r="88" spans="1:6" x14ac:dyDescent="0.25">
      <c r="A88" s="69"/>
      <c r="C88" s="66"/>
      <c r="D88" s="55" t="s">
        <v>3</v>
      </c>
      <c r="E88" s="55" t="s">
        <v>3</v>
      </c>
      <c r="F88" s="68"/>
    </row>
    <row r="89" spans="1:6" ht="24" thickBot="1" x14ac:dyDescent="0.4">
      <c r="A89" s="21" t="s">
        <v>157</v>
      </c>
      <c r="B89" s="47" t="s">
        <v>158</v>
      </c>
      <c r="C89" s="66"/>
      <c r="D89" s="55" t="s">
        <v>3</v>
      </c>
      <c r="E89" s="55" t="s">
        <v>3</v>
      </c>
      <c r="F89" s="68"/>
    </row>
    <row r="90" spans="1:6" x14ac:dyDescent="0.25">
      <c r="A90" s="146" t="s">
        <v>60</v>
      </c>
      <c r="B90" s="147"/>
      <c r="C90" s="73" t="s">
        <v>61</v>
      </c>
      <c r="D90" s="107" t="s">
        <v>454</v>
      </c>
      <c r="E90" s="107" t="s">
        <v>454</v>
      </c>
      <c r="F90" s="108" t="s">
        <v>453</v>
      </c>
    </row>
    <row r="91" spans="1:6" s="69" customFormat="1" ht="38.25" x14ac:dyDescent="0.25">
      <c r="A91" s="76">
        <v>1</v>
      </c>
      <c r="B91" s="77" t="s">
        <v>159</v>
      </c>
      <c r="C91" s="123" t="s">
        <v>490</v>
      </c>
      <c r="D91" s="80">
        <v>0</v>
      </c>
      <c r="E91" s="80">
        <v>0</v>
      </c>
      <c r="F91" s="78"/>
    </row>
    <row r="92" spans="1:6" s="69" customFormat="1" ht="38.25" x14ac:dyDescent="0.25">
      <c r="A92" s="76">
        <v>2</v>
      </c>
      <c r="B92" s="77" t="s">
        <v>160</v>
      </c>
      <c r="C92" s="123" t="s">
        <v>491</v>
      </c>
      <c r="D92" s="80">
        <v>0</v>
      </c>
      <c r="E92" s="80">
        <v>0</v>
      </c>
      <c r="F92" s="78"/>
    </row>
    <row r="93" spans="1:6" s="69" customFormat="1" ht="51" x14ac:dyDescent="0.25">
      <c r="A93" s="76">
        <v>3</v>
      </c>
      <c r="B93" s="77" t="s">
        <v>161</v>
      </c>
      <c r="C93" s="123" t="s">
        <v>567</v>
      </c>
      <c r="D93" s="80">
        <v>0</v>
      </c>
      <c r="E93" s="80">
        <v>0</v>
      </c>
      <c r="F93" s="78"/>
    </row>
    <row r="94" spans="1:6" s="69" customFormat="1" ht="38.25" x14ac:dyDescent="0.25">
      <c r="A94" s="76">
        <v>4</v>
      </c>
      <c r="B94" s="77" t="s">
        <v>162</v>
      </c>
      <c r="C94" s="123" t="s">
        <v>163</v>
      </c>
      <c r="D94" s="80">
        <v>0</v>
      </c>
      <c r="E94" s="80">
        <v>0</v>
      </c>
      <c r="F94" s="78"/>
    </row>
    <row r="95" spans="1:6" s="69" customFormat="1" ht="51" x14ac:dyDescent="0.25">
      <c r="A95" s="76">
        <v>5</v>
      </c>
      <c r="B95" s="77" t="s">
        <v>164</v>
      </c>
      <c r="C95" s="123" t="s">
        <v>165</v>
      </c>
      <c r="D95" s="80">
        <v>0</v>
      </c>
      <c r="E95" s="80">
        <v>0</v>
      </c>
      <c r="F95" s="78"/>
    </row>
    <row r="96" spans="1:6" s="69" customFormat="1" ht="51.75" thickBot="1" x14ac:dyDescent="0.3">
      <c r="A96" s="76">
        <v>6</v>
      </c>
      <c r="B96" s="77" t="s">
        <v>166</v>
      </c>
      <c r="C96" s="123" t="s">
        <v>568</v>
      </c>
      <c r="D96" s="80">
        <v>0</v>
      </c>
      <c r="E96" s="80">
        <v>0</v>
      </c>
      <c r="F96" s="78"/>
    </row>
    <row r="97" spans="1:6" s="106" customFormat="1" x14ac:dyDescent="0.25">
      <c r="A97" s="145" t="s">
        <v>74</v>
      </c>
      <c r="B97" s="145"/>
      <c r="C97" s="145"/>
      <c r="D97" s="104">
        <f>+SUM(D91:D96)/COUNTA(D91:D96)</f>
        <v>0</v>
      </c>
      <c r="E97" s="104">
        <f>+SUM(E91:E96)/COUNTA(E91:E96)</f>
        <v>0</v>
      </c>
      <c r="F97" s="105"/>
    </row>
    <row r="98" spans="1:6" x14ac:dyDescent="0.25">
      <c r="A98" s="69"/>
      <c r="C98" s="66"/>
      <c r="D98" s="55" t="s">
        <v>3</v>
      </c>
      <c r="E98" s="55" t="s">
        <v>3</v>
      </c>
      <c r="F98" s="68"/>
    </row>
    <row r="99" spans="1:6" ht="24" thickBot="1" x14ac:dyDescent="0.4">
      <c r="A99" s="21" t="s">
        <v>167</v>
      </c>
      <c r="B99" s="47" t="s">
        <v>168</v>
      </c>
      <c r="C99" s="66"/>
      <c r="D99" s="55" t="s">
        <v>3</v>
      </c>
      <c r="E99" s="55" t="s">
        <v>3</v>
      </c>
      <c r="F99" s="68"/>
    </row>
    <row r="100" spans="1:6" x14ac:dyDescent="0.25">
      <c r="A100" s="143" t="s">
        <v>60</v>
      </c>
      <c r="B100" s="144"/>
      <c r="C100" s="72" t="s">
        <v>61</v>
      </c>
      <c r="D100" s="107" t="s">
        <v>454</v>
      </c>
      <c r="E100" s="107" t="s">
        <v>454</v>
      </c>
      <c r="F100" s="108" t="s">
        <v>453</v>
      </c>
    </row>
    <row r="101" spans="1:6" s="69" customFormat="1" ht="38.25" x14ac:dyDescent="0.25">
      <c r="A101" s="76">
        <v>1</v>
      </c>
      <c r="B101" s="77" t="s">
        <v>169</v>
      </c>
      <c r="C101" s="123" t="s">
        <v>569</v>
      </c>
      <c r="D101" s="80">
        <v>0</v>
      </c>
      <c r="E101" s="80">
        <v>0</v>
      </c>
      <c r="F101" s="78"/>
    </row>
    <row r="102" spans="1:6" s="69" customFormat="1" ht="38.25" x14ac:dyDescent="0.25">
      <c r="A102" s="76">
        <v>2</v>
      </c>
      <c r="B102" s="77" t="s">
        <v>170</v>
      </c>
      <c r="C102" s="123" t="s">
        <v>171</v>
      </c>
      <c r="D102" s="80">
        <v>0</v>
      </c>
      <c r="E102" s="80">
        <v>0</v>
      </c>
      <c r="F102" s="78"/>
    </row>
    <row r="103" spans="1:6" s="69" customFormat="1" ht="25.5" x14ac:dyDescent="0.25">
      <c r="A103" s="76">
        <v>3</v>
      </c>
      <c r="B103" s="77" t="s">
        <v>172</v>
      </c>
      <c r="C103" s="123" t="s">
        <v>570</v>
      </c>
      <c r="D103" s="80">
        <v>0</v>
      </c>
      <c r="E103" s="80">
        <v>0</v>
      </c>
      <c r="F103" s="78"/>
    </row>
    <row r="104" spans="1:6" s="69" customFormat="1" ht="38.25" x14ac:dyDescent="0.25">
      <c r="A104" s="76">
        <v>4</v>
      </c>
      <c r="B104" s="77" t="s">
        <v>173</v>
      </c>
      <c r="C104" s="123" t="s">
        <v>492</v>
      </c>
      <c r="D104" s="80">
        <v>0</v>
      </c>
      <c r="E104" s="80">
        <v>0</v>
      </c>
      <c r="F104" s="78"/>
    </row>
    <row r="105" spans="1:6" s="69" customFormat="1" ht="38.25" x14ac:dyDescent="0.25">
      <c r="A105" s="76">
        <v>5</v>
      </c>
      <c r="B105" s="77" t="s">
        <v>174</v>
      </c>
      <c r="C105" s="123" t="s">
        <v>571</v>
      </c>
      <c r="D105" s="80">
        <v>0</v>
      </c>
      <c r="E105" s="80">
        <v>0</v>
      </c>
      <c r="F105" s="78"/>
    </row>
    <row r="106" spans="1:6" s="69" customFormat="1" ht="25.5" x14ac:dyDescent="0.25">
      <c r="A106" s="76">
        <v>6</v>
      </c>
      <c r="B106" s="77" t="s">
        <v>175</v>
      </c>
      <c r="C106" s="123" t="s">
        <v>176</v>
      </c>
      <c r="D106" s="80">
        <v>0</v>
      </c>
      <c r="E106" s="80">
        <v>0</v>
      </c>
      <c r="F106" s="78"/>
    </row>
    <row r="107" spans="1:6" s="69" customFormat="1" ht="38.25" x14ac:dyDescent="0.25">
      <c r="A107" s="76">
        <v>7</v>
      </c>
      <c r="B107" s="77" t="s">
        <v>177</v>
      </c>
      <c r="C107" s="123" t="s">
        <v>572</v>
      </c>
      <c r="D107" s="80">
        <v>0</v>
      </c>
      <c r="E107" s="80">
        <v>0</v>
      </c>
      <c r="F107" s="78"/>
    </row>
    <row r="108" spans="1:6" s="69" customFormat="1" ht="38.25" x14ac:dyDescent="0.25">
      <c r="A108" s="76">
        <v>8</v>
      </c>
      <c r="B108" s="77" t="s">
        <v>178</v>
      </c>
      <c r="C108" s="123" t="s">
        <v>573</v>
      </c>
      <c r="D108" s="80">
        <v>0</v>
      </c>
      <c r="E108" s="80">
        <v>0</v>
      </c>
      <c r="F108" s="78"/>
    </row>
    <row r="109" spans="1:6" s="69" customFormat="1" ht="38.25" x14ac:dyDescent="0.25">
      <c r="A109" s="76">
        <v>9</v>
      </c>
      <c r="B109" s="77" t="s">
        <v>179</v>
      </c>
      <c r="C109" s="123" t="s">
        <v>574</v>
      </c>
      <c r="D109" s="80">
        <v>0</v>
      </c>
      <c r="E109" s="80">
        <v>0</v>
      </c>
      <c r="F109" s="78"/>
    </row>
    <row r="110" spans="1:6" s="69" customFormat="1" ht="38.25" x14ac:dyDescent="0.25">
      <c r="A110" s="76">
        <v>10</v>
      </c>
      <c r="B110" s="77" t="s">
        <v>180</v>
      </c>
      <c r="C110" s="123" t="s">
        <v>181</v>
      </c>
      <c r="D110" s="80">
        <v>0</v>
      </c>
      <c r="E110" s="80">
        <v>0</v>
      </c>
      <c r="F110" s="78"/>
    </row>
    <row r="111" spans="1:6" s="69" customFormat="1" ht="51" x14ac:dyDescent="0.25">
      <c r="A111" s="76">
        <v>11</v>
      </c>
      <c r="B111" s="77" t="s">
        <v>182</v>
      </c>
      <c r="C111" s="123" t="s">
        <v>493</v>
      </c>
      <c r="D111" s="80">
        <v>0</v>
      </c>
      <c r="E111" s="80">
        <v>0</v>
      </c>
      <c r="F111" s="78"/>
    </row>
    <row r="112" spans="1:6" s="69" customFormat="1" ht="38.25" x14ac:dyDescent="0.25">
      <c r="A112" s="76">
        <v>12</v>
      </c>
      <c r="B112" s="77" t="s">
        <v>183</v>
      </c>
      <c r="C112" s="123" t="s">
        <v>575</v>
      </c>
      <c r="D112" s="80">
        <v>0</v>
      </c>
      <c r="E112" s="80">
        <v>0</v>
      </c>
      <c r="F112" s="78"/>
    </row>
    <row r="113" spans="1:6" s="69" customFormat="1" ht="51" x14ac:dyDescent="0.25">
      <c r="A113" s="76">
        <v>13</v>
      </c>
      <c r="B113" s="77" t="s">
        <v>184</v>
      </c>
      <c r="C113" s="123" t="s">
        <v>576</v>
      </c>
      <c r="D113" s="80">
        <v>0</v>
      </c>
      <c r="E113" s="80">
        <v>0</v>
      </c>
      <c r="F113" s="78"/>
    </row>
    <row r="114" spans="1:6" s="69" customFormat="1" ht="51.75" thickBot="1" x14ac:dyDescent="0.3">
      <c r="A114" s="76">
        <v>14</v>
      </c>
      <c r="B114" s="77" t="s">
        <v>185</v>
      </c>
      <c r="C114" s="123" t="s">
        <v>577</v>
      </c>
      <c r="D114" s="80">
        <v>0</v>
      </c>
      <c r="E114" s="80">
        <v>0</v>
      </c>
      <c r="F114" s="78"/>
    </row>
    <row r="115" spans="1:6" s="106" customFormat="1" x14ac:dyDescent="0.25">
      <c r="A115" s="145" t="s">
        <v>74</v>
      </c>
      <c r="B115" s="145"/>
      <c r="C115" s="145"/>
      <c r="D115" s="104">
        <f>+SUM(D101:D114)/COUNTA(D101:D114)</f>
        <v>0</v>
      </c>
      <c r="E115" s="104">
        <f>+SUM(E101:E114)/COUNTA(E101:E114)</f>
        <v>0</v>
      </c>
      <c r="F115" s="105"/>
    </row>
    <row r="116" spans="1:6" x14ac:dyDescent="0.25">
      <c r="D116" s="55" t="s">
        <v>3</v>
      </c>
      <c r="E116" s="55" t="s">
        <v>3</v>
      </c>
    </row>
    <row r="117" spans="1:6" x14ac:dyDescent="0.25">
      <c r="D117" s="55" t="s">
        <v>3</v>
      </c>
      <c r="E117" s="55" t="s">
        <v>3</v>
      </c>
    </row>
    <row r="118" spans="1:6" x14ac:dyDescent="0.25">
      <c r="D118" s="55">
        <v>1</v>
      </c>
      <c r="E118" s="55">
        <v>5</v>
      </c>
    </row>
    <row r="119" spans="1:6" x14ac:dyDescent="0.25">
      <c r="E119" s="55">
        <v>5</v>
      </c>
    </row>
  </sheetData>
  <sheetProtection algorithmName="SHA-512" hashValue="aem33JorHFcSI+mjL2jdtLGhkriVCi99UgCEq1B71O0RP8gJML60I+u8lv5kEjpZFgBDcA/PBgvqKbQpEgT96Q==" saltValue="oj0yKjrQP4blFuuAGMiBIA==" spinCount="100000" sheet="1" objects="1" scenarios="1" selectLockedCells="1"/>
  <mergeCells count="20">
    <mergeCell ref="A65:C65"/>
    <mergeCell ref="A4:B4"/>
    <mergeCell ref="A14:B14"/>
    <mergeCell ref="A11:C11"/>
    <mergeCell ref="A19:C19"/>
    <mergeCell ref="A22:B22"/>
    <mergeCell ref="A28:C28"/>
    <mergeCell ref="A31:B31"/>
    <mergeCell ref="A47:C47"/>
    <mergeCell ref="A50:B50"/>
    <mergeCell ref="A56:C56"/>
    <mergeCell ref="A59:B59"/>
    <mergeCell ref="A100:B100"/>
    <mergeCell ref="A115:C115"/>
    <mergeCell ref="A68:B68"/>
    <mergeCell ref="A77:C77"/>
    <mergeCell ref="A80:B80"/>
    <mergeCell ref="A87:C87"/>
    <mergeCell ref="A90:B90"/>
    <mergeCell ref="A97:C97"/>
  </mergeCells>
  <dataValidations xWindow="768" yWindow="358"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5:E18 D23:E27 D32:E46 D51:E55 D60:E64 D69:E76 D81:E86 D91:E96 D101:E114 D5:E10">
      <formula1>0</formula1>
      <formula2>5</formula2>
    </dataValidation>
  </dataValidations>
  <pageMargins left="0.511811024" right="0.511811024" top="0.78740157499999996" bottom="0.78740157499999996" header="0.31496062000000002" footer="0.31496062000000002"/>
  <pageSetup scale="45" fitToHeight="0" orientation="portrait" horizontalDpi="300"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70"/>
  <sheetViews>
    <sheetView showGridLines="0" showRowColHeaders="0" zoomScale="85" zoomScaleNormal="85" workbookViewId="0">
      <selection activeCell="D14" sqref="D14"/>
    </sheetView>
  </sheetViews>
  <sheetFormatPr defaultRowHeight="15" x14ac:dyDescent="0.25"/>
  <cols>
    <col min="1" max="1" width="13.140625" customWidth="1"/>
    <col min="2" max="2" width="34.7109375" style="24" customWidth="1"/>
    <col min="3" max="3" width="94.42578125" style="23" customWidth="1"/>
    <col min="4" max="5" width="11.5703125" style="58" customWidth="1"/>
    <col min="6" max="6" width="66.5703125" style="56" customWidth="1"/>
  </cols>
  <sheetData>
    <row r="1" spans="1:6" ht="26.25" x14ac:dyDescent="0.4">
      <c r="A1" s="22"/>
      <c r="B1" s="25"/>
      <c r="C1" s="66"/>
      <c r="F1" s="68"/>
    </row>
    <row r="2" spans="1:6" ht="26.25" x14ac:dyDescent="0.4">
      <c r="A2" s="22"/>
      <c r="B2" s="25"/>
      <c r="C2" s="66"/>
      <c r="D2" s="58" t="s">
        <v>3</v>
      </c>
      <c r="E2" s="58" t="s">
        <v>3</v>
      </c>
      <c r="F2" s="75"/>
    </row>
    <row r="3" spans="1:6" s="69" customFormat="1" ht="27" thickBot="1" x14ac:dyDescent="0.45">
      <c r="A3" s="22"/>
      <c r="B3" s="25"/>
      <c r="C3" s="66"/>
      <c r="D3" s="58"/>
      <c r="E3" s="58"/>
      <c r="F3" s="75"/>
    </row>
    <row r="4" spans="1:6" s="69" customFormat="1" ht="24" thickBot="1" x14ac:dyDescent="0.4">
      <c r="A4" s="21" t="s">
        <v>186</v>
      </c>
      <c r="B4" s="47" t="s">
        <v>187</v>
      </c>
      <c r="C4" s="66"/>
      <c r="D4" s="110" t="s">
        <v>546</v>
      </c>
      <c r="E4" s="110" t="s">
        <v>547</v>
      </c>
      <c r="F4" s="68"/>
    </row>
    <row r="5" spans="1:6" s="69" customFormat="1" x14ac:dyDescent="0.25">
      <c r="A5" s="149" t="s">
        <v>60</v>
      </c>
      <c r="B5" s="150"/>
      <c r="C5" s="84" t="s">
        <v>61</v>
      </c>
      <c r="D5" s="110" t="s">
        <v>454</v>
      </c>
      <c r="E5" s="110" t="s">
        <v>454</v>
      </c>
      <c r="F5" s="111" t="s">
        <v>453</v>
      </c>
    </row>
    <row r="6" spans="1:6" s="69" customFormat="1" ht="25.5" x14ac:dyDescent="0.25">
      <c r="A6" s="76">
        <v>1</v>
      </c>
      <c r="B6" s="77" t="s">
        <v>188</v>
      </c>
      <c r="C6" s="123" t="s">
        <v>189</v>
      </c>
      <c r="D6" s="80">
        <v>0</v>
      </c>
      <c r="E6" s="80">
        <v>0</v>
      </c>
      <c r="F6" s="78"/>
    </row>
    <row r="7" spans="1:6" s="69" customFormat="1" ht="25.5" x14ac:dyDescent="0.25">
      <c r="A7" s="76">
        <v>2</v>
      </c>
      <c r="B7" s="77" t="s">
        <v>190</v>
      </c>
      <c r="C7" s="123" t="s">
        <v>191</v>
      </c>
      <c r="D7" s="80">
        <v>0</v>
      </c>
      <c r="E7" s="80">
        <v>0</v>
      </c>
      <c r="F7" s="78"/>
    </row>
    <row r="8" spans="1:6" s="69" customFormat="1" ht="38.25" x14ac:dyDescent="0.25">
      <c r="A8" s="76">
        <v>3</v>
      </c>
      <c r="B8" s="77" t="s">
        <v>192</v>
      </c>
      <c r="C8" s="123" t="s">
        <v>494</v>
      </c>
      <c r="D8" s="80">
        <v>0</v>
      </c>
      <c r="E8" s="80">
        <v>0</v>
      </c>
      <c r="F8" s="78"/>
    </row>
    <row r="9" spans="1:6" s="69" customFormat="1" ht="26.25" thickBot="1" x14ac:dyDescent="0.3">
      <c r="A9" s="76">
        <v>4</v>
      </c>
      <c r="B9" s="77" t="s">
        <v>193</v>
      </c>
      <c r="C9" s="123" t="s">
        <v>495</v>
      </c>
      <c r="D9" s="80">
        <v>0</v>
      </c>
      <c r="E9" s="80">
        <v>0</v>
      </c>
      <c r="F9" s="78"/>
    </row>
    <row r="10" spans="1:6" s="69" customFormat="1" x14ac:dyDescent="0.25">
      <c r="A10" s="152" t="s">
        <v>74</v>
      </c>
      <c r="B10" s="152"/>
      <c r="C10" s="152"/>
      <c r="D10" s="109">
        <f>+SUM(D6:D9)/COUNTA(D6:D9)</f>
        <v>0</v>
      </c>
      <c r="E10" s="109">
        <f>+SUM(E6:E9)/COUNTA(E6:E9)</f>
        <v>0</v>
      </c>
      <c r="F10" s="68"/>
    </row>
    <row r="11" spans="1:6" x14ac:dyDescent="0.25">
      <c r="A11" s="69"/>
      <c r="C11" s="66"/>
      <c r="F11" s="68"/>
    </row>
    <row r="12" spans="1:6" ht="27" thickBot="1" x14ac:dyDescent="0.45">
      <c r="A12" s="21" t="s">
        <v>194</v>
      </c>
      <c r="B12" s="46" t="s">
        <v>195</v>
      </c>
      <c r="C12" s="66"/>
      <c r="F12" s="68"/>
    </row>
    <row r="13" spans="1:6" x14ac:dyDescent="0.25">
      <c r="A13" s="149" t="s">
        <v>60</v>
      </c>
      <c r="B13" s="150"/>
      <c r="C13" s="84" t="s">
        <v>61</v>
      </c>
      <c r="D13" s="110" t="s">
        <v>454</v>
      </c>
      <c r="E13" s="110" t="s">
        <v>454</v>
      </c>
      <c r="F13" s="111" t="s">
        <v>453</v>
      </c>
    </row>
    <row r="14" spans="1:6" s="69" customFormat="1" ht="51" x14ac:dyDescent="0.25">
      <c r="A14" s="76">
        <v>1</v>
      </c>
      <c r="B14" s="77" t="s">
        <v>196</v>
      </c>
      <c r="C14" s="123" t="s">
        <v>578</v>
      </c>
      <c r="D14" s="80">
        <v>0</v>
      </c>
      <c r="E14" s="80">
        <v>0</v>
      </c>
      <c r="F14" s="78"/>
    </row>
    <row r="15" spans="1:6" s="69" customFormat="1" ht="38.25" x14ac:dyDescent="0.25">
      <c r="A15" s="76">
        <v>2</v>
      </c>
      <c r="B15" s="77" t="s">
        <v>197</v>
      </c>
      <c r="C15" s="123" t="s">
        <v>579</v>
      </c>
      <c r="D15" s="80">
        <v>0</v>
      </c>
      <c r="E15" s="80">
        <v>0</v>
      </c>
      <c r="F15" s="78"/>
    </row>
    <row r="16" spans="1:6" s="69" customFormat="1" ht="38.25" x14ac:dyDescent="0.25">
      <c r="A16" s="76">
        <v>3</v>
      </c>
      <c r="B16" s="77" t="s">
        <v>198</v>
      </c>
      <c r="C16" s="123" t="s">
        <v>199</v>
      </c>
      <c r="D16" s="80">
        <v>0</v>
      </c>
      <c r="E16" s="80">
        <v>0</v>
      </c>
      <c r="F16" s="78"/>
    </row>
    <row r="17" spans="1:6" s="69" customFormat="1" ht="38.25" x14ac:dyDescent="0.25">
      <c r="A17" s="76">
        <v>4</v>
      </c>
      <c r="B17" s="77" t="s">
        <v>200</v>
      </c>
      <c r="C17" s="123" t="s">
        <v>201</v>
      </c>
      <c r="D17" s="80">
        <v>0</v>
      </c>
      <c r="E17" s="80">
        <v>0</v>
      </c>
      <c r="F17" s="78"/>
    </row>
    <row r="18" spans="1:6" s="69" customFormat="1" ht="25.5" x14ac:dyDescent="0.25">
      <c r="A18" s="76">
        <v>5</v>
      </c>
      <c r="B18" s="77" t="s">
        <v>202</v>
      </c>
      <c r="C18" s="123" t="s">
        <v>203</v>
      </c>
      <c r="D18" s="80">
        <v>0</v>
      </c>
      <c r="E18" s="80">
        <v>0</v>
      </c>
      <c r="F18" s="78"/>
    </row>
    <row r="19" spans="1:6" s="69" customFormat="1" ht="38.25" x14ac:dyDescent="0.25">
      <c r="A19" s="76">
        <v>6</v>
      </c>
      <c r="B19" s="77" t="s">
        <v>204</v>
      </c>
      <c r="C19" s="123" t="s">
        <v>205</v>
      </c>
      <c r="D19" s="80">
        <v>0</v>
      </c>
      <c r="E19" s="80">
        <v>0</v>
      </c>
      <c r="F19" s="78"/>
    </row>
    <row r="20" spans="1:6" s="69" customFormat="1" ht="51" x14ac:dyDescent="0.25">
      <c r="A20" s="76">
        <v>7</v>
      </c>
      <c r="B20" s="77" t="s">
        <v>206</v>
      </c>
      <c r="C20" s="123" t="s">
        <v>207</v>
      </c>
      <c r="D20" s="80">
        <v>0</v>
      </c>
      <c r="E20" s="80">
        <v>0</v>
      </c>
      <c r="F20" s="78"/>
    </row>
    <row r="21" spans="1:6" s="69" customFormat="1" ht="25.5" x14ac:dyDescent="0.25">
      <c r="A21" s="76">
        <v>8</v>
      </c>
      <c r="B21" s="77" t="s">
        <v>208</v>
      </c>
      <c r="C21" s="123" t="s">
        <v>496</v>
      </c>
      <c r="D21" s="80">
        <v>0</v>
      </c>
      <c r="E21" s="80">
        <v>0</v>
      </c>
      <c r="F21" s="78"/>
    </row>
    <row r="22" spans="1:6" s="69" customFormat="1" ht="38.25" x14ac:dyDescent="0.25">
      <c r="A22" s="76">
        <v>9</v>
      </c>
      <c r="B22" s="77" t="s">
        <v>209</v>
      </c>
      <c r="C22" s="123" t="s">
        <v>497</v>
      </c>
      <c r="D22" s="80">
        <v>0</v>
      </c>
      <c r="E22" s="80">
        <v>0</v>
      </c>
      <c r="F22" s="78"/>
    </row>
    <row r="23" spans="1:6" s="69" customFormat="1" ht="15.75" thickBot="1" x14ac:dyDescent="0.3">
      <c r="A23" s="76">
        <v>10</v>
      </c>
      <c r="B23" s="77" t="s">
        <v>210</v>
      </c>
      <c r="C23" s="123" t="s">
        <v>211</v>
      </c>
      <c r="D23" s="80">
        <v>0</v>
      </c>
      <c r="E23" s="80">
        <v>0</v>
      </c>
      <c r="F23" s="78"/>
    </row>
    <row r="24" spans="1:6" s="69" customFormat="1" x14ac:dyDescent="0.25">
      <c r="A24" s="152" t="s">
        <v>74</v>
      </c>
      <c r="B24" s="152"/>
      <c r="C24" s="152"/>
      <c r="D24" s="112">
        <f>+SUM(D14:D23)/COUNTA(D14:D23)</f>
        <v>0</v>
      </c>
      <c r="E24" s="112">
        <f>+SUM(E14:E23)/COUNTA(E14:E23)</f>
        <v>0</v>
      </c>
      <c r="F24" s="68"/>
    </row>
    <row r="25" spans="1:6" x14ac:dyDescent="0.25">
      <c r="A25" s="69"/>
      <c r="C25" s="66"/>
      <c r="F25" s="68"/>
    </row>
    <row r="26" spans="1:6" ht="24" thickBot="1" x14ac:dyDescent="0.4">
      <c r="A26" s="21" t="s">
        <v>212</v>
      </c>
      <c r="B26" s="47" t="s">
        <v>213</v>
      </c>
      <c r="C26" s="66"/>
      <c r="F26" s="68"/>
    </row>
    <row r="27" spans="1:6" x14ac:dyDescent="0.25">
      <c r="A27" s="149" t="s">
        <v>60</v>
      </c>
      <c r="B27" s="150"/>
      <c r="C27" s="84" t="s">
        <v>61</v>
      </c>
      <c r="D27" s="110" t="s">
        <v>454</v>
      </c>
      <c r="E27" s="110" t="s">
        <v>454</v>
      </c>
      <c r="F27" s="111" t="s">
        <v>453</v>
      </c>
    </row>
    <row r="28" spans="1:6" s="69" customFormat="1" ht="38.25" x14ac:dyDescent="0.25">
      <c r="A28" s="76">
        <v>1</v>
      </c>
      <c r="B28" s="77" t="s">
        <v>214</v>
      </c>
      <c r="C28" s="123" t="s">
        <v>498</v>
      </c>
      <c r="D28" s="80">
        <v>0</v>
      </c>
      <c r="E28" s="80">
        <v>0</v>
      </c>
      <c r="F28" s="78"/>
    </row>
    <row r="29" spans="1:6" s="69" customFormat="1" ht="38.25" x14ac:dyDescent="0.25">
      <c r="A29" s="76">
        <v>2</v>
      </c>
      <c r="B29" s="77" t="s">
        <v>215</v>
      </c>
      <c r="C29" s="123" t="s">
        <v>580</v>
      </c>
      <c r="D29" s="80">
        <v>0</v>
      </c>
      <c r="E29" s="80">
        <v>0</v>
      </c>
      <c r="F29" s="78"/>
    </row>
    <row r="30" spans="1:6" s="69" customFormat="1" ht="38.25" x14ac:dyDescent="0.25">
      <c r="A30" s="76">
        <v>3</v>
      </c>
      <c r="B30" s="77" t="s">
        <v>216</v>
      </c>
      <c r="C30" s="123" t="s">
        <v>581</v>
      </c>
      <c r="D30" s="80">
        <v>0</v>
      </c>
      <c r="E30" s="80">
        <v>0</v>
      </c>
      <c r="F30" s="78"/>
    </row>
    <row r="31" spans="1:6" s="69" customFormat="1" ht="26.25" thickBot="1" x14ac:dyDescent="0.3">
      <c r="A31" s="76">
        <v>4</v>
      </c>
      <c r="B31" s="77" t="s">
        <v>217</v>
      </c>
      <c r="C31" s="123" t="s">
        <v>499</v>
      </c>
      <c r="D31" s="80">
        <v>0</v>
      </c>
      <c r="E31" s="80">
        <v>0</v>
      </c>
      <c r="F31" s="78"/>
    </row>
    <row r="32" spans="1:6" x14ac:dyDescent="0.25">
      <c r="A32" s="151" t="s">
        <v>74</v>
      </c>
      <c r="B32" s="151"/>
      <c r="C32" s="151"/>
      <c r="D32" s="113">
        <f>+SUM(D28:D31)/COUNTA(D28:D31)</f>
        <v>0</v>
      </c>
      <c r="E32" s="113">
        <f>+SUM(E28:E31)/COUNTA(E28:E31)</f>
        <v>0</v>
      </c>
      <c r="F32" s="68"/>
    </row>
    <row r="33" spans="1:6" x14ac:dyDescent="0.25">
      <c r="A33" s="69"/>
      <c r="C33" s="66"/>
      <c r="D33" s="58">
        <v>5</v>
      </c>
      <c r="E33" s="58">
        <v>5</v>
      </c>
      <c r="F33" s="68"/>
    </row>
    <row r="34" spans="1:6" ht="24" thickBot="1" x14ac:dyDescent="0.4">
      <c r="A34" s="21" t="s">
        <v>218</v>
      </c>
      <c r="B34" s="47" t="s">
        <v>219</v>
      </c>
      <c r="C34" s="66"/>
      <c r="D34" s="58">
        <v>5</v>
      </c>
      <c r="E34" s="58">
        <v>5</v>
      </c>
      <c r="F34" s="68"/>
    </row>
    <row r="35" spans="1:6" x14ac:dyDescent="0.25">
      <c r="A35" s="149" t="s">
        <v>60</v>
      </c>
      <c r="B35" s="150"/>
      <c r="C35" s="84" t="s">
        <v>61</v>
      </c>
      <c r="D35" s="110" t="s">
        <v>454</v>
      </c>
      <c r="E35" s="110" t="s">
        <v>454</v>
      </c>
      <c r="F35" s="111" t="s">
        <v>453</v>
      </c>
    </row>
    <row r="36" spans="1:6" s="69" customFormat="1" ht="38.25" x14ac:dyDescent="0.25">
      <c r="A36" s="76">
        <v>1</v>
      </c>
      <c r="B36" s="77" t="s">
        <v>220</v>
      </c>
      <c r="C36" s="123" t="s">
        <v>221</v>
      </c>
      <c r="D36" s="80">
        <v>0</v>
      </c>
      <c r="E36" s="80">
        <v>0</v>
      </c>
      <c r="F36" s="78" t="s">
        <v>3</v>
      </c>
    </row>
    <row r="37" spans="1:6" s="69" customFormat="1" ht="38.25" x14ac:dyDescent="0.25">
      <c r="A37" s="76">
        <v>2</v>
      </c>
      <c r="B37" s="77" t="s">
        <v>222</v>
      </c>
      <c r="C37" s="123" t="s">
        <v>500</v>
      </c>
      <c r="D37" s="80">
        <v>0</v>
      </c>
      <c r="E37" s="80">
        <v>0</v>
      </c>
      <c r="F37" s="78"/>
    </row>
    <row r="38" spans="1:6" s="69" customFormat="1" ht="25.5" x14ac:dyDescent="0.25">
      <c r="A38" s="76">
        <v>3</v>
      </c>
      <c r="B38" s="77" t="s">
        <v>223</v>
      </c>
      <c r="C38" s="123" t="s">
        <v>501</v>
      </c>
      <c r="D38" s="80">
        <v>0</v>
      </c>
      <c r="E38" s="80">
        <v>0</v>
      </c>
      <c r="F38" s="78"/>
    </row>
    <row r="39" spans="1:6" s="69" customFormat="1" ht="26.25" thickBot="1" x14ac:dyDescent="0.3">
      <c r="A39" s="76">
        <v>4</v>
      </c>
      <c r="B39" s="77" t="s">
        <v>224</v>
      </c>
      <c r="C39" s="123" t="s">
        <v>225</v>
      </c>
      <c r="D39" s="80">
        <v>0</v>
      </c>
      <c r="E39" s="80">
        <v>0</v>
      </c>
      <c r="F39" s="78" t="s">
        <v>3</v>
      </c>
    </row>
    <row r="40" spans="1:6" x14ac:dyDescent="0.25">
      <c r="A40" s="151" t="s">
        <v>74</v>
      </c>
      <c r="B40" s="151"/>
      <c r="C40" s="151"/>
      <c r="D40" s="113">
        <f>+SUM(D36:D39)/COUNTA(D36:D39)</f>
        <v>0</v>
      </c>
      <c r="E40" s="113">
        <f>+SUM(E36:E39)/COUNTA(E36:E39)</f>
        <v>0</v>
      </c>
      <c r="F40" s="68"/>
    </row>
    <row r="41" spans="1:6" x14ac:dyDescent="0.25">
      <c r="A41" s="69"/>
      <c r="C41" s="66"/>
      <c r="F41" s="68"/>
    </row>
    <row r="42" spans="1:6" ht="24" thickBot="1" x14ac:dyDescent="0.4">
      <c r="A42" s="21" t="s">
        <v>226</v>
      </c>
      <c r="B42" s="47" t="s">
        <v>227</v>
      </c>
      <c r="C42" s="66"/>
      <c r="F42" s="68"/>
    </row>
    <row r="43" spans="1:6" x14ac:dyDescent="0.25">
      <c r="A43" s="149" t="s">
        <v>60</v>
      </c>
      <c r="B43" s="150"/>
      <c r="C43" s="84" t="s">
        <v>61</v>
      </c>
      <c r="D43" s="110" t="s">
        <v>454</v>
      </c>
      <c r="E43" s="110" t="s">
        <v>454</v>
      </c>
      <c r="F43" s="111" t="s">
        <v>453</v>
      </c>
    </row>
    <row r="44" spans="1:6" s="69" customFormat="1" ht="38.25" x14ac:dyDescent="0.25">
      <c r="A44" s="76">
        <v>1</v>
      </c>
      <c r="B44" s="77" t="s">
        <v>228</v>
      </c>
      <c r="C44" s="123" t="s">
        <v>229</v>
      </c>
      <c r="D44" s="80">
        <v>0</v>
      </c>
      <c r="E44" s="80">
        <v>0</v>
      </c>
      <c r="F44" s="78"/>
    </row>
    <row r="45" spans="1:6" s="69" customFormat="1" ht="51" x14ac:dyDescent="0.25">
      <c r="A45" s="76">
        <v>2</v>
      </c>
      <c r="B45" s="77" t="s">
        <v>230</v>
      </c>
      <c r="C45" s="123" t="s">
        <v>502</v>
      </c>
      <c r="D45" s="80">
        <v>0</v>
      </c>
      <c r="E45" s="80">
        <v>0</v>
      </c>
      <c r="F45" s="78"/>
    </row>
    <row r="46" spans="1:6" s="69" customFormat="1" ht="38.25" x14ac:dyDescent="0.25">
      <c r="A46" s="76">
        <v>3</v>
      </c>
      <c r="B46" s="77" t="s">
        <v>231</v>
      </c>
      <c r="C46" s="123" t="s">
        <v>503</v>
      </c>
      <c r="D46" s="80">
        <v>0</v>
      </c>
      <c r="E46" s="80">
        <v>0</v>
      </c>
      <c r="F46" s="78"/>
    </row>
    <row r="47" spans="1:6" s="69" customFormat="1" ht="39" thickBot="1" x14ac:dyDescent="0.3">
      <c r="A47" s="76">
        <v>4</v>
      </c>
      <c r="B47" s="77" t="s">
        <v>232</v>
      </c>
      <c r="C47" s="123" t="s">
        <v>233</v>
      </c>
      <c r="D47" s="80">
        <v>0</v>
      </c>
      <c r="E47" s="80">
        <v>0</v>
      </c>
      <c r="F47" s="78"/>
    </row>
    <row r="48" spans="1:6" x14ac:dyDescent="0.25">
      <c r="A48" s="151" t="s">
        <v>74</v>
      </c>
      <c r="B48" s="151"/>
      <c r="C48" s="151"/>
      <c r="D48" s="112">
        <f>+SUM(D44:D47)/COUNTA(D44:D47)</f>
        <v>0</v>
      </c>
      <c r="E48" s="112">
        <f>+SUM(E44:E47)/COUNTA(E44:E47)</f>
        <v>0</v>
      </c>
      <c r="F48" s="68"/>
    </row>
    <row r="49" spans="1:6" x14ac:dyDescent="0.25">
      <c r="A49" s="69"/>
      <c r="C49" s="66"/>
      <c r="F49" s="68"/>
    </row>
    <row r="50" spans="1:6" ht="24" thickBot="1" x14ac:dyDescent="0.4">
      <c r="A50" s="21" t="s">
        <v>234</v>
      </c>
      <c r="B50" s="47" t="s">
        <v>235</v>
      </c>
      <c r="C50" s="66"/>
      <c r="F50" s="68"/>
    </row>
    <row r="51" spans="1:6" x14ac:dyDescent="0.25">
      <c r="A51" s="149" t="s">
        <v>60</v>
      </c>
      <c r="B51" s="150"/>
      <c r="C51" s="84" t="s">
        <v>61</v>
      </c>
      <c r="D51" s="110" t="s">
        <v>454</v>
      </c>
      <c r="E51" s="110" t="s">
        <v>454</v>
      </c>
      <c r="F51" s="111" t="s">
        <v>453</v>
      </c>
    </row>
    <row r="52" spans="1:6" s="69" customFormat="1" ht="38.25" x14ac:dyDescent="0.25">
      <c r="A52" s="76">
        <v>1</v>
      </c>
      <c r="B52" s="77" t="s">
        <v>236</v>
      </c>
      <c r="C52" s="123" t="s">
        <v>504</v>
      </c>
      <c r="D52" s="80">
        <v>0</v>
      </c>
      <c r="E52" s="80">
        <v>0</v>
      </c>
      <c r="F52" s="78"/>
    </row>
    <row r="53" spans="1:6" s="69" customFormat="1" ht="38.25" x14ac:dyDescent="0.25">
      <c r="A53" s="76">
        <v>2</v>
      </c>
      <c r="B53" s="77" t="s">
        <v>237</v>
      </c>
      <c r="C53" s="123" t="s">
        <v>238</v>
      </c>
      <c r="D53" s="80">
        <v>0</v>
      </c>
      <c r="E53" s="80">
        <v>0</v>
      </c>
      <c r="F53" s="78"/>
    </row>
    <row r="54" spans="1:6" s="69" customFormat="1" ht="25.5" x14ac:dyDescent="0.25">
      <c r="A54" s="76">
        <v>3</v>
      </c>
      <c r="B54" s="77" t="s">
        <v>239</v>
      </c>
      <c r="C54" s="123" t="s">
        <v>505</v>
      </c>
      <c r="D54" s="80">
        <v>0</v>
      </c>
      <c r="E54" s="80">
        <v>0</v>
      </c>
      <c r="F54" s="78"/>
    </row>
    <row r="55" spans="1:6" s="69" customFormat="1" ht="38.25" x14ac:dyDescent="0.25">
      <c r="A55" s="76">
        <v>4</v>
      </c>
      <c r="B55" s="77" t="s">
        <v>240</v>
      </c>
      <c r="C55" s="123" t="s">
        <v>506</v>
      </c>
      <c r="D55" s="80">
        <v>0</v>
      </c>
      <c r="E55" s="80">
        <v>0</v>
      </c>
      <c r="F55" s="78"/>
    </row>
    <row r="56" spans="1:6" s="69" customFormat="1" ht="26.25" thickBot="1" x14ac:dyDescent="0.3">
      <c r="A56" s="76">
        <v>5</v>
      </c>
      <c r="B56" s="77" t="s">
        <v>241</v>
      </c>
      <c r="C56" s="123" t="s">
        <v>242</v>
      </c>
      <c r="D56" s="80">
        <v>0</v>
      </c>
      <c r="E56" s="80">
        <v>0</v>
      </c>
      <c r="F56" s="78"/>
    </row>
    <row r="57" spans="1:6" x14ac:dyDescent="0.25">
      <c r="A57" s="151" t="s">
        <v>74</v>
      </c>
      <c r="B57" s="151"/>
      <c r="C57" s="151"/>
      <c r="D57" s="112">
        <f>+SUM(D52:D56)/COUNTA(D52:D56)</f>
        <v>0</v>
      </c>
      <c r="E57" s="112">
        <f>+SUM(E52:E56)/COUNTA(E52:E56)</f>
        <v>0</v>
      </c>
      <c r="F57" s="68"/>
    </row>
    <row r="58" spans="1:6" x14ac:dyDescent="0.25">
      <c r="A58" s="69"/>
      <c r="C58" s="66"/>
      <c r="F58" s="68"/>
    </row>
    <row r="59" spans="1:6" ht="24" thickBot="1" x14ac:dyDescent="0.4">
      <c r="A59" s="21" t="s">
        <v>243</v>
      </c>
      <c r="B59" s="47" t="s">
        <v>235</v>
      </c>
      <c r="C59" s="66"/>
      <c r="F59" s="68"/>
    </row>
    <row r="60" spans="1:6" x14ac:dyDescent="0.25">
      <c r="A60" s="149" t="s">
        <v>60</v>
      </c>
      <c r="B60" s="150"/>
      <c r="C60" s="84" t="s">
        <v>61</v>
      </c>
      <c r="D60" s="110" t="s">
        <v>454</v>
      </c>
      <c r="E60" s="110" t="s">
        <v>454</v>
      </c>
      <c r="F60" s="111" t="s">
        <v>453</v>
      </c>
    </row>
    <row r="61" spans="1:6" s="69" customFormat="1" ht="38.25" x14ac:dyDescent="0.25">
      <c r="A61" s="76">
        <v>1</v>
      </c>
      <c r="B61" s="77" t="s">
        <v>244</v>
      </c>
      <c r="C61" s="123" t="s">
        <v>507</v>
      </c>
      <c r="D61" s="80">
        <v>0</v>
      </c>
      <c r="E61" s="80">
        <v>0</v>
      </c>
      <c r="F61" s="78"/>
    </row>
    <row r="62" spans="1:6" s="69" customFormat="1" ht="38.25" x14ac:dyDescent="0.25">
      <c r="A62" s="76">
        <v>2</v>
      </c>
      <c r="B62" s="77" t="s">
        <v>245</v>
      </c>
      <c r="C62" s="123" t="s">
        <v>246</v>
      </c>
      <c r="D62" s="80">
        <v>0</v>
      </c>
      <c r="E62" s="80">
        <v>0</v>
      </c>
      <c r="F62" s="78"/>
    </row>
    <row r="63" spans="1:6" s="69" customFormat="1" ht="25.5" x14ac:dyDescent="0.25">
      <c r="A63" s="76">
        <v>3</v>
      </c>
      <c r="B63" s="77" t="s">
        <v>247</v>
      </c>
      <c r="C63" s="123" t="s">
        <v>248</v>
      </c>
      <c r="D63" s="80">
        <v>0</v>
      </c>
      <c r="E63" s="80">
        <v>0</v>
      </c>
      <c r="F63" s="78"/>
    </row>
    <row r="64" spans="1:6" s="69" customFormat="1" ht="25.5" x14ac:dyDescent="0.25">
      <c r="A64" s="76">
        <v>4</v>
      </c>
      <c r="B64" s="77" t="s">
        <v>249</v>
      </c>
      <c r="C64" s="123" t="s">
        <v>508</v>
      </c>
      <c r="D64" s="80">
        <v>0</v>
      </c>
      <c r="E64" s="80">
        <v>0</v>
      </c>
      <c r="F64" s="78"/>
    </row>
    <row r="65" spans="1:6" s="69" customFormat="1" ht="38.25" x14ac:dyDescent="0.25">
      <c r="A65" s="76">
        <v>5</v>
      </c>
      <c r="B65" s="77" t="s">
        <v>250</v>
      </c>
      <c r="C65" s="123" t="s">
        <v>251</v>
      </c>
      <c r="D65" s="80">
        <v>0</v>
      </c>
      <c r="E65" s="80">
        <v>0</v>
      </c>
      <c r="F65" s="78"/>
    </row>
    <row r="66" spans="1:6" s="69" customFormat="1" ht="25.5" x14ac:dyDescent="0.25">
      <c r="A66" s="76">
        <v>6</v>
      </c>
      <c r="B66" s="77" t="s">
        <v>252</v>
      </c>
      <c r="C66" s="123" t="s">
        <v>253</v>
      </c>
      <c r="D66" s="80">
        <v>0</v>
      </c>
      <c r="E66" s="80">
        <v>0</v>
      </c>
      <c r="F66" s="78"/>
    </row>
    <row r="67" spans="1:6" s="69" customFormat="1" ht="38.25" x14ac:dyDescent="0.25">
      <c r="A67" s="76">
        <v>7</v>
      </c>
      <c r="B67" s="77" t="s">
        <v>254</v>
      </c>
      <c r="C67" s="123" t="s">
        <v>582</v>
      </c>
      <c r="D67" s="80">
        <v>0</v>
      </c>
      <c r="E67" s="80">
        <v>0</v>
      </c>
      <c r="F67" s="78"/>
    </row>
    <row r="68" spans="1:6" s="69" customFormat="1" ht="38.25" x14ac:dyDescent="0.25">
      <c r="A68" s="76">
        <v>8</v>
      </c>
      <c r="B68" s="77" t="s">
        <v>255</v>
      </c>
      <c r="C68" s="123" t="s">
        <v>583</v>
      </c>
      <c r="D68" s="80">
        <v>0</v>
      </c>
      <c r="E68" s="80">
        <v>0</v>
      </c>
      <c r="F68" s="78"/>
    </row>
    <row r="69" spans="1:6" s="69" customFormat="1" ht="26.25" thickBot="1" x14ac:dyDescent="0.3">
      <c r="A69" s="76">
        <v>9</v>
      </c>
      <c r="B69" s="77" t="s">
        <v>256</v>
      </c>
      <c r="C69" s="123" t="s">
        <v>257</v>
      </c>
      <c r="D69" s="80">
        <v>0</v>
      </c>
      <c r="E69" s="80">
        <v>0</v>
      </c>
      <c r="F69" s="78"/>
    </row>
    <row r="70" spans="1:6" x14ac:dyDescent="0.25">
      <c r="A70" s="151" t="s">
        <v>74</v>
      </c>
      <c r="B70" s="151"/>
      <c r="C70" s="151"/>
      <c r="D70" s="112">
        <f>+SUM(D61:D69)/COUNTA(D61:D69)</f>
        <v>0</v>
      </c>
      <c r="E70" s="112">
        <f>+SUM(E61:E69)/COUNTA(E61:E69)</f>
        <v>0</v>
      </c>
      <c r="F70" s="68"/>
    </row>
  </sheetData>
  <sheetProtection algorithmName="SHA-512" hashValue="zZOINxEljyJdzP7j3FIribpDKyXXK+WijBKHaLJueut/hUq4wAIAAs9Y5Dl5ZNoG+Zd9QZMMmONEpNwJ6vKB5Q==" saltValue="uJ0GJ5NHFJGU7+fpsNIZiQ==" spinCount="100000" sheet="1" objects="1" scenarios="1" selectLockedCells="1"/>
  <mergeCells count="14">
    <mergeCell ref="A35:B35"/>
    <mergeCell ref="A40:C40"/>
    <mergeCell ref="A5:B5"/>
    <mergeCell ref="A10:C10"/>
    <mergeCell ref="A13:B13"/>
    <mergeCell ref="A24:C24"/>
    <mergeCell ref="A27:B27"/>
    <mergeCell ref="A32:C32"/>
    <mergeCell ref="A43:B43"/>
    <mergeCell ref="A48:C48"/>
    <mergeCell ref="A51:B51"/>
    <mergeCell ref="A57:C57"/>
    <mergeCell ref="A70:C70"/>
    <mergeCell ref="A60:B60"/>
  </mergeCells>
  <dataValidations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4:E23 D28:E31 D36:E39 D44:E47 D52:E56 D61:E69 D6:E9">
      <formula1>0</formula1>
      <formula2>5</formula2>
    </dataValidation>
  </dataValidations>
  <pageMargins left="0.511811024" right="0.511811024" top="0.78740157499999996" bottom="0.78740157499999996" header="0.31496062000000002" footer="0.31496062000000002"/>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3"/>
  <sheetViews>
    <sheetView showGridLines="0" zoomScale="90" zoomScaleNormal="90" workbookViewId="0">
      <selection activeCell="F102" sqref="F102"/>
    </sheetView>
  </sheetViews>
  <sheetFormatPr defaultRowHeight="15" x14ac:dyDescent="0.25"/>
  <cols>
    <col min="1" max="1" width="14.7109375" customWidth="1"/>
    <col min="2" max="2" width="24.28515625" style="24" customWidth="1"/>
    <col min="3" max="3" width="89.28515625" style="23" customWidth="1"/>
    <col min="4" max="5" width="9.7109375" style="55" customWidth="1"/>
    <col min="6" max="6" width="57.28515625" style="56" customWidth="1"/>
    <col min="7" max="7" width="24.42578125" hidden="1" customWidth="1"/>
  </cols>
  <sheetData>
    <row r="1" spans="1:9" ht="26.25" x14ac:dyDescent="0.4">
      <c r="A1" s="22"/>
      <c r="B1" s="25"/>
      <c r="C1" s="66"/>
      <c r="F1" s="68"/>
      <c r="G1" s="69"/>
    </row>
    <row r="2" spans="1:9" ht="26.25" x14ac:dyDescent="0.4">
      <c r="A2" s="22"/>
      <c r="B2" s="25"/>
      <c r="C2" s="66"/>
      <c r="D2" s="55" t="s">
        <v>3</v>
      </c>
      <c r="E2" s="55" t="s">
        <v>3</v>
      </c>
      <c r="F2" s="75"/>
      <c r="G2" s="82"/>
      <c r="H2" s="82"/>
      <c r="I2" s="82"/>
    </row>
    <row r="3" spans="1:9" s="69" customFormat="1" ht="27" thickBot="1" x14ac:dyDescent="0.45">
      <c r="A3" s="22"/>
      <c r="B3" s="25"/>
      <c r="C3" s="66"/>
      <c r="D3" s="55"/>
      <c r="E3" s="55"/>
      <c r="F3" s="75"/>
      <c r="G3" s="82"/>
      <c r="H3" s="82"/>
      <c r="I3" s="82"/>
    </row>
    <row r="4" spans="1:9" ht="24" thickBot="1" x14ac:dyDescent="0.4">
      <c r="A4" s="21" t="s">
        <v>259</v>
      </c>
      <c r="B4" s="47" t="s">
        <v>260</v>
      </c>
      <c r="C4" s="66"/>
      <c r="D4" s="114" t="s">
        <v>546</v>
      </c>
      <c r="E4" s="114" t="s">
        <v>547</v>
      </c>
      <c r="F4" s="68"/>
      <c r="G4" s="69">
        <v>1</v>
      </c>
    </row>
    <row r="5" spans="1:9" x14ac:dyDescent="0.25">
      <c r="A5" s="153" t="s">
        <v>60</v>
      </c>
      <c r="B5" s="154"/>
      <c r="C5" s="83" t="s">
        <v>61</v>
      </c>
      <c r="D5" s="114" t="s">
        <v>454</v>
      </c>
      <c r="E5" s="114" t="s">
        <v>454</v>
      </c>
      <c r="F5" s="115" t="s">
        <v>453</v>
      </c>
      <c r="G5" s="69">
        <v>2</v>
      </c>
    </row>
    <row r="6" spans="1:9" s="69" customFormat="1" ht="38.25" x14ac:dyDescent="0.25">
      <c r="A6" s="76">
        <v>1</v>
      </c>
      <c r="B6" s="77" t="s">
        <v>261</v>
      </c>
      <c r="C6" s="123" t="s">
        <v>584</v>
      </c>
      <c r="D6" s="80">
        <v>0</v>
      </c>
      <c r="E6" s="80">
        <v>0</v>
      </c>
      <c r="F6" s="78"/>
      <c r="G6" s="69">
        <v>3</v>
      </c>
    </row>
    <row r="7" spans="1:9" s="69" customFormat="1" ht="38.25" x14ac:dyDescent="0.25">
      <c r="A7" s="76">
        <v>2</v>
      </c>
      <c r="B7" s="77" t="s">
        <v>262</v>
      </c>
      <c r="C7" s="123" t="s">
        <v>509</v>
      </c>
      <c r="D7" s="80">
        <v>0</v>
      </c>
      <c r="E7" s="80">
        <v>0</v>
      </c>
      <c r="F7" s="78"/>
      <c r="G7" s="69">
        <v>4</v>
      </c>
    </row>
    <row r="8" spans="1:9" s="69" customFormat="1" ht="25.5" x14ac:dyDescent="0.25">
      <c r="A8" s="76">
        <v>3</v>
      </c>
      <c r="B8" s="77" t="s">
        <v>263</v>
      </c>
      <c r="C8" s="123" t="s">
        <v>585</v>
      </c>
      <c r="D8" s="80">
        <v>0</v>
      </c>
      <c r="E8" s="80">
        <v>0</v>
      </c>
      <c r="F8" s="78"/>
      <c r="G8" s="69">
        <v>5</v>
      </c>
    </row>
    <row r="9" spans="1:9" s="69" customFormat="1" ht="25.5" x14ac:dyDescent="0.25">
      <c r="A9" s="76">
        <v>4</v>
      </c>
      <c r="B9" s="77" t="s">
        <v>264</v>
      </c>
      <c r="C9" s="123" t="s">
        <v>586</v>
      </c>
      <c r="D9" s="80">
        <v>0</v>
      </c>
      <c r="E9" s="80">
        <v>0</v>
      </c>
      <c r="F9" s="78"/>
    </row>
    <row r="10" spans="1:9" s="69" customFormat="1" ht="38.25" x14ac:dyDescent="0.25">
      <c r="A10" s="76">
        <v>5</v>
      </c>
      <c r="B10" s="77" t="s">
        <v>265</v>
      </c>
      <c r="C10" s="123" t="s">
        <v>587</v>
      </c>
      <c r="D10" s="80">
        <v>0</v>
      </c>
      <c r="E10" s="80">
        <v>0</v>
      </c>
      <c r="F10" s="78"/>
    </row>
    <row r="11" spans="1:9" s="69" customFormat="1" ht="39" thickBot="1" x14ac:dyDescent="0.3">
      <c r="A11" s="76">
        <v>6</v>
      </c>
      <c r="B11" s="77" t="s">
        <v>266</v>
      </c>
      <c r="C11" s="123" t="s">
        <v>510</v>
      </c>
      <c r="D11" s="80">
        <v>0</v>
      </c>
      <c r="E11" s="80">
        <v>0</v>
      </c>
      <c r="F11" s="78"/>
    </row>
    <row r="12" spans="1:9" x14ac:dyDescent="0.25">
      <c r="A12" s="155" t="s">
        <v>74</v>
      </c>
      <c r="B12" s="155"/>
      <c r="C12" s="155"/>
      <c r="D12" s="116">
        <f>+SUM(D6:D11)/COUNTA(D6:D11)</f>
        <v>0</v>
      </c>
      <c r="E12" s="116">
        <f>+SUM(E6:E11)/COUNTA(E6:E11)</f>
        <v>0</v>
      </c>
      <c r="F12" s="68"/>
      <c r="G12" s="69"/>
    </row>
    <row r="14" spans="1:9" ht="27" thickBot="1" x14ac:dyDescent="0.45">
      <c r="A14" s="21" t="s">
        <v>267</v>
      </c>
      <c r="B14" s="46" t="s">
        <v>268</v>
      </c>
      <c r="C14" s="66"/>
      <c r="F14" s="68"/>
      <c r="G14" s="69"/>
    </row>
    <row r="15" spans="1:9" x14ac:dyDescent="0.25">
      <c r="A15" s="153" t="s">
        <v>60</v>
      </c>
      <c r="B15" s="154"/>
      <c r="C15" s="83" t="s">
        <v>61</v>
      </c>
      <c r="D15" s="114" t="s">
        <v>454</v>
      </c>
      <c r="E15" s="114" t="s">
        <v>454</v>
      </c>
      <c r="F15" s="115" t="s">
        <v>453</v>
      </c>
      <c r="G15" s="69"/>
    </row>
    <row r="16" spans="1:9" s="69" customFormat="1" ht="51" x14ac:dyDescent="0.25">
      <c r="A16" s="76">
        <v>1</v>
      </c>
      <c r="B16" s="77" t="s">
        <v>269</v>
      </c>
      <c r="C16" s="123" t="s">
        <v>270</v>
      </c>
      <c r="D16" s="80">
        <v>0</v>
      </c>
      <c r="E16" s="80">
        <v>0</v>
      </c>
      <c r="F16" s="78"/>
    </row>
    <row r="17" spans="1:6" s="69" customFormat="1" ht="38.25" x14ac:dyDescent="0.25">
      <c r="A17" s="76">
        <v>2</v>
      </c>
      <c r="B17" s="77" t="s">
        <v>271</v>
      </c>
      <c r="C17" s="123" t="s">
        <v>511</v>
      </c>
      <c r="D17" s="80">
        <v>0</v>
      </c>
      <c r="E17" s="80">
        <v>0</v>
      </c>
      <c r="F17" s="78"/>
    </row>
    <row r="18" spans="1:6" s="69" customFormat="1" ht="51" x14ac:dyDescent="0.25">
      <c r="A18" s="76">
        <v>3</v>
      </c>
      <c r="B18" s="77" t="s">
        <v>272</v>
      </c>
      <c r="C18" s="123" t="s">
        <v>588</v>
      </c>
      <c r="D18" s="80">
        <v>0</v>
      </c>
      <c r="E18" s="80">
        <v>0</v>
      </c>
      <c r="F18" s="78"/>
    </row>
    <row r="19" spans="1:6" s="69" customFormat="1" ht="39" thickBot="1" x14ac:dyDescent="0.3">
      <c r="A19" s="76">
        <v>4</v>
      </c>
      <c r="B19" s="77" t="s">
        <v>273</v>
      </c>
      <c r="C19" s="123" t="s">
        <v>512</v>
      </c>
      <c r="D19" s="80">
        <v>0</v>
      </c>
      <c r="E19" s="80">
        <v>0</v>
      </c>
      <c r="F19" s="78"/>
    </row>
    <row r="20" spans="1:6" x14ac:dyDescent="0.25">
      <c r="A20" s="155" t="s">
        <v>74</v>
      </c>
      <c r="B20" s="155"/>
      <c r="C20" s="155"/>
      <c r="D20" s="116">
        <f>+SUM(D16:D19)/COUNTA(D16:D19)</f>
        <v>0</v>
      </c>
      <c r="E20" s="116">
        <f>+SUM(E16:E19)/COUNTA(E16:E19)</f>
        <v>0</v>
      </c>
      <c r="F20" s="68"/>
    </row>
    <row r="22" spans="1:6" ht="24" thickBot="1" x14ac:dyDescent="0.4">
      <c r="A22" s="21" t="s">
        <v>274</v>
      </c>
      <c r="B22" s="47" t="s">
        <v>275</v>
      </c>
      <c r="C22" s="66"/>
      <c r="F22" s="68"/>
    </row>
    <row r="23" spans="1:6" x14ac:dyDescent="0.25">
      <c r="A23" s="153" t="s">
        <v>60</v>
      </c>
      <c r="B23" s="154"/>
      <c r="C23" s="83" t="s">
        <v>61</v>
      </c>
      <c r="D23" s="114" t="s">
        <v>454</v>
      </c>
      <c r="E23" s="114" t="s">
        <v>454</v>
      </c>
      <c r="F23" s="115" t="s">
        <v>453</v>
      </c>
    </row>
    <row r="24" spans="1:6" s="69" customFormat="1" ht="51" x14ac:dyDescent="0.25">
      <c r="A24" s="76">
        <v>1</v>
      </c>
      <c r="B24" s="77" t="s">
        <v>276</v>
      </c>
      <c r="C24" s="123" t="s">
        <v>589</v>
      </c>
      <c r="D24" s="80">
        <v>0</v>
      </c>
      <c r="E24" s="80">
        <v>0</v>
      </c>
      <c r="F24" s="78"/>
    </row>
    <row r="25" spans="1:6" s="69" customFormat="1" ht="38.25" x14ac:dyDescent="0.25">
      <c r="A25" s="76">
        <v>2</v>
      </c>
      <c r="B25" s="77" t="s">
        <v>277</v>
      </c>
      <c r="C25" s="123" t="s">
        <v>278</v>
      </c>
      <c r="D25" s="80">
        <v>0</v>
      </c>
      <c r="E25" s="80">
        <v>0</v>
      </c>
      <c r="F25" s="78"/>
    </row>
    <row r="26" spans="1:6" s="69" customFormat="1" ht="38.25" x14ac:dyDescent="0.25">
      <c r="A26" s="76">
        <v>3</v>
      </c>
      <c r="B26" s="77" t="s">
        <v>279</v>
      </c>
      <c r="C26" s="123" t="s">
        <v>590</v>
      </c>
      <c r="D26" s="80">
        <v>0</v>
      </c>
      <c r="E26" s="80">
        <v>0</v>
      </c>
      <c r="F26" s="78"/>
    </row>
    <row r="27" spans="1:6" s="69" customFormat="1" ht="25.5" x14ac:dyDescent="0.25">
      <c r="A27" s="76">
        <v>4</v>
      </c>
      <c r="B27" s="77" t="s">
        <v>280</v>
      </c>
      <c r="C27" s="123" t="s">
        <v>591</v>
      </c>
      <c r="D27" s="80">
        <v>0</v>
      </c>
      <c r="E27" s="80">
        <v>0</v>
      </c>
      <c r="F27" s="78"/>
    </row>
    <row r="28" spans="1:6" s="69" customFormat="1" ht="51.75" thickBot="1" x14ac:dyDescent="0.3">
      <c r="A28" s="76">
        <v>5</v>
      </c>
      <c r="B28" s="77" t="s">
        <v>281</v>
      </c>
      <c r="C28" s="123" t="s">
        <v>592</v>
      </c>
      <c r="D28" s="80">
        <v>0</v>
      </c>
      <c r="E28" s="80">
        <v>0</v>
      </c>
      <c r="F28" s="78"/>
    </row>
    <row r="29" spans="1:6" x14ac:dyDescent="0.25">
      <c r="A29" s="155" t="s">
        <v>74</v>
      </c>
      <c r="B29" s="155"/>
      <c r="C29" s="155"/>
      <c r="D29" s="116">
        <f>+SUM(D24:D28)/COUNTA(D24:D28)</f>
        <v>0</v>
      </c>
      <c r="E29" s="116">
        <f>+SUM(E24:E28)/COUNTA(E24:E28)</f>
        <v>0</v>
      </c>
      <c r="F29" s="68"/>
    </row>
    <row r="30" spans="1:6" x14ac:dyDescent="0.25">
      <c r="D30" s="55" t="s">
        <v>3</v>
      </c>
      <c r="E30" s="55" t="s">
        <v>3</v>
      </c>
    </row>
    <row r="31" spans="1:6" ht="24" thickBot="1" x14ac:dyDescent="0.4">
      <c r="A31" s="21" t="s">
        <v>282</v>
      </c>
      <c r="B31" s="47" t="s">
        <v>283</v>
      </c>
      <c r="C31" s="66"/>
      <c r="D31" s="55" t="s">
        <v>3</v>
      </c>
      <c r="E31" s="55" t="s">
        <v>3</v>
      </c>
      <c r="F31" s="68"/>
    </row>
    <row r="32" spans="1:6" x14ac:dyDescent="0.25">
      <c r="A32" s="153" t="s">
        <v>60</v>
      </c>
      <c r="B32" s="154"/>
      <c r="C32" s="83" t="s">
        <v>61</v>
      </c>
      <c r="D32" s="114" t="s">
        <v>454</v>
      </c>
      <c r="E32" s="114" t="s">
        <v>454</v>
      </c>
      <c r="F32" s="115" t="s">
        <v>453</v>
      </c>
    </row>
    <row r="33" spans="1:6" s="69" customFormat="1" ht="51" x14ac:dyDescent="0.25">
      <c r="A33" s="76">
        <v>1</v>
      </c>
      <c r="B33" s="77" t="s">
        <v>284</v>
      </c>
      <c r="C33" s="123" t="s">
        <v>593</v>
      </c>
      <c r="D33" s="80">
        <v>0</v>
      </c>
      <c r="E33" s="80">
        <v>0</v>
      </c>
      <c r="F33" s="78"/>
    </row>
    <row r="34" spans="1:6" s="69" customFormat="1" ht="25.5" x14ac:dyDescent="0.25">
      <c r="A34" s="76">
        <v>2</v>
      </c>
      <c r="B34" s="77" t="s">
        <v>285</v>
      </c>
      <c r="C34" s="123" t="s">
        <v>594</v>
      </c>
      <c r="D34" s="80">
        <v>0</v>
      </c>
      <c r="E34" s="80">
        <v>0</v>
      </c>
      <c r="F34" s="78"/>
    </row>
    <row r="35" spans="1:6" s="69" customFormat="1" ht="25.5" x14ac:dyDescent="0.25">
      <c r="A35" s="76">
        <v>3</v>
      </c>
      <c r="B35" s="77" t="s">
        <v>286</v>
      </c>
      <c r="C35" s="123" t="s">
        <v>595</v>
      </c>
      <c r="D35" s="80">
        <v>0</v>
      </c>
      <c r="E35" s="80">
        <v>0</v>
      </c>
      <c r="F35" s="78"/>
    </row>
    <row r="36" spans="1:6" s="69" customFormat="1" ht="25.5" x14ac:dyDescent="0.25">
      <c r="A36" s="76">
        <v>4</v>
      </c>
      <c r="B36" s="77" t="s">
        <v>287</v>
      </c>
      <c r="C36" s="123" t="s">
        <v>596</v>
      </c>
      <c r="D36" s="80">
        <v>0</v>
      </c>
      <c r="E36" s="80">
        <v>0</v>
      </c>
      <c r="F36" s="78"/>
    </row>
    <row r="37" spans="1:6" s="69" customFormat="1" ht="25.5" x14ac:dyDescent="0.25">
      <c r="A37" s="76">
        <v>5</v>
      </c>
      <c r="B37" s="77" t="s">
        <v>288</v>
      </c>
      <c r="C37" s="123" t="s">
        <v>597</v>
      </c>
      <c r="D37" s="80">
        <v>0</v>
      </c>
      <c r="E37" s="80">
        <v>0</v>
      </c>
      <c r="F37" s="78"/>
    </row>
    <row r="38" spans="1:6" s="69" customFormat="1" ht="38.25" x14ac:dyDescent="0.25">
      <c r="A38" s="76">
        <v>6</v>
      </c>
      <c r="B38" s="77" t="s">
        <v>289</v>
      </c>
      <c r="C38" s="123" t="s">
        <v>290</v>
      </c>
      <c r="D38" s="80">
        <v>0</v>
      </c>
      <c r="E38" s="80">
        <v>0</v>
      </c>
      <c r="F38" s="78"/>
    </row>
    <row r="39" spans="1:6" s="69" customFormat="1" ht="25.5" x14ac:dyDescent="0.25">
      <c r="A39" s="76">
        <v>7</v>
      </c>
      <c r="B39" s="77" t="s">
        <v>291</v>
      </c>
      <c r="C39" s="123" t="s">
        <v>598</v>
      </c>
      <c r="D39" s="80">
        <v>0</v>
      </c>
      <c r="E39" s="80">
        <v>0</v>
      </c>
      <c r="F39" s="78"/>
    </row>
    <row r="40" spans="1:6" s="69" customFormat="1" ht="38.25" x14ac:dyDescent="0.25">
      <c r="A40" s="76">
        <v>8</v>
      </c>
      <c r="B40" s="77" t="s">
        <v>292</v>
      </c>
      <c r="C40" s="123" t="s">
        <v>599</v>
      </c>
      <c r="D40" s="80">
        <v>0</v>
      </c>
      <c r="E40" s="80">
        <v>0</v>
      </c>
      <c r="F40" s="78"/>
    </row>
    <row r="41" spans="1:6" s="69" customFormat="1" ht="38.25" x14ac:dyDescent="0.25">
      <c r="A41" s="76">
        <v>9</v>
      </c>
      <c r="B41" s="77" t="s">
        <v>293</v>
      </c>
      <c r="C41" s="123" t="s">
        <v>600</v>
      </c>
      <c r="D41" s="80">
        <v>0</v>
      </c>
      <c r="E41" s="80">
        <v>0</v>
      </c>
      <c r="F41" s="78"/>
    </row>
    <row r="42" spans="1:6" s="69" customFormat="1" ht="26.25" thickBot="1" x14ac:dyDescent="0.3">
      <c r="A42" s="76">
        <v>10</v>
      </c>
      <c r="B42" s="77" t="s">
        <v>294</v>
      </c>
      <c r="C42" s="123" t="s">
        <v>295</v>
      </c>
      <c r="D42" s="80">
        <v>0</v>
      </c>
      <c r="E42" s="80">
        <v>0</v>
      </c>
      <c r="F42" s="78"/>
    </row>
    <row r="43" spans="1:6" x14ac:dyDescent="0.25">
      <c r="A43" s="155" t="s">
        <v>74</v>
      </c>
      <c r="B43" s="155"/>
      <c r="C43" s="155"/>
      <c r="D43" s="116">
        <f>+SUM(D33:D42)/COUNTA(D33:D42)</f>
        <v>0</v>
      </c>
      <c r="E43" s="116">
        <f>+SUM(E33:E42)/COUNTA(E33:E42)</f>
        <v>0</v>
      </c>
      <c r="F43" s="68"/>
    </row>
    <row r="45" spans="1:6" ht="24" thickBot="1" x14ac:dyDescent="0.4">
      <c r="A45" s="21" t="s">
        <v>296</v>
      </c>
      <c r="B45" s="47" t="s">
        <v>297</v>
      </c>
      <c r="C45" s="66"/>
      <c r="F45" s="68"/>
    </row>
    <row r="46" spans="1:6" x14ac:dyDescent="0.25">
      <c r="A46" s="153" t="s">
        <v>60</v>
      </c>
      <c r="B46" s="154"/>
      <c r="C46" s="83" t="s">
        <v>61</v>
      </c>
      <c r="D46" s="114" t="s">
        <v>454</v>
      </c>
      <c r="E46" s="114" t="s">
        <v>454</v>
      </c>
      <c r="F46" s="115" t="s">
        <v>453</v>
      </c>
    </row>
    <row r="47" spans="1:6" s="69" customFormat="1" ht="25.5" x14ac:dyDescent="0.25">
      <c r="A47" s="76">
        <v>1</v>
      </c>
      <c r="B47" s="77" t="s">
        <v>298</v>
      </c>
      <c r="C47" s="123" t="s">
        <v>513</v>
      </c>
      <c r="D47" s="80">
        <v>0</v>
      </c>
      <c r="E47" s="80">
        <v>0</v>
      </c>
      <c r="F47" s="78"/>
    </row>
    <row r="48" spans="1:6" s="69" customFormat="1" ht="25.5" x14ac:dyDescent="0.25">
      <c r="A48" s="76">
        <v>2</v>
      </c>
      <c r="B48" s="77" t="s">
        <v>299</v>
      </c>
      <c r="C48" s="123" t="s">
        <v>601</v>
      </c>
      <c r="D48" s="80">
        <v>0</v>
      </c>
      <c r="E48" s="80">
        <v>0</v>
      </c>
      <c r="F48" s="78"/>
    </row>
    <row r="49" spans="1:6" s="69" customFormat="1" ht="51" x14ac:dyDescent="0.25">
      <c r="A49" s="76">
        <v>3</v>
      </c>
      <c r="B49" s="77" t="s">
        <v>300</v>
      </c>
      <c r="C49" s="123" t="s">
        <v>602</v>
      </c>
      <c r="D49" s="80">
        <v>0</v>
      </c>
      <c r="E49" s="80">
        <v>0</v>
      </c>
      <c r="F49" s="78"/>
    </row>
    <row r="50" spans="1:6" s="69" customFormat="1" ht="51" x14ac:dyDescent="0.25">
      <c r="A50" s="76">
        <v>4</v>
      </c>
      <c r="B50" s="77" t="s">
        <v>301</v>
      </c>
      <c r="C50" s="123" t="s">
        <v>603</v>
      </c>
      <c r="D50" s="80">
        <v>0</v>
      </c>
      <c r="E50" s="80">
        <v>0</v>
      </c>
      <c r="F50" s="78"/>
    </row>
    <row r="51" spans="1:6" s="69" customFormat="1" ht="51" x14ac:dyDescent="0.25">
      <c r="A51" s="76">
        <v>5</v>
      </c>
      <c r="B51" s="77" t="s">
        <v>302</v>
      </c>
      <c r="C51" s="123" t="s">
        <v>514</v>
      </c>
      <c r="D51" s="80">
        <v>0</v>
      </c>
      <c r="E51" s="80">
        <v>0</v>
      </c>
      <c r="F51" s="78"/>
    </row>
    <row r="52" spans="1:6" s="69" customFormat="1" ht="25.5" x14ac:dyDescent="0.25">
      <c r="A52" s="76">
        <v>6</v>
      </c>
      <c r="B52" s="77" t="s">
        <v>303</v>
      </c>
      <c r="C52" s="123" t="s">
        <v>515</v>
      </c>
      <c r="D52" s="80">
        <v>0</v>
      </c>
      <c r="E52" s="80">
        <v>0</v>
      </c>
      <c r="F52" s="78"/>
    </row>
    <row r="53" spans="1:6" s="69" customFormat="1" ht="25.5" x14ac:dyDescent="0.25">
      <c r="A53" s="76">
        <v>7</v>
      </c>
      <c r="B53" s="77" t="s">
        <v>304</v>
      </c>
      <c r="C53" s="123" t="s">
        <v>305</v>
      </c>
      <c r="D53" s="80">
        <v>0</v>
      </c>
      <c r="E53" s="80">
        <v>0</v>
      </c>
      <c r="F53" s="78"/>
    </row>
    <row r="54" spans="1:6" s="69" customFormat="1" ht="38.25" x14ac:dyDescent="0.25">
      <c r="A54" s="76">
        <v>8</v>
      </c>
      <c r="B54" s="77" t="s">
        <v>306</v>
      </c>
      <c r="C54" s="123" t="s">
        <v>307</v>
      </c>
      <c r="D54" s="80">
        <v>0</v>
      </c>
      <c r="E54" s="80">
        <v>0</v>
      </c>
      <c r="F54" s="78"/>
    </row>
    <row r="55" spans="1:6" s="69" customFormat="1" ht="38.25" x14ac:dyDescent="0.25">
      <c r="A55" s="76">
        <v>9</v>
      </c>
      <c r="B55" s="77" t="s">
        <v>308</v>
      </c>
      <c r="C55" s="123" t="s">
        <v>516</v>
      </c>
      <c r="D55" s="80">
        <v>0</v>
      </c>
      <c r="E55" s="80">
        <v>0</v>
      </c>
      <c r="F55" s="78"/>
    </row>
    <row r="56" spans="1:6" s="69" customFormat="1" ht="38.25" x14ac:dyDescent="0.25">
      <c r="A56" s="76">
        <v>10</v>
      </c>
      <c r="B56" s="77" t="s">
        <v>309</v>
      </c>
      <c r="C56" s="123" t="s">
        <v>310</v>
      </c>
      <c r="D56" s="80">
        <v>0</v>
      </c>
      <c r="E56" s="80">
        <v>0</v>
      </c>
      <c r="F56" s="78"/>
    </row>
    <row r="57" spans="1:6" s="69" customFormat="1" ht="39" thickBot="1" x14ac:dyDescent="0.3">
      <c r="A57" s="76">
        <v>11</v>
      </c>
      <c r="B57" s="77" t="s">
        <v>311</v>
      </c>
      <c r="C57" s="123" t="s">
        <v>312</v>
      </c>
      <c r="D57" s="80">
        <v>0</v>
      </c>
      <c r="E57" s="80">
        <v>0</v>
      </c>
      <c r="F57" s="78"/>
    </row>
    <row r="58" spans="1:6" x14ac:dyDescent="0.25">
      <c r="A58" s="155" t="s">
        <v>74</v>
      </c>
      <c r="B58" s="155"/>
      <c r="C58" s="155"/>
      <c r="D58" s="116">
        <f>+SUM(D47:D57)/COUNTA(D47:D57)</f>
        <v>0</v>
      </c>
      <c r="E58" s="116">
        <f>+SUM(E47:E57)/COUNTA(E47:E57)</f>
        <v>0</v>
      </c>
      <c r="F58" s="68"/>
    </row>
    <row r="60" spans="1:6" ht="24" thickBot="1" x14ac:dyDescent="0.4">
      <c r="A60" s="21" t="s">
        <v>313</v>
      </c>
      <c r="B60" s="47" t="s">
        <v>314</v>
      </c>
      <c r="C60" s="66"/>
      <c r="F60" s="68"/>
    </row>
    <row r="61" spans="1:6" x14ac:dyDescent="0.25">
      <c r="A61" s="153" t="s">
        <v>60</v>
      </c>
      <c r="B61" s="154"/>
      <c r="C61" s="83" t="s">
        <v>61</v>
      </c>
      <c r="D61" s="114" t="s">
        <v>454</v>
      </c>
      <c r="E61" s="114" t="s">
        <v>454</v>
      </c>
      <c r="F61" s="115" t="s">
        <v>453</v>
      </c>
    </row>
    <row r="62" spans="1:6" s="69" customFormat="1" ht="38.25" x14ac:dyDescent="0.25">
      <c r="A62" s="76">
        <v>1</v>
      </c>
      <c r="B62" s="77" t="s">
        <v>262</v>
      </c>
      <c r="C62" s="123" t="s">
        <v>517</v>
      </c>
      <c r="D62" s="80">
        <v>0</v>
      </c>
      <c r="E62" s="80">
        <v>0</v>
      </c>
      <c r="F62" s="78"/>
    </row>
    <row r="63" spans="1:6" s="69" customFormat="1" ht="38.25" x14ac:dyDescent="0.25">
      <c r="A63" s="76">
        <v>2</v>
      </c>
      <c r="B63" s="77" t="s">
        <v>315</v>
      </c>
      <c r="C63" s="123" t="s">
        <v>316</v>
      </c>
      <c r="D63" s="80">
        <v>0</v>
      </c>
      <c r="E63" s="80">
        <v>0</v>
      </c>
      <c r="F63" s="78"/>
    </row>
    <row r="64" spans="1:6" s="69" customFormat="1" ht="25.5" x14ac:dyDescent="0.25">
      <c r="A64" s="76">
        <v>3</v>
      </c>
      <c r="B64" s="77" t="s">
        <v>317</v>
      </c>
      <c r="C64" s="123" t="s">
        <v>604</v>
      </c>
      <c r="D64" s="80">
        <v>0</v>
      </c>
      <c r="E64" s="80">
        <v>0</v>
      </c>
      <c r="F64" s="78"/>
    </row>
    <row r="65" spans="1:6" s="69" customFormat="1" ht="39" thickBot="1" x14ac:dyDescent="0.3">
      <c r="A65" s="76">
        <v>4</v>
      </c>
      <c r="B65" s="77" t="s">
        <v>318</v>
      </c>
      <c r="C65" s="123" t="s">
        <v>518</v>
      </c>
      <c r="D65" s="80">
        <v>0</v>
      </c>
      <c r="E65" s="80">
        <v>0</v>
      </c>
      <c r="F65" s="78"/>
    </row>
    <row r="66" spans="1:6" x14ac:dyDescent="0.25">
      <c r="A66" s="155" t="s">
        <v>74</v>
      </c>
      <c r="B66" s="155"/>
      <c r="C66" s="155"/>
      <c r="D66" s="116">
        <f>+SUM(D62:D65)/COUNTA(D62:D65)</f>
        <v>0</v>
      </c>
      <c r="E66" s="116">
        <f>+SUM(E62:E65)/COUNTA(E62:E65)</f>
        <v>0</v>
      </c>
      <c r="F66" s="68"/>
    </row>
    <row r="68" spans="1:6" ht="24" thickBot="1" x14ac:dyDescent="0.4">
      <c r="A68" s="21" t="s">
        <v>319</v>
      </c>
      <c r="B68" s="47" t="s">
        <v>320</v>
      </c>
      <c r="C68" s="66"/>
      <c r="F68" s="68"/>
    </row>
    <row r="69" spans="1:6" x14ac:dyDescent="0.25">
      <c r="A69" s="153" t="s">
        <v>60</v>
      </c>
      <c r="B69" s="154"/>
      <c r="C69" s="83" t="s">
        <v>61</v>
      </c>
      <c r="D69" s="114" t="s">
        <v>454</v>
      </c>
      <c r="E69" s="114" t="s">
        <v>454</v>
      </c>
      <c r="F69" s="115" t="s">
        <v>453</v>
      </c>
    </row>
    <row r="70" spans="1:6" s="69" customFormat="1" ht="76.5" x14ac:dyDescent="0.25">
      <c r="A70" s="76">
        <v>1</v>
      </c>
      <c r="B70" s="77" t="s">
        <v>321</v>
      </c>
      <c r="C70" s="123" t="s">
        <v>605</v>
      </c>
      <c r="D70" s="80">
        <v>0</v>
      </c>
      <c r="E70" s="80">
        <v>0</v>
      </c>
      <c r="F70" s="78"/>
    </row>
    <row r="71" spans="1:6" s="69" customFormat="1" ht="25.5" x14ac:dyDescent="0.25">
      <c r="A71" s="76">
        <v>2</v>
      </c>
      <c r="B71" s="77" t="s">
        <v>322</v>
      </c>
      <c r="C71" s="123" t="s">
        <v>606</v>
      </c>
      <c r="D71" s="80">
        <v>0</v>
      </c>
      <c r="E71" s="80">
        <v>0</v>
      </c>
      <c r="F71" s="78"/>
    </row>
    <row r="72" spans="1:6" s="69" customFormat="1" ht="51.75" thickBot="1" x14ac:dyDescent="0.3">
      <c r="A72" s="76">
        <v>3</v>
      </c>
      <c r="B72" s="77" t="s">
        <v>323</v>
      </c>
      <c r="C72" s="123" t="s">
        <v>519</v>
      </c>
      <c r="D72" s="80">
        <v>0</v>
      </c>
      <c r="E72" s="80">
        <v>0</v>
      </c>
      <c r="F72" s="78"/>
    </row>
    <row r="73" spans="1:6" x14ac:dyDescent="0.25">
      <c r="A73" s="155" t="s">
        <v>74</v>
      </c>
      <c r="B73" s="155"/>
      <c r="C73" s="155"/>
      <c r="D73" s="116">
        <f>+SUM(D70:D72)/COUNTA(D70:D72)</f>
        <v>0</v>
      </c>
      <c r="E73" s="116">
        <f>+SUM(E70:E72)/COUNTA(E70:E72)</f>
        <v>0</v>
      </c>
      <c r="F73" s="68"/>
    </row>
    <row r="75" spans="1:6" ht="24" thickBot="1" x14ac:dyDescent="0.4">
      <c r="A75" s="21" t="s">
        <v>324</v>
      </c>
      <c r="B75" s="47" t="s">
        <v>325</v>
      </c>
      <c r="C75" s="66"/>
      <c r="F75" s="68"/>
    </row>
    <row r="76" spans="1:6" x14ac:dyDescent="0.25">
      <c r="A76" s="153" t="s">
        <v>60</v>
      </c>
      <c r="B76" s="154"/>
      <c r="C76" s="83" t="s">
        <v>61</v>
      </c>
      <c r="D76" s="114" t="s">
        <v>454</v>
      </c>
      <c r="E76" s="114" t="s">
        <v>454</v>
      </c>
      <c r="F76" s="115" t="s">
        <v>453</v>
      </c>
    </row>
    <row r="77" spans="1:6" s="69" customFormat="1" ht="38.25" x14ac:dyDescent="0.25">
      <c r="A77" s="76">
        <v>1</v>
      </c>
      <c r="B77" s="77" t="s">
        <v>326</v>
      </c>
      <c r="C77" s="123" t="s">
        <v>607</v>
      </c>
      <c r="D77" s="80">
        <v>0</v>
      </c>
      <c r="E77" s="80">
        <v>0</v>
      </c>
      <c r="F77" s="78"/>
    </row>
    <row r="78" spans="1:6" s="69" customFormat="1" ht="38.25" x14ac:dyDescent="0.25">
      <c r="A78" s="76">
        <v>2</v>
      </c>
      <c r="B78" s="77" t="s">
        <v>327</v>
      </c>
      <c r="C78" s="123" t="s">
        <v>608</v>
      </c>
      <c r="D78" s="80">
        <v>0</v>
      </c>
      <c r="E78" s="80">
        <v>0</v>
      </c>
      <c r="F78" s="78"/>
    </row>
    <row r="79" spans="1:6" s="69" customFormat="1" ht="38.25" x14ac:dyDescent="0.25">
      <c r="A79" s="76">
        <v>3</v>
      </c>
      <c r="B79" s="77" t="s">
        <v>328</v>
      </c>
      <c r="C79" s="123" t="s">
        <v>609</v>
      </c>
      <c r="D79" s="80">
        <v>0</v>
      </c>
      <c r="E79" s="80">
        <v>0</v>
      </c>
      <c r="F79" s="78"/>
    </row>
    <row r="80" spans="1:6" s="69" customFormat="1" ht="38.25" x14ac:dyDescent="0.25">
      <c r="A80" s="76">
        <v>4</v>
      </c>
      <c r="B80" s="77" t="s">
        <v>329</v>
      </c>
      <c r="C80" s="123" t="s">
        <v>610</v>
      </c>
      <c r="D80" s="80">
        <v>0</v>
      </c>
      <c r="E80" s="80">
        <v>0</v>
      </c>
      <c r="F80" s="78"/>
    </row>
    <row r="81" spans="1:6" s="69" customFormat="1" ht="39" thickBot="1" x14ac:dyDescent="0.3">
      <c r="A81" s="76">
        <v>5</v>
      </c>
      <c r="B81" s="77" t="s">
        <v>330</v>
      </c>
      <c r="C81" s="123" t="s">
        <v>520</v>
      </c>
      <c r="D81" s="80">
        <v>0</v>
      </c>
      <c r="E81" s="80">
        <v>0</v>
      </c>
      <c r="F81" s="78"/>
    </row>
    <row r="82" spans="1:6" x14ac:dyDescent="0.25">
      <c r="A82" s="155" t="s">
        <v>74</v>
      </c>
      <c r="B82" s="155"/>
      <c r="C82" s="156"/>
      <c r="D82" s="116">
        <f>+SUM(D77:D81)/COUNTA(D77:D81)</f>
        <v>0</v>
      </c>
      <c r="E82" s="116">
        <f>+SUM(E77:E81)/COUNTA(E77:E81)</f>
        <v>0</v>
      </c>
      <c r="F82" s="68"/>
    </row>
    <row r="84" spans="1:6" ht="24" thickBot="1" x14ac:dyDescent="0.4">
      <c r="A84" s="21" t="s">
        <v>331</v>
      </c>
      <c r="B84" s="47" t="s">
        <v>332</v>
      </c>
      <c r="C84" s="66"/>
      <c r="F84" s="68"/>
    </row>
    <row r="85" spans="1:6" x14ac:dyDescent="0.25">
      <c r="A85" s="153" t="s">
        <v>60</v>
      </c>
      <c r="B85" s="154"/>
      <c r="C85" s="83" t="s">
        <v>61</v>
      </c>
      <c r="D85" s="114" t="s">
        <v>454</v>
      </c>
      <c r="E85" s="114" t="s">
        <v>454</v>
      </c>
      <c r="F85" s="115" t="s">
        <v>453</v>
      </c>
    </row>
    <row r="86" spans="1:6" s="69" customFormat="1" ht="63.75" x14ac:dyDescent="0.25">
      <c r="A86" s="76">
        <v>1</v>
      </c>
      <c r="B86" s="77" t="s">
        <v>333</v>
      </c>
      <c r="C86" s="123" t="s">
        <v>521</v>
      </c>
      <c r="D86" s="80">
        <v>0</v>
      </c>
      <c r="E86" s="80">
        <v>0</v>
      </c>
      <c r="F86" s="78"/>
    </row>
    <row r="87" spans="1:6" s="69" customFormat="1" ht="38.25" x14ac:dyDescent="0.25">
      <c r="A87" s="76">
        <v>2</v>
      </c>
      <c r="B87" s="77" t="s">
        <v>334</v>
      </c>
      <c r="C87" s="123" t="s">
        <v>335</v>
      </c>
      <c r="D87" s="80">
        <v>0</v>
      </c>
      <c r="E87" s="80">
        <v>0</v>
      </c>
      <c r="F87" s="78"/>
    </row>
    <row r="88" spans="1:6" s="69" customFormat="1" ht="51.75" thickBot="1" x14ac:dyDescent="0.3">
      <c r="A88" s="76">
        <v>3</v>
      </c>
      <c r="B88" s="77" t="s">
        <v>336</v>
      </c>
      <c r="C88" s="123" t="s">
        <v>522</v>
      </c>
      <c r="D88" s="80">
        <v>0</v>
      </c>
      <c r="E88" s="80">
        <v>0</v>
      </c>
      <c r="F88" s="78"/>
    </row>
    <row r="89" spans="1:6" x14ac:dyDescent="0.25">
      <c r="A89" s="155" t="s">
        <v>74</v>
      </c>
      <c r="B89" s="155"/>
      <c r="C89" s="156"/>
      <c r="D89" s="116">
        <f>+SUM(D86:D88)/COUNTA(D86:D88)</f>
        <v>0</v>
      </c>
      <c r="E89" s="116">
        <f>+SUM(E86:E88)/COUNTA(E86:E88)</f>
        <v>0</v>
      </c>
      <c r="F89" s="57"/>
    </row>
    <row r="91" spans="1:6" ht="24" thickBot="1" x14ac:dyDescent="0.4">
      <c r="A91" s="21" t="s">
        <v>337</v>
      </c>
      <c r="B91" s="47" t="s">
        <v>338</v>
      </c>
      <c r="C91" s="66"/>
      <c r="F91" s="68"/>
    </row>
    <row r="92" spans="1:6" x14ac:dyDescent="0.25">
      <c r="A92" s="153" t="s">
        <v>60</v>
      </c>
      <c r="B92" s="154"/>
      <c r="C92" s="83" t="s">
        <v>61</v>
      </c>
      <c r="D92" s="114" t="s">
        <v>454</v>
      </c>
      <c r="E92" s="114" t="s">
        <v>454</v>
      </c>
      <c r="F92" s="115" t="s">
        <v>453</v>
      </c>
    </row>
    <row r="93" spans="1:6" s="69" customFormat="1" ht="38.25" x14ac:dyDescent="0.25">
      <c r="A93" s="76">
        <v>1</v>
      </c>
      <c r="B93" s="77" t="s">
        <v>339</v>
      </c>
      <c r="C93" s="123" t="s">
        <v>611</v>
      </c>
      <c r="D93" s="80">
        <v>0</v>
      </c>
      <c r="E93" s="80">
        <v>0</v>
      </c>
      <c r="F93" s="78"/>
    </row>
    <row r="94" spans="1:6" s="69" customFormat="1" ht="77.25" thickBot="1" x14ac:dyDescent="0.3">
      <c r="A94" s="76">
        <v>2</v>
      </c>
      <c r="B94" s="77" t="s">
        <v>340</v>
      </c>
      <c r="C94" s="123" t="s">
        <v>523</v>
      </c>
      <c r="D94" s="80">
        <v>0</v>
      </c>
      <c r="E94" s="80">
        <v>0</v>
      </c>
      <c r="F94" s="78"/>
    </row>
    <row r="95" spans="1:6" x14ac:dyDescent="0.25">
      <c r="A95" s="155" t="s">
        <v>74</v>
      </c>
      <c r="B95" s="155"/>
      <c r="C95" s="155"/>
      <c r="D95" s="116">
        <f>+SUM(D93:D94)/COUNTA(D93:D94)</f>
        <v>0</v>
      </c>
      <c r="E95" s="116">
        <f>+SUM(E93:E94)/COUNTA(E93:E94)</f>
        <v>0</v>
      </c>
      <c r="F95" s="68"/>
    </row>
    <row r="97" spans="1:6" ht="24" thickBot="1" x14ac:dyDescent="0.4">
      <c r="A97" s="21" t="s">
        <v>341</v>
      </c>
      <c r="B97" s="47" t="s">
        <v>342</v>
      </c>
      <c r="C97" s="66"/>
      <c r="F97" s="68"/>
    </row>
    <row r="98" spans="1:6" x14ac:dyDescent="0.25">
      <c r="A98" s="153" t="s">
        <v>60</v>
      </c>
      <c r="B98" s="154"/>
      <c r="C98" s="83" t="s">
        <v>61</v>
      </c>
      <c r="D98" s="114" t="s">
        <v>454</v>
      </c>
      <c r="E98" s="114" t="s">
        <v>454</v>
      </c>
      <c r="F98" s="115" t="s">
        <v>453</v>
      </c>
    </row>
    <row r="99" spans="1:6" s="69" customFormat="1" ht="38.25" x14ac:dyDescent="0.25">
      <c r="A99" s="76">
        <v>1</v>
      </c>
      <c r="B99" s="77" t="s">
        <v>343</v>
      </c>
      <c r="C99" s="123" t="s">
        <v>524</v>
      </c>
      <c r="D99" s="80">
        <v>0</v>
      </c>
      <c r="E99" s="80">
        <v>0</v>
      </c>
      <c r="F99" s="78"/>
    </row>
    <row r="100" spans="1:6" s="69" customFormat="1" ht="38.25" x14ac:dyDescent="0.25">
      <c r="A100" s="76">
        <v>2</v>
      </c>
      <c r="B100" s="77" t="s">
        <v>344</v>
      </c>
      <c r="C100" s="123" t="s">
        <v>525</v>
      </c>
      <c r="D100" s="80">
        <v>0</v>
      </c>
      <c r="E100" s="80">
        <v>0</v>
      </c>
      <c r="F100" s="78"/>
    </row>
    <row r="101" spans="1:6" s="69" customFormat="1" ht="25.5" x14ac:dyDescent="0.25">
      <c r="A101" s="76">
        <v>3</v>
      </c>
      <c r="B101" s="77" t="s">
        <v>345</v>
      </c>
      <c r="C101" s="123" t="s">
        <v>346</v>
      </c>
      <c r="D101" s="80">
        <v>0</v>
      </c>
      <c r="E101" s="80">
        <v>0</v>
      </c>
      <c r="F101" s="78"/>
    </row>
    <row r="102" spans="1:6" s="69" customFormat="1" ht="38.25" x14ac:dyDescent="0.25">
      <c r="A102" s="76">
        <v>4</v>
      </c>
      <c r="B102" s="77" t="s">
        <v>347</v>
      </c>
      <c r="C102" s="123" t="s">
        <v>526</v>
      </c>
      <c r="D102" s="80">
        <v>0</v>
      </c>
      <c r="E102" s="80">
        <v>0</v>
      </c>
      <c r="F102" s="78"/>
    </row>
    <row r="103" spans="1:6" s="69" customFormat="1" ht="38.25" x14ac:dyDescent="0.25">
      <c r="A103" s="76">
        <v>5</v>
      </c>
      <c r="B103" s="77" t="s">
        <v>348</v>
      </c>
      <c r="C103" s="123" t="s">
        <v>527</v>
      </c>
      <c r="D103" s="80">
        <v>0</v>
      </c>
      <c r="E103" s="80">
        <v>0</v>
      </c>
      <c r="F103" s="78"/>
    </row>
    <row r="104" spans="1:6" s="69" customFormat="1" ht="39" thickBot="1" x14ac:dyDescent="0.3">
      <c r="A104" s="76">
        <v>6</v>
      </c>
      <c r="B104" s="77" t="s">
        <v>349</v>
      </c>
      <c r="C104" s="123" t="s">
        <v>528</v>
      </c>
      <c r="D104" s="80">
        <v>0</v>
      </c>
      <c r="E104" s="80">
        <v>0</v>
      </c>
      <c r="F104" s="78"/>
    </row>
    <row r="105" spans="1:6" x14ac:dyDescent="0.25">
      <c r="A105" s="155" t="s">
        <v>74</v>
      </c>
      <c r="B105" s="155"/>
      <c r="C105" s="155"/>
      <c r="D105" s="116">
        <f>+SUM(D99:D104)/COUNTA(D99:D104)</f>
        <v>0</v>
      </c>
      <c r="E105" s="116">
        <f>+SUM(E99:E104)/COUNTA(E99:E104)</f>
        <v>0</v>
      </c>
      <c r="F105" s="68"/>
    </row>
    <row r="107" spans="1:6" ht="24" thickBot="1" x14ac:dyDescent="0.4">
      <c r="A107" s="21" t="s">
        <v>350</v>
      </c>
      <c r="B107" s="47" t="s">
        <v>351</v>
      </c>
      <c r="C107" s="66"/>
      <c r="F107" s="68"/>
    </row>
    <row r="108" spans="1:6" x14ac:dyDescent="0.25">
      <c r="A108" s="153" t="s">
        <v>60</v>
      </c>
      <c r="B108" s="154"/>
      <c r="C108" s="83" t="s">
        <v>61</v>
      </c>
      <c r="D108" s="114" t="s">
        <v>454</v>
      </c>
      <c r="E108" s="114" t="s">
        <v>454</v>
      </c>
      <c r="F108" s="115" t="s">
        <v>453</v>
      </c>
    </row>
    <row r="109" spans="1:6" s="69" customFormat="1" ht="63.75" x14ac:dyDescent="0.25">
      <c r="A109" s="76">
        <v>1</v>
      </c>
      <c r="B109" s="77" t="s">
        <v>352</v>
      </c>
      <c r="C109" s="123" t="s">
        <v>529</v>
      </c>
      <c r="D109" s="80">
        <v>0</v>
      </c>
      <c r="E109" s="80">
        <v>0</v>
      </c>
      <c r="F109" s="78"/>
    </row>
    <row r="110" spans="1:6" s="69" customFormat="1" ht="63.75" x14ac:dyDescent="0.25">
      <c r="A110" s="76">
        <v>2</v>
      </c>
      <c r="B110" s="77" t="s">
        <v>353</v>
      </c>
      <c r="C110" s="123" t="s">
        <v>354</v>
      </c>
      <c r="D110" s="80">
        <v>0</v>
      </c>
      <c r="E110" s="80">
        <v>0</v>
      </c>
      <c r="F110" s="78"/>
    </row>
    <row r="111" spans="1:6" s="69" customFormat="1" ht="25.5" x14ac:dyDescent="0.25">
      <c r="A111" s="76">
        <v>3</v>
      </c>
      <c r="B111" s="77" t="s">
        <v>355</v>
      </c>
      <c r="C111" s="123" t="s">
        <v>612</v>
      </c>
      <c r="D111" s="80">
        <v>0</v>
      </c>
      <c r="E111" s="80">
        <v>0</v>
      </c>
      <c r="F111" s="78"/>
    </row>
    <row r="112" spans="1:6" s="69" customFormat="1" ht="25.5" x14ac:dyDescent="0.25">
      <c r="A112" s="76">
        <v>4</v>
      </c>
      <c r="B112" s="77" t="s">
        <v>356</v>
      </c>
      <c r="C112" s="123" t="s">
        <v>530</v>
      </c>
      <c r="D112" s="80">
        <v>0</v>
      </c>
      <c r="E112" s="80">
        <v>0</v>
      </c>
      <c r="F112" s="78"/>
    </row>
    <row r="113" spans="1:6" s="69" customFormat="1" ht="39" thickBot="1" x14ac:dyDescent="0.3">
      <c r="A113" s="76">
        <v>5</v>
      </c>
      <c r="B113" s="77" t="s">
        <v>357</v>
      </c>
      <c r="C113" s="123" t="s">
        <v>531</v>
      </c>
      <c r="D113" s="80">
        <v>0</v>
      </c>
      <c r="E113" s="80">
        <v>0</v>
      </c>
      <c r="F113" s="78"/>
    </row>
    <row r="114" spans="1:6" x14ac:dyDescent="0.25">
      <c r="A114" s="155" t="s">
        <v>74</v>
      </c>
      <c r="B114" s="155"/>
      <c r="C114" s="155"/>
      <c r="D114" s="116">
        <f>+SUM(D109:D113)/COUNTA(D109:D113)</f>
        <v>0</v>
      </c>
      <c r="E114" s="116">
        <f>+SUM(E109:E113)/COUNTA(E109:E113)</f>
        <v>0</v>
      </c>
      <c r="F114" s="68"/>
    </row>
    <row r="116" spans="1:6" ht="24" thickBot="1" x14ac:dyDescent="0.4">
      <c r="A116" s="21" t="s">
        <v>358</v>
      </c>
      <c r="B116" s="47" t="s">
        <v>359</v>
      </c>
      <c r="C116" s="66"/>
      <c r="F116" s="68"/>
    </row>
    <row r="117" spans="1:6" x14ac:dyDescent="0.25">
      <c r="A117" s="153" t="s">
        <v>60</v>
      </c>
      <c r="B117" s="154"/>
      <c r="C117" s="83" t="s">
        <v>61</v>
      </c>
      <c r="D117" s="114" t="s">
        <v>454</v>
      </c>
      <c r="E117" s="114" t="s">
        <v>454</v>
      </c>
      <c r="F117" s="115" t="s">
        <v>453</v>
      </c>
    </row>
    <row r="118" spans="1:6" s="69" customFormat="1" ht="38.25" x14ac:dyDescent="0.25">
      <c r="A118" s="76">
        <v>1</v>
      </c>
      <c r="B118" s="77" t="s">
        <v>360</v>
      </c>
      <c r="C118" s="123" t="s">
        <v>613</v>
      </c>
      <c r="D118" s="80">
        <v>0</v>
      </c>
      <c r="E118" s="80">
        <v>0</v>
      </c>
      <c r="F118" s="78" t="s">
        <v>3</v>
      </c>
    </row>
    <row r="119" spans="1:6" s="69" customFormat="1" ht="25.5" x14ac:dyDescent="0.25">
      <c r="A119" s="76">
        <v>2</v>
      </c>
      <c r="B119" s="77" t="s">
        <v>361</v>
      </c>
      <c r="C119" s="123" t="s">
        <v>532</v>
      </c>
      <c r="D119" s="80">
        <v>0</v>
      </c>
      <c r="E119" s="80">
        <v>0</v>
      </c>
      <c r="F119" s="78"/>
    </row>
    <row r="120" spans="1:6" s="69" customFormat="1" ht="51" x14ac:dyDescent="0.25">
      <c r="A120" s="76">
        <v>3</v>
      </c>
      <c r="B120" s="77" t="s">
        <v>362</v>
      </c>
      <c r="C120" s="123" t="s">
        <v>533</v>
      </c>
      <c r="D120" s="80">
        <v>0</v>
      </c>
      <c r="E120" s="80">
        <v>0</v>
      </c>
      <c r="F120" s="78" t="s">
        <v>3</v>
      </c>
    </row>
    <row r="121" spans="1:6" s="69" customFormat="1" ht="38.25" x14ac:dyDescent="0.25">
      <c r="A121" s="76">
        <v>4</v>
      </c>
      <c r="B121" s="77" t="s">
        <v>363</v>
      </c>
      <c r="C121" s="123" t="s">
        <v>534</v>
      </c>
      <c r="D121" s="80">
        <v>0</v>
      </c>
      <c r="E121" s="80">
        <v>0</v>
      </c>
      <c r="F121" s="78"/>
    </row>
    <row r="122" spans="1:6" s="69" customFormat="1" ht="26.25" thickBot="1" x14ac:dyDescent="0.3">
      <c r="A122" s="76">
        <v>5</v>
      </c>
      <c r="B122" s="77" t="s">
        <v>364</v>
      </c>
      <c r="C122" s="123" t="s">
        <v>535</v>
      </c>
      <c r="D122" s="80">
        <v>0</v>
      </c>
      <c r="E122" s="80">
        <v>0</v>
      </c>
      <c r="F122" s="78"/>
    </row>
    <row r="123" spans="1:6" x14ac:dyDescent="0.25">
      <c r="A123" s="155" t="s">
        <v>74</v>
      </c>
      <c r="B123" s="155"/>
      <c r="C123" s="155"/>
      <c r="D123" s="116">
        <f>+SUM(D118:D122)/COUNTA(D118:D122)</f>
        <v>0</v>
      </c>
      <c r="E123" s="116">
        <f>+SUM(E118:E122)/COUNTA(E118:E122)</f>
        <v>0</v>
      </c>
      <c r="F123" s="68"/>
    </row>
  </sheetData>
  <sheetProtection algorithmName="SHA-512" hashValue="mLPli/mUvED4sqMSYFRaxvZoJGHycn3xXhFgvatgkT1LZJwjkiyWDwN88DRVbpOgMOfdPh02wkKb53dEXYrpYw==" saltValue="I2I9dM8HLcPcOp7Bif08DA==" spinCount="100000" sheet="1" objects="1" scenarios="1" selectLockedCells="1"/>
  <mergeCells count="26">
    <mergeCell ref="A29:C29"/>
    <mergeCell ref="A5:B5"/>
    <mergeCell ref="A12:C12"/>
    <mergeCell ref="A15:B15"/>
    <mergeCell ref="A20:C20"/>
    <mergeCell ref="A23:B23"/>
    <mergeCell ref="A89:C89"/>
    <mergeCell ref="A32:B32"/>
    <mergeCell ref="A43:C43"/>
    <mergeCell ref="A46:B46"/>
    <mergeCell ref="A58:C58"/>
    <mergeCell ref="A61:B61"/>
    <mergeCell ref="A66:C66"/>
    <mergeCell ref="A69:B69"/>
    <mergeCell ref="A73:C73"/>
    <mergeCell ref="A76:B76"/>
    <mergeCell ref="A82:C82"/>
    <mergeCell ref="A85:B85"/>
    <mergeCell ref="A117:B117"/>
    <mergeCell ref="A123:C123"/>
    <mergeCell ref="A92:B92"/>
    <mergeCell ref="A95:C95"/>
    <mergeCell ref="A98:B98"/>
    <mergeCell ref="A105:C105"/>
    <mergeCell ref="A108:B108"/>
    <mergeCell ref="A114:C114"/>
  </mergeCells>
  <dataValidations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6:E19 D24:E28 D33:E42 D47:E57 D62:E65 D70:E72 D77:E81 D86:E88 D93:E94 D99:E104 D109:E113 D118:E122 D6:E11">
      <formula1>0</formula1>
      <formula2>5</formula2>
    </dataValidation>
  </dataValidation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4"/>
  <sheetViews>
    <sheetView showGridLines="0" showRowColHeaders="0" zoomScale="80" zoomScaleNormal="80" workbookViewId="0">
      <selection activeCell="E2" sqref="E2"/>
    </sheetView>
  </sheetViews>
  <sheetFormatPr defaultRowHeight="15" x14ac:dyDescent="0.25"/>
  <cols>
    <col min="1" max="1" width="14.85546875" customWidth="1"/>
    <col min="2" max="2" width="24.28515625" style="24" customWidth="1"/>
    <col min="3" max="3" width="97.85546875" style="23" customWidth="1"/>
    <col min="4" max="5" width="13" style="55" customWidth="1"/>
    <col min="6" max="6" width="74.7109375" style="56" customWidth="1"/>
    <col min="7" max="7" width="0" hidden="1" customWidth="1"/>
  </cols>
  <sheetData>
    <row r="1" spans="1:8" ht="26.25" x14ac:dyDescent="0.4">
      <c r="A1" s="22"/>
      <c r="B1" s="25"/>
      <c r="C1" s="66"/>
      <c r="F1" s="68"/>
      <c r="G1" s="69"/>
    </row>
    <row r="2" spans="1:8" ht="26.25" x14ac:dyDescent="0.4">
      <c r="A2" s="22"/>
      <c r="B2" s="25"/>
      <c r="C2" s="66"/>
      <c r="D2" s="55" t="s">
        <v>3</v>
      </c>
      <c r="E2" s="55" t="s">
        <v>3</v>
      </c>
      <c r="F2" s="75" t="s">
        <v>258</v>
      </c>
      <c r="G2" s="82">
        <v>0</v>
      </c>
      <c r="H2" s="82"/>
    </row>
    <row r="3" spans="1:8" s="69" customFormat="1" ht="26.25" x14ac:dyDescent="0.4">
      <c r="A3" s="22"/>
      <c r="B3" s="25"/>
      <c r="C3" s="66"/>
      <c r="D3" s="55"/>
      <c r="E3" s="55"/>
      <c r="F3" s="75"/>
      <c r="G3" s="82"/>
      <c r="H3" s="82"/>
    </row>
    <row r="4" spans="1:8" s="69" customFormat="1" ht="27" thickBot="1" x14ac:dyDescent="0.45">
      <c r="A4" s="22"/>
      <c r="B4" s="25"/>
      <c r="C4" s="66"/>
      <c r="D4" s="55"/>
      <c r="E4" s="55"/>
      <c r="F4" s="75"/>
      <c r="G4" s="82"/>
      <c r="H4" s="82"/>
    </row>
    <row r="5" spans="1:8" ht="24" thickBot="1" x14ac:dyDescent="0.4">
      <c r="A5" s="21" t="s">
        <v>365</v>
      </c>
      <c r="B5" s="47" t="s">
        <v>366</v>
      </c>
      <c r="C5" s="66"/>
      <c r="D5" s="117" t="s">
        <v>546</v>
      </c>
      <c r="E5" s="117" t="s">
        <v>547</v>
      </c>
      <c r="F5" s="68"/>
      <c r="G5" s="69">
        <v>1</v>
      </c>
    </row>
    <row r="6" spans="1:8" x14ac:dyDescent="0.25">
      <c r="A6" s="157" t="s">
        <v>60</v>
      </c>
      <c r="B6" s="158"/>
      <c r="C6" s="85" t="s">
        <v>61</v>
      </c>
      <c r="D6" s="117" t="s">
        <v>454</v>
      </c>
      <c r="E6" s="117" t="s">
        <v>454</v>
      </c>
      <c r="F6" s="118" t="s">
        <v>453</v>
      </c>
      <c r="G6" s="69">
        <v>2</v>
      </c>
    </row>
    <row r="7" spans="1:8" s="69" customFormat="1" ht="38.25" x14ac:dyDescent="0.25">
      <c r="A7" s="76">
        <v>1</v>
      </c>
      <c r="B7" s="77" t="s">
        <v>367</v>
      </c>
      <c r="C7" s="123" t="s">
        <v>536</v>
      </c>
      <c r="D7" s="80">
        <v>0</v>
      </c>
      <c r="E7" s="80">
        <v>0</v>
      </c>
      <c r="F7" s="78"/>
      <c r="G7" s="69">
        <v>3</v>
      </c>
    </row>
    <row r="8" spans="1:8" s="69" customFormat="1" ht="25.5" x14ac:dyDescent="0.25">
      <c r="A8" s="76">
        <v>2</v>
      </c>
      <c r="B8" s="77" t="s">
        <v>368</v>
      </c>
      <c r="C8" s="123" t="s">
        <v>614</v>
      </c>
      <c r="D8" s="80">
        <v>0</v>
      </c>
      <c r="E8" s="80">
        <v>0</v>
      </c>
      <c r="F8" s="78"/>
      <c r="G8" s="69">
        <v>4</v>
      </c>
    </row>
    <row r="9" spans="1:8" s="69" customFormat="1" ht="38.25" x14ac:dyDescent="0.25">
      <c r="A9" s="76">
        <v>3</v>
      </c>
      <c r="B9" s="77" t="s">
        <v>369</v>
      </c>
      <c r="C9" s="123" t="s">
        <v>537</v>
      </c>
      <c r="D9" s="80">
        <v>0</v>
      </c>
      <c r="E9" s="80">
        <v>0</v>
      </c>
      <c r="F9" s="78"/>
      <c r="G9" s="69">
        <v>5</v>
      </c>
    </row>
    <row r="10" spans="1:8" s="69" customFormat="1" ht="25.5" x14ac:dyDescent="0.25">
      <c r="A10" s="76">
        <v>4</v>
      </c>
      <c r="B10" s="77" t="s">
        <v>370</v>
      </c>
      <c r="C10" s="123" t="s">
        <v>371</v>
      </c>
      <c r="D10" s="80">
        <v>0</v>
      </c>
      <c r="E10" s="80">
        <v>0</v>
      </c>
      <c r="F10" s="78"/>
    </row>
    <row r="11" spans="1:8" s="69" customFormat="1" ht="38.25" x14ac:dyDescent="0.25">
      <c r="A11" s="76">
        <v>5</v>
      </c>
      <c r="B11" s="77" t="s">
        <v>372</v>
      </c>
      <c r="C11" s="123" t="s">
        <v>615</v>
      </c>
      <c r="D11" s="80">
        <v>0</v>
      </c>
      <c r="E11" s="80">
        <v>0</v>
      </c>
      <c r="F11" s="78"/>
    </row>
    <row r="12" spans="1:8" s="69" customFormat="1" ht="64.5" thickBot="1" x14ac:dyDescent="0.3">
      <c r="A12" s="76">
        <v>6</v>
      </c>
      <c r="B12" s="77" t="s">
        <v>373</v>
      </c>
      <c r="C12" s="123" t="s">
        <v>374</v>
      </c>
      <c r="D12" s="80">
        <v>0</v>
      </c>
      <c r="E12" s="80">
        <v>0</v>
      </c>
      <c r="F12" s="78"/>
    </row>
    <row r="13" spans="1:8" x14ac:dyDescent="0.25">
      <c r="A13" s="159" t="s">
        <v>74</v>
      </c>
      <c r="B13" s="159"/>
      <c r="C13" s="159"/>
      <c r="D13" s="119">
        <f>+SUM(D7:D12)/COUNTA(D7:D12)</f>
        <v>0</v>
      </c>
      <c r="E13" s="119">
        <f>+SUM(E7:E12)/COUNTA(E7:E12)</f>
        <v>0</v>
      </c>
      <c r="F13" s="68"/>
      <c r="G13" s="69"/>
    </row>
    <row r="15" spans="1:8" ht="27" thickBot="1" x14ac:dyDescent="0.45">
      <c r="A15" s="21" t="s">
        <v>375</v>
      </c>
      <c r="B15" s="46" t="s">
        <v>376</v>
      </c>
      <c r="C15" s="66"/>
      <c r="F15" s="68"/>
      <c r="G15" s="69"/>
    </row>
    <row r="16" spans="1:8" x14ac:dyDescent="0.25">
      <c r="A16" s="157" t="s">
        <v>60</v>
      </c>
      <c r="B16" s="158"/>
      <c r="C16" s="85" t="s">
        <v>61</v>
      </c>
      <c r="D16" s="117" t="s">
        <v>454</v>
      </c>
      <c r="E16" s="117" t="s">
        <v>454</v>
      </c>
      <c r="F16" s="118" t="s">
        <v>453</v>
      </c>
      <c r="G16" s="69"/>
    </row>
    <row r="17" spans="1:6" s="69" customFormat="1" ht="25.5" x14ac:dyDescent="0.25">
      <c r="A17" s="76">
        <v>1</v>
      </c>
      <c r="B17" s="77" t="s">
        <v>377</v>
      </c>
      <c r="C17" s="123" t="s">
        <v>378</v>
      </c>
      <c r="D17" s="80">
        <v>0</v>
      </c>
      <c r="E17" s="80">
        <v>0</v>
      </c>
      <c r="F17" s="78"/>
    </row>
    <row r="18" spans="1:6" s="69" customFormat="1" x14ac:dyDescent="0.25">
      <c r="A18" s="76">
        <v>2</v>
      </c>
      <c r="B18" s="77" t="s">
        <v>379</v>
      </c>
      <c r="C18" s="123" t="s">
        <v>380</v>
      </c>
      <c r="D18" s="80">
        <v>0</v>
      </c>
      <c r="E18" s="80">
        <v>0</v>
      </c>
      <c r="F18" s="78"/>
    </row>
    <row r="19" spans="1:6" s="69" customFormat="1" ht="25.5" x14ac:dyDescent="0.25">
      <c r="A19" s="76">
        <v>3</v>
      </c>
      <c r="B19" s="77" t="s">
        <v>381</v>
      </c>
      <c r="C19" s="123" t="s">
        <v>382</v>
      </c>
      <c r="D19" s="80">
        <v>0</v>
      </c>
      <c r="E19" s="80">
        <v>0</v>
      </c>
      <c r="F19" s="78"/>
    </row>
    <row r="20" spans="1:6" s="69" customFormat="1" ht="25.5" x14ac:dyDescent="0.25">
      <c r="A20" s="76">
        <v>4</v>
      </c>
      <c r="B20" s="77" t="s">
        <v>383</v>
      </c>
      <c r="C20" s="123" t="s">
        <v>384</v>
      </c>
      <c r="D20" s="80">
        <v>0</v>
      </c>
      <c r="E20" s="80">
        <v>0</v>
      </c>
      <c r="F20" s="78"/>
    </row>
    <row r="21" spans="1:6" s="69" customFormat="1" ht="25.5" x14ac:dyDescent="0.25">
      <c r="A21" s="76">
        <v>5</v>
      </c>
      <c r="B21" s="77" t="s">
        <v>385</v>
      </c>
      <c r="C21" s="123" t="s">
        <v>386</v>
      </c>
      <c r="D21" s="80">
        <v>0</v>
      </c>
      <c r="E21" s="80">
        <v>0</v>
      </c>
      <c r="F21" s="78"/>
    </row>
    <row r="22" spans="1:6" s="69" customFormat="1" ht="25.5" x14ac:dyDescent="0.25">
      <c r="A22" s="76">
        <v>6</v>
      </c>
      <c r="B22" s="77" t="s">
        <v>387</v>
      </c>
      <c r="C22" s="123" t="s">
        <v>538</v>
      </c>
      <c r="D22" s="80">
        <v>0</v>
      </c>
      <c r="E22" s="80">
        <v>0</v>
      </c>
      <c r="F22" s="78"/>
    </row>
    <row r="23" spans="1:6" s="69" customFormat="1" ht="26.25" thickBot="1" x14ac:dyDescent="0.3">
      <c r="A23" s="76">
        <v>7</v>
      </c>
      <c r="B23" s="77" t="s">
        <v>373</v>
      </c>
      <c r="C23" s="123" t="s">
        <v>388</v>
      </c>
      <c r="D23" s="80">
        <v>0</v>
      </c>
      <c r="E23" s="80">
        <v>0</v>
      </c>
      <c r="F23" s="78"/>
    </row>
    <row r="24" spans="1:6" x14ac:dyDescent="0.25">
      <c r="A24" s="159" t="s">
        <v>74</v>
      </c>
      <c r="B24" s="159"/>
      <c r="C24" s="159"/>
      <c r="D24" s="119">
        <f>+SUM(D17:D23)/COUNTA(D17:D23)</f>
        <v>0</v>
      </c>
      <c r="E24" s="119">
        <f>+SUM(E17:E23)/COUNTA(E17:E23)</f>
        <v>0</v>
      </c>
      <c r="F24" s="68"/>
    </row>
    <row r="26" spans="1:6" ht="24" thickBot="1" x14ac:dyDescent="0.4">
      <c r="A26" s="21" t="s">
        <v>389</v>
      </c>
      <c r="B26" s="47" t="s">
        <v>390</v>
      </c>
      <c r="C26" s="66"/>
      <c r="F26" s="68"/>
    </row>
    <row r="27" spans="1:6" x14ac:dyDescent="0.25">
      <c r="A27" s="157" t="s">
        <v>60</v>
      </c>
      <c r="B27" s="158"/>
      <c r="C27" s="85" t="s">
        <v>61</v>
      </c>
      <c r="D27" s="117" t="s">
        <v>454</v>
      </c>
      <c r="E27" s="117" t="s">
        <v>454</v>
      </c>
      <c r="F27" s="118" t="s">
        <v>453</v>
      </c>
    </row>
    <row r="28" spans="1:6" s="69" customFormat="1" ht="51" x14ac:dyDescent="0.25">
      <c r="A28" s="76">
        <v>1</v>
      </c>
      <c r="B28" s="77" t="s">
        <v>391</v>
      </c>
      <c r="C28" s="123" t="s">
        <v>392</v>
      </c>
      <c r="D28" s="80">
        <v>0</v>
      </c>
      <c r="E28" s="80">
        <v>0</v>
      </c>
      <c r="F28" s="78"/>
    </row>
    <row r="29" spans="1:6" s="69" customFormat="1" ht="25.5" x14ac:dyDescent="0.25">
      <c r="A29" s="76">
        <v>2</v>
      </c>
      <c r="B29" s="77" t="s">
        <v>393</v>
      </c>
      <c r="C29" s="123" t="s">
        <v>394</v>
      </c>
      <c r="D29" s="80">
        <v>0</v>
      </c>
      <c r="E29" s="80">
        <v>0</v>
      </c>
      <c r="F29" s="78"/>
    </row>
    <row r="30" spans="1:6" s="69" customFormat="1" ht="25.5" x14ac:dyDescent="0.25">
      <c r="A30" s="76">
        <v>3</v>
      </c>
      <c r="B30" s="77" t="s">
        <v>395</v>
      </c>
      <c r="C30" s="123" t="s">
        <v>396</v>
      </c>
      <c r="D30" s="80">
        <v>0</v>
      </c>
      <c r="E30" s="80">
        <v>0</v>
      </c>
      <c r="F30" s="78"/>
    </row>
    <row r="31" spans="1:6" s="69" customFormat="1" ht="38.25" x14ac:dyDescent="0.25">
      <c r="A31" s="76">
        <v>4</v>
      </c>
      <c r="B31" s="77" t="s">
        <v>397</v>
      </c>
      <c r="C31" s="123" t="s">
        <v>398</v>
      </c>
      <c r="D31" s="80">
        <v>0</v>
      </c>
      <c r="E31" s="80">
        <v>0</v>
      </c>
      <c r="F31" s="78"/>
    </row>
    <row r="32" spans="1:6" s="69" customFormat="1" ht="26.25" thickBot="1" x14ac:dyDescent="0.3">
      <c r="A32" s="76">
        <v>5</v>
      </c>
      <c r="B32" s="77" t="s">
        <v>399</v>
      </c>
      <c r="C32" s="123" t="s">
        <v>400</v>
      </c>
      <c r="D32" s="80">
        <v>0</v>
      </c>
      <c r="E32" s="80">
        <v>0</v>
      </c>
      <c r="F32" s="78"/>
    </row>
    <row r="33" spans="1:6" x14ac:dyDescent="0.25">
      <c r="A33" s="159" t="s">
        <v>74</v>
      </c>
      <c r="B33" s="159"/>
      <c r="C33" s="159"/>
      <c r="D33" s="119">
        <f>+SUM(D28:D32)/COUNTA(D28:D32)</f>
        <v>0</v>
      </c>
      <c r="E33" s="119">
        <f>+SUM(E28:E32)/COUNTA(E28:E32)</f>
        <v>0</v>
      </c>
      <c r="F33" s="68"/>
    </row>
    <row r="34" spans="1:6" x14ac:dyDescent="0.25">
      <c r="D34" s="55">
        <v>3</v>
      </c>
      <c r="E34" s="55">
        <v>3</v>
      </c>
    </row>
    <row r="35" spans="1:6" ht="24" thickBot="1" x14ac:dyDescent="0.4">
      <c r="A35" s="21" t="s">
        <v>401</v>
      </c>
      <c r="B35" s="47" t="s">
        <v>402</v>
      </c>
      <c r="C35" s="66"/>
      <c r="F35" s="68"/>
    </row>
    <row r="36" spans="1:6" x14ac:dyDescent="0.25">
      <c r="A36" s="157" t="s">
        <v>60</v>
      </c>
      <c r="B36" s="158"/>
      <c r="C36" s="85" t="s">
        <v>61</v>
      </c>
      <c r="D36" s="117" t="s">
        <v>454</v>
      </c>
      <c r="E36" s="117" t="s">
        <v>454</v>
      </c>
      <c r="F36" s="118" t="s">
        <v>453</v>
      </c>
    </row>
    <row r="37" spans="1:6" s="69" customFormat="1" ht="38.25" x14ac:dyDescent="0.25">
      <c r="A37" s="76">
        <v>1</v>
      </c>
      <c r="B37" s="77" t="s">
        <v>403</v>
      </c>
      <c r="C37" s="123" t="s">
        <v>616</v>
      </c>
      <c r="D37" s="80">
        <v>0</v>
      </c>
      <c r="E37" s="80">
        <v>0</v>
      </c>
      <c r="F37" s="78"/>
    </row>
    <row r="38" spans="1:6" s="69" customFormat="1" ht="38.25" x14ac:dyDescent="0.25">
      <c r="A38" s="76">
        <v>2</v>
      </c>
      <c r="B38" s="77" t="s">
        <v>404</v>
      </c>
      <c r="C38" s="123" t="s">
        <v>617</v>
      </c>
      <c r="D38" s="80">
        <v>0</v>
      </c>
      <c r="E38" s="80">
        <v>0</v>
      </c>
      <c r="F38" s="78"/>
    </row>
    <row r="39" spans="1:6" s="69" customFormat="1" ht="63.75" x14ac:dyDescent="0.25">
      <c r="A39" s="76">
        <v>3</v>
      </c>
      <c r="B39" s="77" t="s">
        <v>405</v>
      </c>
      <c r="C39" s="123" t="s">
        <v>618</v>
      </c>
      <c r="D39" s="80">
        <v>0</v>
      </c>
      <c r="E39" s="80">
        <v>0</v>
      </c>
      <c r="F39" s="78"/>
    </row>
    <row r="40" spans="1:6" s="69" customFormat="1" ht="38.25" x14ac:dyDescent="0.25">
      <c r="A40" s="76">
        <v>4</v>
      </c>
      <c r="B40" s="77" t="s">
        <v>406</v>
      </c>
      <c r="C40" s="123" t="s">
        <v>539</v>
      </c>
      <c r="D40" s="80">
        <v>0</v>
      </c>
      <c r="E40" s="80">
        <v>0</v>
      </c>
      <c r="F40" s="78"/>
    </row>
    <row r="41" spans="1:6" s="69" customFormat="1" ht="38.25" x14ac:dyDescent="0.25">
      <c r="A41" s="76">
        <v>5</v>
      </c>
      <c r="B41" s="77" t="s">
        <v>407</v>
      </c>
      <c r="C41" s="123" t="s">
        <v>619</v>
      </c>
      <c r="D41" s="80">
        <v>0</v>
      </c>
      <c r="E41" s="80">
        <v>0</v>
      </c>
      <c r="F41" s="78"/>
    </row>
    <row r="42" spans="1:6" s="69" customFormat="1" ht="25.5" x14ac:dyDescent="0.25">
      <c r="A42" s="76">
        <v>6</v>
      </c>
      <c r="B42" s="77" t="s">
        <v>408</v>
      </c>
      <c r="C42" s="123" t="s">
        <v>620</v>
      </c>
      <c r="D42" s="80">
        <v>0</v>
      </c>
      <c r="E42" s="80">
        <v>0</v>
      </c>
      <c r="F42" s="78"/>
    </row>
    <row r="43" spans="1:6" s="69" customFormat="1" ht="39" thickBot="1" x14ac:dyDescent="0.3">
      <c r="A43" s="76">
        <v>7</v>
      </c>
      <c r="B43" s="77" t="s">
        <v>409</v>
      </c>
      <c r="C43" s="123" t="s">
        <v>540</v>
      </c>
      <c r="D43" s="80">
        <v>0</v>
      </c>
      <c r="E43" s="80">
        <v>0</v>
      </c>
      <c r="F43" s="78"/>
    </row>
    <row r="44" spans="1:6" x14ac:dyDescent="0.25">
      <c r="A44" s="159" t="s">
        <v>74</v>
      </c>
      <c r="B44" s="159"/>
      <c r="C44" s="159"/>
      <c r="D44" s="119">
        <f>+SUM(D37:D43)/COUNTA(D37:D43)</f>
        <v>0</v>
      </c>
      <c r="E44" s="119">
        <f>+SUM(E37:E43)/COUNTA(E37:E43)</f>
        <v>0</v>
      </c>
    </row>
  </sheetData>
  <sheetProtection algorithmName="SHA-512" hashValue="XR9LsoQx/WGvzsXfs6KXvQAUdcWyJprlRg/o5bNeq+AkHV2+DS8MF+NeAZrDbzMKNN0ba8oBQ1OJv30oOF1fwg==" saltValue="0CulbAELTkDtY5Ij8TYTUQ==" spinCount="100000" sheet="1" objects="1" scenarios="1" selectLockedCells="1"/>
  <mergeCells count="8">
    <mergeCell ref="A36:B36"/>
    <mergeCell ref="A44:C44"/>
    <mergeCell ref="A6:B6"/>
    <mergeCell ref="A13:C13"/>
    <mergeCell ref="A16:B16"/>
    <mergeCell ref="A24:C24"/>
    <mergeCell ref="A27:B27"/>
    <mergeCell ref="A33:C33"/>
  </mergeCells>
  <dataValidations count="1">
    <dataValidation type="whole" showInputMessage="1" showErrorMessage="1" errorTitle="Informe Maturidade de 0 à 5" error="Você deve informar o grau de Maturidade entre 0 à 5." promptTitle="Informe Maturidade de 0 à 5" prompt="0 =&gt; Inexistente_x000a_1 =&gt; Inicial_x000a_2 =&gt; Repetível, porém intuitivo_x000a_3 =&gt; Processo definido_x000a_4 =&gt; Gerenciado e Mensurável_x000a_5 =&gt; Otimizado" sqref="D17:E23 D28:E32 D37:E43 D7:E12">
      <formula1>0</formula1>
      <formula2>5</formula2>
    </dataValidation>
  </dataValidations>
  <pageMargins left="0.511811024" right="0.511811024" top="0.78740157499999996" bottom="0.78740157499999996" header="0.31496062000000002" footer="0.31496062000000002"/>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14"/>
  <sheetViews>
    <sheetView showGridLines="0" showRowColHeaders="0" zoomScale="60" zoomScaleNormal="60" workbookViewId="0"/>
  </sheetViews>
  <sheetFormatPr defaultColWidth="9.140625" defaultRowHeight="15" x14ac:dyDescent="0.25"/>
  <cols>
    <col min="1" max="1" width="11.28515625" style="86" customWidth="1"/>
    <col min="2" max="2" width="21.42578125" style="86" bestFit="1" customWidth="1"/>
    <col min="3" max="3" width="17.28515625" style="86" bestFit="1" customWidth="1"/>
    <col min="4" max="17" width="9.140625" style="86"/>
    <col min="18" max="18" width="21.42578125" style="86" customWidth="1"/>
    <col min="19" max="19" width="20.7109375" style="86" bestFit="1" customWidth="1"/>
    <col min="20" max="20" width="12.140625" style="86" bestFit="1" customWidth="1"/>
    <col min="21" max="16384" width="9.140625" style="86"/>
  </cols>
  <sheetData>
    <row r="1" spans="1:20" x14ac:dyDescent="0.25">
      <c r="A1" s="86" t="s">
        <v>410</v>
      </c>
    </row>
    <row r="2" spans="1:20" x14ac:dyDescent="0.25">
      <c r="R2" s="86" t="s">
        <v>411</v>
      </c>
      <c r="S2" s="86" t="s">
        <v>412</v>
      </c>
      <c r="T2" s="86" t="s">
        <v>549</v>
      </c>
    </row>
    <row r="3" spans="1:20" x14ac:dyDescent="0.25">
      <c r="A3" s="86" t="s">
        <v>411</v>
      </c>
      <c r="B3" s="86" t="s">
        <v>412</v>
      </c>
      <c r="C3" s="86" t="s">
        <v>549</v>
      </c>
      <c r="R3" s="86" t="s">
        <v>259</v>
      </c>
      <c r="S3" s="87">
        <f>+'DS - Questionário'!D12</f>
        <v>0</v>
      </c>
      <c r="T3" s="87">
        <f>+'DS - Questionário'!E12</f>
        <v>0</v>
      </c>
    </row>
    <row r="4" spans="1:20" x14ac:dyDescent="0.25">
      <c r="A4" s="86" t="s">
        <v>413</v>
      </c>
      <c r="B4" s="87">
        <f>+'PO - Questionário'!D11</f>
        <v>0</v>
      </c>
      <c r="C4" s="87">
        <f>+'PO - Questionário'!E11</f>
        <v>0</v>
      </c>
      <c r="R4" s="86" t="s">
        <v>267</v>
      </c>
      <c r="S4" s="87">
        <f>+'DS - Questionário'!D20</f>
        <v>0</v>
      </c>
      <c r="T4" s="87">
        <f>+'DS - Questionário'!E20</f>
        <v>0</v>
      </c>
    </row>
    <row r="5" spans="1:20" x14ac:dyDescent="0.25">
      <c r="A5" s="86" t="s">
        <v>414</v>
      </c>
      <c r="B5" s="87">
        <f>+'PO - Questionário'!D19</f>
        <v>0</v>
      </c>
      <c r="C5" s="87">
        <f>+'PO - Questionário'!E19</f>
        <v>0</v>
      </c>
      <c r="R5" s="86" t="s">
        <v>274</v>
      </c>
      <c r="S5" s="87">
        <f>+'DS - Questionário'!D29</f>
        <v>0</v>
      </c>
      <c r="T5" s="87">
        <f>+'DS - Questionário'!E29</f>
        <v>0</v>
      </c>
    </row>
    <row r="6" spans="1:20" ht="37.5" customHeight="1" x14ac:dyDescent="0.25">
      <c r="A6" s="86" t="s">
        <v>85</v>
      </c>
      <c r="B6" s="87">
        <f>+'PO - Questionário'!D28</f>
        <v>0</v>
      </c>
      <c r="C6" s="87">
        <f>+'PO - Questionário'!E28</f>
        <v>0</v>
      </c>
      <c r="R6" s="86" t="s">
        <v>282</v>
      </c>
      <c r="S6" s="87">
        <f>+'DS - Questionário'!D43</f>
        <v>0</v>
      </c>
      <c r="T6" s="87">
        <f>+'DS - Questionário'!E43</f>
        <v>0</v>
      </c>
    </row>
    <row r="7" spans="1:20" ht="37.5" customHeight="1" x14ac:dyDescent="0.25">
      <c r="B7" s="87"/>
      <c r="C7" s="87"/>
      <c r="S7" s="87"/>
      <c r="T7" s="87"/>
    </row>
    <row r="8" spans="1:20" x14ac:dyDescent="0.25">
      <c r="A8" s="86" t="s">
        <v>94</v>
      </c>
      <c r="B8" s="87">
        <f>+'PO - Questionário'!D47</f>
        <v>0</v>
      </c>
      <c r="C8" s="87">
        <f>+'PO - Questionário'!E47</f>
        <v>0</v>
      </c>
      <c r="R8" s="86" t="s">
        <v>296</v>
      </c>
      <c r="S8" s="87">
        <f>+'DS - Questionário'!D58</f>
        <v>0</v>
      </c>
      <c r="T8" s="87">
        <f>+'DS - Questionário'!E58</f>
        <v>0</v>
      </c>
    </row>
    <row r="9" spans="1:20" x14ac:dyDescent="0.25">
      <c r="A9" s="86" t="s">
        <v>115</v>
      </c>
      <c r="B9" s="87">
        <f>+'PO - Questionário'!D56</f>
        <v>0</v>
      </c>
      <c r="C9" s="87">
        <f>+'PO - Questionário'!E56</f>
        <v>0</v>
      </c>
      <c r="R9" s="86" t="s">
        <v>313</v>
      </c>
      <c r="S9" s="87">
        <f>+'DS - Questionário'!D66</f>
        <v>0</v>
      </c>
      <c r="T9" s="87">
        <f>+'DS - Questionário'!E66</f>
        <v>0</v>
      </c>
    </row>
    <row r="10" spans="1:20" x14ac:dyDescent="0.25">
      <c r="A10" s="86" t="s">
        <v>122</v>
      </c>
      <c r="B10" s="87">
        <f>+'PO - Questionário'!D65</f>
        <v>0</v>
      </c>
      <c r="C10" s="87">
        <f>+'PO - Questionário'!E65</f>
        <v>0</v>
      </c>
      <c r="R10" s="86" t="s">
        <v>319</v>
      </c>
      <c r="S10" s="87">
        <f>+'DS - Questionário'!D73</f>
        <v>0</v>
      </c>
      <c r="T10" s="87">
        <f>+'DS - Questionário'!E73</f>
        <v>0</v>
      </c>
    </row>
    <row r="11" spans="1:20" x14ac:dyDescent="0.25">
      <c r="A11" s="86" t="s">
        <v>132</v>
      </c>
      <c r="B11" s="87">
        <f>+'PO - Questionário'!D77</f>
        <v>0</v>
      </c>
      <c r="C11" s="87">
        <f>+'PO - Questionário'!E77</f>
        <v>0</v>
      </c>
      <c r="R11" s="86" t="s">
        <v>324</v>
      </c>
      <c r="S11" s="87">
        <f>+'DS - Questionário'!D82</f>
        <v>0</v>
      </c>
      <c r="T11" s="87">
        <f>+'DS - Questionário'!E82</f>
        <v>0</v>
      </c>
    </row>
    <row r="12" spans="1:20" x14ac:dyDescent="0.25">
      <c r="A12" s="86" t="s">
        <v>146</v>
      </c>
      <c r="B12" s="87">
        <f>+'PO - Questionário'!D87</f>
        <v>0</v>
      </c>
      <c r="C12" s="87">
        <f>+'PO - Questionário'!E87</f>
        <v>0</v>
      </c>
      <c r="R12" s="86" t="s">
        <v>331</v>
      </c>
      <c r="S12" s="87">
        <f>+'DS - Questionário'!D89</f>
        <v>0</v>
      </c>
      <c r="T12" s="87">
        <f>+'DS - Questionário'!E89</f>
        <v>0</v>
      </c>
    </row>
    <row r="13" spans="1:20" x14ac:dyDescent="0.25">
      <c r="A13" s="86" t="s">
        <v>157</v>
      </c>
      <c r="B13" s="87">
        <f>+'PO - Questionário'!D97</f>
        <v>0</v>
      </c>
      <c r="C13" s="87">
        <f>+'PO - Questionário'!E97</f>
        <v>0</v>
      </c>
      <c r="R13" s="86" t="s">
        <v>337</v>
      </c>
      <c r="S13" s="87">
        <f>+'DS - Questionário'!D95</f>
        <v>0</v>
      </c>
      <c r="T13" s="87">
        <f>+'DS - Questionário'!E95</f>
        <v>0</v>
      </c>
    </row>
    <row r="14" spans="1:20" x14ac:dyDescent="0.25">
      <c r="A14" s="86" t="s">
        <v>167</v>
      </c>
      <c r="B14" s="87">
        <f>+'PO - Questionário'!D115</f>
        <v>0</v>
      </c>
      <c r="C14" s="87">
        <f>+'PO - Questionário'!E115</f>
        <v>0</v>
      </c>
      <c r="R14" s="86" t="s">
        <v>341</v>
      </c>
      <c r="S14" s="87">
        <f>+'DS - Questionário'!D105</f>
        <v>0</v>
      </c>
      <c r="T14" s="87">
        <f>+'DS - Questionário'!E105</f>
        <v>0</v>
      </c>
    </row>
    <row r="15" spans="1:20" x14ac:dyDescent="0.25">
      <c r="A15" s="86" t="s">
        <v>415</v>
      </c>
      <c r="B15" s="87">
        <f>MEDIAN(B4:B14)</f>
        <v>0</v>
      </c>
      <c r="C15" s="87">
        <f>MEDIAN(C4:C14)</f>
        <v>0</v>
      </c>
      <c r="R15" s="86" t="s">
        <v>350</v>
      </c>
      <c r="S15" s="87">
        <f>+'DS - Questionário'!D114</f>
        <v>0</v>
      </c>
      <c r="T15" s="87">
        <f>+'DS - Questionário'!E114</f>
        <v>0</v>
      </c>
    </row>
    <row r="16" spans="1:20" x14ac:dyDescent="0.25">
      <c r="R16" s="86" t="s">
        <v>358</v>
      </c>
      <c r="S16" s="87">
        <f>+'DS - Questionário'!D123</f>
        <v>0</v>
      </c>
      <c r="T16" s="87">
        <f>+'DS - Questionário'!E123</f>
        <v>0</v>
      </c>
    </row>
    <row r="26" spans="1:3" x14ac:dyDescent="0.25">
      <c r="A26" s="86" t="s">
        <v>411</v>
      </c>
      <c r="B26" s="86" t="s">
        <v>412</v>
      </c>
      <c r="C26" s="86" t="s">
        <v>549</v>
      </c>
    </row>
    <row r="27" spans="1:3" x14ac:dyDescent="0.25">
      <c r="A27" s="86" t="s">
        <v>186</v>
      </c>
      <c r="B27" s="87">
        <f>+'AI - Questionário'!D10</f>
        <v>0</v>
      </c>
      <c r="C27" s="87">
        <f>+'AI - Questionário'!E10</f>
        <v>0</v>
      </c>
    </row>
    <row r="28" spans="1:3" x14ac:dyDescent="0.25">
      <c r="A28" s="86" t="s">
        <v>194</v>
      </c>
      <c r="B28" s="87">
        <f>+'AI - Questionário'!D24</f>
        <v>0</v>
      </c>
      <c r="C28" s="87">
        <f>+'AI - Questionário'!E24</f>
        <v>0</v>
      </c>
    </row>
    <row r="29" spans="1:3" x14ac:dyDescent="0.25">
      <c r="A29" s="86" t="s">
        <v>212</v>
      </c>
      <c r="B29" s="87">
        <f>+'AI - Questionário'!D32</f>
        <v>0</v>
      </c>
      <c r="C29" s="87">
        <f>+'AI - Questionário'!E32</f>
        <v>0</v>
      </c>
    </row>
    <row r="30" spans="1:3" x14ac:dyDescent="0.25">
      <c r="A30" s="86" t="s">
        <v>218</v>
      </c>
      <c r="B30" s="87">
        <f>+'AI - Questionário'!D40</f>
        <v>0</v>
      </c>
      <c r="C30" s="87">
        <f>+'AI - Questionário'!E40</f>
        <v>0</v>
      </c>
    </row>
    <row r="31" spans="1:3" x14ac:dyDescent="0.25">
      <c r="A31" s="86" t="s">
        <v>226</v>
      </c>
      <c r="B31" s="87">
        <f>+'AI - Questionário'!D48</f>
        <v>0</v>
      </c>
      <c r="C31" s="87">
        <f>+'AI - Questionário'!E48</f>
        <v>0</v>
      </c>
    </row>
    <row r="32" spans="1:3" x14ac:dyDescent="0.25">
      <c r="A32" s="86" t="s">
        <v>234</v>
      </c>
      <c r="B32" s="87">
        <f>+'AI - Questionário'!D57</f>
        <v>0</v>
      </c>
      <c r="C32" s="87">
        <f>+'AI - Questionário'!E57</f>
        <v>0</v>
      </c>
    </row>
    <row r="33" spans="1:20" x14ac:dyDescent="0.25">
      <c r="A33" s="86" t="s">
        <v>243</v>
      </c>
      <c r="B33" s="87">
        <f>+'AI - Questionário'!D70</f>
        <v>0</v>
      </c>
      <c r="C33" s="87">
        <f>+'AI - Questionário'!E70</f>
        <v>0</v>
      </c>
    </row>
    <row r="34" spans="1:20" x14ac:dyDescent="0.25">
      <c r="B34" s="87"/>
    </row>
    <row r="35" spans="1:20" x14ac:dyDescent="0.25">
      <c r="B35" s="87"/>
    </row>
    <row r="36" spans="1:20" x14ac:dyDescent="0.25">
      <c r="B36" s="87"/>
    </row>
    <row r="46" spans="1:20" x14ac:dyDescent="0.25">
      <c r="R46" s="86" t="s">
        <v>411</v>
      </c>
      <c r="S46" s="86" t="s">
        <v>412</v>
      </c>
      <c r="T46" s="86" t="s">
        <v>549</v>
      </c>
    </row>
    <row r="47" spans="1:20" x14ac:dyDescent="0.25">
      <c r="R47" s="86" t="s">
        <v>413</v>
      </c>
      <c r="S47" s="87">
        <f t="shared" ref="S47:T49" si="0">+B4</f>
        <v>0</v>
      </c>
      <c r="T47" s="87">
        <f t="shared" si="0"/>
        <v>0</v>
      </c>
    </row>
    <row r="48" spans="1:20" x14ac:dyDescent="0.25">
      <c r="R48" s="86" t="s">
        <v>414</v>
      </c>
      <c r="S48" s="87">
        <f t="shared" si="0"/>
        <v>0</v>
      </c>
      <c r="T48" s="87">
        <f t="shared" si="0"/>
        <v>0</v>
      </c>
    </row>
    <row r="49" spans="1:20" x14ac:dyDescent="0.25">
      <c r="R49" s="86" t="s">
        <v>85</v>
      </c>
      <c r="S49" s="87">
        <f t="shared" si="0"/>
        <v>0</v>
      </c>
      <c r="T49" s="87">
        <f t="shared" si="0"/>
        <v>0</v>
      </c>
    </row>
    <row r="50" spans="1:20" x14ac:dyDescent="0.25">
      <c r="R50" s="86" t="s">
        <v>94</v>
      </c>
      <c r="S50" s="87">
        <f t="shared" ref="S50:T56" si="1">+B8</f>
        <v>0</v>
      </c>
      <c r="T50" s="87">
        <f t="shared" si="1"/>
        <v>0</v>
      </c>
    </row>
    <row r="51" spans="1:20" x14ac:dyDescent="0.25">
      <c r="A51" s="86" t="s">
        <v>411</v>
      </c>
      <c r="B51" s="86" t="s">
        <v>412</v>
      </c>
      <c r="C51" s="86" t="s">
        <v>549</v>
      </c>
      <c r="R51" s="86" t="s">
        <v>115</v>
      </c>
      <c r="S51" s="87">
        <f t="shared" si="1"/>
        <v>0</v>
      </c>
      <c r="T51" s="87">
        <f t="shared" si="1"/>
        <v>0</v>
      </c>
    </row>
    <row r="52" spans="1:20" x14ac:dyDescent="0.25">
      <c r="A52" s="86" t="s">
        <v>365</v>
      </c>
      <c r="B52" s="87">
        <f>+'MA - Questionário'!D13</f>
        <v>0</v>
      </c>
      <c r="C52" s="87">
        <f>+'MA - Questionário'!E13</f>
        <v>0</v>
      </c>
      <c r="R52" s="86" t="s">
        <v>122</v>
      </c>
      <c r="S52" s="87">
        <f t="shared" si="1"/>
        <v>0</v>
      </c>
      <c r="T52" s="87">
        <f t="shared" si="1"/>
        <v>0</v>
      </c>
    </row>
    <row r="53" spans="1:20" x14ac:dyDescent="0.25">
      <c r="A53" s="86" t="s">
        <v>375</v>
      </c>
      <c r="B53" s="87">
        <f>+'MA - Questionário'!D24</f>
        <v>0</v>
      </c>
      <c r="C53" s="87">
        <f>+'MA - Questionário'!E24</f>
        <v>0</v>
      </c>
      <c r="R53" s="86" t="s">
        <v>132</v>
      </c>
      <c r="S53" s="87">
        <f t="shared" si="1"/>
        <v>0</v>
      </c>
      <c r="T53" s="87">
        <f t="shared" si="1"/>
        <v>0</v>
      </c>
    </row>
    <row r="54" spans="1:20" x14ac:dyDescent="0.25">
      <c r="A54" s="86" t="s">
        <v>389</v>
      </c>
      <c r="B54" s="87">
        <f>+'MA - Questionário'!D33</f>
        <v>0</v>
      </c>
      <c r="C54" s="87">
        <f>+'MA - Questionário'!E33</f>
        <v>0</v>
      </c>
      <c r="R54" s="86" t="s">
        <v>146</v>
      </c>
      <c r="S54" s="87">
        <f t="shared" si="1"/>
        <v>0</v>
      </c>
      <c r="T54" s="87">
        <f t="shared" si="1"/>
        <v>0</v>
      </c>
    </row>
    <row r="55" spans="1:20" x14ac:dyDescent="0.25">
      <c r="A55" s="86" t="s">
        <v>401</v>
      </c>
      <c r="B55" s="87">
        <f>+'MA - Questionário'!D44</f>
        <v>0</v>
      </c>
      <c r="C55" s="87">
        <f>+'MA - Questionário'!E44</f>
        <v>0</v>
      </c>
      <c r="R55" s="86" t="s">
        <v>157</v>
      </c>
      <c r="S55" s="87">
        <f t="shared" si="1"/>
        <v>0</v>
      </c>
      <c r="T55" s="87">
        <f t="shared" si="1"/>
        <v>0</v>
      </c>
    </row>
    <row r="56" spans="1:20" x14ac:dyDescent="0.25">
      <c r="B56" s="87"/>
      <c r="R56" s="86" t="s">
        <v>167</v>
      </c>
      <c r="S56" s="87">
        <f t="shared" si="1"/>
        <v>0</v>
      </c>
      <c r="T56" s="87">
        <f t="shared" si="1"/>
        <v>0</v>
      </c>
    </row>
    <row r="57" spans="1:20" x14ac:dyDescent="0.25">
      <c r="B57" s="87"/>
      <c r="R57" s="86" t="s">
        <v>186</v>
      </c>
      <c r="S57" s="87">
        <f>+B27</f>
        <v>0</v>
      </c>
      <c r="T57" s="87">
        <f>+C27</f>
        <v>0</v>
      </c>
    </row>
    <row r="58" spans="1:20" x14ac:dyDescent="0.25">
      <c r="B58" s="87"/>
      <c r="R58" s="86" t="s">
        <v>194</v>
      </c>
      <c r="S58" s="87">
        <f t="shared" ref="S58:T63" si="2">+B28</f>
        <v>0</v>
      </c>
      <c r="T58" s="87">
        <f t="shared" si="2"/>
        <v>0</v>
      </c>
    </row>
    <row r="59" spans="1:20" x14ac:dyDescent="0.25">
      <c r="R59" s="86" t="s">
        <v>212</v>
      </c>
      <c r="S59" s="87">
        <f t="shared" si="2"/>
        <v>0</v>
      </c>
      <c r="T59" s="87">
        <f t="shared" si="2"/>
        <v>0</v>
      </c>
    </row>
    <row r="60" spans="1:20" x14ac:dyDescent="0.25">
      <c r="R60" s="86" t="s">
        <v>218</v>
      </c>
      <c r="S60" s="87">
        <f t="shared" si="2"/>
        <v>0</v>
      </c>
      <c r="T60" s="87">
        <f t="shared" si="2"/>
        <v>0</v>
      </c>
    </row>
    <row r="61" spans="1:20" x14ac:dyDescent="0.25">
      <c r="R61" s="86" t="s">
        <v>226</v>
      </c>
      <c r="S61" s="87">
        <f t="shared" si="2"/>
        <v>0</v>
      </c>
      <c r="T61" s="87">
        <f t="shared" si="2"/>
        <v>0</v>
      </c>
    </row>
    <row r="62" spans="1:20" x14ac:dyDescent="0.25">
      <c r="R62" s="86" t="s">
        <v>234</v>
      </c>
      <c r="S62" s="87">
        <f t="shared" si="2"/>
        <v>0</v>
      </c>
      <c r="T62" s="87">
        <f t="shared" si="2"/>
        <v>0</v>
      </c>
    </row>
    <row r="63" spans="1:20" x14ac:dyDescent="0.25">
      <c r="R63" s="86" t="s">
        <v>243</v>
      </c>
      <c r="S63" s="87">
        <f t="shared" si="2"/>
        <v>0</v>
      </c>
      <c r="T63" s="87">
        <f t="shared" si="2"/>
        <v>0</v>
      </c>
    </row>
    <row r="64" spans="1:20" x14ac:dyDescent="0.25">
      <c r="R64" s="86" t="s">
        <v>259</v>
      </c>
      <c r="S64" s="87">
        <f t="shared" ref="S64:T67" si="3">+S3</f>
        <v>0</v>
      </c>
      <c r="T64" s="87">
        <f t="shared" si="3"/>
        <v>0</v>
      </c>
    </row>
    <row r="65" spans="18:20" x14ac:dyDescent="0.25">
      <c r="R65" s="86" t="s">
        <v>267</v>
      </c>
      <c r="S65" s="87">
        <f t="shared" si="3"/>
        <v>0</v>
      </c>
      <c r="T65" s="87">
        <f t="shared" si="3"/>
        <v>0</v>
      </c>
    </row>
    <row r="66" spans="18:20" x14ac:dyDescent="0.25">
      <c r="R66" s="86" t="s">
        <v>274</v>
      </c>
      <c r="S66" s="87">
        <f t="shared" si="3"/>
        <v>0</v>
      </c>
      <c r="T66" s="87">
        <f t="shared" si="3"/>
        <v>0</v>
      </c>
    </row>
    <row r="67" spans="18:20" x14ac:dyDescent="0.25">
      <c r="R67" s="86" t="s">
        <v>282</v>
      </c>
      <c r="S67" s="87">
        <f t="shared" si="3"/>
        <v>0</v>
      </c>
      <c r="T67" s="87">
        <f t="shared" si="3"/>
        <v>0</v>
      </c>
    </row>
    <row r="68" spans="18:20" x14ac:dyDescent="0.25">
      <c r="R68" s="86" t="s">
        <v>296</v>
      </c>
      <c r="S68" s="87">
        <f t="shared" ref="S68:T76" si="4">+S8</f>
        <v>0</v>
      </c>
      <c r="T68" s="87">
        <f t="shared" si="4"/>
        <v>0</v>
      </c>
    </row>
    <row r="69" spans="18:20" x14ac:dyDescent="0.25">
      <c r="R69" s="86" t="s">
        <v>313</v>
      </c>
      <c r="S69" s="87">
        <f t="shared" si="4"/>
        <v>0</v>
      </c>
      <c r="T69" s="87">
        <f t="shared" si="4"/>
        <v>0</v>
      </c>
    </row>
    <row r="70" spans="18:20" x14ac:dyDescent="0.25">
      <c r="R70" s="86" t="s">
        <v>319</v>
      </c>
      <c r="S70" s="87">
        <f t="shared" si="4"/>
        <v>0</v>
      </c>
      <c r="T70" s="87">
        <f t="shared" si="4"/>
        <v>0</v>
      </c>
    </row>
    <row r="71" spans="18:20" x14ac:dyDescent="0.25">
      <c r="R71" s="86" t="s">
        <v>324</v>
      </c>
      <c r="S71" s="87">
        <f t="shared" si="4"/>
        <v>0</v>
      </c>
      <c r="T71" s="87">
        <f t="shared" si="4"/>
        <v>0</v>
      </c>
    </row>
    <row r="72" spans="18:20" x14ac:dyDescent="0.25">
      <c r="R72" s="86" t="s">
        <v>331</v>
      </c>
      <c r="S72" s="87">
        <f t="shared" si="4"/>
        <v>0</v>
      </c>
      <c r="T72" s="87">
        <f t="shared" si="4"/>
        <v>0</v>
      </c>
    </row>
    <row r="73" spans="18:20" x14ac:dyDescent="0.25">
      <c r="R73" s="86" t="s">
        <v>337</v>
      </c>
      <c r="S73" s="87">
        <f t="shared" si="4"/>
        <v>0</v>
      </c>
      <c r="T73" s="87">
        <f t="shared" si="4"/>
        <v>0</v>
      </c>
    </row>
    <row r="74" spans="18:20" x14ac:dyDescent="0.25">
      <c r="R74" s="86" t="s">
        <v>341</v>
      </c>
      <c r="S74" s="87">
        <f t="shared" si="4"/>
        <v>0</v>
      </c>
      <c r="T74" s="87">
        <f t="shared" si="4"/>
        <v>0</v>
      </c>
    </row>
    <row r="75" spans="18:20" x14ac:dyDescent="0.25">
      <c r="R75" s="86" t="s">
        <v>350</v>
      </c>
      <c r="S75" s="87">
        <f t="shared" si="4"/>
        <v>0</v>
      </c>
      <c r="T75" s="87">
        <f t="shared" si="4"/>
        <v>0</v>
      </c>
    </row>
    <row r="76" spans="18:20" x14ac:dyDescent="0.25">
      <c r="R76" s="86" t="s">
        <v>358</v>
      </c>
      <c r="S76" s="87">
        <f t="shared" si="4"/>
        <v>0</v>
      </c>
      <c r="T76" s="87">
        <f t="shared" si="4"/>
        <v>0</v>
      </c>
    </row>
    <row r="77" spans="18:20" x14ac:dyDescent="0.25">
      <c r="R77" s="86" t="s">
        <v>365</v>
      </c>
      <c r="S77" s="87">
        <f t="shared" ref="S77:T80" si="5">+B52</f>
        <v>0</v>
      </c>
      <c r="T77" s="87">
        <f t="shared" si="5"/>
        <v>0</v>
      </c>
    </row>
    <row r="78" spans="18:20" x14ac:dyDescent="0.25">
      <c r="R78" s="86" t="s">
        <v>375</v>
      </c>
      <c r="S78" s="87">
        <f t="shared" si="5"/>
        <v>0</v>
      </c>
      <c r="T78" s="87">
        <f t="shared" si="5"/>
        <v>0</v>
      </c>
    </row>
    <row r="79" spans="18:20" x14ac:dyDescent="0.25">
      <c r="R79" s="86" t="s">
        <v>389</v>
      </c>
      <c r="S79" s="87">
        <f t="shared" si="5"/>
        <v>0</v>
      </c>
      <c r="T79" s="87">
        <f t="shared" si="5"/>
        <v>0</v>
      </c>
    </row>
    <row r="80" spans="18:20" x14ac:dyDescent="0.25">
      <c r="R80" s="86" t="s">
        <v>401</v>
      </c>
      <c r="S80" s="87">
        <f t="shared" si="5"/>
        <v>0</v>
      </c>
      <c r="T80" s="87">
        <f t="shared" si="5"/>
        <v>0</v>
      </c>
    </row>
    <row r="102" spans="2:19" x14ac:dyDescent="0.25">
      <c r="C102" s="86" t="s">
        <v>416</v>
      </c>
    </row>
    <row r="103" spans="2:19" x14ac:dyDescent="0.25">
      <c r="B103" s="86" t="s">
        <v>549</v>
      </c>
      <c r="C103" s="87">
        <f>+'Quadro Geral'!Z44</f>
        <v>0</v>
      </c>
    </row>
    <row r="104" spans="2:19" x14ac:dyDescent="0.25">
      <c r="B104" s="86" t="s">
        <v>412</v>
      </c>
      <c r="C104" s="87">
        <f>+'Quadro Geral'!R44</f>
        <v>0</v>
      </c>
    </row>
    <row r="105" spans="2:19" x14ac:dyDescent="0.25">
      <c r="S105" s="87"/>
    </row>
    <row r="114" spans="19:19" x14ac:dyDescent="0.25">
      <c r="S114" s="86" t="s">
        <v>3</v>
      </c>
    </row>
  </sheetData>
  <sheetProtection algorithmName="SHA-512" hashValue="knvWrqkZjDvl1DJT/QlOc6bfu3PHog4UTa86qRRkDgLjEfPhPEkVtKPDuXpMWE6fOox/KBekuPtBAvkasLraJg==" saltValue="kaY0pynqOw2aUtcgYVEFCQ==" spinCount="100000" sheet="1" objects="1" scenarios="1" selectLockedCells="1" selectUnlockedCells="1"/>
  <pageMargins left="0.511811024" right="0.511811024" top="0.78740157499999996" bottom="0.78740157499999996" header="0.31496062000000002" footer="0.31496062000000002"/>
  <pageSetup scale="36" fitToHeight="0" orientation="portrait" horizontalDpi="30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62"/>
  <sheetViews>
    <sheetView showGridLines="0" showRowColHeaders="0" zoomScale="90" zoomScaleNormal="90" workbookViewId="0"/>
  </sheetViews>
  <sheetFormatPr defaultRowHeight="15" x14ac:dyDescent="0.25"/>
  <cols>
    <col min="1" max="1" width="60.28515625" bestFit="1" customWidth="1"/>
  </cols>
  <sheetData>
    <row r="1" spans="1:14" x14ac:dyDescent="0.25">
      <c r="A1" s="88" t="s">
        <v>417</v>
      </c>
      <c r="B1" s="86"/>
      <c r="C1" s="86"/>
      <c r="D1" s="86"/>
      <c r="E1" s="86"/>
      <c r="F1" s="86"/>
      <c r="G1" s="86"/>
      <c r="H1" s="86"/>
      <c r="I1" s="86"/>
      <c r="J1" s="86"/>
      <c r="K1" s="86"/>
      <c r="L1" s="86"/>
      <c r="M1" s="86"/>
      <c r="N1" s="86"/>
    </row>
    <row r="2" spans="1:14" x14ac:dyDescent="0.25">
      <c r="A2" s="86" t="s">
        <v>418</v>
      </c>
      <c r="B2" s="86" t="s">
        <v>419</v>
      </c>
      <c r="C2" s="86" t="s">
        <v>420</v>
      </c>
      <c r="D2" s="86" t="s">
        <v>421</v>
      </c>
      <c r="E2" s="86" t="s">
        <v>422</v>
      </c>
      <c r="F2" s="86" t="s">
        <v>423</v>
      </c>
      <c r="G2" s="86" t="s">
        <v>424</v>
      </c>
      <c r="H2" s="86" t="s">
        <v>425</v>
      </c>
      <c r="I2" s="86"/>
      <c r="J2" s="86"/>
      <c r="K2" s="86"/>
      <c r="L2" s="86"/>
      <c r="M2" s="86"/>
      <c r="N2" s="86"/>
    </row>
    <row r="3" spans="1:14" x14ac:dyDescent="0.25">
      <c r="A3" s="86" t="s">
        <v>426</v>
      </c>
      <c r="B3" s="86">
        <f>COUNTIFS('PO - Questionário'!$D$5:$D$10,0)</f>
        <v>6</v>
      </c>
      <c r="C3" s="86">
        <f>COUNTIFS('PO - Questionário'!$D$5:$D$10,1)</f>
        <v>0</v>
      </c>
      <c r="D3" s="86">
        <f>COUNTIFS('PO - Questionário'!$D$5:$D$10,2)</f>
        <v>0</v>
      </c>
      <c r="E3" s="86">
        <f>COUNTIFS('PO - Questionário'!$D$5:$D$10,3)</f>
        <v>0</v>
      </c>
      <c r="F3" s="86">
        <f>COUNTIFS('PO - Questionário'!$D$5:$D$10,4)</f>
        <v>0</v>
      </c>
      <c r="G3" s="86">
        <f>COUNTIFS('PO - Questionário'!$D$5:$D$10,5)</f>
        <v>0</v>
      </c>
      <c r="H3" s="86">
        <f>SUM(B3:G3)</f>
        <v>6</v>
      </c>
      <c r="I3" s="86"/>
      <c r="J3" s="86"/>
      <c r="K3" s="86"/>
      <c r="L3" s="86"/>
      <c r="M3" s="86"/>
      <c r="N3" s="86"/>
    </row>
    <row r="4" spans="1:14" x14ac:dyDescent="0.25">
      <c r="A4" s="86" t="s">
        <v>427</v>
      </c>
      <c r="B4" s="86">
        <f>COUNTIFS('PO - Questionário'!$D$15:$D$18,0)</f>
        <v>4</v>
      </c>
      <c r="C4" s="86">
        <f>COUNTIFS('PO - Questionário'!$D$15:$D$18,1)</f>
        <v>0</v>
      </c>
      <c r="D4" s="86">
        <f>COUNTIFS('PO - Questionário'!$D$15:$D$18,2)</f>
        <v>0</v>
      </c>
      <c r="E4" s="86">
        <f>COUNTIFS('PO - Questionário'!$D$15:$D$18,3)</f>
        <v>0</v>
      </c>
      <c r="F4" s="86">
        <f>COUNTIFS('PO - Questionário'!$D$15:$D$18,4)</f>
        <v>0</v>
      </c>
      <c r="G4" s="86">
        <f>COUNTIFS('PO - Questionário'!$D$15:$D$18,5)</f>
        <v>0</v>
      </c>
      <c r="H4" s="86">
        <f t="shared" ref="H4:H12" si="0">SUM(B4:G4)</f>
        <v>4</v>
      </c>
      <c r="I4" s="86"/>
      <c r="J4" s="86"/>
      <c r="K4" s="86"/>
      <c r="L4" s="86"/>
      <c r="M4" s="86"/>
      <c r="N4" s="86"/>
    </row>
    <row r="5" spans="1:14" x14ac:dyDescent="0.25">
      <c r="A5" s="86" t="s">
        <v>428</v>
      </c>
      <c r="B5" s="86">
        <f>COUNTIFS('PO - Questionário'!$D$23:$D$27,0)</f>
        <v>5</v>
      </c>
      <c r="C5" s="86">
        <f>COUNTIFS('PO - Questionário'!$D$23:$D$27,1)</f>
        <v>0</v>
      </c>
      <c r="D5" s="86">
        <f>COUNTIFS('PO - Questionário'!$D$23:$D$27,2)</f>
        <v>0</v>
      </c>
      <c r="E5" s="86">
        <f>COUNTIFS('PO - Questionário'!$D$23:$D$27,3)</f>
        <v>0</v>
      </c>
      <c r="F5" s="86">
        <f>COUNTIFS('PO - Questionário'!$D$23:$D$27,4)</f>
        <v>0</v>
      </c>
      <c r="G5" s="86">
        <f>COUNTIFS('PO - Questionário'!$D$23:$D$27,5)</f>
        <v>0</v>
      </c>
      <c r="H5" s="86">
        <f t="shared" si="0"/>
        <v>5</v>
      </c>
      <c r="I5" s="86"/>
      <c r="J5" s="86"/>
      <c r="K5" s="86"/>
      <c r="L5" s="86"/>
      <c r="M5" s="86"/>
      <c r="N5" s="86"/>
    </row>
    <row r="6" spans="1:14" x14ac:dyDescent="0.25">
      <c r="A6" s="86" t="s">
        <v>429</v>
      </c>
      <c r="B6" s="86">
        <f>+COUNTIFS('PO - Questionário'!$D$32:$D$46,0)</f>
        <v>15</v>
      </c>
      <c r="C6" s="86">
        <f>+COUNTIFS('PO - Questionário'!$D$32:$D$46,1)</f>
        <v>0</v>
      </c>
      <c r="D6" s="86">
        <f>+COUNTIFS('PO - Questionário'!$D$32:$D$46,2)</f>
        <v>0</v>
      </c>
      <c r="E6" s="86">
        <f>+COUNTIFS('PO - Questionário'!$D$32:$D$46,3)</f>
        <v>0</v>
      </c>
      <c r="F6" s="86">
        <f>+COUNTIFS('PO - Questionário'!$D$32:$D$46,4)</f>
        <v>0</v>
      </c>
      <c r="G6" s="86">
        <f>+COUNTIFS('PO - Questionário'!$D$32:$D$46,5)</f>
        <v>0</v>
      </c>
      <c r="H6" s="86">
        <f t="shared" si="0"/>
        <v>15</v>
      </c>
      <c r="I6" s="86"/>
      <c r="J6" s="86"/>
      <c r="K6" s="86"/>
      <c r="L6" s="86"/>
      <c r="M6" s="86"/>
      <c r="N6" s="86"/>
    </row>
    <row r="7" spans="1:14" x14ac:dyDescent="0.25">
      <c r="A7" s="86" t="s">
        <v>430</v>
      </c>
      <c r="B7" s="86">
        <f>COUNTIFS('PO - Questionário'!$D$51:$D$55,0)</f>
        <v>5</v>
      </c>
      <c r="C7" s="86">
        <f>COUNTIFS('PO - Questionário'!$D$51:$D$55,1)</f>
        <v>0</v>
      </c>
      <c r="D7" s="86">
        <f>COUNTIFS('PO - Questionário'!$D$51:$D$55,2)</f>
        <v>0</v>
      </c>
      <c r="E7" s="86">
        <f>COUNTIFS('PO - Questionário'!$D$51:$D$55,3)</f>
        <v>0</v>
      </c>
      <c r="F7" s="86">
        <f>COUNTIFS('PO - Questionário'!$D$51:$D$55,4)</f>
        <v>0</v>
      </c>
      <c r="G7" s="86">
        <f>COUNTIFS('PO - Questionário'!$D$51:$D$55,5)</f>
        <v>0</v>
      </c>
      <c r="H7" s="86">
        <f t="shared" si="0"/>
        <v>5</v>
      </c>
      <c r="I7" s="86"/>
      <c r="J7" s="86"/>
      <c r="K7" s="86"/>
      <c r="L7" s="86"/>
      <c r="M7" s="86"/>
      <c r="N7" s="86"/>
    </row>
    <row r="8" spans="1:14" x14ac:dyDescent="0.25">
      <c r="A8" s="86" t="s">
        <v>431</v>
      </c>
      <c r="B8" s="86">
        <f>+COUNTIFS('PO - Questionário'!$D$60:$D$64,0)</f>
        <v>5</v>
      </c>
      <c r="C8" s="86">
        <f>+COUNTIFS('PO - Questionário'!$D$60:$D$64,1)</f>
        <v>0</v>
      </c>
      <c r="D8" s="86">
        <f>+COUNTIFS('PO - Questionário'!$D$60:$D$64,2)</f>
        <v>0</v>
      </c>
      <c r="E8" s="86">
        <f>+COUNTIFS('PO - Questionário'!$D$60:$D$64,3)</f>
        <v>0</v>
      </c>
      <c r="F8" s="86">
        <f>+COUNTIFS('PO - Questionário'!$D$60:$D$64,4)</f>
        <v>0</v>
      </c>
      <c r="G8" s="86">
        <f>+COUNTIFS('PO - Questionário'!$D$60:$D$64,5)</f>
        <v>0</v>
      </c>
      <c r="H8" s="86">
        <f t="shared" si="0"/>
        <v>5</v>
      </c>
      <c r="I8" s="86"/>
      <c r="J8" s="86"/>
      <c r="K8" s="86"/>
      <c r="L8" s="86"/>
      <c r="M8" s="86"/>
      <c r="N8" s="86"/>
    </row>
    <row r="9" spans="1:14" x14ac:dyDescent="0.25">
      <c r="A9" s="86" t="s">
        <v>432</v>
      </c>
      <c r="B9" s="86">
        <f>+COUNTIFS('PO - Questionário'!$D$69:$D$76,0)</f>
        <v>8</v>
      </c>
      <c r="C9" s="86">
        <f>+COUNTIFS('PO - Questionário'!$D$69:$D$76,1)</f>
        <v>0</v>
      </c>
      <c r="D9" s="86">
        <f>+COUNTIFS('PO - Questionário'!$D$69:$D$76,2)</f>
        <v>0</v>
      </c>
      <c r="E9" s="86">
        <f>+COUNTIFS('PO - Questionário'!$D$69:$D$76,3)</f>
        <v>0</v>
      </c>
      <c r="F9" s="86">
        <f>+COUNTIFS('PO - Questionário'!$D$69:$D$76,4)</f>
        <v>0</v>
      </c>
      <c r="G9" s="86">
        <f>+COUNTIFS('PO - Questionário'!$D$69:$D$76,5)</f>
        <v>0</v>
      </c>
      <c r="H9" s="86">
        <f t="shared" si="0"/>
        <v>8</v>
      </c>
      <c r="I9" s="86"/>
      <c r="J9" s="86"/>
      <c r="K9" s="86"/>
      <c r="L9" s="86"/>
      <c r="M9" s="86"/>
      <c r="N9" s="86"/>
    </row>
    <row r="10" spans="1:14" x14ac:dyDescent="0.25">
      <c r="A10" s="86" t="s">
        <v>433</v>
      </c>
      <c r="B10" s="86">
        <f>+COUNTIFS('PO - Questionário'!$D$81:$D$86,0)</f>
        <v>6</v>
      </c>
      <c r="C10" s="86">
        <f>+COUNTIFS('PO - Questionário'!$D$81:$D$86,1)</f>
        <v>0</v>
      </c>
      <c r="D10" s="86">
        <f>+COUNTIFS('PO - Questionário'!$D$81:$D$86,2)</f>
        <v>0</v>
      </c>
      <c r="E10" s="86">
        <f>+COUNTIFS('PO - Questionário'!$D$81:$D$86,3)</f>
        <v>0</v>
      </c>
      <c r="F10" s="86">
        <f>+COUNTIFS('PO - Questionário'!$D$81:$D$86,4)</f>
        <v>0</v>
      </c>
      <c r="G10" s="86">
        <f>+COUNTIFS('PO - Questionário'!$D$81:$D$86,5)</f>
        <v>0</v>
      </c>
      <c r="H10" s="86">
        <f t="shared" si="0"/>
        <v>6</v>
      </c>
      <c r="I10" s="86"/>
      <c r="J10" s="86"/>
      <c r="K10" s="86"/>
      <c r="L10" s="86"/>
      <c r="M10" s="86"/>
      <c r="N10" s="86"/>
    </row>
    <row r="11" spans="1:14" x14ac:dyDescent="0.25">
      <c r="A11" s="86" t="s">
        <v>434</v>
      </c>
      <c r="B11" s="86">
        <f>+COUNTIFS('PO - Questionário'!$D$91:$D$96,0)</f>
        <v>6</v>
      </c>
      <c r="C11" s="86">
        <f>+COUNTIFS('PO - Questionário'!$D$91:$D$96,1)</f>
        <v>0</v>
      </c>
      <c r="D11" s="86">
        <f>+COUNTIFS('PO - Questionário'!$D$91:$D$96,2)</f>
        <v>0</v>
      </c>
      <c r="E11" s="86">
        <f>+COUNTIFS('PO - Questionário'!$D$91:$D$96,3)</f>
        <v>0</v>
      </c>
      <c r="F11" s="86">
        <f>+COUNTIFS('PO - Questionário'!$D$91:$D$96,4)</f>
        <v>0</v>
      </c>
      <c r="G11" s="86">
        <f>+COUNTIFS('PO - Questionário'!$D$91:$D$96,5)</f>
        <v>0</v>
      </c>
      <c r="H11" s="86">
        <f t="shared" si="0"/>
        <v>6</v>
      </c>
      <c r="I11" s="86"/>
      <c r="J11" s="86"/>
      <c r="K11" s="86"/>
      <c r="L11" s="86"/>
      <c r="M11" s="86"/>
      <c r="N11" s="86"/>
    </row>
    <row r="12" spans="1:14" x14ac:dyDescent="0.25">
      <c r="A12" s="86" t="s">
        <v>435</v>
      </c>
      <c r="B12" s="86">
        <f>+COUNTIFS('PO - Questionário'!$D$101:$D$114,0)</f>
        <v>14</v>
      </c>
      <c r="C12" s="86">
        <f>+COUNTIFS('PO - Questionário'!$D$101:$D$114,1)</f>
        <v>0</v>
      </c>
      <c r="D12" s="86">
        <f>+COUNTIFS('PO - Questionário'!$D$101:$D$114,2)</f>
        <v>0</v>
      </c>
      <c r="E12" s="86">
        <f>+COUNTIFS('PO - Questionário'!$D$101:$D$114,3)</f>
        <v>0</v>
      </c>
      <c r="F12" s="86">
        <f>+COUNTIFS('PO - Questionário'!$D$101:$D$114,4)</f>
        <v>0</v>
      </c>
      <c r="G12" s="86">
        <f>+COUNTIFS('PO - Questionário'!$D$101:$D$114,5)</f>
        <v>0</v>
      </c>
      <c r="H12" s="86">
        <f t="shared" si="0"/>
        <v>14</v>
      </c>
      <c r="I12" s="86"/>
      <c r="J12" s="86"/>
      <c r="K12" s="86"/>
      <c r="L12" s="86"/>
      <c r="M12" s="86"/>
      <c r="N12" s="86"/>
    </row>
    <row r="13" spans="1:14" x14ac:dyDescent="0.25">
      <c r="A13" s="86"/>
      <c r="B13" s="86"/>
      <c r="C13" s="86"/>
      <c r="D13" s="86"/>
      <c r="E13" s="86"/>
      <c r="F13" s="86"/>
      <c r="G13" s="86"/>
      <c r="H13" s="86"/>
      <c r="I13" s="86"/>
      <c r="J13" s="86"/>
      <c r="K13" s="86"/>
      <c r="L13" s="86"/>
      <c r="M13" s="86"/>
      <c r="N13" s="86"/>
    </row>
    <row r="14" spans="1:14" x14ac:dyDescent="0.25">
      <c r="A14" s="86"/>
      <c r="B14" s="86"/>
      <c r="C14" s="86"/>
      <c r="D14" s="86"/>
      <c r="E14" s="86"/>
      <c r="F14" s="86"/>
      <c r="G14" s="86"/>
      <c r="H14" s="86"/>
      <c r="I14" s="86"/>
      <c r="J14" s="86"/>
      <c r="K14" s="86"/>
      <c r="L14" s="86"/>
      <c r="M14" s="86"/>
      <c r="N14" s="86"/>
    </row>
    <row r="15" spans="1:14" x14ac:dyDescent="0.25">
      <c r="A15" s="86"/>
      <c r="B15" s="86"/>
      <c r="C15" s="86"/>
      <c r="D15" s="86"/>
      <c r="E15" s="86"/>
      <c r="F15" s="86"/>
      <c r="G15" s="86"/>
      <c r="H15" s="86"/>
      <c r="I15" s="86"/>
      <c r="J15" s="86"/>
      <c r="K15" s="86"/>
      <c r="L15" s="86"/>
      <c r="M15" s="86"/>
      <c r="N15" s="86"/>
    </row>
    <row r="16" spans="1:14" x14ac:dyDescent="0.25">
      <c r="A16" s="86"/>
      <c r="B16" s="86"/>
      <c r="C16" s="86"/>
      <c r="D16" s="86"/>
      <c r="E16" s="86"/>
      <c r="F16" s="86"/>
      <c r="G16" s="86"/>
      <c r="H16" s="86"/>
      <c r="I16" s="86"/>
      <c r="J16" s="86"/>
      <c r="K16" s="86"/>
      <c r="L16" s="86"/>
      <c r="M16" s="86"/>
      <c r="N16" s="86"/>
    </row>
    <row r="17" spans="1:14" x14ac:dyDescent="0.25">
      <c r="A17" s="86"/>
      <c r="B17" s="86"/>
      <c r="C17" s="86"/>
      <c r="D17" s="86"/>
      <c r="E17" s="86"/>
      <c r="F17" s="86"/>
      <c r="G17" s="86"/>
      <c r="H17" s="86"/>
      <c r="I17" s="86"/>
      <c r="J17" s="86"/>
      <c r="K17" s="86"/>
      <c r="L17" s="86"/>
      <c r="M17" s="86"/>
      <c r="N17" s="86"/>
    </row>
    <row r="18" spans="1:14" x14ac:dyDescent="0.25">
      <c r="A18" s="86"/>
      <c r="B18" s="86"/>
      <c r="C18" s="86"/>
      <c r="D18" s="86"/>
      <c r="E18" s="86"/>
      <c r="F18" s="86"/>
      <c r="G18" s="86"/>
      <c r="H18" s="86"/>
      <c r="I18" s="86"/>
      <c r="J18" s="86"/>
      <c r="K18" s="86"/>
      <c r="L18" s="86"/>
      <c r="M18" s="86"/>
      <c r="N18" s="86"/>
    </row>
    <row r="19" spans="1:14" x14ac:dyDescent="0.25">
      <c r="A19" s="86"/>
      <c r="B19" s="86"/>
      <c r="C19" s="86"/>
      <c r="D19" s="86"/>
      <c r="E19" s="86"/>
      <c r="F19" s="86"/>
      <c r="G19" s="86"/>
      <c r="H19" s="86"/>
      <c r="I19" s="86"/>
      <c r="J19" s="86"/>
      <c r="K19" s="86"/>
      <c r="L19" s="86"/>
      <c r="M19" s="86"/>
      <c r="N19" s="86"/>
    </row>
    <row r="20" spans="1:14" x14ac:dyDescent="0.25">
      <c r="A20" s="86"/>
      <c r="B20" s="86"/>
      <c r="C20" s="86"/>
      <c r="D20" s="86"/>
      <c r="E20" s="86"/>
      <c r="F20" s="86"/>
      <c r="G20" s="86"/>
      <c r="H20" s="86"/>
      <c r="I20" s="86"/>
      <c r="J20" s="86"/>
      <c r="K20" s="86"/>
      <c r="L20" s="86"/>
      <c r="M20" s="86"/>
      <c r="N20" s="86"/>
    </row>
    <row r="21" spans="1:14" x14ac:dyDescent="0.25">
      <c r="A21" s="86"/>
      <c r="B21" s="86"/>
      <c r="C21" s="86"/>
      <c r="D21" s="86"/>
      <c r="E21" s="86"/>
      <c r="F21" s="86"/>
      <c r="G21" s="86"/>
      <c r="H21" s="86"/>
      <c r="I21" s="86"/>
      <c r="J21" s="86"/>
      <c r="K21" s="86"/>
      <c r="L21" s="86"/>
      <c r="M21" s="86"/>
      <c r="N21" s="86"/>
    </row>
    <row r="22" spans="1:14" x14ac:dyDescent="0.25">
      <c r="A22" s="86"/>
      <c r="B22" s="86"/>
      <c r="C22" s="86"/>
      <c r="D22" s="86"/>
      <c r="E22" s="86"/>
      <c r="F22" s="86"/>
      <c r="G22" s="86"/>
      <c r="H22" s="86"/>
      <c r="I22" s="86"/>
      <c r="J22" s="86"/>
      <c r="K22" s="86"/>
      <c r="L22" s="86"/>
      <c r="M22" s="86"/>
      <c r="N22" s="86"/>
    </row>
    <row r="23" spans="1:14" x14ac:dyDescent="0.25">
      <c r="A23" s="86"/>
      <c r="B23" s="86"/>
      <c r="C23" s="86"/>
      <c r="D23" s="86"/>
      <c r="E23" s="86"/>
      <c r="F23" s="86"/>
      <c r="G23" s="86"/>
      <c r="H23" s="86"/>
      <c r="I23" s="86"/>
      <c r="J23" s="86"/>
      <c r="K23" s="86"/>
      <c r="L23" s="86"/>
      <c r="M23" s="86"/>
      <c r="N23" s="86"/>
    </row>
    <row r="24" spans="1:14" x14ac:dyDescent="0.25">
      <c r="A24" s="86"/>
      <c r="B24" s="86"/>
      <c r="C24" s="86"/>
      <c r="D24" s="86"/>
      <c r="E24" s="86"/>
      <c r="F24" s="86"/>
      <c r="G24" s="86"/>
      <c r="H24" s="86"/>
      <c r="I24" s="86"/>
      <c r="J24" s="86"/>
      <c r="K24" s="86"/>
      <c r="L24" s="86"/>
      <c r="M24" s="86"/>
      <c r="N24" s="86"/>
    </row>
    <row r="25" spans="1:14" x14ac:dyDescent="0.25">
      <c r="A25" s="86"/>
      <c r="B25" s="86"/>
      <c r="C25" s="86"/>
      <c r="D25" s="86"/>
      <c r="E25" s="86"/>
      <c r="F25" s="86"/>
      <c r="G25" s="86"/>
      <c r="H25" s="86"/>
      <c r="I25" s="86"/>
      <c r="J25" s="86"/>
      <c r="K25" s="86"/>
      <c r="L25" s="86"/>
      <c r="M25" s="86"/>
      <c r="N25" s="86"/>
    </row>
    <row r="26" spans="1:14" x14ac:dyDescent="0.25">
      <c r="A26" s="86"/>
      <c r="B26" s="86"/>
      <c r="C26" s="86"/>
      <c r="D26" s="86"/>
      <c r="E26" s="86"/>
      <c r="F26" s="86"/>
      <c r="G26" s="86"/>
      <c r="H26" s="86"/>
      <c r="I26" s="86"/>
      <c r="J26" s="86"/>
      <c r="K26" s="86"/>
      <c r="L26" s="86"/>
      <c r="M26" s="86"/>
      <c r="N26" s="86"/>
    </row>
    <row r="27" spans="1:14" x14ac:dyDescent="0.25">
      <c r="A27" s="86"/>
      <c r="B27" s="86"/>
      <c r="C27" s="86"/>
      <c r="D27" s="86"/>
      <c r="E27" s="86"/>
      <c r="F27" s="86"/>
      <c r="G27" s="86"/>
      <c r="H27" s="86"/>
      <c r="I27" s="86"/>
      <c r="J27" s="86"/>
      <c r="K27" s="86"/>
      <c r="L27" s="86"/>
      <c r="M27" s="86"/>
      <c r="N27" s="86"/>
    </row>
    <row r="28" spans="1:14" x14ac:dyDescent="0.25">
      <c r="A28" s="86"/>
      <c r="B28" s="86"/>
      <c r="C28" s="86"/>
      <c r="D28" s="86"/>
      <c r="E28" s="86"/>
      <c r="F28" s="86"/>
      <c r="G28" s="86"/>
      <c r="H28" s="86"/>
      <c r="I28" s="86"/>
      <c r="J28" s="86"/>
      <c r="K28" s="86"/>
      <c r="L28" s="86"/>
      <c r="M28" s="86"/>
      <c r="N28" s="86"/>
    </row>
    <row r="29" spans="1:14" x14ac:dyDescent="0.25">
      <c r="A29" s="86"/>
      <c r="B29" s="86"/>
      <c r="C29" s="86"/>
      <c r="D29" s="86"/>
      <c r="E29" s="86"/>
      <c r="F29" s="86"/>
      <c r="G29" s="86"/>
      <c r="H29" s="86"/>
      <c r="I29" s="86"/>
      <c r="J29" s="86"/>
      <c r="K29" s="86"/>
      <c r="L29" s="86"/>
      <c r="M29" s="86"/>
      <c r="N29" s="86"/>
    </row>
    <row r="30" spans="1:14" x14ac:dyDescent="0.25">
      <c r="A30" s="86"/>
      <c r="B30" s="86"/>
      <c r="C30" s="86"/>
      <c r="D30" s="86"/>
      <c r="E30" s="86"/>
      <c r="F30" s="86"/>
      <c r="G30" s="86"/>
      <c r="H30" s="86"/>
      <c r="I30" s="86"/>
      <c r="J30" s="86"/>
      <c r="K30" s="86"/>
      <c r="L30" s="86"/>
      <c r="M30" s="86"/>
      <c r="N30" s="86"/>
    </row>
    <row r="31" spans="1:14" x14ac:dyDescent="0.25">
      <c r="A31" s="86"/>
      <c r="B31" s="86"/>
      <c r="C31" s="86"/>
      <c r="D31" s="86"/>
      <c r="E31" s="86"/>
      <c r="F31" s="86"/>
      <c r="G31" s="86"/>
      <c r="H31" s="86"/>
      <c r="I31" s="86"/>
      <c r="J31" s="86"/>
      <c r="K31" s="86"/>
      <c r="L31" s="86"/>
      <c r="M31" s="86"/>
      <c r="N31" s="86"/>
    </row>
    <row r="32" spans="1:14" x14ac:dyDescent="0.25">
      <c r="A32" s="86"/>
      <c r="B32" s="86"/>
      <c r="C32" s="86"/>
      <c r="D32" s="86"/>
      <c r="E32" s="86"/>
      <c r="F32" s="86"/>
      <c r="G32" s="86"/>
      <c r="H32" s="86"/>
      <c r="I32" s="86"/>
      <c r="J32" s="86"/>
      <c r="K32" s="86"/>
      <c r="L32" s="86"/>
      <c r="M32" s="86"/>
      <c r="N32" s="86"/>
    </row>
    <row r="33" spans="1:14" x14ac:dyDescent="0.25">
      <c r="A33" s="86"/>
      <c r="B33" s="86"/>
      <c r="C33" s="86"/>
      <c r="D33" s="86"/>
      <c r="E33" s="86"/>
      <c r="F33" s="86"/>
      <c r="G33" s="86"/>
      <c r="H33" s="86"/>
      <c r="I33" s="86"/>
      <c r="J33" s="86"/>
      <c r="K33" s="86"/>
      <c r="L33" s="86"/>
      <c r="M33" s="86"/>
      <c r="N33" s="86"/>
    </row>
    <row r="34" spans="1:14" x14ac:dyDescent="0.25">
      <c r="A34" s="86"/>
      <c r="B34" s="86"/>
      <c r="C34" s="86"/>
      <c r="D34" s="86"/>
      <c r="E34" s="86"/>
      <c r="F34" s="86"/>
      <c r="G34" s="86"/>
      <c r="H34" s="86"/>
      <c r="I34" s="86"/>
      <c r="J34" s="86"/>
      <c r="K34" s="86"/>
      <c r="L34" s="86"/>
      <c r="M34" s="86"/>
      <c r="N34" s="86"/>
    </row>
    <row r="35" spans="1:14" x14ac:dyDescent="0.25">
      <c r="A35" s="86"/>
      <c r="B35" s="86"/>
      <c r="C35" s="86"/>
      <c r="D35" s="86"/>
      <c r="E35" s="86"/>
      <c r="F35" s="86"/>
      <c r="G35" s="86"/>
      <c r="H35" s="86"/>
      <c r="I35" s="86"/>
      <c r="J35" s="86"/>
      <c r="K35" s="86"/>
      <c r="L35" s="86"/>
      <c r="M35" s="86"/>
      <c r="N35" s="86"/>
    </row>
    <row r="36" spans="1:14" x14ac:dyDescent="0.25">
      <c r="A36" s="86"/>
      <c r="B36" s="86"/>
      <c r="C36" s="86"/>
      <c r="D36" s="86"/>
      <c r="E36" s="86"/>
      <c r="F36" s="86"/>
      <c r="G36" s="86"/>
      <c r="H36" s="86"/>
      <c r="I36" s="86"/>
      <c r="J36" s="86"/>
      <c r="K36" s="86"/>
      <c r="L36" s="86"/>
      <c r="M36" s="86"/>
      <c r="N36" s="86"/>
    </row>
    <row r="37" spans="1:14" x14ac:dyDescent="0.25">
      <c r="A37" s="86"/>
      <c r="B37" s="86"/>
      <c r="C37" s="86"/>
      <c r="D37" s="86"/>
      <c r="E37" s="86"/>
      <c r="F37" s="86"/>
      <c r="G37" s="86"/>
      <c r="H37" s="86"/>
      <c r="I37" s="86"/>
      <c r="J37" s="86"/>
      <c r="K37" s="86"/>
      <c r="L37" s="86"/>
      <c r="M37" s="86"/>
      <c r="N37" s="86"/>
    </row>
    <row r="38" spans="1:14" x14ac:dyDescent="0.25">
      <c r="A38" s="86"/>
      <c r="B38" s="86"/>
      <c r="C38" s="86"/>
      <c r="D38" s="86"/>
      <c r="E38" s="86"/>
      <c r="F38" s="86"/>
      <c r="G38" s="86"/>
      <c r="H38" s="86"/>
      <c r="I38" s="86"/>
      <c r="J38" s="86"/>
      <c r="K38" s="86"/>
      <c r="L38" s="86"/>
      <c r="M38" s="86"/>
      <c r="N38" s="86"/>
    </row>
    <row r="39" spans="1:14" x14ac:dyDescent="0.25">
      <c r="A39" s="86"/>
      <c r="B39" s="86"/>
      <c r="C39" s="86"/>
      <c r="D39" s="86"/>
      <c r="E39" s="86"/>
      <c r="F39" s="86"/>
      <c r="G39" s="86"/>
      <c r="H39" s="86"/>
      <c r="I39" s="86"/>
      <c r="J39" s="86"/>
      <c r="K39" s="86"/>
      <c r="L39" s="86"/>
      <c r="M39" s="86"/>
      <c r="N39" s="86"/>
    </row>
    <row r="40" spans="1:14" x14ac:dyDescent="0.25">
      <c r="A40" s="86"/>
      <c r="B40" s="86"/>
      <c r="C40" s="86"/>
      <c r="D40" s="86"/>
      <c r="E40" s="86"/>
      <c r="F40" s="86"/>
      <c r="G40" s="86"/>
      <c r="H40" s="86"/>
      <c r="I40" s="86"/>
      <c r="J40" s="86"/>
      <c r="K40" s="86"/>
      <c r="L40" s="86"/>
      <c r="M40" s="86"/>
      <c r="N40" s="86"/>
    </row>
    <row r="41" spans="1:14" x14ac:dyDescent="0.25">
      <c r="A41" s="86"/>
      <c r="B41" s="86"/>
      <c r="C41" s="86"/>
      <c r="D41" s="86"/>
      <c r="E41" s="86"/>
      <c r="F41" s="86"/>
      <c r="G41" s="86"/>
      <c r="H41" s="86"/>
      <c r="I41" s="86"/>
      <c r="J41" s="86"/>
      <c r="K41" s="86"/>
      <c r="L41" s="86"/>
      <c r="M41" s="86"/>
      <c r="N41" s="86"/>
    </row>
    <row r="42" spans="1:14" x14ac:dyDescent="0.25">
      <c r="A42" s="86"/>
      <c r="B42" s="86"/>
      <c r="C42" s="86"/>
      <c r="D42" s="86"/>
      <c r="E42" s="86"/>
      <c r="F42" s="86"/>
      <c r="G42" s="86"/>
      <c r="H42" s="86"/>
      <c r="I42" s="86"/>
      <c r="J42" s="86"/>
      <c r="K42" s="86"/>
      <c r="L42" s="86"/>
      <c r="M42" s="86"/>
      <c r="N42" s="86"/>
    </row>
    <row r="43" spans="1:14" x14ac:dyDescent="0.25">
      <c r="A43" s="86"/>
      <c r="B43" s="86"/>
      <c r="C43" s="86"/>
      <c r="D43" s="86"/>
      <c r="E43" s="86"/>
      <c r="F43" s="86"/>
      <c r="G43" s="86"/>
      <c r="H43" s="86"/>
      <c r="I43" s="86"/>
      <c r="J43" s="86"/>
      <c r="K43" s="86"/>
      <c r="L43" s="86"/>
      <c r="M43" s="86"/>
      <c r="N43" s="86"/>
    </row>
    <row r="44" spans="1:14" x14ac:dyDescent="0.25">
      <c r="A44" s="86"/>
      <c r="B44" s="86"/>
      <c r="C44" s="86"/>
      <c r="D44" s="86"/>
      <c r="E44" s="86"/>
      <c r="F44" s="86"/>
      <c r="G44" s="86"/>
      <c r="H44" s="86"/>
      <c r="I44" s="86"/>
      <c r="J44" s="86"/>
      <c r="K44" s="86"/>
      <c r="L44" s="86"/>
      <c r="M44" s="86"/>
      <c r="N44" s="86"/>
    </row>
    <row r="45" spans="1:14" x14ac:dyDescent="0.25">
      <c r="A45" s="86"/>
      <c r="B45" s="86"/>
      <c r="C45" s="86"/>
      <c r="D45" s="86"/>
      <c r="E45" s="86"/>
      <c r="F45" s="86"/>
      <c r="G45" s="86"/>
      <c r="H45" s="86"/>
      <c r="I45" s="86"/>
      <c r="J45" s="86"/>
      <c r="K45" s="86"/>
      <c r="L45" s="86"/>
      <c r="M45" s="86"/>
      <c r="N45" s="86"/>
    </row>
    <row r="46" spans="1:14" x14ac:dyDescent="0.25">
      <c r="A46" s="86"/>
      <c r="B46" s="86"/>
      <c r="C46" s="86"/>
      <c r="D46" s="86"/>
      <c r="E46" s="86"/>
      <c r="F46" s="86"/>
      <c r="G46" s="86"/>
      <c r="H46" s="86"/>
      <c r="I46" s="86"/>
      <c r="J46" s="86"/>
      <c r="K46" s="86"/>
      <c r="L46" s="86"/>
      <c r="M46" s="86"/>
      <c r="N46" s="86"/>
    </row>
    <row r="47" spans="1:14" x14ac:dyDescent="0.25">
      <c r="A47" s="86"/>
      <c r="B47" s="86"/>
      <c r="C47" s="86"/>
      <c r="D47" s="86"/>
      <c r="E47" s="86"/>
      <c r="F47" s="86"/>
      <c r="G47" s="86"/>
      <c r="H47" s="86"/>
      <c r="I47" s="86"/>
      <c r="J47" s="86"/>
      <c r="K47" s="86"/>
      <c r="L47" s="86"/>
      <c r="M47" s="86"/>
      <c r="N47" s="86"/>
    </row>
    <row r="48" spans="1:14" x14ac:dyDescent="0.25">
      <c r="A48" s="86"/>
      <c r="B48" s="86"/>
      <c r="C48" s="86"/>
      <c r="D48" s="86"/>
      <c r="E48" s="86"/>
      <c r="F48" s="86"/>
      <c r="G48" s="86"/>
      <c r="H48" s="86"/>
      <c r="I48" s="86"/>
      <c r="J48" s="86"/>
      <c r="K48" s="86"/>
      <c r="L48" s="86"/>
      <c r="M48" s="86"/>
      <c r="N48" s="86"/>
    </row>
    <row r="49" spans="1:14" x14ac:dyDescent="0.25">
      <c r="A49" s="86"/>
      <c r="B49" s="86"/>
      <c r="C49" s="86"/>
      <c r="D49" s="86"/>
      <c r="E49" s="86"/>
      <c r="F49" s="86"/>
      <c r="G49" s="86"/>
      <c r="H49" s="86"/>
      <c r="I49" s="86"/>
      <c r="J49" s="86"/>
      <c r="K49" s="86"/>
      <c r="L49" s="86"/>
      <c r="M49" s="86"/>
      <c r="N49" s="86"/>
    </row>
    <row r="50" spans="1:14" x14ac:dyDescent="0.25">
      <c r="A50" s="86"/>
      <c r="B50" s="86"/>
      <c r="C50" s="86"/>
      <c r="D50" s="86"/>
      <c r="E50" s="86"/>
      <c r="F50" s="86"/>
      <c r="G50" s="86"/>
      <c r="H50" s="86"/>
      <c r="I50" s="86"/>
      <c r="J50" s="86"/>
      <c r="K50" s="86"/>
      <c r="L50" s="86"/>
      <c r="M50" s="86"/>
      <c r="N50" s="86"/>
    </row>
    <row r="51" spans="1:14" x14ac:dyDescent="0.25">
      <c r="A51" s="86"/>
      <c r="B51" s="86"/>
      <c r="C51" s="86"/>
      <c r="D51" s="86"/>
      <c r="E51" s="86"/>
      <c r="F51" s="86"/>
      <c r="G51" s="86"/>
      <c r="H51" s="86"/>
      <c r="I51" s="86"/>
      <c r="J51" s="86"/>
      <c r="K51" s="86"/>
      <c r="L51" s="86"/>
      <c r="M51" s="86"/>
      <c r="N51" s="86"/>
    </row>
    <row r="52" spans="1:14" x14ac:dyDescent="0.25">
      <c r="A52" s="86"/>
      <c r="B52" s="86"/>
      <c r="C52" s="86"/>
      <c r="D52" s="86"/>
      <c r="E52" s="86"/>
      <c r="F52" s="86"/>
      <c r="G52" s="86"/>
      <c r="H52" s="86"/>
      <c r="I52" s="86"/>
      <c r="J52" s="86"/>
      <c r="K52" s="86"/>
      <c r="L52" s="86"/>
      <c r="M52" s="86"/>
      <c r="N52" s="86"/>
    </row>
    <row r="53" spans="1:14" x14ac:dyDescent="0.25">
      <c r="A53" s="86"/>
      <c r="B53" s="86"/>
      <c r="C53" s="86"/>
      <c r="D53" s="86"/>
      <c r="E53" s="86"/>
      <c r="F53" s="86"/>
      <c r="G53" s="86"/>
      <c r="H53" s="86"/>
      <c r="I53" s="86"/>
      <c r="J53" s="86"/>
      <c r="K53" s="86"/>
      <c r="L53" s="86"/>
      <c r="M53" s="86"/>
      <c r="N53" s="86"/>
    </row>
    <row r="54" spans="1:14" x14ac:dyDescent="0.25">
      <c r="A54" s="86"/>
      <c r="B54" s="86"/>
      <c r="C54" s="86"/>
      <c r="D54" s="86"/>
      <c r="E54" s="86"/>
      <c r="F54" s="86"/>
      <c r="G54" s="86"/>
      <c r="H54" s="86"/>
      <c r="I54" s="86"/>
      <c r="J54" s="86"/>
      <c r="K54" s="86"/>
      <c r="L54" s="86"/>
      <c r="M54" s="86"/>
      <c r="N54" s="86"/>
    </row>
    <row r="55" spans="1:14" x14ac:dyDescent="0.25">
      <c r="A55" s="86"/>
      <c r="B55" s="86"/>
      <c r="C55" s="86"/>
      <c r="D55" s="86"/>
      <c r="E55" s="86"/>
      <c r="F55" s="86"/>
      <c r="G55" s="86"/>
      <c r="H55" s="86"/>
      <c r="I55" s="86"/>
      <c r="J55" s="86"/>
      <c r="K55" s="86"/>
      <c r="L55" s="86"/>
      <c r="M55" s="86"/>
      <c r="N55" s="86"/>
    </row>
    <row r="56" spans="1:14" x14ac:dyDescent="0.25">
      <c r="A56" s="86"/>
      <c r="B56" s="86"/>
      <c r="C56" s="86"/>
      <c r="D56" s="86"/>
      <c r="E56" s="86"/>
      <c r="F56" s="86"/>
      <c r="G56" s="86"/>
      <c r="H56" s="86"/>
      <c r="I56" s="86"/>
      <c r="J56" s="86"/>
      <c r="K56" s="86"/>
      <c r="L56" s="86"/>
      <c r="M56" s="86"/>
      <c r="N56" s="86"/>
    </row>
    <row r="57" spans="1:14" x14ac:dyDescent="0.25">
      <c r="A57" s="86"/>
      <c r="B57" s="86"/>
      <c r="C57" s="86"/>
      <c r="D57" s="86"/>
      <c r="E57" s="86"/>
      <c r="F57" s="86"/>
      <c r="G57" s="86"/>
      <c r="H57" s="86"/>
      <c r="I57" s="86"/>
      <c r="J57" s="86"/>
      <c r="K57" s="86"/>
      <c r="L57" s="86"/>
      <c r="M57" s="86"/>
      <c r="N57" s="86"/>
    </row>
    <row r="58" spans="1:14" x14ac:dyDescent="0.25">
      <c r="A58" s="86"/>
      <c r="B58" s="86"/>
      <c r="C58" s="86"/>
      <c r="D58" s="86"/>
      <c r="E58" s="86"/>
      <c r="F58" s="86"/>
      <c r="G58" s="86"/>
      <c r="H58" s="86"/>
      <c r="I58" s="86"/>
      <c r="J58" s="86"/>
      <c r="K58" s="86"/>
      <c r="L58" s="86"/>
      <c r="M58" s="86"/>
      <c r="N58" s="86"/>
    </row>
    <row r="59" spans="1:14" x14ac:dyDescent="0.25">
      <c r="A59" s="86"/>
      <c r="B59" s="86"/>
      <c r="C59" s="86"/>
      <c r="D59" s="86"/>
      <c r="E59" s="86"/>
      <c r="F59" s="86"/>
      <c r="G59" s="86"/>
      <c r="H59" s="86"/>
      <c r="I59" s="86"/>
      <c r="J59" s="86"/>
      <c r="K59" s="86"/>
      <c r="L59" s="86"/>
      <c r="M59" s="86"/>
      <c r="N59" s="86"/>
    </row>
    <row r="60" spans="1:14" x14ac:dyDescent="0.25">
      <c r="A60" s="86"/>
      <c r="B60" s="86"/>
      <c r="C60" s="86"/>
      <c r="D60" s="86"/>
      <c r="E60" s="86"/>
      <c r="F60" s="86"/>
      <c r="G60" s="86"/>
      <c r="H60" s="86"/>
      <c r="I60" s="86"/>
      <c r="J60" s="86"/>
      <c r="K60" s="86"/>
      <c r="L60" s="86"/>
      <c r="M60" s="86"/>
      <c r="N60" s="86"/>
    </row>
    <row r="61" spans="1:14" x14ac:dyDescent="0.25">
      <c r="A61" s="86"/>
      <c r="B61" s="86"/>
      <c r="C61" s="86"/>
      <c r="D61" s="86"/>
      <c r="E61" s="86"/>
      <c r="F61" s="86"/>
      <c r="G61" s="86"/>
      <c r="H61" s="86"/>
      <c r="I61" s="86"/>
      <c r="J61" s="86"/>
      <c r="K61" s="86"/>
      <c r="L61" s="86"/>
      <c r="M61" s="86"/>
      <c r="N61" s="86"/>
    </row>
    <row r="62" spans="1:14" x14ac:dyDescent="0.25">
      <c r="A62" s="86"/>
      <c r="B62" s="86"/>
      <c r="C62" s="86"/>
      <c r="D62" s="86"/>
      <c r="E62" s="86"/>
      <c r="F62" s="86"/>
      <c r="G62" s="86"/>
      <c r="H62" s="86"/>
      <c r="I62" s="86"/>
      <c r="J62" s="86"/>
      <c r="K62" s="86"/>
      <c r="L62" s="86"/>
      <c r="M62" s="86"/>
      <c r="N62" s="86"/>
    </row>
    <row r="63" spans="1:14" x14ac:dyDescent="0.25">
      <c r="A63" s="86"/>
      <c r="B63" s="86"/>
      <c r="C63" s="86"/>
      <c r="D63" s="86"/>
      <c r="E63" s="86"/>
      <c r="F63" s="86"/>
      <c r="G63" s="86"/>
      <c r="H63" s="86"/>
      <c r="I63" s="86"/>
      <c r="J63" s="86"/>
      <c r="K63" s="86"/>
      <c r="L63" s="86"/>
      <c r="M63" s="86"/>
      <c r="N63" s="86"/>
    </row>
    <row r="64" spans="1:14" x14ac:dyDescent="0.25">
      <c r="A64" s="86"/>
      <c r="B64" s="86"/>
      <c r="C64" s="86"/>
      <c r="D64" s="86"/>
      <c r="E64" s="86"/>
      <c r="F64" s="86"/>
      <c r="G64" s="86"/>
      <c r="H64" s="86"/>
      <c r="I64" s="86"/>
      <c r="J64" s="86"/>
      <c r="K64" s="86"/>
      <c r="L64" s="86"/>
      <c r="M64" s="86"/>
      <c r="N64" s="86"/>
    </row>
    <row r="65" spans="1:14" x14ac:dyDescent="0.25">
      <c r="A65" s="86"/>
      <c r="B65" s="86"/>
      <c r="C65" s="86"/>
      <c r="D65" s="86"/>
      <c r="E65" s="86"/>
      <c r="F65" s="86"/>
      <c r="G65" s="86"/>
      <c r="H65" s="86"/>
      <c r="I65" s="86"/>
      <c r="J65" s="86"/>
      <c r="K65" s="86"/>
      <c r="L65" s="86"/>
      <c r="M65" s="86"/>
      <c r="N65" s="86"/>
    </row>
    <row r="66" spans="1:14" x14ac:dyDescent="0.25">
      <c r="A66" s="86"/>
      <c r="B66" s="86"/>
      <c r="C66" s="86"/>
      <c r="D66" s="86"/>
      <c r="E66" s="86"/>
      <c r="F66" s="86"/>
      <c r="G66" s="86"/>
      <c r="H66" s="86"/>
      <c r="I66" s="86"/>
      <c r="J66" s="86"/>
      <c r="K66" s="86"/>
      <c r="L66" s="86"/>
      <c r="M66" s="86"/>
      <c r="N66" s="86"/>
    </row>
    <row r="67" spans="1:14" x14ac:dyDescent="0.25">
      <c r="A67" s="86" t="s">
        <v>436</v>
      </c>
      <c r="B67" s="86"/>
      <c r="C67" s="86"/>
      <c r="D67" s="86"/>
      <c r="E67" s="86"/>
      <c r="F67" s="86"/>
      <c r="G67" s="86"/>
      <c r="H67" s="86"/>
      <c r="I67" s="86"/>
      <c r="J67" s="86"/>
      <c r="K67" s="86"/>
      <c r="L67" s="86"/>
      <c r="M67" s="86"/>
      <c r="N67" s="86"/>
    </row>
    <row r="68" spans="1:14" x14ac:dyDescent="0.25">
      <c r="A68" s="86" t="s">
        <v>418</v>
      </c>
      <c r="B68" s="86" t="s">
        <v>419</v>
      </c>
      <c r="C68" s="86" t="s">
        <v>420</v>
      </c>
      <c r="D68" s="86" t="s">
        <v>421</v>
      </c>
      <c r="E68" s="86" t="s">
        <v>422</v>
      </c>
      <c r="F68" s="86" t="s">
        <v>423</v>
      </c>
      <c r="G68" s="86" t="s">
        <v>424</v>
      </c>
      <c r="H68" s="86"/>
      <c r="I68" s="86"/>
      <c r="J68" s="86"/>
      <c r="K68" s="86"/>
      <c r="L68" s="86"/>
      <c r="M68" s="86"/>
      <c r="N68" s="86"/>
    </row>
    <row r="69" spans="1:14" x14ac:dyDescent="0.25">
      <c r="A69" s="86" t="s">
        <v>437</v>
      </c>
      <c r="B69" s="86">
        <f>+COUNTIFS('AI - Questionário'!$D$6:$D$9,0)</f>
        <v>4</v>
      </c>
      <c r="C69" s="86">
        <f>+COUNTIFS('AI - Questionário'!$D$6:$D$9,1)</f>
        <v>0</v>
      </c>
      <c r="D69" s="86">
        <f>+COUNTIFS('AI - Questionário'!$D$6:$D$9,2)</f>
        <v>0</v>
      </c>
      <c r="E69" s="86">
        <f>+COUNTIFS('AI - Questionário'!$D$6:$D$9,3)</f>
        <v>0</v>
      </c>
      <c r="F69" s="86">
        <f>+COUNTIFS('AI - Questionário'!$D$6:$D$9,4)</f>
        <v>0</v>
      </c>
      <c r="G69" s="86">
        <f>+COUNTIFS('AI - Questionário'!$D$6:$D$9,5)</f>
        <v>0</v>
      </c>
      <c r="H69" s="86"/>
      <c r="I69" s="86"/>
      <c r="J69" s="86"/>
      <c r="K69" s="86"/>
      <c r="L69" s="86"/>
      <c r="M69" s="86"/>
      <c r="N69" s="86"/>
    </row>
    <row r="70" spans="1:14" x14ac:dyDescent="0.25">
      <c r="A70" s="86" t="s">
        <v>438</v>
      </c>
      <c r="B70" s="86">
        <f>COUNTIFS('AI - Questionário'!$D$14:$D$23,0)</f>
        <v>10</v>
      </c>
      <c r="C70" s="86">
        <f>COUNTIFS('AI - Questionário'!$D$14:$D$23,1)</f>
        <v>0</v>
      </c>
      <c r="D70" s="86">
        <f>COUNTIFS('AI - Questionário'!$D$14:$D$23,2)</f>
        <v>0</v>
      </c>
      <c r="E70" s="86">
        <f>COUNTIFS('AI - Questionário'!$D$14:$D$23,3)</f>
        <v>0</v>
      </c>
      <c r="F70" s="86">
        <f>COUNTIFS('AI - Questionário'!$D$14:$D$23,4)</f>
        <v>0</v>
      </c>
      <c r="G70" s="86">
        <f>COUNTIFS('AI - Questionário'!$D$14:$D$23,5)</f>
        <v>0</v>
      </c>
      <c r="H70" s="86"/>
      <c r="I70" s="86"/>
      <c r="J70" s="86"/>
      <c r="K70" s="86"/>
      <c r="L70" s="86"/>
      <c r="M70" s="86"/>
      <c r="N70" s="86"/>
    </row>
    <row r="71" spans="1:14" x14ac:dyDescent="0.25">
      <c r="A71" s="86" t="s">
        <v>439</v>
      </c>
      <c r="B71" s="86">
        <f>+COUNTIFS('AI - Questionário'!$D$28:$D$31,0)</f>
        <v>4</v>
      </c>
      <c r="C71" s="86">
        <f>+COUNTIFS('AI - Questionário'!$D$28:$D$31,1)</f>
        <v>0</v>
      </c>
      <c r="D71" s="86">
        <f>+COUNTIFS('AI - Questionário'!$D$28:$D$31,2)</f>
        <v>0</v>
      </c>
      <c r="E71" s="86">
        <f>+COUNTIFS('AI - Questionário'!$D$28:$D$31,3)</f>
        <v>0</v>
      </c>
      <c r="F71" s="86">
        <f>+COUNTIFS('AI - Questionário'!$D$28:$D$31,4)</f>
        <v>0</v>
      </c>
      <c r="G71" s="86">
        <f>+COUNTIFS('AI - Questionário'!$D$28:$D$31,5)</f>
        <v>0</v>
      </c>
      <c r="H71" s="86"/>
      <c r="I71" s="86"/>
      <c r="J71" s="86"/>
      <c r="K71" s="86"/>
      <c r="L71" s="86"/>
      <c r="M71" s="86"/>
      <c r="N71" s="86"/>
    </row>
    <row r="72" spans="1:14" x14ac:dyDescent="0.25">
      <c r="A72" s="86" t="s">
        <v>440</v>
      </c>
      <c r="B72" s="86">
        <f>+COUNTIFS('AI - Questionário'!$D$36:$D$39,0)</f>
        <v>4</v>
      </c>
      <c r="C72" s="86">
        <f>+COUNTIFS('AI - Questionário'!$D$36:$D$39,1)</f>
        <v>0</v>
      </c>
      <c r="D72" s="86">
        <f>+COUNTIFS('AI - Questionário'!$D$36:$D$39,2)</f>
        <v>0</v>
      </c>
      <c r="E72" s="86">
        <f>+COUNTIFS('AI - Questionário'!$D$36:$D$39,3)</f>
        <v>0</v>
      </c>
      <c r="F72" s="86">
        <f>+COUNTIFS('AI - Questionário'!$D$36:$D$39,4)</f>
        <v>0</v>
      </c>
      <c r="G72" s="86">
        <f>+COUNTIFS('AI - Questionário'!$D$36:$D$39,5)</f>
        <v>0</v>
      </c>
      <c r="H72" s="86"/>
      <c r="I72" s="86"/>
      <c r="J72" s="86"/>
      <c r="K72" s="86"/>
      <c r="L72" s="86"/>
      <c r="M72" s="86"/>
      <c r="N72" s="86"/>
    </row>
    <row r="73" spans="1:14" x14ac:dyDescent="0.25">
      <c r="A73" s="86" t="s">
        <v>441</v>
      </c>
      <c r="B73" s="86">
        <f>COUNTIFS('AI - Questionário'!$D$44:$D$47,0)</f>
        <v>4</v>
      </c>
      <c r="C73" s="86">
        <f>COUNTIFS('AI - Questionário'!$D$44:$D$47,1)</f>
        <v>0</v>
      </c>
      <c r="D73" s="86">
        <f>COUNTIFS('AI - Questionário'!$D$44:$D$47,2)</f>
        <v>0</v>
      </c>
      <c r="E73" s="86">
        <f>COUNTIFS('AI - Questionário'!$D$44:$D$47,3)</f>
        <v>0</v>
      </c>
      <c r="F73" s="86">
        <f>COUNTIFS('AI - Questionário'!$D$44:$D$47,4)</f>
        <v>0</v>
      </c>
      <c r="G73" s="86">
        <f>COUNTIFS('AI - Questionário'!$D$44:$D$47,5)</f>
        <v>0</v>
      </c>
      <c r="H73" s="86"/>
      <c r="I73" s="86"/>
      <c r="J73" s="86"/>
      <c r="K73" s="86"/>
      <c r="L73" s="86"/>
      <c r="M73" s="86"/>
      <c r="N73" s="86"/>
    </row>
    <row r="74" spans="1:14" x14ac:dyDescent="0.25">
      <c r="A74" s="86" t="s">
        <v>442</v>
      </c>
      <c r="B74" s="86">
        <f>COUNTIFS('AI - Questionário'!$D$52:$D$56,0)</f>
        <v>5</v>
      </c>
      <c r="C74" s="86">
        <f>COUNTIFS('AI - Questionário'!$D$52:$D$56,1)</f>
        <v>0</v>
      </c>
      <c r="D74" s="86">
        <f>COUNTIFS('AI - Questionário'!$D$52:$D$56,2)</f>
        <v>0</v>
      </c>
      <c r="E74" s="86">
        <f>COUNTIFS('AI - Questionário'!$D$52:$D$56,3)</f>
        <v>0</v>
      </c>
      <c r="F74" s="86">
        <f>COUNTIFS('AI - Questionário'!$D$52:$D$56,4)</f>
        <v>0</v>
      </c>
      <c r="G74" s="86">
        <f>COUNTIFS('AI - Questionário'!$D$52:$D$56,5)</f>
        <v>0</v>
      </c>
      <c r="H74" s="86"/>
      <c r="I74" s="86"/>
      <c r="J74" s="86"/>
      <c r="K74" s="86"/>
      <c r="L74" s="86"/>
      <c r="M74" s="86"/>
      <c r="N74" s="86"/>
    </row>
    <row r="75" spans="1:14" x14ac:dyDescent="0.25">
      <c r="A75" s="86" t="s">
        <v>443</v>
      </c>
      <c r="B75" s="86">
        <f>+COUNTIFS('AI - Questionário'!$D$61:$F$69,0)</f>
        <v>18</v>
      </c>
      <c r="C75" s="86">
        <f>+COUNTIFS('AI - Questionário'!$D$61:$F$69,1)</f>
        <v>0</v>
      </c>
      <c r="D75" s="86">
        <f>+COUNTIFS('AI - Questionário'!$D$61:$F$69,2)</f>
        <v>0</v>
      </c>
      <c r="E75" s="86">
        <f>+COUNTIFS('AI - Questionário'!$D$61:$F$69,3)</f>
        <v>0</v>
      </c>
      <c r="F75" s="86">
        <f>+COUNTIFS('AI - Questionário'!$D$61:$F$69,4)</f>
        <v>0</v>
      </c>
      <c r="G75" s="86">
        <f>+COUNTIFS('AI - Questionário'!$D$61:$F$69,5)</f>
        <v>0</v>
      </c>
      <c r="H75" s="86"/>
      <c r="I75" s="86"/>
      <c r="J75" s="86"/>
      <c r="K75" s="86"/>
      <c r="L75" s="86"/>
      <c r="M75" s="86"/>
      <c r="N75" s="86"/>
    </row>
    <row r="76" spans="1:14" x14ac:dyDescent="0.25">
      <c r="A76" s="86"/>
      <c r="B76" s="86"/>
      <c r="C76" s="86"/>
      <c r="D76" s="86"/>
      <c r="E76" s="86"/>
      <c r="F76" s="86"/>
      <c r="G76" s="86"/>
      <c r="H76" s="86"/>
      <c r="I76" s="86"/>
      <c r="J76" s="86"/>
      <c r="K76" s="86"/>
      <c r="L76" s="86"/>
      <c r="M76" s="86"/>
      <c r="N76" s="86"/>
    </row>
    <row r="77" spans="1:14" x14ac:dyDescent="0.25">
      <c r="A77" s="86"/>
      <c r="B77" s="86"/>
      <c r="C77" s="86"/>
      <c r="D77" s="86"/>
      <c r="E77" s="86"/>
      <c r="F77" s="86"/>
      <c r="G77" s="86"/>
      <c r="H77" s="86"/>
      <c r="I77" s="86"/>
      <c r="J77" s="86"/>
      <c r="K77" s="86"/>
      <c r="L77" s="86"/>
      <c r="M77" s="86"/>
      <c r="N77" s="86"/>
    </row>
    <row r="78" spans="1:14" x14ac:dyDescent="0.25">
      <c r="A78" s="86"/>
      <c r="B78" s="86"/>
      <c r="C78" s="86"/>
      <c r="D78" s="86"/>
      <c r="E78" s="86"/>
      <c r="F78" s="86"/>
      <c r="G78" s="86"/>
      <c r="H78" s="86"/>
      <c r="I78" s="86"/>
      <c r="J78" s="86"/>
      <c r="K78" s="86"/>
      <c r="L78" s="86"/>
      <c r="M78" s="86"/>
      <c r="N78" s="86"/>
    </row>
    <row r="79" spans="1:14" x14ac:dyDescent="0.25">
      <c r="A79" s="86"/>
      <c r="B79" s="86"/>
      <c r="C79" s="86"/>
      <c r="D79" s="86"/>
      <c r="E79" s="86"/>
      <c r="F79" s="86"/>
      <c r="G79" s="86"/>
      <c r="H79" s="86"/>
      <c r="I79" s="86"/>
      <c r="J79" s="86"/>
      <c r="K79" s="86"/>
      <c r="L79" s="86"/>
      <c r="M79" s="86"/>
      <c r="N79" s="86"/>
    </row>
    <row r="80" spans="1:14" x14ac:dyDescent="0.25">
      <c r="A80" s="86"/>
      <c r="B80" s="86"/>
      <c r="C80" s="86"/>
      <c r="D80" s="86"/>
      <c r="E80" s="86"/>
      <c r="F80" s="86"/>
      <c r="G80" s="86"/>
      <c r="H80" s="86"/>
      <c r="I80" s="86"/>
      <c r="J80" s="86"/>
      <c r="K80" s="86"/>
      <c r="L80" s="86"/>
      <c r="M80" s="86"/>
      <c r="N80" s="86"/>
    </row>
    <row r="81" spans="1:14" x14ac:dyDescent="0.25">
      <c r="A81" s="86"/>
      <c r="B81" s="86"/>
      <c r="C81" s="86"/>
      <c r="D81" s="86"/>
      <c r="E81" s="86"/>
      <c r="F81" s="86"/>
      <c r="G81" s="86"/>
      <c r="H81" s="86"/>
      <c r="I81" s="86"/>
      <c r="J81" s="86"/>
      <c r="K81" s="86"/>
      <c r="L81" s="86"/>
      <c r="M81" s="86"/>
      <c r="N81" s="86"/>
    </row>
    <row r="82" spans="1:14" x14ac:dyDescent="0.25">
      <c r="A82" s="86"/>
      <c r="B82" s="86"/>
      <c r="C82" s="86"/>
      <c r="D82" s="86"/>
      <c r="E82" s="86"/>
      <c r="F82" s="86"/>
      <c r="G82" s="86"/>
      <c r="H82" s="86"/>
      <c r="I82" s="86"/>
      <c r="J82" s="86"/>
      <c r="K82" s="86"/>
      <c r="L82" s="86"/>
      <c r="M82" s="86"/>
      <c r="N82" s="86"/>
    </row>
    <row r="83" spans="1:14" x14ac:dyDescent="0.25">
      <c r="A83" s="86"/>
      <c r="B83" s="86"/>
      <c r="C83" s="86"/>
      <c r="D83" s="86"/>
      <c r="E83" s="86"/>
      <c r="F83" s="86"/>
      <c r="G83" s="86"/>
      <c r="H83" s="86"/>
      <c r="I83" s="86"/>
      <c r="J83" s="86"/>
      <c r="K83" s="86"/>
      <c r="L83" s="86"/>
      <c r="M83" s="86"/>
      <c r="N83" s="86"/>
    </row>
    <row r="84" spans="1:14" x14ac:dyDescent="0.25">
      <c r="A84" s="86"/>
      <c r="B84" s="86"/>
      <c r="C84" s="86"/>
      <c r="D84" s="86"/>
      <c r="E84" s="86"/>
      <c r="F84" s="86"/>
      <c r="G84" s="86"/>
      <c r="H84" s="86"/>
      <c r="I84" s="86"/>
      <c r="J84" s="86"/>
      <c r="K84" s="86"/>
      <c r="L84" s="86"/>
      <c r="M84" s="86"/>
      <c r="N84" s="86"/>
    </row>
    <row r="85" spans="1:14" x14ac:dyDescent="0.25">
      <c r="A85" s="86"/>
      <c r="B85" s="86"/>
      <c r="C85" s="86"/>
      <c r="D85" s="86"/>
      <c r="E85" s="86"/>
      <c r="F85" s="86"/>
      <c r="G85" s="86"/>
      <c r="H85" s="86"/>
      <c r="I85" s="86"/>
      <c r="J85" s="86"/>
      <c r="K85" s="86"/>
      <c r="L85" s="86"/>
      <c r="M85" s="86"/>
      <c r="N85" s="86"/>
    </row>
    <row r="86" spans="1:14" x14ac:dyDescent="0.25">
      <c r="A86" s="86"/>
      <c r="B86" s="86"/>
      <c r="C86" s="86"/>
      <c r="D86" s="86"/>
      <c r="E86" s="86"/>
      <c r="F86" s="86"/>
      <c r="G86" s="86"/>
      <c r="H86" s="86"/>
      <c r="I86" s="86"/>
      <c r="J86" s="86"/>
      <c r="K86" s="86"/>
      <c r="L86" s="86"/>
      <c r="M86" s="86"/>
      <c r="N86" s="86"/>
    </row>
    <row r="87" spans="1:14" x14ac:dyDescent="0.25">
      <c r="A87" s="86"/>
      <c r="B87" s="86"/>
      <c r="C87" s="86"/>
      <c r="D87" s="86"/>
      <c r="E87" s="86"/>
      <c r="F87" s="86"/>
      <c r="G87" s="86"/>
      <c r="H87" s="86"/>
      <c r="I87" s="86"/>
      <c r="J87" s="86"/>
      <c r="K87" s="86"/>
      <c r="L87" s="86"/>
      <c r="M87" s="86"/>
      <c r="N87" s="86"/>
    </row>
    <row r="88" spans="1:14" x14ac:dyDescent="0.25">
      <c r="A88" s="86"/>
      <c r="B88" s="86"/>
      <c r="C88" s="86"/>
      <c r="D88" s="86"/>
      <c r="E88" s="86"/>
      <c r="F88" s="86"/>
      <c r="G88" s="86"/>
      <c r="H88" s="86"/>
      <c r="I88" s="86"/>
      <c r="J88" s="86"/>
      <c r="K88" s="86"/>
      <c r="L88" s="86"/>
      <c r="M88" s="86"/>
      <c r="N88" s="86"/>
    </row>
    <row r="89" spans="1:14" x14ac:dyDescent="0.25">
      <c r="A89" s="86"/>
      <c r="B89" s="86"/>
      <c r="C89" s="86"/>
      <c r="D89" s="86"/>
      <c r="E89" s="86"/>
      <c r="F89" s="86"/>
      <c r="G89" s="86"/>
      <c r="H89" s="86"/>
      <c r="I89" s="86"/>
      <c r="J89" s="86"/>
      <c r="K89" s="86"/>
      <c r="L89" s="86"/>
      <c r="M89" s="86"/>
      <c r="N89" s="86"/>
    </row>
    <row r="90" spans="1:14" x14ac:dyDescent="0.25">
      <c r="A90" s="86"/>
      <c r="B90" s="86"/>
      <c r="C90" s="86"/>
      <c r="D90" s="86"/>
      <c r="E90" s="86"/>
      <c r="F90" s="86"/>
      <c r="G90" s="86"/>
      <c r="H90" s="86"/>
      <c r="I90" s="86"/>
      <c r="J90" s="86"/>
      <c r="K90" s="86"/>
      <c r="L90" s="86"/>
      <c r="M90" s="86"/>
      <c r="N90" s="86"/>
    </row>
    <row r="91" spans="1:14" x14ac:dyDescent="0.25">
      <c r="A91" s="86"/>
      <c r="B91" s="86"/>
      <c r="C91" s="86"/>
      <c r="D91" s="86"/>
      <c r="E91" s="86"/>
      <c r="F91" s="86"/>
      <c r="G91" s="86"/>
      <c r="H91" s="86"/>
      <c r="I91" s="86"/>
      <c r="J91" s="86"/>
      <c r="K91" s="86"/>
      <c r="L91" s="86"/>
      <c r="M91" s="86"/>
      <c r="N91" s="86"/>
    </row>
    <row r="92" spans="1:14" x14ac:dyDescent="0.25">
      <c r="A92" s="86"/>
      <c r="B92" s="86"/>
      <c r="C92" s="86"/>
      <c r="D92" s="86"/>
      <c r="E92" s="86"/>
      <c r="F92" s="86"/>
      <c r="G92" s="86"/>
      <c r="H92" s="86"/>
      <c r="I92" s="86"/>
      <c r="J92" s="86"/>
      <c r="K92" s="86"/>
      <c r="L92" s="86"/>
      <c r="M92" s="86"/>
      <c r="N92" s="86"/>
    </row>
    <row r="93" spans="1:14" x14ac:dyDescent="0.25">
      <c r="A93" s="86"/>
      <c r="B93" s="86"/>
      <c r="C93" s="86"/>
      <c r="D93" s="86"/>
      <c r="E93" s="86"/>
      <c r="F93" s="86"/>
      <c r="G93" s="86"/>
      <c r="H93" s="86"/>
      <c r="I93" s="86"/>
      <c r="J93" s="86"/>
      <c r="K93" s="86"/>
      <c r="L93" s="86"/>
      <c r="M93" s="86"/>
      <c r="N93" s="86"/>
    </row>
    <row r="94" spans="1:14" x14ac:dyDescent="0.25">
      <c r="A94" s="86"/>
      <c r="B94" s="86"/>
      <c r="C94" s="86"/>
      <c r="D94" s="86"/>
      <c r="E94" s="86"/>
      <c r="F94" s="86"/>
      <c r="G94" s="86"/>
      <c r="H94" s="86"/>
      <c r="I94" s="86"/>
      <c r="J94" s="86"/>
      <c r="K94" s="86"/>
      <c r="L94" s="86"/>
      <c r="M94" s="86"/>
      <c r="N94" s="86"/>
    </row>
    <row r="95" spans="1:14" x14ac:dyDescent="0.25">
      <c r="A95" s="86"/>
      <c r="B95" s="86"/>
      <c r="C95" s="86"/>
      <c r="D95" s="86"/>
      <c r="E95" s="86"/>
      <c r="F95" s="86"/>
      <c r="G95" s="86"/>
      <c r="H95" s="86"/>
      <c r="I95" s="86"/>
      <c r="J95" s="86"/>
      <c r="K95" s="86"/>
      <c r="L95" s="86"/>
      <c r="M95" s="86"/>
      <c r="N95" s="86"/>
    </row>
    <row r="96" spans="1:14" x14ac:dyDescent="0.25">
      <c r="A96" s="86"/>
      <c r="B96" s="86"/>
      <c r="C96" s="86"/>
      <c r="D96" s="86"/>
      <c r="E96" s="86"/>
      <c r="F96" s="86"/>
      <c r="G96" s="86"/>
      <c r="H96" s="86"/>
      <c r="I96" s="86"/>
      <c r="J96" s="86"/>
      <c r="K96" s="86"/>
      <c r="L96" s="86"/>
      <c r="M96" s="86"/>
      <c r="N96" s="86"/>
    </row>
    <row r="97" spans="1:14" x14ac:dyDescent="0.25">
      <c r="A97" s="86"/>
      <c r="B97" s="86"/>
      <c r="C97" s="86"/>
      <c r="D97" s="86"/>
      <c r="E97" s="86"/>
      <c r="F97" s="86"/>
      <c r="G97" s="86"/>
      <c r="H97" s="86"/>
      <c r="I97" s="86"/>
      <c r="J97" s="86"/>
      <c r="K97" s="86"/>
      <c r="L97" s="86"/>
      <c r="M97" s="86"/>
      <c r="N97" s="86"/>
    </row>
    <row r="98" spans="1:14" x14ac:dyDescent="0.25">
      <c r="A98" s="86"/>
      <c r="B98" s="86"/>
      <c r="C98" s="86"/>
      <c r="D98" s="86"/>
      <c r="E98" s="86"/>
      <c r="F98" s="86"/>
      <c r="G98" s="86"/>
      <c r="H98" s="86"/>
      <c r="I98" s="86"/>
      <c r="J98" s="86"/>
      <c r="K98" s="86"/>
      <c r="L98" s="86"/>
      <c r="M98" s="86"/>
      <c r="N98" s="86"/>
    </row>
    <row r="99" spans="1:14" x14ac:dyDescent="0.25">
      <c r="A99" s="86"/>
      <c r="B99" s="86"/>
      <c r="C99" s="86"/>
      <c r="D99" s="86"/>
      <c r="E99" s="86"/>
      <c r="F99" s="86"/>
      <c r="G99" s="86"/>
      <c r="H99" s="86"/>
      <c r="I99" s="86"/>
      <c r="J99" s="86"/>
      <c r="K99" s="86"/>
      <c r="L99" s="86"/>
      <c r="M99" s="86"/>
      <c r="N99" s="86"/>
    </row>
    <row r="100" spans="1:14" x14ac:dyDescent="0.25">
      <c r="A100" s="86"/>
      <c r="B100" s="86"/>
      <c r="C100" s="86"/>
      <c r="D100" s="86"/>
      <c r="E100" s="86"/>
      <c r="F100" s="86"/>
      <c r="G100" s="86"/>
      <c r="H100" s="86"/>
      <c r="I100" s="86"/>
      <c r="J100" s="86"/>
      <c r="K100" s="86"/>
      <c r="L100" s="86"/>
      <c r="M100" s="86"/>
      <c r="N100" s="86"/>
    </row>
    <row r="101" spans="1:14" x14ac:dyDescent="0.25">
      <c r="A101" s="86"/>
      <c r="B101" s="86"/>
      <c r="C101" s="86"/>
      <c r="D101" s="86"/>
      <c r="E101" s="86"/>
      <c r="F101" s="86"/>
      <c r="G101" s="86"/>
      <c r="H101" s="86"/>
      <c r="I101" s="86"/>
      <c r="J101" s="86"/>
      <c r="K101" s="86"/>
      <c r="L101" s="86"/>
      <c r="M101" s="86"/>
      <c r="N101" s="86"/>
    </row>
    <row r="102" spans="1:14" x14ac:dyDescent="0.25">
      <c r="A102" s="86"/>
      <c r="B102" s="86"/>
      <c r="C102" s="86"/>
      <c r="D102" s="86"/>
      <c r="E102" s="86"/>
      <c r="F102" s="86"/>
      <c r="G102" s="86"/>
      <c r="H102" s="86"/>
      <c r="I102" s="86"/>
      <c r="J102" s="86"/>
      <c r="K102" s="86"/>
      <c r="L102" s="86"/>
      <c r="M102" s="86"/>
      <c r="N102" s="86"/>
    </row>
    <row r="103" spans="1:14" x14ac:dyDescent="0.25">
      <c r="A103" s="86"/>
      <c r="B103" s="86"/>
      <c r="C103" s="86"/>
      <c r="D103" s="86"/>
      <c r="E103" s="86"/>
      <c r="F103" s="86"/>
      <c r="G103" s="86"/>
      <c r="H103" s="86"/>
      <c r="I103" s="86"/>
      <c r="J103" s="86"/>
      <c r="K103" s="86"/>
      <c r="L103" s="86"/>
      <c r="M103" s="86"/>
      <c r="N103" s="86"/>
    </row>
    <row r="104" spans="1:14" x14ac:dyDescent="0.25">
      <c r="A104" s="86"/>
      <c r="B104" s="86"/>
      <c r="C104" s="86"/>
      <c r="D104" s="86"/>
      <c r="E104" s="86"/>
      <c r="F104" s="86"/>
      <c r="G104" s="86"/>
      <c r="H104" s="86"/>
      <c r="I104" s="86"/>
      <c r="J104" s="86"/>
      <c r="K104" s="86"/>
      <c r="L104" s="86"/>
      <c r="M104" s="86"/>
      <c r="N104" s="86"/>
    </row>
    <row r="105" spans="1:14" x14ac:dyDescent="0.25">
      <c r="A105" s="86"/>
      <c r="B105" s="86"/>
      <c r="C105" s="86"/>
      <c r="D105" s="86"/>
      <c r="E105" s="86"/>
      <c r="F105" s="86"/>
      <c r="G105" s="86"/>
      <c r="H105" s="86"/>
      <c r="I105" s="86"/>
      <c r="J105" s="86"/>
      <c r="K105" s="86"/>
      <c r="L105" s="86"/>
      <c r="M105" s="86"/>
      <c r="N105" s="86"/>
    </row>
    <row r="106" spans="1:14" x14ac:dyDescent="0.25">
      <c r="A106" s="86"/>
      <c r="B106" s="86"/>
      <c r="C106" s="86"/>
      <c r="D106" s="86"/>
      <c r="E106" s="86"/>
      <c r="F106" s="86"/>
      <c r="G106" s="86"/>
      <c r="H106" s="86"/>
      <c r="I106" s="86"/>
      <c r="J106" s="86"/>
      <c r="K106" s="86"/>
      <c r="L106" s="86"/>
      <c r="M106" s="86"/>
      <c r="N106" s="86"/>
    </row>
    <row r="107" spans="1:14" x14ac:dyDescent="0.25">
      <c r="A107" s="86"/>
      <c r="B107" s="86"/>
      <c r="C107" s="86"/>
      <c r="D107" s="86"/>
      <c r="E107" s="86"/>
      <c r="F107" s="86"/>
      <c r="G107" s="86"/>
      <c r="H107" s="86"/>
      <c r="I107" s="86"/>
      <c r="J107" s="86"/>
      <c r="K107" s="86"/>
      <c r="L107" s="86"/>
      <c r="M107" s="86"/>
      <c r="N107" s="86"/>
    </row>
    <row r="108" spans="1:14" x14ac:dyDescent="0.25">
      <c r="A108" s="86"/>
      <c r="B108" s="86"/>
      <c r="C108" s="86"/>
      <c r="D108" s="86"/>
      <c r="E108" s="86"/>
      <c r="F108" s="86"/>
      <c r="G108" s="86"/>
      <c r="H108" s="86"/>
      <c r="I108" s="86"/>
      <c r="J108" s="86"/>
      <c r="K108" s="86"/>
      <c r="L108" s="86"/>
      <c r="M108" s="86"/>
      <c r="N108" s="86"/>
    </row>
    <row r="109" spans="1:14" x14ac:dyDescent="0.25">
      <c r="A109" s="86"/>
      <c r="B109" s="86"/>
      <c r="C109" s="86"/>
      <c r="D109" s="86"/>
      <c r="E109" s="86"/>
      <c r="F109" s="86"/>
      <c r="G109" s="86"/>
      <c r="H109" s="86"/>
      <c r="I109" s="86"/>
      <c r="J109" s="86"/>
      <c r="K109" s="86"/>
      <c r="L109" s="86"/>
      <c r="M109" s="86"/>
      <c r="N109" s="86"/>
    </row>
    <row r="110" spans="1:14" x14ac:dyDescent="0.25">
      <c r="A110" s="86"/>
      <c r="B110" s="86"/>
      <c r="C110" s="86"/>
      <c r="D110" s="86"/>
      <c r="E110" s="86"/>
      <c r="F110" s="86"/>
      <c r="G110" s="86"/>
      <c r="H110" s="86"/>
      <c r="I110" s="86"/>
      <c r="J110" s="86"/>
      <c r="K110" s="86"/>
      <c r="L110" s="86"/>
      <c r="M110" s="86"/>
      <c r="N110" s="86"/>
    </row>
    <row r="111" spans="1:14" x14ac:dyDescent="0.25">
      <c r="A111" s="86"/>
      <c r="B111" s="86"/>
      <c r="C111" s="86"/>
      <c r="D111" s="86"/>
      <c r="E111" s="86"/>
      <c r="F111" s="86"/>
      <c r="G111" s="86"/>
      <c r="H111" s="86"/>
      <c r="I111" s="86"/>
      <c r="J111" s="86"/>
      <c r="K111" s="86"/>
      <c r="L111" s="86"/>
      <c r="M111" s="86"/>
      <c r="N111" s="86"/>
    </row>
    <row r="112" spans="1:14" x14ac:dyDescent="0.25">
      <c r="A112" s="86"/>
      <c r="B112" s="86"/>
      <c r="C112" s="86"/>
      <c r="D112" s="86"/>
      <c r="E112" s="86"/>
      <c r="F112" s="86"/>
      <c r="G112" s="86"/>
      <c r="H112" s="86"/>
      <c r="I112" s="86"/>
      <c r="J112" s="86"/>
      <c r="K112" s="86"/>
      <c r="L112" s="86"/>
      <c r="M112" s="86"/>
      <c r="N112" s="86"/>
    </row>
    <row r="113" spans="1:14" x14ac:dyDescent="0.25">
      <c r="A113" s="86"/>
      <c r="B113" s="86"/>
      <c r="C113" s="86"/>
      <c r="D113" s="86"/>
      <c r="E113" s="86"/>
      <c r="F113" s="86"/>
      <c r="G113" s="86"/>
      <c r="H113" s="86"/>
      <c r="I113" s="86"/>
      <c r="J113" s="86"/>
      <c r="K113" s="86"/>
      <c r="L113" s="86"/>
      <c r="M113" s="86"/>
      <c r="N113" s="86"/>
    </row>
    <row r="114" spans="1:14" x14ac:dyDescent="0.25">
      <c r="A114" s="86"/>
      <c r="B114" s="86"/>
      <c r="C114" s="86"/>
      <c r="D114" s="86"/>
      <c r="E114" s="86"/>
      <c r="F114" s="86"/>
      <c r="G114" s="86"/>
      <c r="H114" s="86"/>
      <c r="I114" s="86"/>
      <c r="J114" s="86"/>
      <c r="K114" s="86"/>
      <c r="L114" s="86"/>
      <c r="M114" s="86"/>
      <c r="N114" s="86"/>
    </row>
    <row r="115" spans="1:14" x14ac:dyDescent="0.25">
      <c r="A115" s="86"/>
      <c r="B115" s="86"/>
      <c r="C115" s="86"/>
      <c r="D115" s="86"/>
      <c r="E115" s="86"/>
      <c r="F115" s="86"/>
      <c r="G115" s="86"/>
      <c r="H115" s="86"/>
      <c r="I115" s="86"/>
      <c r="J115" s="86"/>
      <c r="K115" s="86"/>
      <c r="L115" s="86"/>
      <c r="M115" s="86"/>
      <c r="N115" s="86"/>
    </row>
    <row r="116" spans="1:14" x14ac:dyDescent="0.25">
      <c r="A116" s="86" t="s">
        <v>444</v>
      </c>
      <c r="B116" s="86"/>
      <c r="C116" s="86"/>
      <c r="D116" s="86"/>
      <c r="E116" s="86"/>
      <c r="F116" s="86"/>
      <c r="G116" s="86"/>
      <c r="H116" s="86"/>
      <c r="I116" s="86"/>
      <c r="J116" s="86"/>
      <c r="K116" s="86"/>
      <c r="L116" s="86"/>
      <c r="M116" s="86"/>
      <c r="N116" s="86"/>
    </row>
    <row r="117" spans="1:14" x14ac:dyDescent="0.25">
      <c r="A117" s="86" t="s">
        <v>418</v>
      </c>
      <c r="B117" s="86" t="s">
        <v>419</v>
      </c>
      <c r="C117" s="86" t="s">
        <v>420</v>
      </c>
      <c r="D117" s="86" t="s">
        <v>421</v>
      </c>
      <c r="E117" s="86" t="s">
        <v>422</v>
      </c>
      <c r="F117" s="86" t="s">
        <v>423</v>
      </c>
      <c r="G117" s="86" t="s">
        <v>424</v>
      </c>
      <c r="H117" s="86"/>
      <c r="I117" s="86">
        <v>0</v>
      </c>
      <c r="J117" s="86">
        <v>1</v>
      </c>
      <c r="K117" s="86">
        <v>2</v>
      </c>
      <c r="L117" s="86">
        <v>3</v>
      </c>
      <c r="M117" s="86">
        <v>4</v>
      </c>
      <c r="N117" s="86">
        <v>5</v>
      </c>
    </row>
    <row r="118" spans="1:14" x14ac:dyDescent="0.25">
      <c r="A118" s="89" t="s">
        <v>53</v>
      </c>
      <c r="B118" s="86">
        <f>COUNTIF('MA - Questionário'!$D$7:$D$12,I117)</f>
        <v>6</v>
      </c>
      <c r="C118" s="86">
        <f>COUNTIF('MA - Questionário'!$D$7:$D$12,J117)</f>
        <v>0</v>
      </c>
      <c r="D118" s="86">
        <f>COUNTIF('MA - Questionário'!$D$7:$D$12,K117)</f>
        <v>0</v>
      </c>
      <c r="E118" s="86">
        <f>COUNTIF('MA - Questionário'!$D$7:$D$12,L117)</f>
        <v>0</v>
      </c>
      <c r="F118" s="86">
        <f>COUNTIF('MA - Questionário'!$D$7:$D$12,M117)</f>
        <v>0</v>
      </c>
      <c r="G118" s="86">
        <f>COUNTIF('MA - Questionário'!$D$7:$D$12,N117)</f>
        <v>0</v>
      </c>
      <c r="H118" s="86"/>
      <c r="I118" s="86"/>
      <c r="J118" s="86"/>
      <c r="K118" s="86"/>
      <c r="L118" s="86"/>
      <c r="M118" s="86"/>
      <c r="N118" s="86"/>
    </row>
    <row r="119" spans="1:14" x14ac:dyDescent="0.25">
      <c r="A119" s="89" t="s">
        <v>54</v>
      </c>
      <c r="B119" s="86">
        <f>COUNTIF('MA - Questionário'!$D$17:$D$23,I117)</f>
        <v>7</v>
      </c>
      <c r="C119" s="86">
        <f>COUNTIF('MA - Questionário'!$D$17:$D$23,J117)</f>
        <v>0</v>
      </c>
      <c r="D119" s="86">
        <f>COUNTIF('MA - Questionário'!$D$17:$D$23,K117)</f>
        <v>0</v>
      </c>
      <c r="E119" s="86">
        <f>COUNTIF('MA - Questionário'!$D$17:$D$23,L117)</f>
        <v>0</v>
      </c>
      <c r="F119" s="86">
        <f>COUNTIF('MA - Questionário'!$D$17:$D$23,M117)</f>
        <v>0</v>
      </c>
      <c r="G119" s="86">
        <f>COUNTIF('MA - Questionário'!$D$17:$D$23,N117)</f>
        <v>0</v>
      </c>
      <c r="H119" s="86"/>
      <c r="I119" s="86"/>
      <c r="J119" s="86"/>
      <c r="K119" s="86"/>
      <c r="L119" s="86"/>
      <c r="M119" s="86"/>
      <c r="N119" s="86"/>
    </row>
    <row r="120" spans="1:14" x14ac:dyDescent="0.25">
      <c r="A120" s="89" t="s">
        <v>55</v>
      </c>
      <c r="B120" s="86">
        <f>COUNTIF('MA - Questionário'!$D$28:$D$32,I117)</f>
        <v>5</v>
      </c>
      <c r="C120" s="86">
        <f>COUNTIF('MA - Questionário'!$D$28:$D$32,J117)</f>
        <v>0</v>
      </c>
      <c r="D120" s="86">
        <f>COUNTIF('MA - Questionário'!$D$28:$D$32,K117)</f>
        <v>0</v>
      </c>
      <c r="E120" s="86">
        <f>COUNTIF('MA - Questionário'!$D$28:$D$32,L117)</f>
        <v>0</v>
      </c>
      <c r="F120" s="86">
        <f>COUNTIF('MA - Questionário'!$D$28:$D$32,M117)</f>
        <v>0</v>
      </c>
      <c r="G120" s="86">
        <f>COUNTIF('MA - Questionário'!$D$28:$D$32,N117)</f>
        <v>0</v>
      </c>
      <c r="H120" s="86"/>
      <c r="I120" s="86"/>
      <c r="J120" s="86"/>
      <c r="K120" s="86"/>
      <c r="L120" s="86"/>
      <c r="M120" s="86"/>
      <c r="N120" s="86"/>
    </row>
    <row r="121" spans="1:14" x14ac:dyDescent="0.25">
      <c r="A121" s="89" t="s">
        <v>56</v>
      </c>
      <c r="B121" s="86">
        <f>COUNTIF('MA - Questionário'!$D$37:$D$43,I117)</f>
        <v>7</v>
      </c>
      <c r="C121" s="86">
        <f>COUNTIF('MA - Questionário'!$D$37:$D$43,J117)</f>
        <v>0</v>
      </c>
      <c r="D121" s="86">
        <f>COUNTIF('MA - Questionário'!$D$37:$D$43,K117)</f>
        <v>0</v>
      </c>
      <c r="E121" s="86">
        <f>COUNTIF('MA - Questionário'!$D$37:$D$43,L117)</f>
        <v>0</v>
      </c>
      <c r="F121" s="86">
        <f>COUNTIF('MA - Questionário'!$D$37:$D$43,M117)</f>
        <v>0</v>
      </c>
      <c r="G121" s="86">
        <f>COUNTIF('MA - Questionário'!$D$37:$D$43,N117)</f>
        <v>0</v>
      </c>
      <c r="H121" s="86"/>
      <c r="I121" s="86"/>
      <c r="J121" s="86"/>
      <c r="K121" s="86"/>
      <c r="L121" s="86"/>
      <c r="M121" s="86"/>
      <c r="N121" s="86"/>
    </row>
    <row r="122" spans="1:14" x14ac:dyDescent="0.25">
      <c r="A122" s="86"/>
      <c r="B122" s="86"/>
      <c r="C122" s="86"/>
      <c r="D122" s="86"/>
      <c r="E122" s="86"/>
      <c r="F122" s="86"/>
      <c r="G122" s="86"/>
      <c r="H122" s="86"/>
      <c r="I122" s="86"/>
      <c r="J122" s="86"/>
      <c r="K122" s="86"/>
      <c r="L122" s="86"/>
      <c r="M122" s="86"/>
      <c r="N122" s="86"/>
    </row>
    <row r="123" spans="1:14" x14ac:dyDescent="0.25">
      <c r="A123" s="86"/>
      <c r="B123" s="86"/>
      <c r="C123" s="86"/>
      <c r="D123" s="86"/>
      <c r="E123" s="86"/>
      <c r="F123" s="86"/>
      <c r="G123" s="86"/>
      <c r="H123" s="86"/>
      <c r="I123" s="86"/>
      <c r="J123" s="86"/>
      <c r="K123" s="86"/>
      <c r="L123" s="86"/>
      <c r="M123" s="86"/>
      <c r="N123" s="86"/>
    </row>
    <row r="124" spans="1:14" x14ac:dyDescent="0.25">
      <c r="A124" s="86"/>
      <c r="B124" s="86"/>
      <c r="C124" s="90" t="s">
        <v>445</v>
      </c>
      <c r="D124" s="86"/>
      <c r="E124" s="86"/>
      <c r="F124" s="86"/>
      <c r="G124" s="86"/>
      <c r="H124" s="86"/>
      <c r="I124" s="86"/>
      <c r="J124" s="86"/>
      <c r="K124" s="86"/>
      <c r="L124" s="86"/>
      <c r="M124" s="86"/>
      <c r="N124" s="86"/>
    </row>
    <row r="125" spans="1:14" x14ac:dyDescent="0.25">
      <c r="A125" s="86"/>
      <c r="B125" s="86"/>
      <c r="C125" s="86"/>
      <c r="D125" s="86"/>
      <c r="E125" s="86"/>
      <c r="F125" s="86"/>
      <c r="G125" s="86"/>
      <c r="H125" s="86"/>
      <c r="I125" s="86"/>
      <c r="J125" s="86"/>
      <c r="K125" s="86"/>
      <c r="L125" s="86"/>
      <c r="M125" s="86"/>
      <c r="N125" s="86"/>
    </row>
    <row r="126" spans="1:14" x14ac:dyDescent="0.25">
      <c r="A126" s="86"/>
      <c r="B126" s="86"/>
      <c r="C126" s="86"/>
      <c r="D126" s="86"/>
      <c r="E126" s="86"/>
      <c r="F126" s="86"/>
      <c r="G126" s="86"/>
      <c r="H126" s="86"/>
      <c r="I126" s="86"/>
      <c r="J126" s="86"/>
      <c r="K126" s="86"/>
      <c r="L126" s="86"/>
      <c r="M126" s="86"/>
      <c r="N126" s="86"/>
    </row>
    <row r="127" spans="1:14" x14ac:dyDescent="0.25">
      <c r="A127" s="86"/>
      <c r="B127" s="86"/>
      <c r="C127" s="86"/>
      <c r="D127" s="86"/>
      <c r="E127" s="86"/>
      <c r="F127" s="86"/>
      <c r="G127" s="86"/>
      <c r="H127" s="86"/>
      <c r="I127" s="86"/>
      <c r="J127" s="86"/>
      <c r="K127" s="86"/>
      <c r="L127" s="86"/>
      <c r="M127" s="86"/>
      <c r="N127" s="86"/>
    </row>
    <row r="128" spans="1:14" x14ac:dyDescent="0.25">
      <c r="A128" s="86"/>
      <c r="B128" s="86"/>
      <c r="C128" s="86"/>
      <c r="D128" s="86"/>
      <c r="E128" s="86"/>
      <c r="F128" s="86"/>
      <c r="G128" s="86"/>
      <c r="H128" s="86"/>
      <c r="I128" s="86"/>
      <c r="J128" s="86"/>
      <c r="K128" s="86"/>
      <c r="L128" s="86"/>
      <c r="M128" s="86"/>
      <c r="N128" s="86"/>
    </row>
    <row r="129" spans="1:14" x14ac:dyDescent="0.25">
      <c r="A129" s="86"/>
      <c r="B129" s="86"/>
      <c r="C129" s="86"/>
      <c r="D129" s="86"/>
      <c r="E129" s="86"/>
      <c r="F129" s="86"/>
      <c r="G129" s="86"/>
      <c r="H129" s="86"/>
      <c r="I129" s="86"/>
      <c r="J129" s="86"/>
      <c r="K129" s="86"/>
      <c r="L129" s="86"/>
      <c r="M129" s="86"/>
      <c r="N129" s="86"/>
    </row>
    <row r="130" spans="1:14" x14ac:dyDescent="0.25">
      <c r="A130" s="86"/>
      <c r="B130" s="86"/>
      <c r="C130" s="86"/>
      <c r="D130" s="86"/>
      <c r="E130" s="86"/>
      <c r="F130" s="86"/>
      <c r="G130" s="86"/>
      <c r="H130" s="86"/>
      <c r="I130" s="86"/>
      <c r="J130" s="86"/>
      <c r="K130" s="86"/>
      <c r="L130" s="86"/>
      <c r="M130" s="86"/>
      <c r="N130" s="86"/>
    </row>
    <row r="131" spans="1:14" x14ac:dyDescent="0.25">
      <c r="A131" s="86"/>
      <c r="B131" s="86"/>
      <c r="C131" s="86"/>
      <c r="D131" s="86"/>
      <c r="E131" s="86"/>
      <c r="F131" s="86"/>
      <c r="G131" s="86"/>
      <c r="H131" s="86"/>
      <c r="I131" s="86"/>
      <c r="J131" s="86"/>
      <c r="K131" s="86"/>
      <c r="L131" s="86"/>
      <c r="M131" s="86"/>
      <c r="N131" s="86"/>
    </row>
    <row r="132" spans="1:14" x14ac:dyDescent="0.25">
      <c r="A132" s="86"/>
      <c r="B132" s="86"/>
      <c r="C132" s="86"/>
      <c r="D132" s="86"/>
      <c r="E132" s="86"/>
      <c r="F132" s="86"/>
      <c r="G132" s="86"/>
      <c r="H132" s="86"/>
      <c r="I132" s="86"/>
      <c r="J132" s="86"/>
      <c r="K132" s="86"/>
      <c r="L132" s="86"/>
      <c r="M132" s="86"/>
      <c r="N132" s="86"/>
    </row>
    <row r="133" spans="1:14" x14ac:dyDescent="0.25">
      <c r="A133" s="86"/>
      <c r="B133" s="86"/>
      <c r="C133" s="86"/>
      <c r="D133" s="86"/>
      <c r="E133" s="86"/>
      <c r="F133" s="86"/>
      <c r="G133" s="86"/>
      <c r="H133" s="86"/>
      <c r="I133" s="86"/>
      <c r="J133" s="86"/>
      <c r="K133" s="86"/>
      <c r="L133" s="86"/>
      <c r="M133" s="86"/>
      <c r="N133" s="86"/>
    </row>
    <row r="134" spans="1:14" x14ac:dyDescent="0.25">
      <c r="A134" s="86"/>
      <c r="B134" s="86"/>
      <c r="C134" s="86"/>
      <c r="D134" s="86"/>
      <c r="E134" s="86"/>
      <c r="F134" s="86"/>
      <c r="G134" s="86"/>
      <c r="H134" s="86"/>
      <c r="I134" s="86"/>
      <c r="J134" s="86"/>
      <c r="K134" s="86"/>
      <c r="L134" s="86"/>
      <c r="M134" s="86"/>
      <c r="N134" s="86"/>
    </row>
    <row r="135" spans="1:14" x14ac:dyDescent="0.25">
      <c r="A135" s="86"/>
      <c r="B135" s="86"/>
      <c r="C135" s="86"/>
      <c r="D135" s="86"/>
      <c r="E135" s="86"/>
      <c r="F135" s="86"/>
      <c r="G135" s="86"/>
      <c r="H135" s="86"/>
      <c r="I135" s="86"/>
      <c r="J135" s="86"/>
      <c r="K135" s="86"/>
      <c r="L135" s="86"/>
      <c r="M135" s="86"/>
      <c r="N135" s="86"/>
    </row>
    <row r="136" spans="1:14" x14ac:dyDescent="0.25">
      <c r="A136" s="86"/>
      <c r="B136" s="86"/>
      <c r="C136" s="86"/>
      <c r="D136" s="86"/>
      <c r="E136" s="86"/>
      <c r="F136" s="86"/>
      <c r="G136" s="86"/>
      <c r="H136" s="86"/>
      <c r="I136" s="86"/>
      <c r="J136" s="86"/>
      <c r="K136" s="86"/>
      <c r="L136" s="86"/>
      <c r="M136" s="86"/>
      <c r="N136" s="86"/>
    </row>
    <row r="137" spans="1:14" x14ac:dyDescent="0.25">
      <c r="A137" s="86"/>
      <c r="B137" s="86"/>
      <c r="C137" s="86"/>
      <c r="D137" s="86"/>
      <c r="E137" s="86"/>
      <c r="F137" s="86"/>
      <c r="G137" s="86"/>
      <c r="H137" s="86"/>
      <c r="I137" s="86"/>
      <c r="J137" s="86"/>
      <c r="K137" s="86"/>
      <c r="L137" s="86"/>
      <c r="M137" s="86"/>
      <c r="N137" s="86"/>
    </row>
    <row r="138" spans="1:14" x14ac:dyDescent="0.25">
      <c r="A138" s="86"/>
      <c r="B138" s="86"/>
      <c r="C138" s="86"/>
      <c r="D138" s="86"/>
      <c r="E138" s="86"/>
      <c r="F138" s="86"/>
      <c r="G138" s="86"/>
      <c r="H138" s="86"/>
      <c r="I138" s="86"/>
      <c r="J138" s="86"/>
      <c r="K138" s="86"/>
      <c r="L138" s="86"/>
      <c r="M138" s="86"/>
      <c r="N138" s="86"/>
    </row>
    <row r="139" spans="1:14" x14ac:dyDescent="0.25">
      <c r="A139" s="86"/>
      <c r="B139" s="86"/>
      <c r="C139" s="86"/>
      <c r="D139" s="86"/>
      <c r="E139" s="86"/>
      <c r="F139" s="86"/>
      <c r="G139" s="86"/>
      <c r="H139" s="86"/>
      <c r="I139" s="86"/>
      <c r="J139" s="86"/>
      <c r="K139" s="86"/>
      <c r="L139" s="86"/>
      <c r="M139" s="86"/>
      <c r="N139" s="86"/>
    </row>
    <row r="140" spans="1:14" x14ac:dyDescent="0.25">
      <c r="A140" s="86"/>
      <c r="B140" s="86"/>
      <c r="C140" s="86"/>
      <c r="D140" s="86"/>
      <c r="E140" s="86"/>
      <c r="F140" s="86"/>
      <c r="G140" s="86"/>
      <c r="H140" s="86"/>
      <c r="I140" s="86"/>
      <c r="J140" s="86"/>
      <c r="K140" s="86"/>
      <c r="L140" s="86"/>
      <c r="M140" s="86"/>
      <c r="N140" s="86"/>
    </row>
    <row r="141" spans="1:14" x14ac:dyDescent="0.25">
      <c r="A141" s="86"/>
      <c r="B141" s="86"/>
      <c r="C141" s="86"/>
      <c r="D141" s="86"/>
      <c r="E141" s="86"/>
      <c r="F141" s="86"/>
      <c r="G141" s="86"/>
      <c r="H141" s="86"/>
      <c r="I141" s="86"/>
      <c r="J141" s="86"/>
      <c r="K141" s="86"/>
      <c r="L141" s="86"/>
      <c r="M141" s="86"/>
      <c r="N141" s="86"/>
    </row>
    <row r="142" spans="1:14" x14ac:dyDescent="0.25">
      <c r="A142" s="86"/>
      <c r="B142" s="86"/>
      <c r="C142" s="86"/>
      <c r="D142" s="86"/>
      <c r="E142" s="86"/>
      <c r="F142" s="86"/>
      <c r="G142" s="86"/>
      <c r="H142" s="86"/>
      <c r="I142" s="86"/>
      <c r="J142" s="86"/>
      <c r="K142" s="86"/>
      <c r="L142" s="86"/>
      <c r="M142" s="86"/>
      <c r="N142" s="86"/>
    </row>
    <row r="143" spans="1:14" x14ac:dyDescent="0.25">
      <c r="A143" s="86"/>
      <c r="B143" s="86"/>
      <c r="C143" s="86"/>
      <c r="D143" s="86"/>
      <c r="E143" s="86"/>
      <c r="F143" s="86"/>
      <c r="G143" s="86"/>
      <c r="H143" s="86"/>
      <c r="I143" s="86"/>
      <c r="J143" s="86"/>
      <c r="K143" s="86"/>
      <c r="L143" s="86"/>
      <c r="M143" s="86"/>
      <c r="N143" s="86"/>
    </row>
    <row r="144" spans="1:14" x14ac:dyDescent="0.25">
      <c r="A144" s="86"/>
      <c r="B144" s="86"/>
      <c r="C144" s="86"/>
      <c r="D144" s="86"/>
      <c r="E144" s="86"/>
      <c r="F144" s="86"/>
      <c r="G144" s="86"/>
      <c r="H144" s="86"/>
      <c r="I144" s="86"/>
      <c r="J144" s="86"/>
      <c r="K144" s="86"/>
      <c r="L144" s="86"/>
      <c r="M144" s="86"/>
      <c r="N144" s="86"/>
    </row>
    <row r="145" spans="1:14" x14ac:dyDescent="0.25">
      <c r="A145" s="86"/>
      <c r="B145" s="86"/>
      <c r="C145" s="86"/>
      <c r="D145" s="86"/>
      <c r="E145" s="86"/>
      <c r="F145" s="86"/>
      <c r="G145" s="86"/>
      <c r="H145" s="86"/>
      <c r="I145" s="86"/>
      <c r="J145" s="86"/>
      <c r="K145" s="86"/>
      <c r="L145" s="86"/>
      <c r="M145" s="86"/>
      <c r="N145" s="86"/>
    </row>
    <row r="146" spans="1:14" x14ac:dyDescent="0.25">
      <c r="A146" s="86"/>
      <c r="B146" s="86"/>
      <c r="C146" s="86"/>
      <c r="D146" s="86"/>
      <c r="E146" s="86"/>
      <c r="F146" s="86"/>
      <c r="G146" s="86"/>
      <c r="H146" s="86"/>
      <c r="I146" s="86"/>
      <c r="J146" s="86"/>
      <c r="K146" s="86"/>
      <c r="L146" s="86"/>
      <c r="M146" s="86"/>
      <c r="N146" s="86"/>
    </row>
    <row r="147" spans="1:14" x14ac:dyDescent="0.25">
      <c r="A147" s="86"/>
      <c r="B147" s="86"/>
      <c r="C147" s="86"/>
      <c r="D147" s="86"/>
      <c r="E147" s="86"/>
      <c r="F147" s="86"/>
      <c r="G147" s="86"/>
      <c r="H147" s="86"/>
      <c r="I147" s="86"/>
      <c r="J147" s="86"/>
      <c r="K147" s="86"/>
      <c r="L147" s="86"/>
      <c r="M147" s="86"/>
      <c r="N147" s="86"/>
    </row>
    <row r="148" spans="1:14" x14ac:dyDescent="0.25">
      <c r="A148" s="86" t="s">
        <v>446</v>
      </c>
      <c r="B148" s="86"/>
      <c r="C148" s="86"/>
      <c r="D148" s="86"/>
      <c r="E148" s="86"/>
      <c r="F148" s="86"/>
      <c r="G148" s="86"/>
      <c r="H148" s="86"/>
      <c r="I148" s="86"/>
      <c r="J148" s="86"/>
      <c r="K148" s="86"/>
      <c r="L148" s="86"/>
      <c r="M148" s="86"/>
      <c r="N148" s="86"/>
    </row>
    <row r="149" spans="1:14" x14ac:dyDescent="0.25">
      <c r="A149" s="86" t="s">
        <v>418</v>
      </c>
      <c r="B149" s="86" t="s">
        <v>419</v>
      </c>
      <c r="C149" s="86" t="s">
        <v>420</v>
      </c>
      <c r="D149" s="86" t="s">
        <v>421</v>
      </c>
      <c r="E149" s="86" t="s">
        <v>422</v>
      </c>
      <c r="F149" s="86" t="s">
        <v>423</v>
      </c>
      <c r="G149" s="86" t="s">
        <v>424</v>
      </c>
      <c r="H149" s="86"/>
      <c r="I149" s="86">
        <v>0</v>
      </c>
      <c r="J149" s="86">
        <v>1</v>
      </c>
      <c r="K149" s="86">
        <v>2</v>
      </c>
      <c r="L149" s="86">
        <v>3</v>
      </c>
      <c r="M149" s="86">
        <v>4</v>
      </c>
      <c r="N149" s="86">
        <v>5</v>
      </c>
    </row>
    <row r="150" spans="1:14" x14ac:dyDescent="0.25">
      <c r="A150" s="89" t="s">
        <v>38</v>
      </c>
      <c r="B150" s="86">
        <f>COUNTIF('DS - Questionário'!$D$6:$D$11,'Gráficos Conformidade'!I149)</f>
        <v>6</v>
      </c>
      <c r="C150" s="86">
        <f>COUNTIF('DS - Questionário'!$D$6:$D$11,'Gráficos Conformidade'!J149)</f>
        <v>0</v>
      </c>
      <c r="D150" s="86">
        <f>COUNTIF('DS - Questionário'!$D$6:$D$11,'Gráficos Conformidade'!K149)</f>
        <v>0</v>
      </c>
      <c r="E150" s="86">
        <f>COUNTIF('DS - Questionário'!$D$6:$D$11,'Gráficos Conformidade'!L149)</f>
        <v>0</v>
      </c>
      <c r="F150" s="86">
        <f>COUNTIF('DS - Questionário'!$D$6:$D$11,'Gráficos Conformidade'!M149)</f>
        <v>0</v>
      </c>
      <c r="G150" s="86">
        <f>COUNTIF('DS - Questionário'!$D$6:$D$11,'Gráficos Conformidade'!N149)</f>
        <v>0</v>
      </c>
      <c r="H150" s="86"/>
      <c r="I150" s="86"/>
      <c r="J150" s="86"/>
      <c r="K150" s="86"/>
      <c r="L150" s="86"/>
      <c r="M150" s="86"/>
      <c r="N150" s="86"/>
    </row>
    <row r="151" spans="1:14" x14ac:dyDescent="0.25">
      <c r="A151" s="89" t="s">
        <v>39</v>
      </c>
      <c r="B151" s="86">
        <f>COUNTIF('DS - Questionário'!$D$16:$D$19,'Gráficos Conformidade'!I149)</f>
        <v>4</v>
      </c>
      <c r="C151" s="86">
        <f>COUNTIF('DS - Questionário'!$D$16:$D$19,'Gráficos Conformidade'!J149)</f>
        <v>0</v>
      </c>
      <c r="D151" s="86">
        <f>COUNTIF('DS - Questionário'!$D$16:$D$19,'Gráficos Conformidade'!K149)</f>
        <v>0</v>
      </c>
      <c r="E151" s="86">
        <f>COUNTIF('DS - Questionário'!$D$16:$D$19,'Gráficos Conformidade'!L149)</f>
        <v>0</v>
      </c>
      <c r="F151" s="86">
        <f>COUNTIF('DS - Questionário'!$D$16:$D$19,'Gráficos Conformidade'!M149)</f>
        <v>0</v>
      </c>
      <c r="G151" s="86">
        <f>COUNTIF('DS - Questionário'!$D$16:$D$19,'Gráficos Conformidade'!N149)</f>
        <v>0</v>
      </c>
      <c r="H151" s="86"/>
      <c r="I151" s="86"/>
      <c r="J151" s="86"/>
      <c r="K151" s="86"/>
      <c r="L151" s="86"/>
      <c r="M151" s="86"/>
      <c r="N151" s="86"/>
    </row>
    <row r="152" spans="1:14" x14ac:dyDescent="0.25">
      <c r="A152" s="89" t="s">
        <v>40</v>
      </c>
      <c r="B152" s="86">
        <f>COUNTIF('DS - Questionário'!$D$24:$D$28,'Gráficos Conformidade'!I149)</f>
        <v>5</v>
      </c>
      <c r="C152" s="86">
        <f>COUNTIF('DS - Questionário'!$D$24:$D$28,'Gráficos Conformidade'!J149)</f>
        <v>0</v>
      </c>
      <c r="D152" s="86">
        <f>COUNTIF('DS - Questionário'!$D$24:$D$28,'Gráficos Conformidade'!K149)</f>
        <v>0</v>
      </c>
      <c r="E152" s="86">
        <f>COUNTIF('DS - Questionário'!$D$24:$D$28,'Gráficos Conformidade'!L149)</f>
        <v>0</v>
      </c>
      <c r="F152" s="86">
        <f>COUNTIF('DS - Questionário'!$D$24:$D$28,'Gráficos Conformidade'!M149)</f>
        <v>0</v>
      </c>
      <c r="G152" s="86">
        <f>COUNTIF('DS - Questionário'!$D$24:$D$28,'Gráficos Conformidade'!N149)</f>
        <v>0</v>
      </c>
      <c r="H152" s="86"/>
      <c r="I152" s="86"/>
      <c r="J152" s="86"/>
      <c r="K152" s="86"/>
      <c r="L152" s="86"/>
      <c r="M152" s="86"/>
      <c r="N152" s="86"/>
    </row>
    <row r="153" spans="1:14" x14ac:dyDescent="0.25">
      <c r="A153" s="89" t="s">
        <v>41</v>
      </c>
      <c r="B153" s="86">
        <f>COUNTIF('DS - Questionário'!$D$33:$D$42,'Gráficos Conformidade'!I149)</f>
        <v>10</v>
      </c>
      <c r="C153" s="86">
        <f>COUNTIF('DS - Questionário'!$D$33:$D$42,'Gráficos Conformidade'!J149)</f>
        <v>0</v>
      </c>
      <c r="D153" s="86">
        <f>COUNTIF('DS - Questionário'!$D$33:$D$42,'Gráficos Conformidade'!K149)</f>
        <v>0</v>
      </c>
      <c r="E153" s="86">
        <f>COUNTIF('DS - Questionário'!$D$33:$D$42,'Gráficos Conformidade'!L149)</f>
        <v>0</v>
      </c>
      <c r="F153" s="86">
        <f>COUNTIF('DS - Questionário'!$D$33:$D$42,'Gráficos Conformidade'!M149)</f>
        <v>0</v>
      </c>
      <c r="G153" s="86">
        <f>COUNTIF('DS - Questionário'!$D$33:$D$42,'Gráficos Conformidade'!N149)</f>
        <v>0</v>
      </c>
      <c r="H153" s="86"/>
      <c r="I153" s="86"/>
      <c r="J153" s="86"/>
      <c r="K153" s="86"/>
      <c r="L153" s="86"/>
      <c r="M153" s="86"/>
      <c r="N153" s="86"/>
    </row>
    <row r="154" spans="1:14" x14ac:dyDescent="0.25">
      <c r="A154" s="86" t="s">
        <v>42</v>
      </c>
      <c r="B154" s="86">
        <f>COUNTIF('DS - Questionário'!$D$47:$D$57,'Gráficos Conformidade'!I149)</f>
        <v>11</v>
      </c>
      <c r="C154" s="86">
        <f>COUNTIF('DS - Questionário'!$D$47:$D$57,'Gráficos Conformidade'!J149)</f>
        <v>0</v>
      </c>
      <c r="D154" s="86">
        <f>COUNTIF('DS - Questionário'!$D$47:$D$57,'Gráficos Conformidade'!K149)</f>
        <v>0</v>
      </c>
      <c r="E154" s="86">
        <f>COUNTIF('DS - Questionário'!$D$47:$D$57,'Gráficos Conformidade'!L149)</f>
        <v>0</v>
      </c>
      <c r="F154" s="86">
        <f>COUNTIF('DS - Questionário'!$D$47:$D$57,'Gráficos Conformidade'!M149)</f>
        <v>0</v>
      </c>
      <c r="G154" s="86">
        <f>COUNTIF('DS - Questionário'!$D$47:$D$57,'Gráficos Conformidade'!N149)</f>
        <v>0</v>
      </c>
      <c r="H154" s="86"/>
      <c r="I154" s="86"/>
      <c r="J154" s="86"/>
      <c r="K154" s="86"/>
      <c r="L154" s="86"/>
      <c r="M154" s="86"/>
      <c r="N154" s="86"/>
    </row>
    <row r="155" spans="1:14" x14ac:dyDescent="0.25">
      <c r="A155" s="86" t="s">
        <v>43</v>
      </c>
      <c r="B155" s="86">
        <f>COUNTIF('DS - Questionário'!$D$62:$D$65,'Gráficos Conformidade'!I149)</f>
        <v>4</v>
      </c>
      <c r="C155" s="86">
        <f>COUNTIF('DS - Questionário'!$D$62:$D$65,'Gráficos Conformidade'!J149)</f>
        <v>0</v>
      </c>
      <c r="D155" s="86">
        <f>COUNTIF('DS - Questionário'!$D$62:$D$65,'Gráficos Conformidade'!K149)</f>
        <v>0</v>
      </c>
      <c r="E155" s="86">
        <f>COUNTIF('DS - Questionário'!$D$62:$D$65,'Gráficos Conformidade'!L149)</f>
        <v>0</v>
      </c>
      <c r="F155" s="86">
        <f>COUNTIF('DS - Questionário'!$D$62:$D$65,'Gráficos Conformidade'!M149)</f>
        <v>0</v>
      </c>
      <c r="G155" s="86">
        <f>COUNTIF('DS - Questionário'!$D$62:$D$65,'Gráficos Conformidade'!N149)</f>
        <v>0</v>
      </c>
      <c r="H155" s="86"/>
      <c r="I155" s="86"/>
      <c r="J155" s="86"/>
      <c r="K155" s="86"/>
      <c r="L155" s="86"/>
      <c r="M155" s="86"/>
      <c r="N155" s="86"/>
    </row>
    <row r="156" spans="1:14" x14ac:dyDescent="0.25">
      <c r="A156" s="86" t="s">
        <v>44</v>
      </c>
      <c r="B156" s="86">
        <f>COUNTIF('DS - Questionário'!$D$70:$D$72,'Gráficos Conformidade'!I149)</f>
        <v>3</v>
      </c>
      <c r="C156" s="86">
        <f>COUNTIF('DS - Questionário'!$D$70:$D$72,'Gráficos Conformidade'!J149)</f>
        <v>0</v>
      </c>
      <c r="D156" s="86">
        <f>COUNTIF('DS - Questionário'!$D$70:$D$72,'Gráficos Conformidade'!K149)</f>
        <v>0</v>
      </c>
      <c r="E156" s="86">
        <f>COUNTIF('DS - Questionário'!$D$70:$D$72,'Gráficos Conformidade'!L149)</f>
        <v>0</v>
      </c>
      <c r="F156" s="86">
        <f>COUNTIF('DS - Questionário'!$D$70:$D$72,'Gráficos Conformidade'!M149)</f>
        <v>0</v>
      </c>
      <c r="G156" s="86">
        <f>COUNTIF('DS - Questionário'!$D$70:$D$72,'Gráficos Conformidade'!N149)</f>
        <v>0</v>
      </c>
      <c r="H156" s="86"/>
      <c r="I156" s="86"/>
      <c r="J156" s="86"/>
      <c r="K156" s="86"/>
      <c r="L156" s="86"/>
      <c r="M156" s="86"/>
      <c r="N156" s="86"/>
    </row>
    <row r="157" spans="1:14" x14ac:dyDescent="0.25">
      <c r="A157" s="86" t="s">
        <v>45</v>
      </c>
      <c r="B157" s="86">
        <f>COUNTIF('DS - Questionário'!$D$77:$D$81,'Gráficos Conformidade'!I149)</f>
        <v>5</v>
      </c>
      <c r="C157" s="86">
        <f>COUNTIF('DS - Questionário'!$D$77:$D$81,'Gráficos Conformidade'!J149)</f>
        <v>0</v>
      </c>
      <c r="D157" s="86">
        <f>COUNTIF('DS - Questionário'!$D$77:$D$81,'Gráficos Conformidade'!K149)</f>
        <v>0</v>
      </c>
      <c r="E157" s="86">
        <f>COUNTIF('DS - Questionário'!$D$77:$D$81,'Gráficos Conformidade'!L149)</f>
        <v>0</v>
      </c>
      <c r="F157" s="86">
        <f>COUNTIF('DS - Questionário'!$D$77:$D$81,'Gráficos Conformidade'!M149)</f>
        <v>0</v>
      </c>
      <c r="G157" s="86">
        <f>COUNTIF('DS - Questionário'!$D$77:$D$81,'Gráficos Conformidade'!N149)</f>
        <v>0</v>
      </c>
      <c r="H157" s="86"/>
      <c r="I157" s="86"/>
      <c r="J157" s="86"/>
      <c r="K157" s="86"/>
      <c r="L157" s="86"/>
      <c r="M157" s="86"/>
      <c r="N157" s="86"/>
    </row>
    <row r="158" spans="1:14" x14ac:dyDescent="0.25">
      <c r="A158" s="86" t="s">
        <v>46</v>
      </c>
      <c r="B158" s="86">
        <f>COUNTIF('DS - Questionário'!$D$86:$D$88,'Gráficos Conformidade'!I149)</f>
        <v>3</v>
      </c>
      <c r="C158" s="86">
        <f>COUNTIF('DS - Questionário'!$D$86:$D$88,'Gráficos Conformidade'!J149)</f>
        <v>0</v>
      </c>
      <c r="D158" s="86">
        <f>COUNTIF('DS - Questionário'!$D$86:$D$88,'Gráficos Conformidade'!K149)</f>
        <v>0</v>
      </c>
      <c r="E158" s="86">
        <f>COUNTIF('DS - Questionário'!$D$86:$D$88,'Gráficos Conformidade'!L149)</f>
        <v>0</v>
      </c>
      <c r="F158" s="86">
        <f>COUNTIF('DS - Questionário'!$D$86:$D$88,'Gráficos Conformidade'!M149)</f>
        <v>0</v>
      </c>
      <c r="G158" s="86">
        <f>COUNTIF('DS - Questionário'!$D$86:$D$88,'Gráficos Conformidade'!N149)</f>
        <v>0</v>
      </c>
      <c r="H158" s="86"/>
      <c r="I158" s="86"/>
      <c r="J158" s="86"/>
      <c r="K158" s="86"/>
      <c r="L158" s="86"/>
      <c r="M158" s="86"/>
      <c r="N158" s="86"/>
    </row>
    <row r="159" spans="1:14" x14ac:dyDescent="0.25">
      <c r="A159" s="86" t="s">
        <v>47</v>
      </c>
      <c r="B159" s="86">
        <f>COUNTIF('DS - Questionário'!$D$93:$D$94,'Gráficos Conformidade'!I149)</f>
        <v>2</v>
      </c>
      <c r="C159" s="86">
        <f>COUNTIF('DS - Questionário'!$D$93:$D$94,'Gráficos Conformidade'!J149)</f>
        <v>0</v>
      </c>
      <c r="D159" s="86">
        <f>COUNTIF('DS - Questionário'!$D$93:$D$94,'Gráficos Conformidade'!K149)</f>
        <v>0</v>
      </c>
      <c r="E159" s="86">
        <f>COUNTIF('DS - Questionário'!$D$93:$D$94,'Gráficos Conformidade'!L149)</f>
        <v>0</v>
      </c>
      <c r="F159" s="86">
        <f>COUNTIF('DS - Questionário'!$D$93:$D$94,'Gráficos Conformidade'!M149)</f>
        <v>0</v>
      </c>
      <c r="G159" s="86">
        <f>COUNTIF('DS - Questionário'!$D$93:$D$94,'Gráficos Conformidade'!N149)</f>
        <v>0</v>
      </c>
      <c r="H159" s="86"/>
      <c r="I159" s="86"/>
      <c r="J159" s="86"/>
      <c r="K159" s="86"/>
      <c r="L159" s="86"/>
      <c r="M159" s="86"/>
      <c r="N159" s="86"/>
    </row>
    <row r="160" spans="1:14" x14ac:dyDescent="0.25">
      <c r="A160" s="86" t="s">
        <v>48</v>
      </c>
      <c r="B160" s="86">
        <f>COUNTIF('DS - Questionário'!$D$99:$D$104,'Gráficos Conformidade'!I149)</f>
        <v>6</v>
      </c>
      <c r="C160" s="86">
        <f>COUNTIF('DS - Questionário'!$D$99:$D$104,'Gráficos Conformidade'!J149)</f>
        <v>0</v>
      </c>
      <c r="D160" s="86">
        <f>COUNTIF('DS - Questionário'!$D$99:$D$104,'Gráficos Conformidade'!K149)</f>
        <v>0</v>
      </c>
      <c r="E160" s="86">
        <f>COUNTIF('DS - Questionário'!$D$99:$D$104,'Gráficos Conformidade'!L149)</f>
        <v>0</v>
      </c>
      <c r="F160" s="86">
        <f>COUNTIF('DS - Questionário'!$D$99:$D$104,'Gráficos Conformidade'!M149)</f>
        <v>0</v>
      </c>
      <c r="G160" s="86">
        <f>COUNTIF('DS - Questionário'!$D$99:$D$104,'Gráficos Conformidade'!N149)</f>
        <v>0</v>
      </c>
      <c r="H160" s="86"/>
      <c r="I160" s="86"/>
      <c r="J160" s="86"/>
      <c r="K160" s="86"/>
      <c r="L160" s="86"/>
      <c r="M160" s="86"/>
      <c r="N160" s="86"/>
    </row>
    <row r="161" spans="1:14" x14ac:dyDescent="0.25">
      <c r="A161" s="86" t="s">
        <v>49</v>
      </c>
      <c r="B161" s="86">
        <f>COUNTIF('DS - Questionário'!$D$109:$D$113,'Gráficos Conformidade'!I149)</f>
        <v>5</v>
      </c>
      <c r="C161" s="86">
        <f>COUNTIF('DS - Questionário'!$D$109:$D$113,'Gráficos Conformidade'!J149)</f>
        <v>0</v>
      </c>
      <c r="D161" s="86">
        <f>COUNTIF('DS - Questionário'!$D$109:$D$113,'Gráficos Conformidade'!K149)</f>
        <v>0</v>
      </c>
      <c r="E161" s="86">
        <f>COUNTIF('DS - Questionário'!$D$109:$D$113,'Gráficos Conformidade'!L149)</f>
        <v>0</v>
      </c>
      <c r="F161" s="86">
        <f>COUNTIF('DS - Questionário'!$D$109:$D$113,'Gráficos Conformidade'!M149)</f>
        <v>0</v>
      </c>
      <c r="G161" s="86">
        <f>COUNTIF('DS - Questionário'!$D$109:$D$113,'Gráficos Conformidade'!N149)</f>
        <v>0</v>
      </c>
      <c r="H161" s="86"/>
      <c r="I161" s="86"/>
      <c r="J161" s="86"/>
      <c r="K161" s="86"/>
      <c r="L161" s="86"/>
      <c r="M161" s="86"/>
      <c r="N161" s="86"/>
    </row>
    <row r="162" spans="1:14" x14ac:dyDescent="0.25">
      <c r="A162" s="86" t="s">
        <v>50</v>
      </c>
      <c r="B162" s="86">
        <f>COUNTIF('DS - Questionário'!$D$118:$D$122,'Gráficos Conformidade'!I149)</f>
        <v>5</v>
      </c>
      <c r="C162" s="86">
        <f>COUNTIF('DS - Questionário'!$D$118:$D$122,'Gráficos Conformidade'!J149)</f>
        <v>0</v>
      </c>
      <c r="D162" s="86">
        <f>COUNTIF('DS - Questionário'!$D$118:$D$122,'Gráficos Conformidade'!K149)</f>
        <v>0</v>
      </c>
      <c r="E162" s="86">
        <f>COUNTIF('DS - Questionário'!$D$118:$D$122,'Gráficos Conformidade'!L149)</f>
        <v>0</v>
      </c>
      <c r="F162" s="86">
        <f>COUNTIF('DS - Questionário'!$D$118:$D$122,'Gráficos Conformidade'!M149)</f>
        <v>0</v>
      </c>
      <c r="G162" s="86">
        <f>COUNTIF('DS - Questionário'!$D$118:$D$122,'Gráficos Conformidade'!N149)</f>
        <v>0</v>
      </c>
      <c r="H162" s="86"/>
      <c r="I162" s="86"/>
      <c r="J162" s="86"/>
      <c r="K162" s="86"/>
      <c r="L162" s="86"/>
      <c r="M162" s="86"/>
      <c r="N162" s="86"/>
    </row>
  </sheetData>
  <sheetProtection algorithmName="SHA-512" hashValue="f4mzNUXfCzBXDK0zM3am/Kl+wDgbCV3Kxp+nRSKna5/FCVpFthdGSQR3wzh9VZOXWjZ4ATNLuiX7Sm371Z0EkA==" saltValue="hYUONtIvFpKU7POWY11ZOQ==" spinCount="100000" sheet="1" objects="1" scenarios="1" selectLockedCells="1" selectUnlockedCells="1"/>
  <pageMargins left="0.511811024" right="0.511811024" top="0.78740157499999996" bottom="0.78740157499999996" header="0.31496062000000002" footer="0.31496062000000002"/>
  <pageSetup scale="48" fitToHeight="0" orientation="landscape" horizontalDpi="30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8:B23"/>
  <sheetViews>
    <sheetView workbookViewId="0">
      <selection activeCell="P21" sqref="P21"/>
    </sheetView>
  </sheetViews>
  <sheetFormatPr defaultRowHeight="15" x14ac:dyDescent="0.25"/>
  <sheetData>
    <row r="18" spans="1:2" x14ac:dyDescent="0.25">
      <c r="A18" s="69" t="s">
        <v>447</v>
      </c>
      <c r="B18" s="69" t="s">
        <v>448</v>
      </c>
    </row>
    <row r="19" spans="1:2" x14ac:dyDescent="0.25">
      <c r="A19" s="69" t="s">
        <v>449</v>
      </c>
      <c r="B19" s="71" t="s">
        <v>450</v>
      </c>
    </row>
    <row r="21" spans="1:2" x14ac:dyDescent="0.25">
      <c r="A21" s="69" t="s">
        <v>451</v>
      </c>
      <c r="B21" s="69"/>
    </row>
    <row r="23" spans="1:2" x14ac:dyDescent="0.25">
      <c r="A23" s="69" t="s">
        <v>452</v>
      </c>
      <c r="B23" s="69"/>
    </row>
  </sheetData>
  <sheetProtection password="824D" sheet="1" objects="1" scenarios="1"/>
  <hyperlinks>
    <hyperlink ref="B19" r:id="rId1"/>
  </hyperlinks>
  <pageMargins left="0.511811024" right="0.511811024" top="0.78740157499999996" bottom="0.78740157499999996" header="0.31496062000000002" footer="0.31496062000000002"/>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Menu Principal (2)</vt:lpstr>
      <vt:lpstr>Framework COBIT</vt:lpstr>
      <vt:lpstr>Instruções</vt:lpstr>
      <vt:lpstr>Quadro Geral</vt:lpstr>
      <vt:lpstr>PO - Questionário</vt:lpstr>
      <vt:lpstr>AI - Questionário</vt:lpstr>
      <vt:lpstr>DS - Questionário</vt:lpstr>
      <vt:lpstr>MA - Questionário</vt:lpstr>
      <vt:lpstr>Gráficos Maturidade</vt:lpstr>
      <vt:lpstr>Gráficos Conformidade</vt:lpstr>
      <vt:lpstr>Quadro de Domínios e Processos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Sidnei goncalves - UP2Place IT Transformation</dc:creator>
  <cp:keywords/>
  <dc:description/>
  <cp:lastModifiedBy>Wagner Fumagalli</cp:lastModifiedBy>
  <cp:revision/>
  <dcterms:created xsi:type="dcterms:W3CDTF">2012-02-07T12:01:36Z</dcterms:created>
  <dcterms:modified xsi:type="dcterms:W3CDTF">2015-11-26T16:15:46Z</dcterms:modified>
</cp:coreProperties>
</file>