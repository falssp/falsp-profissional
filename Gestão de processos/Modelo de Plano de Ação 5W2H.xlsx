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sheets>
    <sheet state="visible" name="Instruções" sheetId="1" r:id="rId3"/>
    <sheet state="visible" name="Plano de Ação" sheetId="2" r:id="rId4"/>
    <sheet state="visible" name="Kanban" sheetId="3" r:id="rId5"/>
    <sheet state="visible" name="Parâmetros" sheetId="4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A2">
      <text>
        <t xml:space="preserve">Qual o departamento responsável pela ação?</t>
      </text>
    </comment>
    <comment authorId="0" ref="N2">
      <text>
        <t xml:space="preserve">Reach (Alcance): quantas pessoas serão impactadas?</t>
      </text>
    </comment>
    <comment authorId="0" ref="O2">
      <text>
        <t xml:space="preserve">Impact (Impacto): até que ponto cada pessoa será impactada?</t>
      </text>
    </comment>
    <comment authorId="0" ref="P2">
      <text>
        <t xml:space="preserve">Confidence (Confiança): quão confiantes estamos sobre os resultados?</t>
      </text>
    </comment>
    <comment authorId="0" ref="Q2">
      <text>
        <t xml:space="preserve">Effort (Esforço): quanto tempo, esforço e complexidade será necessário?</t>
      </text>
    </comment>
    <comment authorId="0" ref="R2">
      <text>
        <t xml:space="preserve">Para obter a pontuação RICE deve-se multiplicar Reach, Impact e Confidence e dividir o resultado por Effort. Assim, a fórmula é: R * I * C / E</t>
      </text>
    </comment>
  </commentList>
</comments>
</file>

<file path=xl/sharedStrings.xml><?xml version="1.0" encoding="utf-8"?>
<sst xmlns="http://schemas.openxmlformats.org/spreadsheetml/2006/main" count="134" uniqueCount="116">
  <si>
    <t>Gestor Preenche</t>
  </si>
  <si>
    <t>Departamento</t>
  </si>
  <si>
    <t>Instruções para utilização da Planilha</t>
  </si>
  <si>
    <t>Kanban</t>
  </si>
  <si>
    <t>What (o que será feito?)</t>
  </si>
  <si>
    <t>- Em algumas colunas, inserimos notas explicativas para facilitar o entendimento da planilha, mas reforçamos as instruções nesta aba.</t>
  </si>
  <si>
    <t>- Na aba "Plano de Ação" preencha as informações das atividades, de acordo com os campos disponíveis e baseado nos exemplos.</t>
  </si>
  <si>
    <t>- Na aba "Plano de Ação", na coluna 'Tipo de Ação", você pode definir se é um projeto ou um processo. Para efeitos de exercício, consideramos:
  Projetos ações com começo, meio e fim definidos; 
  Processos: ações executadas de forma contínua, sem prazo pré-definido para terminar.</t>
  </si>
  <si>
    <t>- Associado à metodologia 5W2H, utilizamos a Matriz Rice, que auxilia na priorização de tarefas já que mede o impacto de cada tarefa no todo. Abaixo o significado de cada campo:
  Reach (Alcance): quantas pessoas serão impactadas?
  Impact (Impacto): até que ponto cada pessoa será impactada?
  Confidence (Confiança): quão confiantes estamos sobre os resultados?
  Effort (Esforço): quanto tempo, esforço e complexidade será necessário?
Para obter a pontuação RICE deve-se multiplicar Reach, Impact e Confidence e dividir o resultado por Effort. Assim, a fórmula é: R * I * C / E</t>
  </si>
  <si>
    <t>- Para facilitar o entendimento e manuseio da planilha, padronizamos os valores da tabela para cada uma das dimensões da matriz RICE. Se quiser, você pode alterar as escalas e valores de esforço e alcance, de acordo com suas necessidades.</t>
  </si>
  <si>
    <t>- O Kanban é um método de organização e acompanhamento de tarefas; fundamental na hora de monitorar o andamento dos projetos e processos.</t>
  </si>
  <si>
    <t>- Para o bom funcionamento da integração entre o Plano de Ação e o Kanban, é imprescindível preencher a coluna em laranja de "Status Kanban".</t>
  </si>
  <si>
    <t>- Na aba "Kanban" as atividades serão distribuídas visualmente, de acordo com os dados informados na aba "Plano de Ação". Cada vez que os status mudarem, as atividades automaticamente mudarão de colunas.</t>
  </si>
  <si>
    <t>Why (por que será feito? Quais os resultados esperados?)</t>
  </si>
  <si>
    <t>When (quando será feito?)</t>
  </si>
  <si>
    <t>Where</t>
  </si>
  <si>
    <t>Who (por quem será feito?)</t>
  </si>
  <si>
    <t>How (como será feito?)</t>
  </si>
  <si>
    <t>How much (quanto vai custar? Qual sera o esforço?)</t>
  </si>
  <si>
    <t>Tipo de Ação</t>
  </si>
  <si>
    <t>- Lembre-se da importância de respeitar os parâmetros para que as automatizações funcionem. Caso você necessite mudar algum dele, altere os dados na última aba.</t>
  </si>
  <si>
    <t>Periodicidade (apenas para Processos)</t>
  </si>
  <si>
    <t>Prazo (apenas para projetos)</t>
  </si>
  <si>
    <t>Status Kanban</t>
  </si>
  <si>
    <t>Para saber mais!</t>
  </si>
  <si>
    <t>Se você tiver dúvidas sobre a diferença entre Importância e Urgência, temos um conteúdo bem explicativo:</t>
  </si>
  <si>
    <t>R - Alcance</t>
  </si>
  <si>
    <t>I - Impacto</t>
  </si>
  <si>
    <t>C - Confiança</t>
  </si>
  <si>
    <t>E - Esforço</t>
  </si>
  <si>
    <t>RICE Score</t>
  </si>
  <si>
    <t>Marketing</t>
  </si>
  <si>
    <t>Mas caso queira aprofundar nas técnicas de priorização de tarefas, sugerimos a leitura deste artigo:</t>
  </si>
  <si>
    <t>Ação #01: Apresentar plano de ação em conjunto com líder de Negócios para OKRs</t>
  </si>
  <si>
    <t>Caso queira saber mais sobre Plano de ação, acesse:</t>
  </si>
  <si>
    <t xml:space="preserve">
Alinhar ações e metas para um mesmo esforço</t>
  </si>
  <si>
    <t>Mês 06</t>
  </si>
  <si>
    <t>Sobre a metodologia de 5W2H:</t>
  </si>
  <si>
    <t>Setor de Marketing</t>
  </si>
  <si>
    <t>Coordenador de Marketing</t>
  </si>
  <si>
    <t>Metodologia Treasy de Gestão Orçamentária</t>
  </si>
  <si>
    <t>Se você quer saber mais sobre as etapas envolvidas na Metodologia Treasy de Gestão Orçamentártia, separamos alguns artigos que te auxiliarão em cada fase.</t>
  </si>
  <si>
    <t xml:space="preserve">
Líderes de Marketing e de Vendas</t>
  </si>
  <si>
    <t>4 horas de esforço</t>
  </si>
  <si>
    <t>Projeto</t>
  </si>
  <si>
    <t>1º Fase</t>
  </si>
  <si>
    <t>Done</t>
  </si>
  <si>
    <t>2º Fase</t>
  </si>
  <si>
    <t>3º Fase</t>
  </si>
  <si>
    <t>Treasy | Planejamento e Controladoria</t>
  </si>
  <si>
    <t>Comercial</t>
  </si>
  <si>
    <t>Ação #02: Elaborar estratégia de abordagem aos clientes</t>
  </si>
  <si>
    <t>Com base nas identificações acima, criar a abordagem de apresentação aos clientes</t>
  </si>
  <si>
    <t>Mês 09</t>
  </si>
  <si>
    <t>Setor Comercial e Diretoria</t>
  </si>
  <si>
    <t>Coordenador Comercial</t>
  </si>
  <si>
    <t>Em conjunto com o marketing, verificar os materiais de apoio e ações que podem ser abordadas</t>
  </si>
  <si>
    <t>10 horas de esforço</t>
  </si>
  <si>
    <t>Doing</t>
  </si>
  <si>
    <t>Financeiro</t>
  </si>
  <si>
    <t>Ação #03: Calcular comissões dos vendedores</t>
  </si>
  <si>
    <t>Para definir os valores nas folhas de pagamento</t>
  </si>
  <si>
    <t>Todo último dia útil do mês</t>
  </si>
  <si>
    <t>Setor administrativo e contabilidade (prestador de serviço)</t>
  </si>
  <si>
    <t>Responsável pelo contas a pagar e a receber</t>
  </si>
  <si>
    <t>Por meio do software Financeiro</t>
  </si>
  <si>
    <t>8 horas</t>
  </si>
  <si>
    <t>Processo</t>
  </si>
  <si>
    <t>To Do</t>
  </si>
  <si>
    <t>Status</t>
  </si>
  <si>
    <t>Importância e Urgência</t>
  </si>
  <si>
    <t>Departamentos</t>
  </si>
  <si>
    <t>Status das Atividades</t>
  </si>
  <si>
    <t>R (Alcance)</t>
  </si>
  <si>
    <t>R Valor</t>
  </si>
  <si>
    <t>I (Impacto)</t>
  </si>
  <si>
    <t>I Valor</t>
  </si>
  <si>
    <t>C (Confiança)</t>
  </si>
  <si>
    <t>C Valor</t>
  </si>
  <si>
    <t>E (Esforço)</t>
  </si>
  <si>
    <t>E Valor</t>
  </si>
  <si>
    <t>Em andamento</t>
  </si>
  <si>
    <t>Baixo</t>
  </si>
  <si>
    <t>Administrativo</t>
  </si>
  <si>
    <t>A iniciar</t>
  </si>
  <si>
    <t>Backlog</t>
  </si>
  <si>
    <t>1. Alcance muito baixo</t>
  </si>
  <si>
    <t>1. Impacto muito baixo</t>
  </si>
  <si>
    <t>1. Confiança muito baixo</t>
  </si>
  <si>
    <t>1. Esforço muito baixo</t>
  </si>
  <si>
    <t>Em definição</t>
  </si>
  <si>
    <t>Médio</t>
  </si>
  <si>
    <t>Executando</t>
  </si>
  <si>
    <t>2. Alcance baixo</t>
  </si>
  <si>
    <t>2. Impacto baixo</t>
  </si>
  <si>
    <t>2. Confiança baixo</t>
  </si>
  <si>
    <t>2. Esforço baixo</t>
  </si>
  <si>
    <t>Concluído</t>
  </si>
  <si>
    <t>Alto</t>
  </si>
  <si>
    <t>3. Alcance médio</t>
  </si>
  <si>
    <t>3. Impacto médio</t>
  </si>
  <si>
    <t>3. Confiança médio</t>
  </si>
  <si>
    <t>3. Esforço médio</t>
  </si>
  <si>
    <t>Standby</t>
  </si>
  <si>
    <t>4. Alcance alto</t>
  </si>
  <si>
    <t>4. Impacto alto</t>
  </si>
  <si>
    <t>4. Confiança alto</t>
  </si>
  <si>
    <t>4. Esforço alto</t>
  </si>
  <si>
    <t>Produção</t>
  </si>
  <si>
    <t>Cancelado</t>
  </si>
  <si>
    <t>5. Alcance muito alto</t>
  </si>
  <si>
    <t>5. Impacto muito alto</t>
  </si>
  <si>
    <t>5. Confiança muito alto</t>
  </si>
  <si>
    <t>5. Esforço muito alto</t>
  </si>
  <si>
    <t>Logística</t>
  </si>
  <si>
    <t>RH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</si>
</sst>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&quot;/&quot;yyyy"/>
  </numFmts>
  <fonts count="19">
    <font>
      <sz val="10.0"/>
      <color rgb="FF000000"/>
      <name val="Arial"/>
    </font>
    <font>
      <b/>
      <sz val="9.0"/>
      <name val="Roboto"/>
    </font>
    <font>
      <b/>
      <color rgb="FFFFFFFF"/>
    </font>
    <font>
      <sz val="9.0"/>
      <name val="Roboto"/>
    </font>
    <font/>
    <font>
      <sz val="20.0"/>
    </font>
    <font>
      <b/>
      <sz val="14.0"/>
      <color rgb="FFFFFFFF"/>
      <name val="Montserrat"/>
    </font>
    <font>
      <sz val="10.0"/>
      <name val="Roboto"/>
    </font>
    <font>
      <sz val="10.0"/>
      <color rgb="FF000000"/>
      <name val="Roboto"/>
    </font>
    <font>
      <u/>
      <sz val="10.0"/>
      <color rgb="FF0000FF"/>
      <name val="Roboto"/>
    </font>
    <font>
      <name val="Roboto"/>
    </font>
    <font>
      <b/>
      <name val="Roboto"/>
    </font>
    <font>
      <u/>
      <color rgb="FF000000"/>
      <name val="Roboto"/>
    </font>
    <font>
      <u/>
      <color rgb="FF000000"/>
      <name val="Roboto"/>
    </font>
    <font>
      <b/>
      <sz val="16.0"/>
      <color rgb="FFFFFFFF"/>
      <name val="Arial"/>
    </font>
    <font>
      <u/>
      <sz val="10.0"/>
      <color rgb="FF000000"/>
      <name val="Roboto"/>
    </font>
    <font>
      <b/>
      <sz val="11.0"/>
      <color rgb="FF000000"/>
      <name val="Roboto"/>
    </font>
    <font>
      <b/>
      <sz val="11.0"/>
      <name val="Roboto"/>
    </font>
    <font>
      <b/>
    </font>
  </fonts>
  <fills count="11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D966"/>
        <bgColor rgb="FFFFD966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C9DAF8"/>
        <bgColor rgb="FFC9DAF8"/>
      </patternFill>
    </fill>
    <fill>
      <patternFill patternType="solid">
        <fgColor rgb="FF93C47D"/>
        <bgColor rgb="FF93C47D"/>
      </patternFill>
    </fill>
  </fills>
  <borders count="18">
    <border/>
    <border>
      <left style="thin">
        <color rgb="FFF3F3F3"/>
      </left>
      <top style="thin">
        <color rgb="FFF3F3F3"/>
      </top>
    </border>
    <border>
      <top style="thin">
        <color rgb="FFF3F3F3"/>
      </top>
    </border>
    <border>
      <right style="thin">
        <color rgb="FFF3F3F3"/>
      </right>
      <top style="thin">
        <color rgb="FFF3F3F3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000000"/>
      </left>
      <bottom style="thin">
        <color rgb="FF000000"/>
      </bottom>
    </border>
    <border>
      <left style="thin">
        <color rgb="FFF3F3F3"/>
      </left>
      <right style="thin">
        <color rgb="FFF3F3F3"/>
      </right>
      <bottom style="thin">
        <color rgb="FFF3F3F3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horizontal="center" readingOrder="0" vertical="center"/>
    </xf>
    <xf borderId="0" fillId="0" fontId="3" numFmtId="0" xfId="0" applyAlignment="1" applyFont="1">
      <alignment vertical="center"/>
    </xf>
    <xf borderId="1" fillId="2" fontId="1" numFmtId="0" xfId="0" applyAlignment="1" applyBorder="1" applyFont="1">
      <alignment horizontal="center" readingOrder="0" shrinkToFit="0" vertical="center" wrapText="1"/>
    </xf>
    <xf borderId="2" fillId="0" fontId="4" numFmtId="0" xfId="0" applyBorder="1" applyFont="1"/>
    <xf borderId="3" fillId="0" fontId="4" numFmtId="0" xfId="0" applyBorder="1" applyFont="1"/>
    <xf borderId="4" fillId="0" fontId="1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4" fontId="6" numFmtId="0" xfId="0" applyAlignment="1" applyBorder="1" applyFill="1" applyFont="1">
      <alignment horizontal="center" readingOrder="0" shrinkToFit="0" vertical="center" wrapText="1"/>
    </xf>
    <xf borderId="8" fillId="0" fontId="7" numFmtId="0" xfId="0" applyAlignment="1" applyBorder="1" applyFont="1">
      <alignment readingOrder="0"/>
    </xf>
    <xf borderId="9" fillId="0" fontId="4" numFmtId="0" xfId="0" applyBorder="1" applyFont="1"/>
    <xf borderId="8" fillId="0" fontId="8" numFmtId="0" xfId="0" applyAlignment="1" applyBorder="1" applyFont="1">
      <alignment readingOrder="0" shrinkToFit="0" wrapText="1"/>
    </xf>
    <xf borderId="9" fillId="5" fontId="1" numFmtId="0" xfId="0" applyAlignment="1" applyBorder="1" applyFill="1" applyFont="1">
      <alignment horizontal="center" shrinkToFit="0" vertical="center" wrapText="1"/>
    </xf>
    <xf borderId="8" fillId="0" fontId="7" numFmtId="0" xfId="0" applyAlignment="1" applyBorder="1" applyFont="1">
      <alignment readingOrder="0" shrinkToFit="0" wrapText="1"/>
    </xf>
    <xf borderId="9" fillId="0" fontId="1" numFmtId="0" xfId="0" applyAlignment="1" applyBorder="1" applyFont="1">
      <alignment horizontal="center" shrinkToFit="0" vertical="center" wrapText="1"/>
    </xf>
    <xf borderId="10" fillId="0" fontId="7" numFmtId="0" xfId="0" applyAlignment="1" applyBorder="1" applyFont="1">
      <alignment readingOrder="0"/>
    </xf>
    <xf borderId="9" fillId="6" fontId="1" numFmtId="0" xfId="0" applyAlignment="1" applyBorder="1" applyFill="1" applyFont="1">
      <alignment horizontal="center" readingOrder="0" shrinkToFit="0" vertical="center" wrapText="1"/>
    </xf>
    <xf borderId="4" fillId="0" fontId="7" numFmtId="0" xfId="0" applyAlignment="1" applyBorder="1" applyFont="1">
      <alignment readingOrder="0"/>
    </xf>
    <xf borderId="7" fillId="0" fontId="1" numFmtId="0" xfId="0" applyAlignment="1" applyBorder="1" applyFont="1">
      <alignment horizontal="center" shrinkToFit="0" vertical="center" wrapText="1"/>
    </xf>
    <xf borderId="8" fillId="0" fontId="9" numFmtId="0" xfId="0" applyAlignment="1" applyBorder="1" applyFont="1">
      <alignment readingOrder="0"/>
    </xf>
    <xf borderId="11" fillId="0" fontId="7" numFmtId="0" xfId="0" applyAlignment="1" applyBorder="1" applyFont="1">
      <alignment readingOrder="0" shrinkToFit="0" vertical="center" wrapText="1"/>
    </xf>
    <xf borderId="11" fillId="0" fontId="7" numFmtId="0" xfId="0" applyAlignment="1" applyBorder="1" applyFont="1">
      <alignment readingOrder="0" vertical="center"/>
    </xf>
    <xf borderId="4" fillId="3" fontId="10" numFmtId="0" xfId="0" applyAlignment="1" applyBorder="1" applyFont="1">
      <alignment shrinkToFit="0" wrapText="1"/>
    </xf>
    <xf borderId="11" fillId="0" fontId="7" numFmtId="0" xfId="0" applyAlignment="1" applyBorder="1" applyFont="1">
      <alignment shrinkToFit="0" vertical="center" wrapText="1"/>
    </xf>
    <xf borderId="8" fillId="3" fontId="11" numFmtId="0" xfId="0" applyAlignment="1" applyBorder="1" applyFont="1">
      <alignment shrinkToFit="0" wrapText="1"/>
    </xf>
    <xf borderId="12" fillId="0" fontId="4" numFmtId="0" xfId="0" applyBorder="1" applyFont="1"/>
    <xf borderId="8" fillId="3" fontId="12" numFmtId="0" xfId="0" applyAlignment="1" applyBorder="1" applyFont="1">
      <alignment shrinkToFit="0" wrapText="1"/>
    </xf>
    <xf borderId="11" fillId="0" fontId="7" numFmtId="164" xfId="0" applyAlignment="1" applyBorder="1" applyFont="1" applyNumberFormat="1">
      <alignment vertical="center"/>
    </xf>
    <xf borderId="11" fillId="0" fontId="7" numFmtId="0" xfId="0" applyAlignment="1" applyBorder="1" applyFont="1">
      <alignment vertical="center"/>
    </xf>
    <xf borderId="13" fillId="0" fontId="7" numFmtId="0" xfId="0" applyAlignment="1" applyBorder="1" applyFont="1">
      <alignment readingOrder="0" shrinkToFit="0" vertical="center" wrapText="1"/>
    </xf>
    <xf borderId="13" fillId="0" fontId="7" numFmtId="0" xfId="0" applyAlignment="1" applyBorder="1" applyFont="1">
      <alignment readingOrder="0" vertical="center"/>
    </xf>
    <xf borderId="10" fillId="3" fontId="13" numFmtId="0" xfId="0" applyAlignment="1" applyBorder="1" applyFont="1">
      <alignment shrinkToFit="0" wrapText="1"/>
    </xf>
    <xf borderId="0" fillId="3" fontId="4" numFmtId="0" xfId="0" applyFont="1"/>
    <xf borderId="0" fillId="3" fontId="14" numFmtId="0" xfId="0" applyAlignment="1" applyFont="1">
      <alignment horizontal="center" readingOrder="0" shrinkToFit="0" vertical="center" wrapText="1"/>
    </xf>
    <xf borderId="0" fillId="3" fontId="15" numFmtId="0" xfId="0" applyAlignment="1" applyFont="1">
      <alignment readingOrder="0" shrinkToFit="0" vertical="bottom" wrapText="1"/>
    </xf>
    <xf borderId="13" fillId="0" fontId="7" numFmtId="0" xfId="0" applyAlignment="1" applyBorder="1" applyFont="1">
      <alignment vertical="center"/>
    </xf>
    <xf borderId="13" fillId="0" fontId="7" numFmtId="9" xfId="0" applyAlignment="1" applyBorder="1" applyFont="1" applyNumberFormat="1">
      <alignment readingOrder="0" vertical="center"/>
    </xf>
    <xf borderId="4" fillId="7" fontId="11" numFmtId="0" xfId="0" applyAlignment="1" applyBorder="1" applyFill="1" applyFont="1">
      <alignment horizontal="center" readingOrder="0" vertical="center"/>
    </xf>
    <xf borderId="4" fillId="7" fontId="16" numFmtId="0" xfId="0" applyAlignment="1" applyBorder="1" applyFont="1">
      <alignment vertical="center"/>
    </xf>
    <xf borderId="4" fillId="7" fontId="17" numFmtId="0" xfId="0" applyAlignment="1" applyBorder="1" applyFont="1">
      <alignment vertical="center"/>
    </xf>
    <xf borderId="5" fillId="0" fontId="7" numFmtId="0" xfId="0" applyAlignment="1" applyBorder="1" applyFont="1">
      <alignment readingOrder="0" vertical="center"/>
    </xf>
    <xf borderId="6" fillId="0" fontId="7" numFmtId="0" xfId="0" applyAlignment="1" applyBorder="1" applyFont="1">
      <alignment readingOrder="0" vertical="center"/>
    </xf>
    <xf borderId="6" fillId="3" fontId="8" numFmtId="0" xfId="0" applyAlignment="1" applyBorder="1" applyFont="1">
      <alignment horizontal="left" shrinkToFit="0" vertical="center" wrapText="1"/>
    </xf>
    <xf borderId="6" fillId="3" fontId="8" numFmtId="9" xfId="0" applyAlignment="1" applyBorder="1" applyFont="1" applyNumberFormat="1">
      <alignment horizontal="left" vertical="center"/>
    </xf>
    <xf borderId="9" fillId="3" fontId="8" numFmtId="0" xfId="0" applyAlignment="1" applyBorder="1" applyFont="1">
      <alignment horizontal="left" vertical="center"/>
    </xf>
    <xf borderId="14" fillId="0" fontId="7" numFmtId="0" xfId="0" applyAlignment="1" applyBorder="1" applyFont="1">
      <alignment readingOrder="0" vertical="center"/>
    </xf>
    <xf borderId="0" fillId="0" fontId="7" numFmtId="0" xfId="0" applyAlignment="1" applyFont="1">
      <alignment readingOrder="0" vertical="center"/>
    </xf>
    <xf borderId="0" fillId="3" fontId="8" numFmtId="0" xfId="0" applyAlignment="1" applyFont="1">
      <alignment horizontal="left" shrinkToFit="0" vertical="center" wrapText="1"/>
    </xf>
    <xf borderId="0" fillId="3" fontId="8" numFmtId="9" xfId="0" applyAlignment="1" applyFont="1" applyNumberFormat="1">
      <alignment horizontal="left" vertical="center"/>
    </xf>
    <xf borderId="15" fillId="3" fontId="8" numFmtId="0" xfId="0" applyAlignment="1" applyBorder="1" applyFont="1">
      <alignment horizontal="left" vertical="center"/>
    </xf>
    <xf borderId="14" fillId="0" fontId="7" numFmtId="0" xfId="0" applyAlignment="1" applyBorder="1" applyFont="1">
      <alignment vertical="center"/>
    </xf>
    <xf borderId="0" fillId="0" fontId="7" numFmtId="0" xfId="0" applyAlignment="1" applyFont="1">
      <alignment vertical="center"/>
    </xf>
    <xf borderId="0" fillId="3" fontId="8" numFmtId="0" xfId="0" applyAlignment="1" applyFont="1">
      <alignment horizontal="left" shrinkToFit="0" vertical="center" wrapText="1"/>
    </xf>
    <xf borderId="15" fillId="3" fontId="8" numFmtId="0" xfId="0" applyAlignment="1" applyBorder="1" applyFont="1">
      <alignment horizontal="left" vertical="center"/>
    </xf>
    <xf borderId="15" fillId="0" fontId="7" numFmtId="0" xfId="0" applyAlignment="1" applyBorder="1" applyFont="1">
      <alignment vertical="center"/>
    </xf>
    <xf borderId="12" fillId="0" fontId="7" numFmtId="0" xfId="0" applyAlignment="1" applyBorder="1" applyFont="1">
      <alignment vertical="center"/>
    </xf>
    <xf borderId="16" fillId="0" fontId="7" numFmtId="0" xfId="0" applyAlignment="1" applyBorder="1" applyFont="1">
      <alignment vertical="center"/>
    </xf>
    <xf borderId="16" fillId="0" fontId="7" numFmtId="0" xfId="0" applyAlignment="1" applyBorder="1" applyFont="1">
      <alignment readingOrder="0" vertical="center"/>
    </xf>
    <xf borderId="17" fillId="0" fontId="7" numFmtId="0" xfId="0" applyAlignment="1" applyBorder="1" applyFont="1">
      <alignment vertical="center"/>
    </xf>
    <xf borderId="16" fillId="0" fontId="4" numFmtId="0" xfId="0" applyBorder="1" applyFont="1"/>
    <xf borderId="17" fillId="0" fontId="4" numFmtId="0" xfId="0" applyBorder="1" applyFont="1"/>
    <xf borderId="0" fillId="3" fontId="18" numFmtId="0" xfId="0" applyAlignment="1" applyFont="1">
      <alignment horizontal="center" readingOrder="0" vertical="center"/>
    </xf>
    <xf borderId="14" fillId="8" fontId="18" numFmtId="0" xfId="0" applyAlignment="1" applyBorder="1" applyFill="1" applyFont="1">
      <alignment horizontal="center" readingOrder="0" vertical="center"/>
    </xf>
    <xf borderId="14" fillId="9" fontId="18" numFmtId="0" xfId="0" applyAlignment="1" applyBorder="1" applyFill="1" applyFont="1">
      <alignment horizontal="center" readingOrder="0" vertical="center"/>
    </xf>
    <xf borderId="15" fillId="0" fontId="4" numFmtId="0" xfId="0" applyBorder="1" applyFont="1"/>
    <xf borderId="0" fillId="4" fontId="18" numFmtId="0" xfId="0" applyAlignment="1" applyFont="1">
      <alignment horizontal="center" readingOrder="0" vertical="center"/>
    </xf>
    <xf borderId="0" fillId="10" fontId="18" numFmtId="0" xfId="0" applyAlignment="1" applyFill="1" applyFont="1">
      <alignment horizontal="center" readingOrder="0" vertical="center"/>
    </xf>
    <xf borderId="5" fillId="0" fontId="4" numFmtId="0" xfId="0" applyAlignment="1" applyBorder="1" applyFont="1">
      <alignment horizontal="center" shrinkToFit="0" vertical="center" wrapText="1"/>
    </xf>
    <xf borderId="5" fillId="0" fontId="4" numFmtId="0" xfId="0" applyAlignment="1" applyBorder="1" applyFont="1">
      <alignment horizontal="center" readingOrder="0" shrinkToFit="0" vertical="center" wrapText="1"/>
    </xf>
    <xf borderId="14" fillId="0" fontId="4" numFmtId="0" xfId="0" applyAlignment="1" applyBorder="1" applyFont="1">
      <alignment horizontal="center" shrinkToFit="0" vertical="center" wrapText="1"/>
    </xf>
    <xf borderId="14" fillId="0" fontId="4" numFmtId="0" xfId="0" applyAlignment="1" applyBorder="1" applyFont="1">
      <alignment horizontal="center" readingOrder="0" shrinkToFit="0" vertical="center" wrapText="1"/>
    </xf>
    <xf borderId="12" fillId="0" fontId="4" numFmtId="0" xfId="0" applyAlignment="1" applyBorder="1" applyFont="1">
      <alignment horizontal="center" shrinkToFit="0" vertical="center" wrapText="1"/>
    </xf>
    <xf borderId="12" fillId="0" fontId="4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4472C4"/>
          <bgColor rgb="FF4472C4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</dxfs>
  <tableStyles count="1">
    <tableStyle count="3" pivot="0" name="Parâmetr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>
  <xdr:oneCellAnchor>
    <xdr:from>
      <xdr:col>0</xdr:col>
      <xdr:colOff>342900</xdr:colOff>
      <xdr:row>0</xdr:row>
      <xdr:rowOff>85725</xdr:rowOff>
    </xdr:from>
    <xdr:ext cx="1152525" cy="4381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/>
</file>

<file path=xl/tables/table1.xml><?xml version="1.0" encoding="utf-8"?>
<table xmlns="http://schemas.openxmlformats.org/spreadsheetml/2006/main" ref="G1:N6" displayName="Table_1" id="1">
  <tableColumns count="8">
    <tableColumn name="R (Alcance)" id="1"/>
    <tableColumn name="R Valor" id="2"/>
    <tableColumn name="I (Impacto)" id="3"/>
    <tableColumn name="I Valor" id="4"/>
    <tableColumn name="C (Confiança)" id="5"/>
    <tableColumn name="C Valor" id="6"/>
    <tableColumn name="E (Esforço)" id="7"/>
    <tableColumn name="E Valor" id="8"/>
  </tableColumns>
  <tableStyleInfo name="Parâmetros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75"/>
  <cols>
    <col customWidth="1" min="1" max="1" width="5.29"/>
    <col customWidth="1" min="2" max="2" width="139.0"/>
  </cols>
  <sheetData>
    <row r="4">
      <c r="B4" s="10" t="s">
        <v>2</v>
      </c>
    </row>
    <row r="5">
      <c r="B5" s="11" t="s">
        <v>5</v>
      </c>
    </row>
    <row r="6">
      <c r="B6" s="11" t="s">
        <v>6</v>
      </c>
    </row>
    <row r="7">
      <c r="B7" s="11" t="s">
        <v>7</v>
      </c>
    </row>
    <row r="8">
      <c r="B8" s="13" t="s">
        <v>8</v>
      </c>
    </row>
    <row r="9">
      <c r="B9" s="13" t="s">
        <v>9</v>
      </c>
    </row>
    <row r="10">
      <c r="B10" s="13" t="s">
        <v>10</v>
      </c>
    </row>
    <row r="11">
      <c r="B11" s="11" t="s">
        <v>11</v>
      </c>
    </row>
    <row r="12">
      <c r="B12" s="15" t="s">
        <v>12</v>
      </c>
    </row>
    <row r="13">
      <c r="B13" s="17" t="s">
        <v>20</v>
      </c>
    </row>
    <row r="14">
      <c r="B14" s="10" t="s">
        <v>24</v>
      </c>
    </row>
    <row r="15">
      <c r="B15" s="19" t="s">
        <v>25</v>
      </c>
    </row>
    <row r="16">
      <c r="B16" s="21" t="str">
        <f>HYPERLINK("https://www.treasy.com.br/blog/gestao-de-tarefas#Gerenciamento-de-tarefas-atividades-urgentes-x-atividades-importantes","Gestão de Tarefas: Urgência X Importância")</f>
        <v>Gestão de Tarefas: Urgência X Importância</v>
      </c>
    </row>
    <row r="17">
      <c r="B17" s="11" t="s">
        <v>32</v>
      </c>
    </row>
    <row r="18">
      <c r="B18" s="21" t="str">
        <f>HYPERLINK("https://www.treasy.com.br/blog/metodos-de-priorizacao/","Conheça os principais métodos de priorização de projetos e processos")</f>
        <v>Conheça os principais métodos de priorização de projetos e processos</v>
      </c>
    </row>
    <row r="19">
      <c r="B19" s="11" t="s">
        <v>34</v>
      </c>
    </row>
    <row r="20">
      <c r="B20" s="21" t="str">
        <f>HYPERLINK("https://www.treasy.com.br/blog/plano-de-acao","Plano de Ação – O passo a passo da ideia à concretização de seus objetivos!")</f>
        <v>Plano de Ação – O passo a passo da ideia à concretização de seus objetivos!</v>
      </c>
    </row>
    <row r="21">
      <c r="B21" s="11" t="s">
        <v>37</v>
      </c>
    </row>
    <row r="22">
      <c r="B22" s="21" t="str">
        <f>HYPERLINK("https://www.treasy.com.br/blog/5w2h","5W2H – Reduzindo incertezas e ganhando produtividade para os planos de ações de sua empresa")</f>
        <v>5W2H – Reduzindo incertezas e ganhando produtividade para os planos de ações de sua empresa</v>
      </c>
    </row>
    <row r="23">
      <c r="B23" s="10" t="s">
        <v>40</v>
      </c>
    </row>
    <row r="24">
      <c r="B24" s="24" t="s">
        <v>41</v>
      </c>
    </row>
    <row r="25">
      <c r="B25" s="26" t="s">
        <v>45</v>
      </c>
    </row>
    <row r="26">
      <c r="B26" s="28" t="str">
        <f>HYPERLINK("https://www.treasy.com.br/blog/one-metric-that-matters-omtm/","One Metric That Matters (OMTM): definindo um objetivo estratégico único para sua empresa ter foco")</f>
        <v>One Metric That Matters (OMTM): definindo um objetivo estratégico único para sua empresa ter foco</v>
      </c>
    </row>
    <row r="27">
      <c r="B27" s="28" t="str">
        <f>HYPERLINK("https://www.treasy.com.br/blog/premissas-orcamentarias/","Premissas Orçamentárias – Saiba como melhorar a Gestão Orçamentária de sua empresa utilizando-as")</f>
        <v>Premissas Orçamentárias – Saiba como melhorar a Gestão Orçamentária de sua empresa utilizando-as</v>
      </c>
    </row>
    <row r="28">
      <c r="B28" s="28" t="str">
        <f>HYPERLINK("https://www.treasy.com.br/blog/fca-5-porques/","Modelo de Acompanhamento Fato, Causa e Ação")</f>
        <v>Modelo de Acompanhamento Fato, Causa e Ação</v>
      </c>
    </row>
    <row r="29">
      <c r="B29" s="28" t="str">
        <f>HYPERLINK("https://www.treasy.com.br/blog/plano-de-acao/","Plano de Ação – O passo a passo da ideia à concretização de seus objetivos!")</f>
        <v>Plano de Ação – O passo a passo da ideia à concretização de seus objetivos!</v>
      </c>
    </row>
    <row r="30">
      <c r="B30" s="26" t="s">
        <v>47</v>
      </c>
    </row>
    <row r="31">
      <c r="B31" s="28" t="str">
        <f>HYPERLINK("https://www.treasy.com.br/blog/tudo-que-voce-precisa-saber-sobre-gestao-orcamentaria/","Tudo que você precisa saber sobre Gestão Orçamentaria em um só lugar!")</f>
        <v>Tudo que você precisa saber sobre Gestão Orçamentaria em um só lugar!</v>
      </c>
    </row>
    <row r="32">
      <c r="B32" s="28" t="str">
        <f>HYPERLINK("https://www.treasy.com.br/blog/analise-de-cenarios-orcamentarios-e-projecao-de-cenarios-economicos-e-financeiros/","Análise de Cenários Orçamentários: como a Projeção de Cenários Econômicos e Financeiros pode ser um divisor de águas para sua empresa")</f>
        <v>Análise de Cenários Orçamentários: como a Projeção de Cenários Econômicos e Financeiros pode ser um divisor de águas para sua empresa</v>
      </c>
    </row>
    <row r="33">
      <c r="B33" s="26" t="s">
        <v>48</v>
      </c>
    </row>
    <row r="34">
      <c r="B34" s="28" t="str">
        <f>HYPERLINK("https://www.treasy.com.br/blog/novidades-no-treasy-importar-os-dados/","[Novidades no Treasy] – Exportar e importar dados ficou ainda mais fácil")</f>
        <v>[Novidades no Treasy] – Exportar e importar dados ficou ainda mais fácil</v>
      </c>
    </row>
    <row r="35">
      <c r="B35" s="33" t="str">
        <f>HYPERLINK("https://www.treasy.com.br/blog/acompanhamento-orcamentario-planejado-x-realizado-x-historico/","Acompanhamento Orçamentário: muito além do simples Planejado x Realizado x Histórico")</f>
        <v>Acompanhamento Orçamentário: muito além do simples Planejado x Realizado x Histórico</v>
      </c>
    </row>
    <row r="36">
      <c r="A36" s="34"/>
      <c r="B36" s="35"/>
      <c r="C36" s="34"/>
    </row>
    <row r="37">
      <c r="B37" s="36" t="s">
        <v>49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showGridLines="0"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4.43" defaultRowHeight="15.75"/>
  <cols>
    <col customWidth="1" min="1" max="1" width="16.43"/>
    <col customWidth="1" min="2" max="2" width="43.57"/>
    <col customWidth="1" min="3" max="12" width="18.14"/>
    <col customWidth="1" min="13" max="13" width="5.0"/>
    <col customWidth="1" min="14" max="18" width="23.0"/>
    <col customWidth="1" min="19" max="19" width="5.0"/>
  </cols>
  <sheetData>
    <row r="1" ht="21.0" customHeight="1">
      <c r="A1" s="1" t="s">
        <v>0</v>
      </c>
      <c r="C1" s="1" t="s">
        <v>0</v>
      </c>
      <c r="M1" s="3"/>
      <c r="N1" s="4" t="s">
        <v>0</v>
      </c>
      <c r="O1" s="5"/>
      <c r="P1" s="5"/>
      <c r="Q1" s="5"/>
      <c r="R1" s="6"/>
      <c r="S1" s="3"/>
    </row>
    <row r="2" ht="21.0" customHeight="1">
      <c r="A2" s="7" t="s">
        <v>1</v>
      </c>
      <c r="B2" s="14" t="s">
        <v>4</v>
      </c>
      <c r="C2" s="14" t="s">
        <v>13</v>
      </c>
      <c r="D2" s="14" t="s">
        <v>14</v>
      </c>
      <c r="E2" s="14" t="s">
        <v>15</v>
      </c>
      <c r="F2" s="14" t="s">
        <v>16</v>
      </c>
      <c r="G2" s="14" t="s">
        <v>17</v>
      </c>
      <c r="H2" s="14" t="s">
        <v>18</v>
      </c>
      <c r="I2" s="16" t="s">
        <v>19</v>
      </c>
      <c r="J2" s="16" t="s">
        <v>21</v>
      </c>
      <c r="K2" s="16" t="s">
        <v>22</v>
      </c>
      <c r="L2" s="18" t="s">
        <v>23</v>
      </c>
      <c r="M2" s="3"/>
      <c r="N2" s="20" t="s">
        <v>26</v>
      </c>
      <c r="O2" s="20" t="s">
        <v>27</v>
      </c>
      <c r="P2" s="20" t="s">
        <v>28</v>
      </c>
      <c r="Q2" s="20" t="s">
        <v>29</v>
      </c>
      <c r="R2" s="20" t="s">
        <v>30</v>
      </c>
      <c r="S2" s="3"/>
    </row>
    <row r="3">
      <c r="A3" s="22" t="s">
        <v>31</v>
      </c>
      <c r="B3" s="22" t="s">
        <v>33</v>
      </c>
      <c r="C3" s="22" t="s">
        <v>35</v>
      </c>
      <c r="D3" s="23" t="s">
        <v>36</v>
      </c>
      <c r="E3" s="22" t="s">
        <v>38</v>
      </c>
      <c r="F3" s="22" t="s">
        <v>39</v>
      </c>
      <c r="G3" s="22" t="s">
        <v>42</v>
      </c>
      <c r="H3" s="23" t="s">
        <v>43</v>
      </c>
      <c r="I3" s="22" t="s">
        <v>44</v>
      </c>
      <c r="J3" s="25"/>
      <c r="K3" s="29"/>
      <c r="L3" s="22" t="s">
        <v>46</v>
      </c>
      <c r="M3" s="30"/>
      <c r="N3" s="31"/>
      <c r="O3" s="31"/>
      <c r="P3" s="32"/>
      <c r="Q3" s="31"/>
      <c r="R3" s="37">
        <f>IFERROR((VLOOKUP(N3,'Parâmetros'!G:H,2,0)*VLOOKUP(O3,'Parâmetros'!I:J,2,0)*VLOOKUP(P3,'Parâmetros'!K:L,2,0)/VLOOKUP(Q3,'Parâmetros'!M:N,2,0)),0)</f>
        <v>0</v>
      </c>
      <c r="S3" s="30"/>
    </row>
    <row r="4">
      <c r="A4" s="23" t="s">
        <v>50</v>
      </c>
      <c r="B4" s="22" t="s">
        <v>51</v>
      </c>
      <c r="C4" s="22" t="s">
        <v>52</v>
      </c>
      <c r="D4" s="23" t="s">
        <v>53</v>
      </c>
      <c r="E4" s="22" t="s">
        <v>54</v>
      </c>
      <c r="F4" s="22" t="s">
        <v>55</v>
      </c>
      <c r="G4" s="22" t="s">
        <v>56</v>
      </c>
      <c r="H4" s="23" t="s">
        <v>57</v>
      </c>
      <c r="I4" s="23" t="s">
        <v>44</v>
      </c>
      <c r="J4" s="30"/>
      <c r="K4" s="29"/>
      <c r="L4" s="23" t="s">
        <v>58</v>
      </c>
      <c r="M4" s="30"/>
      <c r="N4" s="31"/>
      <c r="O4" s="31"/>
      <c r="P4" s="32"/>
      <c r="Q4" s="31"/>
      <c r="R4" s="37">
        <f>IFERROR((VLOOKUP(N4,'Parâmetros'!G:H,2,0)*VLOOKUP(O4,'Parâmetros'!I:J,2,0)*VLOOKUP(P4,'Parâmetros'!K:L,2,0)/VLOOKUP(Q4,'Parâmetros'!M:N,2,0)),0)</f>
        <v>0</v>
      </c>
      <c r="S4" s="30"/>
    </row>
    <row r="5">
      <c r="A5" s="22" t="s">
        <v>59</v>
      </c>
      <c r="B5" s="22" t="s">
        <v>60</v>
      </c>
      <c r="C5" s="22" t="s">
        <v>61</v>
      </c>
      <c r="D5" s="22" t="s">
        <v>62</v>
      </c>
      <c r="E5" s="22" t="s">
        <v>63</v>
      </c>
      <c r="F5" s="22" t="s">
        <v>64</v>
      </c>
      <c r="G5" s="22" t="s">
        <v>65</v>
      </c>
      <c r="H5" s="22" t="s">
        <v>66</v>
      </c>
      <c r="I5" s="23" t="s">
        <v>67</v>
      </c>
      <c r="J5" s="30"/>
      <c r="K5" s="29"/>
      <c r="L5" s="23" t="s">
        <v>68</v>
      </c>
      <c r="M5" s="30"/>
      <c r="N5" s="31"/>
      <c r="O5" s="31"/>
      <c r="P5" s="38"/>
      <c r="Q5" s="31"/>
      <c r="R5" s="37">
        <f>IFERROR((VLOOKUP(N5,'Parâmetros'!G:H,2,0)*VLOOKUP(O5,'Parâmetros'!I:J,2,0)*VLOOKUP(P5,'Parâmetros'!K:L,2,0)/VLOOKUP(Q5,'Parâmetros'!M:N,2,0)),0)</f>
        <v>0</v>
      </c>
      <c r="S5" s="30"/>
    </row>
    <row r="6">
      <c r="A6" s="23"/>
      <c r="B6" s="22"/>
      <c r="C6" s="30"/>
      <c r="D6" s="30"/>
      <c r="E6" s="30"/>
      <c r="F6" s="30"/>
      <c r="G6" s="30"/>
      <c r="H6" s="30"/>
      <c r="I6" s="23"/>
      <c r="J6" s="30"/>
      <c r="K6" s="29"/>
      <c r="L6" s="23"/>
      <c r="M6" s="30"/>
      <c r="N6" s="31"/>
      <c r="O6" s="31"/>
      <c r="P6" s="38"/>
      <c r="Q6" s="31"/>
      <c r="R6" s="37">
        <f>IFERROR((VLOOKUP(N6,'Parâmetros'!G:H,2,0)*VLOOKUP(O6,'Parâmetros'!I:J,2,0)*VLOOKUP(P6,'Parâmetros'!K:L,2,0)/VLOOKUP(Q6,'Parâmetros'!M:N,2,0)),0)</f>
        <v>0</v>
      </c>
      <c r="S6" s="30"/>
    </row>
    <row r="7">
      <c r="A7" s="23"/>
      <c r="B7" s="22"/>
      <c r="C7" s="30"/>
      <c r="D7" s="30"/>
      <c r="E7" s="30"/>
      <c r="F7" s="30"/>
      <c r="G7" s="30"/>
      <c r="H7" s="30"/>
      <c r="I7" s="23"/>
      <c r="J7" s="30"/>
      <c r="K7" s="29"/>
      <c r="L7" s="23"/>
      <c r="M7" s="30"/>
      <c r="N7" s="31"/>
      <c r="O7" s="31"/>
      <c r="P7" s="38"/>
      <c r="Q7" s="31"/>
      <c r="R7" s="37">
        <f>IFERROR((VLOOKUP(N7,'Parâmetros'!G:H,2,0)*VLOOKUP(O7,'Parâmetros'!I:J,2,0)*VLOOKUP(P7,'Parâmetros'!K:L,2,0)/VLOOKUP(Q7,'Parâmetros'!M:N,2,0)),0)</f>
        <v>0</v>
      </c>
      <c r="S7" s="30"/>
    </row>
    <row r="8">
      <c r="A8" s="23"/>
      <c r="B8" s="23"/>
      <c r="C8" s="30"/>
      <c r="D8" s="30"/>
      <c r="E8" s="30"/>
      <c r="F8" s="30"/>
      <c r="G8" s="30"/>
      <c r="H8" s="30"/>
      <c r="I8" s="23"/>
      <c r="J8" s="30"/>
      <c r="K8" s="29"/>
      <c r="L8" s="23"/>
      <c r="M8" s="30"/>
      <c r="N8" s="31"/>
      <c r="O8" s="31"/>
      <c r="P8" s="38"/>
      <c r="Q8" s="31"/>
      <c r="R8" s="37">
        <f>IFERROR((VLOOKUP(N8,'Parâmetros'!G:H,2,0)*VLOOKUP(O8,'Parâmetros'!I:J,2,0)*VLOOKUP(P8,'Parâmetros'!K:L,2,0)/VLOOKUP(Q8,'Parâmetros'!M:N,2,0)),0)</f>
        <v>0</v>
      </c>
      <c r="S8" s="30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29"/>
      <c r="L9" s="30"/>
      <c r="M9" s="30"/>
      <c r="N9" s="31"/>
      <c r="O9" s="31"/>
      <c r="P9" s="38"/>
      <c r="Q9" s="31"/>
      <c r="R9" s="37">
        <f>IFERROR((VLOOKUP(N9,'Parâmetros'!G:H,2,0)*VLOOKUP(O9,'Parâmetros'!I:J,2,0)*VLOOKUP(P9,'Parâmetros'!K:L,2,0)/VLOOKUP(Q9,'Parâmetros'!M:N,2,0)),0)</f>
        <v>0</v>
      </c>
      <c r="S9" s="30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29"/>
      <c r="L10" s="30"/>
      <c r="M10" s="30"/>
      <c r="N10" s="31"/>
      <c r="O10" s="31"/>
      <c r="P10" s="38"/>
      <c r="Q10" s="31"/>
      <c r="R10" s="37">
        <f>IFERROR((VLOOKUP(N10,'Parâmetros'!G:H,2,0)*VLOOKUP(O10,'Parâmetros'!I:J,2,0)*VLOOKUP(P10,'Parâmetros'!K:L,2,0)/VLOOKUP(Q10,'Parâmetros'!M:N,2,0)),0)</f>
        <v>0</v>
      </c>
      <c r="S10" s="30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29"/>
      <c r="L11" s="30"/>
      <c r="M11" s="30"/>
      <c r="N11" s="31"/>
      <c r="O11" s="31"/>
      <c r="P11" s="38"/>
      <c r="Q11" s="31"/>
      <c r="R11" s="37">
        <f>IFERROR((VLOOKUP(N11,'Parâmetros'!G:H,2,0)*VLOOKUP(O11,'Parâmetros'!I:J,2,0)*VLOOKUP(P11,'Parâmetros'!K:L,2,0)/VLOOKUP(Q11,'Parâmetros'!M:N,2,0)),0)</f>
        <v>0</v>
      </c>
      <c r="S11" s="30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29"/>
      <c r="L12" s="30"/>
      <c r="M12" s="30"/>
      <c r="N12" s="31"/>
      <c r="O12" s="31"/>
      <c r="P12" s="38"/>
      <c r="Q12" s="31"/>
      <c r="R12" s="37">
        <f>IFERROR((VLOOKUP(N12,'Parâmetros'!G:H,2,0)*VLOOKUP(O12,'Parâmetros'!I:J,2,0)*VLOOKUP(P12,'Parâmetros'!K:L,2,0)/VLOOKUP(Q12,'Parâmetros'!M:N,2,0)),0)</f>
        <v>0</v>
      </c>
      <c r="S12" s="30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29"/>
      <c r="L13" s="30"/>
      <c r="M13" s="30"/>
      <c r="N13" s="31"/>
      <c r="O13" s="31"/>
      <c r="P13" s="38"/>
      <c r="Q13" s="31"/>
      <c r="R13" s="37">
        <f>IFERROR((VLOOKUP(N13,'Parâmetros'!G:H,2,0)*VLOOKUP(O13,'Parâmetros'!I:J,2,0)*VLOOKUP(P13,'Parâmetros'!K:L,2,0)/VLOOKUP(Q13,'Parâmetros'!M:N,2,0)),0)</f>
        <v>0</v>
      </c>
      <c r="S13" s="30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29"/>
      <c r="L14" s="30"/>
      <c r="M14" s="30"/>
      <c r="N14" s="31"/>
      <c r="O14" s="31"/>
      <c r="P14" s="38"/>
      <c r="Q14" s="31"/>
      <c r="R14" s="37">
        <f>IFERROR((VLOOKUP(N14,'Parâmetros'!G:H,2,0)*VLOOKUP(O14,'Parâmetros'!I:J,2,0)*VLOOKUP(P14,'Parâmetros'!K:L,2,0)/VLOOKUP(Q14,'Parâmetros'!M:N,2,0)),0)</f>
        <v>0</v>
      </c>
      <c r="S14" s="30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29"/>
      <c r="L15" s="30"/>
      <c r="M15" s="30"/>
      <c r="N15" s="31"/>
      <c r="O15" s="31"/>
      <c r="P15" s="38"/>
      <c r="Q15" s="31"/>
      <c r="R15" s="37">
        <f>IFERROR((VLOOKUP(N15,'Parâmetros'!G:H,2,0)*VLOOKUP(O15,'Parâmetros'!I:J,2,0)*VLOOKUP(P15,'Parâmetros'!K:L,2,0)/VLOOKUP(Q15,'Parâmetros'!M:N,2,0)),0)</f>
        <v>0</v>
      </c>
      <c r="S15" s="30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29"/>
      <c r="L16" s="30"/>
      <c r="M16" s="30"/>
      <c r="N16" s="31"/>
      <c r="O16" s="31"/>
      <c r="P16" s="38"/>
      <c r="Q16" s="31"/>
      <c r="R16" s="37">
        <f>IFERROR((VLOOKUP(N16,'Parâmetros'!G:H,2,0)*VLOOKUP(O16,'Parâmetros'!I:J,2,0)*VLOOKUP(P16,'Parâmetros'!K:L,2,0)/VLOOKUP(Q16,'Parâmetros'!M:N,2,0)),0)</f>
        <v>0</v>
      </c>
      <c r="S16" s="30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29"/>
      <c r="L17" s="30"/>
      <c r="M17" s="30"/>
      <c r="N17" s="31"/>
      <c r="O17" s="31"/>
      <c r="P17" s="38"/>
      <c r="Q17" s="31"/>
      <c r="R17" s="37">
        <f>IFERROR((VLOOKUP(N17,'Parâmetros'!G:H,2,0)*VLOOKUP(O17,'Parâmetros'!I:J,2,0)*VLOOKUP(P17,'Parâmetros'!K:L,2,0)/VLOOKUP(Q17,'Parâmetros'!M:N,2,0)),0)</f>
        <v>0</v>
      </c>
      <c r="S17" s="30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29"/>
      <c r="L18" s="30"/>
      <c r="M18" s="30"/>
      <c r="N18" s="31"/>
      <c r="O18" s="31"/>
      <c r="P18" s="38"/>
      <c r="Q18" s="31"/>
      <c r="R18" s="37">
        <f>IFERROR((VLOOKUP(N18,'Parâmetros'!G:H,2,0)*VLOOKUP(O18,'Parâmetros'!I:J,2,0)*VLOOKUP(P18,'Parâmetros'!K:L,2,0)/VLOOKUP(Q18,'Parâmetros'!M:N,2,0)),0)</f>
        <v>0</v>
      </c>
      <c r="S18" s="30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29"/>
      <c r="L19" s="30"/>
      <c r="M19" s="30"/>
      <c r="N19" s="31"/>
      <c r="O19" s="31"/>
      <c r="P19" s="38"/>
      <c r="Q19" s="31"/>
      <c r="R19" s="37">
        <f>IFERROR((VLOOKUP(N19,'Parâmetros'!G:H,2,0)*VLOOKUP(O19,'Parâmetros'!I:J,2,0)*VLOOKUP(P19,'Parâmetros'!K:L,2,0)/VLOOKUP(Q19,'Parâmetros'!M:N,2,0)),0)</f>
        <v>0</v>
      </c>
      <c r="S19" s="30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29"/>
      <c r="L20" s="30"/>
      <c r="M20" s="30"/>
      <c r="N20" s="31"/>
      <c r="O20" s="31"/>
      <c r="P20" s="38"/>
      <c r="Q20" s="31"/>
      <c r="R20" s="37">
        <f>IFERROR((VLOOKUP(N20,'Parâmetros'!G:H,2,0)*VLOOKUP(O20,'Parâmetros'!I:J,2,0)*VLOOKUP(P20,'Parâmetros'!K:L,2,0)/VLOOKUP(Q20,'Parâmetros'!M:N,2,0)),0)</f>
        <v>0</v>
      </c>
      <c r="S20" s="30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29"/>
      <c r="L21" s="30"/>
      <c r="M21" s="30"/>
      <c r="N21" s="31"/>
      <c r="O21" s="31"/>
      <c r="P21" s="38"/>
      <c r="Q21" s="31"/>
      <c r="R21" s="37">
        <f>IFERROR((VLOOKUP(N21,'Parâmetros'!G:H,2,0)*VLOOKUP(O21,'Parâmetros'!I:J,2,0)*VLOOKUP(P21,'Parâmetros'!K:L,2,0)/VLOOKUP(Q21,'Parâmetros'!M:N,2,0)),0)</f>
        <v>0</v>
      </c>
      <c r="S21" s="30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29"/>
      <c r="L22" s="30"/>
      <c r="M22" s="30"/>
      <c r="N22" s="31"/>
      <c r="O22" s="31"/>
      <c r="P22" s="38"/>
      <c r="Q22" s="31"/>
      <c r="R22" s="37">
        <f>IFERROR((VLOOKUP(N22,'Parâmetros'!G:H,2,0)*VLOOKUP(O22,'Parâmetros'!I:J,2,0)*VLOOKUP(P22,'Parâmetros'!K:L,2,0)/VLOOKUP(Q22,'Parâmetros'!M:N,2,0)),0)</f>
        <v>0</v>
      </c>
      <c r="S22" s="30"/>
    </row>
  </sheetData>
  <mergeCells count="3">
    <mergeCell ref="A1:B1"/>
    <mergeCell ref="N1:R1"/>
    <mergeCell ref="C1:L1"/>
  </mergeCells>
  <dataValidations>
    <dataValidation type="list" allowBlank="1" sqref="A3:A22">
      <formula1>'Parâmetros'!$C$2:$C$8</formula1>
    </dataValidation>
    <dataValidation type="list" allowBlank="1" sqref="L3:L22">
      <formula1>'Parâmetros'!$F$2:$F$5</formula1>
    </dataValidation>
    <dataValidation type="list" allowBlank="1" sqref="I3:I22">
      <formula1>'Parâmetros'!$D$2:$D$3</formula1>
    </dataValidation>
    <dataValidation type="list" allowBlank="1" showErrorMessage="1" sqref="Q3:Q22">
      <formula1>'Parâmetros'!$M$2:$M$6</formula1>
    </dataValidation>
    <dataValidation type="list" allowBlank="1" showErrorMessage="1" sqref="N3:N22">
      <formula1>'Parâmetros'!$G$2:$G$6</formula1>
    </dataValidation>
    <dataValidation type="list" allowBlank="1" showErrorMessage="1" sqref="O3:O22">
      <formula1>'Parâmetros'!$I$2:$I$6</formula1>
    </dataValidation>
    <dataValidation type="list" allowBlank="1" showErrorMessage="1" sqref="P3:P22">
      <formula1>'Parâmetros'!$K$2:$K$6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showGridLines="0" workbookViewId="0"/>
  </sheetViews>
  <sheetFormatPr customHeight="1" defaultColWidth="14.43" defaultRowHeight="15.75"/>
  <cols>
    <col customWidth="1" min="1" max="1" width="2.57"/>
    <col customWidth="1" min="14" max="14" width="7.14"/>
  </cols>
  <sheetData>
    <row r="1">
      <c r="A1" s="2"/>
      <c r="B1" s="8" t="s">
        <v>3</v>
      </c>
      <c r="C1" s="9"/>
      <c r="D1" s="9"/>
      <c r="E1" s="9"/>
      <c r="F1" s="9"/>
      <c r="G1" s="9"/>
      <c r="H1" s="9"/>
      <c r="I1" s="9"/>
      <c r="J1" s="9"/>
      <c r="K1" s="9"/>
      <c r="L1" s="9"/>
      <c r="M1" s="12"/>
    </row>
    <row r="2" ht="32.25" customHeight="1">
      <c r="A2" s="2"/>
      <c r="B2" s="27"/>
      <c r="C2" s="61"/>
      <c r="D2" s="61"/>
      <c r="E2" s="61"/>
      <c r="F2" s="61"/>
      <c r="G2" s="61"/>
      <c r="H2" s="61"/>
      <c r="I2" s="61"/>
      <c r="J2" s="61"/>
      <c r="K2" s="61"/>
      <c r="L2" s="61"/>
      <c r="M2" s="62"/>
    </row>
    <row r="3" ht="39.0" customHeight="1">
      <c r="A3" s="63"/>
      <c r="B3" s="64" t="s">
        <v>85</v>
      </c>
      <c r="E3" s="65" t="s">
        <v>68</v>
      </c>
      <c r="G3" s="66"/>
      <c r="H3" s="67" t="s">
        <v>58</v>
      </c>
      <c r="J3" s="66"/>
      <c r="K3" s="68" t="s">
        <v>46</v>
      </c>
      <c r="M3" s="66"/>
    </row>
    <row r="4">
      <c r="A4" s="34"/>
      <c r="B4" s="69" t="str">
        <f>IF('Plano de Ação'!$L3=$B$3,'Plano de Ação'!$B3," ")</f>
        <v> </v>
      </c>
      <c r="C4" s="9"/>
      <c r="D4" s="12"/>
      <c r="E4" s="69" t="str">
        <f>IF('Plano de Ação'!$L3=$E$3,'Plano de Ação'!$B3," ")</f>
        <v> </v>
      </c>
      <c r="F4" s="9"/>
      <c r="G4" s="12"/>
      <c r="H4" s="69" t="str">
        <f>IF('Plano de Ação'!$L3=$H$3,'Plano de Ação'!$B3," ")</f>
        <v> </v>
      </c>
      <c r="I4" s="9"/>
      <c r="J4" s="12"/>
      <c r="K4" s="70" t="str">
        <f>IF('Plano de Ação'!$L3=$K$3,'Plano de Ação'!$B3," ")</f>
        <v>Ação #01: Apresentar plano de ação em conjunto com líder de Negócios para OKRs</v>
      </c>
      <c r="L4" s="9"/>
      <c r="M4" s="12"/>
    </row>
    <row r="5">
      <c r="A5" s="34"/>
      <c r="B5" s="71" t="str">
        <f>IF('Plano de Ação'!$L4=$B$3,'Plano de Ação'!$B4," ")</f>
        <v> </v>
      </c>
      <c r="D5" s="66"/>
      <c r="E5" s="71" t="str">
        <f>IF('Plano de Ação'!$L4=$E$3,'Plano de Ação'!$B4," ")</f>
        <v> </v>
      </c>
      <c r="G5" s="66"/>
      <c r="H5" s="71" t="str">
        <f>IF('Plano de Ação'!$L4=$H$3,'Plano de Ação'!$B4," ")</f>
        <v>Ação #02: Elaborar estratégia de abordagem aos clientes</v>
      </c>
      <c r="J5" s="66"/>
      <c r="K5" s="72" t="str">
        <f>IF('Plano de Ação'!$L4=$K$3,'Plano de Ação'!$B4," ")</f>
        <v> </v>
      </c>
      <c r="M5" s="66"/>
    </row>
    <row r="6">
      <c r="A6" s="34"/>
      <c r="B6" s="71" t="str">
        <f>IF('Plano de Ação'!$L5=$B$3,'Plano de Ação'!$B5," ")</f>
        <v> </v>
      </c>
      <c r="D6" s="66"/>
      <c r="E6" s="71" t="str">
        <f>IF('Plano de Ação'!$L5=$E$3,'Plano de Ação'!$B5," ")</f>
        <v>Ação #03: Calcular comissões dos vendedores</v>
      </c>
      <c r="G6" s="66"/>
      <c r="H6" s="71" t="str">
        <f>IF('Plano de Ação'!$L5=$H$3,'Plano de Ação'!$B5," ")</f>
        <v> </v>
      </c>
      <c r="J6" s="66"/>
      <c r="K6" s="72" t="str">
        <f>IF('Plano de Ação'!$L5=$K$3,'Plano de Ação'!$B5," ")</f>
        <v> </v>
      </c>
      <c r="M6" s="66"/>
    </row>
    <row r="7">
      <c r="A7" s="34"/>
      <c r="B7" s="71" t="str">
        <f>IF('Plano de Ação'!$L6=$B$3,'Plano de Ação'!$B6," ")</f>
        <v> </v>
      </c>
      <c r="D7" s="66"/>
      <c r="E7" s="71" t="str">
        <f>IF('Plano de Ação'!$L6=$E$3,'Plano de Ação'!$B6," ")</f>
        <v> </v>
      </c>
      <c r="G7" s="66"/>
      <c r="H7" s="71" t="str">
        <f>IF('Plano de Ação'!$L6=$H$3,'Plano de Ação'!$B6," ")</f>
        <v> </v>
      </c>
      <c r="J7" s="66"/>
      <c r="K7" s="72" t="str">
        <f>IF('Plano de Ação'!$L6=$K$3,'Plano de Ação'!$B6," ")</f>
        <v> </v>
      </c>
      <c r="M7" s="66"/>
    </row>
    <row r="8">
      <c r="A8" s="34"/>
      <c r="B8" s="71" t="str">
        <f>IF('Plano de Ação'!$L7=$B$3,'Plano de Ação'!$B7," ")</f>
        <v> </v>
      </c>
      <c r="D8" s="66"/>
      <c r="E8" s="71" t="str">
        <f>IF('Plano de Ação'!$L7=$E$3,'Plano de Ação'!$B7," ")</f>
        <v> </v>
      </c>
      <c r="G8" s="66"/>
      <c r="H8" s="71" t="str">
        <f>IF('Plano de Ação'!$L7=$H$3,'Plano de Ação'!$B7," ")</f>
        <v> </v>
      </c>
      <c r="J8" s="66"/>
      <c r="K8" s="72" t="str">
        <f>IF('Plano de Ação'!$L7=$K$3,'Plano de Ação'!$B7," ")</f>
        <v> </v>
      </c>
      <c r="M8" s="66"/>
    </row>
    <row r="9">
      <c r="A9" s="34"/>
      <c r="B9" s="71" t="str">
        <f>IF('Plano de Ação'!$L8=$B$3,'Plano de Ação'!$B8," ")</f>
        <v> </v>
      </c>
      <c r="D9" s="66"/>
      <c r="E9" s="71" t="str">
        <f>IF('Plano de Ação'!$L8=$E$3,'Plano de Ação'!$B8," ")</f>
        <v> </v>
      </c>
      <c r="G9" s="66"/>
      <c r="H9" s="71" t="str">
        <f>IF('Plano de Ação'!$L8=$H$3,'Plano de Ação'!$B8," ")</f>
        <v> </v>
      </c>
      <c r="J9" s="66"/>
      <c r="K9" s="72" t="str">
        <f>IF('Plano de Ação'!$L8=$K$3,'Plano de Ação'!$B8," ")</f>
        <v> </v>
      </c>
      <c r="M9" s="66"/>
    </row>
    <row r="10">
      <c r="A10" s="34"/>
      <c r="B10" s="71" t="str">
        <f>IF('Plano de Ação'!$L9=$B$3,'Plano de Ação'!$B9," ")</f>
        <v> </v>
      </c>
      <c r="D10" s="66"/>
      <c r="E10" s="71" t="str">
        <f>IF('Plano de Ação'!$L9=$E$3,'Plano de Ação'!$B9," ")</f>
        <v> </v>
      </c>
      <c r="G10" s="66"/>
      <c r="H10" s="71" t="str">
        <f>IF('Plano de Ação'!$L9=$H$3,'Plano de Ação'!$B9," ")</f>
        <v> </v>
      </c>
      <c r="J10" s="66"/>
      <c r="K10" s="72" t="str">
        <f>IF('Plano de Ação'!$L9=$K$3,'Plano de Ação'!$B9," ")</f>
        <v> </v>
      </c>
      <c r="M10" s="66"/>
    </row>
    <row r="11">
      <c r="A11" s="34"/>
      <c r="B11" s="71" t="str">
        <f>IF('Plano de Ação'!$L10=$B$3,'Plano de Ação'!$B10," ")</f>
        <v> </v>
      </c>
      <c r="D11" s="66"/>
      <c r="E11" s="71" t="str">
        <f>IF('Plano de Ação'!$L10=$E$3,'Plano de Ação'!$B10," ")</f>
        <v> </v>
      </c>
      <c r="G11" s="66"/>
      <c r="H11" s="71" t="str">
        <f>IF('Plano de Ação'!$L10=$H$3,'Plano de Ação'!$B10," ")</f>
        <v> </v>
      </c>
      <c r="J11" s="66"/>
      <c r="K11" s="72" t="str">
        <f>IF('Plano de Ação'!$L10=$K$3,'Plano de Ação'!$B10," ")</f>
        <v> </v>
      </c>
      <c r="M11" s="66"/>
    </row>
    <row r="12">
      <c r="A12" s="34"/>
      <c r="B12" s="71" t="str">
        <f>IF('Plano de Ação'!$L11=$B$3,'Plano de Ação'!$B11," ")</f>
        <v> </v>
      </c>
      <c r="D12" s="66"/>
      <c r="E12" s="71" t="str">
        <f>IF('Plano de Ação'!$L11=$E$3,'Plano de Ação'!$B11," ")</f>
        <v> </v>
      </c>
      <c r="G12" s="66"/>
      <c r="H12" s="71" t="str">
        <f>IF('Plano de Ação'!$L11=$H$3,'Plano de Ação'!$B11," ")</f>
        <v> </v>
      </c>
      <c r="J12" s="66"/>
      <c r="K12" s="72" t="str">
        <f>IF('Plano de Ação'!$L11=$K$3,'Plano de Ação'!$B11," ")</f>
        <v> </v>
      </c>
      <c r="M12" s="66"/>
    </row>
    <row r="13">
      <c r="A13" s="34"/>
      <c r="B13" s="71" t="str">
        <f>IF('Plano de Ação'!$L12=$B$3,'Plano de Ação'!$B12," ")</f>
        <v> </v>
      </c>
      <c r="D13" s="66"/>
      <c r="E13" s="71" t="str">
        <f>IF('Plano de Ação'!$L12=$E$3,'Plano de Ação'!$B12," ")</f>
        <v> </v>
      </c>
      <c r="G13" s="66"/>
      <c r="H13" s="71" t="str">
        <f>IF('Plano de Ação'!$L12=$H$3,'Plano de Ação'!$B12," ")</f>
        <v> </v>
      </c>
      <c r="J13" s="66"/>
      <c r="K13" s="72" t="str">
        <f>IF('Plano de Ação'!$L12=$K$3,'Plano de Ação'!$B12," ")</f>
        <v> </v>
      </c>
      <c r="M13" s="66"/>
    </row>
    <row r="14">
      <c r="A14" s="34"/>
      <c r="B14" s="71" t="str">
        <f>IF('Plano de Ação'!$L13=$B$3,'Plano de Ação'!$B13," ")</f>
        <v> </v>
      </c>
      <c r="D14" s="66"/>
      <c r="E14" s="71" t="str">
        <f>IF('Plano de Ação'!$L13=$E$3,'Plano de Ação'!$B13," ")</f>
        <v> </v>
      </c>
      <c r="G14" s="66"/>
      <c r="H14" s="71" t="str">
        <f>IF('Plano de Ação'!$L13=$H$3,'Plano de Ação'!$B13," ")</f>
        <v> </v>
      </c>
      <c r="J14" s="66"/>
      <c r="K14" s="72" t="str">
        <f>IF('Plano de Ação'!$L13=$K$3,'Plano de Ação'!$B13," ")</f>
        <v> </v>
      </c>
      <c r="M14" s="66"/>
    </row>
    <row r="15">
      <c r="A15" s="34"/>
      <c r="B15" s="71" t="str">
        <f>IF('Plano de Ação'!$L14=$B$3,'Plano de Ação'!$B14," ")</f>
        <v> </v>
      </c>
      <c r="D15" s="66"/>
      <c r="E15" s="71" t="str">
        <f>IF('Plano de Ação'!$L14=$E$3,'Plano de Ação'!$B14," ")</f>
        <v> </v>
      </c>
      <c r="G15" s="66"/>
      <c r="H15" s="71" t="str">
        <f>IF('Plano de Ação'!$L14=$H$3,'Plano de Ação'!$B14," ")</f>
        <v> </v>
      </c>
      <c r="J15" s="66"/>
      <c r="K15" s="72" t="str">
        <f>IF('Plano de Ação'!$L14=$K$3,'Plano de Ação'!$B14," ")</f>
        <v> </v>
      </c>
      <c r="M15" s="66"/>
    </row>
    <row r="16">
      <c r="A16" s="34"/>
      <c r="B16" s="71" t="str">
        <f>IF('Plano de Ação'!$L15=$B$3,'Plano de Ação'!$B15," ")</f>
        <v> </v>
      </c>
      <c r="D16" s="66"/>
      <c r="E16" s="71" t="str">
        <f>IF('Plano de Ação'!$L15=$E$3,'Plano de Ação'!$B15," ")</f>
        <v> </v>
      </c>
      <c r="G16" s="66"/>
      <c r="H16" s="71" t="str">
        <f>IF('Plano de Ação'!$L15=$H$3,'Plano de Ação'!$B15," ")</f>
        <v> </v>
      </c>
      <c r="J16" s="66"/>
      <c r="K16" s="72" t="str">
        <f>IF('Plano de Ação'!$L15=$K$3,'Plano de Ação'!$B15," ")</f>
        <v> </v>
      </c>
      <c r="M16" s="66"/>
    </row>
    <row r="17">
      <c r="A17" s="34"/>
      <c r="B17" s="71" t="str">
        <f>IF('Plano de Ação'!$L16=$B$3,'Plano de Ação'!$B16," ")</f>
        <v> </v>
      </c>
      <c r="D17" s="66"/>
      <c r="E17" s="71" t="str">
        <f>IF('Plano de Ação'!$L16=$E$3,'Plano de Ação'!$B16," ")</f>
        <v> </v>
      </c>
      <c r="G17" s="66"/>
      <c r="H17" s="71" t="str">
        <f>IF('Plano de Ação'!$L16=$H$3,'Plano de Ação'!$B16," ")</f>
        <v> </v>
      </c>
      <c r="J17" s="66"/>
      <c r="K17" s="72" t="str">
        <f>IF('Plano de Ação'!$L16=$K$3,'Plano de Ação'!$B16," ")</f>
        <v> </v>
      </c>
      <c r="M17" s="66"/>
    </row>
    <row r="18">
      <c r="A18" s="34"/>
      <c r="B18" s="71" t="str">
        <f>IF('Plano de Ação'!$L17=$B$3,'Plano de Ação'!$B17," ")</f>
        <v> </v>
      </c>
      <c r="D18" s="66"/>
      <c r="E18" s="71" t="str">
        <f>IF('Plano de Ação'!$L17=$E$3,'Plano de Ação'!$B17," ")</f>
        <v> </v>
      </c>
      <c r="G18" s="66"/>
      <c r="H18" s="71" t="str">
        <f>IF('Plano de Ação'!$L17=$H$3,'Plano de Ação'!$B17," ")</f>
        <v> </v>
      </c>
      <c r="J18" s="66"/>
      <c r="K18" s="72" t="str">
        <f>IF('Plano de Ação'!$L17=$K$3,'Plano de Ação'!$B17," ")</f>
        <v> </v>
      </c>
      <c r="M18" s="66"/>
    </row>
    <row r="19">
      <c r="A19" s="34"/>
      <c r="B19" s="71" t="str">
        <f>IF('Plano de Ação'!$L18=$B$3,'Plano de Ação'!$B18," ")</f>
        <v> </v>
      </c>
      <c r="D19" s="66"/>
      <c r="E19" s="71" t="str">
        <f>IF('Plano de Ação'!$L18=$E$3,'Plano de Ação'!$B18," ")</f>
        <v> </v>
      </c>
      <c r="G19" s="66"/>
      <c r="H19" s="71" t="str">
        <f>IF('Plano de Ação'!$L18=$H$3,'Plano de Ação'!$B18," ")</f>
        <v> </v>
      </c>
      <c r="J19" s="66"/>
      <c r="K19" s="72" t="str">
        <f>IF('Plano de Ação'!$L18=$K$3,'Plano de Ação'!$B18," ")</f>
        <v> </v>
      </c>
      <c r="M19" s="66"/>
    </row>
    <row r="20">
      <c r="A20" s="34"/>
      <c r="B20" s="73" t="str">
        <f>IF('Plano de Ação'!$L19=$B$3,'Plano de Ação'!$B19," ")</f>
        <v> </v>
      </c>
      <c r="C20" s="61"/>
      <c r="D20" s="62"/>
      <c r="E20" s="73" t="str">
        <f>IF('Plano de Ação'!$L19=$E$3,'Plano de Ação'!$B19," ")</f>
        <v> </v>
      </c>
      <c r="F20" s="61"/>
      <c r="G20" s="62"/>
      <c r="H20" s="73" t="str">
        <f>IF('Plano de Ação'!$L19=$H$3,'Plano de Ação'!$B19," ")</f>
        <v> </v>
      </c>
      <c r="I20" s="61"/>
      <c r="J20" s="62"/>
      <c r="K20" s="74" t="str">
        <f>IF('Plano de Ação'!$L19=$K$3,'Plano de Ação'!$B19," ")</f>
        <v> </v>
      </c>
      <c r="L20" s="61"/>
      <c r="M20" s="62"/>
    </row>
    <row r="21">
      <c r="A21" s="34"/>
    </row>
  </sheetData>
  <mergeCells count="74">
    <mergeCell ref="H16:J16"/>
    <mergeCell ref="H17:J17"/>
    <mergeCell ref="H19:J19"/>
    <mergeCell ref="H20:J20"/>
    <mergeCell ref="H9:J9"/>
    <mergeCell ref="H10:J10"/>
    <mergeCell ref="K9:M9"/>
    <mergeCell ref="K10:M10"/>
    <mergeCell ref="H11:J11"/>
    <mergeCell ref="H12:J12"/>
    <mergeCell ref="K11:M11"/>
    <mergeCell ref="K12:M12"/>
    <mergeCell ref="H13:J13"/>
    <mergeCell ref="H14:J14"/>
    <mergeCell ref="K13:M13"/>
    <mergeCell ref="K14:M14"/>
    <mergeCell ref="H18:J18"/>
    <mergeCell ref="K16:M16"/>
    <mergeCell ref="K17:M17"/>
    <mergeCell ref="K18:M18"/>
    <mergeCell ref="K19:M19"/>
    <mergeCell ref="K20:M20"/>
    <mergeCell ref="E17:G17"/>
    <mergeCell ref="E18:G18"/>
    <mergeCell ref="B21:D21"/>
    <mergeCell ref="B20:D20"/>
    <mergeCell ref="B19:D19"/>
    <mergeCell ref="E19:G19"/>
    <mergeCell ref="E20:G20"/>
    <mergeCell ref="B17:D17"/>
    <mergeCell ref="H5:J5"/>
    <mergeCell ref="H6:J6"/>
    <mergeCell ref="H7:J7"/>
    <mergeCell ref="H8:J8"/>
    <mergeCell ref="E8:G8"/>
    <mergeCell ref="E9:G9"/>
    <mergeCell ref="E12:G12"/>
    <mergeCell ref="E13:G13"/>
    <mergeCell ref="E14:G14"/>
    <mergeCell ref="K3:M3"/>
    <mergeCell ref="H3:J3"/>
    <mergeCell ref="E3:G3"/>
    <mergeCell ref="B3:D3"/>
    <mergeCell ref="B1:M2"/>
    <mergeCell ref="B16:D16"/>
    <mergeCell ref="B15:D15"/>
    <mergeCell ref="K15:M15"/>
    <mergeCell ref="E16:G16"/>
    <mergeCell ref="H15:J15"/>
    <mergeCell ref="E15:G15"/>
    <mergeCell ref="K6:M6"/>
    <mergeCell ref="K7:M7"/>
    <mergeCell ref="K8:M8"/>
    <mergeCell ref="B18:D18"/>
    <mergeCell ref="H4:J4"/>
    <mergeCell ref="B9:D9"/>
    <mergeCell ref="K4:M4"/>
    <mergeCell ref="B14:D14"/>
    <mergeCell ref="B10:D10"/>
    <mergeCell ref="B11:D11"/>
    <mergeCell ref="B13:D13"/>
    <mergeCell ref="B12:D12"/>
    <mergeCell ref="E4:G4"/>
    <mergeCell ref="B4:D4"/>
    <mergeCell ref="B8:D8"/>
    <mergeCell ref="B7:D7"/>
    <mergeCell ref="B6:D6"/>
    <mergeCell ref="B5:D5"/>
    <mergeCell ref="K5:M5"/>
    <mergeCell ref="E5:G5"/>
    <mergeCell ref="E10:G10"/>
    <mergeCell ref="E11:G11"/>
    <mergeCell ref="E6:G6"/>
    <mergeCell ref="E7:G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75"/>
  <cols>
    <col customWidth="1" min="1" max="14" width="19.86"/>
  </cols>
  <sheetData>
    <row r="1">
      <c r="A1" s="39" t="s">
        <v>69</v>
      </c>
      <c r="B1" s="39" t="s">
        <v>70</v>
      </c>
      <c r="C1" s="39" t="s">
        <v>71</v>
      </c>
      <c r="D1" s="39" t="s">
        <v>19</v>
      </c>
      <c r="E1" s="39" t="s">
        <v>72</v>
      </c>
      <c r="F1" s="39" t="s">
        <v>23</v>
      </c>
      <c r="G1" s="40" t="s">
        <v>73</v>
      </c>
      <c r="H1" s="41" t="s">
        <v>74</v>
      </c>
      <c r="I1" s="40" t="s">
        <v>75</v>
      </c>
      <c r="J1" s="40" t="s">
        <v>76</v>
      </c>
      <c r="K1" s="40" t="s">
        <v>77</v>
      </c>
      <c r="L1" s="40" t="s">
        <v>78</v>
      </c>
      <c r="M1" s="40" t="s">
        <v>79</v>
      </c>
      <c r="N1" s="40" t="s">
        <v>80</v>
      </c>
    </row>
    <row r="2">
      <c r="A2" s="42" t="s">
        <v>81</v>
      </c>
      <c r="B2" s="43" t="s">
        <v>82</v>
      </c>
      <c r="C2" s="43" t="s">
        <v>83</v>
      </c>
      <c r="D2" s="43" t="s">
        <v>67</v>
      </c>
      <c r="E2" s="43" t="s">
        <v>84</v>
      </c>
      <c r="F2" s="43" t="s">
        <v>85</v>
      </c>
      <c r="G2" s="44" t="s">
        <v>86</v>
      </c>
      <c r="H2" s="44">
        <v>100.0</v>
      </c>
      <c r="I2" s="44" t="s">
        <v>87</v>
      </c>
      <c r="J2" s="44">
        <v>0.25</v>
      </c>
      <c r="K2" s="44" t="s">
        <v>88</v>
      </c>
      <c r="L2" s="45">
        <v>0.2</v>
      </c>
      <c r="M2" s="44" t="s">
        <v>89</v>
      </c>
      <c r="N2" s="46">
        <v>1.0</v>
      </c>
    </row>
    <row r="3">
      <c r="A3" s="47" t="s">
        <v>90</v>
      </c>
      <c r="B3" s="48" t="s">
        <v>91</v>
      </c>
      <c r="C3" s="48" t="s">
        <v>59</v>
      </c>
      <c r="D3" s="48" t="s">
        <v>44</v>
      </c>
      <c r="E3" s="48" t="s">
        <v>92</v>
      </c>
      <c r="F3" s="48" t="s">
        <v>68</v>
      </c>
      <c r="G3" s="49" t="s">
        <v>93</v>
      </c>
      <c r="H3" s="49">
        <v>200.0</v>
      </c>
      <c r="I3" s="49" t="s">
        <v>94</v>
      </c>
      <c r="J3" s="49">
        <v>0.5</v>
      </c>
      <c r="K3" s="49" t="s">
        <v>95</v>
      </c>
      <c r="L3" s="50">
        <v>0.5</v>
      </c>
      <c r="M3" s="49" t="s">
        <v>96</v>
      </c>
      <c r="N3" s="51">
        <v>2.0</v>
      </c>
    </row>
    <row r="4">
      <c r="A4" s="47" t="s">
        <v>97</v>
      </c>
      <c r="B4" s="48" t="s">
        <v>98</v>
      </c>
      <c r="C4" s="48" t="s">
        <v>50</v>
      </c>
      <c r="D4" s="48"/>
      <c r="E4" s="48" t="s">
        <v>97</v>
      </c>
      <c r="F4" s="48" t="s">
        <v>58</v>
      </c>
      <c r="G4" s="49" t="s">
        <v>99</v>
      </c>
      <c r="H4" s="49">
        <v>400.0</v>
      </c>
      <c r="I4" s="49" t="s">
        <v>100</v>
      </c>
      <c r="J4" s="49">
        <v>1.0</v>
      </c>
      <c r="K4" s="49" t="s">
        <v>101</v>
      </c>
      <c r="L4" s="50">
        <v>0.7</v>
      </c>
      <c r="M4" s="49" t="s">
        <v>102</v>
      </c>
      <c r="N4" s="51">
        <v>5.0</v>
      </c>
    </row>
    <row r="5">
      <c r="A5" s="52"/>
      <c r="B5" s="53"/>
      <c r="C5" s="48" t="s">
        <v>31</v>
      </c>
      <c r="D5" s="48"/>
      <c r="E5" s="48" t="s">
        <v>103</v>
      </c>
      <c r="F5" s="48" t="s">
        <v>46</v>
      </c>
      <c r="G5" s="49" t="s">
        <v>104</v>
      </c>
      <c r="H5" s="49">
        <v>800.0</v>
      </c>
      <c r="I5" s="49" t="s">
        <v>105</v>
      </c>
      <c r="J5" s="49">
        <v>2.0</v>
      </c>
      <c r="K5" s="49" t="s">
        <v>106</v>
      </c>
      <c r="L5" s="50">
        <v>0.8</v>
      </c>
      <c r="M5" s="49" t="s">
        <v>107</v>
      </c>
      <c r="N5" s="51">
        <v>10.0</v>
      </c>
    </row>
    <row r="6">
      <c r="A6" s="52"/>
      <c r="B6" s="53"/>
      <c r="C6" s="48" t="s">
        <v>108</v>
      </c>
      <c r="D6" s="48"/>
      <c r="E6" s="48" t="s">
        <v>109</v>
      </c>
      <c r="F6" s="53"/>
      <c r="G6" s="54" t="s">
        <v>110</v>
      </c>
      <c r="H6" s="54">
        <v>1600.0</v>
      </c>
      <c r="I6" s="54" t="s">
        <v>111</v>
      </c>
      <c r="J6" s="54">
        <v>3.0</v>
      </c>
      <c r="K6" s="54" t="s">
        <v>112</v>
      </c>
      <c r="L6" s="50">
        <v>1.0</v>
      </c>
      <c r="M6" s="54" t="s">
        <v>113</v>
      </c>
      <c r="N6" s="55">
        <v>15.0</v>
      </c>
    </row>
    <row r="7">
      <c r="A7" s="52"/>
      <c r="B7" s="53"/>
      <c r="C7" s="48" t="s">
        <v>114</v>
      </c>
      <c r="D7" s="53"/>
      <c r="E7" s="53"/>
      <c r="F7" s="53"/>
      <c r="G7" s="53"/>
      <c r="H7" s="53"/>
      <c r="I7" s="53"/>
      <c r="J7" s="53"/>
      <c r="K7" s="53"/>
      <c r="L7" s="53"/>
      <c r="M7" s="53"/>
      <c r="N7" s="56"/>
    </row>
    <row r="8">
      <c r="A8" s="57"/>
      <c r="B8" s="58"/>
      <c r="C8" s="59" t="s">
        <v>115</v>
      </c>
      <c r="D8" s="58"/>
      <c r="E8" s="58"/>
      <c r="F8" s="58"/>
      <c r="G8" s="58"/>
      <c r="H8" s="58"/>
      <c r="I8" s="58"/>
      <c r="J8" s="58"/>
      <c r="K8" s="58"/>
      <c r="L8" s="58"/>
      <c r="M8" s="58"/>
      <c r="N8" s="60"/>
    </row>
  </sheetData>
  <drawing r:id="rId1"/>
  <tableParts count="1">
    <tablePart r:id="rId3"/>
  </tableParts>
</worksheet>
</file>