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40" windowHeight="8235"/>
  </bookViews>
  <sheets>
    <sheet name="Instruções" sheetId="1" r:id="rId1"/>
    <sheet name="5W2H" sheetId="2" r:id="rId2"/>
    <sheet name="Plano de Ação" sheetId="3" r:id="rId3"/>
    <sheet name="Kanban" sheetId="4" r:id="rId4"/>
    <sheet name="Parâmetros" sheetId="5" r:id="rId5"/>
  </sheets>
  <calcPr calcId="162913"/>
</workbook>
</file>

<file path=xl/calcChain.xml><?xml version="1.0" encoding="utf-8"?>
<calcChain xmlns="http://schemas.openxmlformats.org/spreadsheetml/2006/main">
  <c r="B20" i="4" l="1"/>
  <c r="K19" i="4"/>
  <c r="H19" i="4"/>
  <c r="E19" i="4"/>
  <c r="B19" i="4"/>
  <c r="K18" i="4"/>
  <c r="H18" i="4"/>
  <c r="E18" i="4"/>
  <c r="B18" i="4"/>
  <c r="K17" i="4"/>
  <c r="H17" i="4"/>
  <c r="E17" i="4"/>
  <c r="B17" i="4"/>
  <c r="K16" i="4"/>
  <c r="H16" i="4"/>
  <c r="E16" i="4"/>
  <c r="B16" i="4"/>
  <c r="K15" i="4"/>
  <c r="H15" i="4"/>
  <c r="E15" i="4"/>
  <c r="B15" i="4"/>
  <c r="K14" i="4"/>
  <c r="H14" i="4"/>
  <c r="E14" i="4"/>
  <c r="B14" i="4"/>
  <c r="K13" i="4"/>
  <c r="H13" i="4"/>
  <c r="E13" i="4"/>
  <c r="B13" i="4"/>
  <c r="K12" i="4"/>
  <c r="H12" i="4"/>
  <c r="E12" i="4"/>
  <c r="B12" i="4"/>
  <c r="K11" i="4"/>
  <c r="H11" i="4"/>
  <c r="E11" i="4"/>
  <c r="B11" i="4"/>
  <c r="K10" i="4"/>
  <c r="H10" i="4"/>
  <c r="E10" i="4"/>
  <c r="B10" i="4"/>
  <c r="H9" i="4"/>
  <c r="E9" i="4"/>
  <c r="B9" i="4"/>
  <c r="K8" i="4"/>
  <c r="E8" i="4"/>
  <c r="B8" i="4"/>
  <c r="K7" i="4"/>
  <c r="H7" i="4"/>
  <c r="E7" i="4"/>
  <c r="K6" i="4"/>
  <c r="E6" i="4"/>
  <c r="B6" i="4"/>
  <c r="K5" i="4"/>
  <c r="H5" i="4"/>
  <c r="B5" i="4"/>
  <c r="K4" i="4"/>
  <c r="H4" i="4"/>
  <c r="E4" i="4"/>
  <c r="C1" i="4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B8" i="3"/>
  <c r="K9" i="4" s="1"/>
  <c r="I7" i="3"/>
  <c r="B7" i="3"/>
  <c r="H8" i="4" s="1"/>
  <c r="I6" i="3"/>
  <c r="B6" i="3"/>
  <c r="B7" i="4" s="1"/>
  <c r="I5" i="3"/>
  <c r="B5" i="3"/>
  <c r="H6" i="4" s="1"/>
  <c r="I4" i="3"/>
  <c r="B4" i="3"/>
  <c r="E5" i="4" s="1"/>
  <c r="I3" i="3"/>
  <c r="B3" i="3"/>
  <c r="B4" i="4" s="1"/>
  <c r="B37" i="1"/>
  <c r="B23" i="1"/>
  <c r="B21" i="1"/>
  <c r="B19" i="1"/>
  <c r="B17" i="1"/>
</calcChain>
</file>

<file path=xl/sharedStrings.xml><?xml version="1.0" encoding="utf-8"?>
<sst xmlns="http://schemas.openxmlformats.org/spreadsheetml/2006/main" count="110" uniqueCount="76">
  <si>
    <t>5W2H</t>
  </si>
  <si>
    <t>Projeto</t>
  </si>
  <si>
    <t>Instruções para utilização da Planilha</t>
  </si>
  <si>
    <t>Ação</t>
  </si>
  <si>
    <t>Nome do seu projeto</t>
  </si>
  <si>
    <t>Início</t>
  </si>
  <si>
    <t>Término Previsto</t>
  </si>
  <si>
    <t>Responsável</t>
  </si>
  <si>
    <t>Departamento</t>
  </si>
  <si>
    <t>Status</t>
  </si>
  <si>
    <t>- Inicialmente você deve cadastrar um projeto na aba "5W2H". Preencher todos os campos solicitados.</t>
  </si>
  <si>
    <t>- Na aba "Plano de Ação" as informações das atividades, serão preenchidas automaticamente com os dados alimentados na aba "5W2H".</t>
  </si>
  <si>
    <t>- Na aba "Plano de Ação", informar a data final da atividade para que possa ser calculado os dias de atraso, caso houver.</t>
  </si>
  <si>
    <t>- Imprescindível preencher a coluna em laranja de "Status", pois são esses dados que serão informados na aba "Kanban"</t>
  </si>
  <si>
    <t>- Na aba "Kanban" as atividades serão distribuídas visualmente, de acordo com os dados informados na aba "Plano de Ação". Cada vez que os status mudarem, as atividades automaticamente mudarão de colunas.</t>
  </si>
  <si>
    <t>- Caso você necessite mudar algum parâmetro, altere os dados na última aba.</t>
  </si>
  <si>
    <t>Para saber mais!</t>
  </si>
  <si>
    <t>Se você tiver dúvidas sobre a diferença entre Importância e Urgência, temos um conteúdo bem explicativo:</t>
  </si>
  <si>
    <t>Data Final Real</t>
  </si>
  <si>
    <t>Dias de atraso</t>
  </si>
  <si>
    <t>Observações</t>
  </si>
  <si>
    <t>Caso queira saber mais sobre Plano de ação, acesse:</t>
  </si>
  <si>
    <t>Sobre a metodologia de 5W2H:</t>
  </si>
  <si>
    <t>Nome do Envolvido 01</t>
  </si>
  <si>
    <t>Sobre Scrum:</t>
  </si>
  <si>
    <t>Administrativo</t>
  </si>
  <si>
    <t>Backlog</t>
  </si>
  <si>
    <t>Nome do Envolvido 02</t>
  </si>
  <si>
    <t>To Do</t>
  </si>
  <si>
    <t>Financeiro</t>
  </si>
  <si>
    <t>Doing</t>
  </si>
  <si>
    <t>Nome do Envolvido 03</t>
  </si>
  <si>
    <t>Marketing</t>
  </si>
  <si>
    <t>Nome do Envolvido 04</t>
  </si>
  <si>
    <t>Done</t>
  </si>
  <si>
    <t>Em definição</t>
  </si>
  <si>
    <t xml:space="preserve">Conheça o Treasy, a solução completa de Planejamento e Controladoria!                                                </t>
  </si>
  <si>
    <t>Nível de importância</t>
  </si>
  <si>
    <t>Alto</t>
  </si>
  <si>
    <t>Nível de urgência</t>
  </si>
  <si>
    <t>WHAT ( o que será feito )</t>
  </si>
  <si>
    <t>O que será feito no projeto?</t>
  </si>
  <si>
    <t>Projeto:</t>
  </si>
  <si>
    <t>Importância e Urgência</t>
  </si>
  <si>
    <t>Departamentos</t>
  </si>
  <si>
    <t>Status das Atividades</t>
  </si>
  <si>
    <t>Status Kanban</t>
  </si>
  <si>
    <t>Em andamento</t>
  </si>
  <si>
    <t>Baixo</t>
  </si>
  <si>
    <t>A iniciar</t>
  </si>
  <si>
    <t>Médio</t>
  </si>
  <si>
    <t>Executando</t>
  </si>
  <si>
    <t>Concluído</t>
  </si>
  <si>
    <t>Comercial</t>
  </si>
  <si>
    <t>Standby</t>
  </si>
  <si>
    <t>Produção</t>
  </si>
  <si>
    <t>Cancelado</t>
  </si>
  <si>
    <t>Logística</t>
  </si>
  <si>
    <t>RH</t>
  </si>
  <si>
    <t>WHY ( porquê? )</t>
  </si>
  <si>
    <t>Porquê será feito?</t>
  </si>
  <si>
    <t>WHO ( por quem )</t>
  </si>
  <si>
    <t>WHEN ( quando será feito )</t>
  </si>
  <si>
    <t xml:space="preserve">Data de Início:                                          </t>
  </si>
  <si>
    <t xml:space="preserve">Data Final:                                             </t>
  </si>
  <si>
    <t>WHERE ( onde será feito )</t>
  </si>
  <si>
    <t>Aonde este projeto será feito?</t>
  </si>
  <si>
    <t>HOW ( as etapas do processo)</t>
  </si>
  <si>
    <t>Ação #01</t>
  </si>
  <si>
    <t>Ação #02</t>
  </si>
  <si>
    <t>Ação #03</t>
  </si>
  <si>
    <t>Ação #04</t>
  </si>
  <si>
    <t>Ação #05</t>
  </si>
  <si>
    <t>Ação #06</t>
  </si>
  <si>
    <t>HOW MUCH ( quanto custa )</t>
  </si>
  <si>
    <t>Valor Financeiro ou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</si>
</sst>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#,##0.00"/>
  </numFmts>
  <fonts count="20" x14ac:knownFonts="1">
    <font>
      <sz val="10"/>
      <color rgb="FF000000"/>
      <name val="Arial"/>
    </font>
    <font>
      <sz val="10"/>
      <name val="Arial"/>
    </font>
    <font>
      <sz val="36"/>
      <name val="Arial"/>
    </font>
    <font>
      <b/>
      <sz val="9"/>
      <name val="Arial"/>
    </font>
    <font>
      <b/>
      <sz val="10"/>
      <name val="Arial"/>
    </font>
    <font>
      <b/>
      <sz val="16"/>
      <name val="Arial"/>
    </font>
    <font>
      <sz val="12"/>
      <name val="Arial"/>
    </font>
    <font>
      <sz val="12"/>
      <name val="Arial"/>
    </font>
    <font>
      <i/>
      <sz val="10"/>
      <name val="Arial"/>
    </font>
    <font>
      <b/>
      <sz val="9"/>
      <color rgb="FF000000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b/>
      <sz val="10"/>
      <color rgb="FF000000"/>
      <name val="Arial"/>
    </font>
    <font>
      <b/>
      <sz val="16"/>
      <color rgb="FFFFFFFF"/>
      <name val="Arial"/>
    </font>
    <font>
      <b/>
      <u/>
      <sz val="12"/>
      <color rgb="FF434343"/>
      <name val="Calibri"/>
    </font>
    <font>
      <i/>
      <sz val="10"/>
      <name val="Arial"/>
    </font>
    <font>
      <b/>
      <sz val="10"/>
      <color rgb="FFFFFFFF"/>
      <name val="Arial"/>
    </font>
    <font>
      <b/>
      <sz val="10"/>
      <name val="Arial"/>
    </font>
    <font>
      <sz val="20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</fills>
  <borders count="34">
    <border>
      <left/>
      <right/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/>
      <diagonal/>
    </border>
    <border>
      <left style="thin">
        <color rgb="FFD9EAD3"/>
      </left>
      <right style="thin">
        <color rgb="FFD9EAD3"/>
      </right>
      <top/>
      <bottom/>
      <diagonal/>
    </border>
    <border>
      <left style="thin">
        <color rgb="FFD9EAD3"/>
      </left>
      <right style="thin">
        <color rgb="FFD9EAD3"/>
      </right>
      <top/>
      <bottom style="thin">
        <color rgb="FFD9EAD3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/>
      <top style="thin">
        <color rgb="FFEFEFEF"/>
      </top>
      <bottom/>
      <diagonal/>
    </border>
    <border>
      <left/>
      <right style="thin">
        <color rgb="FFEFEFEF"/>
      </right>
      <top style="thin">
        <color rgb="FFEFEFE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434343"/>
      </bottom>
      <diagonal/>
    </border>
    <border>
      <left/>
      <right/>
      <top/>
      <bottom style="thin">
        <color rgb="FF434343"/>
      </bottom>
      <diagonal/>
    </border>
    <border>
      <left/>
      <right style="thin">
        <color rgb="FF000000"/>
      </right>
      <top/>
      <bottom style="thin">
        <color rgb="FF434343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/>
      <top/>
      <bottom style="thin">
        <color rgb="FFEFEFEF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 style="thin">
        <color rgb="FFEFEFEF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/>
    </xf>
    <xf numFmtId="0" fontId="6" fillId="0" borderId="4" xfId="0" applyFont="1" applyBorder="1" applyAlignment="1"/>
    <xf numFmtId="0" fontId="6" fillId="0" borderId="4" xfId="0" applyFont="1" applyBorder="1" applyAlignment="1">
      <alignment wrapText="1"/>
    </xf>
    <xf numFmtId="0" fontId="5" fillId="5" borderId="4" xfId="0" applyFont="1" applyFill="1" applyBorder="1" applyAlignment="1">
      <alignment horizontal="center"/>
    </xf>
    <xf numFmtId="0" fontId="7" fillId="0" borderId="4" xfId="0" applyFont="1" applyBorder="1" applyAlignment="1"/>
    <xf numFmtId="0" fontId="4" fillId="6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10" fillId="0" borderId="4" xfId="0" applyFont="1" applyBorder="1" applyAlignment="1"/>
    <xf numFmtId="0" fontId="4" fillId="4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/>
    </xf>
    <xf numFmtId="14" fontId="1" fillId="2" borderId="7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1" fillId="0" borderId="8" xfId="0" applyFont="1" applyBorder="1" applyAlignment="1"/>
    <xf numFmtId="0" fontId="1" fillId="2" borderId="7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9" xfId="0" applyFont="1" applyFill="1" applyBorder="1" applyAlignment="1">
      <alignment horizontal="left"/>
    </xf>
    <xf numFmtId="14" fontId="1" fillId="2" borderId="9" xfId="0" applyNumberFormat="1" applyFont="1" applyFill="1" applyBorder="1" applyAlignment="1">
      <alignment horizontal="center"/>
    </xf>
    <xf numFmtId="0" fontId="1" fillId="2" borderId="9" xfId="0" applyFont="1" applyFill="1" applyBorder="1"/>
    <xf numFmtId="0" fontId="1" fillId="2" borderId="9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" fillId="0" borderId="11" xfId="0" applyFont="1" applyBorder="1"/>
    <xf numFmtId="0" fontId="3" fillId="0" borderId="0" xfId="0" applyFont="1" applyAlignment="1">
      <alignment horizontal="left" vertical="center" wrapText="1"/>
    </xf>
    <xf numFmtId="0" fontId="14" fillId="7" borderId="12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3" borderId="16" xfId="0" applyFont="1" applyFill="1" applyBorder="1" applyAlignment="1">
      <alignment horizontal="center"/>
    </xf>
    <xf numFmtId="0" fontId="1" fillId="0" borderId="18" xfId="0" applyFont="1" applyBorder="1" applyAlignment="1"/>
    <xf numFmtId="0" fontId="1" fillId="0" borderId="0" xfId="0" applyFont="1" applyAlignment="1"/>
    <xf numFmtId="0" fontId="1" fillId="0" borderId="19" xfId="0" applyFont="1" applyBorder="1" applyAlignment="1"/>
    <xf numFmtId="0" fontId="1" fillId="0" borderId="18" xfId="0" applyFont="1" applyBorder="1"/>
    <xf numFmtId="0" fontId="1" fillId="0" borderId="19" xfId="0" applyFont="1" applyBorder="1"/>
    <xf numFmtId="0" fontId="1" fillId="0" borderId="22" xfId="0" applyFont="1" applyBorder="1"/>
    <xf numFmtId="0" fontId="1" fillId="0" borderId="24" xfId="0" applyFont="1" applyBorder="1"/>
    <xf numFmtId="0" fontId="1" fillId="0" borderId="24" xfId="0" applyFont="1" applyBorder="1" applyAlignment="1"/>
    <xf numFmtId="0" fontId="1" fillId="0" borderId="26" xfId="0" applyFont="1" applyBorder="1"/>
    <xf numFmtId="0" fontId="17" fillId="2" borderId="0" xfId="0" applyFont="1" applyFill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0" xfId="0" applyFont="1"/>
    <xf numFmtId="164" fontId="1" fillId="0" borderId="0" xfId="0" applyNumberFormat="1" applyFont="1"/>
    <xf numFmtId="0" fontId="4" fillId="11" borderId="13" xfId="0" applyFont="1" applyFill="1" applyBorder="1" applyAlignment="1">
      <alignment horizontal="left" vertical="center" wrapText="1"/>
    </xf>
    <xf numFmtId="0" fontId="1" fillId="0" borderId="33" xfId="0" applyFont="1" applyBorder="1"/>
    <xf numFmtId="0" fontId="1" fillId="0" borderId="30" xfId="0" applyFont="1" applyBorder="1"/>
    <xf numFmtId="0" fontId="0" fillId="0" borderId="5" xfId="0" applyFont="1" applyBorder="1" applyAlignment="1">
      <alignment vertical="center" wrapText="1"/>
    </xf>
    <xf numFmtId="0" fontId="1" fillId="0" borderId="6" xfId="0" applyFont="1" applyBorder="1"/>
    <xf numFmtId="0" fontId="19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5" fillId="0" borderId="14" xfId="0" applyFont="1" applyBorder="1" applyAlignment="1">
      <alignment vertical="center"/>
    </xf>
    <xf numFmtId="0" fontId="1" fillId="0" borderId="15" xfId="0" applyFont="1" applyBorder="1"/>
    <xf numFmtId="0" fontId="1" fillId="0" borderId="31" xfId="0" applyFont="1" applyBorder="1"/>
    <xf numFmtId="0" fontId="1" fillId="0" borderId="32" xfId="0" applyFont="1" applyBorder="1"/>
    <xf numFmtId="0" fontId="4" fillId="4" borderId="13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 applyFont="1" applyAlignment="1"/>
    <xf numFmtId="0" fontId="1" fillId="0" borderId="5" xfId="0" applyFont="1" applyBorder="1" applyAlignment="1">
      <alignment vertical="center"/>
    </xf>
    <xf numFmtId="0" fontId="1" fillId="0" borderId="28" xfId="0" applyFont="1" applyBorder="1"/>
    <xf numFmtId="0" fontId="1" fillId="0" borderId="29" xfId="0" applyFont="1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/>
    <xf numFmtId="0" fontId="17" fillId="11" borderId="28" xfId="0" applyFont="1" applyFill="1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/>
    </xf>
    <xf numFmtId="0" fontId="17" fillId="9" borderId="27" xfId="0" applyFont="1" applyFill="1" applyBorder="1" applyAlignment="1">
      <alignment horizontal="center" vertical="center"/>
    </xf>
    <xf numFmtId="0" fontId="16" fillId="8" borderId="17" xfId="0" applyFont="1" applyFill="1" applyBorder="1" applyAlignment="1">
      <alignment horizontal="center" vertical="center"/>
    </xf>
    <xf numFmtId="0" fontId="1" fillId="0" borderId="25" xfId="0" applyFont="1" applyBorder="1"/>
    <xf numFmtId="0" fontId="18" fillId="0" borderId="20" xfId="0" applyFont="1" applyBorder="1" applyAlignment="1">
      <alignment horizontal="center" vertical="center"/>
    </xf>
    <xf numFmtId="0" fontId="1" fillId="0" borderId="21" xfId="0" applyFont="1" applyBorder="1"/>
    <xf numFmtId="0" fontId="1" fillId="0" borderId="23" xfId="0" applyFont="1" applyBorder="1"/>
    <xf numFmtId="0" fontId="1" fillId="0" borderId="22" xfId="0" applyFont="1" applyBorder="1"/>
    <xf numFmtId="0" fontId="1" fillId="0" borderId="24" xfId="0" applyFont="1" applyBorder="1"/>
    <xf numFmtId="0" fontId="1" fillId="0" borderId="26" xfId="0" applyFont="1" applyBorder="1"/>
    <xf numFmtId="0" fontId="1" fillId="0" borderId="27" xfId="0" applyFont="1" applyBorder="1"/>
    <xf numFmtId="0" fontId="17" fillId="5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1762125</xdr:colOff>
      <xdr:row>25</xdr:row>
      <xdr:rowOff>9525</xdr:rowOff>
    </xdr:from>
    <xdr:to>
      <xdr:col>1</xdr:col>
      <xdr:colOff>8086725</xdr:colOff>
      <xdr:row>30</xdr:row>
      <xdr:rowOff>19050</xdr:rowOff>
    </xdr:to>
    <xdr:grpSp>
      <xdr:nvGrpSpPr>
        <xdr:cNvPr id="2" name="Shape 2" title="Desenho"/>
        <xdr:cNvGrpSpPr/>
      </xdr:nvGrpSpPr>
      <xdr:grpSpPr>
        <a:xfrm>
          <a:off x="2114550" y="5295900"/>
          <a:ext cx="6324600" cy="819150"/>
          <a:chOff x="152400" y="152400"/>
          <a:chExt cx="6305400" cy="990600"/>
        </a:xfrm>
      </xdr:grpSpPr>
      <xdr:sp macro="" textlink="">
        <xdr:nvSpPr>
          <xdr:cNvPr id="3" name="Shape 3"/>
          <xdr:cNvSpPr txBox="1"/>
        </xdr:nvSpPr>
        <xdr:spPr>
          <a:xfrm>
            <a:off x="628650" y="342900"/>
            <a:ext cx="5734200" cy="800100"/>
          </a:xfrm>
          <a:prstGeom prst="rect">
            <a:avLst/>
          </a:prstGeom>
          <a:noFill/>
          <a:ln>
            <a:noFill/>
          </a:ln>
        </xdr:spPr>
        <xdr:txBody>
          <a:bodyPr lIns="91425" tIns="91425" rIns="91425" bIns="91425" anchor="t" anchorCtr="0">
            <a:noAutofit/>
          </a:bodyPr>
          <a:lstStyle/>
          <a:p>
            <a:pPr lvl="0" algn="l">
              <a:spcBef>
                <a:spcPts val="0"/>
              </a:spcBef>
              <a:buNone/>
            </a:pPr>
            <a:endParaRPr sz="1400"/>
          </a:p>
        </xdr:txBody>
      </xdr:sp>
      <xdr:sp macro="" textlink="">
        <xdr:nvSpPr>
          <xdr:cNvPr id="4" name="Shape 4"/>
          <xdr:cNvSpPr txBox="1"/>
        </xdr:nvSpPr>
        <xdr:spPr>
          <a:xfrm>
            <a:off x="152400" y="152400"/>
            <a:ext cx="6305400" cy="895200"/>
          </a:xfrm>
          <a:prstGeom prst="rect">
            <a:avLst/>
          </a:prstGeom>
          <a:noFill/>
          <a:ln>
            <a:noFill/>
          </a:ln>
        </xdr:spPr>
        <xdr:txBody>
          <a:bodyPr lIns="91425" tIns="91425" rIns="91425" bIns="91425" anchor="ctr" anchorCtr="0">
            <a:noAutofit/>
          </a:bodyPr>
          <a:lstStyle/>
          <a:p>
            <a:pPr lvl="0" rtl="0">
              <a:spcBef>
                <a:spcPts val="0"/>
              </a:spcBef>
              <a:buNone/>
            </a:pPr>
            <a:r>
              <a:rPr lang="en-US" sz="1200" b="1">
                <a:solidFill>
                  <a:srgbClr val="434343"/>
                </a:solidFill>
              </a:rPr>
              <a:t>Confira alguns dos recursos que temos para sua empresa eliminar completamente as planilhas de sua Gestão Orçamentária, ganhando agilidade e segurança:</a:t>
            </a:r>
          </a:p>
        </xdr:txBody>
      </xdr:sp>
    </xdr:grpSp>
    <xdr:clientData fLocksWithSheet="0"/>
  </xdr:twoCellAnchor>
  <xdr:twoCellAnchor>
    <xdr:from>
      <xdr:col>1</xdr:col>
      <xdr:colOff>1819275</xdr:colOff>
      <xdr:row>29</xdr:row>
      <xdr:rowOff>200025</xdr:rowOff>
    </xdr:from>
    <xdr:to>
      <xdr:col>1</xdr:col>
      <xdr:colOff>5886450</xdr:colOff>
      <xdr:row>35</xdr:row>
      <xdr:rowOff>114300</xdr:rowOff>
    </xdr:to>
    <xdr:grpSp>
      <xdr:nvGrpSpPr>
        <xdr:cNvPr id="5" name="Shape 2" title="Desenho"/>
        <xdr:cNvGrpSpPr/>
      </xdr:nvGrpSpPr>
      <xdr:grpSpPr>
        <a:xfrm>
          <a:off x="2171700" y="6096000"/>
          <a:ext cx="4067175" cy="923925"/>
          <a:chOff x="333375" y="428625"/>
          <a:chExt cx="4048200" cy="1095450"/>
        </a:xfrm>
      </xdr:grpSpPr>
      <xdr:sp macro="" textlink="">
        <xdr:nvSpPr>
          <xdr:cNvPr id="6" name="Shape 5"/>
          <xdr:cNvSpPr txBox="1"/>
        </xdr:nvSpPr>
        <xdr:spPr>
          <a:xfrm>
            <a:off x="333375" y="428625"/>
            <a:ext cx="85800" cy="314400"/>
          </a:xfrm>
          <a:prstGeom prst="rect">
            <a:avLst/>
          </a:prstGeom>
          <a:solidFill>
            <a:srgbClr val="93C47D"/>
          </a:solidFill>
          <a:ln w="9525" cap="flat" cmpd="sng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lIns="91425" tIns="91425" rIns="91425" bIns="91425" anchor="t" anchorCtr="0">
            <a:noAutofit/>
          </a:bodyPr>
          <a:lstStyle/>
          <a:p>
            <a:pPr lvl="0" algn="l" rtl="0">
              <a:spcBef>
                <a:spcPts val="0"/>
              </a:spcBef>
              <a:buNone/>
            </a:pPr>
            <a:endParaRPr sz="1400"/>
          </a:p>
        </xdr:txBody>
      </xdr:sp>
      <xdr:sp macro="" textlink="">
        <xdr:nvSpPr>
          <xdr:cNvPr id="7" name="Shape 6"/>
          <xdr:cNvSpPr txBox="1"/>
        </xdr:nvSpPr>
        <xdr:spPr>
          <a:xfrm>
            <a:off x="419175" y="476175"/>
            <a:ext cx="3962400" cy="238200"/>
          </a:xfrm>
          <a:prstGeom prst="rect">
            <a:avLst/>
          </a:prstGeom>
          <a:noFill/>
          <a:ln>
            <a:noFill/>
          </a:ln>
        </xdr:spPr>
        <xdr:txBody>
          <a:bodyPr lIns="91425" tIns="91425" rIns="91425" bIns="91425" anchor="ctr" anchorCtr="0">
            <a:noAutofit/>
          </a:bodyPr>
          <a:lstStyle/>
          <a:p>
            <a:pPr lvl="0" rtl="0">
              <a:spcBef>
                <a:spcPts val="0"/>
              </a:spcBef>
              <a:buNone/>
            </a:pPr>
            <a:r>
              <a:rPr lang="en-US" sz="1200" b="1">
                <a:solidFill>
                  <a:srgbClr val="6AA84F"/>
                </a:solidFill>
              </a:rPr>
              <a:t>Orçamento Empresarial Descentralizado</a:t>
            </a:r>
          </a:p>
        </xdr:txBody>
      </xdr:sp>
      <xdr:sp macro="" textlink="">
        <xdr:nvSpPr>
          <xdr:cNvPr id="8" name="Shape 7"/>
          <xdr:cNvSpPr txBox="1"/>
        </xdr:nvSpPr>
        <xdr:spPr>
          <a:xfrm>
            <a:off x="419175" y="828600"/>
            <a:ext cx="3000000" cy="238200"/>
          </a:xfrm>
          <a:prstGeom prst="rect">
            <a:avLst/>
          </a:prstGeom>
          <a:noFill/>
          <a:ln>
            <a:noFill/>
          </a:ln>
        </xdr:spPr>
        <xdr:txBody>
          <a:bodyPr lIns="91425" tIns="91425" rIns="91425" bIns="91425" anchor="ctr" anchorCtr="0">
            <a:noAutofit/>
          </a:bodyPr>
          <a:lstStyle/>
          <a:p>
            <a:pPr lvl="0" rtl="0">
              <a:spcBef>
                <a:spcPts val="0"/>
              </a:spcBef>
              <a:buNone/>
            </a:pPr>
            <a:r>
              <a:rPr lang="en-US" sz="1200" b="1">
                <a:solidFill>
                  <a:srgbClr val="6AA84F"/>
                </a:solidFill>
              </a:rPr>
              <a:t>Projeções, Simulações e Cenários</a:t>
            </a:r>
          </a:p>
        </xdr:txBody>
      </xdr:sp>
      <xdr:sp macro="" textlink="">
        <xdr:nvSpPr>
          <xdr:cNvPr id="9" name="Shape 8"/>
          <xdr:cNvSpPr txBox="1"/>
        </xdr:nvSpPr>
        <xdr:spPr>
          <a:xfrm>
            <a:off x="419175" y="1181025"/>
            <a:ext cx="3543300" cy="314400"/>
          </a:xfrm>
          <a:prstGeom prst="rect">
            <a:avLst/>
          </a:prstGeom>
          <a:noFill/>
          <a:ln>
            <a:noFill/>
          </a:ln>
        </xdr:spPr>
        <xdr:txBody>
          <a:bodyPr lIns="91425" tIns="91425" rIns="91425" bIns="91425" anchor="ctr" anchorCtr="0">
            <a:noAutofit/>
          </a:bodyPr>
          <a:lstStyle/>
          <a:p>
            <a:pPr lvl="0" rtl="0">
              <a:spcBef>
                <a:spcPts val="0"/>
              </a:spcBef>
              <a:buNone/>
            </a:pPr>
            <a:r>
              <a:rPr lang="en-US" sz="1200" b="1">
                <a:solidFill>
                  <a:srgbClr val="6AA84F"/>
                </a:solidFill>
              </a:rPr>
              <a:t>Gráficos e Indicadores de Desempenho</a:t>
            </a:r>
          </a:p>
        </xdr:txBody>
      </xdr:sp>
      <xdr:sp macro="" textlink="">
        <xdr:nvSpPr>
          <xdr:cNvPr id="10" name="Shape 9"/>
          <xdr:cNvSpPr txBox="1"/>
        </xdr:nvSpPr>
        <xdr:spPr>
          <a:xfrm>
            <a:off x="333375" y="804825"/>
            <a:ext cx="85800" cy="314400"/>
          </a:xfrm>
          <a:prstGeom prst="rect">
            <a:avLst/>
          </a:prstGeom>
          <a:solidFill>
            <a:srgbClr val="93C47D"/>
          </a:solidFill>
          <a:ln w="9525" cap="flat" cmpd="sng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lIns="91425" tIns="91425" rIns="91425" bIns="91425" anchor="t" anchorCtr="0">
            <a:noAutofit/>
          </a:bodyPr>
          <a:lstStyle/>
          <a:p>
            <a:pPr lvl="0" algn="l" rtl="0">
              <a:spcBef>
                <a:spcPts val="0"/>
              </a:spcBef>
              <a:buNone/>
            </a:pPr>
            <a:endParaRPr sz="1400"/>
          </a:p>
        </xdr:txBody>
      </xdr:sp>
      <xdr:sp macro="" textlink="">
        <xdr:nvSpPr>
          <xdr:cNvPr id="11" name="Shape 10"/>
          <xdr:cNvSpPr txBox="1"/>
        </xdr:nvSpPr>
        <xdr:spPr>
          <a:xfrm>
            <a:off x="333375" y="1209675"/>
            <a:ext cx="85800" cy="314400"/>
          </a:xfrm>
          <a:prstGeom prst="rect">
            <a:avLst/>
          </a:prstGeom>
          <a:solidFill>
            <a:srgbClr val="93C47D"/>
          </a:solidFill>
          <a:ln w="9525" cap="flat" cmpd="sng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lIns="91425" tIns="91425" rIns="91425" bIns="91425" anchor="t" anchorCtr="0">
            <a:noAutofit/>
          </a:bodyPr>
          <a:lstStyle/>
          <a:p>
            <a:pPr lvl="0" algn="l" rtl="0">
              <a:spcBef>
                <a:spcPts val="0"/>
              </a:spcBef>
              <a:buNone/>
            </a:pPr>
            <a:endParaRPr sz="1400"/>
          </a:p>
        </xdr:txBody>
      </xdr:sp>
    </xdr:grpSp>
    <xdr:clientData fLocksWithSheet="0"/>
  </xdr:twoCellAnchor>
  <xdr:twoCellAnchor>
    <xdr:from>
      <xdr:col>1</xdr:col>
      <xdr:colOff>5105400</xdr:colOff>
      <xdr:row>29</xdr:row>
      <xdr:rowOff>190500</xdr:rowOff>
    </xdr:from>
    <xdr:to>
      <xdr:col>2</xdr:col>
      <xdr:colOff>161925</xdr:colOff>
      <xdr:row>35</xdr:row>
      <xdr:rowOff>104775</xdr:rowOff>
    </xdr:to>
    <xdr:grpSp>
      <xdr:nvGrpSpPr>
        <xdr:cNvPr id="12" name="Shape 2" title="Desenho"/>
        <xdr:cNvGrpSpPr/>
      </xdr:nvGrpSpPr>
      <xdr:grpSpPr>
        <a:xfrm>
          <a:off x="5457825" y="6096000"/>
          <a:ext cx="4324350" cy="914400"/>
          <a:chOff x="333375" y="428625"/>
          <a:chExt cx="4305300" cy="1095450"/>
        </a:xfrm>
      </xdr:grpSpPr>
      <xdr:sp macro="" textlink="">
        <xdr:nvSpPr>
          <xdr:cNvPr id="13" name="Shape 11"/>
          <xdr:cNvSpPr txBox="1"/>
        </xdr:nvSpPr>
        <xdr:spPr>
          <a:xfrm>
            <a:off x="333375" y="428625"/>
            <a:ext cx="85800" cy="314400"/>
          </a:xfrm>
          <a:prstGeom prst="rect">
            <a:avLst/>
          </a:prstGeom>
          <a:solidFill>
            <a:srgbClr val="93C47D"/>
          </a:solidFill>
          <a:ln w="9525" cap="flat" cmpd="sng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lIns="91425" tIns="91425" rIns="91425" bIns="91425" anchor="t" anchorCtr="0">
            <a:noAutofit/>
          </a:bodyPr>
          <a:lstStyle/>
          <a:p>
            <a:pPr lvl="0" algn="l" rtl="0">
              <a:spcBef>
                <a:spcPts val="0"/>
              </a:spcBef>
              <a:buNone/>
            </a:pPr>
            <a:endParaRPr sz="1400"/>
          </a:p>
        </xdr:txBody>
      </xdr:sp>
      <xdr:sp macro="" textlink="">
        <xdr:nvSpPr>
          <xdr:cNvPr id="14" name="Shape 12"/>
          <xdr:cNvSpPr txBox="1"/>
        </xdr:nvSpPr>
        <xdr:spPr>
          <a:xfrm>
            <a:off x="419175" y="476175"/>
            <a:ext cx="4219500" cy="238200"/>
          </a:xfrm>
          <a:prstGeom prst="rect">
            <a:avLst/>
          </a:prstGeom>
          <a:noFill/>
          <a:ln>
            <a:noFill/>
          </a:ln>
        </xdr:spPr>
        <xdr:txBody>
          <a:bodyPr lIns="91425" tIns="91425" rIns="91425" bIns="91425" anchor="ctr" anchorCtr="0">
            <a:noAutofit/>
          </a:bodyPr>
          <a:lstStyle/>
          <a:p>
            <a:pPr lvl="0" rtl="0">
              <a:spcBef>
                <a:spcPts val="0"/>
              </a:spcBef>
              <a:buNone/>
            </a:pPr>
            <a:r>
              <a:rPr lang="en-US" sz="1200" b="1">
                <a:solidFill>
                  <a:srgbClr val="6AA84F"/>
                </a:solidFill>
              </a:rPr>
              <a:t>Acompanhamento Planejado x Realizado x Histórico</a:t>
            </a:r>
          </a:p>
        </xdr:txBody>
      </xdr:sp>
      <xdr:sp macro="" textlink="">
        <xdr:nvSpPr>
          <xdr:cNvPr id="15" name="Shape 13"/>
          <xdr:cNvSpPr txBox="1"/>
        </xdr:nvSpPr>
        <xdr:spPr>
          <a:xfrm>
            <a:off x="419175" y="828600"/>
            <a:ext cx="3000000" cy="238200"/>
          </a:xfrm>
          <a:prstGeom prst="rect">
            <a:avLst/>
          </a:prstGeom>
          <a:noFill/>
          <a:ln>
            <a:noFill/>
          </a:ln>
        </xdr:spPr>
        <xdr:txBody>
          <a:bodyPr lIns="91425" tIns="91425" rIns="91425" bIns="91425" anchor="ctr" anchorCtr="0">
            <a:noAutofit/>
          </a:bodyPr>
          <a:lstStyle/>
          <a:p>
            <a:pPr lvl="0" rtl="0">
              <a:spcBef>
                <a:spcPts val="0"/>
              </a:spcBef>
              <a:buNone/>
            </a:pPr>
            <a:r>
              <a:rPr lang="en-US" sz="1200" b="1">
                <a:solidFill>
                  <a:srgbClr val="6AA84F"/>
                </a:solidFill>
              </a:rPr>
              <a:t>Relatórios e Análises Gerenciais</a:t>
            </a:r>
          </a:p>
        </xdr:txBody>
      </xdr:sp>
      <xdr:sp macro="" textlink="">
        <xdr:nvSpPr>
          <xdr:cNvPr id="16" name="Shape 14"/>
          <xdr:cNvSpPr txBox="1"/>
        </xdr:nvSpPr>
        <xdr:spPr>
          <a:xfrm>
            <a:off x="419175" y="1181025"/>
            <a:ext cx="3543300" cy="314400"/>
          </a:xfrm>
          <a:prstGeom prst="rect">
            <a:avLst/>
          </a:prstGeom>
          <a:noFill/>
          <a:ln>
            <a:noFill/>
          </a:ln>
        </xdr:spPr>
        <xdr:txBody>
          <a:bodyPr lIns="91425" tIns="91425" rIns="91425" bIns="91425" anchor="ctr" anchorCtr="0">
            <a:noAutofit/>
          </a:bodyPr>
          <a:lstStyle/>
          <a:p>
            <a:pPr lvl="0" rtl="0">
              <a:spcBef>
                <a:spcPts val="0"/>
              </a:spcBef>
              <a:buNone/>
            </a:pPr>
            <a:r>
              <a:rPr lang="en-US" sz="1200" b="1">
                <a:solidFill>
                  <a:srgbClr val="6AA84F"/>
                </a:solidFill>
              </a:rPr>
              <a:t>Integração com seu ERP e contabilidade</a:t>
            </a:r>
          </a:p>
        </xdr:txBody>
      </xdr:sp>
      <xdr:sp macro="" textlink="">
        <xdr:nvSpPr>
          <xdr:cNvPr id="17" name="Shape 15"/>
          <xdr:cNvSpPr txBox="1"/>
        </xdr:nvSpPr>
        <xdr:spPr>
          <a:xfrm>
            <a:off x="333375" y="804825"/>
            <a:ext cx="85800" cy="314400"/>
          </a:xfrm>
          <a:prstGeom prst="rect">
            <a:avLst/>
          </a:prstGeom>
          <a:solidFill>
            <a:srgbClr val="93C47D"/>
          </a:solidFill>
          <a:ln w="9525" cap="flat" cmpd="sng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lIns="91425" tIns="91425" rIns="91425" bIns="91425" anchor="t" anchorCtr="0">
            <a:noAutofit/>
          </a:bodyPr>
          <a:lstStyle/>
          <a:p>
            <a:pPr lvl="0" algn="l" rtl="0">
              <a:spcBef>
                <a:spcPts val="0"/>
              </a:spcBef>
              <a:buNone/>
            </a:pPr>
            <a:endParaRPr sz="1400"/>
          </a:p>
        </xdr:txBody>
      </xdr:sp>
      <xdr:sp macro="" textlink="">
        <xdr:nvSpPr>
          <xdr:cNvPr id="18" name="Shape 16"/>
          <xdr:cNvSpPr txBox="1"/>
        </xdr:nvSpPr>
        <xdr:spPr>
          <a:xfrm>
            <a:off x="333375" y="1209675"/>
            <a:ext cx="85800" cy="314400"/>
          </a:xfrm>
          <a:prstGeom prst="rect">
            <a:avLst/>
          </a:prstGeom>
          <a:solidFill>
            <a:srgbClr val="93C47D"/>
          </a:solidFill>
          <a:ln w="9525" cap="flat" cmpd="sng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lIns="91425" tIns="91425" rIns="91425" bIns="91425" anchor="t" anchorCtr="0">
            <a:noAutofit/>
          </a:bodyPr>
          <a:lstStyle/>
          <a:p>
            <a:pPr lvl="0" algn="l" rtl="0">
              <a:spcBef>
                <a:spcPts val="0"/>
              </a:spcBef>
              <a:buNone/>
            </a:pPr>
            <a:endParaRPr sz="1400"/>
          </a:p>
        </xdr:txBody>
      </xdr:sp>
    </xdr:grpSp>
    <xdr:clientData fLocksWithSheet="0"/>
  </xdr:twoCellAnchor>
  <xdr:twoCellAnchor>
    <xdr:from>
      <xdr:col>0</xdr:col>
      <xdr:colOff>342900</xdr:colOff>
      <xdr:row>0</xdr:row>
      <xdr:rowOff>85725</xdr:rowOff>
    </xdr:from>
    <xdr:to>
      <xdr:col>1</xdr:col>
      <xdr:colOff>2847975</xdr:colOff>
      <xdr:row>5</xdr:row>
      <xdr:rowOff>171450</xdr:rowOff>
    </xdr:to>
    <xdr:pic>
      <xdr:nvPicPr>
        <xdr:cNvPr id="19" name="image2.pn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857500" cy="1085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25</xdr:row>
      <xdr:rowOff>47625</xdr:rowOff>
    </xdr:from>
    <xdr:to>
      <xdr:col>1</xdr:col>
      <xdr:colOff>1543050</xdr:colOff>
      <xdr:row>35</xdr:row>
      <xdr:rowOff>152400</xdr:rowOff>
    </xdr:to>
    <xdr:pic>
      <xdr:nvPicPr>
        <xdr:cNvPr id="20" name="image1.png" title="Imagem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390650" cy="2105025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Z37"/>
  <sheetViews>
    <sheetView showGridLines="0" tabSelected="1" topLeftCell="A19" workbookViewId="0"/>
  </sheetViews>
  <sheetFormatPr defaultColWidth="14.42578125" defaultRowHeight="15.75" customHeight="1" x14ac:dyDescent="0.2"/>
  <cols>
    <col min="1" max="1" width="5.28515625" customWidth="1"/>
    <col min="2" max="2" width="139" customWidth="1"/>
  </cols>
  <sheetData>
    <row r="8" spans="2:2" ht="20.25" x14ac:dyDescent="0.3">
      <c r="B8" s="8" t="s">
        <v>2</v>
      </c>
    </row>
    <row r="9" spans="2:2" ht="15" x14ac:dyDescent="0.2">
      <c r="B9" s="9" t="s">
        <v>10</v>
      </c>
    </row>
    <row r="10" spans="2:2" ht="15" x14ac:dyDescent="0.2">
      <c r="B10" s="9" t="s">
        <v>11</v>
      </c>
    </row>
    <row r="11" spans="2:2" ht="15" x14ac:dyDescent="0.2">
      <c r="B11" s="9" t="s">
        <v>12</v>
      </c>
    </row>
    <row r="12" spans="2:2" ht="15" x14ac:dyDescent="0.2">
      <c r="B12" s="9" t="s">
        <v>13</v>
      </c>
    </row>
    <row r="13" spans="2:2" ht="30" x14ac:dyDescent="0.2">
      <c r="B13" s="10" t="s">
        <v>14</v>
      </c>
    </row>
    <row r="14" spans="2:2" ht="15" x14ac:dyDescent="0.2">
      <c r="B14" s="9" t="s">
        <v>15</v>
      </c>
    </row>
    <row r="15" spans="2:2" ht="20.25" x14ac:dyDescent="0.3">
      <c r="B15" s="11" t="s">
        <v>16</v>
      </c>
    </row>
    <row r="16" spans="2:2" ht="15" x14ac:dyDescent="0.2">
      <c r="B16" s="12" t="s">
        <v>17</v>
      </c>
    </row>
    <row r="17" spans="1:26" ht="15" x14ac:dyDescent="0.2">
      <c r="B17" s="15" t="str">
        <f>HYPERLINK("https://www.treasy.com.br/blog/gestao-de-tarefas#Gerenciamento-de-tarefas-atividades-urgentes-x-atividades-importantes","Gestão de Tarefas: Urgência X Importância")</f>
        <v>Gestão de Tarefas: Urgência X Importância</v>
      </c>
    </row>
    <row r="18" spans="1:26" ht="15" x14ac:dyDescent="0.2">
      <c r="B18" s="12" t="s">
        <v>21</v>
      </c>
    </row>
    <row r="19" spans="1:26" ht="15" x14ac:dyDescent="0.2">
      <c r="B19" s="15" t="str">
        <f>HYPERLINK("https://www.treasy.com.br/blog/plano-de-acao","Plano de Ação – O passo a passo da ideia à concretização de seus objetivos!")</f>
        <v>Plano de Ação – O passo a passo da ideia à concretização de seus objetivos!</v>
      </c>
    </row>
    <row r="20" spans="1:26" ht="15" x14ac:dyDescent="0.2">
      <c r="B20" s="12" t="s">
        <v>22</v>
      </c>
    </row>
    <row r="21" spans="1:26" ht="15" x14ac:dyDescent="0.2">
      <c r="B21" s="15" t="str">
        <f>HYPERLINK("https://www.treasy.com.br/blog/5w2h","5W2H – Reduzindo incertezas e ganhando produtividade para os planos de ações de sua empresa")</f>
        <v>5W2H – Reduzindo incertezas e ganhando produtividade para os planos de ações de sua empresa</v>
      </c>
    </row>
    <row r="22" spans="1:26" ht="15" x14ac:dyDescent="0.2">
      <c r="B22" s="12" t="s">
        <v>24</v>
      </c>
    </row>
    <row r="23" spans="1:26" ht="15" x14ac:dyDescent="0.2">
      <c r="B23" s="20" t="str">
        <f>HYPERLINK("https://www.treasy.com.br/blog/scrum","Scrum: como essa metodologia pode te ajudar a poupar tempo e gerir melhor seus projetos")</f>
        <v>Scrum: como essa metodologia pode te ajudar a poupar tempo e gerir melhor seus projetos</v>
      </c>
    </row>
    <row r="24" spans="1:26" ht="20.25" x14ac:dyDescent="0.2">
      <c r="A24" s="3"/>
      <c r="B24" s="2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0.25" x14ac:dyDescent="0.2">
      <c r="B25" s="29" t="s">
        <v>36</v>
      </c>
    </row>
    <row r="26" spans="1:26" ht="12.75" x14ac:dyDescent="0.2">
      <c r="B26" s="31"/>
    </row>
    <row r="27" spans="1:26" ht="12.75" x14ac:dyDescent="0.2">
      <c r="B27" s="31"/>
    </row>
    <row r="28" spans="1:26" ht="12.75" x14ac:dyDescent="0.2">
      <c r="B28" s="31"/>
    </row>
    <row r="29" spans="1:26" ht="12.75" x14ac:dyDescent="0.2">
      <c r="B29" s="31"/>
    </row>
    <row r="30" spans="1:26" ht="12.75" x14ac:dyDescent="0.2">
      <c r="B30" s="31"/>
    </row>
    <row r="31" spans="1:26" ht="12.75" x14ac:dyDescent="0.2">
      <c r="B31" s="31"/>
    </row>
    <row r="32" spans="1:26" ht="12.75" x14ac:dyDescent="0.2">
      <c r="B32" s="31"/>
    </row>
    <row r="33" spans="2:2" ht="12.75" x14ac:dyDescent="0.2">
      <c r="B33" s="31"/>
    </row>
    <row r="34" spans="2:2" ht="12.75" x14ac:dyDescent="0.2">
      <c r="B34" s="31"/>
    </row>
    <row r="35" spans="2:2" ht="12.75" x14ac:dyDescent="0.2">
      <c r="B35" s="31"/>
    </row>
    <row r="36" spans="2:2" ht="12.75" x14ac:dyDescent="0.2">
      <c r="B36" s="31"/>
    </row>
    <row r="37" spans="2:2" ht="26.25" customHeight="1" x14ac:dyDescent="0.2">
      <c r="B37" s="33" t="str">
        <f>HYPERLINK("https://www.treasy.com.br/","Acesse www.treasy.com.br e crie uma conta para conhecer!")</f>
        <v>Acesse www.treasy.com.br e crie uma conta para conhecer!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E26"/>
  <sheetViews>
    <sheetView showGridLines="0" topLeftCell="A7" workbookViewId="0"/>
  </sheetViews>
  <sheetFormatPr defaultColWidth="14.42578125" defaultRowHeight="15.75" customHeight="1" x14ac:dyDescent="0.2"/>
  <cols>
    <col min="1" max="1" width="3" customWidth="1"/>
    <col min="2" max="2" width="30.42578125" customWidth="1"/>
    <col min="3" max="3" width="33.28515625" customWidth="1"/>
    <col min="4" max="4" width="20.28515625" customWidth="1"/>
    <col min="5" max="5" width="7.140625" customWidth="1"/>
  </cols>
  <sheetData>
    <row r="1" spans="1:5" ht="14.25" customHeight="1" x14ac:dyDescent="0.2">
      <c r="A1" s="1"/>
      <c r="B1" s="2"/>
      <c r="C1" s="2"/>
      <c r="D1" s="2"/>
      <c r="E1" s="3"/>
    </row>
    <row r="2" spans="1:5" ht="25.5" customHeight="1" x14ac:dyDescent="0.2">
      <c r="A2" s="4"/>
      <c r="B2" s="66" t="s">
        <v>0</v>
      </c>
      <c r="C2" s="67"/>
      <c r="D2" s="67"/>
    </row>
    <row r="3" spans="1:5" ht="25.5" customHeight="1" x14ac:dyDescent="0.2">
      <c r="A3" s="4"/>
      <c r="B3" s="67"/>
      <c r="C3" s="67"/>
      <c r="D3" s="67"/>
    </row>
    <row r="4" spans="1:5" ht="9" customHeight="1" x14ac:dyDescent="0.2">
      <c r="A4" s="4"/>
      <c r="B4" s="4"/>
    </row>
    <row r="5" spans="1:5" ht="25.5" customHeight="1" x14ac:dyDescent="0.2">
      <c r="A5" s="5"/>
      <c r="B5" s="6" t="s">
        <v>1</v>
      </c>
      <c r="C5" s="65" t="s">
        <v>4</v>
      </c>
      <c r="D5" s="57"/>
    </row>
    <row r="6" spans="1:5" ht="27.75" customHeight="1" x14ac:dyDescent="0.2">
      <c r="A6" s="14"/>
      <c r="B6" s="27" t="s">
        <v>9</v>
      </c>
      <c r="C6" s="68" t="s">
        <v>35</v>
      </c>
      <c r="D6" s="57"/>
    </row>
    <row r="7" spans="1:5" ht="26.25" customHeight="1" x14ac:dyDescent="0.2">
      <c r="A7" s="30"/>
      <c r="B7" s="27" t="s">
        <v>37</v>
      </c>
      <c r="C7" s="56" t="s">
        <v>38</v>
      </c>
      <c r="D7" s="57"/>
    </row>
    <row r="8" spans="1:5" ht="22.5" customHeight="1" x14ac:dyDescent="0.2">
      <c r="A8" s="30"/>
      <c r="B8" s="27" t="s">
        <v>39</v>
      </c>
      <c r="C8" s="56" t="s">
        <v>38</v>
      </c>
      <c r="D8" s="57"/>
    </row>
    <row r="9" spans="1:5" ht="15.75" customHeight="1" x14ac:dyDescent="0.2">
      <c r="A9" s="32"/>
      <c r="B9" s="64" t="s">
        <v>40</v>
      </c>
      <c r="C9" s="60" t="s">
        <v>41</v>
      </c>
      <c r="D9" s="61"/>
    </row>
    <row r="10" spans="1:5" ht="15.75" customHeight="1" x14ac:dyDescent="0.2">
      <c r="A10" s="32"/>
      <c r="B10" s="55"/>
      <c r="C10" s="62"/>
      <c r="D10" s="63"/>
    </row>
    <row r="11" spans="1:5" ht="33" customHeight="1" x14ac:dyDescent="0.2">
      <c r="A11" s="32"/>
      <c r="B11" s="6" t="s">
        <v>59</v>
      </c>
      <c r="C11" s="59" t="s">
        <v>60</v>
      </c>
      <c r="D11" s="57"/>
    </row>
    <row r="12" spans="1:5" ht="16.5" customHeight="1" x14ac:dyDescent="0.2">
      <c r="A12" s="32"/>
      <c r="B12" s="64" t="s">
        <v>61</v>
      </c>
      <c r="C12" s="58" t="s">
        <v>23</v>
      </c>
      <c r="D12" s="57"/>
    </row>
    <row r="13" spans="1:5" ht="16.5" customHeight="1" x14ac:dyDescent="0.2">
      <c r="A13" s="32"/>
      <c r="B13" s="54"/>
      <c r="C13" s="58" t="s">
        <v>27</v>
      </c>
      <c r="D13" s="57"/>
    </row>
    <row r="14" spans="1:5" ht="16.5" customHeight="1" x14ac:dyDescent="0.2">
      <c r="A14" s="32"/>
      <c r="B14" s="54"/>
      <c r="C14" s="58" t="s">
        <v>31</v>
      </c>
      <c r="D14" s="57"/>
    </row>
    <row r="15" spans="1:5" ht="16.5" customHeight="1" x14ac:dyDescent="0.2">
      <c r="A15" s="32"/>
      <c r="B15" s="55"/>
      <c r="C15" s="58" t="s">
        <v>33</v>
      </c>
      <c r="D15" s="57"/>
    </row>
    <row r="16" spans="1:5" ht="18" customHeight="1" x14ac:dyDescent="0.2">
      <c r="A16" s="32"/>
      <c r="B16" s="64" t="s">
        <v>62</v>
      </c>
      <c r="C16" s="6" t="s">
        <v>63</v>
      </c>
      <c r="D16" s="46">
        <v>42917</v>
      </c>
    </row>
    <row r="17" spans="1:4" ht="17.25" customHeight="1" x14ac:dyDescent="0.2">
      <c r="A17" s="32"/>
      <c r="B17" s="55"/>
      <c r="C17" s="6" t="s">
        <v>64</v>
      </c>
      <c r="D17" s="46">
        <v>42948</v>
      </c>
    </row>
    <row r="18" spans="1:4" ht="33" customHeight="1" x14ac:dyDescent="0.2">
      <c r="A18" s="32"/>
      <c r="B18" s="6" t="s">
        <v>65</v>
      </c>
      <c r="C18" s="59" t="s">
        <v>66</v>
      </c>
      <c r="D18" s="57"/>
    </row>
    <row r="19" spans="1:4" ht="19.5" customHeight="1" x14ac:dyDescent="0.2">
      <c r="A19" s="32"/>
      <c r="B19" s="53" t="s">
        <v>67</v>
      </c>
      <c r="C19" s="47" t="s">
        <v>68</v>
      </c>
      <c r="D19" s="48" t="s">
        <v>49</v>
      </c>
    </row>
    <row r="20" spans="1:4" ht="19.5" customHeight="1" x14ac:dyDescent="0.2">
      <c r="A20" s="32"/>
      <c r="B20" s="54"/>
      <c r="C20" s="47" t="s">
        <v>69</v>
      </c>
      <c r="D20" s="48" t="s">
        <v>51</v>
      </c>
    </row>
    <row r="21" spans="1:4" ht="19.5" customHeight="1" x14ac:dyDescent="0.2">
      <c r="A21" s="32"/>
      <c r="B21" s="54"/>
      <c r="C21" s="47" t="s">
        <v>70</v>
      </c>
      <c r="D21" s="48" t="s">
        <v>52</v>
      </c>
    </row>
    <row r="22" spans="1:4" ht="19.5" customHeight="1" x14ac:dyDescent="0.2">
      <c r="A22" s="32"/>
      <c r="B22" s="54"/>
      <c r="C22" s="47" t="s">
        <v>71</v>
      </c>
      <c r="D22" s="48" t="s">
        <v>54</v>
      </c>
    </row>
    <row r="23" spans="1:4" ht="19.5" customHeight="1" x14ac:dyDescent="0.2">
      <c r="A23" s="32"/>
      <c r="B23" s="54"/>
      <c r="C23" s="47" t="s">
        <v>72</v>
      </c>
      <c r="D23" s="48" t="s">
        <v>56</v>
      </c>
    </row>
    <row r="24" spans="1:4" ht="19.5" customHeight="1" x14ac:dyDescent="0.2">
      <c r="A24" s="32"/>
      <c r="B24" s="55"/>
      <c r="C24" s="47" t="s">
        <v>73</v>
      </c>
      <c r="D24" s="48" t="s">
        <v>49</v>
      </c>
    </row>
    <row r="25" spans="1:4" ht="33" customHeight="1" x14ac:dyDescent="0.2">
      <c r="A25" s="32"/>
      <c r="B25" s="6" t="s">
        <v>74</v>
      </c>
      <c r="C25" s="49" t="s">
        <v>75</v>
      </c>
      <c r="D25" s="50"/>
    </row>
    <row r="26" spans="1:4" ht="33" customHeight="1" x14ac:dyDescent="0.2">
      <c r="A26" s="51"/>
      <c r="B26" s="51"/>
      <c r="C26" s="52"/>
    </row>
  </sheetData>
  <mergeCells count="16">
    <mergeCell ref="C7:D7"/>
    <mergeCell ref="C5:D5"/>
    <mergeCell ref="B2:D3"/>
    <mergeCell ref="C6:D6"/>
    <mergeCell ref="C13:D13"/>
    <mergeCell ref="B19:B24"/>
    <mergeCell ref="C8:D8"/>
    <mergeCell ref="C12:D12"/>
    <mergeCell ref="C11:D11"/>
    <mergeCell ref="C9:D10"/>
    <mergeCell ref="C14:D14"/>
    <mergeCell ref="C15:D15"/>
    <mergeCell ref="C18:D18"/>
    <mergeCell ref="B16:B17"/>
    <mergeCell ref="B9:B10"/>
    <mergeCell ref="B12:B1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Parâmetros!$A$2:$A$8</xm:f>
          </x14:formula1>
          <xm:sqref>C6</xm:sqref>
        </x14:dataValidation>
        <x14:dataValidation type="list" allowBlank="1">
          <x14:formula1>
            <xm:f>Parâmetros!$B$2:$B$8</xm:f>
          </x14:formula1>
          <xm:sqref>C7:C8</xm:sqref>
        </x14:dataValidation>
        <x14:dataValidation type="list" allowBlank="1">
          <x14:formula1>
            <xm:f>Parâmetros!$D$2:$D$8</xm:f>
          </x14:formula1>
          <xm:sqref>D19:D24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C47D"/>
  </sheetPr>
  <dimension ref="B2:J20"/>
  <sheetViews>
    <sheetView showGridLines="0" workbookViewId="0"/>
  </sheetViews>
  <sheetFormatPr defaultColWidth="14.42578125" defaultRowHeight="15.75" customHeight="1" x14ac:dyDescent="0.2"/>
  <cols>
    <col min="1" max="1" width="3.7109375" customWidth="1"/>
    <col min="2" max="2" width="49.28515625" customWidth="1"/>
    <col min="3" max="3" width="10.42578125" customWidth="1"/>
    <col min="4" max="4" width="14.5703125" customWidth="1"/>
    <col min="5" max="5" width="20.5703125" customWidth="1"/>
    <col min="6" max="6" width="16.5703125" customWidth="1"/>
    <col min="8" max="8" width="13.28515625" customWidth="1"/>
    <col min="9" max="9" width="10.5703125" customWidth="1"/>
    <col min="10" max="10" width="37.28515625" customWidth="1"/>
    <col min="11" max="11" width="5" customWidth="1"/>
  </cols>
  <sheetData>
    <row r="2" spans="2:10" ht="26.25" customHeight="1" x14ac:dyDescent="0.2">
      <c r="B2" s="7" t="s">
        <v>3</v>
      </c>
      <c r="C2" s="7" t="s">
        <v>5</v>
      </c>
      <c r="D2" s="7" t="s">
        <v>6</v>
      </c>
      <c r="E2" s="7" t="s">
        <v>7</v>
      </c>
      <c r="F2" s="7" t="s">
        <v>8</v>
      </c>
      <c r="G2" s="13" t="s">
        <v>9</v>
      </c>
      <c r="H2" s="7" t="s">
        <v>18</v>
      </c>
      <c r="I2" s="7" t="s">
        <v>19</v>
      </c>
      <c r="J2" s="16" t="s">
        <v>20</v>
      </c>
    </row>
    <row r="3" spans="2:10" ht="12.75" x14ac:dyDescent="0.2">
      <c r="B3" s="17" t="str">
        <f>'5W2H'!C19</f>
        <v>Ação #01</v>
      </c>
      <c r="C3" s="18">
        <v>42935</v>
      </c>
      <c r="D3" s="18">
        <v>42946</v>
      </c>
      <c r="E3" s="19" t="s">
        <v>23</v>
      </c>
      <c r="F3" s="19" t="s">
        <v>25</v>
      </c>
      <c r="G3" s="19" t="s">
        <v>26</v>
      </c>
      <c r="H3" s="18">
        <v>42963</v>
      </c>
      <c r="I3" s="21">
        <f t="shared" ref="I3:I20" si="0">IFERROR(DATEDIF(D3,H3,"D"),0)</f>
        <v>17</v>
      </c>
      <c r="J3" s="22"/>
    </row>
    <row r="4" spans="2:10" ht="12.75" x14ac:dyDescent="0.2">
      <c r="B4" s="23" t="str">
        <f>'5W2H'!C20</f>
        <v>Ação #02</v>
      </c>
      <c r="C4" s="24">
        <v>42922</v>
      </c>
      <c r="D4" s="24">
        <v>42947</v>
      </c>
      <c r="E4" s="19" t="s">
        <v>27</v>
      </c>
      <c r="F4" s="19" t="s">
        <v>25</v>
      </c>
      <c r="G4" s="19" t="s">
        <v>28</v>
      </c>
      <c r="H4" s="24">
        <v>42970</v>
      </c>
      <c r="I4" s="21">
        <f t="shared" si="0"/>
        <v>23</v>
      </c>
      <c r="J4" s="25"/>
    </row>
    <row r="5" spans="2:10" ht="12.75" x14ac:dyDescent="0.2">
      <c r="B5" s="23" t="str">
        <f>'5W2H'!C21</f>
        <v>Ação #03</v>
      </c>
      <c r="C5" s="24">
        <v>42926</v>
      </c>
      <c r="D5" s="24">
        <v>42948</v>
      </c>
      <c r="E5" s="19" t="s">
        <v>23</v>
      </c>
      <c r="F5" s="19" t="s">
        <v>29</v>
      </c>
      <c r="G5" s="19" t="s">
        <v>30</v>
      </c>
      <c r="H5" s="24">
        <v>43025</v>
      </c>
      <c r="I5" s="21">
        <f t="shared" si="0"/>
        <v>77</v>
      </c>
      <c r="J5" s="25"/>
    </row>
    <row r="6" spans="2:10" ht="12.75" x14ac:dyDescent="0.2">
      <c r="B6" s="23" t="str">
        <f>'5W2H'!C22</f>
        <v>Ação #04</v>
      </c>
      <c r="C6" s="24">
        <v>42931</v>
      </c>
      <c r="D6" s="24">
        <v>42949</v>
      </c>
      <c r="E6" s="26" t="s">
        <v>31</v>
      </c>
      <c r="F6" s="19" t="s">
        <v>32</v>
      </c>
      <c r="G6" s="19" t="s">
        <v>26</v>
      </c>
      <c r="H6" s="24">
        <v>42990</v>
      </c>
      <c r="I6" s="21">
        <f t="shared" si="0"/>
        <v>41</v>
      </c>
      <c r="J6" s="25"/>
    </row>
    <row r="7" spans="2:10" ht="12.75" x14ac:dyDescent="0.2">
      <c r="B7" s="23" t="str">
        <f>'5W2H'!C23</f>
        <v>Ação #05</v>
      </c>
      <c r="C7" s="24">
        <v>42936</v>
      </c>
      <c r="D7" s="24">
        <v>42950</v>
      </c>
      <c r="E7" s="19" t="s">
        <v>23</v>
      </c>
      <c r="F7" s="19" t="s">
        <v>29</v>
      </c>
      <c r="G7" s="19" t="s">
        <v>30</v>
      </c>
      <c r="H7" s="24">
        <v>42972</v>
      </c>
      <c r="I7" s="21">
        <f t="shared" si="0"/>
        <v>22</v>
      </c>
      <c r="J7" s="25"/>
    </row>
    <row r="8" spans="2:10" ht="12.75" x14ac:dyDescent="0.2">
      <c r="B8" s="23" t="str">
        <f>'5W2H'!C24</f>
        <v>Ação #06</v>
      </c>
      <c r="C8" s="24">
        <v>42941</v>
      </c>
      <c r="D8" s="24">
        <v>42951</v>
      </c>
      <c r="E8" s="26" t="s">
        <v>33</v>
      </c>
      <c r="F8" s="19" t="s">
        <v>32</v>
      </c>
      <c r="G8" s="19" t="s">
        <v>34</v>
      </c>
      <c r="H8" s="24">
        <v>42967</v>
      </c>
      <c r="I8" s="21">
        <f t="shared" si="0"/>
        <v>16</v>
      </c>
      <c r="J8" s="25"/>
    </row>
    <row r="9" spans="2:10" ht="12.75" x14ac:dyDescent="0.2">
      <c r="B9" s="25"/>
      <c r="C9" s="25"/>
      <c r="D9" s="25"/>
      <c r="E9" s="25"/>
      <c r="F9" s="19"/>
      <c r="G9" s="19"/>
      <c r="H9" s="25"/>
      <c r="I9" s="21">
        <f t="shared" si="0"/>
        <v>0</v>
      </c>
      <c r="J9" s="25"/>
    </row>
    <row r="10" spans="2:10" ht="12.75" x14ac:dyDescent="0.2">
      <c r="B10" s="25"/>
      <c r="C10" s="25"/>
      <c r="D10" s="25"/>
      <c r="E10" s="25"/>
      <c r="F10" s="19"/>
      <c r="G10" s="19"/>
      <c r="H10" s="25"/>
      <c r="I10" s="21">
        <f t="shared" si="0"/>
        <v>0</v>
      </c>
      <c r="J10" s="25"/>
    </row>
    <row r="11" spans="2:10" ht="12.75" x14ac:dyDescent="0.2">
      <c r="B11" s="25"/>
      <c r="C11" s="25"/>
      <c r="D11" s="25"/>
      <c r="E11" s="25"/>
      <c r="F11" s="19"/>
      <c r="G11" s="19"/>
      <c r="H11" s="25"/>
      <c r="I11" s="21">
        <f t="shared" si="0"/>
        <v>0</v>
      </c>
      <c r="J11" s="25"/>
    </row>
    <row r="12" spans="2:10" ht="12.75" x14ac:dyDescent="0.2">
      <c r="B12" s="25"/>
      <c r="C12" s="25"/>
      <c r="D12" s="25"/>
      <c r="E12" s="25"/>
      <c r="F12" s="19"/>
      <c r="G12" s="19"/>
      <c r="H12" s="25"/>
      <c r="I12" s="21">
        <f t="shared" si="0"/>
        <v>0</v>
      </c>
      <c r="J12" s="25"/>
    </row>
    <row r="13" spans="2:10" ht="12.75" x14ac:dyDescent="0.2">
      <c r="B13" s="25"/>
      <c r="C13" s="25"/>
      <c r="D13" s="25"/>
      <c r="E13" s="25"/>
      <c r="F13" s="19"/>
      <c r="G13" s="19"/>
      <c r="H13" s="25"/>
      <c r="I13" s="21">
        <f t="shared" si="0"/>
        <v>0</v>
      </c>
      <c r="J13" s="25"/>
    </row>
    <row r="14" spans="2:10" ht="12.75" x14ac:dyDescent="0.2">
      <c r="B14" s="25"/>
      <c r="C14" s="25"/>
      <c r="D14" s="25"/>
      <c r="E14" s="25"/>
      <c r="F14" s="19"/>
      <c r="G14" s="19"/>
      <c r="H14" s="25"/>
      <c r="I14" s="21">
        <f t="shared" si="0"/>
        <v>0</v>
      </c>
      <c r="J14" s="25"/>
    </row>
    <row r="15" spans="2:10" ht="12.75" x14ac:dyDescent="0.2">
      <c r="B15" s="25"/>
      <c r="C15" s="25"/>
      <c r="D15" s="25"/>
      <c r="E15" s="25"/>
      <c r="F15" s="19"/>
      <c r="G15" s="19"/>
      <c r="H15" s="25"/>
      <c r="I15" s="21">
        <f t="shared" si="0"/>
        <v>0</v>
      </c>
      <c r="J15" s="25"/>
    </row>
    <row r="16" spans="2:10" ht="12.75" x14ac:dyDescent="0.2">
      <c r="B16" s="25"/>
      <c r="C16" s="25"/>
      <c r="D16" s="25"/>
      <c r="E16" s="25"/>
      <c r="F16" s="19"/>
      <c r="G16" s="19"/>
      <c r="H16" s="25"/>
      <c r="I16" s="21">
        <f t="shared" si="0"/>
        <v>0</v>
      </c>
      <c r="J16" s="25"/>
    </row>
    <row r="17" spans="2:10" ht="12.75" x14ac:dyDescent="0.2">
      <c r="B17" s="25"/>
      <c r="C17" s="25"/>
      <c r="D17" s="25"/>
      <c r="E17" s="25"/>
      <c r="F17" s="19"/>
      <c r="G17" s="19"/>
      <c r="H17" s="25"/>
      <c r="I17" s="21">
        <f t="shared" si="0"/>
        <v>0</v>
      </c>
      <c r="J17" s="25"/>
    </row>
    <row r="18" spans="2:10" ht="12.75" x14ac:dyDescent="0.2">
      <c r="B18" s="25"/>
      <c r="C18" s="25"/>
      <c r="D18" s="25"/>
      <c r="E18" s="25"/>
      <c r="F18" s="19"/>
      <c r="G18" s="19"/>
      <c r="H18" s="25"/>
      <c r="I18" s="21">
        <f t="shared" si="0"/>
        <v>0</v>
      </c>
      <c r="J18" s="25"/>
    </row>
    <row r="19" spans="2:10" ht="12.75" x14ac:dyDescent="0.2">
      <c r="B19" s="25"/>
      <c r="C19" s="25"/>
      <c r="D19" s="25"/>
      <c r="E19" s="25"/>
      <c r="F19" s="19"/>
      <c r="G19" s="19"/>
      <c r="H19" s="25"/>
      <c r="I19" s="21">
        <f t="shared" si="0"/>
        <v>0</v>
      </c>
      <c r="J19" s="25"/>
    </row>
    <row r="20" spans="2:10" ht="12.75" x14ac:dyDescent="0.2">
      <c r="B20" s="25"/>
      <c r="C20" s="25"/>
      <c r="D20" s="25"/>
      <c r="E20" s="25"/>
      <c r="F20" s="19"/>
      <c r="G20" s="19"/>
      <c r="H20" s="25"/>
      <c r="I20" s="21">
        <f t="shared" si="0"/>
        <v>0</v>
      </c>
      <c r="J20" s="25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Parâmetros!$C$2:$C$8</xm:f>
          </x14:formula1>
          <xm:sqref>F3:F20</xm:sqref>
        </x14:dataValidation>
        <x14:dataValidation type="list" allowBlank="1">
          <x14:formula1>
            <xm:f>Parâmetros!$E$2:$E$8</xm:f>
          </x14:formula1>
          <xm:sqref>G3:G20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00"/>
  </sheetPr>
  <dimension ref="A1:M21"/>
  <sheetViews>
    <sheetView showGridLines="0" workbookViewId="0"/>
  </sheetViews>
  <sheetFormatPr defaultColWidth="14.42578125" defaultRowHeight="15.75" customHeight="1" x14ac:dyDescent="0.2"/>
  <cols>
    <col min="1" max="1" width="2.5703125" customWidth="1"/>
    <col min="14" max="14" width="7.140625" customWidth="1"/>
  </cols>
  <sheetData>
    <row r="1" spans="1:13" ht="12.75" x14ac:dyDescent="0.2">
      <c r="A1" s="34"/>
      <c r="B1" s="76" t="s">
        <v>42</v>
      </c>
      <c r="C1" s="78" t="str">
        <f>'5W2H'!C5</f>
        <v>Nome do seu projeto</v>
      </c>
      <c r="D1" s="79"/>
      <c r="E1" s="79"/>
      <c r="F1" s="79"/>
      <c r="G1" s="79"/>
      <c r="H1" s="79"/>
      <c r="I1" s="79"/>
      <c r="J1" s="79"/>
      <c r="K1" s="79"/>
      <c r="L1" s="79"/>
      <c r="M1" s="80"/>
    </row>
    <row r="2" spans="1:13" ht="32.25" customHeight="1" x14ac:dyDescent="0.2">
      <c r="A2" s="34"/>
      <c r="B2" s="77"/>
      <c r="C2" s="81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1:13" ht="39" customHeight="1" x14ac:dyDescent="0.2">
      <c r="A3" s="45"/>
      <c r="B3" s="75" t="s">
        <v>26</v>
      </c>
      <c r="C3" s="69"/>
      <c r="D3" s="69"/>
      <c r="E3" s="74" t="s">
        <v>28</v>
      </c>
      <c r="F3" s="69"/>
      <c r="G3" s="70"/>
      <c r="H3" s="73" t="s">
        <v>30</v>
      </c>
      <c r="I3" s="69"/>
      <c r="J3" s="70"/>
      <c r="K3" s="85" t="s">
        <v>34</v>
      </c>
      <c r="L3" s="69"/>
      <c r="M3" s="70"/>
    </row>
    <row r="4" spans="1:13" ht="12.75" x14ac:dyDescent="0.2">
      <c r="A4" s="3"/>
      <c r="B4" s="71" t="str">
        <f>IF('Plano de Ação'!$G3=$B$3,'Plano de Ação'!$B3," ")</f>
        <v>Ação #01</v>
      </c>
      <c r="C4" s="67"/>
      <c r="D4" s="72"/>
      <c r="E4" s="71" t="str">
        <f>IF('Plano de Ação'!$G3=$E$3,'Plano de Ação'!$B3," ")</f>
        <v xml:space="preserve"> </v>
      </c>
      <c r="F4" s="67"/>
      <c r="G4" s="72"/>
      <c r="H4" s="71" t="str">
        <f>IF('Plano de Ação'!$G3=$H$3,'Plano de Ação'!$B3," ")</f>
        <v xml:space="preserve"> </v>
      </c>
      <c r="I4" s="67"/>
      <c r="J4" s="72"/>
      <c r="K4" s="71" t="str">
        <f>IF('Plano de Ação'!$G3=$K$3,'Plano de Ação'!$B3," ")</f>
        <v xml:space="preserve"> </v>
      </c>
      <c r="L4" s="67"/>
      <c r="M4" s="72"/>
    </row>
    <row r="5" spans="1:13" ht="12.75" x14ac:dyDescent="0.2">
      <c r="A5" s="3"/>
      <c r="B5" s="71" t="str">
        <f>IF('Plano de Ação'!$G4=$B$3,'Plano de Ação'!$B4," ")</f>
        <v xml:space="preserve"> </v>
      </c>
      <c r="C5" s="67"/>
      <c r="D5" s="72"/>
      <c r="E5" s="71" t="str">
        <f>IF('Plano de Ação'!$G4=$E$3,'Plano de Ação'!$B4," ")</f>
        <v>Ação #02</v>
      </c>
      <c r="F5" s="67"/>
      <c r="G5" s="72"/>
      <c r="H5" s="71" t="str">
        <f>IF('Plano de Ação'!$G4=$H$3,'Plano de Ação'!$B4," ")</f>
        <v xml:space="preserve"> </v>
      </c>
      <c r="I5" s="67"/>
      <c r="J5" s="72"/>
      <c r="K5" s="71" t="str">
        <f>IF('Plano de Ação'!$G4=$K$3,'Plano de Ação'!$B4," ")</f>
        <v xml:space="preserve"> </v>
      </c>
      <c r="L5" s="67"/>
      <c r="M5" s="72"/>
    </row>
    <row r="6" spans="1:13" ht="12.75" x14ac:dyDescent="0.2">
      <c r="A6" s="3"/>
      <c r="B6" s="71" t="str">
        <f>IF('Plano de Ação'!$G5=$B$3,'Plano de Ação'!$B5," ")</f>
        <v xml:space="preserve"> </v>
      </c>
      <c r="C6" s="67"/>
      <c r="D6" s="72"/>
      <c r="E6" s="71" t="str">
        <f>IF('Plano de Ação'!$G5=$E$3,'Plano de Ação'!$B5," ")</f>
        <v xml:space="preserve"> </v>
      </c>
      <c r="F6" s="67"/>
      <c r="G6" s="72"/>
      <c r="H6" s="71" t="str">
        <f>IF('Plano de Ação'!$G5=$H$3,'Plano de Ação'!$B5," ")</f>
        <v>Ação #03</v>
      </c>
      <c r="I6" s="67"/>
      <c r="J6" s="72"/>
      <c r="K6" s="71" t="str">
        <f>IF('Plano de Ação'!$G5=$K$3,'Plano de Ação'!$B5," ")</f>
        <v xml:space="preserve"> </v>
      </c>
      <c r="L6" s="67"/>
      <c r="M6" s="72"/>
    </row>
    <row r="7" spans="1:13" ht="12.75" x14ac:dyDescent="0.2">
      <c r="A7" s="3"/>
      <c r="B7" s="71" t="str">
        <f>IF('Plano de Ação'!$G6=$B$3,'Plano de Ação'!$B6," ")</f>
        <v>Ação #04</v>
      </c>
      <c r="C7" s="67"/>
      <c r="D7" s="72"/>
      <c r="E7" s="71" t="str">
        <f>IF('Plano de Ação'!$G6=$E$3,'Plano de Ação'!$B6," ")</f>
        <v xml:space="preserve"> </v>
      </c>
      <c r="F7" s="67"/>
      <c r="G7" s="72"/>
      <c r="H7" s="71" t="str">
        <f>IF('Plano de Ação'!$G6=$H$3,'Plano de Ação'!$B6," ")</f>
        <v xml:space="preserve"> </v>
      </c>
      <c r="I7" s="67"/>
      <c r="J7" s="72"/>
      <c r="K7" s="71" t="str">
        <f>IF('Plano de Ação'!$G6=$K$3,'Plano de Ação'!$B6," ")</f>
        <v xml:space="preserve"> </v>
      </c>
      <c r="L7" s="67"/>
      <c r="M7" s="72"/>
    </row>
    <row r="8" spans="1:13" ht="12.75" x14ac:dyDescent="0.2">
      <c r="A8" s="3"/>
      <c r="B8" s="71" t="str">
        <f>IF('Plano de Ação'!$G7=$B$3,'Plano de Ação'!$B7," ")</f>
        <v xml:space="preserve"> </v>
      </c>
      <c r="C8" s="67"/>
      <c r="D8" s="72"/>
      <c r="E8" s="71" t="str">
        <f>IF('Plano de Ação'!$G7=$E$3,'Plano de Ação'!$B7," ")</f>
        <v xml:space="preserve"> </v>
      </c>
      <c r="F8" s="67"/>
      <c r="G8" s="72"/>
      <c r="H8" s="71" t="str">
        <f>IF('Plano de Ação'!$G7=$H$3,'Plano de Ação'!$B7," ")</f>
        <v>Ação #05</v>
      </c>
      <c r="I8" s="67"/>
      <c r="J8" s="72"/>
      <c r="K8" s="71" t="str">
        <f>IF('Plano de Ação'!$G7=$K$3,'Plano de Ação'!$B7," ")</f>
        <v xml:space="preserve"> </v>
      </c>
      <c r="L8" s="67"/>
      <c r="M8" s="72"/>
    </row>
    <row r="9" spans="1:13" ht="12.75" x14ac:dyDescent="0.2">
      <c r="A9" s="3"/>
      <c r="B9" s="71" t="str">
        <f>IF('Plano de Ação'!$G8=$B$3,'Plano de Ação'!$B8," ")</f>
        <v xml:space="preserve"> </v>
      </c>
      <c r="C9" s="67"/>
      <c r="D9" s="72"/>
      <c r="E9" s="71" t="str">
        <f>IF('Plano de Ação'!$G8=$E$3,'Plano de Ação'!$B8," ")</f>
        <v xml:space="preserve"> </v>
      </c>
      <c r="F9" s="67"/>
      <c r="G9" s="72"/>
      <c r="H9" s="71" t="str">
        <f>IF('Plano de Ação'!$G8=$H$3,'Plano de Ação'!$B8," ")</f>
        <v xml:space="preserve"> </v>
      </c>
      <c r="I9" s="67"/>
      <c r="J9" s="72"/>
      <c r="K9" s="71" t="str">
        <f>IF('Plano de Ação'!$G8=$K$3,'Plano de Ação'!$B8," ")</f>
        <v>Ação #06</v>
      </c>
      <c r="L9" s="67"/>
      <c r="M9" s="72"/>
    </row>
    <row r="10" spans="1:13" ht="12.75" x14ac:dyDescent="0.2">
      <c r="A10" s="3"/>
      <c r="B10" s="71" t="str">
        <f>IF('Plano de Ação'!$G9=$B$3,'Plano de Ação'!$B9," ")</f>
        <v xml:space="preserve"> </v>
      </c>
      <c r="C10" s="67"/>
      <c r="D10" s="72"/>
      <c r="E10" s="71" t="str">
        <f>IF('Plano de Ação'!$G9=$E$3,'Plano de Ação'!$B9," ")</f>
        <v xml:space="preserve"> </v>
      </c>
      <c r="F10" s="67"/>
      <c r="G10" s="72"/>
      <c r="H10" s="71" t="str">
        <f>IF('Plano de Ação'!$G9=$H$3,'Plano de Ação'!$B9," ")</f>
        <v xml:space="preserve"> </v>
      </c>
      <c r="I10" s="67"/>
      <c r="J10" s="72"/>
      <c r="K10" s="71" t="str">
        <f>IF('Plano de Ação'!$G9=$K$3,'Plano de Ação'!$B9," ")</f>
        <v xml:space="preserve"> </v>
      </c>
      <c r="L10" s="67"/>
      <c r="M10" s="72"/>
    </row>
    <row r="11" spans="1:13" ht="12.75" x14ac:dyDescent="0.2">
      <c r="A11" s="3"/>
      <c r="B11" s="71" t="str">
        <f>IF('Plano de Ação'!$G10=$B$3,'Plano de Ação'!$B10," ")</f>
        <v xml:space="preserve"> </v>
      </c>
      <c r="C11" s="67"/>
      <c r="D11" s="72"/>
      <c r="E11" s="71" t="str">
        <f>IF('Plano de Ação'!$G10=$E$3,'Plano de Ação'!$B10," ")</f>
        <v xml:space="preserve"> </v>
      </c>
      <c r="F11" s="67"/>
      <c r="G11" s="72"/>
      <c r="H11" s="71" t="str">
        <f>IF('Plano de Ação'!$G10=$H$3,'Plano de Ação'!$B10," ")</f>
        <v xml:space="preserve"> </v>
      </c>
      <c r="I11" s="67"/>
      <c r="J11" s="72"/>
      <c r="K11" s="71" t="str">
        <f>IF('Plano de Ação'!$G10=$K$3,'Plano de Ação'!$B10," ")</f>
        <v xml:space="preserve"> </v>
      </c>
      <c r="L11" s="67"/>
      <c r="M11" s="72"/>
    </row>
    <row r="12" spans="1:13" ht="12.75" x14ac:dyDescent="0.2">
      <c r="A12" s="3"/>
      <c r="B12" s="71" t="str">
        <f>IF('Plano de Ação'!$G11=$B$3,'Plano de Ação'!$B11," ")</f>
        <v xml:space="preserve"> </v>
      </c>
      <c r="C12" s="67"/>
      <c r="D12" s="72"/>
      <c r="E12" s="71" t="str">
        <f>IF('Plano de Ação'!$G11=$E$3,'Plano de Ação'!$B11," ")</f>
        <v xml:space="preserve"> </v>
      </c>
      <c r="F12" s="67"/>
      <c r="G12" s="72"/>
      <c r="H12" s="71" t="str">
        <f>IF('Plano de Ação'!$G11=$H$3,'Plano de Ação'!$B11," ")</f>
        <v xml:space="preserve"> </v>
      </c>
      <c r="I12" s="67"/>
      <c r="J12" s="72"/>
      <c r="K12" s="71" t="str">
        <f>IF('Plano de Ação'!$G11=$K$3,'Plano de Ação'!$B11," ")</f>
        <v xml:space="preserve"> </v>
      </c>
      <c r="L12" s="67"/>
      <c r="M12" s="72"/>
    </row>
    <row r="13" spans="1:13" ht="12.75" x14ac:dyDescent="0.2">
      <c r="A13" s="3"/>
      <c r="B13" s="71" t="str">
        <f>IF('Plano de Ação'!$G12=$B$3,'Plano de Ação'!$B12," ")</f>
        <v xml:space="preserve"> </v>
      </c>
      <c r="C13" s="67"/>
      <c r="D13" s="72"/>
      <c r="E13" s="71" t="str">
        <f>IF('Plano de Ação'!$G12=$E$3,'Plano de Ação'!$B12," ")</f>
        <v xml:space="preserve"> </v>
      </c>
      <c r="F13" s="67"/>
      <c r="G13" s="72"/>
      <c r="H13" s="71" t="str">
        <f>IF('Plano de Ação'!$G12=$H$3,'Plano de Ação'!$B12," ")</f>
        <v xml:space="preserve"> </v>
      </c>
      <c r="I13" s="67"/>
      <c r="J13" s="72"/>
      <c r="K13" s="71" t="str">
        <f>IF('Plano de Ação'!$G12=$K$3,'Plano de Ação'!$B12," ")</f>
        <v xml:space="preserve"> </v>
      </c>
      <c r="L13" s="67"/>
      <c r="M13" s="72"/>
    </row>
    <row r="14" spans="1:13" ht="12.75" x14ac:dyDescent="0.2">
      <c r="A14" s="3"/>
      <c r="B14" s="71" t="str">
        <f>IF('Plano de Ação'!$G13=$B$3,'Plano de Ação'!$B13," ")</f>
        <v xml:space="preserve"> </v>
      </c>
      <c r="C14" s="67"/>
      <c r="D14" s="72"/>
      <c r="E14" s="71" t="str">
        <f>IF('Plano de Ação'!$G13=$E$3,'Plano de Ação'!$B13," ")</f>
        <v xml:space="preserve"> </v>
      </c>
      <c r="F14" s="67"/>
      <c r="G14" s="72"/>
      <c r="H14" s="71" t="str">
        <f>IF('Plano de Ação'!$G13=$H$3,'Plano de Ação'!$B13," ")</f>
        <v xml:space="preserve"> </v>
      </c>
      <c r="I14" s="67"/>
      <c r="J14" s="72"/>
      <c r="K14" s="71" t="str">
        <f>IF('Plano de Ação'!$G13=$K$3,'Plano de Ação'!$B13," ")</f>
        <v xml:space="preserve"> </v>
      </c>
      <c r="L14" s="67"/>
      <c r="M14" s="72"/>
    </row>
    <row r="15" spans="1:13" ht="12.75" x14ac:dyDescent="0.2">
      <c r="A15" s="3"/>
      <c r="B15" s="71" t="str">
        <f>IF('Plano de Ação'!$G14=$B$3,'Plano de Ação'!$B14," ")</f>
        <v xml:space="preserve"> </v>
      </c>
      <c r="C15" s="67"/>
      <c r="D15" s="72"/>
      <c r="E15" s="71" t="str">
        <f>IF('Plano de Ação'!$G14=$E$3,'Plano de Ação'!$B14," ")</f>
        <v xml:space="preserve"> </v>
      </c>
      <c r="F15" s="67"/>
      <c r="G15" s="72"/>
      <c r="H15" s="71" t="str">
        <f>IF('Plano de Ação'!$G14=$H$3,'Plano de Ação'!$B14," ")</f>
        <v xml:space="preserve"> </v>
      </c>
      <c r="I15" s="67"/>
      <c r="J15" s="72"/>
      <c r="K15" s="71" t="str">
        <f>IF('Plano de Ação'!$G14=$K$3,'Plano de Ação'!$B14," ")</f>
        <v xml:space="preserve"> </v>
      </c>
      <c r="L15" s="67"/>
      <c r="M15" s="72"/>
    </row>
    <row r="16" spans="1:13" ht="12.75" x14ac:dyDescent="0.2">
      <c r="A16" s="3"/>
      <c r="B16" s="71" t="str">
        <f>IF('Plano de Ação'!$G15=$B$3,'Plano de Ação'!$B15," ")</f>
        <v xml:space="preserve"> </v>
      </c>
      <c r="C16" s="67"/>
      <c r="D16" s="72"/>
      <c r="E16" s="71" t="str">
        <f>IF('Plano de Ação'!$G15=$E$3,'Plano de Ação'!$B15," ")</f>
        <v xml:space="preserve"> </v>
      </c>
      <c r="F16" s="67"/>
      <c r="G16" s="72"/>
      <c r="H16" s="71" t="str">
        <f>IF('Plano de Ação'!$G15=$H$3,'Plano de Ação'!$B15," ")</f>
        <v xml:space="preserve"> </v>
      </c>
      <c r="I16" s="67"/>
      <c r="J16" s="72"/>
      <c r="K16" s="71" t="str">
        <f>IF('Plano de Ação'!$G15=$K$3,'Plano de Ação'!$B15," ")</f>
        <v xml:space="preserve"> </v>
      </c>
      <c r="L16" s="67"/>
      <c r="M16" s="72"/>
    </row>
    <row r="17" spans="1:13" ht="12.75" x14ac:dyDescent="0.2">
      <c r="A17" s="3"/>
      <c r="B17" s="71" t="str">
        <f>IF('Plano de Ação'!$G16=$B$3,'Plano de Ação'!$B16," ")</f>
        <v xml:space="preserve"> </v>
      </c>
      <c r="C17" s="67"/>
      <c r="D17" s="72"/>
      <c r="E17" s="71" t="str">
        <f>IF('Plano de Ação'!$G16=$E$3,'Plano de Ação'!$B16," ")</f>
        <v xml:space="preserve"> </v>
      </c>
      <c r="F17" s="67"/>
      <c r="G17" s="72"/>
      <c r="H17" s="71" t="str">
        <f>IF('Plano de Ação'!$G16=$H$3,'Plano de Ação'!$B16," ")</f>
        <v xml:space="preserve"> </v>
      </c>
      <c r="I17" s="67"/>
      <c r="J17" s="72"/>
      <c r="K17" s="71" t="str">
        <f>IF('Plano de Ação'!$G16=$K$3,'Plano de Ação'!$B16," ")</f>
        <v xml:space="preserve"> </v>
      </c>
      <c r="L17" s="67"/>
      <c r="M17" s="72"/>
    </row>
    <row r="18" spans="1:13" ht="12.75" x14ac:dyDescent="0.2">
      <c r="A18" s="3"/>
      <c r="B18" s="71" t="str">
        <f>IF('Plano de Ação'!$G17=$B$3,'Plano de Ação'!$B17," ")</f>
        <v xml:space="preserve"> </v>
      </c>
      <c r="C18" s="67"/>
      <c r="D18" s="72"/>
      <c r="E18" s="71" t="str">
        <f>IF('Plano de Ação'!$G17=$E$3,'Plano de Ação'!$B17," ")</f>
        <v xml:space="preserve"> </v>
      </c>
      <c r="F18" s="67"/>
      <c r="G18" s="72"/>
      <c r="H18" s="71" t="str">
        <f>IF('Plano de Ação'!$G17=$H$3,'Plano de Ação'!$B17," ")</f>
        <v xml:space="preserve"> </v>
      </c>
      <c r="I18" s="67"/>
      <c r="J18" s="72"/>
      <c r="K18" s="71" t="str">
        <f>IF('Plano de Ação'!$G17=$K$3,'Plano de Ação'!$B17," ")</f>
        <v xml:space="preserve"> </v>
      </c>
      <c r="L18" s="67"/>
      <c r="M18" s="72"/>
    </row>
    <row r="19" spans="1:13" ht="12.75" x14ac:dyDescent="0.2">
      <c r="A19" s="3"/>
      <c r="B19" s="71" t="str">
        <f>IF('Plano de Ação'!$G18=$B$3,'Plano de Ação'!$B18," ")</f>
        <v xml:space="preserve"> </v>
      </c>
      <c r="C19" s="67"/>
      <c r="D19" s="72"/>
      <c r="E19" s="71" t="str">
        <f>IF('Plano de Ação'!$G18=$E$3,'Plano de Ação'!$B18," ")</f>
        <v xml:space="preserve"> </v>
      </c>
      <c r="F19" s="67"/>
      <c r="G19" s="72"/>
      <c r="H19" s="71" t="str">
        <f>IF('Plano de Ação'!$G18=$H$3,'Plano de Ação'!$B18," ")</f>
        <v xml:space="preserve"> </v>
      </c>
      <c r="I19" s="67"/>
      <c r="J19" s="72"/>
      <c r="K19" s="71" t="str">
        <f>IF('Plano de Ação'!$G18=$K$3,'Plano de Ação'!$B18," ")</f>
        <v xml:space="preserve"> </v>
      </c>
      <c r="L19" s="67"/>
      <c r="M19" s="72"/>
    </row>
    <row r="20" spans="1:13" ht="12.75" x14ac:dyDescent="0.2">
      <c r="A20" s="3"/>
      <c r="B20" s="84" t="str">
        <f>IF('Plano de Ação'!$G19=$B$3,'Plano de Ação'!$B19," ")</f>
        <v xml:space="preserve"> </v>
      </c>
      <c r="C20" s="69"/>
      <c r="D20" s="70"/>
      <c r="E20" s="69"/>
      <c r="F20" s="69"/>
      <c r="G20" s="70"/>
      <c r="H20" s="69"/>
      <c r="I20" s="69"/>
      <c r="J20" s="70"/>
      <c r="K20" s="69"/>
      <c r="L20" s="69"/>
      <c r="M20" s="70"/>
    </row>
    <row r="21" spans="1:13" ht="12.75" x14ac:dyDescent="0.2">
      <c r="A21" s="3"/>
    </row>
  </sheetData>
  <mergeCells count="74">
    <mergeCell ref="K15:M15"/>
    <mergeCell ref="K4:M4"/>
    <mergeCell ref="K3:M3"/>
    <mergeCell ref="K17:M17"/>
    <mergeCell ref="K16:M16"/>
    <mergeCell ref="K10:M10"/>
    <mergeCell ref="K11:M11"/>
    <mergeCell ref="K12:M12"/>
    <mergeCell ref="K13:M13"/>
    <mergeCell ref="K14:M14"/>
    <mergeCell ref="K5:M5"/>
    <mergeCell ref="K9:M9"/>
    <mergeCell ref="K8:M8"/>
    <mergeCell ref="K7:M7"/>
    <mergeCell ref="K6:M6"/>
    <mergeCell ref="K18:M18"/>
    <mergeCell ref="K19:M19"/>
    <mergeCell ref="K20:M20"/>
    <mergeCell ref="B17:D17"/>
    <mergeCell ref="B15:D15"/>
    <mergeCell ref="B16:D16"/>
    <mergeCell ref="B20:D20"/>
    <mergeCell ref="B18:D18"/>
    <mergeCell ref="B19:D19"/>
    <mergeCell ref="E16:G16"/>
    <mergeCell ref="E20:G20"/>
    <mergeCell ref="E19:G19"/>
    <mergeCell ref="E15:G15"/>
    <mergeCell ref="E17:G17"/>
    <mergeCell ref="E18:G18"/>
    <mergeCell ref="H15:J15"/>
    <mergeCell ref="B12:D12"/>
    <mergeCell ref="B13:D13"/>
    <mergeCell ref="B14:D14"/>
    <mergeCell ref="E13:G13"/>
    <mergeCell ref="E14:G14"/>
    <mergeCell ref="E12:G12"/>
    <mergeCell ref="B8:D8"/>
    <mergeCell ref="B9:D9"/>
    <mergeCell ref="B10:D10"/>
    <mergeCell ref="B11:D11"/>
    <mergeCell ref="B4:D4"/>
    <mergeCell ref="B3:D3"/>
    <mergeCell ref="B5:D5"/>
    <mergeCell ref="B1:B2"/>
    <mergeCell ref="B7:D7"/>
    <mergeCell ref="E7:G7"/>
    <mergeCell ref="C1:M2"/>
    <mergeCell ref="B6:D6"/>
    <mergeCell ref="E5:G5"/>
    <mergeCell ref="E4:G4"/>
    <mergeCell ref="H3:J3"/>
    <mergeCell ref="H5:J5"/>
    <mergeCell ref="H4:J4"/>
    <mergeCell ref="E3:G3"/>
    <mergeCell ref="H7:J7"/>
    <mergeCell ref="H6:J6"/>
    <mergeCell ref="H16:J16"/>
    <mergeCell ref="H9:J9"/>
    <mergeCell ref="E9:G9"/>
    <mergeCell ref="E10:G10"/>
    <mergeCell ref="E11:G11"/>
    <mergeCell ref="H10:J10"/>
    <mergeCell ref="H11:J11"/>
    <mergeCell ref="E8:G8"/>
    <mergeCell ref="H8:J8"/>
    <mergeCell ref="E6:G6"/>
    <mergeCell ref="H20:J20"/>
    <mergeCell ref="H19:J19"/>
    <mergeCell ref="H17:J17"/>
    <mergeCell ref="H18:J18"/>
    <mergeCell ref="H12:J12"/>
    <mergeCell ref="H13:J13"/>
    <mergeCell ref="H14:J1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showGridLines="0" workbookViewId="0"/>
  </sheetViews>
  <sheetFormatPr defaultColWidth="14.42578125" defaultRowHeight="15.75" customHeight="1" x14ac:dyDescent="0.2"/>
  <cols>
    <col min="1" max="1" width="13.7109375" customWidth="1"/>
    <col min="2" max="2" width="21.7109375" customWidth="1"/>
    <col min="3" max="3" width="14.7109375" customWidth="1"/>
    <col min="4" max="4" width="20.42578125" customWidth="1"/>
  </cols>
  <sheetData>
    <row r="1" spans="1:5" ht="15.75" customHeight="1" x14ac:dyDescent="0.2">
      <c r="A1" s="35" t="s">
        <v>9</v>
      </c>
      <c r="B1" s="35" t="s">
        <v>43</v>
      </c>
      <c r="C1" s="35" t="s">
        <v>44</v>
      </c>
      <c r="D1" s="35" t="s">
        <v>45</v>
      </c>
      <c r="E1" s="35" t="s">
        <v>46</v>
      </c>
    </row>
    <row r="2" spans="1:5" ht="15.75" customHeight="1" x14ac:dyDescent="0.2">
      <c r="A2" s="36" t="s">
        <v>47</v>
      </c>
      <c r="B2" s="37" t="s">
        <v>48</v>
      </c>
      <c r="C2" s="37" t="s">
        <v>25</v>
      </c>
      <c r="D2" s="37" t="s">
        <v>49</v>
      </c>
      <c r="E2" s="38" t="s">
        <v>26</v>
      </c>
    </row>
    <row r="3" spans="1:5" ht="15.75" customHeight="1" x14ac:dyDescent="0.2">
      <c r="A3" s="36" t="s">
        <v>35</v>
      </c>
      <c r="B3" s="37" t="s">
        <v>50</v>
      </c>
      <c r="C3" s="37" t="s">
        <v>29</v>
      </c>
      <c r="D3" s="37" t="s">
        <v>51</v>
      </c>
      <c r="E3" s="38" t="s">
        <v>28</v>
      </c>
    </row>
    <row r="4" spans="1:5" ht="15.75" customHeight="1" x14ac:dyDescent="0.2">
      <c r="A4" s="36" t="s">
        <v>52</v>
      </c>
      <c r="B4" s="37" t="s">
        <v>38</v>
      </c>
      <c r="C4" s="37" t="s">
        <v>53</v>
      </c>
      <c r="D4" s="37" t="s">
        <v>52</v>
      </c>
      <c r="E4" s="38" t="s">
        <v>30</v>
      </c>
    </row>
    <row r="5" spans="1:5" ht="15.75" customHeight="1" x14ac:dyDescent="0.2">
      <c r="A5" s="39"/>
      <c r="C5" s="37" t="s">
        <v>32</v>
      </c>
      <c r="D5" s="37" t="s">
        <v>54</v>
      </c>
      <c r="E5" s="38" t="s">
        <v>34</v>
      </c>
    </row>
    <row r="6" spans="1:5" ht="15.75" customHeight="1" x14ac:dyDescent="0.2">
      <c r="A6" s="39"/>
      <c r="C6" s="37" t="s">
        <v>55</v>
      </c>
      <c r="D6" s="37" t="s">
        <v>56</v>
      </c>
      <c r="E6" s="40"/>
    </row>
    <row r="7" spans="1:5" ht="15.75" customHeight="1" x14ac:dyDescent="0.2">
      <c r="A7" s="39"/>
      <c r="C7" s="37" t="s">
        <v>57</v>
      </c>
      <c r="E7" s="40"/>
    </row>
    <row r="8" spans="1:5" ht="15.75" customHeight="1" x14ac:dyDescent="0.2">
      <c r="A8" s="41"/>
      <c r="B8" s="42"/>
      <c r="C8" s="43" t="s">
        <v>58</v>
      </c>
      <c r="D8" s="42"/>
      <c r="E8" s="4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Instruções</vt:lpstr>
      <vt:lpstr>5W2H</vt:lpstr>
      <vt:lpstr>Plano de Ação</vt:lpstr>
      <vt:lpstr>Kanban</vt:lpstr>
      <vt:lpstr>Parâmetros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Alves de Lima</cp:lastModifiedBy>
  <dcterms:modified xsi:type="dcterms:W3CDTF">2017-08-19T02:02:44Z</dcterms:modified>
</cp:coreProperties>
</file>