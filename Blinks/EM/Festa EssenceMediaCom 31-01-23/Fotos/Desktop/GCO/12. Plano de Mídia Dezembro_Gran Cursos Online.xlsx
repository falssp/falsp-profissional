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ires\Desktop\"/>
    </mc:Choice>
  </mc:AlternateContent>
  <xr:revisionPtr revIDLastSave="0" documentId="13_ncr:1_{55C90166-7CDB-400C-BF09-82A2EA1178FE}" xr6:coauthVersionLast="47" xr6:coauthVersionMax="47" xr10:uidLastSave="{00000000-0000-0000-0000-000000000000}"/>
  <bookViews>
    <workbookView xWindow="-120" yWindow="-120" windowWidth="20730" windowHeight="11160" tabRatio="599" xr2:uid="{999F0F93-E428-4F31-991D-4BCF0AC094A3}"/>
  </bookViews>
  <sheets>
    <sheet name="Resumo" sheetId="6" r:id="rId1"/>
    <sheet name="Projeções Dezembro_2021" sheetId="4" r:id="rId2"/>
    <sheet name="Planilha1" sheetId="12" r:id="rId3"/>
    <sheet name="PROPOSTA 170K" sheetId="10" state="hidden" r:id="rId4"/>
    <sheet name="Tático" sheetId="11" state="hidden" r:id="rId5"/>
    <sheet name="2017" sheetId="5" state="hidden" r:id="rId6"/>
  </sheets>
  <externalReferences>
    <externalReference r:id="rId7"/>
  </externalReferences>
  <definedNames>
    <definedName name="_xlnm._FilterDatabase" localSheetId="1" hidden="1">'Projeções Dezembro_2021'!$A$7:$S$59</definedName>
    <definedName name="_xlnm._FilterDatabase" localSheetId="3" hidden="1">'PROPOSTA 170K'!$B$9:$L$9</definedName>
    <definedName name="_xlnm.Print_Area" localSheetId="3">'PROPOSTA 170K'!$B$1:$L$44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5" i="4" l="1"/>
  <c r="M54" i="4"/>
  <c r="M51" i="4"/>
  <c r="G55" i="4" l="1"/>
  <c r="D34" i="6"/>
  <c r="D39" i="6"/>
  <c r="L24" i="4"/>
  <c r="K24" i="4"/>
  <c r="G24" i="4"/>
  <c r="M24" i="4" s="1"/>
  <c r="R24" i="4" s="1"/>
  <c r="O24" i="4" s="1"/>
  <c r="L29" i="4"/>
  <c r="L28" i="4"/>
  <c r="D32" i="6"/>
  <c r="D33" i="6"/>
  <c r="S31" i="4"/>
  <c r="S33" i="4"/>
  <c r="S34" i="4"/>
  <c r="S35" i="4"/>
  <c r="K31" i="4"/>
  <c r="K32" i="4"/>
  <c r="K33" i="4"/>
  <c r="K34" i="4"/>
  <c r="K35" i="4"/>
  <c r="G35" i="4"/>
  <c r="M35" i="4" s="1"/>
  <c r="R35" i="4" s="1"/>
  <c r="G34" i="4"/>
  <c r="M34" i="4" s="1"/>
  <c r="R34" i="4" s="1"/>
  <c r="G33" i="4"/>
  <c r="M33" i="4" s="1"/>
  <c r="R33" i="4" s="1"/>
  <c r="G32" i="4"/>
  <c r="L32" i="4" s="1"/>
  <c r="G31" i="4"/>
  <c r="M31" i="4" s="1"/>
  <c r="R31" i="4" s="1"/>
  <c r="Q31" i="4" s="1"/>
  <c r="R55" i="4" l="1"/>
  <c r="O55" i="4" s="1"/>
  <c r="S55" i="4" s="1"/>
  <c r="L55" i="4"/>
  <c r="S24" i="4"/>
  <c r="L33" i="4"/>
  <c r="L35" i="4"/>
  <c r="L34" i="4"/>
  <c r="M32" i="4"/>
  <c r="R32" i="4" s="1"/>
  <c r="O32" i="4" s="1"/>
  <c r="Q32" i="4" s="1"/>
  <c r="L31" i="4"/>
  <c r="S32" i="4" l="1"/>
  <c r="G51" i="4"/>
  <c r="L51" i="4" l="1"/>
  <c r="L43" i="4"/>
  <c r="G30" i="4"/>
  <c r="M30" i="4" s="1"/>
  <c r="R30" i="4" s="1"/>
  <c r="O30" i="4" s="1"/>
  <c r="Q30" i="4" s="1"/>
  <c r="D45" i="4"/>
  <c r="D59" i="4"/>
  <c r="G22" i="4"/>
  <c r="M22" i="4" s="1"/>
  <c r="R22" i="4" s="1"/>
  <c r="O22" i="4" s="1"/>
  <c r="S22" i="4" s="1"/>
  <c r="G23" i="4"/>
  <c r="M23" i="4" s="1"/>
  <c r="R23" i="4" s="1"/>
  <c r="O23" i="4" s="1"/>
  <c r="S23" i="4" s="1"/>
  <c r="G25" i="4"/>
  <c r="G26" i="4"/>
  <c r="M26" i="4" s="1"/>
  <c r="R26" i="4" s="1"/>
  <c r="O26" i="4" s="1"/>
  <c r="K22" i="4"/>
  <c r="K23" i="4"/>
  <c r="G52" i="4"/>
  <c r="M52" i="4" s="1"/>
  <c r="G53" i="4"/>
  <c r="M53" i="4" s="1"/>
  <c r="G54" i="4"/>
  <c r="G56" i="4"/>
  <c r="G57" i="4"/>
  <c r="L57" i="4" s="1"/>
  <c r="I57" i="4" s="1"/>
  <c r="G58" i="4"/>
  <c r="M58" i="4" s="1"/>
  <c r="R58" i="4" s="1"/>
  <c r="O58" i="4" s="1"/>
  <c r="S58" i="4" s="1"/>
  <c r="G49" i="4"/>
  <c r="M49" i="4" s="1"/>
  <c r="R49" i="4" s="1"/>
  <c r="O49" i="4" s="1"/>
  <c r="S49" i="4" s="1"/>
  <c r="G48" i="4"/>
  <c r="M48" i="4" s="1"/>
  <c r="R48" i="4" s="1"/>
  <c r="O48" i="4" s="1"/>
  <c r="S48" i="4" s="1"/>
  <c r="G46" i="4"/>
  <c r="L46" i="4" s="1"/>
  <c r="G38" i="4"/>
  <c r="M38" i="4" s="1"/>
  <c r="R38" i="4" s="1"/>
  <c r="D50" i="4"/>
  <c r="G47" i="4"/>
  <c r="M47" i="4" s="1"/>
  <c r="R47" i="4" s="1"/>
  <c r="O47" i="4" s="1"/>
  <c r="S47" i="4" s="1"/>
  <c r="G19" i="4"/>
  <c r="M19" i="4" s="1"/>
  <c r="R19" i="4" s="1"/>
  <c r="O19" i="4" s="1"/>
  <c r="S19" i="4" s="1"/>
  <c r="G20" i="4"/>
  <c r="M20" i="4" s="1"/>
  <c r="R20" i="4" s="1"/>
  <c r="O20" i="4" s="1"/>
  <c r="S20" i="4" s="1"/>
  <c r="G21" i="4"/>
  <c r="M21" i="4" s="1"/>
  <c r="R21" i="4" s="1"/>
  <c r="O21" i="4" s="1"/>
  <c r="S21" i="4" s="1"/>
  <c r="O25" i="4"/>
  <c r="G27" i="4"/>
  <c r="M27" i="4" s="1"/>
  <c r="R27" i="4" s="1"/>
  <c r="O27" i="4" s="1"/>
  <c r="S27" i="4" s="1"/>
  <c r="G39" i="4"/>
  <c r="M39" i="4" s="1"/>
  <c r="R39" i="4" s="1"/>
  <c r="O39" i="4" s="1"/>
  <c r="S39" i="4" s="1"/>
  <c r="J27" i="4"/>
  <c r="K27" i="4" s="1"/>
  <c r="D18" i="4"/>
  <c r="G37" i="4"/>
  <c r="L37" i="4" s="1"/>
  <c r="K37" i="4"/>
  <c r="S37" i="4"/>
  <c r="K25" i="4"/>
  <c r="L25" i="4"/>
  <c r="J26" i="4"/>
  <c r="K26" i="4" s="1"/>
  <c r="L26" i="4"/>
  <c r="S36" i="4"/>
  <c r="K38" i="4"/>
  <c r="S38" i="4"/>
  <c r="G40" i="4"/>
  <c r="M40" i="4" s="1"/>
  <c r="R40" i="4" s="1"/>
  <c r="O40" i="4" s="1"/>
  <c r="S40" i="4" s="1"/>
  <c r="K40" i="4"/>
  <c r="K19" i="4"/>
  <c r="C19" i="6"/>
  <c r="J28" i="4"/>
  <c r="K28" i="4" s="1"/>
  <c r="G28" i="4"/>
  <c r="K36" i="4"/>
  <c r="R36" i="4"/>
  <c r="D30" i="6"/>
  <c r="K42" i="4"/>
  <c r="G42" i="4"/>
  <c r="L42" i="4" s="1"/>
  <c r="K20" i="4"/>
  <c r="L44" i="4"/>
  <c r="D37" i="6"/>
  <c r="D36" i="6"/>
  <c r="D35" i="6"/>
  <c r="D31" i="6"/>
  <c r="K44" i="4"/>
  <c r="K54" i="4"/>
  <c r="L27" i="4"/>
  <c r="K30" i="4"/>
  <c r="K17" i="4"/>
  <c r="K18" i="4" s="1"/>
  <c r="G17" i="4"/>
  <c r="G18" i="4" s="1"/>
  <c r="H18" i="4"/>
  <c r="J18" i="4"/>
  <c r="L18" i="4"/>
  <c r="M18" i="4"/>
  <c r="N18" i="4"/>
  <c r="F18" i="4"/>
  <c r="R17" i="4"/>
  <c r="R18" i="4" s="1"/>
  <c r="I17" i="4"/>
  <c r="I18" i="4" s="1"/>
  <c r="L23" i="10"/>
  <c r="N22" i="10"/>
  <c r="O22" i="10"/>
  <c r="K22" i="10"/>
  <c r="L22" i="10"/>
  <c r="P22" i="10"/>
  <c r="J22" i="10"/>
  <c r="F22" i="10"/>
  <c r="N21" i="10"/>
  <c r="O21" i="10"/>
  <c r="K21" i="10"/>
  <c r="L21" i="10"/>
  <c r="P21" i="10"/>
  <c r="J21" i="10"/>
  <c r="L24" i="10"/>
  <c r="F21" i="10"/>
  <c r="N20" i="10"/>
  <c r="O20" i="10"/>
  <c r="P20" i="10"/>
  <c r="K20" i="10"/>
  <c r="L20" i="10"/>
  <c r="J20" i="10"/>
  <c r="F20" i="10"/>
  <c r="N19" i="10"/>
  <c r="O19" i="10"/>
  <c r="K19" i="10"/>
  <c r="L19" i="10"/>
  <c r="P19" i="10"/>
  <c r="J19" i="10"/>
  <c r="F19" i="10"/>
  <c r="N18" i="10"/>
  <c r="O18" i="10"/>
  <c r="K18" i="10"/>
  <c r="L18" i="10"/>
  <c r="P18" i="10"/>
  <c r="J18" i="10"/>
  <c r="F18" i="10"/>
  <c r="N17" i="10"/>
  <c r="O17" i="10"/>
  <c r="K17" i="10"/>
  <c r="L17" i="10"/>
  <c r="P17" i="10"/>
  <c r="J17" i="10"/>
  <c r="F17" i="10"/>
  <c r="N16" i="10"/>
  <c r="O16" i="10"/>
  <c r="K16" i="10"/>
  <c r="L16" i="10"/>
  <c r="P16" i="10"/>
  <c r="J16" i="10"/>
  <c r="F16" i="10"/>
  <c r="N15" i="10"/>
  <c r="O15" i="10"/>
  <c r="K15" i="10"/>
  <c r="L15" i="10"/>
  <c r="P15" i="10"/>
  <c r="J15" i="10"/>
  <c r="F15" i="10"/>
  <c r="O14" i="10"/>
  <c r="N14" i="10"/>
  <c r="K14" i="10"/>
  <c r="L14" i="10"/>
  <c r="J14" i="10"/>
  <c r="F14" i="10"/>
  <c r="N13" i="10"/>
  <c r="O13" i="10"/>
  <c r="O23" i="10"/>
  <c r="K13" i="10"/>
  <c r="L13" i="10"/>
  <c r="J13" i="10"/>
  <c r="F13" i="10"/>
  <c r="K12" i="10"/>
  <c r="J12" i="10"/>
  <c r="L10" i="10"/>
  <c r="K10" i="10"/>
  <c r="J10" i="10"/>
  <c r="P10" i="10"/>
  <c r="K39" i="4"/>
  <c r="C13" i="6"/>
  <c r="C14" i="6"/>
  <c r="M10" i="4"/>
  <c r="R10" i="4" s="1"/>
  <c r="O10" i="4" s="1"/>
  <c r="S10" i="4" s="1"/>
  <c r="L10" i="4"/>
  <c r="K10" i="4"/>
  <c r="M9" i="4"/>
  <c r="R9" i="4" s="1"/>
  <c r="O9" i="4" s="1"/>
  <c r="S9" i="4" s="1"/>
  <c r="L9" i="4"/>
  <c r="K9" i="4"/>
  <c r="C28" i="5"/>
  <c r="C29" i="5" s="1"/>
  <c r="C12" i="5"/>
  <c r="D12" i="5"/>
  <c r="D11" i="5"/>
  <c r="D10" i="5"/>
  <c r="D9" i="5"/>
  <c r="D21" i="5"/>
  <c r="D8" i="5"/>
  <c r="D7" i="5"/>
  <c r="D22" i="5"/>
  <c r="C25" i="5"/>
  <c r="C26" i="5"/>
  <c r="D14" i="5"/>
  <c r="G22" i="5"/>
  <c r="E22" i="5"/>
  <c r="P14" i="10"/>
  <c r="L26" i="10"/>
  <c r="P13" i="10"/>
  <c r="E21" i="5"/>
  <c r="G21" i="5"/>
  <c r="C8" i="10"/>
  <c r="L25" i="10"/>
  <c r="P23" i="10"/>
  <c r="R52" i="4" l="1"/>
  <c r="O52" i="4" s="1"/>
  <c r="S52" i="4" s="1"/>
  <c r="M56" i="4"/>
  <c r="R56" i="4" s="1"/>
  <c r="O56" i="4" s="1"/>
  <c r="S56" i="4" s="1"/>
  <c r="R53" i="4"/>
  <c r="O53" i="4" s="1"/>
  <c r="S53" i="4" s="1"/>
  <c r="D40" i="6"/>
  <c r="E30" i="6" s="1"/>
  <c r="O17" i="4"/>
  <c r="O18" i="4" s="1"/>
  <c r="R44" i="4"/>
  <c r="O44" i="4" s="1"/>
  <c r="S44" i="4" s="1"/>
  <c r="L38" i="4"/>
  <c r="M42" i="4"/>
  <c r="R42" i="4" s="1"/>
  <c r="O42" i="4" s="1"/>
  <c r="S42" i="4" s="1"/>
  <c r="L40" i="4"/>
  <c r="L30" i="4"/>
  <c r="L47" i="4"/>
  <c r="I47" i="4" s="1"/>
  <c r="L58" i="4"/>
  <c r="I58" i="4" s="1"/>
  <c r="M57" i="4"/>
  <c r="R57" i="4" s="1"/>
  <c r="O57" i="4" s="1"/>
  <c r="S57" i="4" s="1"/>
  <c r="D61" i="4"/>
  <c r="E41" i="4" s="1"/>
  <c r="O45" i="4"/>
  <c r="S45" i="4" s="1"/>
  <c r="L49" i="4"/>
  <c r="I49" i="4" s="1"/>
  <c r="L56" i="4"/>
  <c r="K45" i="4"/>
  <c r="K61" i="4" s="1"/>
  <c r="S30" i="4"/>
  <c r="S26" i="4"/>
  <c r="I46" i="4"/>
  <c r="G50" i="4"/>
  <c r="M37" i="4"/>
  <c r="M46" i="4"/>
  <c r="G45" i="4"/>
  <c r="L48" i="4"/>
  <c r="I48" i="4" s="1"/>
  <c r="L54" i="4"/>
  <c r="L53" i="4"/>
  <c r="L52" i="4"/>
  <c r="G59" i="4"/>
  <c r="R51" i="4"/>
  <c r="O51" i="4" s="1"/>
  <c r="R54" i="4" l="1"/>
  <c r="O54" i="4" s="1"/>
  <c r="S54" i="4" s="1"/>
  <c r="E24" i="4"/>
  <c r="E55" i="4"/>
  <c r="S17" i="4"/>
  <c r="S18" i="4" s="1"/>
  <c r="E33" i="4"/>
  <c r="L45" i="4"/>
  <c r="I45" i="4" s="1"/>
  <c r="M59" i="4"/>
  <c r="E34" i="4"/>
  <c r="E35" i="4"/>
  <c r="D64" i="4"/>
  <c r="E31" i="4"/>
  <c r="E30" i="4"/>
  <c r="E32" i="4"/>
  <c r="E33" i="6"/>
  <c r="E31" i="6"/>
  <c r="E20" i="4"/>
  <c r="E25" i="4"/>
  <c r="E10" i="4"/>
  <c r="E54" i="4"/>
  <c r="E18" i="4"/>
  <c r="E50" i="4"/>
  <c r="E13" i="4"/>
  <c r="E40" i="4"/>
  <c r="E48" i="4"/>
  <c r="E17" i="4"/>
  <c r="E16" i="4"/>
  <c r="E44" i="4"/>
  <c r="E56" i="4"/>
  <c r="E53" i="4"/>
  <c r="E27" i="4"/>
  <c r="E47" i="4"/>
  <c r="E26" i="4"/>
  <c r="E15" i="4"/>
  <c r="E38" i="4"/>
  <c r="E52" i="4"/>
  <c r="E49" i="4"/>
  <c r="E12" i="4"/>
  <c r="E23" i="4"/>
  <c r="E45" i="4"/>
  <c r="E22" i="4"/>
  <c r="E43" i="4"/>
  <c r="E46" i="4"/>
  <c r="E51" i="4"/>
  <c r="E42" i="4"/>
  <c r="E9" i="4"/>
  <c r="E11" i="4"/>
  <c r="E59" i="4"/>
  <c r="E57" i="4"/>
  <c r="E14" i="4"/>
  <c r="E58" i="4"/>
  <c r="E36" i="6"/>
  <c r="E34" i="6"/>
  <c r="E39" i="6"/>
  <c r="R37" i="4"/>
  <c r="R45" i="4" s="1"/>
  <c r="M45" i="4"/>
  <c r="E35" i="6"/>
  <c r="F50" i="4"/>
  <c r="M50" i="4"/>
  <c r="R46" i="4"/>
  <c r="E38" i="6"/>
  <c r="E32" i="6"/>
  <c r="E37" i="6"/>
  <c r="L50" i="4"/>
  <c r="I50" i="4" s="1"/>
  <c r="F45" i="4"/>
  <c r="L59" i="4"/>
  <c r="G61" i="4"/>
  <c r="F59" i="4"/>
  <c r="R59" i="4" l="1"/>
  <c r="H45" i="4"/>
  <c r="M61" i="4"/>
  <c r="L61" i="4"/>
  <c r="H61" i="4" s="1"/>
  <c r="E61" i="4"/>
  <c r="E40" i="6"/>
  <c r="H50" i="4"/>
  <c r="R50" i="4"/>
  <c r="O46" i="4"/>
  <c r="H59" i="4"/>
  <c r="F61" i="4"/>
  <c r="S51" i="4"/>
  <c r="O59" i="4"/>
  <c r="R61" i="4" l="1"/>
  <c r="Q10" i="4" s="1"/>
  <c r="S46" i="4"/>
  <c r="O50" i="4"/>
  <c r="S50" i="4" s="1"/>
  <c r="S59" i="4"/>
  <c r="O61" i="4" l="1"/>
  <c r="Q55" i="4" s="1"/>
  <c r="Q9" i="4"/>
  <c r="Q24" i="4" l="1"/>
  <c r="Q23" i="4"/>
  <c r="Q26" i="4"/>
  <c r="C24" i="6"/>
  <c r="C22" i="6" s="1"/>
  <c r="Q21" i="4"/>
  <c r="Q49" i="4"/>
  <c r="Q51" i="4"/>
  <c r="Q50" i="4"/>
  <c r="Q19" i="4"/>
  <c r="Q46" i="4"/>
  <c r="S61" i="4"/>
  <c r="Q59" i="4"/>
  <c r="Q45" i="4"/>
  <c r="Q56" i="4"/>
  <c r="Q57" i="4"/>
  <c r="Q54" i="4"/>
  <c r="Q53" i="4"/>
  <c r="Q58" i="4"/>
  <c r="Q20" i="4"/>
  <c r="P61" i="4"/>
  <c r="Q47" i="4"/>
  <c r="Q52" i="4"/>
  <c r="Q17" i="4"/>
  <c r="Q18" i="4" s="1"/>
  <c r="Q42" i="4"/>
  <c r="Q40" i="4"/>
  <c r="Q27" i="4"/>
  <c r="Q39" i="4"/>
  <c r="O64" i="4"/>
  <c r="Q48" i="4"/>
  <c r="Q44" i="4"/>
  <c r="Q22" i="4"/>
  <c r="C23" i="6" l="1"/>
  <c r="Q61" i="4"/>
  <c r="C25" i="6"/>
</calcChain>
</file>

<file path=xl/sharedStrings.xml><?xml version="1.0" encoding="utf-8"?>
<sst xmlns="http://schemas.openxmlformats.org/spreadsheetml/2006/main" count="448" uniqueCount="244">
  <si>
    <t>Total</t>
  </si>
  <si>
    <t>Facebook</t>
  </si>
  <si>
    <t>Purchase</t>
  </si>
  <si>
    <t>DA</t>
  </si>
  <si>
    <t>Retargeting</t>
  </si>
  <si>
    <t>RTB House</t>
  </si>
  <si>
    <t>Lower Funnel</t>
  </si>
  <si>
    <t>Criteo</t>
  </si>
  <si>
    <t>Search</t>
  </si>
  <si>
    <t>Bing</t>
  </si>
  <si>
    <t>DRA</t>
  </si>
  <si>
    <t>Google</t>
  </si>
  <si>
    <t>GDN/GSP</t>
  </si>
  <si>
    <t>Facebook GCO</t>
  </si>
  <si>
    <t>Lead Ads</t>
  </si>
  <si>
    <t>Instagram GCO</t>
  </si>
  <si>
    <t>Video</t>
  </si>
  <si>
    <t>Banner</t>
  </si>
  <si>
    <t>DBM</t>
  </si>
  <si>
    <t>Conteúdo</t>
  </si>
  <si>
    <t>Outbrain</t>
  </si>
  <si>
    <t>Bumper</t>
  </si>
  <si>
    <t>YouTube</t>
  </si>
  <si>
    <t>Consideração</t>
  </si>
  <si>
    <t>Projeção de Receita</t>
  </si>
  <si>
    <t>Budget</t>
  </si>
  <si>
    <t>Veículo</t>
  </si>
  <si>
    <t>Share</t>
  </si>
  <si>
    <t>Receita Site</t>
  </si>
  <si>
    <t>Objetivo</t>
  </si>
  <si>
    <t>True View</t>
  </si>
  <si>
    <t>Facebook / Instagram</t>
  </si>
  <si>
    <t>%</t>
  </si>
  <si>
    <t>Google Search</t>
  </si>
  <si>
    <t>Google Display</t>
  </si>
  <si>
    <t>ROI</t>
  </si>
  <si>
    <t>Origem/mídia</t>
  </si>
  <si>
    <t>Receita GA</t>
  </si>
  <si>
    <t>Receita Real GA</t>
  </si>
  <si>
    <t>Observações</t>
  </si>
  <si>
    <t>facebook / cpc</t>
  </si>
  <si>
    <t xml:space="preserve"> / email</t>
  </si>
  <si>
    <t>google / cpc</t>
  </si>
  <si>
    <t>(direct) / (none)</t>
  </si>
  <si>
    <t>google / organic</t>
  </si>
  <si>
    <t>Demais origens</t>
  </si>
  <si>
    <t xml:space="preserve">Total </t>
  </si>
  <si>
    <t>Investimento</t>
  </si>
  <si>
    <t>Receita Real</t>
  </si>
  <si>
    <t>Transações</t>
  </si>
  <si>
    <t>Ticket Médio</t>
  </si>
  <si>
    <t>Representatividade</t>
  </si>
  <si>
    <t>Mídia Paga 2017</t>
  </si>
  <si>
    <t>Crescimento Mídia Paga</t>
  </si>
  <si>
    <t>Receita YoY - Meta 2018</t>
  </si>
  <si>
    <t>Histórico Julho / 2017</t>
  </si>
  <si>
    <t>Estratégia do Funil</t>
  </si>
  <si>
    <t>Fee</t>
  </si>
  <si>
    <t>Budget Bruto</t>
  </si>
  <si>
    <t>ESTRATÉGIA</t>
  </si>
  <si>
    <t>Cobertura dos principais termos relacionados ao nome da marca e tipos de produtos</t>
  </si>
  <si>
    <t>Campanhas de engajamento com post patrocinados para promover engajamento da marca</t>
  </si>
  <si>
    <t>Exibição de banners para clusters específicos e Remarketing para reforço de marca.</t>
  </si>
  <si>
    <t>Veiculação de vídeos promovidos no formato true view para cluster específicos / Teste de Discovery Ads</t>
  </si>
  <si>
    <t>Tipo de Campanha</t>
  </si>
  <si>
    <t>CPC</t>
  </si>
  <si>
    <t>Cliques</t>
  </si>
  <si>
    <t>CTR</t>
  </si>
  <si>
    <t xml:space="preserve">CPM </t>
  </si>
  <si>
    <t>CPV</t>
  </si>
  <si>
    <t>Views</t>
  </si>
  <si>
    <t>Impressões</t>
  </si>
  <si>
    <t>Visitas (Sessões)</t>
  </si>
  <si>
    <t>Taxa de Conversão (GA)</t>
  </si>
  <si>
    <t>% da Receita</t>
  </si>
  <si>
    <t>Vendas</t>
  </si>
  <si>
    <t>Projeção ROI</t>
  </si>
  <si>
    <t>-</t>
  </si>
  <si>
    <t>Ação</t>
  </si>
  <si>
    <t>Receita Site GCO</t>
  </si>
  <si>
    <t>Participação de Mídia Paga %</t>
  </si>
  <si>
    <t>Receita Mídia Paga</t>
  </si>
  <si>
    <t>METAS</t>
  </si>
  <si>
    <t>Search - Institucional</t>
  </si>
  <si>
    <t>KPI'S Primário</t>
  </si>
  <si>
    <t>Receita e ROI</t>
  </si>
  <si>
    <t>Período</t>
  </si>
  <si>
    <t>Receita estimada Site %</t>
  </si>
  <si>
    <t>Receita estimada Mídia Paga %</t>
  </si>
  <si>
    <t>Impacto</t>
  </si>
  <si>
    <t>CANAIS DE MÍDIA</t>
  </si>
  <si>
    <t>OBJETIVO DOS CANAIS</t>
  </si>
  <si>
    <t>Budget Líquido</t>
  </si>
  <si>
    <t>Remarketing dinâmico de acordo com a navegação do usuário</t>
  </si>
  <si>
    <t>*Dados estimados, não garantidos</t>
  </si>
  <si>
    <t>NA</t>
  </si>
  <si>
    <t>Estratégia</t>
  </si>
  <si>
    <t>GDN - Novos Usuários</t>
  </si>
  <si>
    <t>TrueView e Bumper</t>
  </si>
  <si>
    <t>Vídeo</t>
  </si>
  <si>
    <t>RMKT Estático</t>
  </si>
  <si>
    <t>Search Institucional</t>
  </si>
  <si>
    <t>Search Não Institucional</t>
  </si>
  <si>
    <t>Prefeência</t>
  </si>
  <si>
    <t>PROPOSTA COMERCIAL</t>
  </si>
  <si>
    <t>CLIENTE:</t>
  </si>
  <si>
    <t>Gran Cursos Online</t>
  </si>
  <si>
    <t>PRODUTO:</t>
  </si>
  <si>
    <t>ESPECÍFICAÇÃO DOS FORMATOS</t>
  </si>
  <si>
    <t>AGÊNCIA:</t>
  </si>
  <si>
    <t>Blinks</t>
  </si>
  <si>
    <t>PERÍODO:</t>
  </si>
  <si>
    <t>3 meses (Set, Out, Nov)</t>
  </si>
  <si>
    <t>https://anuncie.uol.com.br/formatos.htm</t>
  </si>
  <si>
    <t>RESPONSÁVEL PROPOSTA:</t>
  </si>
  <si>
    <t>Luís Gustavo Fernandes</t>
  </si>
  <si>
    <t>DATA PROPOSTA:</t>
  </si>
  <si>
    <t>8 de Agosto de 2018</t>
  </si>
  <si>
    <t>VERBA SUGERIDA R$:</t>
  </si>
  <si>
    <t>FORMATO</t>
  </si>
  <si>
    <t>ESTAÇÃO / PROJETO</t>
  </si>
  <si>
    <t>UNIDADE DE VENDA</t>
  </si>
  <si>
    <t>TABELA (JAN/18)</t>
  </si>
  <si>
    <t xml:space="preserve">IMPRESSÕES OU  CLIQUES </t>
  </si>
  <si>
    <t>PERÍODO CAMPANHA (Dias)</t>
  </si>
  <si>
    <t>VISITAS GARANTIADAS OU IMPRESSÕES TOTAIS</t>
  </si>
  <si>
    <t>DESCONTO</t>
  </si>
  <si>
    <t>VALOR TABELA</t>
  </si>
  <si>
    <t>VALOR NEGOCIADO</t>
  </si>
  <si>
    <t>VALOR NEGOCIADO TOTAL</t>
  </si>
  <si>
    <t>ctr</t>
  </si>
  <si>
    <t>cliques</t>
  </si>
  <si>
    <t>visitas</t>
  </si>
  <si>
    <t>cpv</t>
  </si>
  <si>
    <r>
      <t xml:space="preserve">BRANDED CONTENT    </t>
    </r>
    <r>
      <rPr>
        <sz val="11"/>
        <rFont val="Arial"/>
        <family val="2"/>
      </rPr>
      <t>SETEMBRO</t>
    </r>
  </si>
  <si>
    <r>
      <t xml:space="preserve">Brand Content                                       </t>
    </r>
    <r>
      <rPr>
        <sz val="12"/>
        <rFont val="Segoe UI"/>
        <family val="2"/>
      </rPr>
      <t xml:space="preserve">     1 Publieditorial com texto e foto</t>
    </r>
  </si>
  <si>
    <t>UOL NETWORK | Nacional ou Sul e Sudeste | BT Educação, Empregos, Carreiras e Concursos</t>
  </si>
  <si>
    <t>Projeto</t>
  </si>
  <si>
    <t>---</t>
  </si>
  <si>
    <t xml:space="preserve">                                               50k de Visitas Garantidas                                   </t>
  </si>
  <si>
    <r>
      <rPr>
        <b/>
        <sz val="12"/>
        <rFont val="Segoe UI"/>
        <family val="2"/>
      </rPr>
      <t>NATIVES DE CONTEÚDO</t>
    </r>
    <r>
      <rPr>
        <sz val="12"/>
        <rFont val="Segoe UI"/>
        <family val="2"/>
      </rPr>
      <t xml:space="preserve">                (Internas - Sustentação)</t>
    </r>
  </si>
  <si>
    <r>
      <t xml:space="preserve">NATIVE CARROSSEL 100%                    </t>
    </r>
    <r>
      <rPr>
        <sz val="12"/>
        <rFont val="Segoe UI"/>
        <family val="2"/>
      </rPr>
      <t>(HOMEPAGE)</t>
    </r>
  </si>
  <si>
    <t xml:space="preserve">UOL NACIONAL - HOMEPAGE </t>
  </si>
  <si>
    <t>DIÁRIA</t>
  </si>
  <si>
    <r>
      <t>(DISPLAY)</t>
    </r>
    <r>
      <rPr>
        <b/>
        <sz val="12"/>
        <rFont val="Segoe UI"/>
        <family val="2"/>
      </rPr>
      <t xml:space="preserve"> HALF PAGE E/OU SUPER BANNER E/OU RETANGULO</t>
    </r>
    <r>
      <rPr>
        <sz val="12"/>
        <rFont val="Segoe UI"/>
        <family val="2"/>
      </rPr>
      <t xml:space="preserve">               </t>
    </r>
    <r>
      <rPr>
        <sz val="11"/>
        <rFont val="Segoe UI"/>
        <family val="2"/>
      </rPr>
      <t>SETEMBRO</t>
    </r>
  </si>
  <si>
    <t>CPM</t>
  </si>
  <si>
    <r>
      <t xml:space="preserve">MÍDIA                                      </t>
    </r>
    <r>
      <rPr>
        <sz val="12"/>
        <rFont val="Arial"/>
        <family val="2"/>
      </rPr>
      <t>OUTUBRO</t>
    </r>
  </si>
  <si>
    <r>
      <t xml:space="preserve">(DISPLAY) </t>
    </r>
    <r>
      <rPr>
        <b/>
        <sz val="12"/>
        <rFont val="Segoe UI"/>
        <family val="2"/>
      </rPr>
      <t>HALF PAGE</t>
    </r>
    <r>
      <rPr>
        <sz val="12"/>
        <rFont val="Segoe UI"/>
        <family val="2"/>
      </rPr>
      <t xml:space="preserve"> 300X600</t>
    </r>
  </si>
  <si>
    <r>
      <t xml:space="preserve">(DISPLAY) </t>
    </r>
    <r>
      <rPr>
        <b/>
        <sz val="12"/>
        <rFont val="Segoe UI"/>
        <family val="2"/>
      </rPr>
      <t>BILLBOARD</t>
    </r>
    <r>
      <rPr>
        <sz val="12"/>
        <rFont val="Segoe UI"/>
        <family val="2"/>
      </rPr>
      <t xml:space="preserve"> 970X250</t>
    </r>
  </si>
  <si>
    <t>NATIVE DE OFERTAS</t>
  </si>
  <si>
    <t>UOL  | Nacional ou Sul e Sudeste | BT Educação, Empregos, Carreiras e Concursos</t>
  </si>
  <si>
    <r>
      <t xml:space="preserve">MÍDIA                                           </t>
    </r>
    <r>
      <rPr>
        <sz val="12"/>
        <rFont val="Arial"/>
        <family val="2"/>
      </rPr>
      <t>NOVEMBRO</t>
    </r>
  </si>
  <si>
    <r>
      <t>(DISPLAY)</t>
    </r>
    <r>
      <rPr>
        <b/>
        <sz val="12"/>
        <rFont val="Segoe UI"/>
        <family val="2"/>
      </rPr>
      <t xml:space="preserve"> RETANGULO</t>
    </r>
    <r>
      <rPr>
        <sz val="12"/>
        <rFont val="Segoe UI"/>
        <family val="2"/>
      </rPr>
      <t xml:space="preserve"> 300X250</t>
    </r>
  </si>
  <si>
    <t>BONIFICAÇÃO</t>
  </si>
  <si>
    <r>
      <rPr>
        <b/>
        <sz val="12"/>
        <rFont val="Segoe UI"/>
        <family val="2"/>
      </rPr>
      <t>VIDEOS</t>
    </r>
    <r>
      <rPr>
        <sz val="12"/>
        <rFont val="Segoe UI"/>
        <family val="2"/>
      </rPr>
      <t xml:space="preserve">
15´´ou 30" 
floating na home, in article e pre roll</t>
    </r>
  </si>
  <si>
    <t>TOTAL DE IMPRESSÕES / IMPACTOS</t>
  </si>
  <si>
    <t>CUSTO TABELA</t>
  </si>
  <si>
    <t xml:space="preserve"> </t>
  </si>
  <si>
    <t>INVESTIMENTO BRUTO NEGOCIADO</t>
  </si>
  <si>
    <t>Informações Gerais:</t>
  </si>
  <si>
    <t>1. Proposta sujeita a aprovação dos cadastros do anunciante e agência pelo departamento financeiro do UOL S/A.</t>
  </si>
  <si>
    <t>2. O UOL S/A reserva-se ao direito de apenas inserir materiais publicitários que estejam dentro das suas normas e padrões de qualidade. [http://download.uol.com.br/publicidade/Termos-e-condicoes-070206.pdf]</t>
  </si>
  <si>
    <t>3. Após a inserção da campanha estarão disponíveis para acompanhamento, mediante a utilização de senha, os números de impressões e de clicks efetuados nos formatos de publicidade convencionais. Sendo este relatório o único válido para a aferição da entrega da mídia contratada.</t>
  </si>
  <si>
    <t>4.  A programação nas estações e canais será definida de acordo com a disponibilidade de inventário.  É importante observar que o número de impressões poderá esgotar-se antes do período acordado devido a eventuais variações de audiência.</t>
  </si>
  <si>
    <t>5.  No caso de não se completar o total de impressões no período contratado, o UOL S/A se compromete a ENTREGAR  o saldo residual em até 3 meses após o fim da campanha.</t>
  </si>
  <si>
    <t>6.  A publicidade no UOL é faturada com base no Pedido de Inserção (PI) do cliente. Pode-se faturar de acordo com a mídia efetivamente veiculada dentro do mês mediante solicitação expressa do cliente na PI. Se a veiculação não ocorrer devido a atraso ou falha no envio de materiais, desistência ou outras razões de responsabilidade do cliente, o UOL reserva-se o direito de faturar normalmente, sem direito a compensação.</t>
  </si>
  <si>
    <t>7.  Validade da proposta: 30 dias a partir da data descrita no cabeçalho</t>
  </si>
  <si>
    <t>8. Prazo de Pagamento: 15 DFM</t>
  </si>
  <si>
    <t>9. Todo e qualquer formato que envolva tecnologia de 3º deve ter o custo tratado diretamente com o 3º. O UOL não se responsabiliza por este custo.</t>
  </si>
  <si>
    <t>10. Acréscimo de 20% por critério de segmentação</t>
  </si>
  <si>
    <t xml:space="preserve">Ps: A entrega da campanha será de acordo com os relatórios do sistema do UOL </t>
  </si>
  <si>
    <t>UOL</t>
  </si>
  <si>
    <t>Branded Content + Display</t>
  </si>
  <si>
    <t>Branded Content e formatos de impacto na sessão Educação, Empregos, Carreiras e Concursos</t>
  </si>
  <si>
    <t>DA/Cupom</t>
  </si>
  <si>
    <t>* Lista com os principais concursos do mês.</t>
  </si>
  <si>
    <t>Plano de Ação (Blinks)</t>
  </si>
  <si>
    <t>Pendências Gran Cursos Online</t>
  </si>
  <si>
    <t>Search / 
Termos de Awareness</t>
  </si>
  <si>
    <t>* Acompanhamento da parcela de impressão;
* Inclusão de anúncios responsivos em todos os grupos.</t>
  </si>
  <si>
    <t>* Smart Campaign de Assinatura Ilimitada;
* Captação de leads para a Black Friday.</t>
  </si>
  <si>
    <t>* 3 variações de PPL para nova campanha de Assinatura;
* 3 variações de PPL para captação de leads para a BF 2018;
* LP para captação de leads;
* 3 variações de PPL para Dia do Servidor.</t>
  </si>
  <si>
    <t>* Ampliação da estrutura de Discovery (busca no YouTube);
* Novo vídeo de Assinatura Ilimitada, onde impactaremos novos usuários com as versões de 1min e 30seg;
* Bumper Ads de quem viu os vídeos de Assinatura e para quem entrou na página de Assinatura;
* YouTube 4 Action para Assinatura, com comunicação de preço.</t>
  </si>
  <si>
    <t>* Banner complementar de Assinatura Ilimitada;
* Corte do vídeo de Assinatura Ilimitada com comunicação de preço.</t>
  </si>
  <si>
    <t>* Assinatura Ilimitada (novo mote) | Foco em novos usuários para construir base para BF em Novembro.</t>
  </si>
  <si>
    <t>* Cortes do novo vídeo de Assinatura Ilimitada;
* Corte do vídeo de Assinatura Ilimitada com comunicação de preço.</t>
  </si>
  <si>
    <t>* Campanha genérica e outra focada em captar uma base aquecida para BF.</t>
  </si>
  <si>
    <t>* 3 variações de PPL para captação de leads para a BF 2018;
* Stories para captação de leads para BF 2018.</t>
  </si>
  <si>
    <t>* Diminuição da meta de CPA, para escalarmos a campanha para Dia do Servidor;
* Implementação da lista de quem viu os vídeos de Assinatura Ilimitada.</t>
  </si>
  <si>
    <t>* Peças novas de Assinatura Ilimitada;
* Troca da KV das peças de carrinho de 20%;
* Peças para Dia do Servidor.</t>
  </si>
  <si>
    <t>* Diminuição da meta de CPA, para escalarmos a campanha para Dia do Servidor;
* Implementação da lista de quem viu os vídeos de Assinatura Ilimitada;
* Implementação de anúncios responsivos para Dia do Servidor.</t>
  </si>
  <si>
    <t>* Automatização do feed (Rodrigo).</t>
  </si>
  <si>
    <t>* Nova campanha para LP de Descontos.
* Troca de KV para Cupom 20% OFF.</t>
  </si>
  <si>
    <t>*Troca de KV e peças para nova campanha de LP de Descontos.</t>
  </si>
  <si>
    <t>* Aumento da meta de COS, para escalarmos a campanha.</t>
  </si>
  <si>
    <t>* Peças novas de Assinatura Ilimitada;
* Novo Logozone de Assinatura;
* Peças para Dia do Servidor.</t>
  </si>
  <si>
    <t>* Acompanhamento diário dos resultados e ajustes no CPC;
* Aumento de CPC na última semana para Dia do Servidor e BF.</t>
  </si>
  <si>
    <t>* Peças novas de Assinatura Ilimitada;
* Peças para Dia do Servidor.</t>
  </si>
  <si>
    <t>* Acompanhamento do CPC e IS diariamente;
* Teste de anúncio responsivo;
* Teste de novo argumento de Assinatura Ilimitada;
* Antecipação de anúncios para Dia do Servidor.</t>
  </si>
  <si>
    <t>* Distribuição do budget não será entregue de forma linear, priorizando a última quinzena do mês;
* Acompanhamento da receita assistida por curso;
* Implementação da lista de quem viu os vídeos de Assinatura Ilimitada;
* Continuar a implementação de anúncios responsivos nas campanhas de cursos;
* Inclusão de novas palavras que trazem mais impressão no SEO em LongTail;
* Início da campanha de BF apenas para RLSA;
* Antecipação de anúncios para Dia do Servidor;
* Antecipação da campanha de PRF;
* Otimizações para melhorar o CTR.</t>
  </si>
  <si>
    <t>* Acelerar conta com base no resultados por campanha;
* Cobertura atual de 89% (ampliação da estrutura).</t>
  </si>
  <si>
    <t>* Planejar campanha do Dia do Servidor.
* Blasts em dias específicos para LP de Descontos e Assinatura Ilimitada;
* Antecipação da campanha de PRF.</t>
  </si>
  <si>
    <t>* Peças para campanha do Dia do Servidor.
* Peças para campanha de LP de Descontos;
* 3 variações de PPL para nova campanha de Assinatura.</t>
  </si>
  <si>
    <t>Discovery Cursos</t>
  </si>
  <si>
    <t>Youtube</t>
  </si>
  <si>
    <t>Discovery Institucional</t>
  </si>
  <si>
    <t>Discovery Genérico</t>
  </si>
  <si>
    <t>PROJEÇÕES de resultado no GA*</t>
  </si>
  <si>
    <t>Veiculação de anúncios divulgando a marca Gran Cursos Online com o objetivo de gerar receita no site, trabalhando a comunicação com o usuário potencial durante a jornada de conversão.</t>
  </si>
  <si>
    <t>Blue</t>
  </si>
  <si>
    <t>Purchase - Outros Cursos</t>
  </si>
  <si>
    <t>Purchase - Assinatura Ilimitada</t>
  </si>
  <si>
    <t xml:space="preserve">DSA </t>
  </si>
  <si>
    <t>YT - RMKT - Assinatura Ilimitada - Bumper - 6seg</t>
  </si>
  <si>
    <t>YT - NU - Assinatura Ilimitada - Bumper - 6seg</t>
  </si>
  <si>
    <t>Marca</t>
  </si>
  <si>
    <t>Search - Institucional - Regiões e Cursos</t>
  </si>
  <si>
    <t>Discovery Home</t>
  </si>
  <si>
    <t>Gratuito</t>
  </si>
  <si>
    <t>YT - True View Action - RMKT - Curso</t>
  </si>
  <si>
    <t>Leads - Materiais</t>
  </si>
  <si>
    <t>Content  - Assinatura</t>
  </si>
  <si>
    <t>Tráfego</t>
  </si>
  <si>
    <t>YT - True View 4Action - NU - Assinatura Ilimitada</t>
  </si>
  <si>
    <t>YT - True View 4Action - RMKT - Assinatura Ilimitada</t>
  </si>
  <si>
    <t>Smart Campaign</t>
  </si>
  <si>
    <t>GDN - Dynamic Prospecting</t>
  </si>
  <si>
    <t>GDN Remarketing</t>
  </si>
  <si>
    <t>GDN - Cursos para Concursos - NU</t>
  </si>
  <si>
    <t>GDN - Cursos Gratuitos</t>
  </si>
  <si>
    <t>Vocacional</t>
  </si>
  <si>
    <t>VAC</t>
  </si>
  <si>
    <t>Performance Max</t>
  </si>
  <si>
    <t>VREC</t>
  </si>
  <si>
    <t>Search - Específicas</t>
  </si>
  <si>
    <t>Tittok</t>
  </si>
  <si>
    <t>Tiktok</t>
  </si>
  <si>
    <t>TikTok</t>
  </si>
  <si>
    <t>Formato interativo de vídeo.</t>
  </si>
  <si>
    <t>PLANO DE MÍDIA
Dezembro / 2021 V1</t>
  </si>
  <si>
    <t>01/12/021 a 31/12/2021</t>
  </si>
  <si>
    <t xml:space="preserve">                                                                                                  Plano de Mídia Dezembro - V1</t>
  </si>
  <si>
    <t>Teads</t>
  </si>
  <si>
    <t>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</si>
</sst>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[$-416]d\ \ mmmm\,\ yyyy;@"/>
    <numFmt numFmtId="166" formatCode="dd/mm/yy;@"/>
    <numFmt numFmtId="167" formatCode="_(&quot;R$ &quot;* #,##0.00_);_(&quot;R$ &quot;* \(#,##0.00\);_(&quot;R$ &quot;* &quot;-&quot;??_);_(@_)"/>
    <numFmt numFmtId="168" formatCode="_(* #,##0.00_);_(* \(#,##0.00\);_(* &quot;-&quot;??_);_(@_)"/>
    <numFmt numFmtId="169" formatCode="0.0000%"/>
    <numFmt numFmtId="170" formatCode="0.0"/>
    <numFmt numFmtId="171" formatCode="_-&quot;R$&quot;* #,##0_-;\-&quot;R$&quot;* #,##0_-;_-&quot;R$&quot;* &quot;-&quot;??_-;_-@_-"/>
    <numFmt numFmtId="172" formatCode="&quot;R$&quot;#,##0.00"/>
  </numFmts>
  <fonts count="50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Gotham Light"/>
    </font>
    <font>
      <sz val="12"/>
      <color rgb="FF000000"/>
      <name val="Gotham Light"/>
    </font>
    <font>
      <b/>
      <sz val="12"/>
      <color theme="0"/>
      <name val="Gotham Light"/>
    </font>
    <font>
      <sz val="12"/>
      <color theme="0"/>
      <name val="Gotham Light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5C9C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Gotham Light"/>
    </font>
    <font>
      <b/>
      <sz val="10"/>
      <color theme="0"/>
      <name val="Gotham Light"/>
    </font>
    <font>
      <sz val="12"/>
      <color theme="1"/>
      <name val="Gotham Light"/>
    </font>
    <font>
      <b/>
      <sz val="12"/>
      <color theme="1" tint="4.9989318521683403E-2"/>
      <name val="Gotham Light"/>
    </font>
    <font>
      <sz val="12"/>
      <color theme="1" tint="4.9989318521683403E-2"/>
      <name val="Gotham Light"/>
    </font>
    <font>
      <sz val="14"/>
      <color rgb="FF000000"/>
      <name val="Gotham Light"/>
    </font>
    <font>
      <sz val="14"/>
      <name val="Gotham Light"/>
    </font>
    <font>
      <b/>
      <sz val="28"/>
      <color theme="1"/>
      <name val="Gotham Bold"/>
    </font>
    <font>
      <b/>
      <sz val="16"/>
      <name val="Gotham Bold"/>
    </font>
    <font>
      <i/>
      <sz val="10"/>
      <color theme="1"/>
      <name val="Gotham Light"/>
    </font>
    <font>
      <sz val="14"/>
      <color theme="0"/>
      <name val="Gotham Light"/>
    </font>
    <font>
      <sz val="14"/>
      <color theme="1"/>
      <name val="Gotham Light"/>
    </font>
    <font>
      <sz val="10"/>
      <name val="Arial"/>
      <family val="2"/>
    </font>
    <font>
      <sz val="24"/>
      <color indexed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22"/>
      <color indexed="12"/>
      <name val="Arial"/>
      <family val="2"/>
    </font>
    <font>
      <sz val="12"/>
      <color theme="0"/>
      <name val="Calibri"/>
      <family val="2"/>
      <scheme val="minor"/>
    </font>
    <font>
      <sz val="2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name val="Segoe UI"/>
      <family val="2"/>
    </font>
    <font>
      <sz val="12"/>
      <name val="Segoe UI"/>
      <family val="2"/>
    </font>
    <font>
      <sz val="14"/>
      <name val="Arial"/>
      <family val="2"/>
    </font>
    <font>
      <sz val="11"/>
      <name val="Segoe UI"/>
      <family val="2"/>
    </font>
    <font>
      <sz val="16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7"/>
      <name val="Arial"/>
      <family val="2"/>
    </font>
    <font>
      <sz val="14"/>
      <color theme="0"/>
      <name val="Arial"/>
      <family val="2"/>
    </font>
    <font>
      <b/>
      <sz val="14"/>
      <color indexed="9"/>
      <name val="Arial Unicode MS"/>
      <family val="2"/>
    </font>
    <font>
      <sz val="12"/>
      <color rgb="FF000000"/>
      <name val="Docs-Calibri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FEA4A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D965"/>
      </patternFill>
    </fill>
    <fill>
      <patternFill patternType="solid">
        <fgColor theme="0" tint="-0.499984740745262"/>
        <bgColor rgb="FFFEA4A4"/>
      </patternFill>
    </fill>
    <fill>
      <patternFill patternType="solid">
        <fgColor theme="0" tint="-0.499984740745262"/>
        <bgColor rgb="FFFFFFFF"/>
      </patternFill>
    </fill>
    <fill>
      <patternFill patternType="solid">
        <fgColor rgb="FF3B899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8598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3B899B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E5E5E5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theme="0" tint="-0.249977111117893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/>
      <bottom/>
      <diagonal/>
    </border>
  </borders>
  <cellStyleXfs count="17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0" fontId="28" fillId="0" borderId="0"/>
    <xf numFmtId="9" fontId="28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7" fontId="28" fillId="0" borderId="0" applyFont="0" applyFill="0" applyBorder="0" applyAlignment="0" applyProtection="0"/>
    <xf numFmtId="0" fontId="14" fillId="0" borderId="0"/>
    <xf numFmtId="167" fontId="14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1" fillId="0" borderId="0"/>
  </cellStyleXfs>
  <cellXfs count="348">
    <xf numFmtId="0" fontId="0" fillId="0" borderId="0" xfId="0"/>
    <xf numFmtId="0" fontId="4" fillId="4" borderId="0" xfId="3" applyFill="1"/>
    <xf numFmtId="0" fontId="11" fillId="15" borderId="1" xfId="3" applyFont="1" applyFill="1" applyBorder="1" applyAlignment="1">
      <alignment horizontal="center" vertical="center" wrapText="1"/>
    </xf>
    <xf numFmtId="0" fontId="12" fillId="18" borderId="3" xfId="3" applyFont="1" applyFill="1" applyBorder="1" applyAlignment="1">
      <alignment vertical="center" wrapText="1"/>
    </xf>
    <xf numFmtId="0" fontId="13" fillId="19" borderId="4" xfId="3" applyFont="1" applyFill="1" applyBorder="1" applyAlignment="1">
      <alignment horizontal="left" wrapText="1"/>
    </xf>
    <xf numFmtId="44" fontId="14" fillId="19" borderId="4" xfId="6" applyFont="1" applyFill="1" applyBorder="1" applyAlignment="1">
      <alignment horizontal="left" wrapText="1"/>
    </xf>
    <xf numFmtId="44" fontId="4" fillId="4" borderId="0" xfId="3" applyNumberFormat="1" applyFill="1"/>
    <xf numFmtId="9" fontId="0" fillId="4" borderId="0" xfId="5" applyFont="1" applyFill="1"/>
    <xf numFmtId="0" fontId="4" fillId="4" borderId="0" xfId="3" applyFont="1" applyFill="1"/>
    <xf numFmtId="44" fontId="15" fillId="16" borderId="4" xfId="6" applyFont="1" applyFill="1" applyBorder="1" applyAlignment="1">
      <alignment horizontal="left" wrapText="1"/>
    </xf>
    <xf numFmtId="2" fontId="14" fillId="19" borderId="4" xfId="6" applyNumberFormat="1" applyFont="1" applyFill="1" applyBorder="1" applyAlignment="1">
      <alignment horizontal="center" wrapText="1"/>
    </xf>
    <xf numFmtId="3" fontId="14" fillId="19" borderId="4" xfId="6" applyNumberFormat="1" applyFont="1" applyFill="1" applyBorder="1" applyAlignment="1">
      <alignment horizontal="center" vertical="center" wrapText="1"/>
    </xf>
    <xf numFmtId="0" fontId="4" fillId="4" borderId="5" xfId="3" applyFill="1" applyBorder="1"/>
    <xf numFmtId="44" fontId="4" fillId="4" borderId="2" xfId="3" applyNumberFormat="1" applyFill="1" applyBorder="1"/>
    <xf numFmtId="0" fontId="4" fillId="4" borderId="6" xfId="3" applyFill="1" applyBorder="1"/>
    <xf numFmtId="9" fontId="0" fillId="4" borderId="2" xfId="5" applyFont="1" applyFill="1" applyBorder="1"/>
    <xf numFmtId="0" fontId="4" fillId="4" borderId="0" xfId="3" applyFill="1" applyBorder="1"/>
    <xf numFmtId="9" fontId="0" fillId="4" borderId="0" xfId="5" applyFont="1" applyFill="1" applyBorder="1"/>
    <xf numFmtId="44" fontId="0" fillId="4" borderId="2" xfId="6" applyFont="1" applyFill="1" applyBorder="1"/>
    <xf numFmtId="9" fontId="0" fillId="20" borderId="2" xfId="5" applyFont="1" applyFill="1" applyBorder="1"/>
    <xf numFmtId="0" fontId="10" fillId="4" borderId="0" xfId="3" applyFont="1" applyFill="1"/>
    <xf numFmtId="9" fontId="7" fillId="8" borderId="7" xfId="2" applyFont="1" applyFill="1" applyBorder="1" applyAlignment="1">
      <alignment horizontal="center" vertical="center" wrapText="1"/>
    </xf>
    <xf numFmtId="9" fontId="7" fillId="10" borderId="7" xfId="2" applyFont="1" applyFill="1" applyBorder="1" applyAlignment="1">
      <alignment horizontal="center" vertical="center" wrapText="1"/>
    </xf>
    <xf numFmtId="9" fontId="8" fillId="13" borderId="8" xfId="2" applyFont="1" applyFill="1" applyBorder="1" applyAlignment="1">
      <alignment horizontal="center" vertical="center" wrapText="1"/>
    </xf>
    <xf numFmtId="0" fontId="18" fillId="4" borderId="0" xfId="3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8" fillId="4" borderId="0" xfId="3" applyFont="1" applyFill="1" applyBorder="1" applyAlignment="1">
      <alignment horizontal="center" vertical="center"/>
    </xf>
    <xf numFmtId="44" fontId="18" fillId="4" borderId="0" xfId="3" applyNumberFormat="1" applyFont="1" applyFill="1" applyAlignment="1">
      <alignment horizontal="center" vertical="center"/>
    </xf>
    <xf numFmtId="3" fontId="8" fillId="17" borderId="8" xfId="0" applyNumberFormat="1" applyFont="1" applyFill="1" applyBorder="1" applyAlignment="1">
      <alignment horizontal="center" vertical="center" wrapText="1"/>
    </xf>
    <xf numFmtId="9" fontId="8" fillId="13" borderId="10" xfId="2" applyFont="1" applyFill="1" applyBorder="1" applyAlignment="1">
      <alignment horizontal="center" vertical="center" wrapText="1"/>
    </xf>
    <xf numFmtId="9" fontId="7" fillId="8" borderId="0" xfId="2" applyFont="1" applyFill="1" applyBorder="1" applyAlignment="1">
      <alignment horizontal="center" vertical="center" wrapText="1"/>
    </xf>
    <xf numFmtId="0" fontId="8" fillId="15" borderId="7" xfId="3" applyFont="1" applyFill="1" applyBorder="1" applyAlignment="1">
      <alignment horizontal="center" vertical="center" wrapText="1"/>
    </xf>
    <xf numFmtId="164" fontId="18" fillId="4" borderId="7" xfId="4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164" fontId="8" fillId="11" borderId="7" xfId="3" applyNumberFormat="1" applyFont="1" applyFill="1" applyBorder="1" applyAlignment="1">
      <alignment horizontal="center" vertical="center" wrapText="1"/>
    </xf>
    <xf numFmtId="9" fontId="8" fillId="11" borderId="7" xfId="2" applyFont="1" applyFill="1" applyBorder="1" applyAlignment="1">
      <alignment horizontal="center" vertical="center" wrapText="1"/>
    </xf>
    <xf numFmtId="3" fontId="20" fillId="4" borderId="0" xfId="0" applyNumberFormat="1" applyFont="1" applyFill="1" applyBorder="1" applyAlignment="1">
      <alignment horizontal="center" vertical="center" wrapText="1" readingOrder="1"/>
    </xf>
    <xf numFmtId="3" fontId="20" fillId="9" borderId="7" xfId="0" applyNumberFormat="1" applyFont="1" applyFill="1" applyBorder="1" applyAlignment="1">
      <alignment horizontal="center" vertical="center" wrapText="1" readingOrder="1"/>
    </xf>
    <xf numFmtId="164" fontId="8" fillId="17" borderId="7" xfId="1" applyFont="1" applyFill="1" applyBorder="1" applyAlignment="1">
      <alignment horizontal="center" vertical="center" wrapText="1"/>
    </xf>
    <xf numFmtId="164" fontId="20" fillId="4" borderId="0" xfId="1" applyFont="1" applyFill="1" applyBorder="1" applyAlignment="1">
      <alignment horizontal="center" vertical="center" wrapText="1" readingOrder="1"/>
    </xf>
    <xf numFmtId="164" fontId="20" fillId="4" borderId="7" xfId="1" applyFont="1" applyFill="1" applyBorder="1" applyAlignment="1">
      <alignment horizontal="center" vertical="center" wrapText="1" readingOrder="1"/>
    </xf>
    <xf numFmtId="164" fontId="7" fillId="8" borderId="7" xfId="1" applyFont="1" applyFill="1" applyBorder="1" applyAlignment="1">
      <alignment horizontal="center" vertical="center" wrapText="1"/>
    </xf>
    <xf numFmtId="164" fontId="8" fillId="13" borderId="10" xfId="1" applyFont="1" applyFill="1" applyBorder="1" applyAlignment="1">
      <alignment horizontal="center" vertical="center" wrapText="1"/>
    </xf>
    <xf numFmtId="164" fontId="8" fillId="12" borderId="8" xfId="1" applyFont="1" applyFill="1" applyBorder="1" applyAlignment="1">
      <alignment horizontal="center" vertical="center" wrapText="1"/>
    </xf>
    <xf numFmtId="164" fontId="8" fillId="17" borderId="8" xfId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8" fillId="17" borderId="7" xfId="4" applyNumberFormat="1" applyFont="1" applyFill="1" applyBorder="1" applyAlignment="1">
      <alignment horizontal="center" vertical="center" wrapText="1"/>
    </xf>
    <xf numFmtId="4" fontId="8" fillId="17" borderId="7" xfId="0" applyNumberFormat="1" applyFont="1" applyFill="1" applyBorder="1" applyAlignment="1">
      <alignment horizontal="center" vertical="center" wrapText="1"/>
    </xf>
    <xf numFmtId="4" fontId="8" fillId="17" borderId="7" xfId="5" applyNumberFormat="1" applyFont="1" applyFill="1" applyBorder="1" applyAlignment="1">
      <alignment horizontal="center" vertical="center" wrapText="1"/>
    </xf>
    <xf numFmtId="4" fontId="21" fillId="6" borderId="0" xfId="0" applyNumberFormat="1" applyFont="1" applyFill="1" applyBorder="1" applyAlignment="1">
      <alignment horizontal="center" vertical="center" wrapText="1"/>
    </xf>
    <xf numFmtId="4" fontId="7" fillId="8" borderId="0" xfId="0" applyNumberFormat="1" applyFont="1" applyFill="1" applyBorder="1" applyAlignment="1">
      <alignment horizontal="center" vertical="center" wrapText="1"/>
    </xf>
    <xf numFmtId="4" fontId="20" fillId="4" borderId="0" xfId="0" applyNumberFormat="1" applyFont="1" applyFill="1" applyBorder="1" applyAlignment="1">
      <alignment horizontal="center" vertical="center" wrapText="1" readingOrder="1"/>
    </xf>
    <xf numFmtId="4" fontId="7" fillId="8" borderId="7" xfId="0" applyNumberFormat="1" applyFont="1" applyFill="1" applyBorder="1" applyAlignment="1">
      <alignment horizontal="center" vertical="center" wrapText="1"/>
    </xf>
    <xf numFmtId="4" fontId="7" fillId="8" borderId="7" xfId="2" applyNumberFormat="1" applyFont="1" applyFill="1" applyBorder="1" applyAlignment="1">
      <alignment horizontal="center" vertical="center" wrapText="1"/>
    </xf>
    <xf numFmtId="4" fontId="20" fillId="4" borderId="7" xfId="0" applyNumberFormat="1" applyFont="1" applyFill="1" applyBorder="1" applyAlignment="1">
      <alignment horizontal="center" vertical="center" wrapText="1" readingOrder="1"/>
    </xf>
    <xf numFmtId="4" fontId="20" fillId="9" borderId="7" xfId="0" applyNumberFormat="1" applyFont="1" applyFill="1" applyBorder="1" applyAlignment="1">
      <alignment horizontal="center" vertical="center" wrapText="1" readingOrder="1"/>
    </xf>
    <xf numFmtId="4" fontId="7" fillId="7" borderId="7" xfId="0" applyNumberFormat="1" applyFont="1" applyFill="1" applyBorder="1" applyAlignment="1">
      <alignment horizontal="center" vertical="center" wrapText="1"/>
    </xf>
    <xf numFmtId="4" fontId="7" fillId="9" borderId="7" xfId="0" applyNumberFormat="1" applyFont="1" applyFill="1" applyBorder="1" applyAlignment="1">
      <alignment horizontal="center" vertical="center" wrapText="1"/>
    </xf>
    <xf numFmtId="4" fontId="7" fillId="5" borderId="7" xfId="0" applyNumberFormat="1" applyFont="1" applyFill="1" applyBorder="1" applyAlignment="1">
      <alignment horizontal="center" vertical="center" wrapText="1"/>
    </xf>
    <xf numFmtId="4" fontId="8" fillId="13" borderId="8" xfId="2" applyNumberFormat="1" applyFont="1" applyFill="1" applyBorder="1" applyAlignment="1">
      <alignment horizontal="center" vertical="center" wrapText="1"/>
    </xf>
    <xf numFmtId="4" fontId="8" fillId="11" borderId="8" xfId="0" applyNumberFormat="1" applyFont="1" applyFill="1" applyBorder="1" applyAlignment="1">
      <alignment horizontal="center" vertical="center" wrapText="1"/>
    </xf>
    <xf numFmtId="4" fontId="8" fillId="17" borderId="8" xfId="0" applyNumberFormat="1" applyFont="1" applyFill="1" applyBorder="1" applyAlignment="1">
      <alignment horizontal="center" vertical="center" wrapText="1"/>
    </xf>
    <xf numFmtId="164" fontId="7" fillId="0" borderId="0" xfId="1" applyFont="1" applyAlignment="1">
      <alignment horizontal="center" vertical="center"/>
    </xf>
    <xf numFmtId="164" fontId="8" fillId="13" borderId="8" xfId="1" applyFont="1" applyFill="1" applyBorder="1" applyAlignment="1">
      <alignment horizontal="center" vertical="center" wrapText="1"/>
    </xf>
    <xf numFmtId="9" fontId="7" fillId="0" borderId="0" xfId="2" applyFont="1" applyAlignment="1">
      <alignment horizontal="center" vertical="center"/>
    </xf>
    <xf numFmtId="9" fontId="8" fillId="17" borderId="7" xfId="2" applyFont="1" applyFill="1" applyBorder="1" applyAlignment="1">
      <alignment horizontal="center" vertical="center" wrapText="1"/>
    </xf>
    <xf numFmtId="9" fontId="20" fillId="4" borderId="0" xfId="2" applyFont="1" applyFill="1" applyBorder="1" applyAlignment="1">
      <alignment horizontal="center" vertical="center" wrapText="1" readingOrder="1"/>
    </xf>
    <xf numFmtId="9" fontId="8" fillId="17" borderId="8" xfId="2" applyFont="1" applyFill="1" applyBorder="1" applyAlignment="1">
      <alignment horizontal="center" vertical="center" wrapText="1"/>
    </xf>
    <xf numFmtId="9" fontId="20" fillId="9" borderId="7" xfId="2" applyFont="1" applyFill="1" applyBorder="1" applyAlignment="1">
      <alignment horizontal="center" vertical="center" wrapText="1" readingOrder="1"/>
    </xf>
    <xf numFmtId="3" fontId="8" fillId="17" borderId="7" xfId="5" applyNumberFormat="1" applyFont="1" applyFill="1" applyBorder="1" applyAlignment="1">
      <alignment horizontal="center" vertical="center" wrapText="1"/>
    </xf>
    <xf numFmtId="3" fontId="7" fillId="10" borderId="7" xfId="2" applyNumberFormat="1" applyFont="1" applyFill="1" applyBorder="1" applyAlignment="1">
      <alignment horizontal="center" vertical="center" wrapText="1"/>
    </xf>
    <xf numFmtId="3" fontId="9" fillId="14" borderId="8" xfId="2" applyNumberFormat="1" applyFont="1" applyFill="1" applyBorder="1" applyAlignment="1">
      <alignment horizontal="center" vertical="center" wrapText="1"/>
    </xf>
    <xf numFmtId="0" fontId="8" fillId="11" borderId="7" xfId="3" applyFont="1" applyFill="1" applyBorder="1" applyAlignment="1">
      <alignment horizontal="center" vertical="center" wrapText="1"/>
    </xf>
    <xf numFmtId="10" fontId="8" fillId="17" borderId="7" xfId="2" applyNumberFormat="1" applyFont="1" applyFill="1" applyBorder="1" applyAlignment="1">
      <alignment horizontal="center" vertical="center" wrapText="1"/>
    </xf>
    <xf numFmtId="10" fontId="20" fillId="4" borderId="0" xfId="2" applyNumberFormat="1" applyFont="1" applyFill="1" applyBorder="1" applyAlignment="1">
      <alignment horizontal="center" vertical="center" wrapText="1" readingOrder="1"/>
    </xf>
    <xf numFmtId="10" fontId="20" fillId="4" borderId="7" xfId="2" applyNumberFormat="1" applyFont="1" applyFill="1" applyBorder="1" applyAlignment="1">
      <alignment horizontal="center" vertical="center" wrapText="1" readingOrder="1"/>
    </xf>
    <xf numFmtId="10" fontId="7" fillId="8" borderId="7" xfId="2" applyNumberFormat="1" applyFont="1" applyFill="1" applyBorder="1" applyAlignment="1">
      <alignment horizontal="center" vertical="center" wrapText="1"/>
    </xf>
    <xf numFmtId="10" fontId="8" fillId="13" borderId="8" xfId="2" applyNumberFormat="1" applyFont="1" applyFill="1" applyBorder="1" applyAlignment="1">
      <alignment horizontal="center" vertical="center" wrapText="1"/>
    </xf>
    <xf numFmtId="10" fontId="8" fillId="17" borderId="8" xfId="2" applyNumberFormat="1" applyFont="1" applyFill="1" applyBorder="1" applyAlignment="1">
      <alignment horizontal="center" vertical="center" wrapText="1"/>
    </xf>
    <xf numFmtId="10" fontId="7" fillId="0" borderId="0" xfId="2" applyNumberFormat="1" applyFont="1" applyAlignment="1">
      <alignment horizontal="center" vertical="center"/>
    </xf>
    <xf numFmtId="164" fontId="16" fillId="0" borderId="7" xfId="4" applyFont="1" applyBorder="1" applyAlignment="1">
      <alignment horizontal="center" vertical="center"/>
    </xf>
    <xf numFmtId="9" fontId="18" fillId="4" borderId="7" xfId="2" applyFont="1" applyFill="1" applyBorder="1" applyAlignment="1">
      <alignment horizontal="center" vertical="center"/>
    </xf>
    <xf numFmtId="0" fontId="25" fillId="4" borderId="0" xfId="3" applyFont="1" applyFill="1" applyAlignment="1">
      <alignment horizontal="center" vertical="center"/>
    </xf>
    <xf numFmtId="9" fontId="18" fillId="4" borderId="0" xfId="2" applyFont="1" applyFill="1" applyAlignment="1">
      <alignment horizontal="center" vertical="center"/>
    </xf>
    <xf numFmtId="4" fontId="7" fillId="6" borderId="8" xfId="0" applyNumberFormat="1" applyFont="1" applyFill="1" applyBorder="1" applyAlignment="1">
      <alignment horizontal="center" vertical="center" wrapText="1"/>
    </xf>
    <xf numFmtId="4" fontId="7" fillId="6" borderId="7" xfId="0" applyNumberFormat="1" applyFont="1" applyFill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3" fontId="8" fillId="17" borderId="7" xfId="0" applyNumberFormat="1" applyFont="1" applyFill="1" applyBorder="1" applyAlignment="1">
      <alignment horizontal="center" vertical="center" wrapText="1"/>
    </xf>
    <xf numFmtId="3" fontId="20" fillId="4" borderId="7" xfId="0" applyNumberFormat="1" applyFont="1" applyFill="1" applyBorder="1" applyAlignment="1">
      <alignment horizontal="center" vertical="center" wrapText="1" readingOrder="1"/>
    </xf>
    <xf numFmtId="3" fontId="7" fillId="8" borderId="7" xfId="2" applyNumberFormat="1" applyFont="1" applyFill="1" applyBorder="1" applyAlignment="1">
      <alignment horizontal="center" vertical="center" wrapText="1"/>
    </xf>
    <xf numFmtId="3" fontId="8" fillId="13" borderId="8" xfId="2" applyNumberFormat="1" applyFont="1" applyFill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 wrapText="1"/>
    </xf>
    <xf numFmtId="164" fontId="7" fillId="0" borderId="0" xfId="1" applyFont="1" applyAlignment="1">
      <alignment horizontal="center" vertical="center" wrapText="1"/>
    </xf>
    <xf numFmtId="9" fontId="7" fillId="0" borderId="0" xfId="2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0" fontId="7" fillId="0" borderId="0" xfId="2" applyNumberFormat="1" applyFont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/>
    </xf>
    <xf numFmtId="4" fontId="22" fillId="0" borderId="0" xfId="0" applyNumberFormat="1" applyFont="1" applyBorder="1" applyAlignment="1">
      <alignment horizontal="center" vertical="center"/>
    </xf>
    <xf numFmtId="9" fontId="7" fillId="6" borderId="8" xfId="2" applyFont="1" applyFill="1" applyBorder="1" applyAlignment="1">
      <alignment horizontal="center" vertical="center" wrapText="1"/>
    </xf>
    <xf numFmtId="164" fontId="20" fillId="6" borderId="8" xfId="1" applyFont="1" applyFill="1" applyBorder="1" applyAlignment="1">
      <alignment horizontal="center" vertical="center" wrapText="1" readingOrder="1"/>
    </xf>
    <xf numFmtId="3" fontId="20" fillId="6" borderId="8" xfId="0" applyNumberFormat="1" applyFont="1" applyFill="1" applyBorder="1" applyAlignment="1">
      <alignment horizontal="center" vertical="center" wrapText="1" readingOrder="1"/>
    </xf>
    <xf numFmtId="10" fontId="20" fillId="6" borderId="8" xfId="2" applyNumberFormat="1" applyFont="1" applyFill="1" applyBorder="1" applyAlignment="1">
      <alignment horizontal="center" vertical="center" wrapText="1" readingOrder="1"/>
    </xf>
    <xf numFmtId="4" fontId="20" fillId="6" borderId="8" xfId="0" applyNumberFormat="1" applyFont="1" applyFill="1" applyBorder="1" applyAlignment="1">
      <alignment horizontal="center" vertical="center" wrapText="1" readingOrder="1"/>
    </xf>
    <xf numFmtId="4" fontId="7" fillId="6" borderId="0" xfId="0" applyNumberFormat="1" applyFont="1" applyFill="1" applyAlignment="1">
      <alignment horizontal="center" vertical="center"/>
    </xf>
    <xf numFmtId="0" fontId="30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0" fontId="14" fillId="25" borderId="0" xfId="9" applyFont="1" applyFill="1" applyBorder="1" applyAlignment="1">
      <alignment horizontal="right" vertical="center" wrapText="1"/>
    </xf>
    <xf numFmtId="0" fontId="14" fillId="25" borderId="0" xfId="9" applyFont="1" applyFill="1" applyBorder="1" applyAlignment="1">
      <alignment horizontal="left" vertical="center" wrapText="1"/>
    </xf>
    <xf numFmtId="0" fontId="14" fillId="0" borderId="0" xfId="9" applyFont="1" applyBorder="1" applyAlignment="1">
      <alignment horizontal="left" vertical="center"/>
    </xf>
    <xf numFmtId="0" fontId="14" fillId="25" borderId="0" xfId="9" quotePrefix="1" applyFont="1" applyFill="1" applyBorder="1" applyAlignment="1">
      <alignment horizontal="left" vertical="center" wrapText="1"/>
    </xf>
    <xf numFmtId="2" fontId="14" fillId="0" borderId="0" xfId="9" applyNumberFormat="1" applyFont="1" applyBorder="1" applyAlignment="1">
      <alignment horizontal="left" vertical="center"/>
    </xf>
    <xf numFmtId="9" fontId="14" fillId="0" borderId="0" xfId="10" applyFont="1" applyBorder="1" applyAlignment="1">
      <alignment horizontal="left" vertical="center"/>
    </xf>
    <xf numFmtId="17" fontId="14" fillId="25" borderId="0" xfId="9" applyNumberFormat="1" applyFont="1" applyFill="1" applyBorder="1" applyAlignment="1">
      <alignment horizontal="left" vertical="center" wrapText="1"/>
    </xf>
    <xf numFmtId="16" fontId="14" fillId="0" borderId="0" xfId="9" applyNumberFormat="1" applyFont="1" applyBorder="1" applyAlignment="1">
      <alignment horizontal="left" vertical="center"/>
    </xf>
    <xf numFmtId="43" fontId="14" fillId="0" borderId="0" xfId="9" applyNumberFormat="1" applyFont="1" applyBorder="1" applyAlignment="1">
      <alignment horizontal="left" vertical="center"/>
    </xf>
    <xf numFmtId="165" fontId="14" fillId="0" borderId="0" xfId="9" applyNumberFormat="1" applyFont="1" applyBorder="1" applyAlignment="1">
      <alignment horizontal="left" vertical="center"/>
    </xf>
    <xf numFmtId="166" fontId="14" fillId="25" borderId="0" xfId="9" applyNumberFormat="1" applyFont="1" applyFill="1" applyBorder="1" applyAlignment="1">
      <alignment horizontal="left" vertical="center" wrapText="1"/>
    </xf>
    <xf numFmtId="4" fontId="14" fillId="25" borderId="0" xfId="12" applyNumberFormat="1" applyFont="1" applyFill="1" applyBorder="1" applyAlignment="1">
      <alignment horizontal="left" vertical="center" wrapText="1"/>
    </xf>
    <xf numFmtId="0" fontId="14" fillId="0" borderId="0" xfId="9" applyFont="1" applyBorder="1" applyAlignment="1">
      <alignment horizontal="center" vertical="center"/>
    </xf>
    <xf numFmtId="0" fontId="34" fillId="24" borderId="40" xfId="13" applyFont="1" applyFill="1" applyBorder="1" applyAlignment="1">
      <alignment horizontal="center" vertical="center" wrapText="1"/>
    </xf>
    <xf numFmtId="167" fontId="34" fillId="24" borderId="41" xfId="14" applyFont="1" applyFill="1" applyBorder="1" applyAlignment="1">
      <alignment horizontal="center" vertical="center" wrapText="1"/>
    </xf>
    <xf numFmtId="0" fontId="34" fillId="24" borderId="41" xfId="13" applyFont="1" applyFill="1" applyBorder="1" applyAlignment="1">
      <alignment horizontal="center" vertical="center" wrapText="1"/>
    </xf>
    <xf numFmtId="0" fontId="34" fillId="24" borderId="41" xfId="9" applyFont="1" applyFill="1" applyBorder="1" applyAlignment="1">
      <alignment horizontal="center" vertical="center" wrapText="1"/>
    </xf>
    <xf numFmtId="0" fontId="34" fillId="24" borderId="42" xfId="9" applyFont="1" applyFill="1" applyBorder="1" applyAlignment="1">
      <alignment horizontal="center" vertical="center" wrapText="1"/>
    </xf>
    <xf numFmtId="0" fontId="35" fillId="0" borderId="0" xfId="9" applyFont="1" applyBorder="1" applyAlignment="1">
      <alignment horizontal="center" vertical="center"/>
    </xf>
    <xf numFmtId="0" fontId="36" fillId="0" borderId="0" xfId="9" applyFont="1" applyBorder="1" applyAlignment="1">
      <alignment horizontal="center" vertical="center"/>
    </xf>
    <xf numFmtId="0" fontId="39" fillId="26" borderId="44" xfId="9" applyFont="1" applyFill="1" applyBorder="1" applyAlignment="1">
      <alignment horizontal="center" vertical="center" wrapText="1"/>
    </xf>
    <xf numFmtId="3" fontId="40" fillId="26" borderId="2" xfId="9" quotePrefix="1" applyNumberFormat="1" applyFont="1" applyFill="1" applyBorder="1" applyAlignment="1">
      <alignment horizontal="center" vertical="center" wrapText="1"/>
    </xf>
    <xf numFmtId="3" fontId="40" fillId="26" borderId="2" xfId="9" applyNumberFormat="1" applyFont="1" applyFill="1" applyBorder="1" applyAlignment="1">
      <alignment horizontal="center" vertical="center" wrapText="1"/>
    </xf>
    <xf numFmtId="43" fontId="36" fillId="0" borderId="0" xfId="9" applyNumberFormat="1" applyFont="1" applyBorder="1" applyAlignment="1">
      <alignment horizontal="center" vertical="center"/>
    </xf>
    <xf numFmtId="168" fontId="41" fillId="0" borderId="0" xfId="15" applyFont="1" applyBorder="1" applyAlignment="1">
      <alignment horizontal="center" vertical="center"/>
    </xf>
    <xf numFmtId="168" fontId="36" fillId="0" borderId="0" xfId="15" applyFont="1" applyBorder="1" applyAlignment="1">
      <alignment horizontal="center" vertical="center"/>
    </xf>
    <xf numFmtId="0" fontId="40" fillId="26" borderId="44" xfId="9" applyFont="1" applyFill="1" applyBorder="1" applyAlignment="1">
      <alignment horizontal="center" vertical="center" wrapText="1"/>
    </xf>
    <xf numFmtId="0" fontId="40" fillId="26" borderId="2" xfId="9" applyFont="1" applyFill="1" applyBorder="1" applyAlignment="1">
      <alignment horizontal="center" vertical="center" wrapText="1"/>
    </xf>
    <xf numFmtId="167" fontId="40" fillId="26" borderId="2" xfId="12" applyFont="1" applyFill="1" applyBorder="1" applyAlignment="1">
      <alignment vertical="center" wrapText="1"/>
    </xf>
    <xf numFmtId="167" fontId="40" fillId="26" borderId="6" xfId="9" applyNumberFormat="1" applyFont="1" applyFill="1" applyBorder="1" applyAlignment="1">
      <alignment horizontal="center" vertical="center"/>
    </xf>
    <xf numFmtId="168" fontId="14" fillId="0" borderId="0" xfId="15" applyFont="1" applyBorder="1" applyAlignment="1">
      <alignment horizontal="center" vertical="center"/>
    </xf>
    <xf numFmtId="0" fontId="40" fillId="26" borderId="44" xfId="13" applyFont="1" applyFill="1" applyBorder="1" applyAlignment="1">
      <alignment horizontal="center" vertical="center" wrapText="1"/>
    </xf>
    <xf numFmtId="0" fontId="40" fillId="26" borderId="6" xfId="9" applyFont="1" applyFill="1" applyBorder="1" applyAlignment="1">
      <alignment horizontal="center" vertical="center" wrapText="1"/>
    </xf>
    <xf numFmtId="3" fontId="40" fillId="26" borderId="6" xfId="9" applyNumberFormat="1" applyFont="1" applyFill="1" applyBorder="1" applyAlignment="1">
      <alignment horizontal="center" vertical="center" wrapText="1"/>
    </xf>
    <xf numFmtId="167" fontId="40" fillId="26" borderId="6" xfId="12" applyFont="1" applyFill="1" applyBorder="1" applyAlignment="1">
      <alignment vertical="center" wrapText="1"/>
    </xf>
    <xf numFmtId="9" fontId="40" fillId="26" borderId="6" xfId="9" applyNumberFormat="1" applyFont="1" applyFill="1" applyBorder="1" applyAlignment="1">
      <alignment horizontal="center" vertical="center"/>
    </xf>
    <xf numFmtId="167" fontId="40" fillId="26" borderId="2" xfId="12" applyFont="1" applyFill="1" applyBorder="1" applyAlignment="1">
      <alignment horizontal="center" vertical="center" wrapText="1"/>
    </xf>
    <xf numFmtId="10" fontId="43" fillId="0" borderId="0" xfId="9" applyNumberFormat="1" applyFont="1" applyBorder="1" applyAlignment="1">
      <alignment horizontal="center" vertical="center"/>
    </xf>
    <xf numFmtId="168" fontId="43" fillId="0" borderId="0" xfId="15" applyFont="1" applyBorder="1" applyAlignment="1">
      <alignment horizontal="center" vertical="center"/>
    </xf>
    <xf numFmtId="43" fontId="43" fillId="0" borderId="0" xfId="9" applyNumberFormat="1" applyFont="1" applyBorder="1" applyAlignment="1">
      <alignment horizontal="center" vertical="center"/>
    </xf>
    <xf numFmtId="2" fontId="43" fillId="0" borderId="0" xfId="9" applyNumberFormat="1" applyFont="1" applyBorder="1" applyAlignment="1">
      <alignment horizontal="center" vertical="center"/>
    </xf>
    <xf numFmtId="0" fontId="40" fillId="4" borderId="44" xfId="13" applyFont="1" applyFill="1" applyBorder="1" applyAlignment="1">
      <alignment horizontal="center" vertical="center" wrapText="1"/>
    </xf>
    <xf numFmtId="0" fontId="40" fillId="0" borderId="6" xfId="9" applyFont="1" applyFill="1" applyBorder="1" applyAlignment="1">
      <alignment horizontal="center" vertical="center" wrapText="1"/>
    </xf>
    <xf numFmtId="3" fontId="40" fillId="0" borderId="6" xfId="9" applyNumberFormat="1" applyFont="1" applyFill="1" applyBorder="1" applyAlignment="1">
      <alignment horizontal="center" vertical="center" wrapText="1"/>
    </xf>
    <xf numFmtId="167" fontId="40" fillId="0" borderId="6" xfId="12" applyFont="1" applyFill="1" applyBorder="1" applyAlignment="1">
      <alignment vertical="center" wrapText="1"/>
    </xf>
    <xf numFmtId="9" fontId="40" fillId="0" borderId="6" xfId="9" applyNumberFormat="1" applyFont="1" applyFill="1" applyBorder="1" applyAlignment="1">
      <alignment horizontal="center" vertical="center"/>
    </xf>
    <xf numFmtId="167" fontId="40" fillId="0" borderId="2" xfId="12" applyFont="1" applyFill="1" applyBorder="1" applyAlignment="1">
      <alignment horizontal="center" vertical="center" wrapText="1"/>
    </xf>
    <xf numFmtId="167" fontId="40" fillId="0" borderId="2" xfId="12" applyFont="1" applyFill="1" applyBorder="1" applyAlignment="1">
      <alignment vertical="center" wrapText="1"/>
    </xf>
    <xf numFmtId="169" fontId="14" fillId="0" borderId="0" xfId="10" applyNumberFormat="1" applyFont="1" applyBorder="1" applyAlignment="1">
      <alignment horizontal="center" vertical="center"/>
    </xf>
    <xf numFmtId="0" fontId="40" fillId="4" borderId="44" xfId="9" applyFont="1" applyFill="1" applyBorder="1" applyAlignment="1">
      <alignment horizontal="center" vertical="center" wrapText="1"/>
    </xf>
    <xf numFmtId="0" fontId="39" fillId="0" borderId="44" xfId="9" applyFont="1" applyFill="1" applyBorder="1" applyAlignment="1">
      <alignment horizontal="center" vertical="center" wrapText="1"/>
    </xf>
    <xf numFmtId="3" fontId="43" fillId="0" borderId="0" xfId="9" applyNumberFormat="1" applyFont="1" applyBorder="1" applyAlignment="1">
      <alignment horizontal="center" vertical="center"/>
    </xf>
    <xf numFmtId="0" fontId="40" fillId="23" borderId="44" xfId="13" applyFont="1" applyFill="1" applyBorder="1" applyAlignment="1">
      <alignment horizontal="center" vertical="center" wrapText="1"/>
    </xf>
    <xf numFmtId="0" fontId="40" fillId="23" borderId="6" xfId="9" applyFont="1" applyFill="1" applyBorder="1" applyAlignment="1">
      <alignment horizontal="center" vertical="center" wrapText="1"/>
    </xf>
    <xf numFmtId="3" fontId="40" fillId="23" borderId="6" xfId="9" applyNumberFormat="1" applyFont="1" applyFill="1" applyBorder="1" applyAlignment="1">
      <alignment horizontal="center" vertical="center" wrapText="1"/>
    </xf>
    <xf numFmtId="167" fontId="40" fillId="23" borderId="6" xfId="12" applyFont="1" applyFill="1" applyBorder="1" applyAlignment="1">
      <alignment vertical="center" wrapText="1"/>
    </xf>
    <xf numFmtId="9" fontId="40" fillId="23" borderId="6" xfId="9" applyNumberFormat="1" applyFont="1" applyFill="1" applyBorder="1" applyAlignment="1">
      <alignment horizontal="center" vertical="center"/>
    </xf>
    <xf numFmtId="167" fontId="40" fillId="23" borderId="2" xfId="12" applyFont="1" applyFill="1" applyBorder="1" applyAlignment="1">
      <alignment horizontal="center" vertical="center" wrapText="1"/>
    </xf>
    <xf numFmtId="167" fontId="40" fillId="23" borderId="2" xfId="12" applyFont="1" applyFill="1" applyBorder="1" applyAlignment="1">
      <alignment vertical="center" wrapText="1"/>
    </xf>
    <xf numFmtId="0" fontId="40" fillId="23" borderId="44" xfId="9" applyFont="1" applyFill="1" applyBorder="1" applyAlignment="1">
      <alignment horizontal="center" vertical="center" wrapText="1"/>
    </xf>
    <xf numFmtId="9" fontId="14" fillId="0" borderId="0" xfId="10" applyFont="1" applyBorder="1" applyAlignment="1">
      <alignment horizontal="center" vertical="center"/>
    </xf>
    <xf numFmtId="0" fontId="39" fillId="23" borderId="44" xfId="9" applyFont="1" applyFill="1" applyBorder="1" applyAlignment="1">
      <alignment horizontal="center" vertical="center" wrapText="1"/>
    </xf>
    <xf numFmtId="0" fontId="43" fillId="0" borderId="0" xfId="9" applyFont="1" applyBorder="1" applyAlignment="1">
      <alignment horizontal="center" vertical="center"/>
    </xf>
    <xf numFmtId="10" fontId="43" fillId="22" borderId="0" xfId="9" applyNumberFormat="1" applyFont="1" applyFill="1" applyBorder="1" applyAlignment="1">
      <alignment horizontal="center" vertical="center"/>
    </xf>
    <xf numFmtId="3" fontId="43" fillId="22" borderId="0" xfId="9" applyNumberFormat="1" applyFont="1" applyFill="1" applyBorder="1" applyAlignment="1">
      <alignment horizontal="center" vertical="center"/>
    </xf>
    <xf numFmtId="43" fontId="43" fillId="22" borderId="0" xfId="9" applyNumberFormat="1" applyFont="1" applyFill="1" applyBorder="1" applyAlignment="1">
      <alignment horizontal="center" vertical="center"/>
    </xf>
    <xf numFmtId="2" fontId="43" fillId="22" borderId="0" xfId="9" applyNumberFormat="1" applyFont="1" applyFill="1" applyBorder="1" applyAlignment="1">
      <alignment horizontal="center" vertical="center"/>
    </xf>
    <xf numFmtId="0" fontId="43" fillId="22" borderId="0" xfId="9" applyFont="1" applyFill="1" applyBorder="1" applyAlignment="1">
      <alignment horizontal="center" vertical="center"/>
    </xf>
    <xf numFmtId="168" fontId="43" fillId="22" borderId="0" xfId="15" applyFont="1" applyFill="1" applyBorder="1" applyAlignment="1">
      <alignment horizontal="center" vertical="center"/>
    </xf>
    <xf numFmtId="0" fontId="14" fillId="0" borderId="0" xfId="9" applyFont="1" applyAlignment="1">
      <alignment horizontal="center" vertical="center" textRotation="90" wrapText="1"/>
    </xf>
    <xf numFmtId="0" fontId="14" fillId="0" borderId="0" xfId="9" applyFont="1" applyAlignment="1">
      <alignment horizontal="center" vertical="center" wrapText="1"/>
    </xf>
    <xf numFmtId="0" fontId="14" fillId="4" borderId="0" xfId="9" applyFont="1" applyFill="1" applyBorder="1" applyAlignment="1">
      <alignment horizontal="center" vertical="center" wrapText="1"/>
    </xf>
    <xf numFmtId="0" fontId="44" fillId="22" borderId="0" xfId="9" applyFont="1" applyFill="1" applyAlignment="1">
      <alignment horizontal="center" vertical="center" wrapText="1"/>
    </xf>
    <xf numFmtId="168" fontId="44" fillId="22" borderId="0" xfId="15" applyFont="1" applyFill="1" applyAlignment="1">
      <alignment horizontal="center" vertical="center" wrapText="1"/>
    </xf>
    <xf numFmtId="170" fontId="44" fillId="22" borderId="0" xfId="9" applyNumberFormat="1" applyFont="1" applyFill="1" applyAlignment="1">
      <alignment horizontal="center" vertical="center" wrapText="1"/>
    </xf>
    <xf numFmtId="167" fontId="14" fillId="0" borderId="0" xfId="9" applyNumberFormat="1" applyFont="1" applyAlignment="1">
      <alignment horizontal="center" vertical="center" wrapText="1"/>
    </xf>
    <xf numFmtId="0" fontId="14" fillId="0" borderId="0" xfId="9" applyFont="1" applyAlignment="1">
      <alignment horizontal="left" vertical="top" wrapText="1"/>
    </xf>
    <xf numFmtId="43" fontId="14" fillId="0" borderId="0" xfId="9" applyNumberFormat="1" applyFont="1" applyAlignment="1">
      <alignment horizontal="center" vertical="center" wrapText="1"/>
    </xf>
    <xf numFmtId="0" fontId="14" fillId="0" borderId="0" xfId="9" applyFont="1" applyBorder="1" applyAlignment="1">
      <alignment horizontal="left" vertical="center" wrapText="1"/>
    </xf>
    <xf numFmtId="0" fontId="14" fillId="0" borderId="0" xfId="9" applyFont="1" applyFill="1" applyAlignment="1">
      <alignment horizontal="center" vertical="center" wrapText="1"/>
    </xf>
    <xf numFmtId="0" fontId="45" fillId="0" borderId="0" xfId="9" applyFont="1" applyAlignment="1">
      <alignment horizontal="center" vertical="center" wrapText="1"/>
    </xf>
    <xf numFmtId="0" fontId="46" fillId="0" borderId="0" xfId="9" applyFont="1" applyAlignment="1">
      <alignment horizontal="left" vertical="center" wrapText="1"/>
    </xf>
    <xf numFmtId="0" fontId="40" fillId="27" borderId="44" xfId="9" applyFont="1" applyFill="1" applyBorder="1" applyAlignment="1">
      <alignment horizontal="center" vertical="center" wrapText="1"/>
    </xf>
    <xf numFmtId="0" fontId="40" fillId="27" borderId="6" xfId="9" applyFont="1" applyFill="1" applyBorder="1" applyAlignment="1">
      <alignment horizontal="center" vertical="center" wrapText="1"/>
    </xf>
    <xf numFmtId="3" fontId="40" fillId="27" borderId="6" xfId="9" applyNumberFormat="1" applyFont="1" applyFill="1" applyBorder="1" applyAlignment="1">
      <alignment horizontal="center" vertical="center" wrapText="1"/>
    </xf>
    <xf numFmtId="167" fontId="40" fillId="27" borderId="6" xfId="12" applyFont="1" applyFill="1" applyBorder="1" applyAlignment="1">
      <alignment vertical="center" wrapText="1"/>
    </xf>
    <xf numFmtId="9" fontId="40" fillId="27" borderId="6" xfId="9" applyNumberFormat="1" applyFont="1" applyFill="1" applyBorder="1" applyAlignment="1">
      <alignment horizontal="center" vertical="center"/>
    </xf>
    <xf numFmtId="167" fontId="40" fillId="27" borderId="2" xfId="12" applyFont="1" applyFill="1" applyBorder="1" applyAlignment="1">
      <alignment horizontal="center" vertical="center" wrapText="1"/>
    </xf>
    <xf numFmtId="167" fontId="40" fillId="27" borderId="2" xfId="12" applyFont="1" applyFill="1" applyBorder="1" applyAlignment="1">
      <alignment vertical="center" wrapText="1"/>
    </xf>
    <xf numFmtId="0" fontId="39" fillId="27" borderId="44" xfId="9" applyFont="1" applyFill="1" applyBorder="1" applyAlignment="1">
      <alignment horizontal="center" vertical="center" wrapText="1"/>
    </xf>
    <xf numFmtId="4" fontId="7" fillId="8" borderId="50" xfId="0" applyNumberFormat="1" applyFont="1" applyFill="1" applyBorder="1" applyAlignment="1">
      <alignment horizontal="center" vertical="center" wrapText="1"/>
    </xf>
    <xf numFmtId="4" fontId="7" fillId="7" borderId="50" xfId="0" applyNumberFormat="1" applyFont="1" applyFill="1" applyBorder="1" applyAlignment="1">
      <alignment horizontal="center" vertical="center" wrapText="1"/>
    </xf>
    <xf numFmtId="4" fontId="7" fillId="5" borderId="50" xfId="0" applyNumberFormat="1" applyFont="1" applyFill="1" applyBorder="1" applyAlignment="1">
      <alignment horizontal="center" vertical="center" wrapText="1"/>
    </xf>
    <xf numFmtId="4" fontId="7" fillId="6" borderId="12" xfId="0" applyNumberFormat="1" applyFont="1" applyFill="1" applyBorder="1" applyAlignment="1">
      <alignment horizontal="center" vertical="center" wrapText="1"/>
    </xf>
    <xf numFmtId="3" fontId="48" fillId="24" borderId="0" xfId="9" applyNumberFormat="1" applyFont="1" applyFill="1" applyBorder="1" applyAlignment="1">
      <alignment horizontal="right" vertical="center" wrapText="1"/>
    </xf>
    <xf numFmtId="167" fontId="48" fillId="24" borderId="0" xfId="12" applyFont="1" applyFill="1" applyBorder="1" applyAlignment="1">
      <alignment horizontal="right" vertical="center" wrapText="1"/>
    </xf>
    <xf numFmtId="9" fontId="48" fillId="24" borderId="0" xfId="10" applyFont="1" applyFill="1" applyBorder="1" applyAlignment="1">
      <alignment horizontal="right" vertical="center" wrapText="1"/>
    </xf>
    <xf numFmtId="0" fontId="27" fillId="0" borderId="0" xfId="16" applyFont="1" applyAlignment="1">
      <alignment horizontal="center" vertical="center"/>
    </xf>
    <xf numFmtId="0" fontId="26" fillId="17" borderId="0" xfId="16" applyFont="1" applyFill="1" applyAlignment="1">
      <alignment horizontal="center" vertical="center"/>
    </xf>
    <xf numFmtId="0" fontId="27" fillId="0" borderId="17" xfId="16" applyFont="1" applyFill="1" applyBorder="1" applyAlignment="1">
      <alignment horizontal="center" vertical="center" wrapText="1"/>
    </xf>
    <xf numFmtId="0" fontId="27" fillId="0" borderId="17" xfId="16" applyFont="1" applyFill="1" applyBorder="1" applyAlignment="1">
      <alignment horizontal="left" vertical="center" wrapText="1"/>
    </xf>
    <xf numFmtId="0" fontId="27" fillId="0" borderId="18" xfId="16" applyFont="1" applyFill="1" applyBorder="1" applyAlignment="1">
      <alignment horizontal="left" vertical="center"/>
    </xf>
    <xf numFmtId="0" fontId="27" fillId="0" borderId="20" xfId="16" applyFont="1" applyFill="1" applyBorder="1" applyAlignment="1">
      <alignment horizontal="center" vertical="center"/>
    </xf>
    <xf numFmtId="0" fontId="27" fillId="0" borderId="20" xfId="16" applyFont="1" applyFill="1" applyBorder="1" applyAlignment="1">
      <alignment horizontal="left" vertical="center" wrapText="1"/>
    </xf>
    <xf numFmtId="0" fontId="27" fillId="0" borderId="21" xfId="16" applyFont="1" applyFill="1" applyBorder="1" applyAlignment="1">
      <alignment horizontal="left" vertical="center" wrapText="1"/>
    </xf>
    <xf numFmtId="0" fontId="22" fillId="0" borderId="1" xfId="16" applyFont="1" applyFill="1" applyBorder="1" applyAlignment="1">
      <alignment horizontal="center" vertical="center"/>
    </xf>
    <xf numFmtId="0" fontId="27" fillId="0" borderId="17" xfId="16" applyFont="1" applyFill="1" applyBorder="1" applyAlignment="1">
      <alignment horizontal="center" vertical="center"/>
    </xf>
    <xf numFmtId="0" fontId="27" fillId="0" borderId="18" xfId="16" applyFont="1" applyFill="1" applyBorder="1" applyAlignment="1">
      <alignment horizontal="left" vertical="center" wrapText="1"/>
    </xf>
    <xf numFmtId="0" fontId="1" fillId="0" borderId="0" xfId="16"/>
    <xf numFmtId="0" fontId="27" fillId="0" borderId="20" xfId="16" applyFont="1" applyFill="1" applyBorder="1" applyAlignment="1">
      <alignment horizontal="left" vertical="center"/>
    </xf>
    <xf numFmtId="0" fontId="27" fillId="0" borderId="0" xfId="16" applyFont="1" applyAlignment="1">
      <alignment horizontal="left" vertical="center"/>
    </xf>
    <xf numFmtId="0" fontId="26" fillId="17" borderId="23" xfId="16" applyFont="1" applyFill="1" applyBorder="1" applyAlignment="1">
      <alignment horizontal="center" vertical="center"/>
    </xf>
    <xf numFmtId="0" fontId="26" fillId="17" borderId="24" xfId="16" applyFont="1" applyFill="1" applyBorder="1" applyAlignment="1">
      <alignment horizontal="center" vertical="center"/>
    </xf>
    <xf numFmtId="0" fontId="22" fillId="0" borderId="23" xfId="16" applyFont="1" applyFill="1" applyBorder="1" applyAlignment="1">
      <alignment horizontal="center" vertical="center"/>
    </xf>
    <xf numFmtId="0" fontId="27" fillId="0" borderId="25" xfId="16" applyFont="1" applyFill="1" applyBorder="1" applyAlignment="1">
      <alignment horizontal="center" vertical="center"/>
    </xf>
    <xf numFmtId="3" fontId="8" fillId="17" borderId="7" xfId="4" applyNumberFormat="1" applyFont="1" applyFill="1" applyBorder="1" applyAlignment="1">
      <alignment horizontal="center" vertical="center" wrapText="1"/>
    </xf>
    <xf numFmtId="3" fontId="20" fillId="4" borderId="0" xfId="4" applyNumberFormat="1" applyFont="1" applyFill="1" applyBorder="1" applyAlignment="1">
      <alignment horizontal="center" vertical="center" wrapText="1" readingOrder="1"/>
    </xf>
    <xf numFmtId="3" fontId="20" fillId="4" borderId="7" xfId="4" applyNumberFormat="1" applyFont="1" applyFill="1" applyBorder="1" applyAlignment="1">
      <alignment horizontal="center" vertical="center" wrapText="1" readingOrder="1"/>
    </xf>
    <xf numFmtId="3" fontId="20" fillId="6" borderId="8" xfId="4" applyNumberFormat="1" applyFont="1" applyFill="1" applyBorder="1" applyAlignment="1">
      <alignment horizontal="center" vertical="center" wrapText="1" readingOrder="1"/>
    </xf>
    <xf numFmtId="3" fontId="8" fillId="13" borderId="10" xfId="1" applyNumberFormat="1" applyFont="1" applyFill="1" applyBorder="1" applyAlignment="1">
      <alignment horizontal="center" vertical="center" wrapText="1"/>
    </xf>
    <xf numFmtId="171" fontId="8" fillId="17" borderId="7" xfId="1" applyNumberFormat="1" applyFont="1" applyFill="1" applyBorder="1" applyAlignment="1">
      <alignment horizontal="center" vertical="center" wrapText="1"/>
    </xf>
    <xf numFmtId="171" fontId="7" fillId="8" borderId="0" xfId="1" applyNumberFormat="1" applyFont="1" applyFill="1" applyBorder="1" applyAlignment="1">
      <alignment horizontal="center" vertical="center" wrapText="1"/>
    </xf>
    <xf numFmtId="171" fontId="7" fillId="8" borderId="7" xfId="1" applyNumberFormat="1" applyFont="1" applyFill="1" applyBorder="1" applyAlignment="1">
      <alignment horizontal="center" vertical="center" wrapText="1"/>
    </xf>
    <xf numFmtId="171" fontId="7" fillId="7" borderId="7" xfId="1" applyNumberFormat="1" applyFont="1" applyFill="1" applyBorder="1" applyAlignment="1">
      <alignment horizontal="center" vertical="center" wrapText="1"/>
    </xf>
    <xf numFmtId="171" fontId="7" fillId="6" borderId="7" xfId="1" applyNumberFormat="1" applyFont="1" applyFill="1" applyBorder="1" applyAlignment="1">
      <alignment horizontal="center" vertical="center" wrapText="1"/>
    </xf>
    <xf numFmtId="171" fontId="7" fillId="3" borderId="7" xfId="1" applyNumberFormat="1" applyFont="1" applyFill="1" applyBorder="1" applyAlignment="1">
      <alignment horizontal="center" vertical="center" wrapText="1"/>
    </xf>
    <xf numFmtId="171" fontId="7" fillId="5" borderId="7" xfId="1" applyNumberFormat="1" applyFont="1" applyFill="1" applyBorder="1" applyAlignment="1">
      <alignment horizontal="center" vertical="center" wrapText="1"/>
    </xf>
    <xf numFmtId="171" fontId="7" fillId="6" borderId="8" xfId="1" applyNumberFormat="1" applyFont="1" applyFill="1" applyBorder="1" applyAlignment="1">
      <alignment horizontal="center" vertical="center" wrapText="1"/>
    </xf>
    <xf numFmtId="171" fontId="8" fillId="12" borderId="10" xfId="1" applyNumberFormat="1" applyFont="1" applyFill="1" applyBorder="1" applyAlignment="1">
      <alignment horizontal="center" vertical="center" wrapText="1"/>
    </xf>
    <xf numFmtId="171" fontId="8" fillId="12" borderId="8" xfId="1" applyNumberFormat="1" applyFont="1" applyFill="1" applyBorder="1" applyAlignment="1">
      <alignment horizontal="center" vertical="center" wrapText="1"/>
    </xf>
    <xf numFmtId="171" fontId="7" fillId="0" borderId="0" xfId="1" applyNumberFormat="1" applyFont="1" applyAlignment="1">
      <alignment horizontal="center" vertical="center" wrapText="1"/>
    </xf>
    <xf numFmtId="171" fontId="8" fillId="17" borderId="8" xfId="1" applyNumberFormat="1" applyFont="1" applyFill="1" applyBorder="1" applyAlignment="1">
      <alignment horizontal="center" vertical="center" wrapText="1"/>
    </xf>
    <xf numFmtId="171" fontId="7" fillId="0" borderId="0" xfId="1" applyNumberFormat="1" applyFont="1" applyAlignment="1">
      <alignment horizontal="center" vertical="center"/>
    </xf>
    <xf numFmtId="164" fontId="7" fillId="0" borderId="8" xfId="1" applyFont="1" applyFill="1" applyBorder="1" applyAlignment="1">
      <alignment horizontal="center" vertical="center" wrapText="1"/>
    </xf>
    <xf numFmtId="10" fontId="7" fillId="0" borderId="8" xfId="2" applyNumberFormat="1" applyFont="1" applyFill="1" applyBorder="1" applyAlignment="1">
      <alignment horizontal="center" vertical="center" wrapText="1"/>
    </xf>
    <xf numFmtId="164" fontId="20" fillId="0" borderId="8" xfId="1" applyFont="1" applyFill="1" applyBorder="1" applyAlignment="1">
      <alignment horizontal="center" vertical="center" wrapText="1" readingOrder="1"/>
    </xf>
    <xf numFmtId="10" fontId="20" fillId="0" borderId="8" xfId="2" applyNumberFormat="1" applyFont="1" applyFill="1" applyBorder="1" applyAlignment="1">
      <alignment horizontal="center" vertical="center" wrapText="1" readingOrder="1"/>
    </xf>
    <xf numFmtId="164" fontId="18" fillId="4" borderId="0" xfId="1" applyFont="1" applyFill="1" applyAlignment="1">
      <alignment horizontal="center" vertical="center"/>
    </xf>
    <xf numFmtId="4" fontId="7" fillId="0" borderId="8" xfId="0" applyNumberFormat="1" applyFont="1" applyFill="1" applyBorder="1" applyAlignment="1">
      <alignment horizontal="center" vertical="center" wrapText="1"/>
    </xf>
    <xf numFmtId="171" fontId="7" fillId="0" borderId="8" xfId="1" applyNumberFormat="1" applyFont="1" applyFill="1" applyBorder="1" applyAlignment="1">
      <alignment horizontal="center" vertical="center" wrapText="1"/>
    </xf>
    <xf numFmtId="9" fontId="7" fillId="0" borderId="8" xfId="2" applyFont="1" applyFill="1" applyBorder="1" applyAlignment="1">
      <alignment horizontal="center" vertical="center" wrapText="1"/>
    </xf>
    <xf numFmtId="3" fontId="20" fillId="0" borderId="8" xfId="0" applyNumberFormat="1" applyFont="1" applyFill="1" applyBorder="1" applyAlignment="1">
      <alignment horizontal="center" vertical="center" wrapText="1" readingOrder="1"/>
    </xf>
    <xf numFmtId="4" fontId="20" fillId="0" borderId="8" xfId="5" applyNumberFormat="1" applyFont="1" applyFill="1" applyBorder="1" applyAlignment="1">
      <alignment horizontal="center" vertical="center" wrapText="1" readingOrder="1"/>
    </xf>
    <xf numFmtId="3" fontId="20" fillId="0" borderId="8" xfId="4" applyNumberFormat="1" applyFont="1" applyFill="1" applyBorder="1" applyAlignment="1">
      <alignment horizontal="center" vertical="center" wrapText="1" readingOrder="1"/>
    </xf>
    <xf numFmtId="4" fontId="20" fillId="0" borderId="8" xfId="0" applyNumberFormat="1" applyFont="1" applyFill="1" applyBorder="1" applyAlignment="1">
      <alignment horizontal="center" vertical="center" wrapText="1" readingOrder="1"/>
    </xf>
    <xf numFmtId="4" fontId="7" fillId="0" borderId="0" xfId="0" applyNumberFormat="1" applyFont="1" applyFill="1" applyAlignment="1">
      <alignment horizontal="center" vertical="center"/>
    </xf>
    <xf numFmtId="4" fontId="7" fillId="0" borderId="8" xfId="0" applyNumberFormat="1" applyFont="1" applyFill="1" applyBorder="1" applyAlignment="1">
      <alignment horizontal="center" vertical="center"/>
    </xf>
    <xf numFmtId="172" fontId="20" fillId="0" borderId="8" xfId="1" applyNumberFormat="1" applyFont="1" applyFill="1" applyBorder="1" applyAlignment="1">
      <alignment horizontal="center" vertical="center" wrapText="1" readingOrder="1"/>
    </xf>
    <xf numFmtId="4" fontId="7" fillId="0" borderId="12" xfId="0" applyNumberFormat="1" applyFont="1" applyFill="1" applyBorder="1" applyAlignment="1">
      <alignment horizontal="center" vertical="center" wrapText="1"/>
    </xf>
    <xf numFmtId="4" fontId="7" fillId="0" borderId="10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164" fontId="16" fillId="4" borderId="7" xfId="4" applyFont="1" applyFill="1" applyBorder="1" applyAlignment="1">
      <alignment horizontal="center" vertical="center"/>
    </xf>
    <xf numFmtId="4" fontId="7" fillId="0" borderId="10" xfId="0" applyNumberFormat="1" applyFont="1" applyFill="1" applyBorder="1" applyAlignment="1">
      <alignment horizontal="center" vertical="center" wrapText="1"/>
    </xf>
    <xf numFmtId="4" fontId="7" fillId="0" borderId="8" xfId="0" applyNumberFormat="1" applyFont="1" applyFill="1" applyBorder="1" applyAlignment="1">
      <alignment horizontal="center" vertical="center" wrapText="1"/>
    </xf>
    <xf numFmtId="4" fontId="7" fillId="0" borderId="8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164" fontId="20" fillId="0" borderId="8" xfId="1" applyFont="1" applyFill="1" applyBorder="1" applyAlignment="1">
      <alignment horizontal="center" wrapText="1" readingOrder="1"/>
    </xf>
    <xf numFmtId="4" fontId="7" fillId="0" borderId="10" xfId="0" applyNumberFormat="1" applyFont="1" applyFill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 vertical="center" wrapText="1"/>
    </xf>
    <xf numFmtId="164" fontId="20" fillId="4" borderId="7" xfId="4" applyFont="1" applyFill="1" applyBorder="1" applyAlignment="1">
      <alignment horizontal="center" vertical="center" wrapText="1" readingOrder="1"/>
    </xf>
    <xf numFmtId="0" fontId="8" fillId="11" borderId="7" xfId="3" applyFont="1" applyFill="1" applyBorder="1" applyAlignment="1">
      <alignment horizontal="center" vertical="center" wrapText="1"/>
    </xf>
    <xf numFmtId="0" fontId="8" fillId="4" borderId="13" xfId="3" applyFont="1" applyFill="1" applyBorder="1" applyAlignment="1">
      <alignment horizontal="center" vertical="center" wrapText="1"/>
    </xf>
    <xf numFmtId="0" fontId="8" fillId="4" borderId="0" xfId="3" applyFont="1" applyFill="1" applyBorder="1" applyAlignment="1">
      <alignment horizontal="center" vertical="center" wrapText="1"/>
    </xf>
    <xf numFmtId="9" fontId="20" fillId="4" borderId="7" xfId="2" applyNumberFormat="1" applyFont="1" applyFill="1" applyBorder="1" applyAlignment="1">
      <alignment horizontal="center" vertical="center" wrapText="1" readingOrder="1"/>
    </xf>
    <xf numFmtId="9" fontId="20" fillId="4" borderId="7" xfId="2" applyFont="1" applyFill="1" applyBorder="1" applyAlignment="1">
      <alignment horizontal="center" vertical="center" wrapText="1" readingOrder="1"/>
    </xf>
    <xf numFmtId="0" fontId="24" fillId="4" borderId="13" xfId="3" applyFont="1" applyFill="1" applyBorder="1" applyAlignment="1">
      <alignment horizontal="center" vertical="center" wrapText="1"/>
    </xf>
    <xf numFmtId="0" fontId="24" fillId="4" borderId="0" xfId="3" applyFont="1" applyFill="1" applyBorder="1" applyAlignment="1">
      <alignment horizontal="center" vertical="center" wrapText="1"/>
    </xf>
    <xf numFmtId="0" fontId="6" fillId="4" borderId="7" xfId="3" applyFont="1" applyFill="1" applyBorder="1" applyAlignment="1">
      <alignment horizontal="center" vertical="center" wrapText="1"/>
    </xf>
    <xf numFmtId="0" fontId="19" fillId="4" borderId="7" xfId="3" applyFont="1" applyFill="1" applyBorder="1" applyAlignment="1">
      <alignment horizontal="center" vertical="center" wrapText="1" readingOrder="1"/>
    </xf>
    <xf numFmtId="14" fontId="20" fillId="4" borderId="7" xfId="3" applyNumberFormat="1" applyFont="1" applyFill="1" applyBorder="1" applyAlignment="1">
      <alignment horizontal="center" vertical="center" wrapText="1" readingOrder="1"/>
    </xf>
    <xf numFmtId="4" fontId="7" fillId="0" borderId="54" xfId="0" applyNumberFormat="1" applyFont="1" applyFill="1" applyBorder="1" applyAlignment="1">
      <alignment horizontal="center" vertical="center" wrapText="1"/>
    </xf>
    <xf numFmtId="4" fontId="7" fillId="0" borderId="14" xfId="0" applyNumberFormat="1" applyFont="1" applyFill="1" applyBorder="1" applyAlignment="1">
      <alignment horizontal="center" vertical="center" wrapText="1"/>
    </xf>
    <xf numFmtId="4" fontId="7" fillId="0" borderId="10" xfId="0" applyNumberFormat="1" applyFont="1" applyFill="1" applyBorder="1" applyAlignment="1">
      <alignment horizontal="center" vertical="center" wrapText="1"/>
    </xf>
    <xf numFmtId="4" fontId="8" fillId="17" borderId="9" xfId="4" applyNumberFormat="1" applyFont="1" applyFill="1" applyBorder="1" applyAlignment="1">
      <alignment horizontal="center" vertical="center" wrapText="1"/>
    </xf>
    <xf numFmtId="4" fontId="8" fillId="17" borderId="11" xfId="4" applyNumberFormat="1" applyFont="1" applyFill="1" applyBorder="1" applyAlignment="1">
      <alignment horizontal="center" vertical="center" wrapText="1"/>
    </xf>
    <xf numFmtId="4" fontId="8" fillId="17" borderId="12" xfId="4" applyNumberFormat="1" applyFont="1" applyFill="1" applyBorder="1" applyAlignment="1">
      <alignment horizontal="center" vertical="center" wrapText="1"/>
    </xf>
    <xf numFmtId="4" fontId="8" fillId="11" borderId="10" xfId="0" applyNumberFormat="1" applyFont="1" applyFill="1" applyBorder="1" applyAlignment="1">
      <alignment horizontal="center" vertical="center"/>
    </xf>
    <xf numFmtId="4" fontId="8" fillId="11" borderId="8" xfId="0" applyNumberFormat="1" applyFont="1" applyFill="1" applyBorder="1" applyAlignment="1">
      <alignment horizontal="center" vertical="center"/>
    </xf>
    <xf numFmtId="4" fontId="6" fillId="0" borderId="54" xfId="0" applyNumberFormat="1" applyFont="1" applyFill="1" applyBorder="1" applyAlignment="1">
      <alignment horizontal="center" vertical="center"/>
    </xf>
    <xf numFmtId="4" fontId="6" fillId="0" borderId="14" xfId="0" applyNumberFormat="1" applyFont="1" applyFill="1" applyBorder="1" applyAlignment="1">
      <alignment horizontal="center" vertical="center"/>
    </xf>
    <xf numFmtId="4" fontId="23" fillId="21" borderId="0" xfId="0" applyNumberFormat="1" applyFont="1" applyFill="1" applyBorder="1" applyAlignment="1">
      <alignment horizontal="left" vertical="center"/>
    </xf>
    <xf numFmtId="4" fontId="23" fillId="21" borderId="15" xfId="0" applyNumberFormat="1" applyFont="1" applyFill="1" applyBorder="1" applyAlignment="1">
      <alignment horizontal="left" vertical="center"/>
    </xf>
    <xf numFmtId="4" fontId="8" fillId="11" borderId="14" xfId="0" applyNumberFormat="1" applyFont="1" applyFill="1" applyBorder="1" applyAlignment="1">
      <alignment horizontal="center" vertical="center"/>
    </xf>
    <xf numFmtId="4" fontId="21" fillId="6" borderId="8" xfId="0" applyNumberFormat="1" applyFont="1" applyFill="1" applyBorder="1" applyAlignment="1">
      <alignment horizontal="center" vertical="center" wrapText="1"/>
    </xf>
    <xf numFmtId="4" fontId="21" fillId="6" borderId="9" xfId="0" applyNumberFormat="1" applyFont="1" applyFill="1" applyBorder="1" applyAlignment="1">
      <alignment horizontal="center" vertical="center" wrapText="1"/>
    </xf>
    <xf numFmtId="4" fontId="7" fillId="6" borderId="50" xfId="0" applyNumberFormat="1" applyFont="1" applyFill="1" applyBorder="1" applyAlignment="1">
      <alignment horizontal="center" vertical="center" wrapText="1"/>
    </xf>
    <xf numFmtId="4" fontId="6" fillId="4" borderId="50" xfId="0" applyNumberFormat="1" applyFont="1" applyFill="1" applyBorder="1" applyAlignment="1">
      <alignment horizontal="center" vertical="center"/>
    </xf>
    <xf numFmtId="4" fontId="7" fillId="3" borderId="50" xfId="0" applyNumberFormat="1" applyFont="1" applyFill="1" applyBorder="1" applyAlignment="1">
      <alignment horizontal="center" vertical="center" wrapText="1"/>
    </xf>
    <xf numFmtId="4" fontId="7" fillId="0" borderId="8" xfId="0" applyNumberFormat="1" applyFont="1" applyFill="1" applyBorder="1" applyAlignment="1">
      <alignment horizontal="center" vertical="center" wrapText="1"/>
    </xf>
    <xf numFmtId="4" fontId="7" fillId="6" borderId="51" xfId="0" applyNumberFormat="1" applyFont="1" applyFill="1" applyBorder="1" applyAlignment="1">
      <alignment horizontal="center" vertical="center" wrapText="1"/>
    </xf>
    <xf numFmtId="4" fontId="7" fillId="6" borderId="52" xfId="0" applyNumberFormat="1" applyFont="1" applyFill="1" applyBorder="1" applyAlignment="1">
      <alignment horizontal="center" vertical="center" wrapText="1"/>
    </xf>
    <xf numFmtId="4" fontId="7" fillId="6" borderId="53" xfId="0" applyNumberFormat="1" applyFont="1" applyFill="1" applyBorder="1" applyAlignment="1">
      <alignment horizontal="center" vertical="center" wrapText="1"/>
    </xf>
    <xf numFmtId="4" fontId="21" fillId="6" borderId="55" xfId="0" applyNumberFormat="1" applyFont="1" applyFill="1" applyBorder="1" applyAlignment="1">
      <alignment horizontal="center" vertical="center" wrapText="1"/>
    </xf>
    <xf numFmtId="4" fontId="21" fillId="6" borderId="56" xfId="0" applyNumberFormat="1" applyFont="1" applyFill="1" applyBorder="1" applyAlignment="1">
      <alignment horizontal="center" vertical="center" wrapText="1"/>
    </xf>
    <xf numFmtId="0" fontId="46" fillId="0" borderId="0" xfId="9" applyFont="1" applyAlignment="1">
      <alignment horizontal="left" vertical="center" wrapText="1"/>
    </xf>
    <xf numFmtId="0" fontId="37" fillId="26" borderId="43" xfId="9" applyFont="1" applyFill="1" applyBorder="1" applyAlignment="1">
      <alignment horizontal="center" vertical="center" textRotation="90" wrapText="1"/>
    </xf>
    <xf numFmtId="0" fontId="37" fillId="26" borderId="46" xfId="9" applyFont="1" applyFill="1" applyBorder="1" applyAlignment="1">
      <alignment horizontal="center" vertical="center" textRotation="90" wrapText="1"/>
    </xf>
    <xf numFmtId="0" fontId="47" fillId="24" borderId="0" xfId="9" applyFont="1" applyFill="1" applyBorder="1" applyAlignment="1">
      <alignment horizontal="center" vertical="center" wrapText="1"/>
    </xf>
    <xf numFmtId="0" fontId="29" fillId="24" borderId="29" xfId="9" applyFont="1" applyFill="1" applyBorder="1" applyAlignment="1">
      <alignment horizontal="center" vertical="center" wrapText="1"/>
    </xf>
    <xf numFmtId="0" fontId="29" fillId="24" borderId="30" xfId="9" applyFont="1" applyFill="1" applyBorder="1" applyAlignment="1">
      <alignment horizontal="center" vertical="center" wrapText="1"/>
    </xf>
    <xf numFmtId="0" fontId="29" fillId="24" borderId="31" xfId="9" applyFont="1" applyFill="1" applyBorder="1" applyAlignment="1">
      <alignment horizontal="center" vertical="center" wrapText="1"/>
    </xf>
    <xf numFmtId="0" fontId="31" fillId="0" borderId="32" xfId="9" applyFont="1" applyFill="1" applyBorder="1" applyAlignment="1">
      <alignment horizontal="center" vertical="center"/>
    </xf>
    <xf numFmtId="0" fontId="31" fillId="0" borderId="33" xfId="9" applyFont="1" applyFill="1" applyBorder="1" applyAlignment="1">
      <alignment horizontal="center" vertical="center"/>
    </xf>
    <xf numFmtId="0" fontId="31" fillId="0" borderId="34" xfId="9" applyFont="1" applyFill="1" applyBorder="1" applyAlignment="1">
      <alignment horizontal="center" vertical="center"/>
    </xf>
    <xf numFmtId="0" fontId="31" fillId="0" borderId="35" xfId="9" applyFont="1" applyFill="1" applyBorder="1" applyAlignment="1">
      <alignment horizontal="center" vertical="center"/>
    </xf>
    <xf numFmtId="0" fontId="31" fillId="0" borderId="0" xfId="9" applyFont="1" applyFill="1" applyBorder="1" applyAlignment="1">
      <alignment horizontal="center" vertical="center"/>
    </xf>
    <xf numFmtId="0" fontId="31" fillId="0" borderId="36" xfId="9" applyFont="1" applyFill="1" applyBorder="1" applyAlignment="1">
      <alignment horizontal="center" vertical="center"/>
    </xf>
    <xf numFmtId="0" fontId="33" fillId="0" borderId="37" xfId="11" applyFont="1" applyFill="1" applyBorder="1" applyAlignment="1" applyProtection="1">
      <alignment horizontal="center" vertical="center"/>
    </xf>
    <xf numFmtId="0" fontId="33" fillId="0" borderId="38" xfId="11" applyFont="1" applyFill="1" applyBorder="1" applyAlignment="1" applyProtection="1">
      <alignment horizontal="center" vertical="center"/>
    </xf>
    <xf numFmtId="0" fontId="33" fillId="0" borderId="39" xfId="11" applyFont="1" applyFill="1" applyBorder="1" applyAlignment="1" applyProtection="1">
      <alignment horizontal="center" vertical="center"/>
    </xf>
    <xf numFmtId="0" fontId="40" fillId="26" borderId="2" xfId="9" applyFont="1" applyFill="1" applyBorder="1" applyAlignment="1">
      <alignment horizontal="center" vertical="center" wrapText="1"/>
    </xf>
    <xf numFmtId="3" fontId="40" fillId="26" borderId="2" xfId="9" applyNumberFormat="1" applyFont="1" applyFill="1" applyBorder="1" applyAlignment="1">
      <alignment horizontal="center" vertical="center" wrapText="1"/>
    </xf>
    <xf numFmtId="167" fontId="40" fillId="26" borderId="2" xfId="12" applyFont="1" applyFill="1" applyBorder="1" applyAlignment="1">
      <alignment horizontal="center" vertical="center" wrapText="1"/>
    </xf>
    <xf numFmtId="9" fontId="39" fillId="26" borderId="5" xfId="9" applyNumberFormat="1" applyFont="1" applyFill="1" applyBorder="1" applyAlignment="1">
      <alignment horizontal="center" vertical="center" wrapText="1"/>
    </xf>
    <xf numFmtId="9" fontId="39" fillId="26" borderId="47" xfId="9" applyNumberFormat="1" applyFont="1" applyFill="1" applyBorder="1" applyAlignment="1">
      <alignment horizontal="center" vertical="center" wrapText="1"/>
    </xf>
    <xf numFmtId="9" fontId="40" fillId="26" borderId="5" xfId="9" applyNumberFormat="1" applyFont="1" applyFill="1" applyBorder="1" applyAlignment="1">
      <alignment horizontal="center" vertical="center"/>
    </xf>
    <xf numFmtId="9" fontId="40" fillId="26" borderId="47" xfId="9" applyNumberFormat="1" applyFont="1" applyFill="1" applyBorder="1" applyAlignment="1">
      <alignment horizontal="center" vertical="center"/>
    </xf>
    <xf numFmtId="9" fontId="40" fillId="26" borderId="6" xfId="9" applyNumberFormat="1" applyFont="1" applyFill="1" applyBorder="1" applyAlignment="1">
      <alignment horizontal="center" vertical="center"/>
    </xf>
    <xf numFmtId="167" fontId="40" fillId="26" borderId="5" xfId="9" applyNumberFormat="1" applyFont="1" applyFill="1" applyBorder="1" applyAlignment="1">
      <alignment horizontal="center" vertical="center"/>
    </xf>
    <xf numFmtId="167" fontId="40" fillId="26" borderId="5" xfId="12" applyFont="1" applyFill="1" applyBorder="1" applyAlignment="1">
      <alignment horizontal="center" vertical="center" wrapText="1"/>
    </xf>
    <xf numFmtId="167" fontId="40" fillId="26" borderId="6" xfId="12" applyFont="1" applyFill="1" applyBorder="1" applyAlignment="1">
      <alignment horizontal="center" vertical="center" wrapText="1"/>
    </xf>
    <xf numFmtId="167" fontId="40" fillId="26" borderId="45" xfId="12" applyFont="1" applyFill="1" applyBorder="1" applyAlignment="1">
      <alignment horizontal="center" vertical="center" wrapText="1"/>
    </xf>
    <xf numFmtId="167" fontId="40" fillId="26" borderId="48" xfId="12" applyFont="1" applyFill="1" applyBorder="1" applyAlignment="1">
      <alignment horizontal="center" vertical="center" wrapText="1"/>
    </xf>
    <xf numFmtId="0" fontId="37" fillId="0" borderId="46" xfId="9" applyFont="1" applyFill="1" applyBorder="1" applyAlignment="1">
      <alignment horizontal="center" vertical="center" textRotation="90" wrapText="1"/>
    </xf>
    <xf numFmtId="0" fontId="37" fillId="23" borderId="46" xfId="9" applyFont="1" applyFill="1" applyBorder="1" applyAlignment="1">
      <alignment horizontal="center" vertical="center" textRotation="90" wrapText="1"/>
    </xf>
    <xf numFmtId="0" fontId="37" fillId="23" borderId="49" xfId="9" applyFont="1" applyFill="1" applyBorder="1" applyAlignment="1">
      <alignment horizontal="center" vertical="center" textRotation="90" wrapText="1"/>
    </xf>
    <xf numFmtId="0" fontId="37" fillId="27" borderId="43" xfId="9" applyFont="1" applyFill="1" applyBorder="1" applyAlignment="1">
      <alignment horizontal="center" vertical="center" textRotation="90" wrapText="1"/>
    </xf>
    <xf numFmtId="0" fontId="37" fillId="27" borderId="49" xfId="9" applyFont="1" applyFill="1" applyBorder="1" applyAlignment="1">
      <alignment horizontal="center" vertical="center" textRotation="90" wrapText="1"/>
    </xf>
    <xf numFmtId="4" fontId="21" fillId="6" borderId="26" xfId="0" applyNumberFormat="1" applyFont="1" applyFill="1" applyBorder="1" applyAlignment="1">
      <alignment horizontal="center" vertical="center" textRotation="90" wrapText="1"/>
    </xf>
    <xf numFmtId="4" fontId="21" fillId="6" borderId="27" xfId="0" applyNumberFormat="1" applyFont="1" applyFill="1" applyBorder="1" applyAlignment="1">
      <alignment horizontal="center" vertical="center" textRotation="90" wrapText="1"/>
    </xf>
    <xf numFmtId="4" fontId="21" fillId="6" borderId="28" xfId="0" applyNumberFormat="1" applyFont="1" applyFill="1" applyBorder="1" applyAlignment="1">
      <alignment horizontal="center" vertical="center" textRotation="90" wrapText="1"/>
    </xf>
    <xf numFmtId="0" fontId="22" fillId="0" borderId="16" xfId="16" applyFont="1" applyFill="1" applyBorder="1" applyAlignment="1">
      <alignment horizontal="center" vertical="center"/>
    </xf>
    <xf numFmtId="0" fontId="22" fillId="0" borderId="19" xfId="16" applyFont="1" applyFill="1" applyBorder="1" applyAlignment="1">
      <alignment horizontal="center" vertical="center"/>
    </xf>
    <xf numFmtId="0" fontId="27" fillId="0" borderId="16" xfId="16" applyFont="1" applyBorder="1" applyAlignment="1">
      <alignment horizontal="center" vertical="center" textRotation="90"/>
    </xf>
    <xf numFmtId="0" fontId="27" fillId="0" borderId="22" xfId="16" applyFont="1" applyBorder="1" applyAlignment="1">
      <alignment horizontal="center" vertical="center" textRotation="90"/>
    </xf>
    <xf numFmtId="4" fontId="21" fillId="6" borderId="16" xfId="0" applyNumberFormat="1" applyFont="1" applyFill="1" applyBorder="1" applyAlignment="1">
      <alignment horizontal="center" vertical="center" textRotation="90" wrapText="1"/>
    </xf>
    <xf numFmtId="4" fontId="21" fillId="6" borderId="22" xfId="0" applyNumberFormat="1" applyFont="1" applyFill="1" applyBorder="1" applyAlignment="1">
      <alignment horizontal="center" vertical="center" textRotation="90" wrapText="1"/>
    </xf>
    <xf numFmtId="4" fontId="21" fillId="6" borderId="19" xfId="0" applyNumberFormat="1" applyFont="1" applyFill="1" applyBorder="1" applyAlignment="1">
      <alignment horizontal="center" vertical="center" textRotation="90" wrapText="1"/>
    </xf>
  </cellXfs>
  <cellStyles count="17">
    <cellStyle name="Currency 2" xfId="14" xr:uid="{98A85A7C-A5C5-4764-8A00-FCC5CE85A7C4}"/>
    <cellStyle name="Hiperlink 2" xfId="11" xr:uid="{BA87BEFC-D61C-4DBB-A73B-19E9A12782A8}"/>
    <cellStyle name="Moeda" xfId="1" builtinId="4"/>
    <cellStyle name="Moeda 2" xfId="6" xr:uid="{9A78E745-163D-4D7C-8397-5570B4D6712A}"/>
    <cellStyle name="Moeda 3" xfId="4" xr:uid="{957968A7-EDD0-4EFB-9B36-F1278F36A2EC}"/>
    <cellStyle name="Moeda 4" xfId="12" xr:uid="{19EEA5DF-A9CD-4C95-8E77-5536F0B3E8E6}"/>
    <cellStyle name="Normal" xfId="0" builtinId="0"/>
    <cellStyle name="Normal 2" xfId="3" xr:uid="{B9DED765-50EC-4830-A826-421A0DA185C3}"/>
    <cellStyle name="Normal 2 2" xfId="7" xr:uid="{59CFFF6A-E111-4B55-B253-334363368333}"/>
    <cellStyle name="Normal 2 3" xfId="13" xr:uid="{18612E2E-9F85-40EB-A22F-B62F0B7E51D7}"/>
    <cellStyle name="Normal 3" xfId="8" xr:uid="{BF5FC514-0858-4E27-A2F5-BF986A308106}"/>
    <cellStyle name="Normal 3 2" xfId="16" xr:uid="{3756D28B-FEC4-4770-AA03-1D596B658DFA}"/>
    <cellStyle name="Normal 4" xfId="9" xr:uid="{A5EC12F2-DB53-4DB5-AC4E-F901CD6646D9}"/>
    <cellStyle name="Porcentagem" xfId="2" builtinId="5"/>
    <cellStyle name="Porcentagem 2" xfId="5" xr:uid="{12775D73-7A5B-41E0-AE0E-07A3DBDD6C06}"/>
    <cellStyle name="Porcentagem 3" xfId="10" xr:uid="{6C75BBF3-C984-4FDA-B460-8CC32B7C3037}"/>
    <cellStyle name="Vírgula 2" xfId="15" xr:uid="{BC434293-E635-4C8A-8152-D4801A5976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7073959</xdr:colOff>
      <xdr:row>0</xdr:row>
      <xdr:rowOff>151606</xdr:rowOff>
    </xdr:from>
    <xdr:to>
      <xdr:col>4</xdr:col>
      <xdr:colOff>683440</xdr:colOff>
      <xdr:row>2</xdr:row>
      <xdr:rowOff>111823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F39255-C266-4864-840E-644573691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5803" y="151606"/>
          <a:ext cx="2408995" cy="450755"/>
        </a:xfrm>
        <a:prstGeom prst="rect">
          <a:avLst/>
        </a:prstGeom>
      </xdr:spPr>
    </xdr:pic>
    <xdr:clientData/>
  </xdr:twoCellAnchor>
  <xdr:twoCellAnchor editAs="oneCell">
    <xdr:from>
      <xdr:col>1</xdr:col>
      <xdr:colOff>83344</xdr:colOff>
      <xdr:row>0</xdr:row>
      <xdr:rowOff>0</xdr:rowOff>
    </xdr:from>
    <xdr:to>
      <xdr:col>1</xdr:col>
      <xdr:colOff>1692868</xdr:colOff>
      <xdr:row>3</xdr:row>
      <xdr:rowOff>21335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A30744C-3456-46D2-B336-520AD7821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0"/>
          <a:ext cx="1609524" cy="7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54429</xdr:colOff>
      <xdr:row>0</xdr:row>
      <xdr:rowOff>130719</xdr:rowOff>
    </xdr:from>
    <xdr:to>
      <xdr:col>18</xdr:col>
      <xdr:colOff>206376</xdr:colOff>
      <xdr:row>2</xdr:row>
      <xdr:rowOff>206360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30B05D-F13B-4062-87E9-51382DDCB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4465" y="130719"/>
          <a:ext cx="3462564" cy="610402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0</xdr:row>
      <xdr:rowOff>0</xdr:rowOff>
    </xdr:from>
    <xdr:to>
      <xdr:col>1</xdr:col>
      <xdr:colOff>260149</xdr:colOff>
      <xdr:row>2</xdr:row>
      <xdr:rowOff>231679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42CBFC5-CB76-45B5-919D-F69894B5A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0"/>
          <a:ext cx="1609524" cy="7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530951</xdr:colOff>
      <xdr:row>1</xdr:row>
      <xdr:rowOff>165894</xdr:rowOff>
    </xdr:from>
    <xdr:to>
      <xdr:col>1</xdr:col>
      <xdr:colOff>1154906</xdr:colOff>
      <xdr:row>4</xdr:row>
      <xdr:rowOff>223043</xdr:rowOff>
    </xdr:to>
    <xdr:pic>
      <xdr:nvPicPr>
        <xdr:cNvPr id="2" name="Picture 31" descr="logouol">
          <a:extLst>
            <a:ext uri="{FF2B5EF4-FFF2-40B4-BE49-F238E27FC236}">
              <a16:creationId xmlns:a16="http://schemas.microsoft.com/office/drawing/2014/main" id="{4D40D1EA-729C-4CDA-AE3A-A3D9CAEB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00" r="17531"/>
        <a:stretch>
          <a:fillRect/>
        </a:stretch>
      </xdr:blipFill>
      <xdr:spPr bwMode="auto">
        <a:xfrm>
          <a:off x="530951" y="868363"/>
          <a:ext cx="1266893" cy="950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113506</xdr:colOff>
      <xdr:row>1</xdr:row>
      <xdr:rowOff>723107</xdr:rowOff>
    </xdr:from>
    <xdr:to>
      <xdr:col>1</xdr:col>
      <xdr:colOff>1457904</xdr:colOff>
      <xdr:row>2</xdr:row>
      <xdr:rowOff>835026</xdr:rowOff>
    </xdr:to>
    <xdr:pic>
      <xdr:nvPicPr>
        <xdr:cNvPr id="2" name="Imagem 1" descr="Resultado de imagem para logo google adwords png">
          <a:extLst>
            <a:ext uri="{FF2B5EF4-FFF2-40B4-BE49-F238E27FC236}">
              <a16:creationId xmlns:a16="http://schemas.microsoft.com/office/drawing/2014/main" id="{0EFBBFF5-8044-47C2-8862-DB6DB163E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06" y="1281907"/>
          <a:ext cx="1344398" cy="84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81757</xdr:colOff>
      <xdr:row>3</xdr:row>
      <xdr:rowOff>517524</xdr:rowOff>
    </xdr:from>
    <xdr:to>
      <xdr:col>1</xdr:col>
      <xdr:colOff>1482012</xdr:colOff>
      <xdr:row>3</xdr:row>
      <xdr:rowOff>898524</xdr:rowOff>
    </xdr:to>
    <xdr:pic>
      <xdr:nvPicPr>
        <xdr:cNvPr id="3" name="Imagem 2" descr="Resultado de imagem para logo youtube png">
          <a:extLst>
            <a:ext uri="{FF2B5EF4-FFF2-40B4-BE49-F238E27FC236}">
              <a16:creationId xmlns:a16="http://schemas.microsoft.com/office/drawing/2014/main" id="{EB940FBC-1AC4-4F92-8A46-101D2C404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00" t="35818" r="3900" b="36057"/>
        <a:stretch/>
      </xdr:blipFill>
      <xdr:spPr bwMode="auto">
        <a:xfrm>
          <a:off x="729457" y="3324224"/>
          <a:ext cx="140025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8</xdr:row>
      <xdr:rowOff>863601</xdr:rowOff>
    </xdr:from>
    <xdr:to>
      <xdr:col>1</xdr:col>
      <xdr:colOff>1381125</xdr:colOff>
      <xdr:row>9</xdr:row>
      <xdr:rowOff>461838</xdr:rowOff>
    </xdr:to>
    <xdr:pic>
      <xdr:nvPicPr>
        <xdr:cNvPr id="5" name="Imagem 4" descr="Resultado de imagem para logo google adwords png">
          <a:extLst>
            <a:ext uri="{FF2B5EF4-FFF2-40B4-BE49-F238E27FC236}">
              <a16:creationId xmlns:a16="http://schemas.microsoft.com/office/drawing/2014/main" id="{E88DB521-AB51-40B7-A3A2-F723D769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670801"/>
          <a:ext cx="1190625" cy="753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112713</xdr:colOff>
      <xdr:row>11</xdr:row>
      <xdr:rowOff>215744</xdr:rowOff>
    </xdr:from>
    <xdr:to>
      <xdr:col>1</xdr:col>
      <xdr:colOff>1482726</xdr:colOff>
      <xdr:row>11</xdr:row>
      <xdr:rowOff>563038</xdr:rowOff>
    </xdr:to>
    <xdr:pic>
      <xdr:nvPicPr>
        <xdr:cNvPr id="7" name="Imagem 6" descr="Resultado de imagem para logo criteo png">
          <a:extLst>
            <a:ext uri="{FF2B5EF4-FFF2-40B4-BE49-F238E27FC236}">
              <a16:creationId xmlns:a16="http://schemas.microsoft.com/office/drawing/2014/main" id="{1E81FC9E-B91B-428D-B43E-B3F23BB28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413" y="10312244"/>
          <a:ext cx="1370013" cy="34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143668</xdr:colOff>
      <xdr:row>16</xdr:row>
      <xdr:rowOff>738979</xdr:rowOff>
    </xdr:from>
    <xdr:to>
      <xdr:col>1</xdr:col>
      <xdr:colOff>1467643</xdr:colOff>
      <xdr:row>16</xdr:row>
      <xdr:rowOff>1565095</xdr:rowOff>
    </xdr:to>
    <xdr:pic>
      <xdr:nvPicPr>
        <xdr:cNvPr id="8" name="Imagem 7" descr="Resultado de imagem para logo google adwords png">
          <a:extLst>
            <a:ext uri="{FF2B5EF4-FFF2-40B4-BE49-F238E27FC236}">
              <a16:creationId xmlns:a16="http://schemas.microsoft.com/office/drawing/2014/main" id="{99525CF2-7F79-48EF-B04D-85A73E06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368" y="14708979"/>
          <a:ext cx="1323975" cy="826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180976</xdr:colOff>
      <xdr:row>12</xdr:row>
      <xdr:rowOff>338139</xdr:rowOff>
    </xdr:from>
    <xdr:to>
      <xdr:col>1</xdr:col>
      <xdr:colOff>1438302</xdr:colOff>
      <xdr:row>12</xdr:row>
      <xdr:rowOff>557213</xdr:rowOff>
    </xdr:to>
    <xdr:pic>
      <xdr:nvPicPr>
        <xdr:cNvPr id="10" name="Imagem 9" descr="Resultado de imagem para logo rtb house png">
          <a:extLst>
            <a:ext uri="{FF2B5EF4-FFF2-40B4-BE49-F238E27FC236}">
              <a16:creationId xmlns:a16="http://schemas.microsoft.com/office/drawing/2014/main" id="{4C5F092C-A9A1-40D8-96AB-DB39F953A2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78" t="38910" r="14980" b="40273"/>
        <a:stretch/>
      </xdr:blipFill>
      <xdr:spPr bwMode="auto">
        <a:xfrm>
          <a:off x="828676" y="11247439"/>
          <a:ext cx="1257326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211931</xdr:colOff>
      <xdr:row>17</xdr:row>
      <xdr:rowOff>234618</xdr:rowOff>
    </xdr:from>
    <xdr:to>
      <xdr:col>1</xdr:col>
      <xdr:colOff>1250156</xdr:colOff>
      <xdr:row>17</xdr:row>
      <xdr:rowOff>638636</xdr:rowOff>
    </xdr:to>
    <xdr:pic>
      <xdr:nvPicPr>
        <xdr:cNvPr id="11" name="Imagem 10" descr="Resultado de imagem para logo bing png">
          <a:extLst>
            <a:ext uri="{FF2B5EF4-FFF2-40B4-BE49-F238E27FC236}">
              <a16:creationId xmlns:a16="http://schemas.microsoft.com/office/drawing/2014/main" id="{A516A6B1-51CE-4FF5-ABA5-5DAE74073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531" y="17236743"/>
          <a:ext cx="1038225" cy="404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254000</xdr:colOff>
      <xdr:row>18</xdr:row>
      <xdr:rowOff>50800</xdr:rowOff>
    </xdr:from>
    <xdr:to>
      <xdr:col>1</xdr:col>
      <xdr:colOff>1366156</xdr:colOff>
      <xdr:row>18</xdr:row>
      <xdr:rowOff>1164611</xdr:rowOff>
    </xdr:to>
    <xdr:pic>
      <xdr:nvPicPr>
        <xdr:cNvPr id="12" name="Imagem 11" descr="Resultado de imagem para logo facebook 2018 png">
          <a:extLst>
            <a:ext uri="{FF2B5EF4-FFF2-40B4-BE49-F238E27FC236}">
              <a16:creationId xmlns:a16="http://schemas.microsoft.com/office/drawing/2014/main" id="{82ED520A-644B-4661-8D69-418387CC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17716500"/>
          <a:ext cx="1112156" cy="111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329954</xdr:colOff>
      <xdr:row>10</xdr:row>
      <xdr:rowOff>50800</xdr:rowOff>
    </xdr:from>
    <xdr:to>
      <xdr:col>1</xdr:col>
      <xdr:colOff>1277255</xdr:colOff>
      <xdr:row>10</xdr:row>
      <xdr:rowOff>999511</xdr:rowOff>
    </xdr:to>
    <xdr:pic>
      <xdr:nvPicPr>
        <xdr:cNvPr id="13" name="Imagem 12" descr="Resultado de imagem para logo facebook 2018 png">
          <a:extLst>
            <a:ext uri="{FF2B5EF4-FFF2-40B4-BE49-F238E27FC236}">
              <a16:creationId xmlns:a16="http://schemas.microsoft.com/office/drawing/2014/main" id="{C9243FB2-307D-46EF-B5A7-77B6BF362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654" y="9144000"/>
          <a:ext cx="947301" cy="948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4</xdr:row>
      <xdr:rowOff>134324</xdr:rowOff>
    </xdr:from>
    <xdr:to>
      <xdr:col>1</xdr:col>
      <xdr:colOff>1333500</xdr:colOff>
      <xdr:row>5</xdr:row>
      <xdr:rowOff>555012</xdr:rowOff>
    </xdr:to>
    <xdr:pic>
      <xdr:nvPicPr>
        <xdr:cNvPr id="14" name="Imagem 13" descr="Resultado de imagem para logo facebook 2018 png">
          <a:extLst>
            <a:ext uri="{FF2B5EF4-FFF2-40B4-BE49-F238E27FC236}">
              <a16:creationId xmlns:a16="http://schemas.microsoft.com/office/drawing/2014/main" id="{C4AC70F1-9323-45D9-B463-9707ABE2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4401524"/>
          <a:ext cx="1066800" cy="1068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inksbi-my.sharepoint.com/Users/talita.nogueira/Documents/Blinks/5.%20C&#233;lula%20T/6.%20Phooto/2.%20Plano%20de%20M&#237;dia/6.%20Junho/6.%20Plano%20de%20M&#237;dia%20Phooto%20_%20Junho.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Resumo"/>
      <sheetName val="Geral"/>
      <sheetName val="Plano de Mídia Junho"/>
      <sheetName val="Funil"/>
      <sheetName val="Planejamento Tático"/>
      <sheetName val="2017"/>
      <sheetName val="Awareness"/>
      <sheetName val="Mídias"/>
    </sheetNames>
    <sheetDataSet>
      <sheetData sheetId="0"/>
      <sheetData sheetId="1"/>
      <sheetData sheetId="2">
        <row r="34">
          <cell r="Q34">
            <v>702151.04445554432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nuncie.uol.com.br/formatos.ht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B0F0-0995-4367-80E8-510C435B207C}">
  <sheetPr>
    <tabColor theme="0"/>
  </sheetPr>
  <dimension ref="B1:F49"/>
  <sheetViews>
    <sheetView tabSelected="1" topLeftCell="B1" zoomScale="80" zoomScaleNormal="80" workbookViewId="0">
      <pane ySplit="3" topLeftCell="A4" activePane="bottomLeft" state="frozen"/>
      <selection pane="bottomLeft" activeCell="F20" sqref="F20"/>
    </sheetView>
  </sheetViews>
  <sheetFormatPr defaultColWidth="55.5703125" defaultRowHeight="19.5" customHeight="1"/>
  <cols>
    <col min="1" max="1" width="6.5703125" style="24" customWidth="1"/>
    <col min="2" max="2" width="38.85546875" style="24" customWidth="1"/>
    <col min="3" max="3" width="99.140625" style="24" customWidth="1"/>
    <col min="4" max="4" width="24.42578125" style="24" bestFit="1" customWidth="1"/>
    <col min="5" max="5" width="13.5703125" style="24" bestFit="1" customWidth="1"/>
    <col min="6" max="16384" width="55.5703125" style="24"/>
  </cols>
  <sheetData>
    <row r="1" spans="2:5" ht="19.5" customHeight="1">
      <c r="B1" s="275" t="s">
        <v>239</v>
      </c>
      <c r="C1" s="276"/>
      <c r="D1" s="276"/>
      <c r="E1" s="276"/>
    </row>
    <row r="2" spans="2:5" ht="19.5" customHeight="1">
      <c r="B2" s="275"/>
      <c r="C2" s="276"/>
      <c r="D2" s="276"/>
      <c r="E2" s="276"/>
    </row>
    <row r="3" spans="2:5" ht="19.5" customHeight="1">
      <c r="B3" s="275"/>
      <c r="C3" s="276"/>
      <c r="D3" s="276"/>
      <c r="E3" s="276"/>
    </row>
    <row r="4" spans="2:5" s="25" customFormat="1" ht="19.5" customHeight="1"/>
    <row r="5" spans="2:5" ht="19.5" customHeight="1">
      <c r="B5" s="270" t="s">
        <v>59</v>
      </c>
      <c r="C5" s="270"/>
      <c r="D5" s="270"/>
      <c r="E5" s="270"/>
    </row>
    <row r="6" spans="2:5" ht="19.5" customHeight="1">
      <c r="B6" s="277" t="s">
        <v>208</v>
      </c>
      <c r="C6" s="277"/>
      <c r="D6" s="277"/>
      <c r="E6" s="277"/>
    </row>
    <row r="7" spans="2:5" ht="19.5" customHeight="1">
      <c r="B7" s="277"/>
      <c r="C7" s="277"/>
      <c r="D7" s="277"/>
      <c r="E7" s="277"/>
    </row>
    <row r="8" spans="2:5" s="26" customFormat="1" ht="19.5" customHeight="1"/>
    <row r="9" spans="2:5" ht="19.5" customHeight="1">
      <c r="B9" s="31" t="s">
        <v>29</v>
      </c>
      <c r="C9" s="278" t="s">
        <v>79</v>
      </c>
      <c r="D9" s="278"/>
      <c r="E9" s="278"/>
    </row>
    <row r="10" spans="2:5" ht="19.5" customHeight="1">
      <c r="B10" s="31" t="s">
        <v>84</v>
      </c>
      <c r="C10" s="278" t="s">
        <v>85</v>
      </c>
      <c r="D10" s="278"/>
      <c r="E10" s="278"/>
    </row>
    <row r="11" spans="2:5" ht="19.5" customHeight="1">
      <c r="B11" s="31" t="s">
        <v>86</v>
      </c>
      <c r="C11" s="279" t="s">
        <v>240</v>
      </c>
      <c r="D11" s="279"/>
      <c r="E11" s="279"/>
    </row>
    <row r="12" spans="2:5" ht="19.5" hidden="1" customHeight="1">
      <c r="B12" s="31" t="s">
        <v>92</v>
      </c>
      <c r="C12" s="269">
        <v>1100000</v>
      </c>
      <c r="D12" s="269"/>
      <c r="E12" s="269"/>
    </row>
    <row r="13" spans="2:5" ht="19.5" hidden="1" customHeight="1">
      <c r="B13" s="31" t="s">
        <v>57</v>
      </c>
      <c r="C13" s="269">
        <f>C12*10%</f>
        <v>110000</v>
      </c>
      <c r="D13" s="269"/>
      <c r="E13" s="269"/>
    </row>
    <row r="14" spans="2:5" ht="19.5" hidden="1" customHeight="1">
      <c r="B14" s="31" t="s">
        <v>58</v>
      </c>
      <c r="C14" s="269">
        <f>SUM(C12:C13)</f>
        <v>1210000</v>
      </c>
      <c r="D14" s="269"/>
      <c r="E14" s="269"/>
    </row>
    <row r="15" spans="2:5" ht="19.5" customHeight="1">
      <c r="B15" s="26"/>
      <c r="C15" s="26"/>
      <c r="E15" s="27"/>
    </row>
    <row r="16" spans="2:5" ht="19.5" customHeight="1">
      <c r="B16" s="270" t="s">
        <v>82</v>
      </c>
      <c r="C16" s="270"/>
      <c r="D16" s="270"/>
      <c r="E16" s="270"/>
    </row>
    <row r="17" spans="2:6" ht="19.5" customHeight="1">
      <c r="B17" s="31" t="s">
        <v>28</v>
      </c>
      <c r="C17" s="269">
        <v>15179262</v>
      </c>
      <c r="D17" s="269"/>
      <c r="E17" s="269"/>
    </row>
    <row r="18" spans="2:6" ht="19.5" customHeight="1">
      <c r="B18" s="31" t="s">
        <v>80</v>
      </c>
      <c r="C18" s="274">
        <v>0.45</v>
      </c>
      <c r="D18" s="274"/>
      <c r="E18" s="274"/>
    </row>
    <row r="19" spans="2:6" ht="19.5" customHeight="1">
      <c r="B19" s="31" t="s">
        <v>81</v>
      </c>
      <c r="C19" s="269">
        <f>C17*C18</f>
        <v>6830667.9000000004</v>
      </c>
      <c r="D19" s="269"/>
      <c r="E19" s="269"/>
      <c r="F19" s="247"/>
    </row>
    <row r="20" spans="2:6" ht="19.5" customHeight="1">
      <c r="B20" s="26"/>
      <c r="C20" s="26"/>
      <c r="E20" s="27"/>
      <c r="F20" s="247"/>
    </row>
    <row r="21" spans="2:6" ht="19.5" customHeight="1">
      <c r="B21" s="270" t="s">
        <v>207</v>
      </c>
      <c r="C21" s="270"/>
      <c r="D21" s="270"/>
      <c r="E21" s="270"/>
      <c r="F21" s="247"/>
    </row>
    <row r="22" spans="2:6" ht="19.5" customHeight="1">
      <c r="B22" s="31" t="s">
        <v>28</v>
      </c>
      <c r="C22" s="269">
        <f>C24/C18</f>
        <v>8828554.6403167434</v>
      </c>
      <c r="D22" s="269"/>
      <c r="E22" s="269"/>
      <c r="F22" s="27"/>
    </row>
    <row r="23" spans="2:6" ht="19.5" customHeight="1">
      <c r="B23" s="31" t="s">
        <v>87</v>
      </c>
      <c r="C23" s="273">
        <f>C22/C17</f>
        <v>0.58161949113973677</v>
      </c>
      <c r="D23" s="273"/>
      <c r="E23" s="273"/>
    </row>
    <row r="24" spans="2:6" ht="19.5" customHeight="1">
      <c r="B24" s="31" t="s">
        <v>81</v>
      </c>
      <c r="C24" s="269">
        <f>'Projeções Dezembro_2021'!O61</f>
        <v>3972849.5881425343</v>
      </c>
      <c r="D24" s="269"/>
      <c r="E24" s="269"/>
      <c r="F24" s="85"/>
    </row>
    <row r="25" spans="2:6" ht="30">
      <c r="B25" s="31" t="s">
        <v>88</v>
      </c>
      <c r="C25" s="273">
        <f>C24/C19</f>
        <v>0.58161949113973677</v>
      </c>
      <c r="D25" s="273"/>
      <c r="E25" s="273"/>
    </row>
    <row r="26" spans="2:6" ht="15">
      <c r="B26" s="84" t="s">
        <v>94</v>
      </c>
    </row>
    <row r="27" spans="2:6" ht="19.5" customHeight="1">
      <c r="D27" s="27"/>
    </row>
    <row r="29" spans="2:6" ht="19.5" customHeight="1">
      <c r="B29" s="33" t="s">
        <v>90</v>
      </c>
      <c r="C29" s="33" t="s">
        <v>91</v>
      </c>
      <c r="D29" s="74" t="s">
        <v>25</v>
      </c>
      <c r="E29" s="74" t="s">
        <v>27</v>
      </c>
    </row>
    <row r="30" spans="2:6" ht="24.95" customHeight="1">
      <c r="B30" s="34" t="s">
        <v>9</v>
      </c>
      <c r="C30" s="82" t="s">
        <v>60</v>
      </c>
      <c r="D30" s="32">
        <f>'Projeções Dezembro_2021'!D56</f>
        <v>30000</v>
      </c>
      <c r="E30" s="83">
        <f>D30/$D$40</f>
        <v>1.0714285714285714E-2</v>
      </c>
    </row>
    <row r="31" spans="2:6" ht="24.95" customHeight="1">
      <c r="B31" s="34" t="s">
        <v>7</v>
      </c>
      <c r="C31" s="82" t="s">
        <v>93</v>
      </c>
      <c r="D31" s="32">
        <f>'Projeções Dezembro_2021'!D46</f>
        <v>40000</v>
      </c>
      <c r="E31" s="83">
        <f>D31/$D$40</f>
        <v>1.4285714285714285E-2</v>
      </c>
    </row>
    <row r="32" spans="2:6" ht="24.95" customHeight="1">
      <c r="B32" s="260" t="s">
        <v>31</v>
      </c>
      <c r="C32" s="261" t="s">
        <v>61</v>
      </c>
      <c r="D32" s="32">
        <f>SUM('Projeções Dezembro_2021'!D38:D42,'Projeções Dezembro_2021'!D49:D49,'Projeções Dezembro_2021'!D57:D58)</f>
        <v>285000</v>
      </c>
      <c r="E32" s="83">
        <f>D32/$D$40</f>
        <v>0.10178571428571428</v>
      </c>
    </row>
    <row r="33" spans="2:5" ht="24.95" customHeight="1">
      <c r="B33" s="34" t="s">
        <v>34</v>
      </c>
      <c r="C33" s="82" t="s">
        <v>62</v>
      </c>
      <c r="D33" s="32">
        <f>SUM('Projeções Dezembro_2021'!D30+'Projeções Dezembro_2021'!D31+'Projeções Dezembro_2021'!D32+'Projeções Dezembro_2021'!D33+'Projeções Dezembro_2021'!D34+'Projeções Dezembro_2021'!D35)</f>
        <v>460000</v>
      </c>
      <c r="E33" s="83">
        <f>D33/$D$40</f>
        <v>0.16428571428571428</v>
      </c>
    </row>
    <row r="34" spans="2:5" ht="24.95" customHeight="1">
      <c r="B34" s="34" t="s">
        <v>33</v>
      </c>
      <c r="C34" s="82" t="s">
        <v>60</v>
      </c>
      <c r="D34" s="32">
        <f>SUM('Projeções Dezembro_2021'!D37,'Projeções Dezembro_2021'!D51:D55)+'Projeções Dezembro_2021'!D36</f>
        <v>1285000</v>
      </c>
      <c r="E34" s="83">
        <f>D34/$D$40</f>
        <v>0.45892857142857141</v>
      </c>
    </row>
    <row r="35" spans="2:5" ht="24.95" customHeight="1">
      <c r="B35" s="34" t="s">
        <v>237</v>
      </c>
      <c r="C35" s="82" t="s">
        <v>238</v>
      </c>
      <c r="D35" s="32">
        <f>'Projeções Dezembro_2021'!D44</f>
        <v>100000</v>
      </c>
      <c r="E35" s="83">
        <f t="shared" ref="E35:E37" si="0">D35/$D$40</f>
        <v>3.5714285714285712E-2</v>
      </c>
    </row>
    <row r="36" spans="2:5" ht="24.95" customHeight="1">
      <c r="B36" s="34" t="s">
        <v>209</v>
      </c>
      <c r="C36" s="82" t="s">
        <v>93</v>
      </c>
      <c r="D36" s="32">
        <f>'Projeções Dezembro_2021'!D47</f>
        <v>60000</v>
      </c>
      <c r="E36" s="83">
        <f t="shared" si="0"/>
        <v>2.1428571428571429E-2</v>
      </c>
    </row>
    <row r="37" spans="2:5" ht="24.95" customHeight="1">
      <c r="B37" s="34" t="s">
        <v>5</v>
      </c>
      <c r="C37" s="82" t="s">
        <v>93</v>
      </c>
      <c r="D37" s="32">
        <f>'Projeções Dezembro_2021'!D48</f>
        <v>40000</v>
      </c>
      <c r="E37" s="83">
        <f t="shared" si="0"/>
        <v>1.4285714285714285E-2</v>
      </c>
    </row>
    <row r="38" spans="2:5" ht="24.95" hidden="1" customHeight="1">
      <c r="B38" s="34" t="s">
        <v>171</v>
      </c>
      <c r="C38" s="82" t="s">
        <v>173</v>
      </c>
      <c r="D38" s="32"/>
      <c r="E38" s="83">
        <f>D38/$D$40</f>
        <v>0</v>
      </c>
    </row>
    <row r="39" spans="2:5" ht="24.95" customHeight="1">
      <c r="B39" s="34" t="s">
        <v>22</v>
      </c>
      <c r="C39" s="82" t="s">
        <v>63</v>
      </c>
      <c r="D39" s="32">
        <f>SUM('Projeções Dezembro_2021'!D19:D29)</f>
        <v>500000</v>
      </c>
      <c r="E39" s="83">
        <f>D39/$D$40</f>
        <v>0.17857142857142858</v>
      </c>
    </row>
    <row r="40" spans="2:5" ht="24.95" customHeight="1">
      <c r="B40" s="271"/>
      <c r="C40" s="272"/>
      <c r="D40" s="35">
        <f>SUM(D30:D39)</f>
        <v>2800000</v>
      </c>
      <c r="E40" s="36">
        <f>SUM(E30:E39)</f>
        <v>1</v>
      </c>
    </row>
    <row r="49" spans="3:3" ht="19.5" customHeight="1">
      <c r="C49" s="247"/>
    </row>
  </sheetData>
  <sortState xmlns:xlrd2="http://schemas.microsoft.com/office/spreadsheetml/2017/richdata2" ref="B30:E39">
    <sortCondition ref="B30"/>
  </sortState>
  <mergeCells count="19">
    <mergeCell ref="B1:E3"/>
    <mergeCell ref="B6:E7"/>
    <mergeCell ref="C9:E9"/>
    <mergeCell ref="C10:E10"/>
    <mergeCell ref="C11:E11"/>
    <mergeCell ref="C19:E19"/>
    <mergeCell ref="B21:E21"/>
    <mergeCell ref="C22:E22"/>
    <mergeCell ref="B40:C40"/>
    <mergeCell ref="B5:E5"/>
    <mergeCell ref="C12:E12"/>
    <mergeCell ref="C13:E13"/>
    <mergeCell ref="C14:E14"/>
    <mergeCell ref="C23:E23"/>
    <mergeCell ref="C24:E24"/>
    <mergeCell ref="C25:E25"/>
    <mergeCell ref="B16:E16"/>
    <mergeCell ref="C17:E17"/>
    <mergeCell ref="C18:E18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C14 D35:D3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7221-7AC4-49C6-8E4A-FFE1BF243869}">
  <sheetPr>
    <tabColor theme="0"/>
    <outlinePr summaryBelow="0" summaryRight="0"/>
  </sheetPr>
  <dimension ref="A1:Y68"/>
  <sheetViews>
    <sheetView showGridLines="0" zoomScale="55" zoomScaleNormal="55" workbookViewId="0">
      <pane xSplit="1" ySplit="7" topLeftCell="C55" activePane="bottomRight" state="frozen"/>
      <selection pane="topRight" activeCell="B1" sqref="B1"/>
      <selection pane="bottomLeft" activeCell="A8" sqref="A8"/>
      <selection pane="bottomRight" activeCell="D61" sqref="D61"/>
    </sheetView>
  </sheetViews>
  <sheetFormatPr defaultColWidth="14.42578125" defaultRowHeight="21.95" customHeight="1"/>
  <cols>
    <col min="1" max="1" width="21.42578125" style="46" customWidth="1"/>
    <col min="2" max="2" width="22.5703125" style="47" customWidth="1"/>
    <col min="3" max="3" width="44" style="47" bestFit="1" customWidth="1"/>
    <col min="4" max="4" width="21.28515625" style="242" customWidth="1"/>
    <col min="5" max="5" width="12.140625" style="66" bestFit="1" customWidth="1"/>
    <col min="6" max="6" width="19.140625" style="64" bestFit="1" customWidth="1"/>
    <col min="7" max="7" width="17" style="89" customWidth="1"/>
    <col min="8" max="8" width="12.28515625" style="81" bestFit="1" customWidth="1"/>
    <col min="9" max="9" width="21.5703125" style="64" bestFit="1" customWidth="1"/>
    <col min="10" max="10" width="13.42578125" style="64" customWidth="1"/>
    <col min="11" max="11" width="20.7109375" style="47" bestFit="1" customWidth="1"/>
    <col min="12" max="12" width="19.7109375" style="89" customWidth="1"/>
    <col min="13" max="13" width="17.42578125" style="89" customWidth="1"/>
    <col min="14" max="14" width="15.140625" style="81" customWidth="1"/>
    <col min="15" max="15" width="26.140625" style="64" customWidth="1"/>
    <col min="16" max="16" width="17.5703125" style="64" customWidth="1"/>
    <col min="17" max="17" width="17.7109375" style="66" bestFit="1" customWidth="1"/>
    <col min="18" max="18" width="12.5703125" style="89" customWidth="1"/>
    <col min="19" max="19" width="19.28515625" style="47" bestFit="1" customWidth="1"/>
    <col min="20" max="20" width="14.42578125" style="47" customWidth="1"/>
    <col min="21" max="21" width="16.7109375" style="47" bestFit="1" customWidth="1"/>
    <col min="22" max="22" width="17.7109375" style="47" bestFit="1" customWidth="1"/>
    <col min="23" max="24" width="14.42578125" style="47" customWidth="1"/>
    <col min="25" max="16384" width="14.42578125" style="47"/>
  </cols>
  <sheetData>
    <row r="1" spans="1:25" ht="21.95" customHeight="1">
      <c r="A1" s="290" t="s">
        <v>241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U1" s="100"/>
      <c r="V1" s="100"/>
      <c r="W1" s="100"/>
      <c r="X1" s="100"/>
      <c r="Y1" s="100"/>
    </row>
    <row r="2" spans="1:25" ht="21.95" customHeight="1">
      <c r="A2" s="290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U2" s="100"/>
      <c r="V2" s="100"/>
      <c r="W2" s="100"/>
      <c r="X2" s="100"/>
      <c r="Y2" s="100"/>
    </row>
    <row r="3" spans="1:25" ht="21.95" customHeight="1">
      <c r="A3" s="291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U3" s="100"/>
      <c r="V3" s="100"/>
      <c r="W3" s="100"/>
      <c r="X3" s="100"/>
      <c r="Y3" s="100"/>
    </row>
    <row r="7" spans="1:25" ht="42.6" customHeight="1">
      <c r="A7" s="48" t="s">
        <v>56</v>
      </c>
      <c r="B7" s="48" t="s">
        <v>26</v>
      </c>
      <c r="C7" s="48" t="s">
        <v>64</v>
      </c>
      <c r="D7" s="230" t="s">
        <v>25</v>
      </c>
      <c r="E7" s="67" t="s">
        <v>32</v>
      </c>
      <c r="F7" s="39" t="s">
        <v>65</v>
      </c>
      <c r="G7" s="90" t="s">
        <v>66</v>
      </c>
      <c r="H7" s="75" t="s">
        <v>67</v>
      </c>
      <c r="I7" s="39" t="s">
        <v>68</v>
      </c>
      <c r="J7" s="39" t="s">
        <v>69</v>
      </c>
      <c r="K7" s="50" t="s">
        <v>70</v>
      </c>
      <c r="L7" s="225" t="s">
        <v>71</v>
      </c>
      <c r="M7" s="225" t="s">
        <v>72</v>
      </c>
      <c r="N7" s="75" t="s">
        <v>73</v>
      </c>
      <c r="O7" s="39" t="s">
        <v>24</v>
      </c>
      <c r="P7" s="39" t="s">
        <v>50</v>
      </c>
      <c r="Q7" s="67" t="s">
        <v>74</v>
      </c>
      <c r="R7" s="71" t="s">
        <v>75</v>
      </c>
      <c r="S7" s="49" t="s">
        <v>76</v>
      </c>
    </row>
    <row r="8" spans="1:25" s="94" customFormat="1" ht="18">
      <c r="A8" s="51"/>
      <c r="B8" s="52"/>
      <c r="C8" s="52"/>
      <c r="D8" s="231"/>
      <c r="E8" s="30"/>
      <c r="F8" s="40"/>
      <c r="G8" s="37"/>
      <c r="H8" s="76"/>
      <c r="I8" s="40"/>
      <c r="J8" s="40"/>
      <c r="K8" s="53"/>
      <c r="L8" s="226"/>
      <c r="M8" s="226"/>
      <c r="N8" s="76"/>
      <c r="O8" s="40"/>
      <c r="P8" s="40"/>
      <c r="Q8" s="68"/>
      <c r="R8" s="37"/>
      <c r="S8" s="53"/>
    </row>
    <row r="9" spans="1:25" ht="15" hidden="1">
      <c r="A9" s="299" t="s">
        <v>89</v>
      </c>
      <c r="B9" s="200" t="s">
        <v>22</v>
      </c>
      <c r="C9" s="54" t="s">
        <v>30</v>
      </c>
      <c r="D9" s="232"/>
      <c r="E9" s="21">
        <f t="shared" ref="E9:E18" si="0">D9/$D$61</f>
        <v>0</v>
      </c>
      <c r="F9" s="41" t="s">
        <v>77</v>
      </c>
      <c r="G9" s="91" t="s">
        <v>77</v>
      </c>
      <c r="H9" s="77" t="s">
        <v>77</v>
      </c>
      <c r="I9" s="41">
        <v>5</v>
      </c>
      <c r="J9" s="41">
        <v>7.0000000000000007E-2</v>
      </c>
      <c r="K9" s="56">
        <f>D9/J9</f>
        <v>0</v>
      </c>
      <c r="L9" s="227">
        <f>D9/I9*1000</f>
        <v>0</v>
      </c>
      <c r="M9" s="227" t="str">
        <f>IFERROR(G9*90%,"-")</f>
        <v>-</v>
      </c>
      <c r="N9" s="77">
        <v>0</v>
      </c>
      <c r="O9" s="41" t="str">
        <f>IFERROR(R9*55,"-")</f>
        <v>-</v>
      </c>
      <c r="P9" s="41"/>
      <c r="Q9" s="70" t="str">
        <f>IFERROR(O9/$R$61,"-")</f>
        <v>-</v>
      </c>
      <c r="R9" s="38" t="str">
        <f>IFERROR(M9*N9,"-")</f>
        <v>-</v>
      </c>
      <c r="S9" s="57" t="str">
        <f>IFERROR(O9/D9,"-")</f>
        <v>-</v>
      </c>
    </row>
    <row r="10" spans="1:25" ht="15" hidden="1">
      <c r="A10" s="300"/>
      <c r="B10" s="200" t="s">
        <v>22</v>
      </c>
      <c r="C10" s="54" t="s">
        <v>21</v>
      </c>
      <c r="D10" s="232"/>
      <c r="E10" s="21">
        <f t="shared" si="0"/>
        <v>0</v>
      </c>
      <c r="F10" s="41" t="s">
        <v>77</v>
      </c>
      <c r="G10" s="91" t="s">
        <v>77</v>
      </c>
      <c r="H10" s="77" t="s">
        <v>77</v>
      </c>
      <c r="I10" s="41">
        <v>5</v>
      </c>
      <c r="J10" s="41">
        <v>7.0000000000000007E-2</v>
      </c>
      <c r="K10" s="56">
        <f>D10/J10</f>
        <v>0</v>
      </c>
      <c r="L10" s="227">
        <f>D10/I10*1000</f>
        <v>0</v>
      </c>
      <c r="M10" s="227" t="str">
        <f>IFERROR(G10*90%,"-")</f>
        <v>-</v>
      </c>
      <c r="N10" s="77">
        <v>0</v>
      </c>
      <c r="O10" s="41" t="str">
        <f>IFERROR(R10*55,"-")</f>
        <v>-</v>
      </c>
      <c r="P10" s="41"/>
      <c r="Q10" s="70" t="str">
        <f>IFERROR(O10/$R$61,"-")</f>
        <v>-</v>
      </c>
      <c r="R10" s="38" t="str">
        <f>IFERROR(M10*N10,"-")</f>
        <v>-</v>
      </c>
      <c r="S10" s="57" t="str">
        <f>IFERROR(O10/D10,"-")</f>
        <v>-</v>
      </c>
    </row>
    <row r="11" spans="1:25" ht="15" hidden="1">
      <c r="A11" s="300"/>
      <c r="B11" s="201" t="s">
        <v>20</v>
      </c>
      <c r="C11" s="58" t="s">
        <v>19</v>
      </c>
      <c r="D11" s="233"/>
      <c r="E11" s="21">
        <f t="shared" si="0"/>
        <v>0</v>
      </c>
      <c r="F11" s="42"/>
      <c r="G11" s="92"/>
      <c r="H11" s="78"/>
      <c r="I11" s="42"/>
      <c r="J11" s="42"/>
      <c r="K11" s="55"/>
      <c r="L11" s="92"/>
      <c r="M11" s="92"/>
      <c r="N11" s="78"/>
      <c r="O11" s="42"/>
      <c r="P11" s="42"/>
      <c r="Q11" s="22"/>
      <c r="R11" s="72"/>
      <c r="S11" s="59"/>
    </row>
    <row r="12" spans="1:25" ht="15" hidden="1">
      <c r="A12" s="300"/>
      <c r="B12" s="295" t="s">
        <v>18</v>
      </c>
      <c r="C12" s="87" t="s">
        <v>17</v>
      </c>
      <c r="D12" s="234"/>
      <c r="E12" s="21">
        <f t="shared" si="0"/>
        <v>0</v>
      </c>
      <c r="F12" s="42"/>
      <c r="G12" s="92"/>
      <c r="H12" s="78"/>
      <c r="I12" s="42"/>
      <c r="J12" s="42"/>
      <c r="K12" s="55"/>
      <c r="L12" s="92"/>
      <c r="M12" s="92"/>
      <c r="N12" s="78"/>
      <c r="O12" s="42"/>
      <c r="P12" s="42"/>
      <c r="Q12" s="22"/>
      <c r="R12" s="72"/>
      <c r="S12" s="59"/>
    </row>
    <row r="13" spans="1:25" ht="15" hidden="1">
      <c r="A13" s="300"/>
      <c r="B13" s="296"/>
      <c r="C13" s="87" t="s">
        <v>16</v>
      </c>
      <c r="D13" s="234"/>
      <c r="E13" s="21">
        <f t="shared" si="0"/>
        <v>0</v>
      </c>
      <c r="F13" s="42"/>
      <c r="G13" s="92"/>
      <c r="H13" s="78"/>
      <c r="I13" s="42"/>
      <c r="J13" s="42"/>
      <c r="K13" s="55"/>
      <c r="L13" s="92"/>
      <c r="M13" s="92"/>
      <c r="N13" s="78"/>
      <c r="O13" s="42"/>
      <c r="P13" s="42"/>
      <c r="Q13" s="22"/>
      <c r="R13" s="72"/>
      <c r="S13" s="59"/>
    </row>
    <row r="14" spans="1:25" ht="15" hidden="1">
      <c r="A14" s="300"/>
      <c r="B14" s="297" t="s">
        <v>31</v>
      </c>
      <c r="C14" s="88" t="s">
        <v>15</v>
      </c>
      <c r="D14" s="235"/>
      <c r="E14" s="21">
        <f t="shared" si="0"/>
        <v>0</v>
      </c>
      <c r="F14" s="42"/>
      <c r="G14" s="92"/>
      <c r="H14" s="78"/>
      <c r="I14" s="42"/>
      <c r="J14" s="42"/>
      <c r="K14" s="55"/>
      <c r="L14" s="92"/>
      <c r="M14" s="92"/>
      <c r="N14" s="78"/>
      <c r="O14" s="42"/>
      <c r="P14" s="42"/>
      <c r="Q14" s="22"/>
      <c r="R14" s="72"/>
      <c r="S14" s="59"/>
    </row>
    <row r="15" spans="1:25" ht="15" hidden="1">
      <c r="A15" s="300"/>
      <c r="B15" s="296"/>
      <c r="C15" s="88" t="s">
        <v>13</v>
      </c>
      <c r="D15" s="235"/>
      <c r="E15" s="21">
        <f t="shared" si="0"/>
        <v>0</v>
      </c>
      <c r="F15" s="42"/>
      <c r="G15" s="92"/>
      <c r="H15" s="78"/>
      <c r="I15" s="42"/>
      <c r="J15" s="42"/>
      <c r="K15" s="55"/>
      <c r="L15" s="92"/>
      <c r="M15" s="92"/>
      <c r="N15" s="78"/>
      <c r="O15" s="42"/>
      <c r="P15" s="42"/>
      <c r="Q15" s="22"/>
      <c r="R15" s="72"/>
      <c r="S15" s="59"/>
    </row>
    <row r="16" spans="1:25" ht="15" hidden="1">
      <c r="A16" s="300"/>
      <c r="B16" s="202" t="s">
        <v>11</v>
      </c>
      <c r="C16" s="60" t="s">
        <v>12</v>
      </c>
      <c r="D16" s="236"/>
      <c r="E16" s="21">
        <f t="shared" si="0"/>
        <v>0</v>
      </c>
      <c r="F16" s="42"/>
      <c r="G16" s="92"/>
      <c r="H16" s="78"/>
      <c r="I16" s="42"/>
      <c r="J16" s="42"/>
      <c r="K16" s="55"/>
      <c r="L16" s="92"/>
      <c r="M16" s="92"/>
      <c r="N16" s="78"/>
      <c r="O16" s="42"/>
      <c r="P16" s="42"/>
      <c r="Q16" s="22"/>
      <c r="R16" s="72"/>
      <c r="S16" s="59"/>
    </row>
    <row r="17" spans="1:19" s="107" customFormat="1" ht="15" hidden="1">
      <c r="A17" s="301"/>
      <c r="B17" s="203" t="s">
        <v>171</v>
      </c>
      <c r="C17" s="86" t="s">
        <v>172</v>
      </c>
      <c r="D17" s="237">
        <v>0</v>
      </c>
      <c r="E17" s="102">
        <f t="shared" si="0"/>
        <v>0</v>
      </c>
      <c r="F17" s="103" t="s">
        <v>77</v>
      </c>
      <c r="G17" s="104" t="str">
        <f>IFERROR(D17/F17,"-")</f>
        <v>-</v>
      </c>
      <c r="H17" s="105" t="s">
        <v>77</v>
      </c>
      <c r="I17" s="103" t="e">
        <f>D17/L17*1000</f>
        <v>#DIV/0!</v>
      </c>
      <c r="J17" s="103" t="s">
        <v>77</v>
      </c>
      <c r="K17" s="106" t="str">
        <f t="shared" ref="K17" si="1">IFERROR(D17/J17,"-")</f>
        <v>-</v>
      </c>
      <c r="L17" s="228">
        <v>0</v>
      </c>
      <c r="M17" s="228" t="s">
        <v>77</v>
      </c>
      <c r="N17" s="105" t="s">
        <v>77</v>
      </c>
      <c r="O17" s="103" t="str">
        <f>IFERROR(R17*55,"-")</f>
        <v>-</v>
      </c>
      <c r="P17" s="103"/>
      <c r="Q17" s="102" t="str">
        <f>IFERROR(O17/$O$61,"-")</f>
        <v>-</v>
      </c>
      <c r="R17" s="104" t="str">
        <f>IFERROR(M17*N17,"-")</f>
        <v>-</v>
      </c>
      <c r="S17" s="106" t="str">
        <f>IFERROR(O17/D17,"-")</f>
        <v>-</v>
      </c>
    </row>
    <row r="18" spans="1:19" ht="18" hidden="1">
      <c r="A18" s="101"/>
      <c r="B18" s="292" t="s">
        <v>0</v>
      </c>
      <c r="C18" s="286"/>
      <c r="D18" s="238">
        <f>SUM(D9:D17)</f>
        <v>0</v>
      </c>
      <c r="E18" s="29">
        <f t="shared" si="0"/>
        <v>0</v>
      </c>
      <c r="F18" s="43" t="str">
        <f>F17</f>
        <v>-</v>
      </c>
      <c r="G18" s="43" t="str">
        <f t="shared" ref="G18:S18" si="2">G17</f>
        <v>-</v>
      </c>
      <c r="H18" s="43" t="str">
        <f t="shared" si="2"/>
        <v>-</v>
      </c>
      <c r="I18" s="43" t="e">
        <f t="shared" si="2"/>
        <v>#DIV/0!</v>
      </c>
      <c r="J18" s="43" t="str">
        <f t="shared" si="2"/>
        <v>-</v>
      </c>
      <c r="K18" s="43" t="str">
        <f t="shared" si="2"/>
        <v>-</v>
      </c>
      <c r="L18" s="229">
        <f t="shared" si="2"/>
        <v>0</v>
      </c>
      <c r="M18" s="229" t="str">
        <f t="shared" si="2"/>
        <v>-</v>
      </c>
      <c r="N18" s="43" t="str">
        <f t="shared" si="2"/>
        <v>-</v>
      </c>
      <c r="O18" s="43" t="str">
        <f t="shared" si="2"/>
        <v>-</v>
      </c>
      <c r="P18" s="43"/>
      <c r="Q18" s="43" t="str">
        <f t="shared" si="2"/>
        <v>-</v>
      </c>
      <c r="R18" s="43" t="str">
        <f t="shared" si="2"/>
        <v>-</v>
      </c>
      <c r="S18" s="43" t="str">
        <f t="shared" si="2"/>
        <v>-</v>
      </c>
    </row>
    <row r="19" spans="1:19" s="255" customFormat="1" ht="32.450000000000003" customHeight="1">
      <c r="A19" s="302" t="s">
        <v>23</v>
      </c>
      <c r="B19" s="280" t="s">
        <v>204</v>
      </c>
      <c r="C19" s="258" t="s">
        <v>214</v>
      </c>
      <c r="D19" s="249">
        <v>0</v>
      </c>
      <c r="E19" s="250" t="s">
        <v>77</v>
      </c>
      <c r="F19" s="245" t="s">
        <v>77</v>
      </c>
      <c r="G19" s="251" t="str">
        <f t="shared" ref="G19:G25" si="3">IFERROR(D19/F19,"-")</f>
        <v>-</v>
      </c>
      <c r="H19" s="246" t="s">
        <v>77</v>
      </c>
      <c r="I19" s="245"/>
      <c r="J19" s="245" t="s">
        <v>77</v>
      </c>
      <c r="K19" s="254" t="str">
        <f t="shared" ref="K19" si="4">IFERROR(D19/J19,"-")</f>
        <v>-</v>
      </c>
      <c r="L19" s="253" t="s">
        <v>77</v>
      </c>
      <c r="M19" s="253" t="str">
        <f t="shared" ref="M19:M21" si="5">IFERROR(G19*70%,"-")</f>
        <v>-</v>
      </c>
      <c r="N19" s="246" t="s">
        <v>77</v>
      </c>
      <c r="O19" s="245" t="str">
        <f t="shared" ref="O19:O21" si="6">IFERROR(R19*55,"-")</f>
        <v>-</v>
      </c>
      <c r="P19" s="245"/>
      <c r="Q19" s="250" t="str">
        <f t="shared" ref="Q19:Q24" si="7">IFERROR(O19/$O$61,"-")</f>
        <v>-</v>
      </c>
      <c r="R19" s="251" t="str">
        <f t="shared" ref="R19:R21" si="8">IFERROR(M19*N19,"-")</f>
        <v>-</v>
      </c>
      <c r="S19" s="254" t="str">
        <f t="shared" ref="S19:S21" si="9">IFERROR(O19/D19,"-")</f>
        <v>-</v>
      </c>
    </row>
    <row r="20" spans="1:19" s="255" customFormat="1" ht="32.450000000000003" customHeight="1">
      <c r="A20" s="303"/>
      <c r="B20" s="281"/>
      <c r="C20" s="258" t="s">
        <v>213</v>
      </c>
      <c r="D20" s="249"/>
      <c r="E20" s="250">
        <f>D20/$D$61</f>
        <v>0</v>
      </c>
      <c r="F20" s="266" t="s">
        <v>77</v>
      </c>
      <c r="G20" s="251" t="str">
        <f t="shared" si="3"/>
        <v>-</v>
      </c>
      <c r="H20" s="246" t="s">
        <v>77</v>
      </c>
      <c r="I20" s="245"/>
      <c r="J20" s="245" t="s">
        <v>77</v>
      </c>
      <c r="K20" s="254" t="str">
        <f t="shared" ref="K20" si="10">IFERROR(D20/J20,"-")</f>
        <v>-</v>
      </c>
      <c r="L20" s="253"/>
      <c r="M20" s="253" t="str">
        <f t="shared" si="5"/>
        <v>-</v>
      </c>
      <c r="N20" s="246" t="s">
        <v>77</v>
      </c>
      <c r="O20" s="245" t="str">
        <f t="shared" si="6"/>
        <v>-</v>
      </c>
      <c r="P20" s="245"/>
      <c r="Q20" s="250" t="str">
        <f t="shared" si="7"/>
        <v>-</v>
      </c>
      <c r="R20" s="251" t="str">
        <f t="shared" si="8"/>
        <v>-</v>
      </c>
      <c r="S20" s="254" t="str">
        <f t="shared" si="9"/>
        <v>-</v>
      </c>
    </row>
    <row r="21" spans="1:19" s="255" customFormat="1" ht="32.450000000000003" customHeight="1">
      <c r="A21" s="303"/>
      <c r="B21" s="281"/>
      <c r="C21" s="258" t="s">
        <v>223</v>
      </c>
      <c r="D21" s="249"/>
      <c r="E21" s="250" t="s">
        <v>77</v>
      </c>
      <c r="F21" s="266" t="s">
        <v>77</v>
      </c>
      <c r="G21" s="251" t="str">
        <f t="shared" si="3"/>
        <v>-</v>
      </c>
      <c r="H21" s="246" t="s">
        <v>77</v>
      </c>
      <c r="I21" s="245"/>
      <c r="J21" s="245"/>
      <c r="K21" s="251"/>
      <c r="L21" s="253" t="s">
        <v>77</v>
      </c>
      <c r="M21" s="253" t="str">
        <f t="shared" si="5"/>
        <v>-</v>
      </c>
      <c r="N21" s="246" t="s">
        <v>77</v>
      </c>
      <c r="O21" s="245" t="str">
        <f t="shared" si="6"/>
        <v>-</v>
      </c>
      <c r="P21" s="245"/>
      <c r="Q21" s="250" t="str">
        <f t="shared" si="7"/>
        <v>-</v>
      </c>
      <c r="R21" s="251" t="str">
        <f t="shared" si="8"/>
        <v>-</v>
      </c>
      <c r="S21" s="254" t="str">
        <f t="shared" si="9"/>
        <v>-</v>
      </c>
    </row>
    <row r="22" spans="1:19" s="255" customFormat="1" ht="32.450000000000003" customHeight="1">
      <c r="A22" s="303"/>
      <c r="B22" s="281"/>
      <c r="C22" s="258" t="s">
        <v>224</v>
      </c>
      <c r="D22" s="249"/>
      <c r="E22" s="250">
        <f t="shared" ref="E22:E27" si="11">D22/$D$61</f>
        <v>0</v>
      </c>
      <c r="F22" s="266" t="s">
        <v>77</v>
      </c>
      <c r="G22" s="251" t="str">
        <f t="shared" si="3"/>
        <v>-</v>
      </c>
      <c r="H22" s="246" t="s">
        <v>77</v>
      </c>
      <c r="I22" s="245"/>
      <c r="J22" s="245"/>
      <c r="K22" s="251" t="str">
        <f>IFERROR(D22/J22,"-")</f>
        <v>-</v>
      </c>
      <c r="L22" s="253"/>
      <c r="M22" s="253" t="str">
        <f t="shared" ref="M22" si="12">IFERROR(G22*70%,"-")</f>
        <v>-</v>
      </c>
      <c r="N22" s="246" t="s">
        <v>77</v>
      </c>
      <c r="O22" s="245" t="str">
        <f t="shared" ref="O22" si="13">IFERROR(R22*55,"-")</f>
        <v>-</v>
      </c>
      <c r="P22" s="245"/>
      <c r="Q22" s="250" t="str">
        <f t="shared" si="7"/>
        <v>-</v>
      </c>
      <c r="R22" s="251" t="str">
        <f t="shared" ref="R22" si="14">IFERROR(M22*N22,"-")</f>
        <v>-</v>
      </c>
      <c r="S22" s="254" t="str">
        <f t="shared" ref="S22" si="15">IFERROR(O22/D22,"-")</f>
        <v>-</v>
      </c>
    </row>
    <row r="23" spans="1:19" s="255" customFormat="1" ht="32.450000000000003" customHeight="1">
      <c r="A23" s="303"/>
      <c r="B23" s="281"/>
      <c r="C23" s="258" t="s">
        <v>219</v>
      </c>
      <c r="D23" s="249"/>
      <c r="E23" s="250">
        <f t="shared" si="11"/>
        <v>0</v>
      </c>
      <c r="F23" s="245" t="s">
        <v>77</v>
      </c>
      <c r="G23" s="251" t="str">
        <f t="shared" si="3"/>
        <v>-</v>
      </c>
      <c r="H23" s="246" t="s">
        <v>77</v>
      </c>
      <c r="I23" s="245"/>
      <c r="J23" s="245"/>
      <c r="K23" s="251" t="str">
        <f t="shared" ref="K23:K24" si="16">IFERROR(D23/J23,"-")</f>
        <v>-</v>
      </c>
      <c r="L23" s="253"/>
      <c r="M23" s="253" t="str">
        <f t="shared" ref="M23:M24" si="17">IFERROR(G23*70%,"-")</f>
        <v>-</v>
      </c>
      <c r="N23" s="246" t="s">
        <v>77</v>
      </c>
      <c r="O23" s="245" t="str">
        <f t="shared" ref="O23" si="18">IFERROR(R23*55,"-")</f>
        <v>-</v>
      </c>
      <c r="P23" s="245"/>
      <c r="Q23" s="250" t="str">
        <f t="shared" si="7"/>
        <v>-</v>
      </c>
      <c r="R23" s="251" t="str">
        <f t="shared" ref="R23:R24" si="19">IFERROR(M23*N23,"-")</f>
        <v>-</v>
      </c>
      <c r="S23" s="254" t="str">
        <f t="shared" ref="S23:S24" si="20">IFERROR(O23/D23,"-")</f>
        <v>-</v>
      </c>
    </row>
    <row r="24" spans="1:19" s="255" customFormat="1" ht="32.450000000000003" customHeight="1">
      <c r="A24" s="303"/>
      <c r="B24" s="281"/>
      <c r="C24" s="258" t="s">
        <v>231</v>
      </c>
      <c r="D24" s="249">
        <v>100000</v>
      </c>
      <c r="E24" s="250">
        <f t="shared" si="11"/>
        <v>3.5714285714285712E-2</v>
      </c>
      <c r="F24" s="245">
        <v>1.95</v>
      </c>
      <c r="G24" s="251">
        <f t="shared" ref="G24" si="21">IFERROR(D24/F24,"-")</f>
        <v>51282.051282051281</v>
      </c>
      <c r="H24" s="246">
        <v>2.7000000000000001E-3</v>
      </c>
      <c r="I24" s="245">
        <v>13.8</v>
      </c>
      <c r="J24" s="245">
        <v>7.0000000000000007E-2</v>
      </c>
      <c r="K24" s="251">
        <f t="shared" si="16"/>
        <v>1428571.4285714284</v>
      </c>
      <c r="L24" s="253">
        <f t="shared" ref="L24" si="22">D24/I24*1000</f>
        <v>7246376.8115942022</v>
      </c>
      <c r="M24" s="253">
        <f t="shared" si="17"/>
        <v>35897.435897435891</v>
      </c>
      <c r="N24" s="246">
        <v>3.0999999999999999E-3</v>
      </c>
      <c r="O24" s="245">
        <f>P24*R24</f>
        <v>66769.230769230751</v>
      </c>
      <c r="P24" s="245">
        <v>600</v>
      </c>
      <c r="Q24" s="250">
        <f t="shared" si="7"/>
        <v>1.6806382745652354E-2</v>
      </c>
      <c r="R24" s="251">
        <f t="shared" si="19"/>
        <v>111.28205128205126</v>
      </c>
      <c r="S24" s="254">
        <f t="shared" si="20"/>
        <v>0.66769230769230747</v>
      </c>
    </row>
    <row r="25" spans="1:19" s="255" customFormat="1" ht="32.450000000000003" customHeight="1">
      <c r="A25" s="303"/>
      <c r="B25" s="281"/>
      <c r="C25" s="258" t="s">
        <v>233</v>
      </c>
      <c r="D25" s="249">
        <v>300000</v>
      </c>
      <c r="E25" s="250">
        <f t="shared" si="11"/>
        <v>0.10714285714285714</v>
      </c>
      <c r="F25" s="266" t="s">
        <v>77</v>
      </c>
      <c r="G25" s="251" t="str">
        <f t="shared" si="3"/>
        <v>-</v>
      </c>
      <c r="H25" s="246" t="s">
        <v>77</v>
      </c>
      <c r="I25" s="245">
        <v>2.65</v>
      </c>
      <c r="J25" s="245">
        <v>0.01</v>
      </c>
      <c r="K25" s="251">
        <f t="shared" ref="K25" si="23">IFERROR(D25/J25,"-")</f>
        <v>30000000</v>
      </c>
      <c r="L25" s="253">
        <f t="shared" ref="L25" si="24">D25/I25*1000</f>
        <v>113207547.16981132</v>
      </c>
      <c r="M25" s="253" t="s">
        <v>77</v>
      </c>
      <c r="N25" s="246" t="s">
        <v>77</v>
      </c>
      <c r="O25" s="245">
        <f t="shared" ref="O25" si="25">IFERROR(R25*55,"-")</f>
        <v>0</v>
      </c>
      <c r="P25" s="245"/>
      <c r="Q25" s="250"/>
      <c r="R25" s="251"/>
      <c r="S25" s="254"/>
    </row>
    <row r="26" spans="1:19" s="255" customFormat="1" ht="32.25" customHeight="1">
      <c r="A26" s="303"/>
      <c r="B26" s="281"/>
      <c r="C26" s="258" t="s">
        <v>217</v>
      </c>
      <c r="D26" s="249">
        <v>70000</v>
      </c>
      <c r="E26" s="250">
        <f t="shared" si="11"/>
        <v>2.5000000000000001E-2</v>
      </c>
      <c r="F26" s="245">
        <v>0.76</v>
      </c>
      <c r="G26" s="251">
        <f>IFERROR(D26/F26,"-")</f>
        <v>92105.263157894733</v>
      </c>
      <c r="H26" s="246" t="s">
        <v>77</v>
      </c>
      <c r="I26" s="245">
        <v>1.64</v>
      </c>
      <c r="J26" s="254" t="str">
        <f t="shared" ref="J26" si="26">IFERROR(C26/I26,"-")</f>
        <v>-</v>
      </c>
      <c r="K26" s="254" t="str">
        <f t="shared" ref="K26" si="27">IFERROR(D26/J26,"-")</f>
        <v>-</v>
      </c>
      <c r="L26" s="253">
        <f t="shared" ref="L26" si="28">D26/I26*1000</f>
        <v>42682926.829268299</v>
      </c>
      <c r="M26" s="253">
        <f>IFERROR(G26*70%,"-")</f>
        <v>64473.684210526306</v>
      </c>
      <c r="N26" s="246">
        <v>1.4E-3</v>
      </c>
      <c r="O26" s="245">
        <f>P26*R26</f>
        <v>54157.894736842092</v>
      </c>
      <c r="P26" s="245">
        <v>600</v>
      </c>
      <c r="Q26" s="250">
        <f>IFERROR(O26/$O$61,"-")</f>
        <v>1.3632002303455709E-2</v>
      </c>
      <c r="R26" s="251">
        <f>IFERROR(M26*N26,"-")</f>
        <v>90.263157894736821</v>
      </c>
      <c r="S26" s="254">
        <f>IFERROR(O26/D26,"-")</f>
        <v>0.77368421052631564</v>
      </c>
    </row>
    <row r="27" spans="1:19" s="255" customFormat="1" ht="32.450000000000003" customHeight="1">
      <c r="A27" s="303"/>
      <c r="B27" s="281"/>
      <c r="C27" s="258" t="s">
        <v>205</v>
      </c>
      <c r="D27" s="249">
        <v>10000</v>
      </c>
      <c r="E27" s="250">
        <f t="shared" si="11"/>
        <v>3.5714285714285713E-3</v>
      </c>
      <c r="F27" s="265" t="s">
        <v>77</v>
      </c>
      <c r="G27" s="251" t="str">
        <f t="shared" ref="G27" si="29">IFERROR(D27/F27,"-")</f>
        <v>-</v>
      </c>
      <c r="H27" s="246" t="s">
        <v>77</v>
      </c>
      <c r="I27" s="245">
        <v>1.48</v>
      </c>
      <c r="J27" s="254" t="str">
        <f t="shared" ref="J27:K27" si="30">IFERROR(C27/I27,"-")</f>
        <v>-</v>
      </c>
      <c r="K27" s="254" t="str">
        <f t="shared" si="30"/>
        <v>-</v>
      </c>
      <c r="L27" s="253">
        <f t="shared" ref="L27:L29" si="31">D27/I27*1000</f>
        <v>6756756.7567567565</v>
      </c>
      <c r="M27" s="253" t="str">
        <f t="shared" ref="M27" si="32">IFERROR(G27*70%,"-")</f>
        <v>-</v>
      </c>
      <c r="N27" s="246" t="s">
        <v>77</v>
      </c>
      <c r="O27" s="245" t="str">
        <f t="shared" ref="O27" si="33">IFERROR(R27*55,"-")</f>
        <v>-</v>
      </c>
      <c r="P27" s="245"/>
      <c r="Q27" s="250" t="str">
        <f>IFERROR(O27/$O$61,"-")</f>
        <v>-</v>
      </c>
      <c r="R27" s="251" t="str">
        <f t="shared" ref="R27" si="34">IFERROR(M27*N27,"-")</f>
        <v>-</v>
      </c>
      <c r="S27" s="254" t="str">
        <f t="shared" ref="S27" si="35">IFERROR(O27/D27,"-")</f>
        <v>-</v>
      </c>
    </row>
    <row r="28" spans="1:19" s="255" customFormat="1" ht="32.450000000000003" customHeight="1">
      <c r="A28" s="303"/>
      <c r="B28" s="281"/>
      <c r="C28" s="258" t="s">
        <v>206</v>
      </c>
      <c r="D28" s="249">
        <v>10000</v>
      </c>
      <c r="E28" s="250" t="s">
        <v>77</v>
      </c>
      <c r="F28" s="245" t="s">
        <v>77</v>
      </c>
      <c r="G28" s="251" t="str">
        <f t="shared" ref="G28" si="36">IFERROR(D28/F28,"-")</f>
        <v>-</v>
      </c>
      <c r="H28" s="246" t="s">
        <v>77</v>
      </c>
      <c r="I28" s="245">
        <v>1.48</v>
      </c>
      <c r="J28" s="254" t="str">
        <f t="shared" ref="J28:K28" si="37">IFERROR(C28/I28,"-")</f>
        <v>-</v>
      </c>
      <c r="K28" s="254" t="str">
        <f t="shared" si="37"/>
        <v>-</v>
      </c>
      <c r="L28" s="253">
        <f t="shared" si="31"/>
        <v>6756756.7567567565</v>
      </c>
      <c r="M28" s="253"/>
      <c r="N28" s="246"/>
      <c r="O28" s="245"/>
      <c r="P28" s="245"/>
      <c r="Q28" s="250"/>
      <c r="R28" s="251"/>
      <c r="S28" s="254"/>
    </row>
    <row r="29" spans="1:19" s="255" customFormat="1" ht="32.450000000000003" customHeight="1">
      <c r="A29" s="303"/>
      <c r="B29" s="281"/>
      <c r="C29" s="258" t="s">
        <v>203</v>
      </c>
      <c r="D29" s="249">
        <v>10000</v>
      </c>
      <c r="E29" s="250"/>
      <c r="F29" s="245"/>
      <c r="G29" s="251"/>
      <c r="H29" s="246"/>
      <c r="I29" s="245">
        <v>1.49</v>
      </c>
      <c r="J29" s="254"/>
      <c r="K29" s="254"/>
      <c r="L29" s="253">
        <f t="shared" si="31"/>
        <v>6711409.3959731543</v>
      </c>
      <c r="M29" s="253"/>
      <c r="N29" s="246"/>
      <c r="O29" s="245"/>
      <c r="P29" s="245"/>
      <c r="Q29" s="250"/>
      <c r="R29" s="251"/>
      <c r="S29" s="254"/>
    </row>
    <row r="30" spans="1:19" s="255" customFormat="1" ht="32.25" customHeight="1">
      <c r="A30" s="303"/>
      <c r="B30" s="298" t="s">
        <v>11</v>
      </c>
      <c r="C30" s="268" t="s">
        <v>225</v>
      </c>
      <c r="D30" s="249">
        <v>70000</v>
      </c>
      <c r="E30" s="250">
        <f t="shared" ref="E30:E35" si="38">D30/$D$61</f>
        <v>2.5000000000000001E-2</v>
      </c>
      <c r="F30" s="245">
        <v>0.77</v>
      </c>
      <c r="G30" s="251">
        <f t="shared" ref="G30:G35" si="39">IFERROR(D30/F30,"-")</f>
        <v>90909.090909090912</v>
      </c>
      <c r="H30" s="246">
        <v>8.5000000000000006E-3</v>
      </c>
      <c r="I30" s="245">
        <v>2.4500000000000002</v>
      </c>
      <c r="J30" s="245" t="s">
        <v>77</v>
      </c>
      <c r="K30" s="251" t="str">
        <f t="shared" ref="K30:K37" si="40">IFERROR(D30/J30,"-")</f>
        <v>-</v>
      </c>
      <c r="L30" s="253">
        <f t="shared" ref="L30:L37" si="41">IFERROR(G30/H30,"-")</f>
        <v>10695187.165775402</v>
      </c>
      <c r="M30" s="253">
        <f>IFERROR(G30*80%,"-")</f>
        <v>72727.272727272735</v>
      </c>
      <c r="N30" s="246">
        <v>8.0000000000000004E-4</v>
      </c>
      <c r="O30" s="257">
        <f>P30*R30</f>
        <v>32000.000000000007</v>
      </c>
      <c r="P30" s="245">
        <v>550</v>
      </c>
      <c r="Q30" s="250">
        <f>IFERROR(O30/$O$63,"-")</f>
        <v>1.3460867254483953E-2</v>
      </c>
      <c r="R30" s="251">
        <f>IFERROR(M30*N30,"-")</f>
        <v>58.181818181818194</v>
      </c>
      <c r="S30" s="254">
        <f>IFERROR(O30/D30,"-")</f>
        <v>0.45714285714285724</v>
      </c>
    </row>
    <row r="31" spans="1:19" s="255" customFormat="1" ht="32.450000000000003" customHeight="1">
      <c r="A31" s="303"/>
      <c r="B31" s="298"/>
      <c r="C31" s="268" t="s">
        <v>226</v>
      </c>
      <c r="D31" s="249">
        <v>300000</v>
      </c>
      <c r="E31" s="250">
        <f t="shared" si="38"/>
        <v>0.10714285714285714</v>
      </c>
      <c r="F31" s="245">
        <v>0.25</v>
      </c>
      <c r="G31" s="251">
        <f t="shared" si="39"/>
        <v>1200000</v>
      </c>
      <c r="H31" s="246">
        <v>3.2000000000000002E-3</v>
      </c>
      <c r="I31" s="245">
        <v>2.4500000000000002</v>
      </c>
      <c r="J31" s="245" t="s">
        <v>77</v>
      </c>
      <c r="K31" s="251" t="str">
        <f t="shared" ref="K31:K35" si="42">IFERROR(D31/J31,"-")</f>
        <v>-</v>
      </c>
      <c r="L31" s="253">
        <f t="shared" si="41"/>
        <v>375000000</v>
      </c>
      <c r="M31" s="253">
        <f t="shared" ref="M31:M35" si="43">IFERROR(G31*80%,"-")</f>
        <v>960000</v>
      </c>
      <c r="N31" s="246" t="s">
        <v>77</v>
      </c>
      <c r="O31" s="257" t="s">
        <v>77</v>
      </c>
      <c r="P31" s="245" t="s">
        <v>77</v>
      </c>
      <c r="Q31" s="250" t="str">
        <f>IFERROR(O31/$O$63,"-")</f>
        <v>-</v>
      </c>
      <c r="R31" s="251" t="str">
        <f t="shared" ref="R31:R32" si="44">IFERROR(M31*N31,"-")</f>
        <v>-</v>
      </c>
      <c r="S31" s="254" t="str">
        <f t="shared" ref="S31:S32" si="45">IFERROR(O31/D31,"-")</f>
        <v>-</v>
      </c>
    </row>
    <row r="32" spans="1:19" s="255" customFormat="1" ht="32.450000000000003" customHeight="1">
      <c r="A32" s="303"/>
      <c r="B32" s="298"/>
      <c r="C32" s="268" t="s">
        <v>227</v>
      </c>
      <c r="D32" s="249">
        <v>70000</v>
      </c>
      <c r="E32" s="250">
        <f t="shared" si="38"/>
        <v>2.5000000000000001E-2</v>
      </c>
      <c r="F32" s="245">
        <v>0.51</v>
      </c>
      <c r="G32" s="251">
        <f t="shared" si="39"/>
        <v>137254.90196078431</v>
      </c>
      <c r="H32" s="246">
        <v>7.6E-3</v>
      </c>
      <c r="I32" s="245">
        <v>2.4500000000000002</v>
      </c>
      <c r="J32" s="245" t="s">
        <v>77</v>
      </c>
      <c r="K32" s="251" t="str">
        <f t="shared" si="42"/>
        <v>-</v>
      </c>
      <c r="L32" s="253">
        <f t="shared" si="41"/>
        <v>18059855.52115583</v>
      </c>
      <c r="M32" s="253">
        <f t="shared" si="43"/>
        <v>109803.92156862745</v>
      </c>
      <c r="N32" s="246">
        <v>8.9999999999999998E-4</v>
      </c>
      <c r="O32" s="257">
        <f t="shared" ref="O32" si="46">P32*R32</f>
        <v>54352.941176470587</v>
      </c>
      <c r="P32" s="245">
        <v>550</v>
      </c>
      <c r="Q32" s="250">
        <f>IFERROR(O32/$O$63,"-")</f>
        <v>2.2863678939601416E-2</v>
      </c>
      <c r="R32" s="251">
        <f t="shared" si="44"/>
        <v>98.82352941176471</v>
      </c>
      <c r="S32" s="254">
        <f t="shared" si="45"/>
        <v>0.77647058823529413</v>
      </c>
    </row>
    <row r="33" spans="1:19" s="255" customFormat="1" ht="32.450000000000003" customHeight="1">
      <c r="A33" s="303"/>
      <c r="B33" s="298"/>
      <c r="C33" s="268" t="s">
        <v>228</v>
      </c>
      <c r="D33" s="249">
        <v>10000</v>
      </c>
      <c r="E33" s="250">
        <f t="shared" si="38"/>
        <v>3.5714285714285713E-3</v>
      </c>
      <c r="F33" s="245">
        <v>0.41</v>
      </c>
      <c r="G33" s="251">
        <f t="shared" si="39"/>
        <v>24390.243902439026</v>
      </c>
      <c r="H33" s="246">
        <v>5.4999999999999997E-3</v>
      </c>
      <c r="I33" s="245">
        <v>2.9</v>
      </c>
      <c r="J33" s="245" t="s">
        <v>77</v>
      </c>
      <c r="K33" s="251" t="str">
        <f t="shared" si="42"/>
        <v>-</v>
      </c>
      <c r="L33" s="253">
        <f t="shared" si="41"/>
        <v>4434589.8004434593</v>
      </c>
      <c r="M33" s="253">
        <f t="shared" si="43"/>
        <v>19512.195121951223</v>
      </c>
      <c r="N33" s="246" t="s">
        <v>77</v>
      </c>
      <c r="O33" s="257" t="s">
        <v>77</v>
      </c>
      <c r="P33" s="245" t="s">
        <v>77</v>
      </c>
      <c r="Q33" s="250" t="s">
        <v>77</v>
      </c>
      <c r="R33" s="251" t="str">
        <f t="shared" ref="R33:R35" si="47">IFERROR(M33*N33,"-")</f>
        <v>-</v>
      </c>
      <c r="S33" s="254" t="str">
        <f t="shared" ref="S33:S35" si="48">IFERROR(O33/D33,"-")</f>
        <v>-</v>
      </c>
    </row>
    <row r="34" spans="1:19" s="255" customFormat="1" ht="32.450000000000003" customHeight="1">
      <c r="A34" s="303"/>
      <c r="B34" s="298"/>
      <c r="C34" s="268" t="s">
        <v>229</v>
      </c>
      <c r="D34" s="249">
        <v>5000</v>
      </c>
      <c r="E34" s="250">
        <f t="shared" si="38"/>
        <v>1.7857142857142857E-3</v>
      </c>
      <c r="F34" s="245">
        <v>0.55000000000000004</v>
      </c>
      <c r="G34" s="251">
        <f t="shared" si="39"/>
        <v>9090.9090909090901</v>
      </c>
      <c r="H34" s="246">
        <v>5.7999999999999996E-3</v>
      </c>
      <c r="I34" s="245">
        <v>2.9</v>
      </c>
      <c r="J34" s="245" t="s">
        <v>77</v>
      </c>
      <c r="K34" s="251" t="str">
        <f t="shared" si="42"/>
        <v>-</v>
      </c>
      <c r="L34" s="253">
        <f t="shared" si="41"/>
        <v>1567398.119122257</v>
      </c>
      <c r="M34" s="253">
        <f t="shared" si="43"/>
        <v>7272.7272727272721</v>
      </c>
      <c r="N34" s="246" t="s">
        <v>77</v>
      </c>
      <c r="O34" s="257" t="s">
        <v>77</v>
      </c>
      <c r="P34" s="245" t="s">
        <v>77</v>
      </c>
      <c r="Q34" s="250" t="s">
        <v>77</v>
      </c>
      <c r="R34" s="251" t="str">
        <f t="shared" si="47"/>
        <v>-</v>
      </c>
      <c r="S34" s="254" t="str">
        <f t="shared" si="48"/>
        <v>-</v>
      </c>
    </row>
    <row r="35" spans="1:19" s="255" customFormat="1" ht="32.450000000000003" customHeight="1">
      <c r="A35" s="303"/>
      <c r="B35" s="298"/>
      <c r="C35" s="268" t="s">
        <v>230</v>
      </c>
      <c r="D35" s="249">
        <v>5000</v>
      </c>
      <c r="E35" s="250">
        <f t="shared" si="38"/>
        <v>1.7857142857142857E-3</v>
      </c>
      <c r="F35" s="245">
        <v>0.54</v>
      </c>
      <c r="G35" s="251">
        <f t="shared" si="39"/>
        <v>9259.2592592592591</v>
      </c>
      <c r="H35" s="246">
        <v>6.3E-3</v>
      </c>
      <c r="I35" s="245">
        <v>2.9</v>
      </c>
      <c r="J35" s="245" t="s">
        <v>77</v>
      </c>
      <c r="K35" s="251" t="str">
        <f t="shared" si="42"/>
        <v>-</v>
      </c>
      <c r="L35" s="253">
        <f t="shared" si="41"/>
        <v>1469723.6919459142</v>
      </c>
      <c r="M35" s="253">
        <f t="shared" si="43"/>
        <v>7407.4074074074078</v>
      </c>
      <c r="N35" s="246" t="s">
        <v>77</v>
      </c>
      <c r="O35" s="257" t="s">
        <v>77</v>
      </c>
      <c r="P35" s="245" t="s">
        <v>77</v>
      </c>
      <c r="Q35" s="250" t="s">
        <v>77</v>
      </c>
      <c r="R35" s="251" t="str">
        <f t="shared" si="47"/>
        <v>-</v>
      </c>
      <c r="S35" s="254" t="str">
        <f t="shared" si="48"/>
        <v>-</v>
      </c>
    </row>
    <row r="36" spans="1:19" s="255" customFormat="1" ht="32.450000000000003" customHeight="1">
      <c r="A36" s="303"/>
      <c r="B36" s="298"/>
      <c r="C36" s="258" t="s">
        <v>102</v>
      </c>
      <c r="D36" s="249"/>
      <c r="E36" s="250" t="s">
        <v>77</v>
      </c>
      <c r="F36" s="245" t="s">
        <v>77</v>
      </c>
      <c r="G36" s="251" t="s">
        <v>77</v>
      </c>
      <c r="H36" s="246" t="s">
        <v>77</v>
      </c>
      <c r="I36" s="245" t="s">
        <v>77</v>
      </c>
      <c r="J36" s="245" t="s">
        <v>77</v>
      </c>
      <c r="K36" s="251" t="str">
        <f t="shared" ref="K36" si="49">IFERROR(D36/J36,"-")</f>
        <v>-</v>
      </c>
      <c r="L36" s="253"/>
      <c r="M36" s="253"/>
      <c r="N36" s="246" t="s">
        <v>77</v>
      </c>
      <c r="O36" s="257" t="s">
        <v>77</v>
      </c>
      <c r="P36" s="245" t="s">
        <v>77</v>
      </c>
      <c r="Q36" s="250" t="s">
        <v>77</v>
      </c>
      <c r="R36" s="251" t="str">
        <f t="shared" ref="R36" si="50">IFERROR(M36*N36,"-")</f>
        <v>-</v>
      </c>
      <c r="S36" s="254" t="str">
        <f t="shared" ref="S36" si="51">IFERROR(O36/D36,"-")</f>
        <v>-</v>
      </c>
    </row>
    <row r="37" spans="1:19" s="255" customFormat="1" ht="32.450000000000003" customHeight="1">
      <c r="A37" s="303"/>
      <c r="B37" s="298"/>
      <c r="C37" s="258" t="s">
        <v>218</v>
      </c>
      <c r="D37" s="249" t="s">
        <v>77</v>
      </c>
      <c r="E37" s="250" t="s">
        <v>77</v>
      </c>
      <c r="F37" s="245" t="s">
        <v>77</v>
      </c>
      <c r="G37" s="251" t="str">
        <f t="shared" ref="G37:G56" si="52">IFERROR(D37/F37,"-")</f>
        <v>-</v>
      </c>
      <c r="H37" s="246" t="s">
        <v>77</v>
      </c>
      <c r="I37" s="245" t="s">
        <v>77</v>
      </c>
      <c r="J37" s="245" t="s">
        <v>77</v>
      </c>
      <c r="K37" s="251" t="str">
        <f t="shared" si="40"/>
        <v>-</v>
      </c>
      <c r="L37" s="253" t="str">
        <f t="shared" si="41"/>
        <v>-</v>
      </c>
      <c r="M37" s="253" t="str">
        <f>IFERROR(G37*110%,"-")</f>
        <v>-</v>
      </c>
      <c r="N37" s="246" t="s">
        <v>77</v>
      </c>
      <c r="O37" s="257" t="s">
        <v>77</v>
      </c>
      <c r="P37" s="245" t="s">
        <v>77</v>
      </c>
      <c r="Q37" s="250" t="s">
        <v>77</v>
      </c>
      <c r="R37" s="251" t="str">
        <f t="shared" ref="R37" si="53">IFERROR(M37*N37,"-")</f>
        <v>-</v>
      </c>
      <c r="S37" s="254" t="str">
        <f t="shared" ref="S37" si="54">IFERROR(O37/D37,"-")</f>
        <v>-</v>
      </c>
    </row>
    <row r="38" spans="1:19" s="255" customFormat="1" ht="32.450000000000003" customHeight="1">
      <c r="A38" s="303"/>
      <c r="B38" s="280" t="s">
        <v>1</v>
      </c>
      <c r="C38" s="258" t="s">
        <v>215</v>
      </c>
      <c r="D38" s="249">
        <v>30000</v>
      </c>
      <c r="E38" s="250">
        <f t="shared" ref="E38:E57" si="55">D38/$D$61</f>
        <v>1.0714285714285714E-2</v>
      </c>
      <c r="F38" s="245">
        <v>0.89</v>
      </c>
      <c r="G38" s="251">
        <f>IFERROR(D38/F38,"-")</f>
        <v>33707.865168539327</v>
      </c>
      <c r="H38" s="246">
        <v>7.7999999999999996E-3</v>
      </c>
      <c r="I38" s="245" t="s">
        <v>77</v>
      </c>
      <c r="J38" s="245" t="s">
        <v>77</v>
      </c>
      <c r="K38" s="251" t="str">
        <f t="shared" ref="K38" si="56">IFERROR(D38/J38,"-")</f>
        <v>-</v>
      </c>
      <c r="L38" s="253">
        <f t="shared" ref="L38" si="57">IFERROR(G38/H38,"-")</f>
        <v>4321521.1754537597</v>
      </c>
      <c r="M38" s="253">
        <f>IFERROR(G38*110%,"-")</f>
        <v>37078.651685393263</v>
      </c>
      <c r="N38" s="246" t="s">
        <v>77</v>
      </c>
      <c r="O38" s="257" t="s">
        <v>77</v>
      </c>
      <c r="P38" s="245" t="s">
        <v>77</v>
      </c>
      <c r="Q38" s="250" t="s">
        <v>77</v>
      </c>
      <c r="R38" s="251" t="str">
        <f t="shared" ref="R38" si="58">IFERROR(M38*N38,"-")</f>
        <v>-</v>
      </c>
      <c r="S38" s="254" t="str">
        <f t="shared" ref="S38" si="59">IFERROR(O38/D38,"-")</f>
        <v>-</v>
      </c>
    </row>
    <row r="39" spans="1:19" s="255" customFormat="1" ht="32.450000000000003" customHeight="1">
      <c r="A39" s="303"/>
      <c r="B39" s="281"/>
      <c r="C39" s="258"/>
      <c r="D39" s="249"/>
      <c r="E39" s="250" t="s">
        <v>77</v>
      </c>
      <c r="F39" s="245" t="s">
        <v>77</v>
      </c>
      <c r="G39" s="251" t="str">
        <f t="shared" ref="G39" si="60">IFERROR(D39/F39,"-")</f>
        <v>-</v>
      </c>
      <c r="H39" s="246" t="s">
        <v>77</v>
      </c>
      <c r="I39" s="245"/>
      <c r="J39" s="245"/>
      <c r="K39" s="254" t="str">
        <f t="shared" ref="K39" si="61">IFERROR(D39/J39,"-")</f>
        <v>-</v>
      </c>
      <c r="L39" s="253" t="s">
        <v>77</v>
      </c>
      <c r="M39" s="253" t="str">
        <f t="shared" ref="M39" si="62">IFERROR(G39*70%,"-")</f>
        <v>-</v>
      </c>
      <c r="N39" s="246" t="s">
        <v>77</v>
      </c>
      <c r="O39" s="245" t="str">
        <f t="shared" ref="O39" si="63">IFERROR(R39*55,"-")</f>
        <v>-</v>
      </c>
      <c r="P39" s="245"/>
      <c r="Q39" s="250" t="str">
        <f>IFERROR(O39/$O$61,"-")</f>
        <v>-</v>
      </c>
      <c r="R39" s="251" t="str">
        <f t="shared" ref="R39" si="64">IFERROR(M39*N39,"-")</f>
        <v>-</v>
      </c>
      <c r="S39" s="254" t="str">
        <f t="shared" ref="S39" si="65">IFERROR(O39/D39,"-")</f>
        <v>-</v>
      </c>
    </row>
    <row r="40" spans="1:19" s="255" customFormat="1" ht="32.450000000000003" customHeight="1">
      <c r="A40" s="303"/>
      <c r="B40" s="281"/>
      <c r="C40" s="258" t="s">
        <v>220</v>
      </c>
      <c r="D40" s="249">
        <v>25000</v>
      </c>
      <c r="E40" s="250">
        <f t="shared" si="55"/>
        <v>8.9285714285714281E-3</v>
      </c>
      <c r="F40" s="243">
        <v>0.98</v>
      </c>
      <c r="G40" s="251">
        <f>IFERROR(D40/F40,"-")</f>
        <v>25510.204081632655</v>
      </c>
      <c r="H40" s="244">
        <v>7.4999999999999997E-3</v>
      </c>
      <c r="I40" s="245" t="s">
        <v>77</v>
      </c>
      <c r="J40" s="245" t="s">
        <v>77</v>
      </c>
      <c r="K40" s="254" t="str">
        <f t="shared" ref="K40" si="66">IFERROR(D40/J40,"-")</f>
        <v>-</v>
      </c>
      <c r="L40" s="253">
        <f>IFERROR(G40/H40,"-")</f>
        <v>3401360.5442176876</v>
      </c>
      <c r="M40" s="253">
        <f>IFERROR(G40*100%,"-")</f>
        <v>25510.204081632655</v>
      </c>
      <c r="N40" s="246" t="s">
        <v>77</v>
      </c>
      <c r="O40" s="245" t="str">
        <f t="shared" ref="O40" si="67">IFERROR(R40*55,"-")</f>
        <v>-</v>
      </c>
      <c r="P40" s="245"/>
      <c r="Q40" s="250" t="str">
        <f>IFERROR(O40/$O$61,"-")</f>
        <v>-</v>
      </c>
      <c r="R40" s="251" t="str">
        <f t="shared" ref="R40" si="68">IFERROR(M40*N40,"-")</f>
        <v>-</v>
      </c>
      <c r="S40" s="254" t="str">
        <f t="shared" ref="S40" si="69">IFERROR(O40/D40,"-")</f>
        <v>-</v>
      </c>
    </row>
    <row r="41" spans="1:19" s="255" customFormat="1" ht="32.450000000000003" customHeight="1">
      <c r="A41" s="303"/>
      <c r="B41" s="281"/>
      <c r="C41" s="258" t="s">
        <v>243</v>
      </c>
      <c r="D41" s="249">
        <v>40000</v>
      </c>
      <c r="E41" s="250">
        <f t="shared" si="55"/>
        <v>1.4285714285714285E-2</v>
      </c>
      <c r="F41" s="243"/>
      <c r="G41" s="251"/>
      <c r="H41" s="244"/>
      <c r="I41" s="245"/>
      <c r="J41" s="245"/>
      <c r="K41" s="254"/>
      <c r="L41" s="253"/>
      <c r="M41" s="253"/>
      <c r="N41" s="246"/>
      <c r="O41" s="245"/>
      <c r="P41" s="245"/>
      <c r="Q41" s="250"/>
      <c r="R41" s="251"/>
      <c r="S41" s="254"/>
    </row>
    <row r="42" spans="1:19" s="255" customFormat="1" ht="32.450000000000003" customHeight="1">
      <c r="A42" s="303"/>
      <c r="B42" s="281"/>
      <c r="C42" s="258" t="s">
        <v>221</v>
      </c>
      <c r="D42" s="249">
        <v>40000</v>
      </c>
      <c r="E42" s="250">
        <f t="shared" si="55"/>
        <v>1.4285714285714285E-2</v>
      </c>
      <c r="F42" s="243">
        <v>0.65</v>
      </c>
      <c r="G42" s="251">
        <f t="shared" ref="G42" si="70">IFERROR(D42/F42,"-")</f>
        <v>61538.461538461539</v>
      </c>
      <c r="H42" s="244">
        <v>9.7999999999999997E-3</v>
      </c>
      <c r="I42" s="245">
        <v>4</v>
      </c>
      <c r="J42" s="245" t="s">
        <v>77</v>
      </c>
      <c r="K42" s="254" t="str">
        <f t="shared" ref="K42" si="71">IFERROR(D42/J42,"-")</f>
        <v>-</v>
      </c>
      <c r="L42" s="253">
        <f t="shared" ref="L42" si="72">IFERROR(G42/H42,"-")</f>
        <v>6279434.8508634223</v>
      </c>
      <c r="M42" s="253">
        <f>IFERROR(G42*100%,"-")</f>
        <v>61538.461538461539</v>
      </c>
      <c r="N42" s="246" t="s">
        <v>77</v>
      </c>
      <c r="O42" s="245" t="str">
        <f t="shared" ref="O42" si="73">IFERROR(R42*55,"-")</f>
        <v>-</v>
      </c>
      <c r="P42" s="245"/>
      <c r="Q42" s="250" t="str">
        <f>IFERROR(O42/$O$61,"-")</f>
        <v>-</v>
      </c>
      <c r="R42" s="251" t="str">
        <f t="shared" ref="R42" si="74">IFERROR(M42*N42,"-")</f>
        <v>-</v>
      </c>
      <c r="S42" s="254" t="str">
        <f t="shared" ref="S42" si="75">IFERROR(O42/D42,"-")</f>
        <v>-</v>
      </c>
    </row>
    <row r="43" spans="1:19" s="255" customFormat="1" ht="32.450000000000003" customHeight="1">
      <c r="A43" s="303"/>
      <c r="B43" s="267" t="s">
        <v>242</v>
      </c>
      <c r="C43" s="258" t="s">
        <v>222</v>
      </c>
      <c r="D43" s="249"/>
      <c r="E43" s="250">
        <f t="shared" si="55"/>
        <v>0</v>
      </c>
      <c r="F43" s="243" t="s">
        <v>77</v>
      </c>
      <c r="G43" s="251" t="s">
        <v>77</v>
      </c>
      <c r="H43" s="244" t="s">
        <v>77</v>
      </c>
      <c r="I43" s="245">
        <v>31</v>
      </c>
      <c r="J43" s="245"/>
      <c r="K43" s="254"/>
      <c r="L43" s="253">
        <f>D43/I43*1000</f>
        <v>0</v>
      </c>
      <c r="M43" s="253" t="s">
        <v>77</v>
      </c>
      <c r="N43" s="246" t="s">
        <v>77</v>
      </c>
      <c r="O43" s="245" t="s">
        <v>77</v>
      </c>
      <c r="P43" s="245" t="s">
        <v>77</v>
      </c>
      <c r="Q43" s="250"/>
      <c r="R43" s="251"/>
      <c r="S43" s="254"/>
    </row>
    <row r="44" spans="1:19" s="255" customFormat="1" ht="32.450000000000003" customHeight="1">
      <c r="A44" s="303"/>
      <c r="B44" s="259" t="s">
        <v>235</v>
      </c>
      <c r="C44" s="258" t="s">
        <v>236</v>
      </c>
      <c r="D44" s="249">
        <v>100000</v>
      </c>
      <c r="E44" s="250">
        <f t="shared" si="55"/>
        <v>3.5714285714285712E-2</v>
      </c>
      <c r="F44" s="245"/>
      <c r="G44" s="251"/>
      <c r="H44" s="246"/>
      <c r="I44" s="245"/>
      <c r="J44" s="245" t="s">
        <v>77</v>
      </c>
      <c r="K44" s="251" t="str">
        <f t="shared" ref="K44" si="76">IFERROR(D44/J44,"-")</f>
        <v>-</v>
      </c>
      <c r="L44" s="253" t="str">
        <f t="shared" ref="L44:L56" si="77">IFERROR(G44/H44,"-")</f>
        <v>-</v>
      </c>
      <c r="M44" s="253" t="s">
        <v>77</v>
      </c>
      <c r="N44" s="246" t="s">
        <v>77</v>
      </c>
      <c r="O44" s="245" t="str">
        <f t="shared" ref="O44" si="78">IFERROR(R44*55,"-")</f>
        <v>-</v>
      </c>
      <c r="P44" s="245"/>
      <c r="Q44" s="250" t="str">
        <f t="shared" ref="Q44:Q49" si="79">IFERROR(O44/$O$61,"-")</f>
        <v>-</v>
      </c>
      <c r="R44" s="251" t="str">
        <f t="shared" ref="R44" si="80">IFERROR(M44*N44,"-")</f>
        <v>-</v>
      </c>
      <c r="S44" s="254" t="str">
        <f t="shared" ref="S44" si="81">IFERROR(O44/D44,"-")</f>
        <v>-</v>
      </c>
    </row>
    <row r="45" spans="1:19" ht="32.450000000000003" customHeight="1">
      <c r="A45" s="101"/>
      <c r="B45" s="286" t="s">
        <v>0</v>
      </c>
      <c r="C45" s="287"/>
      <c r="D45" s="239">
        <f>SUM(D19:D44)</f>
        <v>1195000</v>
      </c>
      <c r="E45" s="23">
        <f t="shared" si="55"/>
        <v>0.42678571428571427</v>
      </c>
      <c r="F45" s="65">
        <f>D45/G45</f>
        <v>0.72512154194206357</v>
      </c>
      <c r="G45" s="93">
        <f>SUM(G19:G39)</f>
        <v>1647999.5847309681</v>
      </c>
      <c r="H45" s="79">
        <f>G45/L45</f>
        <v>3.9658438790332309E-3</v>
      </c>
      <c r="I45" s="65">
        <f>D45/L45*1000</f>
        <v>2.8757188286660713</v>
      </c>
      <c r="J45" s="65"/>
      <c r="K45" s="61">
        <f>SUM(K19:K39)</f>
        <v>31428571.428571429</v>
      </c>
      <c r="L45" s="93">
        <f>SUM(L30:L39)</f>
        <v>415548275.47389668</v>
      </c>
      <c r="M45" s="93">
        <f>SUM(M30:M39)</f>
        <v>1213802.1757833792</v>
      </c>
      <c r="N45" s="79"/>
      <c r="O45" s="44">
        <f>SUM(O19:O39)</f>
        <v>207280.06668254343</v>
      </c>
      <c r="P45" s="44"/>
      <c r="Q45" s="23">
        <f t="shared" si="79"/>
        <v>5.2174154113761737E-2</v>
      </c>
      <c r="R45" s="73">
        <f>SUM(R19:R39)</f>
        <v>358.55055677037097</v>
      </c>
      <c r="S45" s="62">
        <f>O45/D45</f>
        <v>0.17345612274689826</v>
      </c>
    </row>
    <row r="46" spans="1:19" s="255" customFormat="1" ht="32.450000000000003" customHeight="1">
      <c r="A46" s="293" t="s">
        <v>78</v>
      </c>
      <c r="B46" s="248" t="s">
        <v>7</v>
      </c>
      <c r="C46" s="263" t="s">
        <v>6</v>
      </c>
      <c r="D46" s="249">
        <v>40000</v>
      </c>
      <c r="E46" s="250">
        <f t="shared" si="55"/>
        <v>1.4285714285714285E-2</v>
      </c>
      <c r="F46" s="245">
        <v>0.78</v>
      </c>
      <c r="G46" s="251">
        <f t="shared" si="52"/>
        <v>51282.051282051281</v>
      </c>
      <c r="H46" s="246">
        <v>6.4999999999999997E-3</v>
      </c>
      <c r="I46" s="245">
        <f>IFERROR(D46/L46*1000,"-")</f>
        <v>5.07</v>
      </c>
      <c r="J46" s="245" t="s">
        <v>77</v>
      </c>
      <c r="K46" s="252" t="s">
        <v>77</v>
      </c>
      <c r="L46" s="253">
        <f t="shared" si="77"/>
        <v>7889546.3510848125</v>
      </c>
      <c r="M46" s="253">
        <f>IFERROR(G46*100%,"-")</f>
        <v>51282.051282051281</v>
      </c>
      <c r="N46" s="246">
        <v>2.8E-3</v>
      </c>
      <c r="O46" s="245">
        <f>P46*R46</f>
        <v>64615.384615384617</v>
      </c>
      <c r="P46" s="245">
        <v>450</v>
      </c>
      <c r="Q46" s="250">
        <f t="shared" si="79"/>
        <v>1.6264241366760347E-2</v>
      </c>
      <c r="R46" s="251">
        <f t="shared" ref="R46:R56" si="82">IFERROR(M46*N46,"-")</f>
        <v>143.58974358974359</v>
      </c>
      <c r="S46" s="254">
        <f t="shared" ref="S46:S53" si="83">IFERROR(O46/D46,"-")</f>
        <v>1.6153846153846154</v>
      </c>
    </row>
    <row r="47" spans="1:19" s="255" customFormat="1" ht="32.450000000000003" customHeight="1">
      <c r="A47" s="293"/>
      <c r="B47" s="248" t="s">
        <v>209</v>
      </c>
      <c r="C47" s="256" t="s">
        <v>4</v>
      </c>
      <c r="D47" s="249">
        <v>60000</v>
      </c>
      <c r="E47" s="250">
        <f t="shared" si="55"/>
        <v>2.1428571428571429E-2</v>
      </c>
      <c r="F47" s="245">
        <v>1.3</v>
      </c>
      <c r="G47" s="251">
        <f t="shared" ref="G47" si="84">IFERROR(D47/F47,"-")</f>
        <v>46153.846153846149</v>
      </c>
      <c r="H47" s="246">
        <v>4.4999999999999997E-3</v>
      </c>
      <c r="I47" s="245">
        <f t="shared" ref="I47" si="85">IFERROR(D47/L47*1000,"-")</f>
        <v>5.8500000000000005</v>
      </c>
      <c r="J47" s="245" t="s">
        <v>77</v>
      </c>
      <c r="K47" s="252" t="s">
        <v>77</v>
      </c>
      <c r="L47" s="253">
        <f t="shared" ref="L47" si="86">IFERROR(G47/H47,"-")</f>
        <v>10256410.256410256</v>
      </c>
      <c r="M47" s="253">
        <f>IFERROR(G47*120%,"-")</f>
        <v>55384.615384615376</v>
      </c>
      <c r="N47" s="246">
        <v>3.1900000000000001E-3</v>
      </c>
      <c r="O47" s="245">
        <f t="shared" ref="O47" si="87">P47*R47</f>
        <v>120140.30769230769</v>
      </c>
      <c r="P47" s="245">
        <v>680</v>
      </c>
      <c r="Q47" s="250">
        <f t="shared" si="79"/>
        <v>3.0240336319522752E-2</v>
      </c>
      <c r="R47" s="251">
        <f t="shared" ref="R47" si="88">IFERROR(M47*N47,"-")</f>
        <v>176.67692307692306</v>
      </c>
      <c r="S47" s="254">
        <f t="shared" ref="S47" si="89">IFERROR(O47/D47,"-")</f>
        <v>2.0023384615384616</v>
      </c>
    </row>
    <row r="48" spans="1:19" s="255" customFormat="1" ht="32.25" customHeight="1">
      <c r="A48" s="293"/>
      <c r="B48" s="256" t="s">
        <v>5</v>
      </c>
      <c r="C48" s="256" t="s">
        <v>4</v>
      </c>
      <c r="D48" s="249">
        <v>40000</v>
      </c>
      <c r="E48" s="250">
        <f t="shared" si="55"/>
        <v>1.4285714285714285E-2</v>
      </c>
      <c r="F48" s="245">
        <v>1.35</v>
      </c>
      <c r="G48" s="251">
        <f t="shared" si="52"/>
        <v>29629.629629629628</v>
      </c>
      <c r="H48" s="246">
        <v>5.0000000000000001E-3</v>
      </c>
      <c r="I48" s="245">
        <f t="shared" ref="I48:I49" si="90">IFERROR(D48/L48*1000,"-")</f>
        <v>6.7500000000000009</v>
      </c>
      <c r="J48" s="245" t="s">
        <v>77</v>
      </c>
      <c r="K48" s="252" t="s">
        <v>77</v>
      </c>
      <c r="L48" s="253">
        <f t="shared" si="77"/>
        <v>5925925.9259259254</v>
      </c>
      <c r="M48" s="253">
        <f>IFERROR(G48*110%,"-")</f>
        <v>32592.592592592595</v>
      </c>
      <c r="N48" s="246">
        <v>3.5000000000000001E-3</v>
      </c>
      <c r="O48" s="245">
        <f t="shared" ref="O48:O49" si="91">P48*R48</f>
        <v>69585.185185185197</v>
      </c>
      <c r="P48" s="245">
        <v>610</v>
      </c>
      <c r="Q48" s="250">
        <f t="shared" si="79"/>
        <v>1.7515182400277843E-2</v>
      </c>
      <c r="R48" s="251">
        <f t="shared" si="82"/>
        <v>114.07407407407409</v>
      </c>
      <c r="S48" s="254">
        <f t="shared" si="83"/>
        <v>1.7396296296296299</v>
      </c>
    </row>
    <row r="49" spans="1:19" s="255" customFormat="1" ht="32.450000000000003" customHeight="1">
      <c r="A49" s="293"/>
      <c r="B49" s="262" t="s">
        <v>1</v>
      </c>
      <c r="C49" s="263" t="s">
        <v>3</v>
      </c>
      <c r="D49" s="249">
        <v>30000</v>
      </c>
      <c r="E49" s="250">
        <f t="shared" si="55"/>
        <v>1.0714285714285714E-2</v>
      </c>
      <c r="F49" s="245">
        <v>1.1499999999999999</v>
      </c>
      <c r="G49" s="251">
        <f t="shared" si="52"/>
        <v>26086.956521739132</v>
      </c>
      <c r="H49" s="246">
        <v>1.21E-2</v>
      </c>
      <c r="I49" s="245">
        <f t="shared" si="90"/>
        <v>13.914999999999999</v>
      </c>
      <c r="J49" s="245" t="s">
        <v>77</v>
      </c>
      <c r="K49" s="252" t="s">
        <v>77</v>
      </c>
      <c r="L49" s="253">
        <f>IFERROR(G49/H49,"-")</f>
        <v>2155946.8199784406</v>
      </c>
      <c r="M49" s="253">
        <f>IFERROR(G49*70%,"-")</f>
        <v>18260.869565217392</v>
      </c>
      <c r="N49" s="246">
        <v>1.5E-3</v>
      </c>
      <c r="O49" s="245">
        <f t="shared" si="91"/>
        <v>13695.652173913044</v>
      </c>
      <c r="P49" s="245">
        <v>500</v>
      </c>
      <c r="Q49" s="250">
        <f t="shared" si="79"/>
        <v>3.4473120288242044E-3</v>
      </c>
      <c r="R49" s="251">
        <f t="shared" si="82"/>
        <v>27.39130434782609</v>
      </c>
      <c r="S49" s="254">
        <f t="shared" si="83"/>
        <v>0.45652173913043481</v>
      </c>
    </row>
    <row r="50" spans="1:19" ht="32.25" customHeight="1">
      <c r="A50" s="101"/>
      <c r="B50" s="287" t="s">
        <v>0</v>
      </c>
      <c r="C50" s="287"/>
      <c r="D50" s="239">
        <f>SUM(D46:D49)</f>
        <v>170000</v>
      </c>
      <c r="E50" s="23">
        <f t="shared" si="55"/>
        <v>6.0714285714285714E-2</v>
      </c>
      <c r="F50" s="65">
        <f>D50/G50</f>
        <v>1.110004852798447</v>
      </c>
      <c r="G50" s="93">
        <f>SUM(G46:G49)</f>
        <v>153152.48358726621</v>
      </c>
      <c r="H50" s="79">
        <f>G50/L50</f>
        <v>5.8393121872060616E-3</v>
      </c>
      <c r="I50" s="65">
        <f>D50/L50*1000</f>
        <v>6.4816648648038422</v>
      </c>
      <c r="J50" s="65"/>
      <c r="K50" s="61"/>
      <c r="L50" s="93">
        <f>SUM(L46:L49)</f>
        <v>26227829.353399437</v>
      </c>
      <c r="M50" s="93">
        <f>SUM(M46:M49)</f>
        <v>157520.12882447662</v>
      </c>
      <c r="N50" s="79"/>
      <c r="O50" s="44">
        <f>SUM(O46:O49)</f>
        <v>268036.52966679056</v>
      </c>
      <c r="P50" s="44"/>
      <c r="Q50" s="23">
        <f>O50/$O$61</f>
        <v>6.7467072115385149E-2</v>
      </c>
      <c r="R50" s="73">
        <f>SUM(R46:R49)</f>
        <v>461.73204508856679</v>
      </c>
      <c r="S50" s="62">
        <f>O50/D50</f>
        <v>1.5766854686281797</v>
      </c>
    </row>
    <row r="51" spans="1:19" s="255" customFormat="1" ht="32.450000000000003" customHeight="1">
      <c r="A51" s="293" t="s">
        <v>78</v>
      </c>
      <c r="B51" s="280" t="s">
        <v>11</v>
      </c>
      <c r="C51" s="263" t="s">
        <v>83</v>
      </c>
      <c r="D51" s="249">
        <v>100000</v>
      </c>
      <c r="E51" s="250">
        <f t="shared" si="55"/>
        <v>3.5714285714285712E-2</v>
      </c>
      <c r="F51" s="245">
        <v>0.36</v>
      </c>
      <c r="G51" s="251">
        <f>IFERROR(D51/F51,"-")</f>
        <v>277777.77777777781</v>
      </c>
      <c r="H51" s="246">
        <v>0.3</v>
      </c>
      <c r="I51" s="245" t="s">
        <v>77</v>
      </c>
      <c r="J51" s="245" t="s">
        <v>77</v>
      </c>
      <c r="K51" s="252" t="s">
        <v>77</v>
      </c>
      <c r="L51" s="253">
        <f>IFERROR(G51/H51,"-")</f>
        <v>925925.92592592607</v>
      </c>
      <c r="M51" s="253">
        <f>IFERROR(G51*230%,"-")</f>
        <v>638888.88888888888</v>
      </c>
      <c r="N51" s="246">
        <v>3.2000000000000002E-3</v>
      </c>
      <c r="O51" s="245">
        <f>P51*R51</f>
        <v>1533333.3333333335</v>
      </c>
      <c r="P51" s="245">
        <v>750</v>
      </c>
      <c r="Q51" s="250">
        <f t="shared" ref="Q51:Q58" si="92">IFERROR(O51/$O$61,"-")</f>
        <v>0.38595302925883684</v>
      </c>
      <c r="R51" s="251">
        <f>IFERROR(M51*N51,"-")</f>
        <v>2044.4444444444446</v>
      </c>
      <c r="S51" s="254">
        <f>IFERROR(O51/D51,"-")</f>
        <v>15.333333333333336</v>
      </c>
    </row>
    <row r="52" spans="1:19" s="255" customFormat="1" ht="32.450000000000003" customHeight="1">
      <c r="A52" s="293"/>
      <c r="B52" s="281"/>
      <c r="C52" s="264" t="s">
        <v>216</v>
      </c>
      <c r="D52" s="249">
        <v>35000</v>
      </c>
      <c r="E52" s="250">
        <f t="shared" si="55"/>
        <v>1.2500000000000001E-2</v>
      </c>
      <c r="F52" s="245">
        <v>2.6</v>
      </c>
      <c r="G52" s="251">
        <f>IFERROR(D52/F52,"-")</f>
        <v>13461.538461538461</v>
      </c>
      <c r="H52" s="246">
        <v>0.15</v>
      </c>
      <c r="I52" s="245" t="s">
        <v>77</v>
      </c>
      <c r="J52" s="245" t="s">
        <v>77</v>
      </c>
      <c r="K52" s="252" t="s">
        <v>77</v>
      </c>
      <c r="L52" s="253">
        <f>IFERROR(G52/H52,"-")</f>
        <v>89743.58974358975</v>
      </c>
      <c r="M52" s="253">
        <f>IFERROR(G52*200%,"-")</f>
        <v>26923.076923076922</v>
      </c>
      <c r="N52" s="246">
        <v>6.8999999999999999E-3</v>
      </c>
      <c r="O52" s="245">
        <f>P52*R52</f>
        <v>100315.3846153846</v>
      </c>
      <c r="P52" s="245">
        <v>540</v>
      </c>
      <c r="Q52" s="250">
        <f t="shared" si="92"/>
        <v>2.5250234721895436E-2</v>
      </c>
      <c r="R52" s="251">
        <f>IFERROR(M52*N52,"-")</f>
        <v>185.76923076923075</v>
      </c>
      <c r="S52" s="254">
        <f>IFERROR(O52/D52,"-")</f>
        <v>2.8661538461538454</v>
      </c>
    </row>
    <row r="53" spans="1:19" s="255" customFormat="1" ht="32.450000000000003" customHeight="1">
      <c r="A53" s="293"/>
      <c r="B53" s="281"/>
      <c r="C53" s="263" t="s">
        <v>234</v>
      </c>
      <c r="D53" s="249">
        <v>250000</v>
      </c>
      <c r="E53" s="250">
        <f t="shared" si="55"/>
        <v>8.9285714285714288E-2</v>
      </c>
      <c r="F53" s="245">
        <v>0.68</v>
      </c>
      <c r="G53" s="251">
        <f t="shared" si="52"/>
        <v>367647.0588235294</v>
      </c>
      <c r="H53" s="246">
        <v>0.14499999999999999</v>
      </c>
      <c r="I53" s="245" t="s">
        <v>77</v>
      </c>
      <c r="J53" s="245" t="s">
        <v>77</v>
      </c>
      <c r="K53" s="252" t="s">
        <v>77</v>
      </c>
      <c r="L53" s="253">
        <f t="shared" si="77"/>
        <v>2535496.957403651</v>
      </c>
      <c r="M53" s="253">
        <f>IFERROR(G53*120%,"-")</f>
        <v>441176.47058823524</v>
      </c>
      <c r="N53" s="246">
        <v>1E-3</v>
      </c>
      <c r="O53" s="245">
        <f>P53*R53</f>
        <v>286764.70588235289</v>
      </c>
      <c r="P53" s="245">
        <v>650</v>
      </c>
      <c r="Q53" s="250">
        <f t="shared" si="92"/>
        <v>7.218111320857401E-2</v>
      </c>
      <c r="R53" s="251">
        <f t="shared" si="82"/>
        <v>441.17647058823525</v>
      </c>
      <c r="S53" s="254">
        <f t="shared" si="83"/>
        <v>1.1470588235294115</v>
      </c>
    </row>
    <row r="54" spans="1:19" s="255" customFormat="1" ht="32.450000000000003" customHeight="1">
      <c r="A54" s="293"/>
      <c r="B54" s="281"/>
      <c r="C54" s="258" t="s">
        <v>212</v>
      </c>
      <c r="D54" s="249">
        <v>500000</v>
      </c>
      <c r="E54" s="250">
        <f t="shared" si="55"/>
        <v>0.17857142857142858</v>
      </c>
      <c r="F54" s="245">
        <v>0.65</v>
      </c>
      <c r="G54" s="251">
        <f t="shared" si="52"/>
        <v>769230.76923076925</v>
      </c>
      <c r="H54" s="246">
        <v>0.15</v>
      </c>
      <c r="I54" s="245" t="s">
        <v>77</v>
      </c>
      <c r="J54" s="245" t="s">
        <v>77</v>
      </c>
      <c r="K54" s="251" t="str">
        <f t="shared" ref="K54" si="93">IFERROR(D54/J54,"-")</f>
        <v>-</v>
      </c>
      <c r="L54" s="253">
        <f t="shared" si="77"/>
        <v>5128205.1282051289</v>
      </c>
      <c r="M54" s="253">
        <f>IFERROR(G54*125%,"-")</f>
        <v>961538.4615384615</v>
      </c>
      <c r="N54" s="246">
        <v>1E-3</v>
      </c>
      <c r="O54" s="245">
        <f>P54*R54</f>
        <v>538461.5384615385</v>
      </c>
      <c r="P54" s="245">
        <v>560</v>
      </c>
      <c r="Q54" s="250">
        <f t="shared" si="92"/>
        <v>0.13553534472300291</v>
      </c>
      <c r="R54" s="251">
        <f>IFERROR(M54*N54,"-")</f>
        <v>961.53846153846155</v>
      </c>
      <c r="S54" s="254">
        <f>IFERROR(O54/D54,"-")</f>
        <v>1.0769230769230771</v>
      </c>
    </row>
    <row r="55" spans="1:19" s="255" customFormat="1" ht="32.450000000000003" customHeight="1">
      <c r="A55" s="293"/>
      <c r="B55" s="282"/>
      <c r="C55" s="258" t="s">
        <v>232</v>
      </c>
      <c r="D55" s="249">
        <v>400000</v>
      </c>
      <c r="E55" s="250">
        <f t="shared" si="55"/>
        <v>0.14285714285714285</v>
      </c>
      <c r="F55" s="245">
        <v>0.45</v>
      </c>
      <c r="G55" s="251">
        <f t="shared" si="52"/>
        <v>888888.88888888888</v>
      </c>
      <c r="H55" s="246">
        <v>0.14499999999999999</v>
      </c>
      <c r="I55" s="245"/>
      <c r="J55" s="245"/>
      <c r="K55" s="251"/>
      <c r="L55" s="253">
        <f t="shared" si="77"/>
        <v>6130268.1992337164</v>
      </c>
      <c r="M55" s="253">
        <f>IFERROR(G55*155%,"-")</f>
        <v>1377777.7777777778</v>
      </c>
      <c r="N55" s="246">
        <v>8.9999999999999998E-4</v>
      </c>
      <c r="O55" s="245">
        <f>P55*R55</f>
        <v>744000</v>
      </c>
      <c r="P55" s="245">
        <v>600</v>
      </c>
      <c r="Q55" s="250">
        <f t="shared" si="92"/>
        <v>0.18727112202298343</v>
      </c>
      <c r="R55" s="251">
        <f>IFERROR(M55*N55,"-")</f>
        <v>1240</v>
      </c>
      <c r="S55" s="254">
        <f>IFERROR(O55/D55,"-")</f>
        <v>1.86</v>
      </c>
    </row>
    <row r="56" spans="1:19" s="255" customFormat="1" ht="32.450000000000003" customHeight="1">
      <c r="A56" s="293"/>
      <c r="B56" s="248" t="s">
        <v>9</v>
      </c>
      <c r="C56" s="263" t="s">
        <v>8</v>
      </c>
      <c r="D56" s="249">
        <v>30000</v>
      </c>
      <c r="E56" s="250">
        <f t="shared" si="55"/>
        <v>1.0714285714285714E-2</v>
      </c>
      <c r="F56" s="243">
        <v>0.67</v>
      </c>
      <c r="G56" s="251">
        <f t="shared" si="52"/>
        <v>44776.119402985074</v>
      </c>
      <c r="H56" s="244">
        <v>0.08</v>
      </c>
      <c r="I56" s="245" t="s">
        <v>77</v>
      </c>
      <c r="J56" s="245" t="s">
        <v>77</v>
      </c>
      <c r="K56" s="252" t="s">
        <v>77</v>
      </c>
      <c r="L56" s="253">
        <f t="shared" si="77"/>
        <v>559701.49253731337</v>
      </c>
      <c r="M56" s="253">
        <f>IFERROR(G56*200%,"-")</f>
        <v>89552.238805970148</v>
      </c>
      <c r="N56" s="244">
        <v>3.5000000000000001E-3</v>
      </c>
      <c r="O56" s="245">
        <f t="shared" ref="O56" si="94">P56*R56</f>
        <v>203731.3432835821</v>
      </c>
      <c r="P56" s="245">
        <v>650</v>
      </c>
      <c r="Q56" s="250">
        <f t="shared" si="92"/>
        <v>5.1280910279524236E-2</v>
      </c>
      <c r="R56" s="251">
        <f t="shared" si="82"/>
        <v>313.43283582089555</v>
      </c>
      <c r="S56" s="254">
        <f>IFERROR(O56/D56,"-")</f>
        <v>6.7910447761194037</v>
      </c>
    </row>
    <row r="57" spans="1:19" s="255" customFormat="1" ht="32.450000000000003" customHeight="1">
      <c r="A57" s="294"/>
      <c r="B57" s="288" t="s">
        <v>1</v>
      </c>
      <c r="C57" s="263" t="s">
        <v>211</v>
      </c>
      <c r="D57" s="249">
        <v>80000</v>
      </c>
      <c r="E57" s="250">
        <f t="shared" si="55"/>
        <v>2.8571428571428571E-2</v>
      </c>
      <c r="F57" s="245">
        <v>0.31</v>
      </c>
      <c r="G57" s="251">
        <f>IFERROR(D57/F57,"-")</f>
        <v>258064.51612903227</v>
      </c>
      <c r="H57" s="246">
        <v>1.0999999999999999E-2</v>
      </c>
      <c r="I57" s="245">
        <f t="shared" ref="I57" si="95">IFERROR(D57/L57*1000,"-")</f>
        <v>3.4099999999999997</v>
      </c>
      <c r="J57" s="245" t="s">
        <v>77</v>
      </c>
      <c r="K57" s="252" t="s">
        <v>77</v>
      </c>
      <c r="L57" s="253">
        <f t="shared" ref="L57:L58" si="96">IFERROR(G57/H57,"-")</f>
        <v>23460410.557184752</v>
      </c>
      <c r="M57" s="253">
        <f>IFERROR(G57*50%,"-")</f>
        <v>129032.25806451614</v>
      </c>
      <c r="N57" s="246">
        <v>6.4999999999999997E-4</v>
      </c>
      <c r="O57" s="245">
        <f t="shared" ref="O57:O58" si="97">P57*R57</f>
        <v>71290.322580645166</v>
      </c>
      <c r="P57" s="245">
        <v>850</v>
      </c>
      <c r="Q57" s="250">
        <f t="shared" si="92"/>
        <v>1.7944379971851953E-2</v>
      </c>
      <c r="R57" s="251">
        <f t="shared" ref="R57:R58" si="98">IFERROR(M57*N57,"-")</f>
        <v>83.870967741935488</v>
      </c>
      <c r="S57" s="254">
        <f t="shared" ref="S57:S58" si="99">IFERROR(O57/D57,"-")</f>
        <v>0.89112903225806461</v>
      </c>
    </row>
    <row r="58" spans="1:19" s="255" customFormat="1" ht="32.450000000000003" customHeight="1">
      <c r="A58" s="294"/>
      <c r="B58" s="289"/>
      <c r="C58" s="263" t="s">
        <v>210</v>
      </c>
      <c r="D58" s="249">
        <v>40000</v>
      </c>
      <c r="E58" s="250">
        <f t="shared" ref="E58" si="100">D58/$D$61</f>
        <v>1.4285714285714285E-2</v>
      </c>
      <c r="F58" s="245">
        <v>0.55000000000000004</v>
      </c>
      <c r="G58" s="251">
        <f t="shared" ref="G58" si="101">IFERROR(D58/F58,"-")</f>
        <v>72727.272727272721</v>
      </c>
      <c r="H58" s="246">
        <v>6.4999999999999997E-3</v>
      </c>
      <c r="I58" s="245">
        <f t="shared" ref="I58" si="102">IFERROR(D58/L58*1000,"-")</f>
        <v>3.5750000000000002</v>
      </c>
      <c r="J58" s="245" t="s">
        <v>77</v>
      </c>
      <c r="K58" s="252" t="s">
        <v>77</v>
      </c>
      <c r="L58" s="253">
        <f t="shared" si="96"/>
        <v>11188811.188811189</v>
      </c>
      <c r="M58" s="253">
        <f>IFERROR(G58*60%,"-")</f>
        <v>43636.363636363632</v>
      </c>
      <c r="N58" s="246">
        <v>7.5000000000000002E-4</v>
      </c>
      <c r="O58" s="245">
        <f t="shared" si="97"/>
        <v>19636.363636363636</v>
      </c>
      <c r="P58" s="245">
        <v>600</v>
      </c>
      <c r="Q58" s="250">
        <f t="shared" si="92"/>
        <v>4.9426395841843133E-3</v>
      </c>
      <c r="R58" s="251">
        <f t="shared" si="98"/>
        <v>32.727272727272727</v>
      </c>
      <c r="S58" s="254">
        <f t="shared" si="99"/>
        <v>0.49090909090909091</v>
      </c>
    </row>
    <row r="59" spans="1:19" ht="32.450000000000003" customHeight="1">
      <c r="A59" s="101"/>
      <c r="B59" s="287" t="s">
        <v>0</v>
      </c>
      <c r="C59" s="287"/>
      <c r="D59" s="239">
        <f>SUM(D51:D58)</f>
        <v>1435000</v>
      </c>
      <c r="E59" s="23">
        <f>D59/$D$61</f>
        <v>0.51249999999999996</v>
      </c>
      <c r="F59" s="65">
        <f>D59/G59</f>
        <v>0.53294729549064856</v>
      </c>
      <c r="G59" s="93">
        <f>SUM(G51:G58)</f>
        <v>2692573.9414417939</v>
      </c>
      <c r="H59" s="79">
        <f>G59/L59</f>
        <v>5.3831493306593571E-2</v>
      </c>
      <c r="I59" s="65"/>
      <c r="J59" s="65"/>
      <c r="K59" s="61"/>
      <c r="L59" s="93">
        <f>SUM(L51:L58)</f>
        <v>50018563.039045267</v>
      </c>
      <c r="M59" s="93">
        <f>SUM(M51:M58)</f>
        <v>3708525.5362232905</v>
      </c>
      <c r="N59" s="79"/>
      <c r="O59" s="44">
        <f>SUM(O51:O58)</f>
        <v>3497532.9917932004</v>
      </c>
      <c r="P59" s="44"/>
      <c r="Q59" s="23">
        <f>O59/$O$61</f>
        <v>0.88035877377085314</v>
      </c>
      <c r="R59" s="73">
        <f>SUM(R51:R58)</f>
        <v>5302.9596836304763</v>
      </c>
      <c r="S59" s="62">
        <f>O59/D59</f>
        <v>2.4373052207618122</v>
      </c>
    </row>
    <row r="60" spans="1:19" ht="32.450000000000003" customHeight="1">
      <c r="B60" s="95"/>
      <c r="C60" s="95"/>
      <c r="D60" s="240"/>
      <c r="E60" s="97"/>
      <c r="F60" s="96"/>
      <c r="G60" s="98"/>
      <c r="H60" s="99"/>
      <c r="I60" s="96"/>
      <c r="J60" s="96"/>
      <c r="K60" s="95"/>
      <c r="L60" s="98"/>
      <c r="M60" s="98"/>
      <c r="N60" s="99"/>
      <c r="O60" s="96"/>
      <c r="P60" s="96"/>
      <c r="Q60" s="97"/>
      <c r="R60" s="98"/>
      <c r="S60" s="95"/>
    </row>
    <row r="61" spans="1:19" ht="32.450000000000003" customHeight="1">
      <c r="A61" s="283" t="s">
        <v>0</v>
      </c>
      <c r="B61" s="284"/>
      <c r="C61" s="285"/>
      <c r="D61" s="241">
        <f>SUM(D18,D45,D50,D59)</f>
        <v>2800000</v>
      </c>
      <c r="E61" s="69">
        <f>SUM(E18,E45,E50,E59)</f>
        <v>1</v>
      </c>
      <c r="F61" s="45">
        <f>D61/G61</f>
        <v>0.62309094811713372</v>
      </c>
      <c r="G61" s="28">
        <f>SUM(G45,G50,G59)</f>
        <v>4493726.0097600278</v>
      </c>
      <c r="H61" s="80">
        <f>G61/L61</f>
        <v>9.1374028702997656E-3</v>
      </c>
      <c r="I61" s="45"/>
      <c r="J61" s="45"/>
      <c r="K61" s="28">
        <f>SUM(K45,K50,K59)</f>
        <v>31428571.428571429</v>
      </c>
      <c r="L61" s="28">
        <f>SUM(L45,L50,L59)</f>
        <v>491794667.86634141</v>
      </c>
      <c r="M61" s="28">
        <f>SUM(M45,M50,M59)</f>
        <v>5079847.8408311466</v>
      </c>
      <c r="N61" s="80"/>
      <c r="O61" s="45">
        <f>SUM(O45,O50,O59)</f>
        <v>3972849.5881425343</v>
      </c>
      <c r="P61" s="241">
        <f>O61/R61</f>
        <v>648.81469700410446</v>
      </c>
      <c r="Q61" s="69">
        <f>SUM(Q45,Q50,Q59)</f>
        <v>1</v>
      </c>
      <c r="R61" s="28">
        <f>SUM(R45,R50,R59)</f>
        <v>6123.2422854894139</v>
      </c>
      <c r="S61" s="63">
        <f>O61/D61</f>
        <v>1.4188748529080479</v>
      </c>
    </row>
    <row r="62" spans="1:19" ht="27.6" customHeight="1"/>
    <row r="63" spans="1:19" ht="27.6" customHeight="1">
      <c r="D63" s="242">
        <v>2287241.09</v>
      </c>
      <c r="G63" s="66"/>
      <c r="M63" s="64"/>
      <c r="O63" s="64">
        <v>2377261.39</v>
      </c>
      <c r="P63" s="242"/>
    </row>
    <row r="64" spans="1:19" ht="27.6" customHeight="1">
      <c r="D64" s="66">
        <f>D61/D63-1</f>
        <v>0.22418227454981587</v>
      </c>
      <c r="O64" s="66">
        <f>O61/O63-1</f>
        <v>0.67118752900055889</v>
      </c>
    </row>
    <row r="65" spans="8:9" ht="27.6" customHeight="1"/>
    <row r="66" spans="8:9" ht="27.6" customHeight="1">
      <c r="H66" s="64"/>
      <c r="I66" s="81"/>
    </row>
    <row r="67" spans="8:9" ht="27.6" customHeight="1">
      <c r="H67" s="64"/>
      <c r="I67" s="81"/>
    </row>
    <row r="68" spans="8:9" ht="27.6" customHeight="1">
      <c r="H68" s="64"/>
      <c r="I68" s="81"/>
    </row>
  </sheetData>
  <autoFilter ref="A7:S59" xr:uid="{A44039C6-FE55-45C8-BDAD-B81543925164}"/>
  <mergeCells count="17">
    <mergeCell ref="A1:S3"/>
    <mergeCell ref="B18:C18"/>
    <mergeCell ref="A51:A58"/>
    <mergeCell ref="B12:B13"/>
    <mergeCell ref="B14:B15"/>
    <mergeCell ref="B30:B37"/>
    <mergeCell ref="A46:A49"/>
    <mergeCell ref="B50:C50"/>
    <mergeCell ref="A9:A17"/>
    <mergeCell ref="A19:A44"/>
    <mergeCell ref="B38:B42"/>
    <mergeCell ref="B19:B29"/>
    <mergeCell ref="B51:B55"/>
    <mergeCell ref="A61:C61"/>
    <mergeCell ref="B45:C45"/>
    <mergeCell ref="B59:C59"/>
    <mergeCell ref="B57:B58"/>
  </mergeCells>
  <pageMargins left="0.511811024" right="0.511811024" top="0.78740157499999996" bottom="0.78740157499999996" header="0" footer="0"/>
  <pageSetup paperSize="9" orientation="portrait" r:id="rId1"/>
  <ignoredErrors>
    <ignoredError sqref="R50:S50 Q45:S45 G5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A994-518A-4BC0-897B-E191FC1F43E4}">
  <dimension ref="A1"/>
  <sheetViews>
    <sheetView workbookViewId="0">
      <selection activeCell="K18" sqref="K18"/>
    </sheetView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15D-ABC8-4736-AAF5-119A392821F1}">
  <sheetPr>
    <pageSetUpPr fitToPage="1"/>
  </sheetPr>
  <dimension ref="A1:S40"/>
  <sheetViews>
    <sheetView showGridLines="0" topLeftCell="A4" zoomScale="80" zoomScaleNormal="80" zoomScaleSheetLayoutView="70" workbookViewId="0">
      <selection activeCell="R32" sqref="R32"/>
    </sheetView>
  </sheetViews>
  <sheetFormatPr defaultColWidth="9.140625" defaultRowHeight="11.25"/>
  <cols>
    <col min="1" max="1" width="9.140625" style="190"/>
    <col min="2" max="2" width="43.5703125" style="190" customWidth="1"/>
    <col min="3" max="3" width="46.85546875" style="190" customWidth="1"/>
    <col min="4" max="4" width="19.5703125" style="190" customWidth="1"/>
    <col min="5" max="5" width="17.140625" style="190" bestFit="1" customWidth="1"/>
    <col min="6" max="6" width="17.42578125" style="190" customWidth="1"/>
    <col min="7" max="7" width="12.42578125" style="190" customWidth="1"/>
    <col min="8" max="8" width="24.28515625" style="190" customWidth="1"/>
    <col min="9" max="9" width="12" style="190" customWidth="1"/>
    <col min="10" max="10" width="21.85546875" style="190" customWidth="1"/>
    <col min="11" max="11" width="24.85546875" style="190" customWidth="1"/>
    <col min="12" max="12" width="26" style="190" bestFit="1" customWidth="1"/>
    <col min="13" max="13" width="10" style="190" hidden="1" customWidth="1"/>
    <col min="14" max="14" width="15.42578125" style="190" hidden="1" customWidth="1"/>
    <col min="15" max="15" width="23.28515625" style="190" hidden="1" customWidth="1"/>
    <col min="16" max="16" width="19.5703125" style="190" hidden="1" customWidth="1"/>
    <col min="17" max="17" width="14" style="190" bestFit="1" customWidth="1"/>
    <col min="18" max="18" width="9.140625" style="190"/>
    <col min="19" max="19" width="18.5703125" style="190" bestFit="1" customWidth="1"/>
    <col min="20" max="257" width="9.140625" style="190"/>
    <col min="258" max="258" width="43.5703125" style="190" customWidth="1"/>
    <col min="259" max="259" width="46.85546875" style="190" customWidth="1"/>
    <col min="260" max="260" width="19.5703125" style="190" customWidth="1"/>
    <col min="261" max="261" width="17.140625" style="190" bestFit="1" customWidth="1"/>
    <col min="262" max="262" width="17.42578125" style="190" customWidth="1"/>
    <col min="263" max="263" width="12.42578125" style="190" customWidth="1"/>
    <col min="264" max="264" width="24.28515625" style="190" customWidth="1"/>
    <col min="265" max="265" width="12" style="190" customWidth="1"/>
    <col min="266" max="266" width="21.85546875" style="190" customWidth="1"/>
    <col min="267" max="267" width="24.85546875" style="190" customWidth="1"/>
    <col min="268" max="268" width="26" style="190" bestFit="1" customWidth="1"/>
    <col min="269" max="269" width="10" style="190" bestFit="1" customWidth="1"/>
    <col min="270" max="270" width="15.42578125" style="190" bestFit="1" customWidth="1"/>
    <col min="271" max="271" width="23.28515625" style="190" customWidth="1"/>
    <col min="272" max="272" width="19.5703125" style="190" bestFit="1" customWidth="1"/>
    <col min="273" max="273" width="14" style="190" bestFit="1" customWidth="1"/>
    <col min="274" max="274" width="9.140625" style="190"/>
    <col min="275" max="275" width="18.5703125" style="190" bestFit="1" customWidth="1"/>
    <col min="276" max="513" width="9.140625" style="190"/>
    <col min="514" max="514" width="43.5703125" style="190" customWidth="1"/>
    <col min="515" max="515" width="46.85546875" style="190" customWidth="1"/>
    <col min="516" max="516" width="19.5703125" style="190" customWidth="1"/>
    <col min="517" max="517" width="17.140625" style="190" bestFit="1" customWidth="1"/>
    <col min="518" max="518" width="17.42578125" style="190" customWidth="1"/>
    <col min="519" max="519" width="12.42578125" style="190" customWidth="1"/>
    <col min="520" max="520" width="24.28515625" style="190" customWidth="1"/>
    <col min="521" max="521" width="12" style="190" customWidth="1"/>
    <col min="522" max="522" width="21.85546875" style="190" customWidth="1"/>
    <col min="523" max="523" width="24.85546875" style="190" customWidth="1"/>
    <col min="524" max="524" width="26" style="190" bestFit="1" customWidth="1"/>
    <col min="525" max="525" width="10" style="190" bestFit="1" customWidth="1"/>
    <col min="526" max="526" width="15.42578125" style="190" bestFit="1" customWidth="1"/>
    <col min="527" max="527" width="23.28515625" style="190" customWidth="1"/>
    <col min="528" max="528" width="19.5703125" style="190" bestFit="1" customWidth="1"/>
    <col min="529" max="529" width="14" style="190" bestFit="1" customWidth="1"/>
    <col min="530" max="530" width="9.140625" style="190"/>
    <col min="531" max="531" width="18.5703125" style="190" bestFit="1" customWidth="1"/>
    <col min="532" max="769" width="9.140625" style="190"/>
    <col min="770" max="770" width="43.5703125" style="190" customWidth="1"/>
    <col min="771" max="771" width="46.85546875" style="190" customWidth="1"/>
    <col min="772" max="772" width="19.5703125" style="190" customWidth="1"/>
    <col min="773" max="773" width="17.140625" style="190" bestFit="1" customWidth="1"/>
    <col min="774" max="774" width="17.42578125" style="190" customWidth="1"/>
    <col min="775" max="775" width="12.42578125" style="190" customWidth="1"/>
    <col min="776" max="776" width="24.28515625" style="190" customWidth="1"/>
    <col min="777" max="777" width="12" style="190" customWidth="1"/>
    <col min="778" max="778" width="21.85546875" style="190" customWidth="1"/>
    <col min="779" max="779" width="24.85546875" style="190" customWidth="1"/>
    <col min="780" max="780" width="26" style="190" bestFit="1" customWidth="1"/>
    <col min="781" max="781" width="10" style="190" bestFit="1" customWidth="1"/>
    <col min="782" max="782" width="15.42578125" style="190" bestFit="1" customWidth="1"/>
    <col min="783" max="783" width="23.28515625" style="190" customWidth="1"/>
    <col min="784" max="784" width="19.5703125" style="190" bestFit="1" customWidth="1"/>
    <col min="785" max="785" width="14" style="190" bestFit="1" customWidth="1"/>
    <col min="786" max="786" width="9.140625" style="190"/>
    <col min="787" max="787" width="18.5703125" style="190" bestFit="1" customWidth="1"/>
    <col min="788" max="1025" width="9.140625" style="190"/>
    <col min="1026" max="1026" width="43.5703125" style="190" customWidth="1"/>
    <col min="1027" max="1027" width="46.85546875" style="190" customWidth="1"/>
    <col min="1028" max="1028" width="19.5703125" style="190" customWidth="1"/>
    <col min="1029" max="1029" width="17.140625" style="190" bestFit="1" customWidth="1"/>
    <col min="1030" max="1030" width="17.42578125" style="190" customWidth="1"/>
    <col min="1031" max="1031" width="12.42578125" style="190" customWidth="1"/>
    <col min="1032" max="1032" width="24.28515625" style="190" customWidth="1"/>
    <col min="1033" max="1033" width="12" style="190" customWidth="1"/>
    <col min="1034" max="1034" width="21.85546875" style="190" customWidth="1"/>
    <col min="1035" max="1035" width="24.85546875" style="190" customWidth="1"/>
    <col min="1036" max="1036" width="26" style="190" bestFit="1" customWidth="1"/>
    <col min="1037" max="1037" width="10" style="190" bestFit="1" customWidth="1"/>
    <col min="1038" max="1038" width="15.42578125" style="190" bestFit="1" customWidth="1"/>
    <col min="1039" max="1039" width="23.28515625" style="190" customWidth="1"/>
    <col min="1040" max="1040" width="19.5703125" style="190" bestFit="1" customWidth="1"/>
    <col min="1041" max="1041" width="14" style="190" bestFit="1" customWidth="1"/>
    <col min="1042" max="1042" width="9.140625" style="190"/>
    <col min="1043" max="1043" width="18.5703125" style="190" bestFit="1" customWidth="1"/>
    <col min="1044" max="1281" width="9.140625" style="190"/>
    <col min="1282" max="1282" width="43.5703125" style="190" customWidth="1"/>
    <col min="1283" max="1283" width="46.85546875" style="190" customWidth="1"/>
    <col min="1284" max="1284" width="19.5703125" style="190" customWidth="1"/>
    <col min="1285" max="1285" width="17.140625" style="190" bestFit="1" customWidth="1"/>
    <col min="1286" max="1286" width="17.42578125" style="190" customWidth="1"/>
    <col min="1287" max="1287" width="12.42578125" style="190" customWidth="1"/>
    <col min="1288" max="1288" width="24.28515625" style="190" customWidth="1"/>
    <col min="1289" max="1289" width="12" style="190" customWidth="1"/>
    <col min="1290" max="1290" width="21.85546875" style="190" customWidth="1"/>
    <col min="1291" max="1291" width="24.85546875" style="190" customWidth="1"/>
    <col min="1292" max="1292" width="26" style="190" bestFit="1" customWidth="1"/>
    <col min="1293" max="1293" width="10" style="190" bestFit="1" customWidth="1"/>
    <col min="1294" max="1294" width="15.42578125" style="190" bestFit="1" customWidth="1"/>
    <col min="1295" max="1295" width="23.28515625" style="190" customWidth="1"/>
    <col min="1296" max="1296" width="19.5703125" style="190" bestFit="1" customWidth="1"/>
    <col min="1297" max="1297" width="14" style="190" bestFit="1" customWidth="1"/>
    <col min="1298" max="1298" width="9.140625" style="190"/>
    <col min="1299" max="1299" width="18.5703125" style="190" bestFit="1" customWidth="1"/>
    <col min="1300" max="1537" width="9.140625" style="190"/>
    <col min="1538" max="1538" width="43.5703125" style="190" customWidth="1"/>
    <col min="1539" max="1539" width="46.85546875" style="190" customWidth="1"/>
    <col min="1540" max="1540" width="19.5703125" style="190" customWidth="1"/>
    <col min="1541" max="1541" width="17.140625" style="190" bestFit="1" customWidth="1"/>
    <col min="1542" max="1542" width="17.42578125" style="190" customWidth="1"/>
    <col min="1543" max="1543" width="12.42578125" style="190" customWidth="1"/>
    <col min="1544" max="1544" width="24.28515625" style="190" customWidth="1"/>
    <col min="1545" max="1545" width="12" style="190" customWidth="1"/>
    <col min="1546" max="1546" width="21.85546875" style="190" customWidth="1"/>
    <col min="1547" max="1547" width="24.85546875" style="190" customWidth="1"/>
    <col min="1548" max="1548" width="26" style="190" bestFit="1" customWidth="1"/>
    <col min="1549" max="1549" width="10" style="190" bestFit="1" customWidth="1"/>
    <col min="1550" max="1550" width="15.42578125" style="190" bestFit="1" customWidth="1"/>
    <col min="1551" max="1551" width="23.28515625" style="190" customWidth="1"/>
    <col min="1552" max="1552" width="19.5703125" style="190" bestFit="1" customWidth="1"/>
    <col min="1553" max="1553" width="14" style="190" bestFit="1" customWidth="1"/>
    <col min="1554" max="1554" width="9.140625" style="190"/>
    <col min="1555" max="1555" width="18.5703125" style="190" bestFit="1" customWidth="1"/>
    <col min="1556" max="1793" width="9.140625" style="190"/>
    <col min="1794" max="1794" width="43.5703125" style="190" customWidth="1"/>
    <col min="1795" max="1795" width="46.85546875" style="190" customWidth="1"/>
    <col min="1796" max="1796" width="19.5703125" style="190" customWidth="1"/>
    <col min="1797" max="1797" width="17.140625" style="190" bestFit="1" customWidth="1"/>
    <col min="1798" max="1798" width="17.42578125" style="190" customWidth="1"/>
    <col min="1799" max="1799" width="12.42578125" style="190" customWidth="1"/>
    <col min="1800" max="1800" width="24.28515625" style="190" customWidth="1"/>
    <col min="1801" max="1801" width="12" style="190" customWidth="1"/>
    <col min="1802" max="1802" width="21.85546875" style="190" customWidth="1"/>
    <col min="1803" max="1803" width="24.85546875" style="190" customWidth="1"/>
    <col min="1804" max="1804" width="26" style="190" bestFit="1" customWidth="1"/>
    <col min="1805" max="1805" width="10" style="190" bestFit="1" customWidth="1"/>
    <col min="1806" max="1806" width="15.42578125" style="190" bestFit="1" customWidth="1"/>
    <col min="1807" max="1807" width="23.28515625" style="190" customWidth="1"/>
    <col min="1808" max="1808" width="19.5703125" style="190" bestFit="1" customWidth="1"/>
    <col min="1809" max="1809" width="14" style="190" bestFit="1" customWidth="1"/>
    <col min="1810" max="1810" width="9.140625" style="190"/>
    <col min="1811" max="1811" width="18.5703125" style="190" bestFit="1" customWidth="1"/>
    <col min="1812" max="2049" width="9.140625" style="190"/>
    <col min="2050" max="2050" width="43.5703125" style="190" customWidth="1"/>
    <col min="2051" max="2051" width="46.85546875" style="190" customWidth="1"/>
    <col min="2052" max="2052" width="19.5703125" style="190" customWidth="1"/>
    <col min="2053" max="2053" width="17.140625" style="190" bestFit="1" customWidth="1"/>
    <col min="2054" max="2054" width="17.42578125" style="190" customWidth="1"/>
    <col min="2055" max="2055" width="12.42578125" style="190" customWidth="1"/>
    <col min="2056" max="2056" width="24.28515625" style="190" customWidth="1"/>
    <col min="2057" max="2057" width="12" style="190" customWidth="1"/>
    <col min="2058" max="2058" width="21.85546875" style="190" customWidth="1"/>
    <col min="2059" max="2059" width="24.85546875" style="190" customWidth="1"/>
    <col min="2060" max="2060" width="26" style="190" bestFit="1" customWidth="1"/>
    <col min="2061" max="2061" width="10" style="190" bestFit="1" customWidth="1"/>
    <col min="2062" max="2062" width="15.42578125" style="190" bestFit="1" customWidth="1"/>
    <col min="2063" max="2063" width="23.28515625" style="190" customWidth="1"/>
    <col min="2064" max="2064" width="19.5703125" style="190" bestFit="1" customWidth="1"/>
    <col min="2065" max="2065" width="14" style="190" bestFit="1" customWidth="1"/>
    <col min="2066" max="2066" width="9.140625" style="190"/>
    <col min="2067" max="2067" width="18.5703125" style="190" bestFit="1" customWidth="1"/>
    <col min="2068" max="2305" width="9.140625" style="190"/>
    <col min="2306" max="2306" width="43.5703125" style="190" customWidth="1"/>
    <col min="2307" max="2307" width="46.85546875" style="190" customWidth="1"/>
    <col min="2308" max="2308" width="19.5703125" style="190" customWidth="1"/>
    <col min="2309" max="2309" width="17.140625" style="190" bestFit="1" customWidth="1"/>
    <col min="2310" max="2310" width="17.42578125" style="190" customWidth="1"/>
    <col min="2311" max="2311" width="12.42578125" style="190" customWidth="1"/>
    <col min="2312" max="2312" width="24.28515625" style="190" customWidth="1"/>
    <col min="2313" max="2313" width="12" style="190" customWidth="1"/>
    <col min="2314" max="2314" width="21.85546875" style="190" customWidth="1"/>
    <col min="2315" max="2315" width="24.85546875" style="190" customWidth="1"/>
    <col min="2316" max="2316" width="26" style="190" bestFit="1" customWidth="1"/>
    <col min="2317" max="2317" width="10" style="190" bestFit="1" customWidth="1"/>
    <col min="2318" max="2318" width="15.42578125" style="190" bestFit="1" customWidth="1"/>
    <col min="2319" max="2319" width="23.28515625" style="190" customWidth="1"/>
    <col min="2320" max="2320" width="19.5703125" style="190" bestFit="1" customWidth="1"/>
    <col min="2321" max="2321" width="14" style="190" bestFit="1" customWidth="1"/>
    <col min="2322" max="2322" width="9.140625" style="190"/>
    <col min="2323" max="2323" width="18.5703125" style="190" bestFit="1" customWidth="1"/>
    <col min="2324" max="2561" width="9.140625" style="190"/>
    <col min="2562" max="2562" width="43.5703125" style="190" customWidth="1"/>
    <col min="2563" max="2563" width="46.85546875" style="190" customWidth="1"/>
    <col min="2564" max="2564" width="19.5703125" style="190" customWidth="1"/>
    <col min="2565" max="2565" width="17.140625" style="190" bestFit="1" customWidth="1"/>
    <col min="2566" max="2566" width="17.42578125" style="190" customWidth="1"/>
    <col min="2567" max="2567" width="12.42578125" style="190" customWidth="1"/>
    <col min="2568" max="2568" width="24.28515625" style="190" customWidth="1"/>
    <col min="2569" max="2569" width="12" style="190" customWidth="1"/>
    <col min="2570" max="2570" width="21.85546875" style="190" customWidth="1"/>
    <col min="2571" max="2571" width="24.85546875" style="190" customWidth="1"/>
    <col min="2572" max="2572" width="26" style="190" bestFit="1" customWidth="1"/>
    <col min="2573" max="2573" width="10" style="190" bestFit="1" customWidth="1"/>
    <col min="2574" max="2574" width="15.42578125" style="190" bestFit="1" customWidth="1"/>
    <col min="2575" max="2575" width="23.28515625" style="190" customWidth="1"/>
    <col min="2576" max="2576" width="19.5703125" style="190" bestFit="1" customWidth="1"/>
    <col min="2577" max="2577" width="14" style="190" bestFit="1" customWidth="1"/>
    <col min="2578" max="2578" width="9.140625" style="190"/>
    <col min="2579" max="2579" width="18.5703125" style="190" bestFit="1" customWidth="1"/>
    <col min="2580" max="2817" width="9.140625" style="190"/>
    <col min="2818" max="2818" width="43.5703125" style="190" customWidth="1"/>
    <col min="2819" max="2819" width="46.85546875" style="190" customWidth="1"/>
    <col min="2820" max="2820" width="19.5703125" style="190" customWidth="1"/>
    <col min="2821" max="2821" width="17.140625" style="190" bestFit="1" customWidth="1"/>
    <col min="2822" max="2822" width="17.42578125" style="190" customWidth="1"/>
    <col min="2823" max="2823" width="12.42578125" style="190" customWidth="1"/>
    <col min="2824" max="2824" width="24.28515625" style="190" customWidth="1"/>
    <col min="2825" max="2825" width="12" style="190" customWidth="1"/>
    <col min="2826" max="2826" width="21.85546875" style="190" customWidth="1"/>
    <col min="2827" max="2827" width="24.85546875" style="190" customWidth="1"/>
    <col min="2828" max="2828" width="26" style="190" bestFit="1" customWidth="1"/>
    <col min="2829" max="2829" width="10" style="190" bestFit="1" customWidth="1"/>
    <col min="2830" max="2830" width="15.42578125" style="190" bestFit="1" customWidth="1"/>
    <col min="2831" max="2831" width="23.28515625" style="190" customWidth="1"/>
    <col min="2832" max="2832" width="19.5703125" style="190" bestFit="1" customWidth="1"/>
    <col min="2833" max="2833" width="14" style="190" bestFit="1" customWidth="1"/>
    <col min="2834" max="2834" width="9.140625" style="190"/>
    <col min="2835" max="2835" width="18.5703125" style="190" bestFit="1" customWidth="1"/>
    <col min="2836" max="3073" width="9.140625" style="190"/>
    <col min="3074" max="3074" width="43.5703125" style="190" customWidth="1"/>
    <col min="3075" max="3075" width="46.85546875" style="190" customWidth="1"/>
    <col min="3076" max="3076" width="19.5703125" style="190" customWidth="1"/>
    <col min="3077" max="3077" width="17.140625" style="190" bestFit="1" customWidth="1"/>
    <col min="3078" max="3078" width="17.42578125" style="190" customWidth="1"/>
    <col min="3079" max="3079" width="12.42578125" style="190" customWidth="1"/>
    <col min="3080" max="3080" width="24.28515625" style="190" customWidth="1"/>
    <col min="3081" max="3081" width="12" style="190" customWidth="1"/>
    <col min="3082" max="3082" width="21.85546875" style="190" customWidth="1"/>
    <col min="3083" max="3083" width="24.85546875" style="190" customWidth="1"/>
    <col min="3084" max="3084" width="26" style="190" bestFit="1" customWidth="1"/>
    <col min="3085" max="3085" width="10" style="190" bestFit="1" customWidth="1"/>
    <col min="3086" max="3086" width="15.42578125" style="190" bestFit="1" customWidth="1"/>
    <col min="3087" max="3087" width="23.28515625" style="190" customWidth="1"/>
    <col min="3088" max="3088" width="19.5703125" style="190" bestFit="1" customWidth="1"/>
    <col min="3089" max="3089" width="14" style="190" bestFit="1" customWidth="1"/>
    <col min="3090" max="3090" width="9.140625" style="190"/>
    <col min="3091" max="3091" width="18.5703125" style="190" bestFit="1" customWidth="1"/>
    <col min="3092" max="3329" width="9.140625" style="190"/>
    <col min="3330" max="3330" width="43.5703125" style="190" customWidth="1"/>
    <col min="3331" max="3331" width="46.85546875" style="190" customWidth="1"/>
    <col min="3332" max="3332" width="19.5703125" style="190" customWidth="1"/>
    <col min="3333" max="3333" width="17.140625" style="190" bestFit="1" customWidth="1"/>
    <col min="3334" max="3334" width="17.42578125" style="190" customWidth="1"/>
    <col min="3335" max="3335" width="12.42578125" style="190" customWidth="1"/>
    <col min="3336" max="3336" width="24.28515625" style="190" customWidth="1"/>
    <col min="3337" max="3337" width="12" style="190" customWidth="1"/>
    <col min="3338" max="3338" width="21.85546875" style="190" customWidth="1"/>
    <col min="3339" max="3339" width="24.85546875" style="190" customWidth="1"/>
    <col min="3340" max="3340" width="26" style="190" bestFit="1" customWidth="1"/>
    <col min="3341" max="3341" width="10" style="190" bestFit="1" customWidth="1"/>
    <col min="3342" max="3342" width="15.42578125" style="190" bestFit="1" customWidth="1"/>
    <col min="3343" max="3343" width="23.28515625" style="190" customWidth="1"/>
    <col min="3344" max="3344" width="19.5703125" style="190" bestFit="1" customWidth="1"/>
    <col min="3345" max="3345" width="14" style="190" bestFit="1" customWidth="1"/>
    <col min="3346" max="3346" width="9.140625" style="190"/>
    <col min="3347" max="3347" width="18.5703125" style="190" bestFit="1" customWidth="1"/>
    <col min="3348" max="3585" width="9.140625" style="190"/>
    <col min="3586" max="3586" width="43.5703125" style="190" customWidth="1"/>
    <col min="3587" max="3587" width="46.85546875" style="190" customWidth="1"/>
    <col min="3588" max="3588" width="19.5703125" style="190" customWidth="1"/>
    <col min="3589" max="3589" width="17.140625" style="190" bestFit="1" customWidth="1"/>
    <col min="3590" max="3590" width="17.42578125" style="190" customWidth="1"/>
    <col min="3591" max="3591" width="12.42578125" style="190" customWidth="1"/>
    <col min="3592" max="3592" width="24.28515625" style="190" customWidth="1"/>
    <col min="3593" max="3593" width="12" style="190" customWidth="1"/>
    <col min="3594" max="3594" width="21.85546875" style="190" customWidth="1"/>
    <col min="3595" max="3595" width="24.85546875" style="190" customWidth="1"/>
    <col min="3596" max="3596" width="26" style="190" bestFit="1" customWidth="1"/>
    <col min="3597" max="3597" width="10" style="190" bestFit="1" customWidth="1"/>
    <col min="3598" max="3598" width="15.42578125" style="190" bestFit="1" customWidth="1"/>
    <col min="3599" max="3599" width="23.28515625" style="190" customWidth="1"/>
    <col min="3600" max="3600" width="19.5703125" style="190" bestFit="1" customWidth="1"/>
    <col min="3601" max="3601" width="14" style="190" bestFit="1" customWidth="1"/>
    <col min="3602" max="3602" width="9.140625" style="190"/>
    <col min="3603" max="3603" width="18.5703125" style="190" bestFit="1" customWidth="1"/>
    <col min="3604" max="3841" width="9.140625" style="190"/>
    <col min="3842" max="3842" width="43.5703125" style="190" customWidth="1"/>
    <col min="3843" max="3843" width="46.85546875" style="190" customWidth="1"/>
    <col min="3844" max="3844" width="19.5703125" style="190" customWidth="1"/>
    <col min="3845" max="3845" width="17.140625" style="190" bestFit="1" customWidth="1"/>
    <col min="3846" max="3846" width="17.42578125" style="190" customWidth="1"/>
    <col min="3847" max="3847" width="12.42578125" style="190" customWidth="1"/>
    <col min="3848" max="3848" width="24.28515625" style="190" customWidth="1"/>
    <col min="3849" max="3849" width="12" style="190" customWidth="1"/>
    <col min="3850" max="3850" width="21.85546875" style="190" customWidth="1"/>
    <col min="3851" max="3851" width="24.85546875" style="190" customWidth="1"/>
    <col min="3852" max="3852" width="26" style="190" bestFit="1" customWidth="1"/>
    <col min="3853" max="3853" width="10" style="190" bestFit="1" customWidth="1"/>
    <col min="3854" max="3854" width="15.42578125" style="190" bestFit="1" customWidth="1"/>
    <col min="3855" max="3855" width="23.28515625" style="190" customWidth="1"/>
    <col min="3856" max="3856" width="19.5703125" style="190" bestFit="1" customWidth="1"/>
    <col min="3857" max="3857" width="14" style="190" bestFit="1" customWidth="1"/>
    <col min="3858" max="3858" width="9.140625" style="190"/>
    <col min="3859" max="3859" width="18.5703125" style="190" bestFit="1" customWidth="1"/>
    <col min="3860" max="4097" width="9.140625" style="190"/>
    <col min="4098" max="4098" width="43.5703125" style="190" customWidth="1"/>
    <col min="4099" max="4099" width="46.85546875" style="190" customWidth="1"/>
    <col min="4100" max="4100" width="19.5703125" style="190" customWidth="1"/>
    <col min="4101" max="4101" width="17.140625" style="190" bestFit="1" customWidth="1"/>
    <col min="4102" max="4102" width="17.42578125" style="190" customWidth="1"/>
    <col min="4103" max="4103" width="12.42578125" style="190" customWidth="1"/>
    <col min="4104" max="4104" width="24.28515625" style="190" customWidth="1"/>
    <col min="4105" max="4105" width="12" style="190" customWidth="1"/>
    <col min="4106" max="4106" width="21.85546875" style="190" customWidth="1"/>
    <col min="4107" max="4107" width="24.85546875" style="190" customWidth="1"/>
    <col min="4108" max="4108" width="26" style="190" bestFit="1" customWidth="1"/>
    <col min="4109" max="4109" width="10" style="190" bestFit="1" customWidth="1"/>
    <col min="4110" max="4110" width="15.42578125" style="190" bestFit="1" customWidth="1"/>
    <col min="4111" max="4111" width="23.28515625" style="190" customWidth="1"/>
    <col min="4112" max="4112" width="19.5703125" style="190" bestFit="1" customWidth="1"/>
    <col min="4113" max="4113" width="14" style="190" bestFit="1" customWidth="1"/>
    <col min="4114" max="4114" width="9.140625" style="190"/>
    <col min="4115" max="4115" width="18.5703125" style="190" bestFit="1" customWidth="1"/>
    <col min="4116" max="4353" width="9.140625" style="190"/>
    <col min="4354" max="4354" width="43.5703125" style="190" customWidth="1"/>
    <col min="4355" max="4355" width="46.85546875" style="190" customWidth="1"/>
    <col min="4356" max="4356" width="19.5703125" style="190" customWidth="1"/>
    <col min="4357" max="4357" width="17.140625" style="190" bestFit="1" customWidth="1"/>
    <col min="4358" max="4358" width="17.42578125" style="190" customWidth="1"/>
    <col min="4359" max="4359" width="12.42578125" style="190" customWidth="1"/>
    <col min="4360" max="4360" width="24.28515625" style="190" customWidth="1"/>
    <col min="4361" max="4361" width="12" style="190" customWidth="1"/>
    <col min="4362" max="4362" width="21.85546875" style="190" customWidth="1"/>
    <col min="4363" max="4363" width="24.85546875" style="190" customWidth="1"/>
    <col min="4364" max="4364" width="26" style="190" bestFit="1" customWidth="1"/>
    <col min="4365" max="4365" width="10" style="190" bestFit="1" customWidth="1"/>
    <col min="4366" max="4366" width="15.42578125" style="190" bestFit="1" customWidth="1"/>
    <col min="4367" max="4367" width="23.28515625" style="190" customWidth="1"/>
    <col min="4368" max="4368" width="19.5703125" style="190" bestFit="1" customWidth="1"/>
    <col min="4369" max="4369" width="14" style="190" bestFit="1" customWidth="1"/>
    <col min="4370" max="4370" width="9.140625" style="190"/>
    <col min="4371" max="4371" width="18.5703125" style="190" bestFit="1" customWidth="1"/>
    <col min="4372" max="4609" width="9.140625" style="190"/>
    <col min="4610" max="4610" width="43.5703125" style="190" customWidth="1"/>
    <col min="4611" max="4611" width="46.85546875" style="190" customWidth="1"/>
    <col min="4612" max="4612" width="19.5703125" style="190" customWidth="1"/>
    <col min="4613" max="4613" width="17.140625" style="190" bestFit="1" customWidth="1"/>
    <col min="4614" max="4614" width="17.42578125" style="190" customWidth="1"/>
    <col min="4615" max="4615" width="12.42578125" style="190" customWidth="1"/>
    <col min="4616" max="4616" width="24.28515625" style="190" customWidth="1"/>
    <col min="4617" max="4617" width="12" style="190" customWidth="1"/>
    <col min="4618" max="4618" width="21.85546875" style="190" customWidth="1"/>
    <col min="4619" max="4619" width="24.85546875" style="190" customWidth="1"/>
    <col min="4620" max="4620" width="26" style="190" bestFit="1" customWidth="1"/>
    <col min="4621" max="4621" width="10" style="190" bestFit="1" customWidth="1"/>
    <col min="4622" max="4622" width="15.42578125" style="190" bestFit="1" customWidth="1"/>
    <col min="4623" max="4623" width="23.28515625" style="190" customWidth="1"/>
    <col min="4624" max="4624" width="19.5703125" style="190" bestFit="1" customWidth="1"/>
    <col min="4625" max="4625" width="14" style="190" bestFit="1" customWidth="1"/>
    <col min="4626" max="4626" width="9.140625" style="190"/>
    <col min="4627" max="4627" width="18.5703125" style="190" bestFit="1" customWidth="1"/>
    <col min="4628" max="4865" width="9.140625" style="190"/>
    <col min="4866" max="4866" width="43.5703125" style="190" customWidth="1"/>
    <col min="4867" max="4867" width="46.85546875" style="190" customWidth="1"/>
    <col min="4868" max="4868" width="19.5703125" style="190" customWidth="1"/>
    <col min="4869" max="4869" width="17.140625" style="190" bestFit="1" customWidth="1"/>
    <col min="4870" max="4870" width="17.42578125" style="190" customWidth="1"/>
    <col min="4871" max="4871" width="12.42578125" style="190" customWidth="1"/>
    <col min="4872" max="4872" width="24.28515625" style="190" customWidth="1"/>
    <col min="4873" max="4873" width="12" style="190" customWidth="1"/>
    <col min="4874" max="4874" width="21.85546875" style="190" customWidth="1"/>
    <col min="4875" max="4875" width="24.85546875" style="190" customWidth="1"/>
    <col min="4876" max="4876" width="26" style="190" bestFit="1" customWidth="1"/>
    <col min="4877" max="4877" width="10" style="190" bestFit="1" customWidth="1"/>
    <col min="4878" max="4878" width="15.42578125" style="190" bestFit="1" customWidth="1"/>
    <col min="4879" max="4879" width="23.28515625" style="190" customWidth="1"/>
    <col min="4880" max="4880" width="19.5703125" style="190" bestFit="1" customWidth="1"/>
    <col min="4881" max="4881" width="14" style="190" bestFit="1" customWidth="1"/>
    <col min="4882" max="4882" width="9.140625" style="190"/>
    <col min="4883" max="4883" width="18.5703125" style="190" bestFit="1" customWidth="1"/>
    <col min="4884" max="5121" width="9.140625" style="190"/>
    <col min="5122" max="5122" width="43.5703125" style="190" customWidth="1"/>
    <col min="5123" max="5123" width="46.85546875" style="190" customWidth="1"/>
    <col min="5124" max="5124" width="19.5703125" style="190" customWidth="1"/>
    <col min="5125" max="5125" width="17.140625" style="190" bestFit="1" customWidth="1"/>
    <col min="5126" max="5126" width="17.42578125" style="190" customWidth="1"/>
    <col min="5127" max="5127" width="12.42578125" style="190" customWidth="1"/>
    <col min="5128" max="5128" width="24.28515625" style="190" customWidth="1"/>
    <col min="5129" max="5129" width="12" style="190" customWidth="1"/>
    <col min="5130" max="5130" width="21.85546875" style="190" customWidth="1"/>
    <col min="5131" max="5131" width="24.85546875" style="190" customWidth="1"/>
    <col min="5132" max="5132" width="26" style="190" bestFit="1" customWidth="1"/>
    <col min="5133" max="5133" width="10" style="190" bestFit="1" customWidth="1"/>
    <col min="5134" max="5134" width="15.42578125" style="190" bestFit="1" customWidth="1"/>
    <col min="5135" max="5135" width="23.28515625" style="190" customWidth="1"/>
    <col min="5136" max="5136" width="19.5703125" style="190" bestFit="1" customWidth="1"/>
    <col min="5137" max="5137" width="14" style="190" bestFit="1" customWidth="1"/>
    <col min="5138" max="5138" width="9.140625" style="190"/>
    <col min="5139" max="5139" width="18.5703125" style="190" bestFit="1" customWidth="1"/>
    <col min="5140" max="5377" width="9.140625" style="190"/>
    <col min="5378" max="5378" width="43.5703125" style="190" customWidth="1"/>
    <col min="5379" max="5379" width="46.85546875" style="190" customWidth="1"/>
    <col min="5380" max="5380" width="19.5703125" style="190" customWidth="1"/>
    <col min="5381" max="5381" width="17.140625" style="190" bestFit="1" customWidth="1"/>
    <col min="5382" max="5382" width="17.42578125" style="190" customWidth="1"/>
    <col min="5383" max="5383" width="12.42578125" style="190" customWidth="1"/>
    <col min="5384" max="5384" width="24.28515625" style="190" customWidth="1"/>
    <col min="5385" max="5385" width="12" style="190" customWidth="1"/>
    <col min="5386" max="5386" width="21.85546875" style="190" customWidth="1"/>
    <col min="5387" max="5387" width="24.85546875" style="190" customWidth="1"/>
    <col min="5388" max="5388" width="26" style="190" bestFit="1" customWidth="1"/>
    <col min="5389" max="5389" width="10" style="190" bestFit="1" customWidth="1"/>
    <col min="5390" max="5390" width="15.42578125" style="190" bestFit="1" customWidth="1"/>
    <col min="5391" max="5391" width="23.28515625" style="190" customWidth="1"/>
    <col min="5392" max="5392" width="19.5703125" style="190" bestFit="1" customWidth="1"/>
    <col min="5393" max="5393" width="14" style="190" bestFit="1" customWidth="1"/>
    <col min="5394" max="5394" width="9.140625" style="190"/>
    <col min="5395" max="5395" width="18.5703125" style="190" bestFit="1" customWidth="1"/>
    <col min="5396" max="5633" width="9.140625" style="190"/>
    <col min="5634" max="5634" width="43.5703125" style="190" customWidth="1"/>
    <col min="5635" max="5635" width="46.85546875" style="190" customWidth="1"/>
    <col min="5636" max="5636" width="19.5703125" style="190" customWidth="1"/>
    <col min="5637" max="5637" width="17.140625" style="190" bestFit="1" customWidth="1"/>
    <col min="5638" max="5638" width="17.42578125" style="190" customWidth="1"/>
    <col min="5639" max="5639" width="12.42578125" style="190" customWidth="1"/>
    <col min="5640" max="5640" width="24.28515625" style="190" customWidth="1"/>
    <col min="5641" max="5641" width="12" style="190" customWidth="1"/>
    <col min="5642" max="5642" width="21.85546875" style="190" customWidth="1"/>
    <col min="5643" max="5643" width="24.85546875" style="190" customWidth="1"/>
    <col min="5644" max="5644" width="26" style="190" bestFit="1" customWidth="1"/>
    <col min="5645" max="5645" width="10" style="190" bestFit="1" customWidth="1"/>
    <col min="5646" max="5646" width="15.42578125" style="190" bestFit="1" customWidth="1"/>
    <col min="5647" max="5647" width="23.28515625" style="190" customWidth="1"/>
    <col min="5648" max="5648" width="19.5703125" style="190" bestFit="1" customWidth="1"/>
    <col min="5649" max="5649" width="14" style="190" bestFit="1" customWidth="1"/>
    <col min="5650" max="5650" width="9.140625" style="190"/>
    <col min="5651" max="5651" width="18.5703125" style="190" bestFit="1" customWidth="1"/>
    <col min="5652" max="5889" width="9.140625" style="190"/>
    <col min="5890" max="5890" width="43.5703125" style="190" customWidth="1"/>
    <col min="5891" max="5891" width="46.85546875" style="190" customWidth="1"/>
    <col min="5892" max="5892" width="19.5703125" style="190" customWidth="1"/>
    <col min="5893" max="5893" width="17.140625" style="190" bestFit="1" customWidth="1"/>
    <col min="5894" max="5894" width="17.42578125" style="190" customWidth="1"/>
    <col min="5895" max="5895" width="12.42578125" style="190" customWidth="1"/>
    <col min="5896" max="5896" width="24.28515625" style="190" customWidth="1"/>
    <col min="5897" max="5897" width="12" style="190" customWidth="1"/>
    <col min="5898" max="5898" width="21.85546875" style="190" customWidth="1"/>
    <col min="5899" max="5899" width="24.85546875" style="190" customWidth="1"/>
    <col min="5900" max="5900" width="26" style="190" bestFit="1" customWidth="1"/>
    <col min="5901" max="5901" width="10" style="190" bestFit="1" customWidth="1"/>
    <col min="5902" max="5902" width="15.42578125" style="190" bestFit="1" customWidth="1"/>
    <col min="5903" max="5903" width="23.28515625" style="190" customWidth="1"/>
    <col min="5904" max="5904" width="19.5703125" style="190" bestFit="1" customWidth="1"/>
    <col min="5905" max="5905" width="14" style="190" bestFit="1" customWidth="1"/>
    <col min="5906" max="5906" width="9.140625" style="190"/>
    <col min="5907" max="5907" width="18.5703125" style="190" bestFit="1" customWidth="1"/>
    <col min="5908" max="6145" width="9.140625" style="190"/>
    <col min="6146" max="6146" width="43.5703125" style="190" customWidth="1"/>
    <col min="6147" max="6147" width="46.85546875" style="190" customWidth="1"/>
    <col min="6148" max="6148" width="19.5703125" style="190" customWidth="1"/>
    <col min="6149" max="6149" width="17.140625" style="190" bestFit="1" customWidth="1"/>
    <col min="6150" max="6150" width="17.42578125" style="190" customWidth="1"/>
    <col min="6151" max="6151" width="12.42578125" style="190" customWidth="1"/>
    <col min="6152" max="6152" width="24.28515625" style="190" customWidth="1"/>
    <col min="6153" max="6153" width="12" style="190" customWidth="1"/>
    <col min="6154" max="6154" width="21.85546875" style="190" customWidth="1"/>
    <col min="6155" max="6155" width="24.85546875" style="190" customWidth="1"/>
    <col min="6156" max="6156" width="26" style="190" bestFit="1" customWidth="1"/>
    <col min="6157" max="6157" width="10" style="190" bestFit="1" customWidth="1"/>
    <col min="6158" max="6158" width="15.42578125" style="190" bestFit="1" customWidth="1"/>
    <col min="6159" max="6159" width="23.28515625" style="190" customWidth="1"/>
    <col min="6160" max="6160" width="19.5703125" style="190" bestFit="1" customWidth="1"/>
    <col min="6161" max="6161" width="14" style="190" bestFit="1" customWidth="1"/>
    <col min="6162" max="6162" width="9.140625" style="190"/>
    <col min="6163" max="6163" width="18.5703125" style="190" bestFit="1" customWidth="1"/>
    <col min="6164" max="6401" width="9.140625" style="190"/>
    <col min="6402" max="6402" width="43.5703125" style="190" customWidth="1"/>
    <col min="6403" max="6403" width="46.85546875" style="190" customWidth="1"/>
    <col min="6404" max="6404" width="19.5703125" style="190" customWidth="1"/>
    <col min="6405" max="6405" width="17.140625" style="190" bestFit="1" customWidth="1"/>
    <col min="6406" max="6406" width="17.42578125" style="190" customWidth="1"/>
    <col min="6407" max="6407" width="12.42578125" style="190" customWidth="1"/>
    <col min="6408" max="6408" width="24.28515625" style="190" customWidth="1"/>
    <col min="6409" max="6409" width="12" style="190" customWidth="1"/>
    <col min="6410" max="6410" width="21.85546875" style="190" customWidth="1"/>
    <col min="6411" max="6411" width="24.85546875" style="190" customWidth="1"/>
    <col min="6412" max="6412" width="26" style="190" bestFit="1" customWidth="1"/>
    <col min="6413" max="6413" width="10" style="190" bestFit="1" customWidth="1"/>
    <col min="6414" max="6414" width="15.42578125" style="190" bestFit="1" customWidth="1"/>
    <col min="6415" max="6415" width="23.28515625" style="190" customWidth="1"/>
    <col min="6416" max="6416" width="19.5703125" style="190" bestFit="1" customWidth="1"/>
    <col min="6417" max="6417" width="14" style="190" bestFit="1" customWidth="1"/>
    <col min="6418" max="6418" width="9.140625" style="190"/>
    <col min="6419" max="6419" width="18.5703125" style="190" bestFit="1" customWidth="1"/>
    <col min="6420" max="6657" width="9.140625" style="190"/>
    <col min="6658" max="6658" width="43.5703125" style="190" customWidth="1"/>
    <col min="6659" max="6659" width="46.85546875" style="190" customWidth="1"/>
    <col min="6660" max="6660" width="19.5703125" style="190" customWidth="1"/>
    <col min="6661" max="6661" width="17.140625" style="190" bestFit="1" customWidth="1"/>
    <col min="6662" max="6662" width="17.42578125" style="190" customWidth="1"/>
    <col min="6663" max="6663" width="12.42578125" style="190" customWidth="1"/>
    <col min="6664" max="6664" width="24.28515625" style="190" customWidth="1"/>
    <col min="6665" max="6665" width="12" style="190" customWidth="1"/>
    <col min="6666" max="6666" width="21.85546875" style="190" customWidth="1"/>
    <col min="6667" max="6667" width="24.85546875" style="190" customWidth="1"/>
    <col min="6668" max="6668" width="26" style="190" bestFit="1" customWidth="1"/>
    <col min="6669" max="6669" width="10" style="190" bestFit="1" customWidth="1"/>
    <col min="6670" max="6670" width="15.42578125" style="190" bestFit="1" customWidth="1"/>
    <col min="6671" max="6671" width="23.28515625" style="190" customWidth="1"/>
    <col min="6672" max="6672" width="19.5703125" style="190" bestFit="1" customWidth="1"/>
    <col min="6673" max="6673" width="14" style="190" bestFit="1" customWidth="1"/>
    <col min="6674" max="6674" width="9.140625" style="190"/>
    <col min="6675" max="6675" width="18.5703125" style="190" bestFit="1" customWidth="1"/>
    <col min="6676" max="6913" width="9.140625" style="190"/>
    <col min="6914" max="6914" width="43.5703125" style="190" customWidth="1"/>
    <col min="6915" max="6915" width="46.85546875" style="190" customWidth="1"/>
    <col min="6916" max="6916" width="19.5703125" style="190" customWidth="1"/>
    <col min="6917" max="6917" width="17.140625" style="190" bestFit="1" customWidth="1"/>
    <col min="6918" max="6918" width="17.42578125" style="190" customWidth="1"/>
    <col min="6919" max="6919" width="12.42578125" style="190" customWidth="1"/>
    <col min="6920" max="6920" width="24.28515625" style="190" customWidth="1"/>
    <col min="6921" max="6921" width="12" style="190" customWidth="1"/>
    <col min="6922" max="6922" width="21.85546875" style="190" customWidth="1"/>
    <col min="6923" max="6923" width="24.85546875" style="190" customWidth="1"/>
    <col min="6924" max="6924" width="26" style="190" bestFit="1" customWidth="1"/>
    <col min="6925" max="6925" width="10" style="190" bestFit="1" customWidth="1"/>
    <col min="6926" max="6926" width="15.42578125" style="190" bestFit="1" customWidth="1"/>
    <col min="6927" max="6927" width="23.28515625" style="190" customWidth="1"/>
    <col min="6928" max="6928" width="19.5703125" style="190" bestFit="1" customWidth="1"/>
    <col min="6929" max="6929" width="14" style="190" bestFit="1" customWidth="1"/>
    <col min="6930" max="6930" width="9.140625" style="190"/>
    <col min="6931" max="6931" width="18.5703125" style="190" bestFit="1" customWidth="1"/>
    <col min="6932" max="7169" width="9.140625" style="190"/>
    <col min="7170" max="7170" width="43.5703125" style="190" customWidth="1"/>
    <col min="7171" max="7171" width="46.85546875" style="190" customWidth="1"/>
    <col min="7172" max="7172" width="19.5703125" style="190" customWidth="1"/>
    <col min="7173" max="7173" width="17.140625" style="190" bestFit="1" customWidth="1"/>
    <col min="7174" max="7174" width="17.42578125" style="190" customWidth="1"/>
    <col min="7175" max="7175" width="12.42578125" style="190" customWidth="1"/>
    <col min="7176" max="7176" width="24.28515625" style="190" customWidth="1"/>
    <col min="7177" max="7177" width="12" style="190" customWidth="1"/>
    <col min="7178" max="7178" width="21.85546875" style="190" customWidth="1"/>
    <col min="7179" max="7179" width="24.85546875" style="190" customWidth="1"/>
    <col min="7180" max="7180" width="26" style="190" bestFit="1" customWidth="1"/>
    <col min="7181" max="7181" width="10" style="190" bestFit="1" customWidth="1"/>
    <col min="7182" max="7182" width="15.42578125" style="190" bestFit="1" customWidth="1"/>
    <col min="7183" max="7183" width="23.28515625" style="190" customWidth="1"/>
    <col min="7184" max="7184" width="19.5703125" style="190" bestFit="1" customWidth="1"/>
    <col min="7185" max="7185" width="14" style="190" bestFit="1" customWidth="1"/>
    <col min="7186" max="7186" width="9.140625" style="190"/>
    <col min="7187" max="7187" width="18.5703125" style="190" bestFit="1" customWidth="1"/>
    <col min="7188" max="7425" width="9.140625" style="190"/>
    <col min="7426" max="7426" width="43.5703125" style="190" customWidth="1"/>
    <col min="7427" max="7427" width="46.85546875" style="190" customWidth="1"/>
    <col min="7428" max="7428" width="19.5703125" style="190" customWidth="1"/>
    <col min="7429" max="7429" width="17.140625" style="190" bestFit="1" customWidth="1"/>
    <col min="7430" max="7430" width="17.42578125" style="190" customWidth="1"/>
    <col min="7431" max="7431" width="12.42578125" style="190" customWidth="1"/>
    <col min="7432" max="7432" width="24.28515625" style="190" customWidth="1"/>
    <col min="7433" max="7433" width="12" style="190" customWidth="1"/>
    <col min="7434" max="7434" width="21.85546875" style="190" customWidth="1"/>
    <col min="7435" max="7435" width="24.85546875" style="190" customWidth="1"/>
    <col min="7436" max="7436" width="26" style="190" bestFit="1" customWidth="1"/>
    <col min="7437" max="7437" width="10" style="190" bestFit="1" customWidth="1"/>
    <col min="7438" max="7438" width="15.42578125" style="190" bestFit="1" customWidth="1"/>
    <col min="7439" max="7439" width="23.28515625" style="190" customWidth="1"/>
    <col min="7440" max="7440" width="19.5703125" style="190" bestFit="1" customWidth="1"/>
    <col min="7441" max="7441" width="14" style="190" bestFit="1" customWidth="1"/>
    <col min="7442" max="7442" width="9.140625" style="190"/>
    <col min="7443" max="7443" width="18.5703125" style="190" bestFit="1" customWidth="1"/>
    <col min="7444" max="7681" width="9.140625" style="190"/>
    <col min="7682" max="7682" width="43.5703125" style="190" customWidth="1"/>
    <col min="7683" max="7683" width="46.85546875" style="190" customWidth="1"/>
    <col min="7684" max="7684" width="19.5703125" style="190" customWidth="1"/>
    <col min="7685" max="7685" width="17.140625" style="190" bestFit="1" customWidth="1"/>
    <col min="7686" max="7686" width="17.42578125" style="190" customWidth="1"/>
    <col min="7687" max="7687" width="12.42578125" style="190" customWidth="1"/>
    <col min="7688" max="7688" width="24.28515625" style="190" customWidth="1"/>
    <col min="7689" max="7689" width="12" style="190" customWidth="1"/>
    <col min="7690" max="7690" width="21.85546875" style="190" customWidth="1"/>
    <col min="7691" max="7691" width="24.85546875" style="190" customWidth="1"/>
    <col min="7692" max="7692" width="26" style="190" bestFit="1" customWidth="1"/>
    <col min="7693" max="7693" width="10" style="190" bestFit="1" customWidth="1"/>
    <col min="7694" max="7694" width="15.42578125" style="190" bestFit="1" customWidth="1"/>
    <col min="7695" max="7695" width="23.28515625" style="190" customWidth="1"/>
    <col min="7696" max="7696" width="19.5703125" style="190" bestFit="1" customWidth="1"/>
    <col min="7697" max="7697" width="14" style="190" bestFit="1" customWidth="1"/>
    <col min="7698" max="7698" width="9.140625" style="190"/>
    <col min="7699" max="7699" width="18.5703125" style="190" bestFit="1" customWidth="1"/>
    <col min="7700" max="7937" width="9.140625" style="190"/>
    <col min="7938" max="7938" width="43.5703125" style="190" customWidth="1"/>
    <col min="7939" max="7939" width="46.85546875" style="190" customWidth="1"/>
    <col min="7940" max="7940" width="19.5703125" style="190" customWidth="1"/>
    <col min="7941" max="7941" width="17.140625" style="190" bestFit="1" customWidth="1"/>
    <col min="7942" max="7942" width="17.42578125" style="190" customWidth="1"/>
    <col min="7943" max="7943" width="12.42578125" style="190" customWidth="1"/>
    <col min="7944" max="7944" width="24.28515625" style="190" customWidth="1"/>
    <col min="7945" max="7945" width="12" style="190" customWidth="1"/>
    <col min="7946" max="7946" width="21.85546875" style="190" customWidth="1"/>
    <col min="7947" max="7947" width="24.85546875" style="190" customWidth="1"/>
    <col min="7948" max="7948" width="26" style="190" bestFit="1" customWidth="1"/>
    <col min="7949" max="7949" width="10" style="190" bestFit="1" customWidth="1"/>
    <col min="7950" max="7950" width="15.42578125" style="190" bestFit="1" customWidth="1"/>
    <col min="7951" max="7951" width="23.28515625" style="190" customWidth="1"/>
    <col min="7952" max="7952" width="19.5703125" style="190" bestFit="1" customWidth="1"/>
    <col min="7953" max="7953" width="14" style="190" bestFit="1" customWidth="1"/>
    <col min="7954" max="7954" width="9.140625" style="190"/>
    <col min="7955" max="7955" width="18.5703125" style="190" bestFit="1" customWidth="1"/>
    <col min="7956" max="8193" width="9.140625" style="190"/>
    <col min="8194" max="8194" width="43.5703125" style="190" customWidth="1"/>
    <col min="8195" max="8195" width="46.85546875" style="190" customWidth="1"/>
    <col min="8196" max="8196" width="19.5703125" style="190" customWidth="1"/>
    <col min="8197" max="8197" width="17.140625" style="190" bestFit="1" customWidth="1"/>
    <col min="8198" max="8198" width="17.42578125" style="190" customWidth="1"/>
    <col min="8199" max="8199" width="12.42578125" style="190" customWidth="1"/>
    <col min="8200" max="8200" width="24.28515625" style="190" customWidth="1"/>
    <col min="8201" max="8201" width="12" style="190" customWidth="1"/>
    <col min="8202" max="8202" width="21.85546875" style="190" customWidth="1"/>
    <col min="8203" max="8203" width="24.85546875" style="190" customWidth="1"/>
    <col min="8204" max="8204" width="26" style="190" bestFit="1" customWidth="1"/>
    <col min="8205" max="8205" width="10" style="190" bestFit="1" customWidth="1"/>
    <col min="8206" max="8206" width="15.42578125" style="190" bestFit="1" customWidth="1"/>
    <col min="8207" max="8207" width="23.28515625" style="190" customWidth="1"/>
    <col min="8208" max="8208" width="19.5703125" style="190" bestFit="1" customWidth="1"/>
    <col min="8209" max="8209" width="14" style="190" bestFit="1" customWidth="1"/>
    <col min="8210" max="8210" width="9.140625" style="190"/>
    <col min="8211" max="8211" width="18.5703125" style="190" bestFit="1" customWidth="1"/>
    <col min="8212" max="8449" width="9.140625" style="190"/>
    <col min="8450" max="8450" width="43.5703125" style="190" customWidth="1"/>
    <col min="8451" max="8451" width="46.85546875" style="190" customWidth="1"/>
    <col min="8452" max="8452" width="19.5703125" style="190" customWidth="1"/>
    <col min="8453" max="8453" width="17.140625" style="190" bestFit="1" customWidth="1"/>
    <col min="8454" max="8454" width="17.42578125" style="190" customWidth="1"/>
    <col min="8455" max="8455" width="12.42578125" style="190" customWidth="1"/>
    <col min="8456" max="8456" width="24.28515625" style="190" customWidth="1"/>
    <col min="8457" max="8457" width="12" style="190" customWidth="1"/>
    <col min="8458" max="8458" width="21.85546875" style="190" customWidth="1"/>
    <col min="8459" max="8459" width="24.85546875" style="190" customWidth="1"/>
    <col min="8460" max="8460" width="26" style="190" bestFit="1" customWidth="1"/>
    <col min="8461" max="8461" width="10" style="190" bestFit="1" customWidth="1"/>
    <col min="8462" max="8462" width="15.42578125" style="190" bestFit="1" customWidth="1"/>
    <col min="8463" max="8463" width="23.28515625" style="190" customWidth="1"/>
    <col min="8464" max="8464" width="19.5703125" style="190" bestFit="1" customWidth="1"/>
    <col min="8465" max="8465" width="14" style="190" bestFit="1" customWidth="1"/>
    <col min="8466" max="8466" width="9.140625" style="190"/>
    <col min="8467" max="8467" width="18.5703125" style="190" bestFit="1" customWidth="1"/>
    <col min="8468" max="8705" width="9.140625" style="190"/>
    <col min="8706" max="8706" width="43.5703125" style="190" customWidth="1"/>
    <col min="8707" max="8707" width="46.85546875" style="190" customWidth="1"/>
    <col min="8708" max="8708" width="19.5703125" style="190" customWidth="1"/>
    <col min="8709" max="8709" width="17.140625" style="190" bestFit="1" customWidth="1"/>
    <col min="8710" max="8710" width="17.42578125" style="190" customWidth="1"/>
    <col min="8711" max="8711" width="12.42578125" style="190" customWidth="1"/>
    <col min="8712" max="8712" width="24.28515625" style="190" customWidth="1"/>
    <col min="8713" max="8713" width="12" style="190" customWidth="1"/>
    <col min="8714" max="8714" width="21.85546875" style="190" customWidth="1"/>
    <col min="8715" max="8715" width="24.85546875" style="190" customWidth="1"/>
    <col min="8716" max="8716" width="26" style="190" bestFit="1" customWidth="1"/>
    <col min="8717" max="8717" width="10" style="190" bestFit="1" customWidth="1"/>
    <col min="8718" max="8718" width="15.42578125" style="190" bestFit="1" customWidth="1"/>
    <col min="8719" max="8719" width="23.28515625" style="190" customWidth="1"/>
    <col min="8720" max="8720" width="19.5703125" style="190" bestFit="1" customWidth="1"/>
    <col min="8721" max="8721" width="14" style="190" bestFit="1" customWidth="1"/>
    <col min="8722" max="8722" width="9.140625" style="190"/>
    <col min="8723" max="8723" width="18.5703125" style="190" bestFit="1" customWidth="1"/>
    <col min="8724" max="8961" width="9.140625" style="190"/>
    <col min="8962" max="8962" width="43.5703125" style="190" customWidth="1"/>
    <col min="8963" max="8963" width="46.85546875" style="190" customWidth="1"/>
    <col min="8964" max="8964" width="19.5703125" style="190" customWidth="1"/>
    <col min="8965" max="8965" width="17.140625" style="190" bestFit="1" customWidth="1"/>
    <col min="8966" max="8966" width="17.42578125" style="190" customWidth="1"/>
    <col min="8967" max="8967" width="12.42578125" style="190" customWidth="1"/>
    <col min="8968" max="8968" width="24.28515625" style="190" customWidth="1"/>
    <col min="8969" max="8969" width="12" style="190" customWidth="1"/>
    <col min="8970" max="8970" width="21.85546875" style="190" customWidth="1"/>
    <col min="8971" max="8971" width="24.85546875" style="190" customWidth="1"/>
    <col min="8972" max="8972" width="26" style="190" bestFit="1" customWidth="1"/>
    <col min="8973" max="8973" width="10" style="190" bestFit="1" customWidth="1"/>
    <col min="8974" max="8974" width="15.42578125" style="190" bestFit="1" customWidth="1"/>
    <col min="8975" max="8975" width="23.28515625" style="190" customWidth="1"/>
    <col min="8976" max="8976" width="19.5703125" style="190" bestFit="1" customWidth="1"/>
    <col min="8977" max="8977" width="14" style="190" bestFit="1" customWidth="1"/>
    <col min="8978" max="8978" width="9.140625" style="190"/>
    <col min="8979" max="8979" width="18.5703125" style="190" bestFit="1" customWidth="1"/>
    <col min="8980" max="9217" width="9.140625" style="190"/>
    <col min="9218" max="9218" width="43.5703125" style="190" customWidth="1"/>
    <col min="9219" max="9219" width="46.85546875" style="190" customWidth="1"/>
    <col min="9220" max="9220" width="19.5703125" style="190" customWidth="1"/>
    <col min="9221" max="9221" width="17.140625" style="190" bestFit="1" customWidth="1"/>
    <col min="9222" max="9222" width="17.42578125" style="190" customWidth="1"/>
    <col min="9223" max="9223" width="12.42578125" style="190" customWidth="1"/>
    <col min="9224" max="9224" width="24.28515625" style="190" customWidth="1"/>
    <col min="9225" max="9225" width="12" style="190" customWidth="1"/>
    <col min="9226" max="9226" width="21.85546875" style="190" customWidth="1"/>
    <col min="9227" max="9227" width="24.85546875" style="190" customWidth="1"/>
    <col min="9228" max="9228" width="26" style="190" bestFit="1" customWidth="1"/>
    <col min="9229" max="9229" width="10" style="190" bestFit="1" customWidth="1"/>
    <col min="9230" max="9230" width="15.42578125" style="190" bestFit="1" customWidth="1"/>
    <col min="9231" max="9231" width="23.28515625" style="190" customWidth="1"/>
    <col min="9232" max="9232" width="19.5703125" style="190" bestFit="1" customWidth="1"/>
    <col min="9233" max="9233" width="14" style="190" bestFit="1" customWidth="1"/>
    <col min="9234" max="9234" width="9.140625" style="190"/>
    <col min="9235" max="9235" width="18.5703125" style="190" bestFit="1" customWidth="1"/>
    <col min="9236" max="9473" width="9.140625" style="190"/>
    <col min="9474" max="9474" width="43.5703125" style="190" customWidth="1"/>
    <col min="9475" max="9475" width="46.85546875" style="190" customWidth="1"/>
    <col min="9476" max="9476" width="19.5703125" style="190" customWidth="1"/>
    <col min="9477" max="9477" width="17.140625" style="190" bestFit="1" customWidth="1"/>
    <col min="9478" max="9478" width="17.42578125" style="190" customWidth="1"/>
    <col min="9479" max="9479" width="12.42578125" style="190" customWidth="1"/>
    <col min="9480" max="9480" width="24.28515625" style="190" customWidth="1"/>
    <col min="9481" max="9481" width="12" style="190" customWidth="1"/>
    <col min="9482" max="9482" width="21.85546875" style="190" customWidth="1"/>
    <col min="9483" max="9483" width="24.85546875" style="190" customWidth="1"/>
    <col min="9484" max="9484" width="26" style="190" bestFit="1" customWidth="1"/>
    <col min="9485" max="9485" width="10" style="190" bestFit="1" customWidth="1"/>
    <col min="9486" max="9486" width="15.42578125" style="190" bestFit="1" customWidth="1"/>
    <col min="9487" max="9487" width="23.28515625" style="190" customWidth="1"/>
    <col min="9488" max="9488" width="19.5703125" style="190" bestFit="1" customWidth="1"/>
    <col min="9489" max="9489" width="14" style="190" bestFit="1" customWidth="1"/>
    <col min="9490" max="9490" width="9.140625" style="190"/>
    <col min="9491" max="9491" width="18.5703125" style="190" bestFit="1" customWidth="1"/>
    <col min="9492" max="9729" width="9.140625" style="190"/>
    <col min="9730" max="9730" width="43.5703125" style="190" customWidth="1"/>
    <col min="9731" max="9731" width="46.85546875" style="190" customWidth="1"/>
    <col min="9732" max="9732" width="19.5703125" style="190" customWidth="1"/>
    <col min="9733" max="9733" width="17.140625" style="190" bestFit="1" customWidth="1"/>
    <col min="9734" max="9734" width="17.42578125" style="190" customWidth="1"/>
    <col min="9735" max="9735" width="12.42578125" style="190" customWidth="1"/>
    <col min="9736" max="9736" width="24.28515625" style="190" customWidth="1"/>
    <col min="9737" max="9737" width="12" style="190" customWidth="1"/>
    <col min="9738" max="9738" width="21.85546875" style="190" customWidth="1"/>
    <col min="9739" max="9739" width="24.85546875" style="190" customWidth="1"/>
    <col min="9740" max="9740" width="26" style="190" bestFit="1" customWidth="1"/>
    <col min="9741" max="9741" width="10" style="190" bestFit="1" customWidth="1"/>
    <col min="9742" max="9742" width="15.42578125" style="190" bestFit="1" customWidth="1"/>
    <col min="9743" max="9743" width="23.28515625" style="190" customWidth="1"/>
    <col min="9744" max="9744" width="19.5703125" style="190" bestFit="1" customWidth="1"/>
    <col min="9745" max="9745" width="14" style="190" bestFit="1" customWidth="1"/>
    <col min="9746" max="9746" width="9.140625" style="190"/>
    <col min="9747" max="9747" width="18.5703125" style="190" bestFit="1" customWidth="1"/>
    <col min="9748" max="9985" width="9.140625" style="190"/>
    <col min="9986" max="9986" width="43.5703125" style="190" customWidth="1"/>
    <col min="9987" max="9987" width="46.85546875" style="190" customWidth="1"/>
    <col min="9988" max="9988" width="19.5703125" style="190" customWidth="1"/>
    <col min="9989" max="9989" width="17.140625" style="190" bestFit="1" customWidth="1"/>
    <col min="9990" max="9990" width="17.42578125" style="190" customWidth="1"/>
    <col min="9991" max="9991" width="12.42578125" style="190" customWidth="1"/>
    <col min="9992" max="9992" width="24.28515625" style="190" customWidth="1"/>
    <col min="9993" max="9993" width="12" style="190" customWidth="1"/>
    <col min="9994" max="9994" width="21.85546875" style="190" customWidth="1"/>
    <col min="9995" max="9995" width="24.85546875" style="190" customWidth="1"/>
    <col min="9996" max="9996" width="26" style="190" bestFit="1" customWidth="1"/>
    <col min="9997" max="9997" width="10" style="190" bestFit="1" customWidth="1"/>
    <col min="9998" max="9998" width="15.42578125" style="190" bestFit="1" customWidth="1"/>
    <col min="9999" max="9999" width="23.28515625" style="190" customWidth="1"/>
    <col min="10000" max="10000" width="19.5703125" style="190" bestFit="1" customWidth="1"/>
    <col min="10001" max="10001" width="14" style="190" bestFit="1" customWidth="1"/>
    <col min="10002" max="10002" width="9.140625" style="190"/>
    <col min="10003" max="10003" width="18.5703125" style="190" bestFit="1" customWidth="1"/>
    <col min="10004" max="10241" width="9.140625" style="190"/>
    <col min="10242" max="10242" width="43.5703125" style="190" customWidth="1"/>
    <col min="10243" max="10243" width="46.85546875" style="190" customWidth="1"/>
    <col min="10244" max="10244" width="19.5703125" style="190" customWidth="1"/>
    <col min="10245" max="10245" width="17.140625" style="190" bestFit="1" customWidth="1"/>
    <col min="10246" max="10246" width="17.42578125" style="190" customWidth="1"/>
    <col min="10247" max="10247" width="12.42578125" style="190" customWidth="1"/>
    <col min="10248" max="10248" width="24.28515625" style="190" customWidth="1"/>
    <col min="10249" max="10249" width="12" style="190" customWidth="1"/>
    <col min="10250" max="10250" width="21.85546875" style="190" customWidth="1"/>
    <col min="10251" max="10251" width="24.85546875" style="190" customWidth="1"/>
    <col min="10252" max="10252" width="26" style="190" bestFit="1" customWidth="1"/>
    <col min="10253" max="10253" width="10" style="190" bestFit="1" customWidth="1"/>
    <col min="10254" max="10254" width="15.42578125" style="190" bestFit="1" customWidth="1"/>
    <col min="10255" max="10255" width="23.28515625" style="190" customWidth="1"/>
    <col min="10256" max="10256" width="19.5703125" style="190" bestFit="1" customWidth="1"/>
    <col min="10257" max="10257" width="14" style="190" bestFit="1" customWidth="1"/>
    <col min="10258" max="10258" width="9.140625" style="190"/>
    <col min="10259" max="10259" width="18.5703125" style="190" bestFit="1" customWidth="1"/>
    <col min="10260" max="10497" width="9.140625" style="190"/>
    <col min="10498" max="10498" width="43.5703125" style="190" customWidth="1"/>
    <col min="10499" max="10499" width="46.85546875" style="190" customWidth="1"/>
    <col min="10500" max="10500" width="19.5703125" style="190" customWidth="1"/>
    <col min="10501" max="10501" width="17.140625" style="190" bestFit="1" customWidth="1"/>
    <col min="10502" max="10502" width="17.42578125" style="190" customWidth="1"/>
    <col min="10503" max="10503" width="12.42578125" style="190" customWidth="1"/>
    <col min="10504" max="10504" width="24.28515625" style="190" customWidth="1"/>
    <col min="10505" max="10505" width="12" style="190" customWidth="1"/>
    <col min="10506" max="10506" width="21.85546875" style="190" customWidth="1"/>
    <col min="10507" max="10507" width="24.85546875" style="190" customWidth="1"/>
    <col min="10508" max="10508" width="26" style="190" bestFit="1" customWidth="1"/>
    <col min="10509" max="10509" width="10" style="190" bestFit="1" customWidth="1"/>
    <col min="10510" max="10510" width="15.42578125" style="190" bestFit="1" customWidth="1"/>
    <col min="10511" max="10511" width="23.28515625" style="190" customWidth="1"/>
    <col min="10512" max="10512" width="19.5703125" style="190" bestFit="1" customWidth="1"/>
    <col min="10513" max="10513" width="14" style="190" bestFit="1" customWidth="1"/>
    <col min="10514" max="10514" width="9.140625" style="190"/>
    <col min="10515" max="10515" width="18.5703125" style="190" bestFit="1" customWidth="1"/>
    <col min="10516" max="10753" width="9.140625" style="190"/>
    <col min="10754" max="10754" width="43.5703125" style="190" customWidth="1"/>
    <col min="10755" max="10755" width="46.85546875" style="190" customWidth="1"/>
    <col min="10756" max="10756" width="19.5703125" style="190" customWidth="1"/>
    <col min="10757" max="10757" width="17.140625" style="190" bestFit="1" customWidth="1"/>
    <col min="10758" max="10758" width="17.42578125" style="190" customWidth="1"/>
    <col min="10759" max="10759" width="12.42578125" style="190" customWidth="1"/>
    <col min="10760" max="10760" width="24.28515625" style="190" customWidth="1"/>
    <col min="10761" max="10761" width="12" style="190" customWidth="1"/>
    <col min="10762" max="10762" width="21.85546875" style="190" customWidth="1"/>
    <col min="10763" max="10763" width="24.85546875" style="190" customWidth="1"/>
    <col min="10764" max="10764" width="26" style="190" bestFit="1" customWidth="1"/>
    <col min="10765" max="10765" width="10" style="190" bestFit="1" customWidth="1"/>
    <col min="10766" max="10766" width="15.42578125" style="190" bestFit="1" customWidth="1"/>
    <col min="10767" max="10767" width="23.28515625" style="190" customWidth="1"/>
    <col min="10768" max="10768" width="19.5703125" style="190" bestFit="1" customWidth="1"/>
    <col min="10769" max="10769" width="14" style="190" bestFit="1" customWidth="1"/>
    <col min="10770" max="10770" width="9.140625" style="190"/>
    <col min="10771" max="10771" width="18.5703125" style="190" bestFit="1" customWidth="1"/>
    <col min="10772" max="11009" width="9.140625" style="190"/>
    <col min="11010" max="11010" width="43.5703125" style="190" customWidth="1"/>
    <col min="11011" max="11011" width="46.85546875" style="190" customWidth="1"/>
    <col min="11012" max="11012" width="19.5703125" style="190" customWidth="1"/>
    <col min="11013" max="11013" width="17.140625" style="190" bestFit="1" customWidth="1"/>
    <col min="11014" max="11014" width="17.42578125" style="190" customWidth="1"/>
    <col min="11015" max="11015" width="12.42578125" style="190" customWidth="1"/>
    <col min="11016" max="11016" width="24.28515625" style="190" customWidth="1"/>
    <col min="11017" max="11017" width="12" style="190" customWidth="1"/>
    <col min="11018" max="11018" width="21.85546875" style="190" customWidth="1"/>
    <col min="11019" max="11019" width="24.85546875" style="190" customWidth="1"/>
    <col min="11020" max="11020" width="26" style="190" bestFit="1" customWidth="1"/>
    <col min="11021" max="11021" width="10" style="190" bestFit="1" customWidth="1"/>
    <col min="11022" max="11022" width="15.42578125" style="190" bestFit="1" customWidth="1"/>
    <col min="11023" max="11023" width="23.28515625" style="190" customWidth="1"/>
    <col min="11024" max="11024" width="19.5703125" style="190" bestFit="1" customWidth="1"/>
    <col min="11025" max="11025" width="14" style="190" bestFit="1" customWidth="1"/>
    <col min="11026" max="11026" width="9.140625" style="190"/>
    <col min="11027" max="11027" width="18.5703125" style="190" bestFit="1" customWidth="1"/>
    <col min="11028" max="11265" width="9.140625" style="190"/>
    <col min="11266" max="11266" width="43.5703125" style="190" customWidth="1"/>
    <col min="11267" max="11267" width="46.85546875" style="190" customWidth="1"/>
    <col min="11268" max="11268" width="19.5703125" style="190" customWidth="1"/>
    <col min="11269" max="11269" width="17.140625" style="190" bestFit="1" customWidth="1"/>
    <col min="11270" max="11270" width="17.42578125" style="190" customWidth="1"/>
    <col min="11271" max="11271" width="12.42578125" style="190" customWidth="1"/>
    <col min="11272" max="11272" width="24.28515625" style="190" customWidth="1"/>
    <col min="11273" max="11273" width="12" style="190" customWidth="1"/>
    <col min="11274" max="11274" width="21.85546875" style="190" customWidth="1"/>
    <col min="11275" max="11275" width="24.85546875" style="190" customWidth="1"/>
    <col min="11276" max="11276" width="26" style="190" bestFit="1" customWidth="1"/>
    <col min="11277" max="11277" width="10" style="190" bestFit="1" customWidth="1"/>
    <col min="11278" max="11278" width="15.42578125" style="190" bestFit="1" customWidth="1"/>
    <col min="11279" max="11279" width="23.28515625" style="190" customWidth="1"/>
    <col min="11280" max="11280" width="19.5703125" style="190" bestFit="1" customWidth="1"/>
    <col min="11281" max="11281" width="14" style="190" bestFit="1" customWidth="1"/>
    <col min="11282" max="11282" width="9.140625" style="190"/>
    <col min="11283" max="11283" width="18.5703125" style="190" bestFit="1" customWidth="1"/>
    <col min="11284" max="11521" width="9.140625" style="190"/>
    <col min="11522" max="11522" width="43.5703125" style="190" customWidth="1"/>
    <col min="11523" max="11523" width="46.85546875" style="190" customWidth="1"/>
    <col min="11524" max="11524" width="19.5703125" style="190" customWidth="1"/>
    <col min="11525" max="11525" width="17.140625" style="190" bestFit="1" customWidth="1"/>
    <col min="11526" max="11526" width="17.42578125" style="190" customWidth="1"/>
    <col min="11527" max="11527" width="12.42578125" style="190" customWidth="1"/>
    <col min="11528" max="11528" width="24.28515625" style="190" customWidth="1"/>
    <col min="11529" max="11529" width="12" style="190" customWidth="1"/>
    <col min="11530" max="11530" width="21.85546875" style="190" customWidth="1"/>
    <col min="11531" max="11531" width="24.85546875" style="190" customWidth="1"/>
    <col min="11532" max="11532" width="26" style="190" bestFit="1" customWidth="1"/>
    <col min="11533" max="11533" width="10" style="190" bestFit="1" customWidth="1"/>
    <col min="11534" max="11534" width="15.42578125" style="190" bestFit="1" customWidth="1"/>
    <col min="11535" max="11535" width="23.28515625" style="190" customWidth="1"/>
    <col min="11536" max="11536" width="19.5703125" style="190" bestFit="1" customWidth="1"/>
    <col min="11537" max="11537" width="14" style="190" bestFit="1" customWidth="1"/>
    <col min="11538" max="11538" width="9.140625" style="190"/>
    <col min="11539" max="11539" width="18.5703125" style="190" bestFit="1" customWidth="1"/>
    <col min="11540" max="11777" width="9.140625" style="190"/>
    <col min="11778" max="11778" width="43.5703125" style="190" customWidth="1"/>
    <col min="11779" max="11779" width="46.85546875" style="190" customWidth="1"/>
    <col min="11780" max="11780" width="19.5703125" style="190" customWidth="1"/>
    <col min="11781" max="11781" width="17.140625" style="190" bestFit="1" customWidth="1"/>
    <col min="11782" max="11782" width="17.42578125" style="190" customWidth="1"/>
    <col min="11783" max="11783" width="12.42578125" style="190" customWidth="1"/>
    <col min="11784" max="11784" width="24.28515625" style="190" customWidth="1"/>
    <col min="11785" max="11785" width="12" style="190" customWidth="1"/>
    <col min="11786" max="11786" width="21.85546875" style="190" customWidth="1"/>
    <col min="11787" max="11787" width="24.85546875" style="190" customWidth="1"/>
    <col min="11788" max="11788" width="26" style="190" bestFit="1" customWidth="1"/>
    <col min="11789" max="11789" width="10" style="190" bestFit="1" customWidth="1"/>
    <col min="11790" max="11790" width="15.42578125" style="190" bestFit="1" customWidth="1"/>
    <col min="11791" max="11791" width="23.28515625" style="190" customWidth="1"/>
    <col min="11792" max="11792" width="19.5703125" style="190" bestFit="1" customWidth="1"/>
    <col min="11793" max="11793" width="14" style="190" bestFit="1" customWidth="1"/>
    <col min="11794" max="11794" width="9.140625" style="190"/>
    <col min="11795" max="11795" width="18.5703125" style="190" bestFit="1" customWidth="1"/>
    <col min="11796" max="12033" width="9.140625" style="190"/>
    <col min="12034" max="12034" width="43.5703125" style="190" customWidth="1"/>
    <col min="12035" max="12035" width="46.85546875" style="190" customWidth="1"/>
    <col min="12036" max="12036" width="19.5703125" style="190" customWidth="1"/>
    <col min="12037" max="12037" width="17.140625" style="190" bestFit="1" customWidth="1"/>
    <col min="12038" max="12038" width="17.42578125" style="190" customWidth="1"/>
    <col min="12039" max="12039" width="12.42578125" style="190" customWidth="1"/>
    <col min="12040" max="12040" width="24.28515625" style="190" customWidth="1"/>
    <col min="12041" max="12041" width="12" style="190" customWidth="1"/>
    <col min="12042" max="12042" width="21.85546875" style="190" customWidth="1"/>
    <col min="12043" max="12043" width="24.85546875" style="190" customWidth="1"/>
    <col min="12044" max="12044" width="26" style="190" bestFit="1" customWidth="1"/>
    <col min="12045" max="12045" width="10" style="190" bestFit="1" customWidth="1"/>
    <col min="12046" max="12046" width="15.42578125" style="190" bestFit="1" customWidth="1"/>
    <col min="12047" max="12047" width="23.28515625" style="190" customWidth="1"/>
    <col min="12048" max="12048" width="19.5703125" style="190" bestFit="1" customWidth="1"/>
    <col min="12049" max="12049" width="14" style="190" bestFit="1" customWidth="1"/>
    <col min="12050" max="12050" width="9.140625" style="190"/>
    <col min="12051" max="12051" width="18.5703125" style="190" bestFit="1" customWidth="1"/>
    <col min="12052" max="12289" width="9.140625" style="190"/>
    <col min="12290" max="12290" width="43.5703125" style="190" customWidth="1"/>
    <col min="12291" max="12291" width="46.85546875" style="190" customWidth="1"/>
    <col min="12292" max="12292" width="19.5703125" style="190" customWidth="1"/>
    <col min="12293" max="12293" width="17.140625" style="190" bestFit="1" customWidth="1"/>
    <col min="12294" max="12294" width="17.42578125" style="190" customWidth="1"/>
    <col min="12295" max="12295" width="12.42578125" style="190" customWidth="1"/>
    <col min="12296" max="12296" width="24.28515625" style="190" customWidth="1"/>
    <col min="12297" max="12297" width="12" style="190" customWidth="1"/>
    <col min="12298" max="12298" width="21.85546875" style="190" customWidth="1"/>
    <col min="12299" max="12299" width="24.85546875" style="190" customWidth="1"/>
    <col min="12300" max="12300" width="26" style="190" bestFit="1" customWidth="1"/>
    <col min="12301" max="12301" width="10" style="190" bestFit="1" customWidth="1"/>
    <col min="12302" max="12302" width="15.42578125" style="190" bestFit="1" customWidth="1"/>
    <col min="12303" max="12303" width="23.28515625" style="190" customWidth="1"/>
    <col min="12304" max="12304" width="19.5703125" style="190" bestFit="1" customWidth="1"/>
    <col min="12305" max="12305" width="14" style="190" bestFit="1" customWidth="1"/>
    <col min="12306" max="12306" width="9.140625" style="190"/>
    <col min="12307" max="12307" width="18.5703125" style="190" bestFit="1" customWidth="1"/>
    <col min="12308" max="12545" width="9.140625" style="190"/>
    <col min="12546" max="12546" width="43.5703125" style="190" customWidth="1"/>
    <col min="12547" max="12547" width="46.85546875" style="190" customWidth="1"/>
    <col min="12548" max="12548" width="19.5703125" style="190" customWidth="1"/>
    <col min="12549" max="12549" width="17.140625" style="190" bestFit="1" customWidth="1"/>
    <col min="12550" max="12550" width="17.42578125" style="190" customWidth="1"/>
    <col min="12551" max="12551" width="12.42578125" style="190" customWidth="1"/>
    <col min="12552" max="12552" width="24.28515625" style="190" customWidth="1"/>
    <col min="12553" max="12553" width="12" style="190" customWidth="1"/>
    <col min="12554" max="12554" width="21.85546875" style="190" customWidth="1"/>
    <col min="12555" max="12555" width="24.85546875" style="190" customWidth="1"/>
    <col min="12556" max="12556" width="26" style="190" bestFit="1" customWidth="1"/>
    <col min="12557" max="12557" width="10" style="190" bestFit="1" customWidth="1"/>
    <col min="12558" max="12558" width="15.42578125" style="190" bestFit="1" customWidth="1"/>
    <col min="12559" max="12559" width="23.28515625" style="190" customWidth="1"/>
    <col min="12560" max="12560" width="19.5703125" style="190" bestFit="1" customWidth="1"/>
    <col min="12561" max="12561" width="14" style="190" bestFit="1" customWidth="1"/>
    <col min="12562" max="12562" width="9.140625" style="190"/>
    <col min="12563" max="12563" width="18.5703125" style="190" bestFit="1" customWidth="1"/>
    <col min="12564" max="12801" width="9.140625" style="190"/>
    <col min="12802" max="12802" width="43.5703125" style="190" customWidth="1"/>
    <col min="12803" max="12803" width="46.85546875" style="190" customWidth="1"/>
    <col min="12804" max="12804" width="19.5703125" style="190" customWidth="1"/>
    <col min="12805" max="12805" width="17.140625" style="190" bestFit="1" customWidth="1"/>
    <col min="12806" max="12806" width="17.42578125" style="190" customWidth="1"/>
    <col min="12807" max="12807" width="12.42578125" style="190" customWidth="1"/>
    <col min="12808" max="12808" width="24.28515625" style="190" customWidth="1"/>
    <col min="12809" max="12809" width="12" style="190" customWidth="1"/>
    <col min="12810" max="12810" width="21.85546875" style="190" customWidth="1"/>
    <col min="12811" max="12811" width="24.85546875" style="190" customWidth="1"/>
    <col min="12812" max="12812" width="26" style="190" bestFit="1" customWidth="1"/>
    <col min="12813" max="12813" width="10" style="190" bestFit="1" customWidth="1"/>
    <col min="12814" max="12814" width="15.42578125" style="190" bestFit="1" customWidth="1"/>
    <col min="12815" max="12815" width="23.28515625" style="190" customWidth="1"/>
    <col min="12816" max="12816" width="19.5703125" style="190" bestFit="1" customWidth="1"/>
    <col min="12817" max="12817" width="14" style="190" bestFit="1" customWidth="1"/>
    <col min="12818" max="12818" width="9.140625" style="190"/>
    <col min="12819" max="12819" width="18.5703125" style="190" bestFit="1" customWidth="1"/>
    <col min="12820" max="13057" width="9.140625" style="190"/>
    <col min="13058" max="13058" width="43.5703125" style="190" customWidth="1"/>
    <col min="13059" max="13059" width="46.85546875" style="190" customWidth="1"/>
    <col min="13060" max="13060" width="19.5703125" style="190" customWidth="1"/>
    <col min="13061" max="13061" width="17.140625" style="190" bestFit="1" customWidth="1"/>
    <col min="13062" max="13062" width="17.42578125" style="190" customWidth="1"/>
    <col min="13063" max="13063" width="12.42578125" style="190" customWidth="1"/>
    <col min="13064" max="13064" width="24.28515625" style="190" customWidth="1"/>
    <col min="13065" max="13065" width="12" style="190" customWidth="1"/>
    <col min="13066" max="13066" width="21.85546875" style="190" customWidth="1"/>
    <col min="13067" max="13067" width="24.85546875" style="190" customWidth="1"/>
    <col min="13068" max="13068" width="26" style="190" bestFit="1" customWidth="1"/>
    <col min="13069" max="13069" width="10" style="190" bestFit="1" customWidth="1"/>
    <col min="13070" max="13070" width="15.42578125" style="190" bestFit="1" customWidth="1"/>
    <col min="13071" max="13071" width="23.28515625" style="190" customWidth="1"/>
    <col min="13072" max="13072" width="19.5703125" style="190" bestFit="1" customWidth="1"/>
    <col min="13073" max="13073" width="14" style="190" bestFit="1" customWidth="1"/>
    <col min="13074" max="13074" width="9.140625" style="190"/>
    <col min="13075" max="13075" width="18.5703125" style="190" bestFit="1" customWidth="1"/>
    <col min="13076" max="13313" width="9.140625" style="190"/>
    <col min="13314" max="13314" width="43.5703125" style="190" customWidth="1"/>
    <col min="13315" max="13315" width="46.85546875" style="190" customWidth="1"/>
    <col min="13316" max="13316" width="19.5703125" style="190" customWidth="1"/>
    <col min="13317" max="13317" width="17.140625" style="190" bestFit="1" customWidth="1"/>
    <col min="13318" max="13318" width="17.42578125" style="190" customWidth="1"/>
    <col min="13319" max="13319" width="12.42578125" style="190" customWidth="1"/>
    <col min="13320" max="13320" width="24.28515625" style="190" customWidth="1"/>
    <col min="13321" max="13321" width="12" style="190" customWidth="1"/>
    <col min="13322" max="13322" width="21.85546875" style="190" customWidth="1"/>
    <col min="13323" max="13323" width="24.85546875" style="190" customWidth="1"/>
    <col min="13324" max="13324" width="26" style="190" bestFit="1" customWidth="1"/>
    <col min="13325" max="13325" width="10" style="190" bestFit="1" customWidth="1"/>
    <col min="13326" max="13326" width="15.42578125" style="190" bestFit="1" customWidth="1"/>
    <col min="13327" max="13327" width="23.28515625" style="190" customWidth="1"/>
    <col min="13328" max="13328" width="19.5703125" style="190" bestFit="1" customWidth="1"/>
    <col min="13329" max="13329" width="14" style="190" bestFit="1" customWidth="1"/>
    <col min="13330" max="13330" width="9.140625" style="190"/>
    <col min="13331" max="13331" width="18.5703125" style="190" bestFit="1" customWidth="1"/>
    <col min="13332" max="13569" width="9.140625" style="190"/>
    <col min="13570" max="13570" width="43.5703125" style="190" customWidth="1"/>
    <col min="13571" max="13571" width="46.85546875" style="190" customWidth="1"/>
    <col min="13572" max="13572" width="19.5703125" style="190" customWidth="1"/>
    <col min="13573" max="13573" width="17.140625" style="190" bestFit="1" customWidth="1"/>
    <col min="13574" max="13574" width="17.42578125" style="190" customWidth="1"/>
    <col min="13575" max="13575" width="12.42578125" style="190" customWidth="1"/>
    <col min="13576" max="13576" width="24.28515625" style="190" customWidth="1"/>
    <col min="13577" max="13577" width="12" style="190" customWidth="1"/>
    <col min="13578" max="13578" width="21.85546875" style="190" customWidth="1"/>
    <col min="13579" max="13579" width="24.85546875" style="190" customWidth="1"/>
    <col min="13580" max="13580" width="26" style="190" bestFit="1" customWidth="1"/>
    <col min="13581" max="13581" width="10" style="190" bestFit="1" customWidth="1"/>
    <col min="13582" max="13582" width="15.42578125" style="190" bestFit="1" customWidth="1"/>
    <col min="13583" max="13583" width="23.28515625" style="190" customWidth="1"/>
    <col min="13584" max="13584" width="19.5703125" style="190" bestFit="1" customWidth="1"/>
    <col min="13585" max="13585" width="14" style="190" bestFit="1" customWidth="1"/>
    <col min="13586" max="13586" width="9.140625" style="190"/>
    <col min="13587" max="13587" width="18.5703125" style="190" bestFit="1" customWidth="1"/>
    <col min="13588" max="13825" width="9.140625" style="190"/>
    <col min="13826" max="13826" width="43.5703125" style="190" customWidth="1"/>
    <col min="13827" max="13827" width="46.85546875" style="190" customWidth="1"/>
    <col min="13828" max="13828" width="19.5703125" style="190" customWidth="1"/>
    <col min="13829" max="13829" width="17.140625" style="190" bestFit="1" customWidth="1"/>
    <col min="13830" max="13830" width="17.42578125" style="190" customWidth="1"/>
    <col min="13831" max="13831" width="12.42578125" style="190" customWidth="1"/>
    <col min="13832" max="13832" width="24.28515625" style="190" customWidth="1"/>
    <col min="13833" max="13833" width="12" style="190" customWidth="1"/>
    <col min="13834" max="13834" width="21.85546875" style="190" customWidth="1"/>
    <col min="13835" max="13835" width="24.85546875" style="190" customWidth="1"/>
    <col min="13836" max="13836" width="26" style="190" bestFit="1" customWidth="1"/>
    <col min="13837" max="13837" width="10" style="190" bestFit="1" customWidth="1"/>
    <col min="13838" max="13838" width="15.42578125" style="190" bestFit="1" customWidth="1"/>
    <col min="13839" max="13839" width="23.28515625" style="190" customWidth="1"/>
    <col min="13840" max="13840" width="19.5703125" style="190" bestFit="1" customWidth="1"/>
    <col min="13841" max="13841" width="14" style="190" bestFit="1" customWidth="1"/>
    <col min="13842" max="13842" width="9.140625" style="190"/>
    <col min="13843" max="13843" width="18.5703125" style="190" bestFit="1" customWidth="1"/>
    <col min="13844" max="14081" width="9.140625" style="190"/>
    <col min="14082" max="14082" width="43.5703125" style="190" customWidth="1"/>
    <col min="14083" max="14083" width="46.85546875" style="190" customWidth="1"/>
    <col min="14084" max="14084" width="19.5703125" style="190" customWidth="1"/>
    <col min="14085" max="14085" width="17.140625" style="190" bestFit="1" customWidth="1"/>
    <col min="14086" max="14086" width="17.42578125" style="190" customWidth="1"/>
    <col min="14087" max="14087" width="12.42578125" style="190" customWidth="1"/>
    <col min="14088" max="14088" width="24.28515625" style="190" customWidth="1"/>
    <col min="14089" max="14089" width="12" style="190" customWidth="1"/>
    <col min="14090" max="14090" width="21.85546875" style="190" customWidth="1"/>
    <col min="14091" max="14091" width="24.85546875" style="190" customWidth="1"/>
    <col min="14092" max="14092" width="26" style="190" bestFit="1" customWidth="1"/>
    <col min="14093" max="14093" width="10" style="190" bestFit="1" customWidth="1"/>
    <col min="14094" max="14094" width="15.42578125" style="190" bestFit="1" customWidth="1"/>
    <col min="14095" max="14095" width="23.28515625" style="190" customWidth="1"/>
    <col min="14096" max="14096" width="19.5703125" style="190" bestFit="1" customWidth="1"/>
    <col min="14097" max="14097" width="14" style="190" bestFit="1" customWidth="1"/>
    <col min="14098" max="14098" width="9.140625" style="190"/>
    <col min="14099" max="14099" width="18.5703125" style="190" bestFit="1" customWidth="1"/>
    <col min="14100" max="14337" width="9.140625" style="190"/>
    <col min="14338" max="14338" width="43.5703125" style="190" customWidth="1"/>
    <col min="14339" max="14339" width="46.85546875" style="190" customWidth="1"/>
    <col min="14340" max="14340" width="19.5703125" style="190" customWidth="1"/>
    <col min="14341" max="14341" width="17.140625" style="190" bestFit="1" customWidth="1"/>
    <col min="14342" max="14342" width="17.42578125" style="190" customWidth="1"/>
    <col min="14343" max="14343" width="12.42578125" style="190" customWidth="1"/>
    <col min="14344" max="14344" width="24.28515625" style="190" customWidth="1"/>
    <col min="14345" max="14345" width="12" style="190" customWidth="1"/>
    <col min="14346" max="14346" width="21.85546875" style="190" customWidth="1"/>
    <col min="14347" max="14347" width="24.85546875" style="190" customWidth="1"/>
    <col min="14348" max="14348" width="26" style="190" bestFit="1" customWidth="1"/>
    <col min="14349" max="14349" width="10" style="190" bestFit="1" customWidth="1"/>
    <col min="14350" max="14350" width="15.42578125" style="190" bestFit="1" customWidth="1"/>
    <col min="14351" max="14351" width="23.28515625" style="190" customWidth="1"/>
    <col min="14352" max="14352" width="19.5703125" style="190" bestFit="1" customWidth="1"/>
    <col min="14353" max="14353" width="14" style="190" bestFit="1" customWidth="1"/>
    <col min="14354" max="14354" width="9.140625" style="190"/>
    <col min="14355" max="14355" width="18.5703125" style="190" bestFit="1" customWidth="1"/>
    <col min="14356" max="14593" width="9.140625" style="190"/>
    <col min="14594" max="14594" width="43.5703125" style="190" customWidth="1"/>
    <col min="14595" max="14595" width="46.85546875" style="190" customWidth="1"/>
    <col min="14596" max="14596" width="19.5703125" style="190" customWidth="1"/>
    <col min="14597" max="14597" width="17.140625" style="190" bestFit="1" customWidth="1"/>
    <col min="14598" max="14598" width="17.42578125" style="190" customWidth="1"/>
    <col min="14599" max="14599" width="12.42578125" style="190" customWidth="1"/>
    <col min="14600" max="14600" width="24.28515625" style="190" customWidth="1"/>
    <col min="14601" max="14601" width="12" style="190" customWidth="1"/>
    <col min="14602" max="14602" width="21.85546875" style="190" customWidth="1"/>
    <col min="14603" max="14603" width="24.85546875" style="190" customWidth="1"/>
    <col min="14604" max="14604" width="26" style="190" bestFit="1" customWidth="1"/>
    <col min="14605" max="14605" width="10" style="190" bestFit="1" customWidth="1"/>
    <col min="14606" max="14606" width="15.42578125" style="190" bestFit="1" customWidth="1"/>
    <col min="14607" max="14607" width="23.28515625" style="190" customWidth="1"/>
    <col min="14608" max="14608" width="19.5703125" style="190" bestFit="1" customWidth="1"/>
    <col min="14609" max="14609" width="14" style="190" bestFit="1" customWidth="1"/>
    <col min="14610" max="14610" width="9.140625" style="190"/>
    <col min="14611" max="14611" width="18.5703125" style="190" bestFit="1" customWidth="1"/>
    <col min="14612" max="14849" width="9.140625" style="190"/>
    <col min="14850" max="14850" width="43.5703125" style="190" customWidth="1"/>
    <col min="14851" max="14851" width="46.85546875" style="190" customWidth="1"/>
    <col min="14852" max="14852" width="19.5703125" style="190" customWidth="1"/>
    <col min="14853" max="14853" width="17.140625" style="190" bestFit="1" customWidth="1"/>
    <col min="14854" max="14854" width="17.42578125" style="190" customWidth="1"/>
    <col min="14855" max="14855" width="12.42578125" style="190" customWidth="1"/>
    <col min="14856" max="14856" width="24.28515625" style="190" customWidth="1"/>
    <col min="14857" max="14857" width="12" style="190" customWidth="1"/>
    <col min="14858" max="14858" width="21.85546875" style="190" customWidth="1"/>
    <col min="14859" max="14859" width="24.85546875" style="190" customWidth="1"/>
    <col min="14860" max="14860" width="26" style="190" bestFit="1" customWidth="1"/>
    <col min="14861" max="14861" width="10" style="190" bestFit="1" customWidth="1"/>
    <col min="14862" max="14862" width="15.42578125" style="190" bestFit="1" customWidth="1"/>
    <col min="14863" max="14863" width="23.28515625" style="190" customWidth="1"/>
    <col min="14864" max="14864" width="19.5703125" style="190" bestFit="1" customWidth="1"/>
    <col min="14865" max="14865" width="14" style="190" bestFit="1" customWidth="1"/>
    <col min="14866" max="14866" width="9.140625" style="190"/>
    <col min="14867" max="14867" width="18.5703125" style="190" bestFit="1" customWidth="1"/>
    <col min="14868" max="15105" width="9.140625" style="190"/>
    <col min="15106" max="15106" width="43.5703125" style="190" customWidth="1"/>
    <col min="15107" max="15107" width="46.85546875" style="190" customWidth="1"/>
    <col min="15108" max="15108" width="19.5703125" style="190" customWidth="1"/>
    <col min="15109" max="15109" width="17.140625" style="190" bestFit="1" customWidth="1"/>
    <col min="15110" max="15110" width="17.42578125" style="190" customWidth="1"/>
    <col min="15111" max="15111" width="12.42578125" style="190" customWidth="1"/>
    <col min="15112" max="15112" width="24.28515625" style="190" customWidth="1"/>
    <col min="15113" max="15113" width="12" style="190" customWidth="1"/>
    <col min="15114" max="15114" width="21.85546875" style="190" customWidth="1"/>
    <col min="15115" max="15115" width="24.85546875" style="190" customWidth="1"/>
    <col min="15116" max="15116" width="26" style="190" bestFit="1" customWidth="1"/>
    <col min="15117" max="15117" width="10" style="190" bestFit="1" customWidth="1"/>
    <col min="15118" max="15118" width="15.42578125" style="190" bestFit="1" customWidth="1"/>
    <col min="15119" max="15119" width="23.28515625" style="190" customWidth="1"/>
    <col min="15120" max="15120" width="19.5703125" style="190" bestFit="1" customWidth="1"/>
    <col min="15121" max="15121" width="14" style="190" bestFit="1" customWidth="1"/>
    <col min="15122" max="15122" width="9.140625" style="190"/>
    <col min="15123" max="15123" width="18.5703125" style="190" bestFit="1" customWidth="1"/>
    <col min="15124" max="15361" width="9.140625" style="190"/>
    <col min="15362" max="15362" width="43.5703125" style="190" customWidth="1"/>
    <col min="15363" max="15363" width="46.85546875" style="190" customWidth="1"/>
    <col min="15364" max="15364" width="19.5703125" style="190" customWidth="1"/>
    <col min="15365" max="15365" width="17.140625" style="190" bestFit="1" customWidth="1"/>
    <col min="15366" max="15366" width="17.42578125" style="190" customWidth="1"/>
    <col min="15367" max="15367" width="12.42578125" style="190" customWidth="1"/>
    <col min="15368" max="15368" width="24.28515625" style="190" customWidth="1"/>
    <col min="15369" max="15369" width="12" style="190" customWidth="1"/>
    <col min="15370" max="15370" width="21.85546875" style="190" customWidth="1"/>
    <col min="15371" max="15371" width="24.85546875" style="190" customWidth="1"/>
    <col min="15372" max="15372" width="26" style="190" bestFit="1" customWidth="1"/>
    <col min="15373" max="15373" width="10" style="190" bestFit="1" customWidth="1"/>
    <col min="15374" max="15374" width="15.42578125" style="190" bestFit="1" customWidth="1"/>
    <col min="15375" max="15375" width="23.28515625" style="190" customWidth="1"/>
    <col min="15376" max="15376" width="19.5703125" style="190" bestFit="1" customWidth="1"/>
    <col min="15377" max="15377" width="14" style="190" bestFit="1" customWidth="1"/>
    <col min="15378" max="15378" width="9.140625" style="190"/>
    <col min="15379" max="15379" width="18.5703125" style="190" bestFit="1" customWidth="1"/>
    <col min="15380" max="15617" width="9.140625" style="190"/>
    <col min="15618" max="15618" width="43.5703125" style="190" customWidth="1"/>
    <col min="15619" max="15619" width="46.85546875" style="190" customWidth="1"/>
    <col min="15620" max="15620" width="19.5703125" style="190" customWidth="1"/>
    <col min="15621" max="15621" width="17.140625" style="190" bestFit="1" customWidth="1"/>
    <col min="15622" max="15622" width="17.42578125" style="190" customWidth="1"/>
    <col min="15623" max="15623" width="12.42578125" style="190" customWidth="1"/>
    <col min="15624" max="15624" width="24.28515625" style="190" customWidth="1"/>
    <col min="15625" max="15625" width="12" style="190" customWidth="1"/>
    <col min="15626" max="15626" width="21.85546875" style="190" customWidth="1"/>
    <col min="15627" max="15627" width="24.85546875" style="190" customWidth="1"/>
    <col min="15628" max="15628" width="26" style="190" bestFit="1" customWidth="1"/>
    <col min="15629" max="15629" width="10" style="190" bestFit="1" customWidth="1"/>
    <col min="15630" max="15630" width="15.42578125" style="190" bestFit="1" customWidth="1"/>
    <col min="15631" max="15631" width="23.28515625" style="190" customWidth="1"/>
    <col min="15632" max="15632" width="19.5703125" style="190" bestFit="1" customWidth="1"/>
    <col min="15633" max="15633" width="14" style="190" bestFit="1" customWidth="1"/>
    <col min="15634" max="15634" width="9.140625" style="190"/>
    <col min="15635" max="15635" width="18.5703125" style="190" bestFit="1" customWidth="1"/>
    <col min="15636" max="15873" width="9.140625" style="190"/>
    <col min="15874" max="15874" width="43.5703125" style="190" customWidth="1"/>
    <col min="15875" max="15875" width="46.85546875" style="190" customWidth="1"/>
    <col min="15876" max="15876" width="19.5703125" style="190" customWidth="1"/>
    <col min="15877" max="15877" width="17.140625" style="190" bestFit="1" customWidth="1"/>
    <col min="15878" max="15878" width="17.42578125" style="190" customWidth="1"/>
    <col min="15879" max="15879" width="12.42578125" style="190" customWidth="1"/>
    <col min="15880" max="15880" width="24.28515625" style="190" customWidth="1"/>
    <col min="15881" max="15881" width="12" style="190" customWidth="1"/>
    <col min="15882" max="15882" width="21.85546875" style="190" customWidth="1"/>
    <col min="15883" max="15883" width="24.85546875" style="190" customWidth="1"/>
    <col min="15884" max="15884" width="26" style="190" bestFit="1" customWidth="1"/>
    <col min="15885" max="15885" width="10" style="190" bestFit="1" customWidth="1"/>
    <col min="15886" max="15886" width="15.42578125" style="190" bestFit="1" customWidth="1"/>
    <col min="15887" max="15887" width="23.28515625" style="190" customWidth="1"/>
    <col min="15888" max="15888" width="19.5703125" style="190" bestFit="1" customWidth="1"/>
    <col min="15889" max="15889" width="14" style="190" bestFit="1" customWidth="1"/>
    <col min="15890" max="15890" width="9.140625" style="190"/>
    <col min="15891" max="15891" width="18.5703125" style="190" bestFit="1" customWidth="1"/>
    <col min="15892" max="16129" width="9.140625" style="190"/>
    <col min="16130" max="16130" width="43.5703125" style="190" customWidth="1"/>
    <col min="16131" max="16131" width="46.85546875" style="190" customWidth="1"/>
    <col min="16132" max="16132" width="19.5703125" style="190" customWidth="1"/>
    <col min="16133" max="16133" width="17.140625" style="190" bestFit="1" customWidth="1"/>
    <col min="16134" max="16134" width="17.42578125" style="190" customWidth="1"/>
    <col min="16135" max="16135" width="12.42578125" style="190" customWidth="1"/>
    <col min="16136" max="16136" width="24.28515625" style="190" customWidth="1"/>
    <col min="16137" max="16137" width="12" style="190" customWidth="1"/>
    <col min="16138" max="16138" width="21.85546875" style="190" customWidth="1"/>
    <col min="16139" max="16139" width="24.85546875" style="190" customWidth="1"/>
    <col min="16140" max="16140" width="26" style="190" bestFit="1" customWidth="1"/>
    <col min="16141" max="16141" width="10" style="190" bestFit="1" customWidth="1"/>
    <col min="16142" max="16142" width="15.42578125" style="190" bestFit="1" customWidth="1"/>
    <col min="16143" max="16143" width="23.28515625" style="190" customWidth="1"/>
    <col min="16144" max="16144" width="19.5703125" style="190" bestFit="1" customWidth="1"/>
    <col min="16145" max="16145" width="14" style="190" bestFit="1" customWidth="1"/>
    <col min="16146" max="16146" width="9.140625" style="190"/>
    <col min="16147" max="16147" width="18.5703125" style="190" bestFit="1" customWidth="1"/>
    <col min="16148" max="16384" width="9.140625" style="190"/>
  </cols>
  <sheetData>
    <row r="1" spans="1:19" s="108" customFormat="1" ht="55.5" customHeight="1" thickBot="1">
      <c r="A1" s="308" t="s">
        <v>104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10"/>
    </row>
    <row r="2" spans="1:19" s="109" customFormat="1" ht="23.1" customHeight="1" thickBot="1">
      <c r="B2" s="110" t="s">
        <v>105</v>
      </c>
      <c r="C2" s="111" t="s">
        <v>106</v>
      </c>
      <c r="D2" s="111"/>
      <c r="E2" s="112"/>
      <c r="F2" s="112"/>
      <c r="G2" s="112"/>
      <c r="H2" s="112"/>
      <c r="I2" s="112"/>
      <c r="J2" s="112"/>
      <c r="K2" s="112"/>
      <c r="L2" s="112"/>
    </row>
    <row r="3" spans="1:19" s="109" customFormat="1" ht="23.1" customHeight="1">
      <c r="B3" s="110" t="s">
        <v>107</v>
      </c>
      <c r="C3" s="111"/>
      <c r="D3" s="111"/>
      <c r="E3" s="112"/>
      <c r="F3" s="112"/>
      <c r="G3" s="311" t="s">
        <v>108</v>
      </c>
      <c r="H3" s="312"/>
      <c r="I3" s="312"/>
      <c r="J3" s="312"/>
      <c r="K3" s="312"/>
      <c r="L3" s="313"/>
    </row>
    <row r="4" spans="1:19" s="109" customFormat="1" ht="23.1" customHeight="1">
      <c r="B4" s="110" t="s">
        <v>109</v>
      </c>
      <c r="C4" s="113" t="s">
        <v>110</v>
      </c>
      <c r="D4" s="111"/>
      <c r="E4" s="114"/>
      <c r="F4" s="115"/>
      <c r="G4" s="314"/>
      <c r="H4" s="315"/>
      <c r="I4" s="315"/>
      <c r="J4" s="315"/>
      <c r="K4" s="315"/>
      <c r="L4" s="316"/>
    </row>
    <row r="5" spans="1:19" s="109" customFormat="1" ht="23.1" customHeight="1" thickBot="1">
      <c r="B5" s="110" t="s">
        <v>111</v>
      </c>
      <c r="C5" s="116" t="s">
        <v>112</v>
      </c>
      <c r="D5" s="111"/>
      <c r="E5" s="112"/>
      <c r="F5" s="117"/>
      <c r="G5" s="317" t="s">
        <v>113</v>
      </c>
      <c r="H5" s="318"/>
      <c r="I5" s="318"/>
      <c r="J5" s="318"/>
      <c r="K5" s="318"/>
      <c r="L5" s="319"/>
    </row>
    <row r="6" spans="1:19" s="109" customFormat="1" ht="23.1" customHeight="1">
      <c r="B6" s="110" t="s">
        <v>114</v>
      </c>
      <c r="C6" s="111" t="s">
        <v>115</v>
      </c>
      <c r="D6" s="111"/>
      <c r="E6" s="112"/>
      <c r="F6" s="112"/>
      <c r="G6" s="112"/>
      <c r="H6" s="112"/>
      <c r="I6" s="112"/>
      <c r="J6" s="112"/>
      <c r="K6" s="118"/>
      <c r="L6" s="112"/>
    </row>
    <row r="7" spans="1:19" s="109" customFormat="1" ht="23.1" customHeight="1">
      <c r="B7" s="110" t="s">
        <v>116</v>
      </c>
      <c r="C7" s="119" t="s">
        <v>117</v>
      </c>
      <c r="D7" s="120"/>
      <c r="E7" s="112"/>
      <c r="F7" s="112"/>
      <c r="G7" s="112"/>
      <c r="H7" s="112"/>
      <c r="I7" s="112"/>
      <c r="J7" s="112"/>
      <c r="K7" s="112"/>
      <c r="L7" s="112"/>
    </row>
    <row r="8" spans="1:19" s="109" customFormat="1" ht="23.1" customHeight="1" thickBot="1">
      <c r="B8" s="110" t="s">
        <v>118</v>
      </c>
      <c r="C8" s="121">
        <f>L26</f>
        <v>170300</v>
      </c>
      <c r="D8" s="112"/>
      <c r="E8" s="112"/>
      <c r="F8" s="112"/>
      <c r="G8" s="112"/>
      <c r="H8" s="112"/>
      <c r="I8" s="112"/>
      <c r="J8" s="112"/>
      <c r="K8" s="112"/>
      <c r="L8" s="112"/>
    </row>
    <row r="9" spans="1:19" s="122" customFormat="1" ht="64.5" customHeight="1" thickBot="1">
      <c r="B9" s="123" t="s">
        <v>119</v>
      </c>
      <c r="C9" s="124" t="s">
        <v>120</v>
      </c>
      <c r="D9" s="125" t="s">
        <v>121</v>
      </c>
      <c r="E9" s="125" t="s">
        <v>122</v>
      </c>
      <c r="F9" s="125" t="s">
        <v>123</v>
      </c>
      <c r="G9" s="125" t="s">
        <v>124</v>
      </c>
      <c r="H9" s="125" t="s">
        <v>125</v>
      </c>
      <c r="I9" s="126" t="s">
        <v>126</v>
      </c>
      <c r="J9" s="126" t="s">
        <v>127</v>
      </c>
      <c r="K9" s="126" t="s">
        <v>128</v>
      </c>
      <c r="L9" s="127" t="s">
        <v>129</v>
      </c>
      <c r="M9" s="128" t="s">
        <v>130</v>
      </c>
      <c r="N9" s="128" t="s">
        <v>131</v>
      </c>
      <c r="O9" s="128" t="s">
        <v>132</v>
      </c>
      <c r="P9" s="128" t="s">
        <v>133</v>
      </c>
      <c r="Q9" s="129"/>
    </row>
    <row r="10" spans="1:19" s="122" customFormat="1" ht="57.75" customHeight="1">
      <c r="A10" s="305" t="s">
        <v>134</v>
      </c>
      <c r="B10" s="130" t="s">
        <v>135</v>
      </c>
      <c r="C10" s="320" t="s">
        <v>136</v>
      </c>
      <c r="D10" s="321" t="s">
        <v>137</v>
      </c>
      <c r="E10" s="322">
        <v>60000</v>
      </c>
      <c r="F10" s="131" t="s">
        <v>138</v>
      </c>
      <c r="G10" s="132">
        <v>30</v>
      </c>
      <c r="H10" s="323" t="s">
        <v>139</v>
      </c>
      <c r="I10" s="325">
        <v>0.72</v>
      </c>
      <c r="J10" s="328">
        <f>E10</f>
        <v>60000</v>
      </c>
      <c r="K10" s="329">
        <f>(1-I10)*E10</f>
        <v>16800</v>
      </c>
      <c r="L10" s="331">
        <f>K10+K12</f>
        <v>70700</v>
      </c>
      <c r="M10" s="129"/>
      <c r="N10" s="133"/>
      <c r="O10" s="134">
        <v>50000</v>
      </c>
      <c r="P10" s="135">
        <f>L10/O10</f>
        <v>1.4139999999999999</v>
      </c>
      <c r="Q10" s="129"/>
    </row>
    <row r="11" spans="1:19" s="122" customFormat="1" ht="57.75" customHeight="1">
      <c r="A11" s="306"/>
      <c r="B11" s="136" t="s">
        <v>140</v>
      </c>
      <c r="C11" s="320"/>
      <c r="D11" s="321"/>
      <c r="E11" s="322"/>
      <c r="F11" s="132">
        <v>30000</v>
      </c>
      <c r="G11" s="132">
        <v>30</v>
      </c>
      <c r="H11" s="324"/>
      <c r="I11" s="326"/>
      <c r="J11" s="327"/>
      <c r="K11" s="330"/>
      <c r="L11" s="332"/>
      <c r="M11" s="129"/>
      <c r="N11" s="129"/>
      <c r="O11" s="129"/>
      <c r="P11" s="129"/>
      <c r="Q11" s="129"/>
    </row>
    <row r="12" spans="1:19" s="122" customFormat="1" ht="49.5" customHeight="1">
      <c r="A12" s="306"/>
      <c r="B12" s="130" t="s">
        <v>141</v>
      </c>
      <c r="C12" s="137" t="s">
        <v>142</v>
      </c>
      <c r="D12" s="132" t="s">
        <v>143</v>
      </c>
      <c r="E12" s="138">
        <v>192500</v>
      </c>
      <c r="F12" s="132">
        <v>20000000</v>
      </c>
      <c r="G12" s="132">
        <v>1</v>
      </c>
      <c r="H12" s="324"/>
      <c r="I12" s="327"/>
      <c r="J12" s="139">
        <f>E12</f>
        <v>192500</v>
      </c>
      <c r="K12" s="138">
        <f>(1-I10)*E12</f>
        <v>53900.000000000007</v>
      </c>
      <c r="L12" s="332"/>
      <c r="M12" s="129"/>
      <c r="N12" s="129"/>
      <c r="O12" s="129"/>
      <c r="P12" s="129"/>
      <c r="Q12" s="129"/>
      <c r="S12" s="140"/>
    </row>
    <row r="13" spans="1:19" s="122" customFormat="1" ht="49.5" customHeight="1">
      <c r="A13" s="306"/>
      <c r="B13" s="141" t="s">
        <v>144</v>
      </c>
      <c r="C13" s="142" t="s">
        <v>136</v>
      </c>
      <c r="D13" s="143" t="s">
        <v>145</v>
      </c>
      <c r="E13" s="144">
        <v>15</v>
      </c>
      <c r="F13" s="143">
        <f>H13/G13</f>
        <v>100000</v>
      </c>
      <c r="G13" s="143">
        <v>30</v>
      </c>
      <c r="H13" s="132">
        <v>3000000</v>
      </c>
      <c r="I13" s="145">
        <v>0.7</v>
      </c>
      <c r="J13" s="146">
        <f>(E13*H13)/1000</f>
        <v>45000</v>
      </c>
      <c r="K13" s="138">
        <f>(1-I13)*E13</f>
        <v>4.5000000000000009</v>
      </c>
      <c r="L13" s="146">
        <f>(K13*H13)/1000</f>
        <v>13500.000000000002</v>
      </c>
      <c r="M13" s="147">
        <v>8.9999999999999998E-4</v>
      </c>
      <c r="N13" s="148">
        <f>H13*M13</f>
        <v>2700</v>
      </c>
      <c r="O13" s="149">
        <f t="shared" ref="O13:O22" si="0">N13*70%</f>
        <v>1889.9999999999998</v>
      </c>
      <c r="P13" s="150">
        <f t="shared" ref="P13:P20" si="1">L13/O13</f>
        <v>7.142857142857145</v>
      </c>
      <c r="Q13" s="129"/>
      <c r="S13" s="140"/>
    </row>
    <row r="14" spans="1:19" s="122" customFormat="1" ht="49.5" customHeight="1">
      <c r="A14" s="333" t="s">
        <v>146</v>
      </c>
      <c r="B14" s="151" t="s">
        <v>147</v>
      </c>
      <c r="C14" s="152" t="s">
        <v>136</v>
      </c>
      <c r="D14" s="153" t="s">
        <v>145</v>
      </c>
      <c r="E14" s="154">
        <v>15</v>
      </c>
      <c r="F14" s="153">
        <f t="shared" ref="F14:F20" si="2">H14/G14</f>
        <v>100000</v>
      </c>
      <c r="G14" s="153">
        <v>30</v>
      </c>
      <c r="H14" s="153">
        <v>3000000</v>
      </c>
      <c r="I14" s="155">
        <v>0.7</v>
      </c>
      <c r="J14" s="156">
        <f t="shared" ref="J14:J19" si="3">(E14*H14)/1000</f>
        <v>45000</v>
      </c>
      <c r="K14" s="157">
        <f t="shared" ref="K14:K20" si="4">(1-I14)*E14</f>
        <v>4.5000000000000009</v>
      </c>
      <c r="L14" s="156">
        <f>(K14*H14)/1000</f>
        <v>13500.000000000002</v>
      </c>
      <c r="M14" s="147">
        <v>8.9999999999999998E-4</v>
      </c>
      <c r="N14" s="148">
        <f>H14*M14</f>
        <v>2700</v>
      </c>
      <c r="O14" s="149">
        <f t="shared" si="0"/>
        <v>1889.9999999999998</v>
      </c>
      <c r="P14" s="150">
        <f t="shared" si="1"/>
        <v>7.142857142857145</v>
      </c>
      <c r="Q14" s="129"/>
      <c r="S14" s="158"/>
    </row>
    <row r="15" spans="1:19" s="122" customFormat="1" ht="49.5" customHeight="1">
      <c r="A15" s="333"/>
      <c r="B15" s="159" t="s">
        <v>148</v>
      </c>
      <c r="C15" s="152" t="s">
        <v>136</v>
      </c>
      <c r="D15" s="153" t="s">
        <v>145</v>
      </c>
      <c r="E15" s="154">
        <v>20</v>
      </c>
      <c r="F15" s="153">
        <f t="shared" si="2"/>
        <v>66666.666666666672</v>
      </c>
      <c r="G15" s="153">
        <v>30</v>
      </c>
      <c r="H15" s="153">
        <v>2000000</v>
      </c>
      <c r="I15" s="155">
        <v>0.7</v>
      </c>
      <c r="J15" s="156">
        <f t="shared" si="3"/>
        <v>40000</v>
      </c>
      <c r="K15" s="157">
        <f t="shared" si="4"/>
        <v>6.0000000000000009</v>
      </c>
      <c r="L15" s="156">
        <f>(K15*H15)/1000</f>
        <v>12000.000000000002</v>
      </c>
      <c r="M15" s="147">
        <v>8.9999999999999998E-4</v>
      </c>
      <c r="N15" s="148">
        <f>H15*M15</f>
        <v>1800</v>
      </c>
      <c r="O15" s="149">
        <f t="shared" si="0"/>
        <v>1260</v>
      </c>
      <c r="P15" s="150">
        <f t="shared" si="1"/>
        <v>9.5238095238095255</v>
      </c>
      <c r="Q15" s="129"/>
    </row>
    <row r="16" spans="1:19" s="122" customFormat="1" ht="49.5" customHeight="1">
      <c r="A16" s="333"/>
      <c r="B16" s="160" t="s">
        <v>149</v>
      </c>
      <c r="C16" s="152" t="s">
        <v>150</v>
      </c>
      <c r="D16" s="153" t="s">
        <v>65</v>
      </c>
      <c r="E16" s="154">
        <v>1.5</v>
      </c>
      <c r="F16" s="153">
        <f t="shared" si="2"/>
        <v>1000</v>
      </c>
      <c r="G16" s="153">
        <v>30</v>
      </c>
      <c r="H16" s="153">
        <v>30000</v>
      </c>
      <c r="I16" s="155">
        <v>0.7</v>
      </c>
      <c r="J16" s="156">
        <f>(E16*H16)</f>
        <v>45000</v>
      </c>
      <c r="K16" s="157">
        <f t="shared" si="4"/>
        <v>0.45000000000000007</v>
      </c>
      <c r="L16" s="156">
        <f>H16*K16</f>
        <v>13500.000000000002</v>
      </c>
      <c r="M16" s="147"/>
      <c r="N16" s="161">
        <f>H16</f>
        <v>30000</v>
      </c>
      <c r="O16" s="149">
        <f t="shared" si="0"/>
        <v>21000</v>
      </c>
      <c r="P16" s="150">
        <f t="shared" si="1"/>
        <v>0.6428571428571429</v>
      </c>
      <c r="Q16" s="133"/>
    </row>
    <row r="17" spans="1:19" s="122" customFormat="1" ht="49.5" customHeight="1">
      <c r="A17" s="334" t="s">
        <v>151</v>
      </c>
      <c r="B17" s="162" t="s">
        <v>147</v>
      </c>
      <c r="C17" s="163" t="s">
        <v>136</v>
      </c>
      <c r="D17" s="164" t="s">
        <v>145</v>
      </c>
      <c r="E17" s="165">
        <v>15</v>
      </c>
      <c r="F17" s="164">
        <f t="shared" si="2"/>
        <v>66666.666666666672</v>
      </c>
      <c r="G17" s="164">
        <v>30</v>
      </c>
      <c r="H17" s="164">
        <v>2000000</v>
      </c>
      <c r="I17" s="166">
        <v>0.7</v>
      </c>
      <c r="J17" s="167">
        <f t="shared" si="3"/>
        <v>30000</v>
      </c>
      <c r="K17" s="168">
        <f t="shared" si="4"/>
        <v>4.5000000000000009</v>
      </c>
      <c r="L17" s="167">
        <f>(K17*H17)/1000</f>
        <v>9000.0000000000018</v>
      </c>
      <c r="M17" s="147">
        <v>8.9999999999999998E-4</v>
      </c>
      <c r="N17" s="161">
        <f>H17*M17</f>
        <v>1800</v>
      </c>
      <c r="O17" s="149">
        <f t="shared" si="0"/>
        <v>1260</v>
      </c>
      <c r="P17" s="150">
        <f t="shared" si="1"/>
        <v>7.1428571428571441</v>
      </c>
      <c r="Q17" s="129"/>
    </row>
    <row r="18" spans="1:19" s="122" customFormat="1" ht="49.5" customHeight="1">
      <c r="A18" s="334"/>
      <c r="B18" s="162" t="s">
        <v>152</v>
      </c>
      <c r="C18" s="163" t="s">
        <v>136</v>
      </c>
      <c r="D18" s="164" t="s">
        <v>145</v>
      </c>
      <c r="E18" s="165">
        <v>15</v>
      </c>
      <c r="F18" s="164">
        <f t="shared" si="2"/>
        <v>66666.666666666672</v>
      </c>
      <c r="G18" s="164">
        <v>30</v>
      </c>
      <c r="H18" s="164">
        <v>2000000</v>
      </c>
      <c r="I18" s="166">
        <v>0.7</v>
      </c>
      <c r="J18" s="167">
        <f t="shared" si="3"/>
        <v>30000</v>
      </c>
      <c r="K18" s="168">
        <f t="shared" si="4"/>
        <v>4.5000000000000009</v>
      </c>
      <c r="L18" s="167">
        <f>(K18*H18)/1000</f>
        <v>9000.0000000000018</v>
      </c>
      <c r="M18" s="147">
        <v>8.9999999999999998E-4</v>
      </c>
      <c r="N18" s="161">
        <f>H18*M18</f>
        <v>1800</v>
      </c>
      <c r="O18" s="149">
        <f t="shared" si="0"/>
        <v>1260</v>
      </c>
      <c r="P18" s="150">
        <f t="shared" si="1"/>
        <v>7.1428571428571441</v>
      </c>
      <c r="Q18" s="129"/>
    </row>
    <row r="19" spans="1:19" s="122" customFormat="1" ht="49.5" customHeight="1">
      <c r="A19" s="334"/>
      <c r="B19" s="169" t="s">
        <v>148</v>
      </c>
      <c r="C19" s="163" t="s">
        <v>136</v>
      </c>
      <c r="D19" s="164" t="s">
        <v>145</v>
      </c>
      <c r="E19" s="165">
        <v>20</v>
      </c>
      <c r="F19" s="164">
        <f t="shared" si="2"/>
        <v>66666.666666666672</v>
      </c>
      <c r="G19" s="164">
        <v>30</v>
      </c>
      <c r="H19" s="164">
        <v>2000000</v>
      </c>
      <c r="I19" s="166">
        <v>0.7</v>
      </c>
      <c r="J19" s="167">
        <f t="shared" si="3"/>
        <v>40000</v>
      </c>
      <c r="K19" s="168">
        <f t="shared" si="4"/>
        <v>6.0000000000000009</v>
      </c>
      <c r="L19" s="167">
        <f>(K19*H19)/1000</f>
        <v>12000.000000000002</v>
      </c>
      <c r="M19" s="147">
        <v>8.9999999999999998E-4</v>
      </c>
      <c r="N19" s="161">
        <f>H19*M19</f>
        <v>1800</v>
      </c>
      <c r="O19" s="149">
        <f t="shared" si="0"/>
        <v>1260</v>
      </c>
      <c r="P19" s="150">
        <f t="shared" si="1"/>
        <v>9.5238095238095255</v>
      </c>
      <c r="Q19" s="129"/>
      <c r="S19" s="170"/>
    </row>
    <row r="20" spans="1:19" s="122" customFormat="1" ht="49.5" customHeight="1" thickBot="1">
      <c r="A20" s="335"/>
      <c r="B20" s="171" t="s">
        <v>149</v>
      </c>
      <c r="C20" s="163" t="s">
        <v>150</v>
      </c>
      <c r="D20" s="164" t="s">
        <v>65</v>
      </c>
      <c r="E20" s="165">
        <v>1.5</v>
      </c>
      <c r="F20" s="164">
        <f t="shared" si="2"/>
        <v>1266.6666666666667</v>
      </c>
      <c r="G20" s="164">
        <v>30</v>
      </c>
      <c r="H20" s="164">
        <v>38000</v>
      </c>
      <c r="I20" s="166">
        <v>0.7</v>
      </c>
      <c r="J20" s="167">
        <f>(E20*H20)</f>
        <v>57000</v>
      </c>
      <c r="K20" s="168">
        <f t="shared" si="4"/>
        <v>0.45000000000000007</v>
      </c>
      <c r="L20" s="167">
        <f>H20*K20</f>
        <v>17100.000000000004</v>
      </c>
      <c r="M20" s="172"/>
      <c r="N20" s="161">
        <f>H20</f>
        <v>38000</v>
      </c>
      <c r="O20" s="148">
        <f t="shared" si="0"/>
        <v>26600</v>
      </c>
      <c r="P20" s="150">
        <f t="shared" si="1"/>
        <v>0.64285714285714302</v>
      </c>
      <c r="Q20" s="129"/>
    </row>
    <row r="21" spans="1:19" s="122" customFormat="1" ht="49.5" customHeight="1">
      <c r="A21" s="336" t="s">
        <v>153</v>
      </c>
      <c r="B21" s="192" t="s">
        <v>154</v>
      </c>
      <c r="C21" s="193" t="s">
        <v>136</v>
      </c>
      <c r="D21" s="194" t="s">
        <v>69</v>
      </c>
      <c r="E21" s="195">
        <v>0.2</v>
      </c>
      <c r="F21" s="194">
        <f>H21/G21</f>
        <v>3333.3333333333335</v>
      </c>
      <c r="G21" s="194">
        <v>30</v>
      </c>
      <c r="H21" s="194">
        <v>100000</v>
      </c>
      <c r="I21" s="196">
        <v>1</v>
      </c>
      <c r="J21" s="197">
        <f>(E21*H21)</f>
        <v>20000</v>
      </c>
      <c r="K21" s="198">
        <f>(1-I21)*E21</f>
        <v>0</v>
      </c>
      <c r="L21" s="197">
        <f>(K21*H21)</f>
        <v>0</v>
      </c>
      <c r="M21" s="173">
        <v>1.6E-2</v>
      </c>
      <c r="N21" s="174">
        <f>H21*M21</f>
        <v>1600</v>
      </c>
      <c r="O21" s="175">
        <f t="shared" si="0"/>
        <v>1120</v>
      </c>
      <c r="P21" s="176">
        <f>L21/O21</f>
        <v>0</v>
      </c>
      <c r="Q21" s="129"/>
    </row>
    <row r="22" spans="1:19" s="122" customFormat="1" ht="49.5" customHeight="1" thickBot="1">
      <c r="A22" s="337"/>
      <c r="B22" s="199" t="s">
        <v>149</v>
      </c>
      <c r="C22" s="193" t="s">
        <v>150</v>
      </c>
      <c r="D22" s="194" t="s">
        <v>65</v>
      </c>
      <c r="E22" s="195">
        <v>1.5</v>
      </c>
      <c r="F22" s="194">
        <f>H22/G22</f>
        <v>333.33333333333331</v>
      </c>
      <c r="G22" s="194">
        <v>30</v>
      </c>
      <c r="H22" s="194">
        <v>10000</v>
      </c>
      <c r="I22" s="196">
        <v>1</v>
      </c>
      <c r="J22" s="197">
        <f>(E22*H22)</f>
        <v>15000</v>
      </c>
      <c r="K22" s="198">
        <f>(1-I22)*E22</f>
        <v>0</v>
      </c>
      <c r="L22" s="197">
        <f>H22*K22</f>
        <v>0</v>
      </c>
      <c r="M22" s="177"/>
      <c r="N22" s="174">
        <f>H22</f>
        <v>10000</v>
      </c>
      <c r="O22" s="178">
        <f t="shared" si="0"/>
        <v>7000</v>
      </c>
      <c r="P22" s="176">
        <f>L22/O22</f>
        <v>0</v>
      </c>
      <c r="Q22" s="129"/>
    </row>
    <row r="23" spans="1:19" s="180" customFormat="1" ht="30" customHeight="1">
      <c r="A23" s="179"/>
      <c r="F23" s="181"/>
      <c r="G23" s="307" t="s">
        <v>155</v>
      </c>
      <c r="H23" s="307"/>
      <c r="I23" s="307"/>
      <c r="J23" s="307"/>
      <c r="K23" s="307"/>
      <c r="L23" s="204">
        <f>H13+H14+H15+H17+H18+H19+H21+F12+((F11+H16+H20+H22)/0.01)</f>
        <v>44900000</v>
      </c>
      <c r="M23" s="182" t="s">
        <v>0</v>
      </c>
      <c r="N23" s="182"/>
      <c r="O23" s="183">
        <f>SUM(O10:O22)</f>
        <v>114540</v>
      </c>
      <c r="P23" s="184">
        <f>L26/O23</f>
        <v>1.4868168325475817</v>
      </c>
    </row>
    <row r="24" spans="1:19" s="180" customFormat="1" ht="33" customHeight="1">
      <c r="G24" s="307" t="s">
        <v>156</v>
      </c>
      <c r="H24" s="307"/>
      <c r="I24" s="307"/>
      <c r="J24" s="307"/>
      <c r="K24" s="307"/>
      <c r="L24" s="205">
        <f>SUM(J13:J20)+E10+E12+J21+J22</f>
        <v>619500</v>
      </c>
    </row>
    <row r="25" spans="1:19" s="180" customFormat="1" ht="45" customHeight="1">
      <c r="G25" s="307" t="s">
        <v>126</v>
      </c>
      <c r="H25" s="307"/>
      <c r="I25" s="307"/>
      <c r="J25" s="307"/>
      <c r="K25" s="307"/>
      <c r="L25" s="206">
        <f>1-(L26/L24)</f>
        <v>0.72510088781275228</v>
      </c>
      <c r="P25" s="185"/>
    </row>
    <row r="26" spans="1:19" s="180" customFormat="1" ht="30" customHeight="1">
      <c r="C26" s="186"/>
      <c r="E26" s="180" t="s">
        <v>157</v>
      </c>
      <c r="G26" s="307" t="s">
        <v>158</v>
      </c>
      <c r="H26" s="307"/>
      <c r="I26" s="307"/>
      <c r="J26" s="307"/>
      <c r="K26" s="307"/>
      <c r="L26" s="205">
        <f>SUM(L10:L20)</f>
        <v>170300</v>
      </c>
      <c r="P26" s="187"/>
    </row>
    <row r="27" spans="1:19" s="180" customFormat="1" ht="12.75" customHeight="1">
      <c r="B27" s="188"/>
      <c r="K27" s="189"/>
      <c r="L27" s="189"/>
    </row>
    <row r="28" spans="1:19" ht="12.75">
      <c r="B28" s="191"/>
      <c r="C28" s="180"/>
      <c r="D28" s="180"/>
      <c r="E28" s="180"/>
      <c r="F28" s="191"/>
      <c r="G28" s="191"/>
      <c r="H28" s="191"/>
      <c r="I28" s="191"/>
      <c r="J28" s="191"/>
      <c r="K28" s="191"/>
      <c r="L28" s="191"/>
    </row>
    <row r="29" spans="1:19">
      <c r="B29" s="304" t="s">
        <v>159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</row>
    <row r="30" spans="1:19" ht="11.25" customHeight="1">
      <c r="B30" s="304" t="s">
        <v>160</v>
      </c>
      <c r="C30" s="304"/>
      <c r="D30" s="304"/>
      <c r="E30" s="304"/>
      <c r="F30" s="304"/>
      <c r="G30" s="304"/>
      <c r="H30" s="304"/>
      <c r="I30" s="304"/>
      <c r="J30" s="304"/>
      <c r="K30" s="304"/>
      <c r="L30" s="304"/>
    </row>
    <row r="31" spans="1:19" ht="11.25" customHeight="1">
      <c r="B31" s="304" t="s">
        <v>161</v>
      </c>
      <c r="C31" s="304"/>
      <c r="D31" s="304"/>
      <c r="E31" s="304"/>
      <c r="F31" s="304"/>
      <c r="G31" s="304"/>
      <c r="H31" s="304"/>
      <c r="I31" s="304"/>
      <c r="J31" s="304"/>
      <c r="K31" s="304"/>
      <c r="L31" s="304"/>
    </row>
    <row r="32" spans="1:19">
      <c r="B32" s="304" t="s">
        <v>162</v>
      </c>
      <c r="C32" s="304"/>
      <c r="D32" s="304"/>
      <c r="E32" s="304"/>
      <c r="F32" s="304"/>
      <c r="G32" s="304"/>
      <c r="H32" s="304"/>
      <c r="I32" s="304"/>
      <c r="J32" s="304"/>
      <c r="K32" s="304"/>
      <c r="L32" s="304"/>
    </row>
    <row r="33" spans="2:12">
      <c r="B33" s="304" t="s">
        <v>163</v>
      </c>
      <c r="C33" s="304"/>
      <c r="D33" s="304"/>
      <c r="E33" s="304"/>
      <c r="F33" s="304"/>
      <c r="G33" s="304"/>
      <c r="H33" s="304"/>
      <c r="I33" s="304"/>
      <c r="J33" s="304"/>
      <c r="K33" s="304"/>
      <c r="L33" s="304"/>
    </row>
    <row r="34" spans="2:12">
      <c r="B34" s="304" t="s">
        <v>164</v>
      </c>
      <c r="C34" s="304"/>
      <c r="D34" s="304"/>
      <c r="E34" s="304"/>
      <c r="F34" s="304"/>
      <c r="G34" s="304"/>
      <c r="H34" s="304"/>
      <c r="I34" s="304"/>
      <c r="J34" s="304"/>
      <c r="K34" s="304"/>
      <c r="L34" s="304"/>
    </row>
    <row r="35" spans="2:12" ht="21.75" customHeight="1">
      <c r="B35" s="304" t="s">
        <v>165</v>
      </c>
      <c r="C35" s="304"/>
      <c r="D35" s="304"/>
      <c r="E35" s="304"/>
      <c r="F35" s="304"/>
      <c r="G35" s="304"/>
      <c r="H35" s="304"/>
      <c r="I35" s="304"/>
      <c r="J35" s="304"/>
      <c r="K35" s="304"/>
      <c r="L35" s="304"/>
    </row>
    <row r="36" spans="2:12">
      <c r="B36" s="304" t="s">
        <v>166</v>
      </c>
      <c r="C36" s="304"/>
      <c r="D36" s="304"/>
      <c r="E36" s="304"/>
    </row>
    <row r="37" spans="2:12">
      <c r="B37" s="304" t="s">
        <v>167</v>
      </c>
      <c r="C37" s="304"/>
      <c r="D37" s="304"/>
      <c r="E37" s="304"/>
    </row>
    <row r="38" spans="2:12">
      <c r="B38" s="304" t="s">
        <v>168</v>
      </c>
      <c r="C38" s="304"/>
      <c r="D38" s="304"/>
      <c r="E38" s="304"/>
    </row>
    <row r="39" spans="2:12">
      <c r="B39" s="304" t="s">
        <v>169</v>
      </c>
      <c r="C39" s="304"/>
      <c r="D39" s="304"/>
      <c r="E39" s="304"/>
    </row>
    <row r="40" spans="2:12">
      <c r="B40" s="304" t="s">
        <v>170</v>
      </c>
      <c r="C40" s="304"/>
      <c r="D40" s="304"/>
      <c r="E40" s="304"/>
    </row>
  </sheetData>
  <mergeCells count="31">
    <mergeCell ref="G23:K23"/>
    <mergeCell ref="A1:L1"/>
    <mergeCell ref="G3:L4"/>
    <mergeCell ref="G5:L5"/>
    <mergeCell ref="C10:C11"/>
    <mergeCell ref="D10:D11"/>
    <mergeCell ref="E10:E11"/>
    <mergeCell ref="H10:H12"/>
    <mergeCell ref="I10:I12"/>
    <mergeCell ref="J10:J11"/>
    <mergeCell ref="K10:K11"/>
    <mergeCell ref="L10:L12"/>
    <mergeCell ref="A14:A16"/>
    <mergeCell ref="A17:A20"/>
    <mergeCell ref="A21:A22"/>
    <mergeCell ref="B38:E38"/>
    <mergeCell ref="B39:E39"/>
    <mergeCell ref="B40:E40"/>
    <mergeCell ref="A10:A13"/>
    <mergeCell ref="B32:L32"/>
    <mergeCell ref="B33:L33"/>
    <mergeCell ref="B34:L34"/>
    <mergeCell ref="B35:L35"/>
    <mergeCell ref="B36:E36"/>
    <mergeCell ref="B37:E37"/>
    <mergeCell ref="G24:K24"/>
    <mergeCell ref="G25:K25"/>
    <mergeCell ref="G26:K26"/>
    <mergeCell ref="B29:L29"/>
    <mergeCell ref="B30:L30"/>
    <mergeCell ref="B31:L31"/>
  </mergeCells>
  <hyperlinks>
    <hyperlink ref="G5" r:id="rId1" xr:uid="{8CB0CB05-790F-45E2-8DD6-9720AB243487}"/>
  </hyperlinks>
  <printOptions horizontalCentered="1"/>
  <pageMargins left="0.19685039370078741" right="0.19685039370078741" top="0.3" bottom="0.19685039370078741" header="0.21" footer="0.19685039370078741"/>
  <pageSetup paperSize="9" scale="30" orientation="portrait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B2D6-439C-4127-B36E-35E768E69390}">
  <sheetPr>
    <tabColor theme="6"/>
  </sheetPr>
  <dimension ref="A1:H21"/>
  <sheetViews>
    <sheetView showGridLines="0" zoomScale="60" zoomScaleNormal="60" workbookViewId="0">
      <selection activeCell="D4" sqref="D4"/>
    </sheetView>
  </sheetViews>
  <sheetFormatPr defaultColWidth="9.140625" defaultRowHeight="43.5" customHeight="1"/>
  <cols>
    <col min="1" max="1" width="9.140625" style="207"/>
    <col min="2" max="2" width="22.42578125" style="207" customWidth="1"/>
    <col min="3" max="3" width="36.28515625" style="207" customWidth="1"/>
    <col min="4" max="4" width="105.28515625" style="220" customWidth="1"/>
    <col min="5" max="5" width="64.28515625" style="220" bestFit="1" customWidth="1"/>
    <col min="6" max="16384" width="9.140625" style="207"/>
  </cols>
  <sheetData>
    <row r="1" spans="1:8" ht="43.5" customHeight="1">
      <c r="B1" s="208" t="s">
        <v>26</v>
      </c>
      <c r="C1" s="208" t="s">
        <v>96</v>
      </c>
      <c r="D1" s="208" t="s">
        <v>176</v>
      </c>
      <c r="E1" s="208" t="s">
        <v>177</v>
      </c>
    </row>
    <row r="2" spans="1:8" ht="57.75" customHeight="1">
      <c r="A2" s="343" t="s">
        <v>23</v>
      </c>
      <c r="B2" s="341"/>
      <c r="C2" s="209" t="s">
        <v>178</v>
      </c>
      <c r="D2" s="210" t="s">
        <v>179</v>
      </c>
      <c r="E2" s="211" t="s">
        <v>95</v>
      </c>
    </row>
    <row r="3" spans="1:8" ht="119.25" customHeight="1">
      <c r="A3" s="344"/>
      <c r="B3" s="342"/>
      <c r="C3" s="212" t="s">
        <v>97</v>
      </c>
      <c r="D3" s="213" t="s">
        <v>180</v>
      </c>
      <c r="E3" s="214" t="s">
        <v>181</v>
      </c>
    </row>
    <row r="4" spans="1:8" ht="114.75" customHeight="1">
      <c r="A4" s="344"/>
      <c r="B4" s="215"/>
      <c r="C4" s="216" t="s">
        <v>98</v>
      </c>
      <c r="D4" s="210" t="s">
        <v>182</v>
      </c>
      <c r="E4" s="217" t="s">
        <v>183</v>
      </c>
      <c r="G4" s="218"/>
      <c r="H4" s="218"/>
    </row>
    <row r="5" spans="1:8" ht="72">
      <c r="A5" s="344"/>
      <c r="B5" s="341"/>
      <c r="C5" s="216" t="s">
        <v>99</v>
      </c>
      <c r="D5" s="210" t="s">
        <v>184</v>
      </c>
      <c r="E5" s="217" t="s">
        <v>185</v>
      </c>
      <c r="G5" s="218"/>
    </row>
    <row r="6" spans="1:8" ht="60.75" customHeight="1">
      <c r="A6" s="344"/>
      <c r="B6" s="342"/>
      <c r="C6" s="212" t="s">
        <v>14</v>
      </c>
      <c r="D6" s="219" t="s">
        <v>186</v>
      </c>
      <c r="E6" s="214" t="s">
        <v>187</v>
      </c>
    </row>
    <row r="7" spans="1:8" ht="43.5" customHeight="1">
      <c r="G7" s="218"/>
    </row>
    <row r="8" spans="1:8" ht="43.5" customHeight="1">
      <c r="B8" s="221" t="s">
        <v>26</v>
      </c>
      <c r="C8" s="222" t="s">
        <v>96</v>
      </c>
      <c r="D8" s="208" t="s">
        <v>176</v>
      </c>
      <c r="E8" s="208" t="s">
        <v>177</v>
      </c>
    </row>
    <row r="9" spans="1:8" ht="90.75" customHeight="1">
      <c r="A9" s="345" t="s">
        <v>103</v>
      </c>
      <c r="B9" s="341"/>
      <c r="C9" s="216" t="s">
        <v>100</v>
      </c>
      <c r="D9" s="210" t="s">
        <v>188</v>
      </c>
      <c r="E9" s="217" t="s">
        <v>189</v>
      </c>
    </row>
    <row r="10" spans="1:8" ht="89.25" customHeight="1">
      <c r="A10" s="346"/>
      <c r="B10" s="342"/>
      <c r="C10" s="212" t="s">
        <v>10</v>
      </c>
      <c r="D10" s="213" t="s">
        <v>190</v>
      </c>
      <c r="E10" s="214" t="s">
        <v>191</v>
      </c>
    </row>
    <row r="11" spans="1:8" ht="78.95" customHeight="1">
      <c r="A11" s="346"/>
      <c r="B11" s="223"/>
      <c r="C11" s="224" t="s">
        <v>174</v>
      </c>
      <c r="D11" s="210" t="s">
        <v>192</v>
      </c>
      <c r="E11" s="217" t="s">
        <v>193</v>
      </c>
    </row>
    <row r="12" spans="1:8" ht="63.75" customHeight="1">
      <c r="A12" s="346"/>
      <c r="B12" s="215"/>
      <c r="C12" s="216" t="s">
        <v>4</v>
      </c>
      <c r="D12" s="210" t="s">
        <v>194</v>
      </c>
      <c r="E12" s="217" t="s">
        <v>195</v>
      </c>
    </row>
    <row r="13" spans="1:8" ht="72.75" customHeight="1">
      <c r="A13" s="347"/>
      <c r="B13" s="215"/>
      <c r="C13" s="216" t="s">
        <v>4</v>
      </c>
      <c r="D13" s="210" t="s">
        <v>196</v>
      </c>
      <c r="E13" s="217" t="s">
        <v>197</v>
      </c>
    </row>
    <row r="15" spans="1:8" ht="43.5" customHeight="1">
      <c r="B15" s="221" t="s">
        <v>26</v>
      </c>
      <c r="C15" s="222" t="s">
        <v>96</v>
      </c>
      <c r="D15" s="208" t="s">
        <v>176</v>
      </c>
      <c r="E15" s="208" t="s">
        <v>177</v>
      </c>
    </row>
    <row r="16" spans="1:8" ht="80.25" customHeight="1">
      <c r="A16" s="338" t="s">
        <v>78</v>
      </c>
      <c r="B16" s="341"/>
      <c r="C16" s="216" t="s">
        <v>101</v>
      </c>
      <c r="D16" s="210" t="s">
        <v>198</v>
      </c>
      <c r="E16" s="217" t="s">
        <v>95</v>
      </c>
    </row>
    <row r="17" spans="1:5" ht="231" customHeight="1">
      <c r="A17" s="339"/>
      <c r="B17" s="342"/>
      <c r="C17" s="212" t="s">
        <v>102</v>
      </c>
      <c r="D17" s="213" t="s">
        <v>199</v>
      </c>
      <c r="E17" s="214" t="s">
        <v>175</v>
      </c>
    </row>
    <row r="18" spans="1:5" ht="69.75" customHeight="1">
      <c r="A18" s="339"/>
      <c r="B18" s="215"/>
      <c r="C18" s="224" t="s">
        <v>8</v>
      </c>
      <c r="D18" s="210" t="s">
        <v>200</v>
      </c>
      <c r="E18" s="217" t="s">
        <v>95</v>
      </c>
    </row>
    <row r="19" spans="1:5" ht="93.75" customHeight="1">
      <c r="A19" s="340"/>
      <c r="B19" s="215"/>
      <c r="C19" s="216" t="s">
        <v>2</v>
      </c>
      <c r="D19" s="210" t="s">
        <v>201</v>
      </c>
      <c r="E19" s="217" t="s">
        <v>202</v>
      </c>
    </row>
    <row r="21" spans="1:5" ht="43.5" customHeight="1">
      <c r="C21" s="218"/>
    </row>
  </sheetData>
  <mergeCells count="7">
    <mergeCell ref="A16:A19"/>
    <mergeCell ref="B16:B17"/>
    <mergeCell ref="A2:A6"/>
    <mergeCell ref="B2:B3"/>
    <mergeCell ref="B5:B6"/>
    <mergeCell ref="A9:A13"/>
    <mergeCell ref="B9:B10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F5EC-7420-418C-ADBD-83FBDA529FEE}">
  <dimension ref="B2:N34"/>
  <sheetViews>
    <sheetView zoomScale="80" zoomScaleNormal="80" workbookViewId="0">
      <selection activeCell="E27" sqref="E27"/>
    </sheetView>
  </sheetViews>
  <sheetFormatPr defaultColWidth="9.140625" defaultRowHeight="15"/>
  <cols>
    <col min="1" max="1" width="9.140625" style="1"/>
    <col min="2" max="2" width="23.140625" style="1" bestFit="1" customWidth="1"/>
    <col min="3" max="4" width="24.7109375" style="1" customWidth="1"/>
    <col min="5" max="5" width="31.28515625" style="1" customWidth="1"/>
    <col min="6" max="6" width="18.85546875" style="1" customWidth="1"/>
    <col min="7" max="7" width="12.5703125" style="1" bestFit="1" customWidth="1"/>
    <col min="8" max="8" width="29.85546875" style="1" bestFit="1" customWidth="1"/>
    <col min="9" max="10" width="15.85546875" style="1" bestFit="1" customWidth="1"/>
    <col min="11" max="11" width="22" style="1" bestFit="1" customWidth="1"/>
    <col min="12" max="12" width="14.42578125" style="1" bestFit="1" customWidth="1"/>
    <col min="13" max="13" width="14.42578125" style="1" customWidth="1"/>
    <col min="14" max="16" width="9.140625" style="1"/>
    <col min="17" max="17" width="24.5703125" style="1" customWidth="1"/>
    <col min="18" max="16384" width="9.140625" style="1"/>
  </cols>
  <sheetData>
    <row r="2" spans="2:14" ht="33" customHeight="1">
      <c r="B2" s="2" t="s">
        <v>55</v>
      </c>
    </row>
    <row r="4" spans="2:14" ht="15.75" thickBot="1"/>
    <row r="5" spans="2:14">
      <c r="B5" s="3" t="s">
        <v>36</v>
      </c>
      <c r="C5" s="3" t="s">
        <v>37</v>
      </c>
      <c r="D5" s="3" t="s">
        <v>38</v>
      </c>
      <c r="E5" s="3" t="s">
        <v>39</v>
      </c>
    </row>
    <row r="7" spans="2:14" ht="15.75" thickBot="1">
      <c r="B7" s="4" t="s">
        <v>40</v>
      </c>
      <c r="C7" s="5">
        <v>263302.7</v>
      </c>
      <c r="D7" s="5">
        <f>C7-29529.5</f>
        <v>233773.2</v>
      </c>
      <c r="E7" s="4"/>
      <c r="K7" s="6"/>
      <c r="L7" s="6"/>
      <c r="M7" s="6"/>
      <c r="N7" s="7"/>
    </row>
    <row r="8" spans="2:14" ht="15.75" thickBot="1">
      <c r="B8" s="4" t="s">
        <v>41</v>
      </c>
      <c r="C8" s="5">
        <v>824476.24</v>
      </c>
      <c r="D8" s="5">
        <f t="shared" ref="D8:D12" si="0">C8</f>
        <v>824476.24</v>
      </c>
      <c r="E8" s="4"/>
      <c r="K8" s="6"/>
      <c r="L8" s="6"/>
      <c r="M8" s="6"/>
      <c r="N8" s="7"/>
    </row>
    <row r="9" spans="2:14" ht="18" customHeight="1" thickBot="1">
      <c r="B9" s="4" t="s">
        <v>42</v>
      </c>
      <c r="C9" s="5">
        <v>363751.56</v>
      </c>
      <c r="D9" s="5">
        <f t="shared" si="0"/>
        <v>363751.56</v>
      </c>
      <c r="E9" s="4"/>
      <c r="K9" s="6"/>
      <c r="L9" s="6"/>
      <c r="M9" s="6"/>
      <c r="N9" s="7"/>
    </row>
    <row r="10" spans="2:14" ht="15.75" thickBot="1">
      <c r="B10" s="4" t="s">
        <v>43</v>
      </c>
      <c r="C10" s="5">
        <v>272351.98</v>
      </c>
      <c r="D10" s="5">
        <f t="shared" si="0"/>
        <v>272351.98</v>
      </c>
      <c r="E10" s="4"/>
    </row>
    <row r="11" spans="2:14" ht="15.75" thickBot="1">
      <c r="B11" s="4" t="s">
        <v>44</v>
      </c>
      <c r="C11" s="5">
        <v>133102.23000000001</v>
      </c>
      <c r="D11" s="5">
        <f t="shared" si="0"/>
        <v>133102.23000000001</v>
      </c>
      <c r="E11" s="4"/>
      <c r="K11" s="6"/>
    </row>
    <row r="12" spans="2:14" ht="15.75" thickBot="1">
      <c r="B12" s="4" t="s">
        <v>45</v>
      </c>
      <c r="C12" s="5">
        <f>C14-SUM(C7:C11)</f>
        <v>249544.06999999983</v>
      </c>
      <c r="D12" s="5">
        <f t="shared" si="0"/>
        <v>249544.06999999983</v>
      </c>
      <c r="E12" s="4"/>
      <c r="K12" s="6"/>
    </row>
    <row r="13" spans="2:14">
      <c r="C13" s="8"/>
      <c r="K13" s="6"/>
    </row>
    <row r="14" spans="2:14" ht="15.75" thickBot="1">
      <c r="B14" s="4" t="s">
        <v>46</v>
      </c>
      <c r="C14" s="5">
        <v>2106528.7799999998</v>
      </c>
      <c r="D14" s="9">
        <f>SUM(D7:D12)</f>
        <v>2076999.2799999998</v>
      </c>
      <c r="K14" s="6"/>
    </row>
    <row r="19" spans="2:7" ht="15.75" thickBot="1"/>
    <row r="20" spans="2:7" ht="25.5">
      <c r="B20" s="3" t="s">
        <v>36</v>
      </c>
      <c r="C20" s="3" t="s">
        <v>47</v>
      </c>
      <c r="D20" s="3" t="s">
        <v>48</v>
      </c>
      <c r="E20" s="3" t="s">
        <v>35</v>
      </c>
      <c r="F20" s="3" t="s">
        <v>49</v>
      </c>
      <c r="G20" s="3" t="s">
        <v>50</v>
      </c>
    </row>
    <row r="21" spans="2:7" ht="15.75" thickBot="1">
      <c r="B21" s="4" t="s">
        <v>42</v>
      </c>
      <c r="C21" s="5">
        <v>69682.600000000006</v>
      </c>
      <c r="D21" s="5">
        <f>D9</f>
        <v>363751.56</v>
      </c>
      <c r="E21" s="10">
        <f>D21/C21</f>
        <v>5.2201203743832743</v>
      </c>
      <c r="F21" s="11">
        <v>7999</v>
      </c>
      <c r="G21" s="5">
        <f>D21/F21</f>
        <v>45.474629328666083</v>
      </c>
    </row>
    <row r="22" spans="2:7" ht="15.75" thickBot="1">
      <c r="B22" s="4" t="s">
        <v>40</v>
      </c>
      <c r="C22" s="5">
        <v>81546.69</v>
      </c>
      <c r="D22" s="5">
        <f>D7</f>
        <v>233773.2</v>
      </c>
      <c r="E22" s="10">
        <f>D22/C22</f>
        <v>2.8667405139313442</v>
      </c>
      <c r="F22" s="11">
        <v>12717</v>
      </c>
      <c r="G22" s="5">
        <f>D22/F22</f>
        <v>18.382731776362352</v>
      </c>
    </row>
    <row r="23" spans="2:7">
      <c r="D23" s="6"/>
    </row>
    <row r="25" spans="2:7">
      <c r="B25" s="12" t="s">
        <v>51</v>
      </c>
      <c r="C25" s="13">
        <f>SUM(D21:D22)</f>
        <v>597524.76</v>
      </c>
    </row>
    <row r="26" spans="2:7">
      <c r="B26" s="14" t="s">
        <v>52</v>
      </c>
      <c r="C26" s="15">
        <f>C25/D14</f>
        <v>0.28768655134054744</v>
      </c>
    </row>
    <row r="27" spans="2:7">
      <c r="B27" s="16"/>
      <c r="C27" s="17"/>
    </row>
    <row r="28" spans="2:7">
      <c r="B28" s="12" t="s">
        <v>53</v>
      </c>
      <c r="C28" s="18">
        <f>'[1]Plano de Mídia Junho'!Q34</f>
        <v>702151.04445554432</v>
      </c>
    </row>
    <row r="29" spans="2:7">
      <c r="B29" s="14" t="s">
        <v>54</v>
      </c>
      <c r="C29" s="19">
        <f>C28/C25-1</f>
        <v>0.17509949622095045</v>
      </c>
    </row>
    <row r="34" spans="2:2">
      <c r="B34" s="20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E503DB2567542A9ED9D47212BC5EF" ma:contentTypeVersion="35" ma:contentTypeDescription="Crie um novo documento." ma:contentTypeScope="" ma:versionID="02032768041043ef3e11ae59a16d8a4d">
  <xsd:schema xmlns:xsd="http://www.w3.org/2001/XMLSchema" xmlns:xs="http://www.w3.org/2001/XMLSchema" xmlns:p="http://schemas.microsoft.com/office/2006/metadata/properties" xmlns:ns2="293f566d-5a20-44e4-9f43-0a2a410ca886" xmlns:ns3="40f4fd82-fe7f-4403-9014-c046a5dfa87a" xmlns:ns4="89da307a-7ee5-40b4-903c-9f15ae728df1" xmlns:ns5="f8c5de11-586d-4973-bc43-50c39ccac8f6" targetNamespace="http://schemas.microsoft.com/office/2006/metadata/properties" ma:root="true" ma:fieldsID="b5bc2eac380d6c7ec9db58091da471c9" ns2:_="" ns3:_="" ns4:_="" ns5:_="">
    <xsd:import namespace="293f566d-5a20-44e4-9f43-0a2a410ca886"/>
    <xsd:import namespace="40f4fd82-fe7f-4403-9014-c046a5dfa87a"/>
    <xsd:import namespace="89da307a-7ee5-40b4-903c-9f15ae728df1"/>
    <xsd:import namespace="f8c5de11-586d-4973-bc43-50c39ccac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f566d-5a20-44e4-9f43-0a2a410ca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fd82-fe7f-4403-9014-c046a5dfa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a307a-7ee5-40b4-903c-9f15ae728df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de11-586d-4973-bc43-50c39ccac8f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6249d46-ea83-46ba-b014-2e02450ebbd1}" ma:internalName="TaxCatchAll" ma:showField="CatchAllData" ma:web="f8c5de11-586d-4973-bc43-50c39ccac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c5de11-586d-4973-bc43-50c39ccac8f6" xsi:nil="true"/>
    <lcf76f155ced4ddcb4097134ff3c332f xmlns="89da307a-7ee5-40b4-903c-9f15ae728d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62C01D-EBEF-4565-912C-A71296B0E315}"/>
</file>

<file path=customXml/itemProps2.xml><?xml version="1.0" encoding="utf-8"?>
<ds:datastoreItem xmlns:ds="http://schemas.openxmlformats.org/officeDocument/2006/customXml" ds:itemID="{E9E81F76-D20C-4269-89BF-276CDA271A33}"/>
</file>

<file path=customXml/itemProps3.xml><?xml version="1.0" encoding="utf-8"?>
<ds:datastoreItem xmlns:ds="http://schemas.openxmlformats.org/officeDocument/2006/customXml" ds:itemID="{4B668978-FA30-43D8-8084-E8A579034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Resumo</vt:lpstr>
      <vt:lpstr>Projeções Dezembro_2021</vt:lpstr>
      <vt:lpstr>Planilha1</vt:lpstr>
      <vt:lpstr>PROPOSTA 170K</vt:lpstr>
      <vt:lpstr>Tático</vt:lpstr>
      <vt:lpstr>2017</vt:lpstr>
      <vt:lpstr>'PROPOSTA 170K'!Area_de_impressao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Talita Nogueira</dc:creator>
  <cp:lastModifiedBy>Leonardo Pires</cp:lastModifiedBy>
  <cp:lastPrinted>2021-03-30T16:56:11Z</cp:lastPrinted>
  <dcterms:created xsi:type="dcterms:W3CDTF">2018-05-25T19:29:26Z</dcterms:created>
  <dcterms:modified xsi:type="dcterms:W3CDTF">2021-12-01T19:56:48Z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0x010100973E503DB2567542A9ED9D47212BC5EF</vt:lpwstr>
  </property>
</Properties>
</file>