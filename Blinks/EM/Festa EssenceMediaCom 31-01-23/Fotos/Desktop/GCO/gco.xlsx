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thefany.silva\Downloads\"/>
    </mc:Choice>
  </mc:AlternateContent>
  <xr:revisionPtr revIDLastSave="0" documentId="13_ncr:1_{5A4C78F3-778F-4CB1-B87C-B10F6F3FBA46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_(GCO) Digital MKT_Reinvenção -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9" i="1" l="1"/>
  <c r="H10" i="1"/>
  <c r="H11" i="1"/>
  <c r="H15" i="1"/>
  <c r="H16" i="1"/>
  <c r="H17" i="1"/>
  <c r="H18" i="1"/>
  <c r="H3" i="1"/>
  <c r="G19" i="1"/>
  <c r="H4" i="1" s="1"/>
  <c r="E19" i="1"/>
  <c r="H8" i="1" l="1"/>
  <c r="H7" i="1"/>
  <c r="H6" i="1"/>
  <c r="H13" i="1"/>
  <c r="H5" i="1"/>
  <c r="H14" i="1"/>
  <c r="F19" i="1"/>
  <c r="H12" i="1"/>
</calcChain>
</file>

<file path=xl/sharedStrings.xml><?xml version="1.0" encoding="utf-8"?>
<sst xmlns="http://schemas.openxmlformats.org/spreadsheetml/2006/main" count="22" uniqueCount="22">
  <si>
    <t>Origem/Mídia</t>
  </si>
  <si>
    <t>Investimento</t>
  </si>
  <si>
    <t>ROI</t>
  </si>
  <si>
    <t xml:space="preserve">Receita </t>
  </si>
  <si>
    <t>Google Ads</t>
  </si>
  <si>
    <t>Blue</t>
  </si>
  <si>
    <t>Facebook Ads</t>
  </si>
  <si>
    <t>Bing</t>
  </si>
  <si>
    <t>Criteo</t>
  </si>
  <si>
    <t>RTB House</t>
  </si>
  <si>
    <t>SMS</t>
  </si>
  <si>
    <t>E-mail</t>
  </si>
  <si>
    <t>Direct</t>
  </si>
  <si>
    <t>Outros</t>
  </si>
  <si>
    <t>(Not Set)</t>
  </si>
  <si>
    <t>Organic</t>
  </si>
  <si>
    <t>Referral</t>
  </si>
  <si>
    <t>Afilliates</t>
  </si>
  <si>
    <t>Telegram</t>
  </si>
  <si>
    <t>One Signal</t>
  </si>
  <si>
    <t>TOTAL</t>
  </si>
  <si>
    <t>% Receita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</si>
</sst>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8" formatCode="&quot;R$&quot;\ #,##0"/>
    <numFmt numFmtId="176" formatCode="0.0"/>
    <numFmt numFmtId="177" formatCode="0.0%"/>
  </numFmts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206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</borders>
  <cellStyleXfs count="43">
    <xf numFmtId="0" fontId="0" fillId="0" borderId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0">
    <xf numFmtId="0" fontId="0" fillId="0" borderId="0" xfId="0"/>
    <xf numFmtId="0" fontId="18" fillId="0" borderId="10" xfId="0" applyFont="1" applyBorder="1"/>
    <xf numFmtId="168" fontId="18" fillId="0" borderId="10" xfId="0" applyNumberFormat="1" applyFont="1" applyBorder="1" applyAlignment="1">
      <alignment horizontal="center" vertical="center"/>
    </xf>
    <xf numFmtId="176" fontId="18" fillId="0" borderId="10" xfId="0" applyNumberFormat="1" applyFont="1" applyBorder="1" applyAlignment="1">
      <alignment horizontal="center" vertical="center"/>
    </xf>
    <xf numFmtId="177" fontId="18" fillId="0" borderId="10" xfId="1" applyNumberFormat="1" applyFont="1" applyBorder="1" applyAlignment="1">
      <alignment horizontal="center" vertical="center"/>
    </xf>
    <xf numFmtId="0" fontId="19" fillId="33" borderId="10" xfId="0" applyFont="1" applyFill="1" applyBorder="1" applyAlignment="1">
      <alignment horizontal="center" vertical="center"/>
    </xf>
    <xf numFmtId="0" fontId="19" fillId="33" borderId="10" xfId="0" applyFont="1" applyFill="1" applyBorder="1"/>
    <xf numFmtId="168" fontId="19" fillId="33" borderId="10" xfId="0" applyNumberFormat="1" applyFont="1" applyFill="1" applyBorder="1"/>
    <xf numFmtId="176" fontId="19" fillId="33" borderId="10" xfId="0" applyNumberFormat="1" applyFont="1" applyFill="1" applyBorder="1" applyAlignment="1">
      <alignment horizontal="center" vertical="center"/>
    </xf>
    <xf numFmtId="9" fontId="19" fillId="33" borderId="10" xfId="1" applyFont="1" applyFill="1" applyBorder="1" applyAlignment="1">
      <alignment horizontal="center" vertical="center"/>
    </xf>
  </cellXfs>
  <cellStyles count="43">
    <cellStyle name="20% - Ênfase1" xfId="20" builtinId="30" customBuiltin="1"/>
    <cellStyle name="20% - Ênfase2" xfId="24" builtinId="34" customBuiltin="1"/>
    <cellStyle name="20% - Ênfase3" xfId="28" builtinId="38" customBuiltin="1"/>
    <cellStyle name="20% - Ênfase4" xfId="32" builtinId="42" customBuiltin="1"/>
    <cellStyle name="20% - Ênfase5" xfId="36" builtinId="46" customBuiltin="1"/>
    <cellStyle name="20% - Ênfase6" xfId="40" builtinId="50" customBuiltin="1"/>
    <cellStyle name="40% - Ênfase1" xfId="21" builtinId="31" customBuiltin="1"/>
    <cellStyle name="40% - Ênfase2" xfId="25" builtinId="35" customBuiltin="1"/>
    <cellStyle name="40% - Ênfase3" xfId="29" builtinId="39" customBuiltin="1"/>
    <cellStyle name="40% - Ênfase4" xfId="33" builtinId="43" customBuiltin="1"/>
    <cellStyle name="40% - Ênfase5" xfId="37" builtinId="47" customBuiltin="1"/>
    <cellStyle name="40% - Ênfase6" xfId="41" builtinId="51" customBuiltin="1"/>
    <cellStyle name="60% - Ênfase1" xfId="22" builtinId="32" customBuiltin="1"/>
    <cellStyle name="60% - Ênfase2" xfId="26" builtinId="36" customBuiltin="1"/>
    <cellStyle name="60% - Ênfase3" xfId="30" builtinId="40" customBuiltin="1"/>
    <cellStyle name="60% - Ênfase4" xfId="34" builtinId="44" customBuiltin="1"/>
    <cellStyle name="60% - Ênfase5" xfId="38" builtinId="48" customBuiltin="1"/>
    <cellStyle name="60% - Ênfase6" xfId="42" builtinId="52" customBuiltin="1"/>
    <cellStyle name="Bom" xfId="7" builtinId="26" customBuiltin="1"/>
    <cellStyle name="Cálculo" xfId="12" builtinId="22" customBuiltin="1"/>
    <cellStyle name="Célula de Verificação" xfId="14" builtinId="23" customBuiltin="1"/>
    <cellStyle name="Célula Vinculada" xfId="13" builtinId="24" customBuiltin="1"/>
    <cellStyle name="Ênfase1" xfId="19" builtinId="29" customBuiltin="1"/>
    <cellStyle name="Ênfase2" xfId="23" builtinId="33" customBuiltin="1"/>
    <cellStyle name="Ênfase3" xfId="27" builtinId="37" customBuiltin="1"/>
    <cellStyle name="Ênfase4" xfId="31" builtinId="41" customBuiltin="1"/>
    <cellStyle name="Ênfase5" xfId="35" builtinId="45" customBuiltin="1"/>
    <cellStyle name="Ênfase6" xfId="39" builtinId="49" customBuiltin="1"/>
    <cellStyle name="Entrada" xfId="10" builtinId="20" customBuiltin="1"/>
    <cellStyle name="Neutro" xfId="9" builtinId="28" customBuiltin="1"/>
    <cellStyle name="Normal" xfId="0" builtinId="0"/>
    <cellStyle name="Nota" xfId="16" builtinId="10" customBuiltin="1"/>
    <cellStyle name="Porcentagem" xfId="1" builtinId="5"/>
    <cellStyle name="Ruim" xfId="8" builtinId="27" customBuiltin="1"/>
    <cellStyle name="Saída" xfId="11" builtinId="21" customBuiltin="1"/>
    <cellStyle name="Texto de Aviso" xfId="15" builtinId="11" customBuiltin="1"/>
    <cellStyle name="Texto Explicativo" xfId="17" builtinId="53" customBuiltin="1"/>
    <cellStyle name="Título" xfId="2" builtinId="15" customBuiltin="1"/>
    <cellStyle name="Título 1" xfId="3" builtinId="16" customBuiltin="1"/>
    <cellStyle name="Título 2" xfId="4" builtinId="17" customBuiltin="1"/>
    <cellStyle name="Título 3" xfId="5" builtinId="18" customBuiltin="1"/>
    <cellStyle name="Título 4" xfId="6" builtinId="19" customBuiltin="1"/>
    <cellStyle name="Total" xfId="18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D2:H19"/>
  <sheetViews>
    <sheetView showGridLines="0" tabSelected="1" workbookViewId="0">
      <selection activeCell="L6" sqref="L6"/>
    </sheetView>
  </sheetViews>
  <sheetFormatPr defaultRowHeight="14.5" x14ac:dyDescent="0.35"/>
  <cols>
    <col min="4" max="4" width="15.08984375" customWidth="1"/>
    <col min="5" max="5" width="11.90625" bestFit="1" customWidth="1"/>
    <col min="6" max="6" width="12.6328125" customWidth="1"/>
    <col min="7" max="7" width="11.453125" bestFit="1" customWidth="1"/>
  </cols>
  <sheetData>
    <row r="2" spans="4:8" x14ac:dyDescent="0.35">
      <c r="D2" s="5" t="s">
        <v>0</v>
      </c>
      <c r="E2" s="5" t="s">
        <v>1</v>
      </c>
      <c r="F2" s="5" t="s">
        <v>2</v>
      </c>
      <c r="G2" s="5" t="s">
        <v>3</v>
      </c>
      <c r="H2" s="5" t="s">
        <v>21</v>
      </c>
    </row>
    <row r="3" spans="4:8" x14ac:dyDescent="0.35">
      <c r="D3" s="1" t="s">
        <v>4</v>
      </c>
      <c r="E3" s="2">
        <v>488369.57999999903</v>
      </c>
      <c r="F3" s="3">
        <v>5.7330516163598899</v>
      </c>
      <c r="G3" s="2">
        <v>2799848.01</v>
      </c>
      <c r="H3" s="4">
        <f>G3/$G$19</f>
        <v>0.31705916197713258</v>
      </c>
    </row>
    <row r="4" spans="4:8" x14ac:dyDescent="0.35">
      <c r="D4" s="1" t="s">
        <v>15</v>
      </c>
      <c r="E4" s="2">
        <v>0</v>
      </c>
      <c r="F4" s="3">
        <v>0</v>
      </c>
      <c r="G4" s="2">
        <v>2682506.13</v>
      </c>
      <c r="H4" s="4">
        <f>G4/$G$19</f>
        <v>0.30377118419950272</v>
      </c>
    </row>
    <row r="5" spans="4:8" x14ac:dyDescent="0.35">
      <c r="D5" s="1" t="s">
        <v>16</v>
      </c>
      <c r="E5" s="2">
        <v>0</v>
      </c>
      <c r="F5" s="3">
        <v>0</v>
      </c>
      <c r="G5" s="2">
        <v>939937.36</v>
      </c>
      <c r="H5" s="4">
        <f>G5/$G$19</f>
        <v>0.10643997481584666</v>
      </c>
    </row>
    <row r="6" spans="4:8" x14ac:dyDescent="0.35">
      <c r="D6" s="1" t="s">
        <v>12</v>
      </c>
      <c r="E6" s="2">
        <v>0</v>
      </c>
      <c r="F6" s="3">
        <v>0</v>
      </c>
      <c r="G6" s="2">
        <v>866142.21</v>
      </c>
      <c r="H6" s="4">
        <f>G6/$G$19</f>
        <v>9.808329676282021E-2</v>
      </c>
    </row>
    <row r="7" spans="4:8" x14ac:dyDescent="0.35">
      <c r="D7" s="1" t="s">
        <v>11</v>
      </c>
      <c r="E7" s="2">
        <v>0</v>
      </c>
      <c r="F7" s="3">
        <v>0</v>
      </c>
      <c r="G7" s="2">
        <v>670336.48</v>
      </c>
      <c r="H7" s="4">
        <f>G7/$G$19</f>
        <v>7.5909950051717592E-2</v>
      </c>
    </row>
    <row r="8" spans="4:8" x14ac:dyDescent="0.35">
      <c r="D8" s="1" t="s">
        <v>10</v>
      </c>
      <c r="E8" s="2">
        <v>0</v>
      </c>
      <c r="F8" s="3">
        <v>0</v>
      </c>
      <c r="G8" s="2">
        <v>193720.889999999</v>
      </c>
      <c r="H8" s="4">
        <f>G8/$G$19</f>
        <v>2.1937256173010608E-2</v>
      </c>
    </row>
    <row r="9" spans="4:8" x14ac:dyDescent="0.35">
      <c r="D9" s="1" t="s">
        <v>17</v>
      </c>
      <c r="E9" s="2">
        <v>0</v>
      </c>
      <c r="F9" s="3">
        <v>0</v>
      </c>
      <c r="G9" s="2">
        <v>171987.4</v>
      </c>
      <c r="H9" s="4">
        <f>G9/$G$19</f>
        <v>1.9476121817993217E-2</v>
      </c>
    </row>
    <row r="10" spans="4:8" x14ac:dyDescent="0.35">
      <c r="D10" s="1" t="s">
        <v>5</v>
      </c>
      <c r="E10" s="2">
        <v>84239.44</v>
      </c>
      <c r="F10" s="3">
        <v>2.0274427275394902</v>
      </c>
      <c r="G10" s="2">
        <v>170790.64</v>
      </c>
      <c r="H10" s="4">
        <f>G10/$G$19</f>
        <v>1.9340598846270284E-2</v>
      </c>
    </row>
    <row r="11" spans="4:8" x14ac:dyDescent="0.35">
      <c r="D11" s="1" t="s">
        <v>7</v>
      </c>
      <c r="E11" s="2">
        <v>3579.1699999999901</v>
      </c>
      <c r="F11" s="3">
        <v>35.764260987882601</v>
      </c>
      <c r="G11" s="2">
        <v>128006.37</v>
      </c>
      <c r="H11" s="4">
        <f>G11/$G$19</f>
        <v>1.4495641283019061E-2</v>
      </c>
    </row>
    <row r="12" spans="4:8" x14ac:dyDescent="0.35">
      <c r="D12" s="1" t="s">
        <v>6</v>
      </c>
      <c r="E12" s="2">
        <v>29834.13</v>
      </c>
      <c r="F12" s="3">
        <v>4.2897771780172498</v>
      </c>
      <c r="G12" s="2">
        <v>127981.77</v>
      </c>
      <c r="H12" s="4">
        <f>G12/$G$19</f>
        <v>1.4492855540594195E-2</v>
      </c>
    </row>
    <row r="13" spans="4:8" x14ac:dyDescent="0.35">
      <c r="D13" s="1" t="s">
        <v>8</v>
      </c>
      <c r="E13" s="2">
        <v>1848.94999999999</v>
      </c>
      <c r="F13" s="3">
        <v>13.6923551204737</v>
      </c>
      <c r="G13" s="2">
        <v>25316.48</v>
      </c>
      <c r="H13" s="4">
        <f>G13/$G$19</f>
        <v>2.8668777391994355E-3</v>
      </c>
    </row>
    <row r="14" spans="4:8" x14ac:dyDescent="0.35">
      <c r="D14" s="1" t="s">
        <v>13</v>
      </c>
      <c r="E14" s="2">
        <v>0</v>
      </c>
      <c r="F14" s="3">
        <v>0</v>
      </c>
      <c r="G14" s="2">
        <v>23120.16</v>
      </c>
      <c r="H14" s="4">
        <f>G14/$G$19</f>
        <v>2.6181630317772936E-3</v>
      </c>
    </row>
    <row r="15" spans="4:8" x14ac:dyDescent="0.35">
      <c r="D15" s="1" t="s">
        <v>14</v>
      </c>
      <c r="E15" s="2">
        <v>0</v>
      </c>
      <c r="F15" s="3">
        <v>0</v>
      </c>
      <c r="G15" s="2">
        <v>16067.7599999999</v>
      </c>
      <c r="H15" s="4">
        <f>G15/$G$19</f>
        <v>1.8195382400238436E-3</v>
      </c>
    </row>
    <row r="16" spans="4:8" x14ac:dyDescent="0.35">
      <c r="D16" s="1" t="s">
        <v>9</v>
      </c>
      <c r="E16" s="2">
        <v>1421.71999999999</v>
      </c>
      <c r="F16" s="3">
        <v>7.2940733759108696</v>
      </c>
      <c r="G16" s="2">
        <v>10370.129999999999</v>
      </c>
      <c r="H16" s="4">
        <f>G16/$G$19</f>
        <v>1.174329719202837E-3</v>
      </c>
    </row>
    <row r="17" spans="4:8" x14ac:dyDescent="0.35">
      <c r="D17" s="1" t="s">
        <v>19</v>
      </c>
      <c r="E17" s="2">
        <v>0</v>
      </c>
      <c r="F17" s="3">
        <v>0</v>
      </c>
      <c r="G17" s="2">
        <v>2825.88</v>
      </c>
      <c r="H17" s="4">
        <f>G17/$G$19</f>
        <v>3.2000706518634902E-4</v>
      </c>
    </row>
    <row r="18" spans="4:8" x14ac:dyDescent="0.35">
      <c r="D18" s="1" t="s">
        <v>18</v>
      </c>
      <c r="E18" s="2">
        <v>0</v>
      </c>
      <c r="F18" s="3">
        <v>0</v>
      </c>
      <c r="G18" s="2">
        <v>1722.36</v>
      </c>
      <c r="H18" s="4">
        <f>G18/$G$19</f>
        <v>1.9504273670303056E-4</v>
      </c>
    </row>
    <row r="19" spans="4:8" x14ac:dyDescent="0.35">
      <c r="D19" s="6" t="s">
        <v>20</v>
      </c>
      <c r="E19" s="7">
        <f>SUM(E3:E18)</f>
        <v>609292.98999999906</v>
      </c>
      <c r="F19" s="8">
        <f>G19/E19</f>
        <v>14.49332287574819</v>
      </c>
      <c r="G19" s="7">
        <f>SUM(G3:G18)</f>
        <v>8830680.0299999993</v>
      </c>
      <c r="H19" s="9">
        <v>1</v>
      </c>
    </row>
  </sheetData>
  <conditionalFormatting sqref="H3:H18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511811024" right="0.511811024" top="0.78740157499999996" bottom="0.78740157499999996" header="0.31496062000000002" footer="0.31496062000000002"/>
  <pageSetup paperSize="9" orientation="portrait" horizontalDpi="1200" verticalDpi="120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973E503DB2567542A9ED9D47212BC5EF" ma:contentTypeVersion="35" ma:contentTypeDescription="Crie um novo documento." ma:contentTypeScope="" ma:versionID="02032768041043ef3e11ae59a16d8a4d">
  <xsd:schema xmlns:xsd="http://www.w3.org/2001/XMLSchema" xmlns:xs="http://www.w3.org/2001/XMLSchema" xmlns:p="http://schemas.microsoft.com/office/2006/metadata/properties" xmlns:ns2="293f566d-5a20-44e4-9f43-0a2a410ca886" xmlns:ns3="40f4fd82-fe7f-4403-9014-c046a5dfa87a" xmlns:ns4="89da307a-7ee5-40b4-903c-9f15ae728df1" xmlns:ns5="f8c5de11-586d-4973-bc43-50c39ccac8f6" targetNamespace="http://schemas.microsoft.com/office/2006/metadata/properties" ma:root="true" ma:fieldsID="b5bc2eac380d6c7ec9db58091da471c9" ns2:_="" ns3:_="" ns4:_="" ns5:_="">
    <xsd:import namespace="293f566d-5a20-44e4-9f43-0a2a410ca886"/>
    <xsd:import namespace="40f4fd82-fe7f-4403-9014-c046a5dfa87a"/>
    <xsd:import namespace="89da307a-7ee5-40b4-903c-9f15ae728df1"/>
    <xsd:import namespace="f8c5de11-586d-4973-bc43-50c39ccac8f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Locatio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LengthInSeconds" minOccurs="0"/>
                <xsd:element ref="ns4:lcf76f155ced4ddcb4097134ff3c332f" minOccurs="0"/>
                <xsd:element ref="ns5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93f566d-5a20-44e4-9f43-0a2a410ca88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description="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description="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description="" ma:hidden="true" ma:internalName="MediaServiceDateTaken" ma:readOnly="true">
      <xsd:simpleType>
        <xsd:restriction base="dms:Text"/>
      </xsd:simpleType>
    </xsd:element>
    <xsd:element name="MediaServiceAutoTags" ma:index="11" nillable="true" ma:displayName="MediaServiceAutoTags" ma:description="" ma:internalName="MediaServiceAutoTags" ma:readOnly="true">
      <xsd:simpleType>
        <xsd:restriction base="dms:Text"/>
      </xsd:simpleType>
    </xsd:element>
    <xsd:element name="MediaServiceLocation" ma:index="12" nillable="true" ma:displayName="MediaServiceLocation" ma:description="" ma:internalName="MediaServiceLocation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0f4fd82-fe7f-4403-9014-c046a5dfa87a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9da307a-7ee5-40b4-903c-9f15ae728df1" elementFormDefault="qualified">
    <xsd:import namespace="http://schemas.microsoft.com/office/2006/documentManagement/types"/>
    <xsd:import namespace="http://schemas.microsoft.com/office/infopath/2007/PartnerControls"/>
    <xsd:element name="lcf76f155ced4ddcb4097134ff3c332f" ma:index="20" nillable="true" ma:taxonomy="true" ma:internalName="lcf76f155ced4ddcb4097134ff3c332f" ma:taxonomyFieldName="MediaServiceImageTags" ma:displayName="Marcações de imagem" ma:readOnly="false" ma:fieldId="{5cf76f15-5ced-4ddc-b409-7134ff3c332f}" ma:taxonomyMulti="true" ma:sspId="cb8c6112-a551-416c-b446-07c3fc3d0d4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8c5de11-586d-4973-bc43-50c39ccac8f6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86249d46-ea83-46ba-b014-2e02450ebbd1}" ma:internalName="TaxCatchAll" ma:showField="CatchAllData" ma:web="f8c5de11-586d-4973-bc43-50c39ccac8f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f8c5de11-586d-4973-bc43-50c39ccac8f6" xsi:nil="true"/>
    <lcf76f155ced4ddcb4097134ff3c332f xmlns="89da307a-7ee5-40b4-903c-9f15ae728df1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F30D6AE8-C639-469B-96CC-667E1F47D10B}"/>
</file>

<file path=customXml/itemProps2.xml><?xml version="1.0" encoding="utf-8"?>
<ds:datastoreItem xmlns:ds="http://schemas.openxmlformats.org/officeDocument/2006/customXml" ds:itemID="{1C40FC41-D2AA-4B2B-8BB7-B54932D3E667}"/>
</file>

<file path=customXml/itemProps3.xml><?xml version="1.0" encoding="utf-8"?>
<ds:datastoreItem xmlns:ds="http://schemas.openxmlformats.org/officeDocument/2006/customXml" ds:itemID="{A1870E29-F304-42E6-A447-48F5050436C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_(GCO) Digital MKT_Reinvenção -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Valter Junior</dc:creator>
  <cp:lastModifiedBy>Sthefany Silva</cp:lastModifiedBy>
  <dcterms:created xsi:type="dcterms:W3CDTF">2022-01-04T21:52:16Z</dcterms:created>
  <dcterms:modified xsi:type="dcterms:W3CDTF">2022-01-05T13:13:02Z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0x010100973E503DB2567542A9ED9D47212BC5EF</vt:lpwstr>
  </property>
</Properties>
</file>