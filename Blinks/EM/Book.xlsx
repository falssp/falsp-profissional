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1"/>
  <workbookPr codeName="ThisWorkbook"/>
  <mc:AlternateContent xmlns:mc="http://schemas.openxmlformats.org/markup-compatibility/2006">
    <mc:Choice Requires="x15">
      <x15ac:absPath xmlns:x15ac="http://schemas.microsoft.com/office/spreadsheetml/2010/11/ac" url="C:\Users\mlwat\Dropbox (Personal)\Client Folders\Microsoft\Microsoft Office Template Project\02_Template Sent for MS Review\Rapid Refresh Batch B78\"/>
    </mc:Choice>
  </mc:AlternateContent>
  <xr:revisionPtr revIDLastSave="6" documentId="11_3C4179B01545E19DD6C385890107473B0B440F85" xr6:coauthVersionLast="47" xr6:coauthVersionMax="47" xr10:uidLastSave="{D1AB75DF-F46E-43CF-93DC-C632978397DD}"/>
  <bookViews>
    <workbookView xWindow="-108" yWindow="-108" windowWidth="23256" windowHeight="127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1" l="1"/>
  <c r="H7" i="11"/>
  <c r="E9" i="11" l="1"/>
  <c r="E21" i="11" s="1"/>
  <c r="F21" i="11" l="1"/>
  <c r="E22" i="11" s="1"/>
  <c r="E23" i="11" s="1"/>
  <c r="E27" i="11"/>
  <c r="F9" i="11"/>
  <c r="E10" i="11" s="1"/>
  <c r="I5" i="11"/>
  <c r="H33" i="11"/>
  <c r="H32" i="11"/>
  <c r="H26" i="11"/>
  <c r="H20" i="11"/>
  <c r="H14" i="11"/>
  <c r="H8" i="11"/>
  <c r="H21" i="11" l="1"/>
  <c r="F22" i="11"/>
  <c r="H22" i="11" s="1"/>
  <c r="F27" i="11"/>
  <c r="E28" i="11" s="1"/>
  <c r="E30" i="11"/>
  <c r="E31" i="11"/>
  <c r="H9" i="11"/>
  <c r="F23" i="11"/>
  <c r="E25" i="11"/>
  <c r="F10" i="11"/>
  <c r="E11" i="11" s="1"/>
  <c r="E13" i="11"/>
  <c r="E15" i="11" s="1"/>
  <c r="E16" i="11" s="1"/>
  <c r="I6" i="11"/>
  <c r="F31" i="11" l="1"/>
  <c r="H31" i="11" s="1"/>
  <c r="F28" i="11"/>
  <c r="E29" i="11" s="1"/>
  <c r="H28" i="11"/>
  <c r="F30" i="11"/>
  <c r="H30" i="11" s="1"/>
  <c r="H27" i="11"/>
  <c r="F25" i="11"/>
  <c r="H25" i="11" s="1"/>
  <c r="H10" i="11"/>
  <c r="E24" i="11"/>
  <c r="H23" i="11"/>
  <c r="F16" i="11"/>
  <c r="F15" i="11"/>
  <c r="H15" i="11" s="1"/>
  <c r="F13" i="11"/>
  <c r="H13" i="11" s="1"/>
  <c r="F11" i="11"/>
  <c r="E12" i="11" s="1"/>
  <c r="J5" i="11"/>
  <c r="K5" i="11" s="1"/>
  <c r="L5" i="11" s="1"/>
  <c r="M5" i="11" s="1"/>
  <c r="N5" i="11" s="1"/>
  <c r="O5" i="11" s="1"/>
  <c r="P5" i="11" s="1"/>
  <c r="I4" i="11"/>
  <c r="F29" i="11" l="1"/>
  <c r="H29" i="11" s="1"/>
  <c r="F24" i="11"/>
  <c r="H24" i="11" s="1"/>
  <c r="H16" i="11"/>
  <c r="E17" i="11"/>
  <c r="E18" i="11" s="1"/>
  <c r="E19" i="11" s="1"/>
  <c r="H11" i="11"/>
  <c r="F12" i="11"/>
  <c r="H12" i="11" s="1"/>
  <c r="P4" i="11"/>
  <c r="Q5" i="11"/>
  <c r="R5" i="11" s="1"/>
  <c r="S5" i="11" s="1"/>
  <c r="T5" i="11" s="1"/>
  <c r="U5" i="11" s="1"/>
  <c r="V5" i="11" s="1"/>
  <c r="W5" i="11" s="1"/>
  <c r="J6" i="11"/>
  <c r="F19" i="11" l="1"/>
  <c r="H19" i="11" s="1"/>
  <c r="F18" i="11"/>
  <c r="H18" i="11" s="1"/>
  <c r="F17" i="11"/>
  <c r="H17" i="11" s="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<sst xmlns="http://schemas.openxmlformats.org/spreadsheetml/2006/main" count="72" uniqueCount="55">
  <si>
    <t>Projeto Google Ads X BRF</t>
  </si>
  <si>
    <t>Project start:</t>
  </si>
  <si>
    <t>VanArsdel, Ltd.</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</si>
  <si>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</si>
  <si>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</si>
  <si>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</si>
  <si>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</si>
  <si>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</si>
  <si>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</si>
  <si>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</si>
  <si>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</si>
  <si>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</si>
  <si>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</si>
  <si>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Initiation</t>
  </si>
  <si>
    <t>Define goals</t>
  </si>
  <si>
    <t>Gokce Aslan</t>
  </si>
  <si>
    <t>Conduct studies</t>
  </si>
  <si>
    <t>Hayden Cook</t>
  </si>
  <si>
    <t>Establish comms</t>
  </si>
  <si>
    <t>Jens Martensson</t>
  </si>
  <si>
    <t>Develop charter</t>
  </si>
  <si>
    <t>Nuria Acevedo</t>
  </si>
  <si>
    <t>Set up team</t>
  </si>
  <si>
    <t>Olivia Wilson</t>
  </si>
  <si>
    <t>Planning and design</t>
  </si>
  <si>
    <t>Create schedule</t>
  </si>
  <si>
    <t>Identify deliverables</t>
  </si>
  <si>
    <t>Develop budget</t>
  </si>
  <si>
    <t>Define scope</t>
  </si>
  <si>
    <t>Identify risks</t>
  </si>
  <si>
    <t>Execution</t>
  </si>
  <si>
    <t>Execute tasks</t>
  </si>
  <si>
    <t>Monitor progress</t>
  </si>
  <si>
    <t>Manage resources</t>
  </si>
  <si>
    <t>Provide updates</t>
  </si>
  <si>
    <t>Testing and validation</t>
  </si>
  <si>
    <t>Evaluation</t>
  </si>
  <si>
    <t>Track expenses</t>
  </si>
  <si>
    <t>Evaluate progress</t>
  </si>
  <si>
    <t>Address risks</t>
  </si>
  <si>
    <t>Gather feedback</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</si>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</sst>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0">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4"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4"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4"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4"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4" fontId="19"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4" fontId="19" fillId="10" borderId="9"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20" fillId="11" borderId="16" xfId="0" applyFont="1" applyFill="1" applyBorder="1" applyAlignment="1">
      <alignment horizontal="center" vertical="center"/>
    </xf>
    <xf numFmtId="0" fontId="27" fillId="0" borderId="0" xfId="0" applyFont="1" applyAlignment="1">
      <alignment horizontal="left"/>
    </xf>
    <xf numFmtId="165" fontId="27" fillId="0" borderId="0" xfId="9" applyFont="1" applyBorder="1" applyAlignment="1">
      <alignment horizontal="left"/>
    </xf>
    <xf numFmtId="0" fontId="26" fillId="0" borderId="0" xfId="8" applyFont="1" applyAlignment="1">
      <alignment horizontal="left"/>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166" fontId="19" fillId="2" borderId="18" xfId="0" applyNumberFormat="1" applyFont="1" applyFill="1" applyBorder="1" applyAlignment="1">
      <alignment horizontal="center" vertical="center" wrapText="1"/>
    </xf>
    <xf numFmtId="0" fontId="4" fillId="0" borderId="0" xfId="0" applyFont="1" applyAlignment="1"/>
    <xf numFmtId="0" fontId="28" fillId="0" borderId="0" xfId="0" applyFont="1" applyAlignment="1"/>
    <xf numFmtId="0" fontId="4" fillId="2" borderId="21" xfId="0" applyFont="1" applyFill="1"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Normal="100" zoomScalePageLayoutView="70" workbookViewId="0">
      <selection activeCell="Q1" sqref="Q1:Z1"/>
    </sheetView>
  </sheetViews>
  <sheetFormatPr defaultColWidth="8.75" defaultRowHeight="30" customHeight="1"/>
  <cols>
    <col min="1" max="1" width="2.75" style="13" customWidth="1"/>
    <col min="2" max="2" width="22.75"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c r="A1" s="14"/>
      <c r="B1" s="98" t="s">
        <v>0</v>
      </c>
      <c r="C1" s="18"/>
      <c r="D1" s="19"/>
      <c r="E1" s="20"/>
      <c r="F1" s="21"/>
      <c r="H1" s="1"/>
      <c r="I1" s="113" t="s">
        <v>1</v>
      </c>
      <c r="J1" s="117"/>
      <c r="K1" s="117"/>
      <c r="L1" s="117"/>
      <c r="M1" s="117"/>
      <c r="N1" s="117"/>
      <c r="O1" s="117"/>
      <c r="P1" s="24"/>
      <c r="Q1" s="112">
        <f ca="1">TODAY()- 9</f>
        <v>45187</v>
      </c>
      <c r="R1" s="118"/>
      <c r="S1" s="118"/>
      <c r="T1" s="118"/>
      <c r="U1" s="118"/>
      <c r="V1" s="118"/>
      <c r="W1" s="118"/>
      <c r="X1" s="118"/>
      <c r="Y1" s="118"/>
      <c r="Z1" s="118"/>
    </row>
    <row r="2" spans="1:64" ht="30" customHeight="1">
      <c r="B2" s="96" t="s">
        <v>2</v>
      </c>
      <c r="C2" s="97" t="s">
        <v>3</v>
      </c>
      <c r="D2" s="22"/>
      <c r="E2" s="23"/>
      <c r="F2" s="22"/>
      <c r="I2" s="113" t="s">
        <v>4</v>
      </c>
      <c r="J2" s="117"/>
      <c r="K2" s="117"/>
      <c r="L2" s="117"/>
      <c r="M2" s="117"/>
      <c r="N2" s="117"/>
      <c r="O2" s="117"/>
      <c r="P2" s="24"/>
      <c r="Q2" s="111">
        <v>1</v>
      </c>
      <c r="R2" s="118"/>
      <c r="S2" s="118"/>
      <c r="T2" s="118"/>
      <c r="U2" s="118"/>
      <c r="V2" s="118"/>
      <c r="W2" s="118"/>
      <c r="X2" s="118"/>
      <c r="Y2" s="118"/>
      <c r="Z2" s="118"/>
    </row>
    <row r="3" spans="1:64" s="26" customFormat="1" ht="30" customHeight="1">
      <c r="A3" s="13"/>
      <c r="B3" s="25" t="s">
        <v>5</v>
      </c>
      <c r="D3" s="27"/>
      <c r="E3" s="28"/>
    </row>
    <row r="4" spans="1:64" s="26" customFormat="1" ht="30" customHeight="1">
      <c r="A4" s="14"/>
      <c r="B4" s="29" t="s">
        <v>6</v>
      </c>
      <c r="E4" s="30"/>
      <c r="I4" s="116">
        <f ca="1">I5</f>
        <v>45187</v>
      </c>
      <c r="J4" s="114"/>
      <c r="K4" s="114"/>
      <c r="L4" s="114"/>
      <c r="M4" s="114"/>
      <c r="N4" s="114"/>
      <c r="O4" s="114"/>
      <c r="P4" s="114">
        <f ca="1">P5</f>
        <v>45194</v>
      </c>
      <c r="Q4" s="114"/>
      <c r="R4" s="114"/>
      <c r="S4" s="114"/>
      <c r="T4" s="114"/>
      <c r="U4" s="114"/>
      <c r="V4" s="114"/>
      <c r="W4" s="114">
        <f ca="1">W5</f>
        <v>45201</v>
      </c>
      <c r="X4" s="114"/>
      <c r="Y4" s="114"/>
      <c r="Z4" s="114"/>
      <c r="AA4" s="114"/>
      <c r="AB4" s="114"/>
      <c r="AC4" s="114"/>
      <c r="AD4" s="114">
        <f ca="1">AD5</f>
        <v>45208</v>
      </c>
      <c r="AE4" s="114"/>
      <c r="AF4" s="114"/>
      <c r="AG4" s="114"/>
      <c r="AH4" s="114"/>
      <c r="AI4" s="114"/>
      <c r="AJ4" s="114"/>
      <c r="AK4" s="114">
        <f ca="1">AK5</f>
        <v>45215</v>
      </c>
      <c r="AL4" s="114"/>
      <c r="AM4" s="114"/>
      <c r="AN4" s="114"/>
      <c r="AO4" s="114"/>
      <c r="AP4" s="114"/>
      <c r="AQ4" s="114"/>
      <c r="AR4" s="114">
        <f ca="1">AR5</f>
        <v>45222</v>
      </c>
      <c r="AS4" s="114"/>
      <c r="AT4" s="114"/>
      <c r="AU4" s="114"/>
      <c r="AV4" s="114"/>
      <c r="AW4" s="114"/>
      <c r="AX4" s="114"/>
      <c r="AY4" s="114">
        <f ca="1">AY5</f>
        <v>45229</v>
      </c>
      <c r="AZ4" s="114"/>
      <c r="BA4" s="114"/>
      <c r="BB4" s="114"/>
      <c r="BC4" s="114"/>
      <c r="BD4" s="114"/>
      <c r="BE4" s="114"/>
      <c r="BF4" s="114">
        <f ca="1">BF5</f>
        <v>45236</v>
      </c>
      <c r="BG4" s="114"/>
      <c r="BH4" s="114"/>
      <c r="BI4" s="114"/>
      <c r="BJ4" s="114"/>
      <c r="BK4" s="114"/>
      <c r="BL4" s="115"/>
    </row>
    <row r="5" spans="1:64" s="26" customFormat="1" ht="15" customHeight="1">
      <c r="A5" s="106"/>
      <c r="B5" s="107" t="s">
        <v>7</v>
      </c>
      <c r="C5" s="109" t="s">
        <v>8</v>
      </c>
      <c r="D5" s="110" t="s">
        <v>9</v>
      </c>
      <c r="E5" s="110" t="s">
        <v>10</v>
      </c>
      <c r="F5" s="110" t="s">
        <v>11</v>
      </c>
      <c r="I5" s="31">
        <f ca="1">Project_Start-WEEKDAY(Project_Start,1)+2+7*(Display_Week-1)</f>
        <v>45187</v>
      </c>
      <c r="J5" s="31">
        <f ca="1">I5+1</f>
        <v>45188</v>
      </c>
      <c r="K5" s="31">
        <f t="shared" ref="K5:AX5" ca="1" si="0">J5+1</f>
        <v>45189</v>
      </c>
      <c r="L5" s="31">
        <f t="shared" ca="1" si="0"/>
        <v>45190</v>
      </c>
      <c r="M5" s="31">
        <f t="shared" ca="1" si="0"/>
        <v>45191</v>
      </c>
      <c r="N5" s="31">
        <f t="shared" ca="1" si="0"/>
        <v>45192</v>
      </c>
      <c r="O5" s="32">
        <f t="shared" ca="1" si="0"/>
        <v>45193</v>
      </c>
      <c r="P5" s="33">
        <f ca="1">O5+1</f>
        <v>45194</v>
      </c>
      <c r="Q5" s="31">
        <f ca="1">P5+1</f>
        <v>45195</v>
      </c>
      <c r="R5" s="31">
        <f t="shared" ca="1" si="0"/>
        <v>45196</v>
      </c>
      <c r="S5" s="31">
        <f t="shared" ca="1" si="0"/>
        <v>45197</v>
      </c>
      <c r="T5" s="31">
        <f t="shared" ca="1" si="0"/>
        <v>45198</v>
      </c>
      <c r="U5" s="31">
        <f t="shared" ca="1" si="0"/>
        <v>45199</v>
      </c>
      <c r="V5" s="32">
        <f t="shared" ca="1" si="0"/>
        <v>45200</v>
      </c>
      <c r="W5" s="33">
        <f ca="1">V5+1</f>
        <v>45201</v>
      </c>
      <c r="X5" s="31">
        <f ca="1">W5+1</f>
        <v>45202</v>
      </c>
      <c r="Y5" s="31">
        <f t="shared" ca="1" si="0"/>
        <v>45203</v>
      </c>
      <c r="Z5" s="31">
        <f t="shared" ca="1" si="0"/>
        <v>45204</v>
      </c>
      <c r="AA5" s="31">
        <f t="shared" ca="1" si="0"/>
        <v>45205</v>
      </c>
      <c r="AB5" s="31">
        <f t="shared" ca="1" si="0"/>
        <v>45206</v>
      </c>
      <c r="AC5" s="32">
        <f t="shared" ca="1" si="0"/>
        <v>45207</v>
      </c>
      <c r="AD5" s="33">
        <f ca="1">AC5+1</f>
        <v>45208</v>
      </c>
      <c r="AE5" s="31">
        <f ca="1">AD5+1</f>
        <v>45209</v>
      </c>
      <c r="AF5" s="31">
        <f t="shared" ca="1" si="0"/>
        <v>45210</v>
      </c>
      <c r="AG5" s="31">
        <f t="shared" ca="1" si="0"/>
        <v>45211</v>
      </c>
      <c r="AH5" s="31">
        <f t="shared" ca="1" si="0"/>
        <v>45212</v>
      </c>
      <c r="AI5" s="31">
        <f t="shared" ca="1" si="0"/>
        <v>45213</v>
      </c>
      <c r="AJ5" s="32">
        <f t="shared" ca="1" si="0"/>
        <v>45214</v>
      </c>
      <c r="AK5" s="33">
        <f ca="1">AJ5+1</f>
        <v>45215</v>
      </c>
      <c r="AL5" s="31">
        <f ca="1">AK5+1</f>
        <v>45216</v>
      </c>
      <c r="AM5" s="31">
        <f t="shared" ca="1" si="0"/>
        <v>45217</v>
      </c>
      <c r="AN5" s="31">
        <f t="shared" ca="1" si="0"/>
        <v>45218</v>
      </c>
      <c r="AO5" s="31">
        <f t="shared" ca="1" si="0"/>
        <v>45219</v>
      </c>
      <c r="AP5" s="31">
        <f t="shared" ca="1" si="0"/>
        <v>45220</v>
      </c>
      <c r="AQ5" s="32">
        <f t="shared" ca="1" si="0"/>
        <v>45221</v>
      </c>
      <c r="AR5" s="33">
        <f ca="1">AQ5+1</f>
        <v>45222</v>
      </c>
      <c r="AS5" s="31">
        <f ca="1">AR5+1</f>
        <v>45223</v>
      </c>
      <c r="AT5" s="31">
        <f t="shared" ca="1" si="0"/>
        <v>45224</v>
      </c>
      <c r="AU5" s="31">
        <f t="shared" ca="1" si="0"/>
        <v>45225</v>
      </c>
      <c r="AV5" s="31">
        <f t="shared" ca="1" si="0"/>
        <v>45226</v>
      </c>
      <c r="AW5" s="31">
        <f t="shared" ca="1" si="0"/>
        <v>45227</v>
      </c>
      <c r="AX5" s="32">
        <f t="shared" ca="1" si="0"/>
        <v>45228</v>
      </c>
      <c r="AY5" s="33">
        <f ca="1">AX5+1</f>
        <v>45229</v>
      </c>
      <c r="AZ5" s="31">
        <f ca="1">AY5+1</f>
        <v>45230</v>
      </c>
      <c r="BA5" s="31">
        <f t="shared" ref="BA5:BE5" ca="1" si="1">AZ5+1</f>
        <v>45231</v>
      </c>
      <c r="BB5" s="31">
        <f t="shared" ca="1" si="1"/>
        <v>45232</v>
      </c>
      <c r="BC5" s="31">
        <f t="shared" ca="1" si="1"/>
        <v>45233</v>
      </c>
      <c r="BD5" s="31">
        <f t="shared" ca="1" si="1"/>
        <v>45234</v>
      </c>
      <c r="BE5" s="32">
        <f t="shared" ca="1" si="1"/>
        <v>45235</v>
      </c>
      <c r="BF5" s="33">
        <f ca="1">BE5+1</f>
        <v>45236</v>
      </c>
      <c r="BG5" s="31">
        <f ca="1">BF5+1</f>
        <v>45237</v>
      </c>
      <c r="BH5" s="31">
        <f t="shared" ref="BH5:BL5" ca="1" si="2">BG5+1</f>
        <v>45238</v>
      </c>
      <c r="BI5" s="31">
        <f t="shared" ca="1" si="2"/>
        <v>45239</v>
      </c>
      <c r="BJ5" s="31">
        <f t="shared" ca="1" si="2"/>
        <v>45240</v>
      </c>
      <c r="BK5" s="31">
        <f t="shared" ca="1" si="2"/>
        <v>45241</v>
      </c>
      <c r="BL5" s="31">
        <f t="shared" ca="1" si="2"/>
        <v>45242</v>
      </c>
    </row>
    <row r="6" spans="1:64" s="26" customFormat="1" ht="15" customHeight="1" thickBot="1">
      <c r="A6" s="106"/>
      <c r="B6" s="108"/>
      <c r="C6" s="119"/>
      <c r="D6" s="119"/>
      <c r="E6" s="119"/>
      <c r="F6" s="119"/>
      <c r="I6" s="34" t="str">
        <f t="shared" ref="I6:AN6" ca="1" si="3">LEFT(TEXT(I5,"ddd"),1)</f>
        <v>M</v>
      </c>
      <c r="J6" s="35" t="str">
        <f t="shared" ca="1" si="3"/>
        <v>T</v>
      </c>
      <c r="K6" s="35" t="str">
        <f t="shared" ca="1" si="3"/>
        <v>W</v>
      </c>
      <c r="L6" s="35" t="str">
        <f t="shared" ca="1" si="3"/>
        <v>T</v>
      </c>
      <c r="M6" s="35" t="str">
        <f t="shared" ca="1" si="3"/>
        <v>F</v>
      </c>
      <c r="N6" s="35" t="str">
        <f t="shared" ca="1" si="3"/>
        <v>S</v>
      </c>
      <c r="O6" s="35" t="str">
        <f t="shared" ca="1" si="3"/>
        <v>S</v>
      </c>
      <c r="P6" s="35" t="str">
        <f t="shared" ca="1" si="3"/>
        <v>M</v>
      </c>
      <c r="Q6" s="35" t="str">
        <f t="shared" ca="1" si="3"/>
        <v>T</v>
      </c>
      <c r="R6" s="35" t="str">
        <f t="shared" ca="1" si="3"/>
        <v>W</v>
      </c>
      <c r="S6" s="35" t="str">
        <f t="shared" ca="1" si="3"/>
        <v>T</v>
      </c>
      <c r="T6" s="35" t="str">
        <f t="shared" ca="1" si="3"/>
        <v>F</v>
      </c>
      <c r="U6" s="35" t="str">
        <f t="shared" ca="1" si="3"/>
        <v>S</v>
      </c>
      <c r="V6" s="35" t="str">
        <f t="shared" ca="1" si="3"/>
        <v>S</v>
      </c>
      <c r="W6" s="35" t="str">
        <f t="shared" ca="1" si="3"/>
        <v>M</v>
      </c>
      <c r="X6" s="35" t="str">
        <f t="shared" ca="1" si="3"/>
        <v>T</v>
      </c>
      <c r="Y6" s="35" t="str">
        <f t="shared" ca="1" si="3"/>
        <v>W</v>
      </c>
      <c r="Z6" s="35" t="str">
        <f t="shared" ca="1" si="3"/>
        <v>T</v>
      </c>
      <c r="AA6" s="35" t="str">
        <f t="shared" ca="1" si="3"/>
        <v>F</v>
      </c>
      <c r="AB6" s="35" t="str">
        <f t="shared" ca="1" si="3"/>
        <v>S</v>
      </c>
      <c r="AC6" s="35" t="str">
        <f t="shared" ca="1" si="3"/>
        <v>S</v>
      </c>
      <c r="AD6" s="35" t="str">
        <f t="shared" ca="1" si="3"/>
        <v>M</v>
      </c>
      <c r="AE6" s="35" t="str">
        <f t="shared" ca="1" si="3"/>
        <v>T</v>
      </c>
      <c r="AF6" s="35" t="str">
        <f t="shared" ca="1" si="3"/>
        <v>W</v>
      </c>
      <c r="AG6" s="35" t="str">
        <f t="shared" ca="1" si="3"/>
        <v>T</v>
      </c>
      <c r="AH6" s="35" t="str">
        <f t="shared" ca="1" si="3"/>
        <v>F</v>
      </c>
      <c r="AI6" s="35" t="str">
        <f t="shared" ca="1" si="3"/>
        <v>S</v>
      </c>
      <c r="AJ6" s="35" t="str">
        <f t="shared" ca="1" si="3"/>
        <v>S</v>
      </c>
      <c r="AK6" s="35" t="str">
        <f t="shared" ca="1" si="3"/>
        <v>M</v>
      </c>
      <c r="AL6" s="35" t="str">
        <f t="shared" ca="1" si="3"/>
        <v>T</v>
      </c>
      <c r="AM6" s="35" t="str">
        <f t="shared" ca="1" si="3"/>
        <v>W</v>
      </c>
      <c r="AN6" s="35" t="str">
        <f t="shared" ca="1" si="3"/>
        <v>T</v>
      </c>
      <c r="AO6" s="35" t="str">
        <f t="shared" ref="AO6:BL6" ca="1" si="4">LEFT(TEXT(AO5,"ddd"),1)</f>
        <v>F</v>
      </c>
      <c r="AP6" s="35" t="str">
        <f t="shared" ca="1" si="4"/>
        <v>S</v>
      </c>
      <c r="AQ6" s="35" t="str">
        <f t="shared" ca="1" si="4"/>
        <v>S</v>
      </c>
      <c r="AR6" s="35" t="str">
        <f t="shared" ca="1" si="4"/>
        <v>M</v>
      </c>
      <c r="AS6" s="35" t="str">
        <f t="shared" ca="1" si="4"/>
        <v>T</v>
      </c>
      <c r="AT6" s="35" t="str">
        <f t="shared" ca="1" si="4"/>
        <v>W</v>
      </c>
      <c r="AU6" s="35" t="str">
        <f t="shared" ca="1" si="4"/>
        <v>T</v>
      </c>
      <c r="AV6" s="35" t="str">
        <f t="shared" ca="1" si="4"/>
        <v>F</v>
      </c>
      <c r="AW6" s="35" t="str">
        <f t="shared" ca="1" si="4"/>
        <v>S</v>
      </c>
      <c r="AX6" s="35" t="str">
        <f t="shared" ca="1" si="4"/>
        <v>S</v>
      </c>
      <c r="AY6" s="35" t="str">
        <f t="shared" ca="1" si="4"/>
        <v>M</v>
      </c>
      <c r="AZ6" s="35" t="str">
        <f t="shared" ca="1" si="4"/>
        <v>T</v>
      </c>
      <c r="BA6" s="35" t="str">
        <f t="shared" ca="1" si="4"/>
        <v>W</v>
      </c>
      <c r="BB6" s="35" t="str">
        <f t="shared" ca="1" si="4"/>
        <v>T</v>
      </c>
      <c r="BC6" s="35" t="str">
        <f t="shared" ca="1" si="4"/>
        <v>F</v>
      </c>
      <c r="BD6" s="35" t="str">
        <f t="shared" ca="1" si="4"/>
        <v>S</v>
      </c>
      <c r="BE6" s="35" t="str">
        <f t="shared" ca="1" si="4"/>
        <v>S</v>
      </c>
      <c r="BF6" s="35" t="str">
        <f t="shared" ca="1" si="4"/>
        <v>M</v>
      </c>
      <c r="BG6" s="35" t="str">
        <f t="shared" ca="1" si="4"/>
        <v>T</v>
      </c>
      <c r="BH6" s="35" t="str">
        <f t="shared" ca="1" si="4"/>
        <v>W</v>
      </c>
      <c r="BI6" s="35" t="str">
        <f t="shared" ca="1" si="4"/>
        <v>T</v>
      </c>
      <c r="BJ6" s="35" t="str">
        <f t="shared" ca="1" si="4"/>
        <v>F</v>
      </c>
      <c r="BK6" s="35" t="str">
        <f t="shared" ca="1" si="4"/>
        <v>S</v>
      </c>
      <c r="BL6" s="36" t="str">
        <f t="shared" ca="1" si="4"/>
        <v>S</v>
      </c>
    </row>
    <row r="7" spans="1:64" s="26" customFormat="1" ht="30" hidden="1" customHeight="1" thickBot="1">
      <c r="A7" s="13" t="s">
        <v>12</v>
      </c>
      <c r="B7" s="37"/>
      <c r="C7" s="38"/>
      <c r="D7" s="37"/>
      <c r="E7" s="37"/>
      <c r="F7" s="37"/>
      <c r="H7" s="26" t="str">
        <f ca="1">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c r="A8" s="14"/>
      <c r="B8" s="40" t="s">
        <v>13</v>
      </c>
      <c r="C8" s="41"/>
      <c r="D8" s="42"/>
      <c r="E8" s="43"/>
      <c r="F8" s="44"/>
      <c r="G8" s="17"/>
      <c r="H8" s="5" t="str">
        <f t="shared" ref="H8:H33" ca="1"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c r="A9" s="14"/>
      <c r="B9" s="47" t="s">
        <v>14</v>
      </c>
      <c r="C9" s="48" t="s">
        <v>15</v>
      </c>
      <c r="D9" s="49">
        <v>0.5</v>
      </c>
      <c r="E9" s="50">
        <f ca="1">Project_Start</f>
        <v>45187</v>
      </c>
      <c r="F9" s="50">
        <f ca="1">E9+3</f>
        <v>45190</v>
      </c>
      <c r="G9" s="17"/>
      <c r="H9" s="5">
        <f t="shared" ca="1" si="5"/>
        <v>4</v>
      </c>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1"/>
      <c r="BJ9" s="51"/>
      <c r="BK9" s="51"/>
      <c r="BL9" s="51"/>
    </row>
    <row r="10" spans="1:64" s="46" customFormat="1" ht="30" customHeight="1" thickBot="1">
      <c r="A10" s="14"/>
      <c r="B10" s="52" t="s">
        <v>16</v>
      </c>
      <c r="C10" s="53" t="s">
        <v>17</v>
      </c>
      <c r="D10" s="54">
        <v>0.6</v>
      </c>
      <c r="E10" s="55">
        <f ca="1">F9</f>
        <v>45190</v>
      </c>
      <c r="F10" s="55">
        <f ca="1">E10+2</f>
        <v>45192</v>
      </c>
      <c r="G10" s="17"/>
      <c r="H10" s="5">
        <f t="shared" ca="1" si="5"/>
        <v>3</v>
      </c>
      <c r="I10" s="51"/>
      <c r="J10" s="51"/>
      <c r="K10" s="51"/>
      <c r="L10" s="51"/>
      <c r="M10" s="51"/>
      <c r="N10" s="51"/>
      <c r="O10" s="51"/>
      <c r="P10" s="51"/>
      <c r="Q10" s="51"/>
      <c r="R10" s="51"/>
      <c r="S10" s="51"/>
      <c r="T10" s="51"/>
      <c r="U10" s="56"/>
      <c r="V10" s="56"/>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c r="AV10" s="51"/>
      <c r="AW10" s="51"/>
      <c r="AX10" s="51"/>
      <c r="AY10" s="51"/>
      <c r="AZ10" s="51"/>
      <c r="BA10" s="51"/>
      <c r="BB10" s="51"/>
      <c r="BC10" s="51"/>
      <c r="BD10" s="51"/>
      <c r="BE10" s="51"/>
      <c r="BF10" s="51"/>
      <c r="BG10" s="51"/>
      <c r="BH10" s="51"/>
      <c r="BI10" s="51"/>
      <c r="BJ10" s="51"/>
      <c r="BK10" s="51"/>
      <c r="BL10" s="51"/>
    </row>
    <row r="11" spans="1:64" s="46" customFormat="1" ht="30" customHeight="1" thickBot="1">
      <c r="A11" s="13"/>
      <c r="B11" s="52" t="s">
        <v>18</v>
      </c>
      <c r="C11" s="53" t="s">
        <v>19</v>
      </c>
      <c r="D11" s="54">
        <v>0.5</v>
      </c>
      <c r="E11" s="55">
        <f ca="1">F10</f>
        <v>45192</v>
      </c>
      <c r="F11" s="55">
        <f ca="1">E11+4</f>
        <v>45196</v>
      </c>
      <c r="G11" s="17"/>
      <c r="H11" s="5">
        <f t="shared" ca="1" si="5"/>
        <v>5</v>
      </c>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spans="1:64" s="46" customFormat="1" ht="30" customHeight="1" thickBot="1">
      <c r="A12" s="13"/>
      <c r="B12" s="52" t="s">
        <v>20</v>
      </c>
      <c r="C12" s="53" t="s">
        <v>21</v>
      </c>
      <c r="D12" s="54">
        <v>0.25</v>
      </c>
      <c r="E12" s="55">
        <f ca="1">F11</f>
        <v>45196</v>
      </c>
      <c r="F12" s="55">
        <f ca="1">E12+5</f>
        <v>45201</v>
      </c>
      <c r="G12" s="17"/>
      <c r="H12" s="5">
        <f t="shared" ca="1" si="5"/>
        <v>6</v>
      </c>
      <c r="I12" s="51"/>
      <c r="J12" s="51"/>
      <c r="K12" s="51"/>
      <c r="L12" s="51"/>
      <c r="M12" s="51"/>
      <c r="N12" s="51"/>
      <c r="O12" s="51"/>
      <c r="P12" s="51"/>
      <c r="Q12" s="51"/>
      <c r="R12" s="51"/>
      <c r="S12" s="51"/>
      <c r="T12" s="51"/>
      <c r="U12" s="51"/>
      <c r="V12" s="51"/>
      <c r="W12" s="51"/>
      <c r="X12" s="51"/>
      <c r="Y12" s="56"/>
      <c r="Z12" s="51"/>
      <c r="AA12" s="51"/>
      <c r="AB12" s="51"/>
      <c r="AC12" s="51"/>
      <c r="AD12" s="51"/>
      <c r="AE12" s="51"/>
      <c r="AF12" s="51"/>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1"/>
      <c r="BJ12" s="51"/>
      <c r="BK12" s="51"/>
      <c r="BL12" s="51"/>
    </row>
    <row r="13" spans="1:64" s="46" customFormat="1" ht="30" customHeight="1" thickBot="1">
      <c r="A13" s="13"/>
      <c r="B13" s="52" t="s">
        <v>22</v>
      </c>
      <c r="C13" s="53" t="s">
        <v>23</v>
      </c>
      <c r="D13" s="54"/>
      <c r="E13" s="55">
        <f ca="1">E10+1</f>
        <v>45191</v>
      </c>
      <c r="F13" s="55">
        <f ca="1">E13+2</f>
        <v>45193</v>
      </c>
      <c r="G13" s="17"/>
      <c r="H13" s="5">
        <f t="shared" ca="1" si="5"/>
        <v>3</v>
      </c>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1"/>
      <c r="AT13" s="51"/>
      <c r="AU13" s="51"/>
      <c r="AV13" s="51"/>
      <c r="AW13" s="51"/>
      <c r="AX13" s="51"/>
      <c r="AY13" s="51"/>
      <c r="AZ13" s="51"/>
      <c r="BA13" s="51"/>
      <c r="BB13" s="51"/>
      <c r="BC13" s="51"/>
      <c r="BD13" s="51"/>
      <c r="BE13" s="51"/>
      <c r="BF13" s="51"/>
      <c r="BG13" s="51"/>
      <c r="BH13" s="51"/>
      <c r="BI13" s="51"/>
      <c r="BJ13" s="51"/>
      <c r="BK13" s="51"/>
      <c r="BL13" s="51"/>
    </row>
    <row r="14" spans="1:64" s="46" customFormat="1" ht="30" customHeight="1" thickBot="1">
      <c r="A14" s="14"/>
      <c r="B14" s="57" t="s">
        <v>24</v>
      </c>
      <c r="C14" s="58"/>
      <c r="D14" s="59"/>
      <c r="E14" s="60"/>
      <c r="F14" s="61"/>
      <c r="G14" s="17"/>
      <c r="H14" s="5" t="str">
        <f t="shared" ca="1" si="5"/>
        <v/>
      </c>
    </row>
    <row r="15" spans="1:64" s="46" customFormat="1" ht="30" customHeight="1" thickBot="1">
      <c r="A15" s="14"/>
      <c r="B15" s="62" t="s">
        <v>25</v>
      </c>
      <c r="C15" s="63" t="s">
        <v>15</v>
      </c>
      <c r="D15" s="64">
        <v>0.5</v>
      </c>
      <c r="E15" s="65">
        <f ca="1">E13+1</f>
        <v>45192</v>
      </c>
      <c r="F15" s="65">
        <f ca="1">E15+4</f>
        <v>45196</v>
      </c>
      <c r="G15" s="17"/>
      <c r="H15" s="5">
        <f t="shared" ca="1" si="5"/>
        <v>5</v>
      </c>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row>
    <row r="16" spans="1:64" s="46" customFormat="1" ht="30" customHeight="1" thickBot="1">
      <c r="A16" s="13"/>
      <c r="B16" s="62" t="s">
        <v>26</v>
      </c>
      <c r="C16" s="63" t="s">
        <v>17</v>
      </c>
      <c r="D16" s="64">
        <v>0.5</v>
      </c>
      <c r="E16" s="65">
        <f ca="1">E15+2</f>
        <v>45194</v>
      </c>
      <c r="F16" s="65">
        <f ca="1">E16+5</f>
        <v>45199</v>
      </c>
      <c r="G16" s="17"/>
      <c r="H16" s="5">
        <f t="shared" ca="1" si="5"/>
        <v>6</v>
      </c>
      <c r="I16" s="51"/>
      <c r="J16" s="51"/>
      <c r="K16" s="51"/>
      <c r="L16" s="51"/>
      <c r="M16" s="51"/>
      <c r="N16" s="51"/>
      <c r="O16" s="51"/>
      <c r="P16" s="51"/>
      <c r="Q16" s="51"/>
      <c r="R16" s="51"/>
      <c r="S16" s="51"/>
      <c r="T16" s="51"/>
      <c r="U16" s="56"/>
      <c r="V16" s="56"/>
      <c r="W16" s="51"/>
      <c r="X16" s="51"/>
      <c r="Y16" s="51"/>
      <c r="Z16" s="51"/>
      <c r="AA16" s="51"/>
      <c r="AB16" s="51"/>
      <c r="AC16" s="51"/>
      <c r="AD16" s="51"/>
      <c r="AE16" s="51"/>
      <c r="AF16" s="51"/>
      <c r="AG16" s="51"/>
      <c r="AH16" s="51"/>
      <c r="AI16" s="51"/>
      <c r="AJ16" s="51"/>
      <c r="AK16" s="51"/>
      <c r="AL16" s="51"/>
      <c r="AM16" s="51"/>
      <c r="AN16" s="51"/>
      <c r="AO16" s="51"/>
      <c r="AP16" s="51"/>
      <c r="AQ16" s="51"/>
      <c r="AR16" s="51"/>
      <c r="AS16" s="51"/>
      <c r="AT16" s="51"/>
      <c r="AU16" s="51"/>
      <c r="AV16" s="51"/>
      <c r="AW16" s="51"/>
      <c r="AX16" s="51"/>
      <c r="AY16" s="51"/>
      <c r="AZ16" s="51"/>
      <c r="BA16" s="51"/>
      <c r="BB16" s="51"/>
      <c r="BC16" s="51"/>
      <c r="BD16" s="51"/>
      <c r="BE16" s="51"/>
      <c r="BF16" s="51"/>
      <c r="BG16" s="51"/>
      <c r="BH16" s="51"/>
      <c r="BI16" s="51"/>
      <c r="BJ16" s="51"/>
      <c r="BK16" s="51"/>
      <c r="BL16" s="51"/>
    </row>
    <row r="17" spans="1:64" s="46" customFormat="1" ht="30" customHeight="1" thickBot="1">
      <c r="A17" s="13"/>
      <c r="B17" s="62" t="s">
        <v>27</v>
      </c>
      <c r="C17" s="63" t="s">
        <v>19</v>
      </c>
      <c r="D17" s="64"/>
      <c r="E17" s="65">
        <f ca="1">F16</f>
        <v>45199</v>
      </c>
      <c r="F17" s="65">
        <f ca="1">E17+3</f>
        <v>45202</v>
      </c>
      <c r="G17" s="17"/>
      <c r="H17" s="5">
        <f t="shared" ca="1" si="5"/>
        <v>4</v>
      </c>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row>
    <row r="18" spans="1:64" s="46" customFormat="1" ht="30" customHeight="1" thickBot="1">
      <c r="A18" s="13"/>
      <c r="B18" s="62" t="s">
        <v>28</v>
      </c>
      <c r="C18" s="63" t="s">
        <v>21</v>
      </c>
      <c r="D18" s="64"/>
      <c r="E18" s="65">
        <f ca="1">E17</f>
        <v>45199</v>
      </c>
      <c r="F18" s="65">
        <f ca="1">E18+2</f>
        <v>45201</v>
      </c>
      <c r="G18" s="17"/>
      <c r="H18" s="5">
        <f t="shared" ca="1" si="5"/>
        <v>3</v>
      </c>
      <c r="I18" s="51"/>
      <c r="J18" s="51"/>
      <c r="K18" s="51"/>
      <c r="L18" s="51"/>
      <c r="M18" s="51"/>
      <c r="N18" s="51"/>
      <c r="O18" s="51"/>
      <c r="P18" s="51"/>
      <c r="Q18" s="51"/>
      <c r="R18" s="51"/>
      <c r="S18" s="51"/>
      <c r="T18" s="51"/>
      <c r="U18" s="51"/>
      <c r="V18" s="51"/>
      <c r="W18" s="51"/>
      <c r="X18" s="51"/>
      <c r="Y18" s="56"/>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row>
    <row r="19" spans="1:64" s="46" customFormat="1" ht="30" customHeight="1" thickBot="1">
      <c r="A19" s="13"/>
      <c r="B19" s="62" t="s">
        <v>29</v>
      </c>
      <c r="C19" s="63" t="s">
        <v>23</v>
      </c>
      <c r="D19" s="64"/>
      <c r="E19" s="65">
        <f ca="1">E18</f>
        <v>45199</v>
      </c>
      <c r="F19" s="65">
        <f ca="1">E19+3</f>
        <v>45202</v>
      </c>
      <c r="G19" s="17"/>
      <c r="H19" s="5">
        <f t="shared" ca="1" si="5"/>
        <v>4</v>
      </c>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row>
    <row r="20" spans="1:64" s="46" customFormat="1" ht="30" customHeight="1" thickBot="1">
      <c r="A20" s="13"/>
      <c r="B20" s="66" t="s">
        <v>30</v>
      </c>
      <c r="C20" s="67"/>
      <c r="D20" s="68"/>
      <c r="E20" s="69"/>
      <c r="F20" s="70"/>
      <c r="G20" s="17"/>
      <c r="H20" s="5" t="str">
        <f t="shared" ca="1" si="5"/>
        <v/>
      </c>
      <c r="I20" s="71"/>
      <c r="J20" s="71"/>
      <c r="K20" s="71"/>
      <c r="L20" s="71"/>
      <c r="M20" s="71"/>
      <c r="N20" s="71"/>
      <c r="O20" s="71"/>
      <c r="P20" s="71"/>
      <c r="Q20" s="71"/>
      <c r="R20" s="71"/>
      <c r="S20" s="71"/>
      <c r="T20" s="71"/>
      <c r="U20" s="71"/>
      <c r="V20" s="71"/>
      <c r="W20" s="71"/>
      <c r="X20" s="71"/>
      <c r="Y20" s="71"/>
      <c r="Z20" s="71"/>
      <c r="AA20" s="71"/>
      <c r="AB20" s="71"/>
      <c r="AC20" s="71"/>
      <c r="AD20" s="71"/>
      <c r="AE20" s="71"/>
      <c r="AF20" s="71"/>
      <c r="AG20" s="71"/>
      <c r="AH20" s="71"/>
      <c r="AI20" s="71"/>
      <c r="AJ20" s="71"/>
      <c r="AK20" s="71"/>
      <c r="AL20" s="71"/>
      <c r="AM20" s="71"/>
      <c r="AN20" s="71"/>
      <c r="AO20" s="71"/>
      <c r="AP20" s="71"/>
      <c r="AQ20" s="71"/>
      <c r="AR20" s="71"/>
      <c r="AS20" s="71"/>
      <c r="AT20" s="71"/>
      <c r="AU20" s="71"/>
      <c r="AV20" s="71"/>
      <c r="AW20" s="71"/>
      <c r="AX20" s="71"/>
      <c r="AY20" s="71"/>
      <c r="AZ20" s="71"/>
      <c r="BA20" s="71"/>
      <c r="BB20" s="71"/>
      <c r="BC20" s="71"/>
      <c r="BD20" s="71"/>
      <c r="BE20" s="71"/>
      <c r="BF20" s="71"/>
      <c r="BG20" s="71"/>
      <c r="BH20" s="71"/>
      <c r="BI20" s="71"/>
      <c r="BJ20" s="71"/>
      <c r="BK20" s="71"/>
      <c r="BL20" s="71"/>
    </row>
    <row r="21" spans="1:64" s="46" customFormat="1" ht="30" customHeight="1" thickBot="1">
      <c r="A21" s="13"/>
      <c r="B21" s="72" t="s">
        <v>31</v>
      </c>
      <c r="C21" s="73" t="s">
        <v>15</v>
      </c>
      <c r="D21" s="74">
        <v>0.5</v>
      </c>
      <c r="E21" s="75">
        <f ca="1">E9+15</f>
        <v>45202</v>
      </c>
      <c r="F21" s="75">
        <f ca="1">E21+5</f>
        <v>45207</v>
      </c>
      <c r="G21" s="17"/>
      <c r="H21" s="5">
        <f t="shared" ca="1" si="5"/>
        <v>6</v>
      </c>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row>
    <row r="22" spans="1:64" s="46" customFormat="1" ht="30" customHeight="1" thickBot="1">
      <c r="A22" s="13"/>
      <c r="B22" s="72" t="s">
        <v>32</v>
      </c>
      <c r="C22" s="73" t="s">
        <v>17</v>
      </c>
      <c r="D22" s="74">
        <v>0.6</v>
      </c>
      <c r="E22" s="75">
        <f ca="1">F21+1</f>
        <v>45208</v>
      </c>
      <c r="F22" s="75">
        <f ca="1">E22+4</f>
        <v>45212</v>
      </c>
      <c r="G22" s="17"/>
      <c r="H22" s="5">
        <f t="shared" ca="1" si="5"/>
        <v>5</v>
      </c>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row>
    <row r="23" spans="1:64" s="46" customFormat="1" ht="30" customHeight="1" thickBot="1">
      <c r="A23" s="13"/>
      <c r="B23" s="72" t="s">
        <v>33</v>
      </c>
      <c r="C23" s="73" t="s">
        <v>19</v>
      </c>
      <c r="D23" s="74">
        <v>0.5</v>
      </c>
      <c r="E23" s="75">
        <f ca="1">E22+5</f>
        <v>45213</v>
      </c>
      <c r="F23" s="75">
        <f ca="1">E23+5</f>
        <v>45218</v>
      </c>
      <c r="G23" s="17"/>
      <c r="H23" s="5">
        <f t="shared" ca="1" si="5"/>
        <v>6</v>
      </c>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1"/>
      <c r="BK23" s="51"/>
      <c r="BL23" s="51"/>
    </row>
    <row r="24" spans="1:64" s="46" customFormat="1" ht="30" customHeight="1" thickBot="1">
      <c r="A24" s="13"/>
      <c r="B24" s="72" t="s">
        <v>34</v>
      </c>
      <c r="C24" s="73" t="s">
        <v>21</v>
      </c>
      <c r="D24" s="74">
        <v>0.25</v>
      </c>
      <c r="E24" s="75">
        <f ca="1">F23+1</f>
        <v>45219</v>
      </c>
      <c r="F24" s="75">
        <f ca="1">E24+4</f>
        <v>45223</v>
      </c>
      <c r="G24" s="17"/>
      <c r="H24" s="5">
        <f t="shared" ca="1" si="5"/>
        <v>5</v>
      </c>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1"/>
      <c r="BC24" s="51"/>
      <c r="BD24" s="51"/>
      <c r="BE24" s="51"/>
      <c r="BF24" s="51"/>
      <c r="BG24" s="51"/>
      <c r="BH24" s="51"/>
      <c r="BI24" s="51"/>
      <c r="BJ24" s="51"/>
      <c r="BK24" s="51"/>
      <c r="BL24" s="51"/>
    </row>
    <row r="25" spans="1:64" s="46" customFormat="1" ht="30" customHeight="1" thickBot="1">
      <c r="A25" s="13"/>
      <c r="B25" s="72" t="s">
        <v>35</v>
      </c>
      <c r="C25" s="73" t="s">
        <v>23</v>
      </c>
      <c r="D25" s="74">
        <v>0.25</v>
      </c>
      <c r="E25" s="75">
        <f ca="1">E23</f>
        <v>45213</v>
      </c>
      <c r="F25" s="75">
        <f ca="1">E25+4</f>
        <v>45217</v>
      </c>
      <c r="G25" s="17"/>
      <c r="H25" s="5">
        <f t="shared" ca="1" si="5"/>
        <v>5</v>
      </c>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c r="AV25" s="51"/>
      <c r="AW25" s="51"/>
      <c r="AX25" s="51"/>
      <c r="AY25" s="51"/>
      <c r="AZ25" s="51"/>
      <c r="BA25" s="51"/>
      <c r="BB25" s="51"/>
      <c r="BC25" s="51"/>
      <c r="BD25" s="51"/>
      <c r="BE25" s="51"/>
      <c r="BF25" s="51"/>
      <c r="BG25" s="51"/>
      <c r="BH25" s="51"/>
      <c r="BI25" s="51"/>
      <c r="BJ25" s="51"/>
      <c r="BK25" s="51"/>
      <c r="BL25" s="51"/>
    </row>
    <row r="26" spans="1:64" s="46" customFormat="1" ht="30" customHeight="1" thickBot="1">
      <c r="A26" s="13"/>
      <c r="B26" s="76" t="s">
        <v>36</v>
      </c>
      <c r="C26" s="77"/>
      <c r="D26" s="78"/>
      <c r="E26" s="79"/>
      <c r="F26" s="80"/>
      <c r="G26" s="17"/>
      <c r="H26" s="5" t="str">
        <f t="shared" ca="1" si="5"/>
        <v/>
      </c>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c r="AI26" s="81"/>
      <c r="AJ26" s="81"/>
      <c r="AK26" s="81"/>
      <c r="AL26" s="81"/>
      <c r="AM26" s="81"/>
      <c r="AN26" s="81"/>
      <c r="AO26" s="81"/>
      <c r="AP26" s="81"/>
      <c r="AQ26" s="81"/>
      <c r="AR26" s="81"/>
      <c r="AS26" s="81"/>
      <c r="AT26" s="81"/>
      <c r="AU26" s="81"/>
      <c r="AV26" s="81"/>
      <c r="AW26" s="81"/>
      <c r="AX26" s="81"/>
      <c r="AY26" s="81"/>
      <c r="AZ26" s="81"/>
      <c r="BA26" s="81"/>
      <c r="BB26" s="81"/>
      <c r="BC26" s="81"/>
      <c r="BD26" s="81"/>
      <c r="BE26" s="81"/>
      <c r="BF26" s="81"/>
      <c r="BG26" s="81"/>
      <c r="BH26" s="81"/>
      <c r="BI26" s="81"/>
      <c r="BJ26" s="81"/>
      <c r="BK26" s="81"/>
      <c r="BL26" s="81"/>
    </row>
    <row r="27" spans="1:64" s="46" customFormat="1" ht="30" customHeight="1" thickBot="1">
      <c r="A27" s="13"/>
      <c r="B27" s="82" t="s">
        <v>32</v>
      </c>
      <c r="C27" s="83" t="s">
        <v>15</v>
      </c>
      <c r="D27" s="84">
        <v>0.25</v>
      </c>
      <c r="E27" s="85">
        <f ca="1">E21+2</f>
        <v>45204</v>
      </c>
      <c r="F27" s="85">
        <f ca="1">E27+3</f>
        <v>45207</v>
      </c>
      <c r="G27" s="17"/>
      <c r="H27" s="5">
        <f t="shared" ca="1" si="5"/>
        <v>4</v>
      </c>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1"/>
      <c r="BC27" s="51"/>
      <c r="BD27" s="51"/>
      <c r="BE27" s="51"/>
      <c r="BF27" s="51"/>
      <c r="BG27" s="51"/>
      <c r="BH27" s="51"/>
      <c r="BI27" s="51"/>
      <c r="BJ27" s="51"/>
      <c r="BK27" s="51"/>
      <c r="BL27" s="51"/>
    </row>
    <row r="28" spans="1:64" s="46" customFormat="1" ht="30" customHeight="1" thickBot="1">
      <c r="A28" s="13"/>
      <c r="B28" s="82" t="s">
        <v>37</v>
      </c>
      <c r="C28" s="83" t="s">
        <v>17</v>
      </c>
      <c r="D28" s="84">
        <v>0.25</v>
      </c>
      <c r="E28" s="85">
        <f ca="1">F27</f>
        <v>45207</v>
      </c>
      <c r="F28" s="85">
        <f ca="1">E28+4</f>
        <v>45211</v>
      </c>
      <c r="G28" s="17"/>
      <c r="H28" s="5">
        <f t="shared" ca="1" si="5"/>
        <v>5</v>
      </c>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1"/>
      <c r="AT28" s="51"/>
      <c r="AU28" s="51"/>
      <c r="AV28" s="51"/>
      <c r="AW28" s="51"/>
      <c r="AX28" s="51"/>
      <c r="AY28" s="51"/>
      <c r="AZ28" s="51"/>
      <c r="BA28" s="51"/>
      <c r="BB28" s="51"/>
      <c r="BC28" s="51"/>
      <c r="BD28" s="51"/>
      <c r="BE28" s="51"/>
      <c r="BF28" s="51"/>
      <c r="BG28" s="51"/>
      <c r="BH28" s="51"/>
      <c r="BI28" s="51"/>
      <c r="BJ28" s="51"/>
      <c r="BK28" s="51"/>
      <c r="BL28" s="51"/>
    </row>
    <row r="29" spans="1:64" s="46" customFormat="1" ht="30" customHeight="1" thickBot="1">
      <c r="A29" s="13"/>
      <c r="B29" s="82" t="s">
        <v>38</v>
      </c>
      <c r="C29" s="83" t="s">
        <v>19</v>
      </c>
      <c r="D29" s="84">
        <v>0.5</v>
      </c>
      <c r="E29" s="85">
        <f ca="1">F28+1</f>
        <v>45212</v>
      </c>
      <c r="F29" s="85">
        <f ca="1">E29+3</f>
        <v>45215</v>
      </c>
      <c r="G29" s="17"/>
      <c r="H29" s="5">
        <f t="shared" ca="1" si="5"/>
        <v>4</v>
      </c>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1"/>
      <c r="AT29" s="51"/>
      <c r="AU29" s="51"/>
      <c r="AV29" s="51"/>
      <c r="AW29" s="51"/>
      <c r="AX29" s="51"/>
      <c r="AY29" s="51"/>
      <c r="AZ29" s="51"/>
      <c r="BA29" s="51"/>
      <c r="BB29" s="51"/>
      <c r="BC29" s="51"/>
      <c r="BD29" s="51"/>
      <c r="BE29" s="51"/>
      <c r="BF29" s="51"/>
      <c r="BG29" s="51"/>
      <c r="BH29" s="51"/>
      <c r="BI29" s="51"/>
      <c r="BJ29" s="51"/>
      <c r="BK29" s="51"/>
      <c r="BL29" s="51"/>
    </row>
    <row r="30" spans="1:64" s="46" customFormat="1" ht="30" customHeight="1" thickBot="1">
      <c r="A30" s="13"/>
      <c r="B30" s="82" t="s">
        <v>39</v>
      </c>
      <c r="C30" s="83" t="s">
        <v>21</v>
      </c>
      <c r="D30" s="84">
        <v>0.6</v>
      </c>
      <c r="E30" s="85">
        <f ca="1">E27+5</f>
        <v>45209</v>
      </c>
      <c r="F30" s="85">
        <f ca="1">E30+3</f>
        <v>45212</v>
      </c>
      <c r="G30" s="17"/>
      <c r="H30" s="5">
        <f t="shared" ca="1" si="5"/>
        <v>4</v>
      </c>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1"/>
      <c r="AT30" s="51"/>
      <c r="AU30" s="51"/>
      <c r="AV30" s="51"/>
      <c r="AW30" s="51"/>
      <c r="AX30" s="51"/>
      <c r="AY30" s="51"/>
      <c r="AZ30" s="51"/>
      <c r="BA30" s="51"/>
      <c r="BB30" s="51"/>
      <c r="BC30" s="51"/>
      <c r="BD30" s="51"/>
      <c r="BE30" s="51"/>
      <c r="BF30" s="51"/>
      <c r="BG30" s="51"/>
      <c r="BH30" s="51"/>
      <c r="BI30" s="51"/>
      <c r="BJ30" s="51"/>
      <c r="BK30" s="51"/>
      <c r="BL30" s="51"/>
    </row>
    <row r="31" spans="1:64" s="46" customFormat="1" ht="30" customHeight="1" thickBot="1">
      <c r="A31" s="13"/>
      <c r="B31" s="82" t="s">
        <v>40</v>
      </c>
      <c r="C31" s="83" t="s">
        <v>23</v>
      </c>
      <c r="D31" s="84">
        <v>0.5</v>
      </c>
      <c r="E31" s="85">
        <f ca="1">E27+7</f>
        <v>45211</v>
      </c>
      <c r="F31" s="85">
        <f ca="1">E31+5</f>
        <v>45216</v>
      </c>
      <c r="G31" s="17"/>
      <c r="H31" s="5">
        <f t="shared" ca="1" si="5"/>
        <v>6</v>
      </c>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1"/>
      <c r="AT31" s="51"/>
      <c r="AU31" s="51"/>
      <c r="AV31" s="51"/>
      <c r="AW31" s="51"/>
      <c r="AX31" s="51"/>
      <c r="AY31" s="51"/>
      <c r="AZ31" s="51"/>
      <c r="BA31" s="51"/>
      <c r="BB31" s="51"/>
      <c r="BC31" s="51"/>
      <c r="BD31" s="51"/>
      <c r="BE31" s="51"/>
      <c r="BF31" s="51"/>
      <c r="BG31" s="51"/>
      <c r="BH31" s="51"/>
      <c r="BI31" s="51"/>
      <c r="BJ31" s="51"/>
      <c r="BK31" s="51"/>
      <c r="BL31" s="51"/>
    </row>
    <row r="32" spans="1:64" s="46" customFormat="1" ht="30" customHeight="1" thickBot="1">
      <c r="A32" s="13"/>
      <c r="B32" s="86"/>
      <c r="C32" s="87"/>
      <c r="D32" s="88"/>
      <c r="E32" s="89"/>
      <c r="F32" s="89"/>
      <c r="G32" s="17"/>
      <c r="H32" s="5" t="str">
        <f t="shared" ca="1" si="5"/>
        <v/>
      </c>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K32" s="45"/>
      <c r="BL32" s="45"/>
    </row>
    <row r="33" spans="1:64" s="46" customFormat="1" ht="30" customHeight="1" thickBot="1">
      <c r="A33" s="14"/>
      <c r="B33" s="90" t="s">
        <v>41</v>
      </c>
      <c r="C33" s="91"/>
      <c r="D33" s="92"/>
      <c r="E33" s="93"/>
      <c r="F33" s="94"/>
      <c r="G33" s="17"/>
      <c r="H33" s="6" t="str">
        <f t="shared" ca="1" si="5"/>
        <v/>
      </c>
      <c r="I33" s="95"/>
      <c r="J33" s="95"/>
      <c r="K33" s="95"/>
      <c r="L33" s="95"/>
      <c r="M33" s="95"/>
      <c r="N33" s="95"/>
      <c r="O33" s="95"/>
      <c r="P33" s="95"/>
      <c r="Q33" s="95"/>
      <c r="R33" s="95"/>
      <c r="S33" s="95"/>
      <c r="T33" s="95"/>
      <c r="U33" s="95"/>
      <c r="V33" s="95"/>
      <c r="W33" s="95"/>
      <c r="X33" s="95"/>
      <c r="Y33" s="95"/>
      <c r="Z33" s="95"/>
      <c r="AA33" s="95"/>
      <c r="AB33" s="95"/>
      <c r="AC33" s="95"/>
      <c r="AD33" s="95"/>
      <c r="AE33" s="95"/>
      <c r="AF33" s="95"/>
      <c r="AG33" s="95"/>
      <c r="AH33" s="95"/>
      <c r="AI33" s="95"/>
      <c r="AJ33" s="95"/>
      <c r="AK33" s="95"/>
      <c r="AL33" s="95"/>
      <c r="AM33" s="95"/>
      <c r="AN33" s="95"/>
      <c r="AO33" s="95"/>
      <c r="AP33" s="95"/>
      <c r="AQ33" s="95"/>
      <c r="AR33" s="95"/>
      <c r="AS33" s="95"/>
      <c r="AT33" s="95"/>
      <c r="AU33" s="95"/>
      <c r="AV33" s="95"/>
      <c r="AW33" s="95"/>
      <c r="AX33" s="95"/>
      <c r="AY33" s="95"/>
      <c r="AZ33" s="95"/>
      <c r="BA33" s="95"/>
      <c r="BB33" s="95"/>
      <c r="BC33" s="95"/>
      <c r="BD33" s="95"/>
      <c r="BE33" s="95"/>
      <c r="BF33" s="95"/>
      <c r="BG33" s="95"/>
      <c r="BH33" s="95"/>
      <c r="BI33" s="95"/>
      <c r="BJ33" s="95"/>
      <c r="BK33" s="95"/>
      <c r="BL33" s="95"/>
    </row>
    <row r="34" spans="1:64" ht="30" customHeight="1">
      <c r="G34" s="3"/>
    </row>
    <row r="35" spans="1:64" ht="30" customHeight="1">
      <c r="C35" s="16"/>
      <c r="F35" s="15"/>
    </row>
    <row r="36" spans="1:64" ht="30" customHeight="1">
      <c r="C36"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33">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9:BL13">
    <cfRule type="expression" dxfId="8" priority="6">
      <formula>AND(task_start&lt;=I$5,ROUNDDOWN((task_end-task_start+1)*task_progress,0)+task_start-1&gt;=I$5)</formula>
    </cfRule>
    <cfRule type="expression" dxfId="7" priority="7" stopIfTrue="1">
      <formula>AND(task_end&gt;=I$5,task_start&lt;J$5)</formula>
    </cfRule>
  </conditionalFormatting>
  <conditionalFormatting sqref="I15:BL19">
    <cfRule type="expression" dxfId="6" priority="4">
      <formula>AND(task_start&lt;=I$5,ROUNDDOWN((task_end-task_start+1)*task_progress,0)+task_start-1&gt;=I$5)</formula>
    </cfRule>
    <cfRule type="expression" dxfId="5" priority="5" stopIfTrue="1">
      <formula>AND(task_end&gt;=I$5,task_start&lt;J$5)</formula>
    </cfRule>
  </conditionalFormatting>
  <conditionalFormatting sqref="I21:BL25">
    <cfRule type="expression" dxfId="4" priority="2">
      <formula>AND(task_start&lt;=I$5,ROUNDDOWN((task_end-task_start+1)*task_progress,0)+task_start-1&gt;=I$5)</formula>
    </cfRule>
    <cfRule type="expression" dxfId="3" priority="3" stopIfTrue="1">
      <formula>AND(task_end&gt;=I$5,task_start&lt;J$5)</formula>
    </cfRule>
  </conditionalFormatting>
  <conditionalFormatting sqref="I27:BL31">
    <cfRule type="expression" dxfId="2" priority="36">
      <formula>AND(task_start&lt;=I$5,ROUNDDOWN((task_end-task_start+1)*task_progress,0)+task_start-1&gt;=I$5)</formula>
    </cfRule>
    <cfRule type="expression" dxfId="1" priority="37" stopIfTrue="1">
      <formula>AND(task_end&gt;=I$5,task_start&lt;J$5)</formula>
    </cfRule>
  </conditionalFormatting>
  <conditionalFormatting sqref="I4:BL31 I21:BL25 I15:BL19 I9:BL13 I27:BL31">
    <cfRule type="expression" dxfId="0" priority="1">
      <formula>AND(TODAY()&gt;=I$5, TODAY()&lt;J$5)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ignoredErrors>
    <ignoredError sqref="F18 F22:F23 E23 F2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15"/>
  <cols>
    <col min="1" max="1" width="87" style="7" customWidth="1"/>
    <col min="2" max="16384" width="9" style="1"/>
  </cols>
  <sheetData>
    <row r="1" spans="1:2" ht="46.5" customHeight="1"/>
    <row r="2" spans="1:2" s="9" customFormat="1" ht="15.6">
      <c r="A2" s="99" t="s">
        <v>5</v>
      </c>
      <c r="B2" s="8"/>
    </row>
    <row r="3" spans="1:2" s="11" customFormat="1" ht="27" customHeight="1">
      <c r="A3" s="100"/>
      <c r="B3" s="12"/>
    </row>
    <row r="4" spans="1:2" s="10" customFormat="1" ht="30">
      <c r="A4" s="101" t="s">
        <v>42</v>
      </c>
    </row>
    <row r="5" spans="1:2" ht="74.25" customHeight="1">
      <c r="A5" s="102" t="s">
        <v>43</v>
      </c>
    </row>
    <row r="6" spans="1:2" ht="26.25" customHeight="1">
      <c r="A6" s="101" t="s">
        <v>44</v>
      </c>
    </row>
    <row r="7" spans="1:2" s="7" customFormat="1" ht="205.15" customHeight="1">
      <c r="A7" s="103" t="s">
        <v>45</v>
      </c>
    </row>
    <row r="8" spans="1:2" s="10" customFormat="1" ht="30">
      <c r="A8" s="101" t="s">
        <v>46</v>
      </c>
    </row>
    <row r="9" spans="1:2" ht="41.45">
      <c r="A9" s="102" t="s">
        <v>47</v>
      </c>
    </row>
    <row r="10" spans="1:2" s="7" customFormat="1" ht="28.15" customHeight="1">
      <c r="A10" s="104" t="s">
        <v>48</v>
      </c>
    </row>
    <row r="11" spans="1:2" s="10" customFormat="1" ht="30">
      <c r="A11" s="101" t="s">
        <v>49</v>
      </c>
    </row>
    <row r="12" spans="1:2" ht="27.6">
      <c r="A12" s="102" t="s">
        <v>50</v>
      </c>
    </row>
    <row r="13" spans="1:2" s="7" customFormat="1" ht="28.15" customHeight="1">
      <c r="A13" s="104" t="s">
        <v>51</v>
      </c>
    </row>
    <row r="14" spans="1:2" s="10" customFormat="1" ht="30">
      <c r="A14" s="101" t="s">
        <v>52</v>
      </c>
    </row>
    <row r="15" spans="1:2" ht="75" customHeight="1">
      <c r="A15" s="102" t="s">
        <v>53</v>
      </c>
    </row>
    <row r="16" spans="1:2" ht="69">
      <c r="A16" s="102" t="s">
        <v>54</v>
      </c>
    </row>
    <row r="17" spans="1:1">
      <c r="A17" s="105"/>
    </row>
    <row r="18" spans="1:1">
      <c r="A18" s="105"/>
    </row>
    <row r="19" spans="1:1">
      <c r="A19" s="105"/>
    </row>
    <row r="20" spans="1:1">
      <c r="A20" s="105"/>
    </row>
    <row r="21" spans="1:1">
      <c r="A21" s="105"/>
    </row>
    <row r="22" spans="1:1">
      <c r="A22" s="105"/>
    </row>
    <row r="23" spans="1:1">
      <c r="A23" s="105"/>
    </row>
    <row r="24" spans="1:1">
      <c r="A24" s="105"/>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file>

<file path=customXml/itemProps2.xml><?xml version="1.0" encoding="utf-8"?>
<ds:datastoreItem xmlns:ds="http://schemas.openxmlformats.org/officeDocument/2006/customXml" ds:itemID="{C2348D59-3426-404A-A0C5-6456F6613EDB}"/>
</file>

<file path=customXml/itemProps3.xml><?xml version="1.0" encoding="utf-8"?>
<ds:datastoreItem xmlns:ds="http://schemas.openxmlformats.org/officeDocument/2006/customXml" ds:itemID="{A82239A0-E68C-493F-BEE6-C77FEA397FD6}"/>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Felipe Lima</cp:lastModifiedBy>
  <cp:revision/>
  <dcterms:created xsi:type="dcterms:W3CDTF">2023-09-27T21:05:19Z</dcterms:created>
  <dcterms:modified xsi:type="dcterms:W3CDTF">2023-09-27T21:12:30Z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