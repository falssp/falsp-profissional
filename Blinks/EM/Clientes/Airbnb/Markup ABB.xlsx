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elipe_lima_essencemediacom_com/Documents/Clientes/Airbnb/"/>
    </mc:Choice>
  </mc:AlternateContent>
  <xr:revisionPtr revIDLastSave="0" documentId="8_{1F787477-6CEE-49B0-BB7F-68DF2F75D463}" xr6:coauthVersionLast="47" xr6:coauthVersionMax="47" xr10:uidLastSave="{00000000-0000-0000-0000-000000000000}"/>
  <bookViews>
    <workbookView xWindow="-110" yWindow="-110" windowWidth="19420" windowHeight="10420" xr2:uid="{744D4237-ECA0-43B0-A3E1-9BC64F298A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B28" i="1"/>
  <c r="B27" i="1"/>
  <c r="L22" i="1"/>
  <c r="L21" i="1"/>
  <c r="K22" i="1"/>
  <c r="K21" i="1"/>
  <c r="I20" i="1"/>
  <c r="M21" i="1" a="1"/>
  <c r="M21" i="1" s="1"/>
  <c r="E20" i="1" a="1"/>
  <c r="E20" i="1" s="1"/>
  <c r="B20" i="1" a="1"/>
  <c r="B20" i="1" s="1"/>
  <c r="J21" i="1" l="1"/>
  <c r="J2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<sst xmlns="http://schemas.openxmlformats.org/spreadsheetml/2006/main" count="40" uniqueCount="36">
  <si>
    <t>Hoje</t>
  </si>
  <si>
    <t>Valor CM</t>
  </si>
  <si>
    <t>FX Rates to Local</t>
  </si>
  <si>
    <t>FX Rates</t>
  </si>
  <si>
    <t>Vídeo</t>
  </si>
  <si>
    <t>0.035</t>
  </si>
  <si>
    <t>0.300</t>
  </si>
  <si>
    <t>Display</t>
  </si>
  <si>
    <t xml:space="preserve">**High Priority** 2024 FX, IAS, CM360 fee Guidelines </t>
  </si>
  <si>
    <t>e-mail</t>
  </si>
  <si>
    <t>10% Execente</t>
  </si>
  <si>
    <t>233,8mi</t>
  </si>
  <si>
    <t>8mi</t>
  </si>
  <si>
    <t>Soma</t>
  </si>
  <si>
    <t>Cost CM360</t>
  </si>
  <si>
    <t>$76.720,27</t>
  </si>
  <si>
    <t>Cost Type</t>
  </si>
  <si>
    <t>Costs CM</t>
  </si>
  <si>
    <t>Display CPM</t>
  </si>
  <si>
    <t>0.0905</t>
  </si>
  <si>
    <t>Tracker CPM</t>
  </si>
  <si>
    <t>Tracker CPC</t>
  </si>
  <si>
    <t>0.0091</t>
  </si>
  <si>
    <t>Video CPM</t>
  </si>
  <si>
    <t>0.9554</t>
  </si>
  <si>
    <t>Audio CPM</t>
  </si>
  <si>
    <t>Rich Media</t>
  </si>
  <si>
    <t>0.3017</t>
  </si>
  <si>
    <t>MARS</t>
  </si>
  <si>
    <t>Custo Total CM EMC</t>
  </si>
  <si>
    <t>Custo Total CM AIRBNB</t>
  </si>
  <si>
    <t>Custo EMC</t>
  </si>
  <si>
    <t>Markup</t>
  </si>
  <si>
    <t>Economia CM EMC</t>
  </si>
  <si>
    <t>Economia Markup</t>
  </si>
  <si>
    <t>Ganhos Markup EMC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</si>
</sst>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9" formatCode="[$$-540A]#,##0.00"/>
    <numFmt numFmtId="172" formatCode="0.0000"/>
    <numFmt numFmtId="177" formatCode="&quot;R$&quot;\ #,##0.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72" fontId="0" fillId="0" borderId="2" xfId="0" applyNumberFormat="1" applyBorder="1" applyAlignment="1">
      <alignment horizontal="center"/>
    </xf>
    <xf numFmtId="172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44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6</xdr:col>
      <xdr:colOff>596357</xdr:colOff>
      <xdr:row>15</xdr:row>
      <xdr:rowOff>9317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2DC7B09-ABFC-FA82-2349-62AEE5738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20750"/>
          <a:ext cx="4342857" cy="16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615950</xdr:colOff>
      <xdr:row>5</xdr:row>
      <xdr:rowOff>181134</xdr:rowOff>
    </xdr:from>
    <xdr:to>
      <xdr:col>14</xdr:col>
      <xdr:colOff>644278</xdr:colOff>
      <xdr:row>17</xdr:row>
      <xdr:rowOff>181791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0BD0942-E2CE-D6FF-589E-A3E8B52A7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35550" y="1101884"/>
          <a:ext cx="5559178" cy="2210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E91B-875D-4037-ABEF-561DA9D4C16B}">
  <dimension ref="B3:U30"/>
  <sheetViews>
    <sheetView showGridLines="0" tabSelected="1" workbookViewId="0"/>
  </sheetViews>
  <sheetFormatPr defaultRowHeight="14.5" x14ac:dyDescent="0.35"/>
  <cols>
    <col min="1" max="1" width="8.7265625" style="1"/>
    <col min="2" max="2" width="13.7265625" style="1" bestFit="1" customWidth="1"/>
    <col min="3" max="3" width="12.6328125" style="1" bestFit="1" customWidth="1"/>
    <col min="4" max="4" width="9.81640625" style="1" customWidth="1"/>
    <col min="5" max="8" width="8.7265625" style="1"/>
    <col min="9" max="9" width="10.90625" style="1" bestFit="1" customWidth="1"/>
    <col min="10" max="10" width="19.7265625" style="1" bestFit="1" customWidth="1"/>
    <col min="11" max="11" width="17.36328125" style="1" bestFit="1" customWidth="1"/>
    <col min="12" max="12" width="13.7265625" style="1" customWidth="1"/>
    <col min="13" max="14" width="8.7265625" style="1"/>
    <col min="15" max="15" width="12.36328125" style="1" bestFit="1" customWidth="1"/>
    <col min="16" max="16" width="8.7265625" style="1"/>
    <col min="17" max="17" width="10.7265625" style="1" bestFit="1" customWidth="1"/>
    <col min="18" max="16384" width="8.7265625" style="1"/>
  </cols>
  <sheetData>
    <row r="3" spans="2:21" x14ac:dyDescent="0.35">
      <c r="B3" s="3" t="s">
        <v>0</v>
      </c>
      <c r="C3" s="3"/>
      <c r="D3" s="3"/>
      <c r="E3" s="3" t="s">
        <v>1</v>
      </c>
      <c r="F3" s="3"/>
      <c r="G3" s="6" t="s">
        <v>2</v>
      </c>
      <c r="H3" s="7"/>
      <c r="I3" s="3" t="s">
        <v>3</v>
      </c>
      <c r="J3" s="3"/>
      <c r="K3" s="3"/>
      <c r="L3" s="3"/>
      <c r="M3" s="3"/>
      <c r="O3" s="3"/>
    </row>
    <row r="4" spans="2:21" x14ac:dyDescent="0.35">
      <c r="B4" s="8">
        <v>1.6077999999999999</v>
      </c>
      <c r="C4" s="3"/>
      <c r="D4" s="3"/>
      <c r="E4" s="9" t="s">
        <v>6</v>
      </c>
      <c r="F4" s="3"/>
      <c r="G4" s="4">
        <v>4.8993000000000002</v>
      </c>
      <c r="H4" s="5"/>
      <c r="I4" s="3">
        <v>0.2041</v>
      </c>
      <c r="J4" s="3"/>
      <c r="K4" s="3"/>
      <c r="L4" s="3"/>
      <c r="M4" s="3" t="s">
        <v>4</v>
      </c>
      <c r="O4" s="3" t="s">
        <v>10</v>
      </c>
      <c r="Q4" s="2" t="s">
        <v>9</v>
      </c>
      <c r="R4" s="2"/>
      <c r="S4" s="2"/>
      <c r="T4" s="2"/>
      <c r="U4" s="2"/>
    </row>
    <row r="5" spans="2:21" x14ac:dyDescent="0.35">
      <c r="B5" s="8">
        <v>0.1875</v>
      </c>
      <c r="C5" s="3"/>
      <c r="D5" s="3"/>
      <c r="E5" s="9" t="s">
        <v>5</v>
      </c>
      <c r="F5" s="3"/>
      <c r="G5" s="4">
        <v>4.8993000000000002</v>
      </c>
      <c r="H5" s="5"/>
      <c r="I5" s="3">
        <v>0.2041</v>
      </c>
      <c r="J5" s="3"/>
      <c r="K5" s="3"/>
      <c r="L5" s="3"/>
      <c r="M5" s="3" t="s">
        <v>7</v>
      </c>
      <c r="O5" s="3" t="s">
        <v>10</v>
      </c>
      <c r="Q5" s="2" t="s">
        <v>8</v>
      </c>
      <c r="R5" s="2"/>
      <c r="S5" s="2"/>
      <c r="T5" s="2"/>
      <c r="U5" s="2"/>
    </row>
    <row r="20" spans="2:17" x14ac:dyDescent="0.35">
      <c r="B20" s="3" t="str" cm="1">
        <f t="array" ref="B20:B22">B3:B5</f>
        <v>Hoje</v>
      </c>
      <c r="C20" s="3" t="s">
        <v>31</v>
      </c>
      <c r="D20" s="3" t="s">
        <v>32</v>
      </c>
      <c r="E20" s="3" t="str" cm="1">
        <f t="array" ref="E20:E22">E3:E5</f>
        <v>Valor CM</v>
      </c>
      <c r="F20" s="3"/>
      <c r="G20" s="2" t="s">
        <v>13</v>
      </c>
      <c r="H20" s="2"/>
      <c r="I20" s="10">
        <f>SUM(I21:I22)</f>
        <v>241755390</v>
      </c>
      <c r="J20" s="10" t="s">
        <v>30</v>
      </c>
      <c r="K20" s="3" t="s">
        <v>29</v>
      </c>
      <c r="L20" s="3"/>
      <c r="M20" s="3"/>
      <c r="O20" s="3" t="s">
        <v>14</v>
      </c>
      <c r="Q20" s="3" t="s">
        <v>14</v>
      </c>
    </row>
    <row r="21" spans="2:17" x14ac:dyDescent="0.35">
      <c r="B21" s="3">
        <v>1.6077999999999999</v>
      </c>
      <c r="C21" s="3">
        <v>0.95540000000000003</v>
      </c>
      <c r="D21" s="3">
        <v>1.3</v>
      </c>
      <c r="E21" s="3" t="str">
        <v>0.300</v>
      </c>
      <c r="F21" s="3"/>
      <c r="G21" s="6" t="s">
        <v>11</v>
      </c>
      <c r="H21" s="7"/>
      <c r="I21" s="11">
        <v>233782586</v>
      </c>
      <c r="J21" s="16">
        <f>(I21/1000)*B21</f>
        <v>375875.64177079999</v>
      </c>
      <c r="K21" s="16">
        <f>(I21/1000)*C21</f>
        <v>223355.88266440001</v>
      </c>
      <c r="L21" s="16">
        <f>(I21/1000)*D21</f>
        <v>303917.36180000001</v>
      </c>
      <c r="M21" s="3" t="str" cm="1">
        <f t="array" ref="M21:M22">M4:M5</f>
        <v>Vídeo</v>
      </c>
      <c r="O21" s="12">
        <v>375875.64</v>
      </c>
      <c r="Q21" s="3" t="s">
        <v>15</v>
      </c>
    </row>
    <row r="22" spans="2:17" x14ac:dyDescent="0.35">
      <c r="B22" s="3">
        <v>0.1875</v>
      </c>
      <c r="C22" s="3">
        <v>9.0499999999999997E-2</v>
      </c>
      <c r="D22" s="3">
        <v>0.15</v>
      </c>
      <c r="E22" s="3" t="str">
        <v>0.035</v>
      </c>
      <c r="F22" s="3"/>
      <c r="G22" s="6" t="s">
        <v>12</v>
      </c>
      <c r="H22" s="7"/>
      <c r="I22" s="11">
        <v>7972804</v>
      </c>
      <c r="J22" s="16">
        <f>(I22/1000)*B22</f>
        <v>1494.90075</v>
      </c>
      <c r="K22" s="16">
        <f>(I22/1000)*C22</f>
        <v>721.53876200000002</v>
      </c>
      <c r="L22" s="16">
        <f>(I22/1000)*D22</f>
        <v>1195.9205999999999</v>
      </c>
      <c r="M22" s="3" t="str">
        <v>Display</v>
      </c>
    </row>
    <row r="24" spans="2:17" x14ac:dyDescent="0.35">
      <c r="O24" s="13" t="s">
        <v>16</v>
      </c>
      <c r="P24" s="13" t="s">
        <v>17</v>
      </c>
      <c r="Q24" s="15" t="s">
        <v>28</v>
      </c>
    </row>
    <row r="25" spans="2:17" x14ac:dyDescent="0.35">
      <c r="O25" s="14" t="s">
        <v>18</v>
      </c>
      <c r="P25" s="14" t="s">
        <v>19</v>
      </c>
      <c r="Q25" s="15"/>
    </row>
    <row r="26" spans="2:17" x14ac:dyDescent="0.35">
      <c r="B26" s="1" t="s">
        <v>33</v>
      </c>
      <c r="C26" s="1" t="s">
        <v>34</v>
      </c>
      <c r="D26" s="1" t="s">
        <v>35</v>
      </c>
      <c r="O26" s="14" t="s">
        <v>20</v>
      </c>
      <c r="P26" s="14" t="s">
        <v>19</v>
      </c>
      <c r="Q26" s="15"/>
    </row>
    <row r="27" spans="2:17" x14ac:dyDescent="0.35">
      <c r="B27" s="17">
        <f>J21-K21</f>
        <v>152519.75910639999</v>
      </c>
      <c r="C27" s="17">
        <f>K21-L21</f>
        <v>-80561.479135600006</v>
      </c>
      <c r="O27" s="14" t="s">
        <v>21</v>
      </c>
      <c r="P27" s="14" t="s">
        <v>22</v>
      </c>
      <c r="Q27" s="15"/>
    </row>
    <row r="28" spans="2:17" x14ac:dyDescent="0.35">
      <c r="B28" s="17">
        <f>J22-K22</f>
        <v>773.361988</v>
      </c>
      <c r="C28" s="17">
        <f>K22-L22</f>
        <v>-474.3818379999999</v>
      </c>
      <c r="O28" s="14" t="s">
        <v>23</v>
      </c>
      <c r="P28" s="14" t="s">
        <v>24</v>
      </c>
      <c r="Q28" s="15"/>
    </row>
    <row r="29" spans="2:17" x14ac:dyDescent="0.35">
      <c r="O29" s="14" t="s">
        <v>25</v>
      </c>
      <c r="P29" s="14" t="s">
        <v>24</v>
      </c>
      <c r="Q29" s="15"/>
    </row>
    <row r="30" spans="2:17" x14ac:dyDescent="0.35">
      <c r="O30" s="14" t="s">
        <v>26</v>
      </c>
      <c r="P30" s="14" t="s">
        <v>27</v>
      </c>
      <c r="Q30" s="15"/>
    </row>
  </sheetData>
  <mergeCells count="9">
    <mergeCell ref="G21:H21"/>
    <mergeCell ref="G22:H22"/>
    <mergeCell ref="Q24:Q30"/>
    <mergeCell ref="Q4:U4"/>
    <mergeCell ref="Q5:U5"/>
    <mergeCell ref="G4:H4"/>
    <mergeCell ref="G5:H5"/>
    <mergeCell ref="G20:H20"/>
    <mergeCell ref="G3:H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Lima</dc:creator>
  <cp:lastModifiedBy>Felipe Lima</cp:lastModifiedBy>
  <dcterms:created xsi:type="dcterms:W3CDTF">2024-11-04T13:21:45Z</dcterms:created>
  <dcterms:modified xsi:type="dcterms:W3CDTF">2024-11-04T18:31:13Z</dcterms:modified>
</cp:coreProperties>
</file>