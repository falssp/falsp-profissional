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insidemedia-my.sharepoint.com/personal/felipe_lima_essencemediacom_com/Documents/2022 Mars Inc Naming Convention/"/>
    </mc:Choice>
  </mc:AlternateContent>
  <xr:revisionPtr revIDLastSave="711" documentId="13_ncr:1_{D6BF746F-72D1-4A17-BAEE-81772D545F91}" xr6:coauthVersionLast="47" xr6:coauthVersionMax="47" xr10:uidLastSave="{F2A45B02-ED3D-4690-B31F-D5C6166F0C65}"/>
  <bookViews>
    <workbookView xWindow="-110" yWindow="-110" windowWidth="19420" windowHeight="10420" tabRatio="605" activeTab="3" xr2:uid="{E8B8A425-F1B8-4442-A499-DF6D324F9DE1}"/>
  </bookViews>
  <sheets>
    <sheet name="Campaign Name Generator" sheetId="7" r:id="rId1"/>
    <sheet name="Alpha-2 Reference Sheet" sheetId="6" r:id="rId2"/>
    <sheet name="COUNTRY CODES" sheetId="4" r:id="rId3"/>
    <sheet name="DV Lookups" sheetId="2" r:id="rId4"/>
    <sheet name="Sheet1" sheetId="8" r:id="rId5"/>
  </sheets>
  <definedNames>
    <definedName name="_xlnm._FilterDatabase" localSheetId="2" hidden="1">'COUNTRY CODES'!$A$1:$D$249</definedName>
    <definedName name="_xlnm._FilterDatabase" localSheetId="3" hidden="1">'DV Lookups'!$R$2:$S$207</definedName>
    <definedName name="_xlnm._FilterDatabase" localSheetId="4" hidden="1">Sheet1!$A$3:$C$213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0" i="7" l="1"/>
  <c r="P20" i="7"/>
  <c r="K20" i="7"/>
  <c r="I20" i="7"/>
  <c r="F20" i="7"/>
  <c r="G20" i="7" s="1"/>
  <c r="D20" i="7"/>
  <c r="W20" i="7" s="1"/>
  <c r="X20" i="7" s="1"/>
  <c r="Y20" i="7" s="1"/>
  <c r="Z20" i="7" s="1"/>
  <c r="AA20" i="7" s="1"/>
  <c r="B20" i="7"/>
  <c r="V20" i="7"/>
  <c r="U20" i="7"/>
  <c r="V19" i="7"/>
  <c r="U19" i="7"/>
  <c r="R19" i="7"/>
  <c r="P19" i="7"/>
  <c r="K19" i="7"/>
  <c r="I19" i="7"/>
  <c r="F19" i="7"/>
  <c r="G19" i="7" s="1"/>
  <c r="D19" i="7"/>
  <c r="B19" i="7"/>
  <c r="V18" i="7"/>
  <c r="U18" i="7"/>
  <c r="R18" i="7"/>
  <c r="P18" i="7"/>
  <c r="K18" i="7"/>
  <c r="I18" i="7"/>
  <c r="F18" i="7"/>
  <c r="G18" i="7" s="1"/>
  <c r="D18" i="7"/>
  <c r="B18" i="7"/>
  <c r="V7" i="7"/>
  <c r="U7" i="7"/>
  <c r="R7" i="7"/>
  <c r="P7" i="7"/>
  <c r="K7" i="7"/>
  <c r="I7" i="7"/>
  <c r="F7" i="7"/>
  <c r="G7" i="7" s="1"/>
  <c r="D7" i="7"/>
  <c r="B7" i="7"/>
  <c r="B17" i="7"/>
  <c r="U17" i="7"/>
  <c r="V17" i="7"/>
  <c r="R17" i="7"/>
  <c r="P17" i="7"/>
  <c r="K17" i="7"/>
  <c r="I17" i="7"/>
  <c r="F17" i="7"/>
  <c r="G17" i="7" s="1"/>
  <c r="D17" i="7"/>
  <c r="W17" i="7" s="1"/>
  <c r="X17" i="7" s="1"/>
  <c r="Y17" i="7" s="1"/>
  <c r="Z17" i="7" s="1"/>
  <c r="AA17" i="7" s="1"/>
  <c r="U16" i="7"/>
  <c r="V16" i="7"/>
  <c r="R16" i="7"/>
  <c r="P16" i="7"/>
  <c r="K16" i="7"/>
  <c r="I16" i="7"/>
  <c r="F16" i="7"/>
  <c r="G16" i="7" s="1"/>
  <c r="D16" i="7"/>
  <c r="B16" i="7"/>
  <c r="V15" i="7"/>
  <c r="U15" i="7"/>
  <c r="R15" i="7"/>
  <c r="P15" i="7"/>
  <c r="K15" i="7"/>
  <c r="I15" i="7"/>
  <c r="F15" i="7"/>
  <c r="G15" i="7" s="1"/>
  <c r="D15" i="7"/>
  <c r="B15" i="7"/>
  <c r="V14" i="7"/>
  <c r="U14" i="7"/>
  <c r="R14" i="7"/>
  <c r="P14" i="7"/>
  <c r="K14" i="7"/>
  <c r="I14" i="7"/>
  <c r="F14" i="7"/>
  <c r="G14" i="7" s="1"/>
  <c r="D14" i="7"/>
  <c r="B14" i="7"/>
  <c r="V13" i="7"/>
  <c r="U13" i="7"/>
  <c r="R13" i="7"/>
  <c r="P13" i="7"/>
  <c r="K13" i="7"/>
  <c r="I13" i="7"/>
  <c r="F13" i="7"/>
  <c r="G13" i="7" s="1"/>
  <c r="D13" i="7"/>
  <c r="B13" i="7"/>
  <c r="R12" i="7"/>
  <c r="P12" i="7"/>
  <c r="K12" i="7"/>
  <c r="I12" i="7"/>
  <c r="F12" i="7"/>
  <c r="G12" i="7" s="1"/>
  <c r="D12" i="7"/>
  <c r="B12" i="7"/>
  <c r="R11" i="7"/>
  <c r="P11" i="7"/>
  <c r="K11" i="7"/>
  <c r="I11" i="7"/>
  <c r="F11" i="7"/>
  <c r="G11" i="7" s="1"/>
  <c r="D11" i="7"/>
  <c r="B11" i="7"/>
  <c r="R10" i="7"/>
  <c r="I10" i="7"/>
  <c r="D10" i="7"/>
  <c r="B10" i="7"/>
  <c r="R9" i="7"/>
  <c r="P9" i="7"/>
  <c r="K9" i="7"/>
  <c r="I9" i="7"/>
  <c r="F9" i="7"/>
  <c r="G9" i="7" s="1"/>
  <c r="D9" i="7"/>
  <c r="B9" i="7"/>
  <c r="D3" i="7"/>
  <c r="D4" i="7"/>
  <c r="D5" i="7"/>
  <c r="D6" i="7"/>
  <c r="D8" i="7"/>
  <c r="K3" i="7"/>
  <c r="K4" i="7"/>
  <c r="K5" i="7"/>
  <c r="K6" i="7"/>
  <c r="K8" i="7"/>
  <c r="K10" i="7"/>
  <c r="W19" i="7" l="1"/>
  <c r="X19" i="7" s="1"/>
  <c r="Y19" i="7" s="1"/>
  <c r="Z19" i="7" s="1"/>
  <c r="AA19" i="7" s="1"/>
  <c r="W15" i="7"/>
  <c r="X15" i="7" s="1"/>
  <c r="Y15" i="7" s="1"/>
  <c r="Z15" i="7" s="1"/>
  <c r="AA15" i="7" s="1"/>
  <c r="W7" i="7"/>
  <c r="X7" i="7" s="1"/>
  <c r="Y7" i="7" s="1"/>
  <c r="Z7" i="7" s="1"/>
  <c r="AA7" i="7" s="1"/>
  <c r="W13" i="7"/>
  <c r="X13" i="7" s="1"/>
  <c r="Y13" i="7" s="1"/>
  <c r="Z13" i="7" s="1"/>
  <c r="AA13" i="7" s="1"/>
  <c r="W16" i="7"/>
  <c r="X16" i="7" s="1"/>
  <c r="Y16" i="7" s="1"/>
  <c r="Z16" i="7" s="1"/>
  <c r="AA16" i="7" s="1"/>
  <c r="W18" i="7"/>
  <c r="X18" i="7" s="1"/>
  <c r="Y18" i="7" s="1"/>
  <c r="Z18" i="7" s="1"/>
  <c r="AA18" i="7" s="1"/>
  <c r="W14" i="7"/>
  <c r="X14" i="7" s="1"/>
  <c r="Y14" i="7" s="1"/>
  <c r="Z14" i="7" s="1"/>
  <c r="AA14" i="7" s="1"/>
  <c r="I3" i="7"/>
  <c r="R3" i="7"/>
  <c r="R4" i="7"/>
  <c r="R5" i="7"/>
  <c r="R6" i="7"/>
  <c r="R8" i="7"/>
  <c r="P3" i="7"/>
  <c r="P4" i="7"/>
  <c r="P5" i="7"/>
  <c r="P6" i="7"/>
  <c r="P8" i="7"/>
  <c r="P10" i="7"/>
  <c r="I4" i="7"/>
  <c r="I5" i="7"/>
  <c r="I6" i="7"/>
  <c r="I8" i="7"/>
  <c r="F3" i="7"/>
  <c r="G3" i="7" s="1"/>
  <c r="F4" i="7"/>
  <c r="G4" i="7" s="1"/>
  <c r="F5" i="7"/>
  <c r="G5" i="7" s="1"/>
  <c r="F6" i="7"/>
  <c r="G6" i="7" s="1"/>
  <c r="F8" i="7"/>
  <c r="G8" i="7" s="1"/>
  <c r="F10" i="7"/>
  <c r="G10" i="7" s="1"/>
  <c r="B3" i="7"/>
  <c r="B4" i="7"/>
  <c r="B5" i="7"/>
  <c r="B6" i="7"/>
  <c r="B8" i="7"/>
  <c r="V12" i="7"/>
  <c r="U12" i="7"/>
  <c r="V11" i="7"/>
  <c r="U11" i="7"/>
  <c r="V10" i="7"/>
  <c r="U10" i="7"/>
  <c r="V9" i="7"/>
  <c r="U9" i="7"/>
  <c r="V8" i="7"/>
  <c r="U8" i="7"/>
  <c r="V6" i="7"/>
  <c r="U6" i="7"/>
  <c r="V5" i="7"/>
  <c r="U5" i="7"/>
  <c r="V4" i="7"/>
  <c r="U4" i="7"/>
  <c r="V3" i="7"/>
  <c r="U3" i="7"/>
  <c r="W12" i="7" l="1"/>
  <c r="W11" i="7"/>
  <c r="W10" i="7"/>
  <c r="W9" i="7"/>
  <c r="X9" i="7" s="1"/>
  <c r="Y9" i="7" s="1"/>
  <c r="Z9" i="7" s="1"/>
  <c r="AA9" i="7" s="1"/>
  <c r="W8" i="7"/>
  <c r="W6" i="7"/>
  <c r="X6" i="7" s="1"/>
  <c r="Y6" i="7" s="1"/>
  <c r="Z6" i="7" s="1"/>
  <c r="AA6" i="7" s="1"/>
  <c r="W5" i="7"/>
  <c r="X5" i="7" s="1"/>
  <c r="Y5" i="7" s="1"/>
  <c r="Z5" i="7" s="1"/>
  <c r="W4" i="7"/>
  <c r="X4" i="7" s="1"/>
  <c r="Y4" i="7" s="1"/>
  <c r="Z4" i="7" s="1"/>
  <c r="AA4" i="7" s="1"/>
  <c r="W3" i="7"/>
  <c r="X3" i="7" s="1"/>
  <c r="Y3" i="7" s="1"/>
  <c r="Z3" i="7" s="1"/>
  <c r="AA3" i="7" s="1"/>
  <c r="X11" i="7"/>
  <c r="Y11" i="7" s="1"/>
  <c r="Z11" i="7" s="1"/>
  <c r="AA11" i="7" s="1"/>
  <c r="X12" i="7"/>
  <c r="Y12" i="7" s="1"/>
  <c r="Z12" i="7" s="1"/>
  <c r="AA12" i="7" s="1"/>
  <c r="X10" i="7"/>
  <c r="Y10" i="7" s="1"/>
  <c r="Z10" i="7" s="1"/>
  <c r="AA10" i="7" s="1"/>
  <c r="X8" i="7"/>
  <c r="Y8" i="7" s="1"/>
  <c r="Z8" i="7" s="1"/>
  <c r="AA8" i="7" s="1"/>
  <c r="AA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Pratik Dange</author>
  </authors>
  <commentList>
    <comment ref="A4" authorId="0" shapeId="0" xr:uid="{817283EC-D626-45BC-BF11-C113B35B03C0}">
      <text/>
    </comment>
  </commentList>
</comments>
</file>

<file path=xl/sharedStrings.xml><?xml version="1.0" encoding="utf-8"?>
<sst xmlns="http://schemas.openxmlformats.org/spreadsheetml/2006/main" count="3513" uniqueCount="1508">
  <si>
    <t>Market</t>
  </si>
  <si>
    <t>Market Code</t>
  </si>
  <si>
    <t>Sub-Product</t>
  </si>
  <si>
    <t>Sub-Product Code</t>
  </si>
  <si>
    <t>campaign name (free field)</t>
  </si>
  <si>
    <t>segment (LU Off Sub-Product)</t>
  </si>
  <si>
    <t>segment code (LU Off Segment)</t>
  </si>
  <si>
    <t>region</t>
  </si>
  <si>
    <t>region code (LU Off Region) - Options look way different</t>
  </si>
  <si>
    <t>portfolio</t>
  </si>
  <si>
    <t>portfolio code (LU Off Portfolio)</t>
  </si>
  <si>
    <t>business channel</t>
  </si>
  <si>
    <t>media channel</t>
  </si>
  <si>
    <t>objective</t>
  </si>
  <si>
    <t>Campaign Type</t>
  </si>
  <si>
    <t>addressable code</t>
  </si>
  <si>
    <t>Campaign Start Year</t>
  </si>
  <si>
    <t>Campaign Start Year Code</t>
  </si>
  <si>
    <t>Campaign Start Month</t>
  </si>
  <si>
    <t>Free Form</t>
  </si>
  <si>
    <t>CDD</t>
  </si>
  <si>
    <t>Zero</t>
  </si>
  <si>
    <t>CAMPAIGN NAME If Default</t>
  </si>
  <si>
    <t>Concatenation</t>
  </si>
  <si>
    <t>Hyphen</t>
  </si>
  <si>
    <t>TAG - DO NOT MAKE MANUAL EDITS</t>
  </si>
  <si>
    <t>Character Count</t>
  </si>
  <si>
    <t>Saudi Arabia</t>
  </si>
  <si>
    <t>Galaxy/Dove Fruit</t>
  </si>
  <si>
    <t>Middle East and Africa</t>
  </si>
  <si>
    <t>Chocolate</t>
  </si>
  <si>
    <t>Brand</t>
  </si>
  <si>
    <t>social</t>
  </si>
  <si>
    <t>awareness</t>
  </si>
  <si>
    <t>biddable-non addressable</t>
  </si>
  <si>
    <t>na</t>
  </si>
  <si>
    <t>United Kingdom</t>
  </si>
  <si>
    <t>James Wellbeloved</t>
  </si>
  <si>
    <t>PAH_Partnership_P1_3</t>
  </si>
  <si>
    <t>Europe</t>
  </si>
  <si>
    <t>Dog Main Meal</t>
  </si>
  <si>
    <t>conversions</t>
  </si>
  <si>
    <t>biddable-addressable</t>
  </si>
  <si>
    <t>UAE</t>
  </si>
  <si>
    <t>Excel Gum</t>
  </si>
  <si>
    <t>GYDB-P1</t>
  </si>
  <si>
    <t>Gum</t>
  </si>
  <si>
    <t>Germany</t>
  </si>
  <si>
    <t>Extra Gum</t>
  </si>
  <si>
    <t>P2 VNP</t>
  </si>
  <si>
    <t>tv</t>
  </si>
  <si>
    <t>direct-non addressable</t>
  </si>
  <si>
    <t>TV</t>
  </si>
  <si>
    <t>Flutes_Twix_Wafer_P1</t>
  </si>
  <si>
    <t>Czech Republic</t>
  </si>
  <si>
    <t>Pedigree</t>
  </si>
  <si>
    <t>p01-VNP-Nova OMK</t>
  </si>
  <si>
    <t>olv</t>
  </si>
  <si>
    <t>OLV</t>
  </si>
  <si>
    <t>p01-VNP-TV</t>
  </si>
  <si>
    <t>p01-VNP-OLV</t>
  </si>
  <si>
    <t>Canada</t>
  </si>
  <si>
    <t>M&amp;Ms</t>
  </si>
  <si>
    <t>North America</t>
  </si>
  <si>
    <t>France</t>
  </si>
  <si>
    <t>p1-ding-back</t>
  </si>
  <si>
    <t>Kenya</t>
  </si>
  <si>
    <t>Juicy Fruit</t>
  </si>
  <si>
    <t>p1-unexplainbly-juicy</t>
  </si>
  <si>
    <t>biddable-data driven audience</t>
  </si>
  <si>
    <t>youtube-1234</t>
  </si>
  <si>
    <t>GYDB3-P1</t>
  </si>
  <si>
    <t>oral-care</t>
  </si>
  <si>
    <t>Care and treats</t>
  </si>
  <si>
    <t>multiple</t>
  </si>
  <si>
    <t>D2C-Retargeting</t>
  </si>
  <si>
    <t>Super Premium Health</t>
  </si>
  <si>
    <t>D2C</t>
  </si>
  <si>
    <t>Multibrand</t>
  </si>
  <si>
    <t>eAATS Q1 2023</t>
  </si>
  <si>
    <t>Other</t>
  </si>
  <si>
    <t>ecom</t>
  </si>
  <si>
    <t>Country</t>
  </si>
  <si>
    <t>Country code</t>
  </si>
  <si>
    <t>AE</t>
  </si>
  <si>
    <t>Albania</t>
  </si>
  <si>
    <t>AL</t>
  </si>
  <si>
    <t>Argentina</t>
  </si>
  <si>
    <t>AR</t>
  </si>
  <si>
    <t>Austria</t>
  </si>
  <si>
    <t>AT</t>
  </si>
  <si>
    <t>Australia</t>
  </si>
  <si>
    <t>AU</t>
  </si>
  <si>
    <t>Azerbaijan</t>
  </si>
  <si>
    <t>AZ</t>
  </si>
  <si>
    <t>Bosnia</t>
  </si>
  <si>
    <t>BA</t>
  </si>
  <si>
    <t>Belgium</t>
  </si>
  <si>
    <t>BE</t>
  </si>
  <si>
    <t>Bulgaria</t>
  </si>
  <si>
    <t>BG</t>
  </si>
  <si>
    <t>Bahrain</t>
  </si>
  <si>
    <t>BH</t>
  </si>
  <si>
    <t>Brazil</t>
  </si>
  <si>
    <t>BR</t>
  </si>
  <si>
    <t>Belarus</t>
  </si>
  <si>
    <t>BY</t>
  </si>
  <si>
    <t>CA</t>
  </si>
  <si>
    <t>Switzerland</t>
  </si>
  <si>
    <t>CH</t>
  </si>
  <si>
    <t>Chile</t>
  </si>
  <si>
    <t>CL</t>
  </si>
  <si>
    <t>China</t>
  </si>
  <si>
    <t>CN</t>
  </si>
  <si>
    <t>Colombia</t>
  </si>
  <si>
    <t>CO</t>
  </si>
  <si>
    <t>Costa Rica</t>
  </si>
  <si>
    <t>CR</t>
  </si>
  <si>
    <t>CZ</t>
  </si>
  <si>
    <t>DE</t>
  </si>
  <si>
    <t>Denmark</t>
  </si>
  <si>
    <t>DK</t>
  </si>
  <si>
    <t>Dominican Republic</t>
  </si>
  <si>
    <t>DO</t>
  </si>
  <si>
    <t>Ecuador</t>
  </si>
  <si>
    <t>EC</t>
  </si>
  <si>
    <t>Estonia</t>
  </si>
  <si>
    <t>EE</t>
  </si>
  <si>
    <t>Egypt</t>
  </si>
  <si>
    <t>EG</t>
  </si>
  <si>
    <t>Spain</t>
  </si>
  <si>
    <t>ES</t>
  </si>
  <si>
    <t>Finland</t>
  </si>
  <si>
    <t>FI</t>
  </si>
  <si>
    <t>FR</t>
  </si>
  <si>
    <t>UK</t>
  </si>
  <si>
    <t>Georgia</t>
  </si>
  <si>
    <t>GE</t>
  </si>
  <si>
    <t>Greece</t>
  </si>
  <si>
    <t>GR</t>
  </si>
  <si>
    <t>Guatemala</t>
  </si>
  <si>
    <t>GT</t>
  </si>
  <si>
    <t>Gulf</t>
  </si>
  <si>
    <t>Hong Kong</t>
  </si>
  <si>
    <t>HK</t>
  </si>
  <si>
    <t>Croatia</t>
  </si>
  <si>
    <t>HR</t>
  </si>
  <si>
    <t>Hungary</t>
  </si>
  <si>
    <t>HU</t>
  </si>
  <si>
    <t>Indonesia</t>
  </si>
  <si>
    <t>ID</t>
  </si>
  <si>
    <t>Ireland</t>
  </si>
  <si>
    <t>IE</t>
  </si>
  <si>
    <t>Israel</t>
  </si>
  <si>
    <t>IL</t>
  </si>
  <si>
    <t>India</t>
  </si>
  <si>
    <t>IN</t>
  </si>
  <si>
    <t>Levant-Iraq</t>
  </si>
  <si>
    <t>IQ</t>
  </si>
  <si>
    <t>Italy</t>
  </si>
  <si>
    <t>IT</t>
  </si>
  <si>
    <t>Levant-Jordan</t>
  </si>
  <si>
    <t>JO</t>
  </si>
  <si>
    <t>Japan</t>
  </si>
  <si>
    <t>JP</t>
  </si>
  <si>
    <t>KE</t>
  </si>
  <si>
    <t>Korea</t>
  </si>
  <si>
    <t>KR</t>
  </si>
  <si>
    <t>KSA</t>
  </si>
  <si>
    <t>Kuwait</t>
  </si>
  <si>
    <t>KW</t>
  </si>
  <si>
    <t>Kazakhstan</t>
  </si>
  <si>
    <t>KZ</t>
  </si>
  <si>
    <t>Levant-Lebanon</t>
  </si>
  <si>
    <t>LB</t>
  </si>
  <si>
    <t>Lithuania</t>
  </si>
  <si>
    <t>LT</t>
  </si>
  <si>
    <t>Latvia</t>
  </si>
  <si>
    <t>LV</t>
  </si>
  <si>
    <t>Montenegro</t>
  </si>
  <si>
    <t>ME</t>
  </si>
  <si>
    <t>Macedonia</t>
  </si>
  <si>
    <t>MK</t>
  </si>
  <si>
    <t>Mexico</t>
  </si>
  <si>
    <t>MX</t>
  </si>
  <si>
    <t>Malaysia</t>
  </si>
  <si>
    <t>MY</t>
  </si>
  <si>
    <t>Netherlands</t>
  </si>
  <si>
    <t>NL</t>
  </si>
  <si>
    <t>Norway</t>
  </si>
  <si>
    <t>NO</t>
  </si>
  <si>
    <t>New Zealand</t>
  </si>
  <si>
    <t>NZ</t>
  </si>
  <si>
    <t>Oman</t>
  </si>
  <si>
    <t>OM</t>
  </si>
  <si>
    <t>Panama</t>
  </si>
  <si>
    <t>PA</t>
  </si>
  <si>
    <t>Peru</t>
  </si>
  <si>
    <t>PE</t>
  </si>
  <si>
    <t>Philippines</t>
  </si>
  <si>
    <t>PH</t>
  </si>
  <si>
    <t>Poland</t>
  </si>
  <si>
    <t>PL</t>
  </si>
  <si>
    <t>Puerto Rico</t>
  </si>
  <si>
    <t>PR</t>
  </si>
  <si>
    <t>Portugal</t>
  </si>
  <si>
    <t>PT</t>
  </si>
  <si>
    <t>Qatar</t>
  </si>
  <si>
    <t>QA</t>
  </si>
  <si>
    <t>Romania</t>
  </si>
  <si>
    <t>RO</t>
  </si>
  <si>
    <t>Serbia</t>
  </si>
  <si>
    <t>RS</t>
  </si>
  <si>
    <t>Russia</t>
  </si>
  <si>
    <t>RU</t>
  </si>
  <si>
    <t>SA</t>
  </si>
  <si>
    <t>Sweden</t>
  </si>
  <si>
    <t>SE</t>
  </si>
  <si>
    <t>Singapore</t>
  </si>
  <si>
    <t>SG</t>
  </si>
  <si>
    <t>Slovenia</t>
  </si>
  <si>
    <t>SI</t>
  </si>
  <si>
    <t>Slovakia</t>
  </si>
  <si>
    <t>SK</t>
  </si>
  <si>
    <t>Thailand</t>
  </si>
  <si>
    <t>TH</t>
  </si>
  <si>
    <t>Turkey</t>
  </si>
  <si>
    <t>TR</t>
  </si>
  <si>
    <t>Taiwan</t>
  </si>
  <si>
    <t>TW</t>
  </si>
  <si>
    <t>Ukraine</t>
  </si>
  <si>
    <t>UA</t>
  </si>
  <si>
    <t>Uganda</t>
  </si>
  <si>
    <t>UG</t>
  </si>
  <si>
    <t>USA</t>
  </si>
  <si>
    <t>US</t>
  </si>
  <si>
    <t>Vietnam</t>
  </si>
  <si>
    <t>VN</t>
  </si>
  <si>
    <t>Kosovo</t>
  </si>
  <si>
    <t>XK</t>
  </si>
  <si>
    <t>Yemen</t>
  </si>
  <si>
    <t>YE</t>
  </si>
  <si>
    <t>South Africa</t>
  </si>
  <si>
    <t>ZA</t>
  </si>
  <si>
    <t>Afghanistan</t>
  </si>
  <si>
    <t>AF</t>
  </si>
  <si>
    <t>AFG</t>
  </si>
  <si>
    <t>ALB</t>
  </si>
  <si>
    <t>Algeria</t>
  </si>
  <si>
    <t>DZ</t>
  </si>
  <si>
    <t>DZA</t>
  </si>
  <si>
    <t>American Samoa</t>
  </si>
  <si>
    <t>AS</t>
  </si>
  <si>
    <t>ASM</t>
  </si>
  <si>
    <t>Andorra</t>
  </si>
  <si>
    <t>AD</t>
  </si>
  <si>
    <t>AND</t>
  </si>
  <si>
    <t>Angola</t>
  </si>
  <si>
    <t>AO</t>
  </si>
  <si>
    <t>AGO</t>
  </si>
  <si>
    <t>Anguilla</t>
  </si>
  <si>
    <t>AI</t>
  </si>
  <si>
    <t>AIA</t>
  </si>
  <si>
    <t>Antarctica</t>
  </si>
  <si>
    <t>AQ</t>
  </si>
  <si>
    <t>ATA</t>
  </si>
  <si>
    <t>Antigua and Barbuda</t>
  </si>
  <si>
    <t>AG</t>
  </si>
  <si>
    <t>ATG</t>
  </si>
  <si>
    <t>ARG</t>
  </si>
  <si>
    <t>Armenia</t>
  </si>
  <si>
    <t>AM</t>
  </si>
  <si>
    <t>ARM</t>
  </si>
  <si>
    <t>Aruba</t>
  </si>
  <si>
    <t>AW</t>
  </si>
  <si>
    <t>ABW</t>
  </si>
  <si>
    <t>AUS</t>
  </si>
  <si>
    <t>AUT</t>
  </si>
  <si>
    <t>AZE</t>
  </si>
  <si>
    <t>Bahamas (the)</t>
  </si>
  <si>
    <t>BS</t>
  </si>
  <si>
    <t>BHS</t>
  </si>
  <si>
    <t>BHR</t>
  </si>
  <si>
    <t>Bangladesh</t>
  </si>
  <si>
    <t>BD</t>
  </si>
  <si>
    <t>BGD</t>
  </si>
  <si>
    <t>Barbados</t>
  </si>
  <si>
    <t>BB</t>
  </si>
  <si>
    <t>BRB</t>
  </si>
  <si>
    <t>BLR</t>
  </si>
  <si>
    <t>BEL</t>
  </si>
  <si>
    <t>Belize</t>
  </si>
  <si>
    <t>BZ</t>
  </si>
  <si>
    <t>BLZ</t>
  </si>
  <si>
    <t>Benin</t>
  </si>
  <si>
    <t>BJ</t>
  </si>
  <si>
    <t>BEN</t>
  </si>
  <si>
    <t>Bermuda</t>
  </si>
  <si>
    <t>BM</t>
  </si>
  <si>
    <t>BMU</t>
  </si>
  <si>
    <t>Bhutan</t>
  </si>
  <si>
    <t>BT</t>
  </si>
  <si>
    <t>BTN</t>
  </si>
  <si>
    <t>Bolivia (Plurinational State of)</t>
  </si>
  <si>
    <t>BO</t>
  </si>
  <si>
    <t>BOL</t>
  </si>
  <si>
    <t>Bonaire, Sint Eustatius and Saba</t>
  </si>
  <si>
    <t>BQ</t>
  </si>
  <si>
    <t>BES</t>
  </si>
  <si>
    <t>Bosnia and Herzegovina</t>
  </si>
  <si>
    <t>BIH</t>
  </si>
  <si>
    <t>Botswana</t>
  </si>
  <si>
    <t>BW</t>
  </si>
  <si>
    <t>BWA</t>
  </si>
  <si>
    <t>Bouvet Island</t>
  </si>
  <si>
    <t>BV</t>
  </si>
  <si>
    <t>BVT</t>
  </si>
  <si>
    <t>BRA</t>
  </si>
  <si>
    <t>British Indian Ocean Territory (the)</t>
  </si>
  <si>
    <t>IO</t>
  </si>
  <si>
    <t>IOT</t>
  </si>
  <si>
    <t>Brunei Darussalam</t>
  </si>
  <si>
    <t>BN</t>
  </si>
  <si>
    <t>BRN</t>
  </si>
  <si>
    <t>BGR</t>
  </si>
  <si>
    <t>Burkina Faso</t>
  </si>
  <si>
    <t>BF</t>
  </si>
  <si>
    <t>BFA</t>
  </si>
  <si>
    <t>Burundi</t>
  </si>
  <si>
    <t>BI</t>
  </si>
  <si>
    <t>BDI</t>
  </si>
  <si>
    <t>Cabo Verde</t>
  </si>
  <si>
    <t>CV</t>
  </si>
  <si>
    <t>CPV</t>
  </si>
  <si>
    <t>Cambodia</t>
  </si>
  <si>
    <t>KH</t>
  </si>
  <si>
    <t>KHM</t>
  </si>
  <si>
    <t>Cameroon</t>
  </si>
  <si>
    <t>CM</t>
  </si>
  <si>
    <t>CMR</t>
  </si>
  <si>
    <t>CAN</t>
  </si>
  <si>
    <t>Cayman Islands (the)</t>
  </si>
  <si>
    <t>KY</t>
  </si>
  <si>
    <t>CYM</t>
  </si>
  <si>
    <t>Central African Republic (the)</t>
  </si>
  <si>
    <t>CF</t>
  </si>
  <si>
    <t>CAF</t>
  </si>
  <si>
    <t>Chad</t>
  </si>
  <si>
    <t>TD</t>
  </si>
  <si>
    <t>TCD</t>
  </si>
  <si>
    <t>CHL</t>
  </si>
  <si>
    <t>CHN</t>
  </si>
  <si>
    <t>Christmas Island</t>
  </si>
  <si>
    <t>CX</t>
  </si>
  <si>
    <t>CXR</t>
  </si>
  <si>
    <t>Cocos (Keeling) Islands (the)</t>
  </si>
  <si>
    <t>CC</t>
  </si>
  <si>
    <t>CCK</t>
  </si>
  <si>
    <t>COL</t>
  </si>
  <si>
    <t>Comoros (the)</t>
  </si>
  <si>
    <t>KM</t>
  </si>
  <si>
    <t>COM</t>
  </si>
  <si>
    <t>Congo (the Democratic Republic of the)</t>
  </si>
  <si>
    <t>CD</t>
  </si>
  <si>
    <t>COD</t>
  </si>
  <si>
    <t>Congo (the)</t>
  </si>
  <si>
    <t>CG</t>
  </si>
  <si>
    <t>COG</t>
  </si>
  <si>
    <t>Cook Islands (the)</t>
  </si>
  <si>
    <t>CK</t>
  </si>
  <si>
    <t>COK</t>
  </si>
  <si>
    <t>CRI</t>
  </si>
  <si>
    <t>HRV</t>
  </si>
  <si>
    <t>Cuba</t>
  </si>
  <si>
    <t>CU</t>
  </si>
  <si>
    <t>CUB</t>
  </si>
  <si>
    <t>Curaçao</t>
  </si>
  <si>
    <t>CW</t>
  </si>
  <si>
    <t>CUW</t>
  </si>
  <si>
    <t>Cyprus</t>
  </si>
  <si>
    <t>CY</t>
  </si>
  <si>
    <t>CYP</t>
  </si>
  <si>
    <t>Czechia</t>
  </si>
  <si>
    <t>CZE</t>
  </si>
  <si>
    <t>Côte d'Ivoire</t>
  </si>
  <si>
    <t>CI</t>
  </si>
  <si>
    <t>CIV</t>
  </si>
  <si>
    <t>DNK</t>
  </si>
  <si>
    <t>Djibouti</t>
  </si>
  <si>
    <t>DJ</t>
  </si>
  <si>
    <t>DJI</t>
  </si>
  <si>
    <t>Dominica</t>
  </si>
  <si>
    <t>DM</t>
  </si>
  <si>
    <t>DMA</t>
  </si>
  <si>
    <t>Dominican Republic (the)</t>
  </si>
  <si>
    <t>DOM</t>
  </si>
  <si>
    <t>ECU</t>
  </si>
  <si>
    <t>EGY</t>
  </si>
  <si>
    <t>El Salvador</t>
  </si>
  <si>
    <t>SV</t>
  </si>
  <si>
    <t>SLV</t>
  </si>
  <si>
    <t>Equatorial Guinea</t>
  </si>
  <si>
    <t>GQ</t>
  </si>
  <si>
    <t>GNQ</t>
  </si>
  <si>
    <t>Eritrea</t>
  </si>
  <si>
    <t>ER</t>
  </si>
  <si>
    <t>ERI</t>
  </si>
  <si>
    <t>EST</t>
  </si>
  <si>
    <t>Eswatini</t>
  </si>
  <si>
    <t>SZ</t>
  </si>
  <si>
    <t>SWZ</t>
  </si>
  <si>
    <t>Ethiopia</t>
  </si>
  <si>
    <t>ET</t>
  </si>
  <si>
    <t>ETH</t>
  </si>
  <si>
    <t>Falkland Islands (the) [Malvinas]</t>
  </si>
  <si>
    <t>FK</t>
  </si>
  <si>
    <t>FLK</t>
  </si>
  <si>
    <t>Faroe Islands (the)</t>
  </si>
  <si>
    <t>FO</t>
  </si>
  <si>
    <t>FRO</t>
  </si>
  <si>
    <t>Fiji</t>
  </si>
  <si>
    <t>FJ</t>
  </si>
  <si>
    <t>FJI</t>
  </si>
  <si>
    <t>FIN</t>
  </si>
  <si>
    <t>FRA</t>
  </si>
  <si>
    <t>French Guiana</t>
  </si>
  <si>
    <t>GF</t>
  </si>
  <si>
    <t>GUF</t>
  </si>
  <si>
    <t>French Polynesia</t>
  </si>
  <si>
    <t>PF</t>
  </si>
  <si>
    <t>PYF</t>
  </si>
  <si>
    <t>French Southern Territories (the)</t>
  </si>
  <si>
    <t>TF</t>
  </si>
  <si>
    <t>ATF</t>
  </si>
  <si>
    <t>Gabon</t>
  </si>
  <si>
    <t>GA</t>
  </si>
  <si>
    <t>GAB</t>
  </si>
  <si>
    <t>Gambia (the)</t>
  </si>
  <si>
    <t>GM</t>
  </si>
  <si>
    <t>GMB</t>
  </si>
  <si>
    <t>GEO</t>
  </si>
  <si>
    <t>DEU</t>
  </si>
  <si>
    <t>Ghana</t>
  </si>
  <si>
    <t>GH</t>
  </si>
  <si>
    <t>GHA</t>
  </si>
  <si>
    <t>Gibraltar</t>
  </si>
  <si>
    <t>GI</t>
  </si>
  <si>
    <t>GIB</t>
  </si>
  <si>
    <t>GRC</t>
  </si>
  <si>
    <t>Greenland</t>
  </si>
  <si>
    <t>GL</t>
  </si>
  <si>
    <t>GRL</t>
  </si>
  <si>
    <t>Grenada</t>
  </si>
  <si>
    <t>GD</t>
  </si>
  <si>
    <t>GRD</t>
  </si>
  <si>
    <t>Guadeloupe</t>
  </si>
  <si>
    <t>GP</t>
  </si>
  <si>
    <t>GLP</t>
  </si>
  <si>
    <t>Guam</t>
  </si>
  <si>
    <t>GU</t>
  </si>
  <si>
    <t>GUM</t>
  </si>
  <si>
    <t>GTM</t>
  </si>
  <si>
    <t>Guernsey</t>
  </si>
  <si>
    <t>GG</t>
  </si>
  <si>
    <t>GGY</t>
  </si>
  <si>
    <t>Guinea</t>
  </si>
  <si>
    <t>GN</t>
  </si>
  <si>
    <t>GIN</t>
  </si>
  <si>
    <t>Guinea-Bissau</t>
  </si>
  <si>
    <t>GW</t>
  </si>
  <si>
    <t>GNB</t>
  </si>
  <si>
    <t>Guyana</t>
  </si>
  <si>
    <t>GY</t>
  </si>
  <si>
    <t>GUY</t>
  </si>
  <si>
    <t>Haiti</t>
  </si>
  <si>
    <t>HT</t>
  </si>
  <si>
    <t>HTI</t>
  </si>
  <si>
    <t>Heard Island and McDonald Islands</t>
  </si>
  <si>
    <t>HM</t>
  </si>
  <si>
    <t>HMD</t>
  </si>
  <si>
    <t>Holy See (the)</t>
  </si>
  <si>
    <t>VA</t>
  </si>
  <si>
    <t>VAT</t>
  </si>
  <si>
    <t>Honduras</t>
  </si>
  <si>
    <t>HN</t>
  </si>
  <si>
    <t>HND</t>
  </si>
  <si>
    <t>HKG</t>
  </si>
  <si>
    <t>HUN</t>
  </si>
  <si>
    <t>Iceland</t>
  </si>
  <si>
    <t>IS</t>
  </si>
  <si>
    <t>ISL</t>
  </si>
  <si>
    <t>IND</t>
  </si>
  <si>
    <t>IDN</t>
  </si>
  <si>
    <t>Iran (Islamic Republic of)</t>
  </si>
  <si>
    <t>IR</t>
  </si>
  <si>
    <t>IRN</t>
  </si>
  <si>
    <t>Iraq</t>
  </si>
  <si>
    <t>IRQ</t>
  </si>
  <si>
    <t>IRL</t>
  </si>
  <si>
    <t>Isle of Man</t>
  </si>
  <si>
    <t>IM</t>
  </si>
  <si>
    <t>IMN</t>
  </si>
  <si>
    <t>ISR</t>
  </si>
  <si>
    <t>ITA</t>
  </si>
  <si>
    <t>Jamaica</t>
  </si>
  <si>
    <t>JM</t>
  </si>
  <si>
    <t>JAM</t>
  </si>
  <si>
    <t>JPN</t>
  </si>
  <si>
    <t>Jersey</t>
  </si>
  <si>
    <t>JE</t>
  </si>
  <si>
    <t>JEY</t>
  </si>
  <si>
    <t>Jordan</t>
  </si>
  <si>
    <t>JOR</t>
  </si>
  <si>
    <t>KAZ</t>
  </si>
  <si>
    <t>KEN</t>
  </si>
  <si>
    <t>Kiribati</t>
  </si>
  <si>
    <t>KI</t>
  </si>
  <si>
    <t>KIR</t>
  </si>
  <si>
    <t>Korea (the Democratic People's Republic of)</t>
  </si>
  <si>
    <t>KP</t>
  </si>
  <si>
    <t>PRK</t>
  </si>
  <si>
    <t>Korea (the Republic of)</t>
  </si>
  <si>
    <t>KOR</t>
  </si>
  <si>
    <t>KWT</t>
  </si>
  <si>
    <t>Kyrgyzstan</t>
  </si>
  <si>
    <t>KG</t>
  </si>
  <si>
    <t>KGZ</t>
  </si>
  <si>
    <t>Lao People's Democratic Republic (the)</t>
  </si>
  <si>
    <t>LA</t>
  </si>
  <si>
    <t>LAO</t>
  </si>
  <si>
    <t>LVA</t>
  </si>
  <si>
    <t>Lebanon</t>
  </si>
  <si>
    <t>LBN</t>
  </si>
  <si>
    <t>Lesotho</t>
  </si>
  <si>
    <t>LS</t>
  </si>
  <si>
    <t>LSO</t>
  </si>
  <si>
    <t>Liberia</t>
  </si>
  <si>
    <t>LR</t>
  </si>
  <si>
    <t>LBR</t>
  </si>
  <si>
    <t>Libya</t>
  </si>
  <si>
    <t>LY</t>
  </si>
  <si>
    <t>LBY</t>
  </si>
  <si>
    <t>Liechtenstein</t>
  </si>
  <si>
    <t>LI</t>
  </si>
  <si>
    <t>LIE</t>
  </si>
  <si>
    <t>LTU</t>
  </si>
  <si>
    <t>Luxembourg</t>
  </si>
  <si>
    <t>LU</t>
  </si>
  <si>
    <t>LUX</t>
  </si>
  <si>
    <t>Macao</t>
  </si>
  <si>
    <t>MO</t>
  </si>
  <si>
    <t>MAC</t>
  </si>
  <si>
    <t>Madagascar</t>
  </si>
  <si>
    <t>MG</t>
  </si>
  <si>
    <t>MDG</t>
  </si>
  <si>
    <t>Malawi</t>
  </si>
  <si>
    <t>MW</t>
  </si>
  <si>
    <t>MWI</t>
  </si>
  <si>
    <t>MYS</t>
  </si>
  <si>
    <t>Maldives</t>
  </si>
  <si>
    <t>MV</t>
  </si>
  <si>
    <t>MDV</t>
  </si>
  <si>
    <t>Mali</t>
  </si>
  <si>
    <t>ML</t>
  </si>
  <si>
    <t>MLI</t>
  </si>
  <si>
    <t>Malta</t>
  </si>
  <si>
    <t>MT</t>
  </si>
  <si>
    <t>MLT</t>
  </si>
  <si>
    <t>Marshall Islands (the)</t>
  </si>
  <si>
    <t>MH</t>
  </si>
  <si>
    <t>MHL</t>
  </si>
  <si>
    <t>Martinique</t>
  </si>
  <si>
    <t>MQ</t>
  </si>
  <si>
    <t>MTQ</t>
  </si>
  <si>
    <t>Mauritania</t>
  </si>
  <si>
    <t>MR</t>
  </si>
  <si>
    <t>MRT</t>
  </si>
  <si>
    <t>Mauritius</t>
  </si>
  <si>
    <t>MU</t>
  </si>
  <si>
    <t>MUS</t>
  </si>
  <si>
    <t>Mayotte</t>
  </si>
  <si>
    <t>YT</t>
  </si>
  <si>
    <t>MYT</t>
  </si>
  <si>
    <t>MEX</t>
  </si>
  <si>
    <t>Micronesia (Federated States of)</t>
  </si>
  <si>
    <t>FM</t>
  </si>
  <si>
    <t>FSM</t>
  </si>
  <si>
    <t>Moldova (the Republic of)</t>
  </si>
  <si>
    <t>MD</t>
  </si>
  <si>
    <t>MDA</t>
  </si>
  <si>
    <t>Monaco</t>
  </si>
  <si>
    <t>MC</t>
  </si>
  <si>
    <t>MCO</t>
  </si>
  <si>
    <t>Mongolia</t>
  </si>
  <si>
    <t>MN</t>
  </si>
  <si>
    <t>MNG</t>
  </si>
  <si>
    <t>MNE</t>
  </si>
  <si>
    <t>Montserrat</t>
  </si>
  <si>
    <t>MS</t>
  </si>
  <si>
    <t>MSR</t>
  </si>
  <si>
    <t>Morocco</t>
  </si>
  <si>
    <t>MA</t>
  </si>
  <si>
    <t>MAR</t>
  </si>
  <si>
    <t>Mozambique</t>
  </si>
  <si>
    <t>MZ</t>
  </si>
  <si>
    <t>MOZ</t>
  </si>
  <si>
    <t>Myanmar</t>
  </si>
  <si>
    <t>MM</t>
  </si>
  <si>
    <t>MMR</t>
  </si>
  <si>
    <t>Namibia</t>
  </si>
  <si>
    <t>NA</t>
  </si>
  <si>
    <t>NAM</t>
  </si>
  <si>
    <t>Nauru</t>
  </si>
  <si>
    <t>NR</t>
  </si>
  <si>
    <t>NRU</t>
  </si>
  <si>
    <t>Nepal</t>
  </si>
  <si>
    <t>NP</t>
  </si>
  <si>
    <t>NPL</t>
  </si>
  <si>
    <t>Netherlands (the)</t>
  </si>
  <si>
    <t>NLD</t>
  </si>
  <si>
    <t>New Caledonia</t>
  </si>
  <si>
    <t>NC</t>
  </si>
  <si>
    <t>NCL</t>
  </si>
  <si>
    <t>NZL</t>
  </si>
  <si>
    <t>Nicaragua</t>
  </si>
  <si>
    <t>NI</t>
  </si>
  <si>
    <t>NIC</t>
  </si>
  <si>
    <t>Niger (the)</t>
  </si>
  <si>
    <t>NE</t>
  </si>
  <si>
    <t>NER</t>
  </si>
  <si>
    <t>Nigeria</t>
  </si>
  <si>
    <t>NG</t>
  </si>
  <si>
    <t>NGA</t>
  </si>
  <si>
    <t>Niue</t>
  </si>
  <si>
    <t>NU</t>
  </si>
  <si>
    <t>NIU</t>
  </si>
  <si>
    <t>Norfolk Island</t>
  </si>
  <si>
    <t>NF</t>
  </si>
  <si>
    <t>NFK</t>
  </si>
  <si>
    <t>Northern Mariana Islands (the)</t>
  </si>
  <si>
    <t>MP</t>
  </si>
  <si>
    <t>MNP</t>
  </si>
  <si>
    <t>NOR</t>
  </si>
  <si>
    <t>OMN</t>
  </si>
  <si>
    <t>Pakistan</t>
  </si>
  <si>
    <t>PK</t>
  </si>
  <si>
    <t>PAK</t>
  </si>
  <si>
    <t>Palau</t>
  </si>
  <si>
    <t>PW</t>
  </si>
  <si>
    <t>PLW</t>
  </si>
  <si>
    <t>Palestine, State of</t>
  </si>
  <si>
    <t>PS</t>
  </si>
  <si>
    <t>PSE</t>
  </si>
  <si>
    <t>PAN</t>
  </si>
  <si>
    <t>Papua New Guinea</t>
  </si>
  <si>
    <t>PG</t>
  </si>
  <si>
    <t>PNG</t>
  </si>
  <si>
    <t>Paraguay</t>
  </si>
  <si>
    <t>PY</t>
  </si>
  <si>
    <t>PRY</t>
  </si>
  <si>
    <t>PER</t>
  </si>
  <si>
    <t>Philippines (the)</t>
  </si>
  <si>
    <t>PHL</t>
  </si>
  <si>
    <t>Pitcairn</t>
  </si>
  <si>
    <t>PN</t>
  </si>
  <si>
    <t>PCN</t>
  </si>
  <si>
    <t>POL</t>
  </si>
  <si>
    <t>PRT</t>
  </si>
  <si>
    <t>PRI</t>
  </si>
  <si>
    <t>QAT</t>
  </si>
  <si>
    <t>Republic of North Macedonia</t>
  </si>
  <si>
    <t>MKD</t>
  </si>
  <si>
    <t>ROU</t>
  </si>
  <si>
    <t>Russian Federation (the)</t>
  </si>
  <si>
    <t>RUS</t>
  </si>
  <si>
    <t>Rwanda</t>
  </si>
  <si>
    <t>RW</t>
  </si>
  <si>
    <t>RWA</t>
  </si>
  <si>
    <t>Réunion</t>
  </si>
  <si>
    <t>RE</t>
  </si>
  <si>
    <t>REU</t>
  </si>
  <si>
    <t>Saint Barthélemy</t>
  </si>
  <si>
    <t>BL</t>
  </si>
  <si>
    <t>BLM</t>
  </si>
  <si>
    <t>Saint Helena, Ascension and Tristan da Cunha</t>
  </si>
  <si>
    <t>SH</t>
  </si>
  <si>
    <t>SHN</t>
  </si>
  <si>
    <t>Saint Kitts and Nevis</t>
  </si>
  <si>
    <t>KN</t>
  </si>
  <si>
    <t>KNA</t>
  </si>
  <si>
    <t>Saint Lucia</t>
  </si>
  <si>
    <t>LC</t>
  </si>
  <si>
    <t>LCA</t>
  </si>
  <si>
    <t>Saint Martin (French part)</t>
  </si>
  <si>
    <t>MF</t>
  </si>
  <si>
    <t>MAF</t>
  </si>
  <si>
    <t>Saint Pierre and Miquelon</t>
  </si>
  <si>
    <t>PM</t>
  </si>
  <si>
    <t>SPM</t>
  </si>
  <si>
    <t>Saint Vincent and the Grenadines</t>
  </si>
  <si>
    <t>VC</t>
  </si>
  <si>
    <t>VCT</t>
  </si>
  <si>
    <t>Samoa</t>
  </si>
  <si>
    <t>WS</t>
  </si>
  <si>
    <t>WSM</t>
  </si>
  <si>
    <t>San Marino</t>
  </si>
  <si>
    <t>SM</t>
  </si>
  <si>
    <t>SMR</t>
  </si>
  <si>
    <t>Sao Tome and Principe</t>
  </si>
  <si>
    <t>ST</t>
  </si>
  <si>
    <t>STP</t>
  </si>
  <si>
    <t>SAU</t>
  </si>
  <si>
    <t>Senegal</t>
  </si>
  <si>
    <t>SN</t>
  </si>
  <si>
    <t>SEN</t>
  </si>
  <si>
    <t>SRB</t>
  </si>
  <si>
    <t>Seychelles</t>
  </si>
  <si>
    <t>SC</t>
  </si>
  <si>
    <t>SYC</t>
  </si>
  <si>
    <t>Sierra Leone</t>
  </si>
  <si>
    <t>SL</t>
  </si>
  <si>
    <t>SLE</t>
  </si>
  <si>
    <t>SGP</t>
  </si>
  <si>
    <t>Sint Maarten (Dutch part)</t>
  </si>
  <si>
    <t>SX</t>
  </si>
  <si>
    <t>SXM</t>
  </si>
  <si>
    <t>SVK</t>
  </si>
  <si>
    <t>SVN</t>
  </si>
  <si>
    <t>Solomon Islands</t>
  </si>
  <si>
    <t>SB</t>
  </si>
  <si>
    <t>SLB</t>
  </si>
  <si>
    <t>Somalia</t>
  </si>
  <si>
    <t>SO</t>
  </si>
  <si>
    <t>SOM</t>
  </si>
  <si>
    <t>ZAF</t>
  </si>
  <si>
    <t>South Georgia and the South Sandwich Islands</t>
  </si>
  <si>
    <t>GS</t>
  </si>
  <si>
    <t>SGS</t>
  </si>
  <si>
    <t>South Sudan</t>
  </si>
  <si>
    <t>SS</t>
  </si>
  <si>
    <t>SSD</t>
  </si>
  <si>
    <t>ESP</t>
  </si>
  <si>
    <t>Sri Lanka</t>
  </si>
  <si>
    <t>LK</t>
  </si>
  <si>
    <t>LKA</t>
  </si>
  <si>
    <t>Sudan (the)</t>
  </si>
  <si>
    <t>SD</t>
  </si>
  <si>
    <t>SDN</t>
  </si>
  <si>
    <t>Suriname</t>
  </si>
  <si>
    <t>SR</t>
  </si>
  <si>
    <t>SUR</t>
  </si>
  <si>
    <t>Svalbard and Jan Mayen</t>
  </si>
  <si>
    <t>SJ</t>
  </si>
  <si>
    <t>SJM</t>
  </si>
  <si>
    <t>SWE</t>
  </si>
  <si>
    <t>CHE</t>
  </si>
  <si>
    <t>Syrian Arab Republic</t>
  </si>
  <si>
    <t>SY</t>
  </si>
  <si>
    <t>SYR</t>
  </si>
  <si>
    <t>Taiwan (Province of China)</t>
  </si>
  <si>
    <t>TWN</t>
  </si>
  <si>
    <t>Tajikistan</t>
  </si>
  <si>
    <t>TJ</t>
  </si>
  <si>
    <t>TJK</t>
  </si>
  <si>
    <t>Tanzania, United Republic of</t>
  </si>
  <si>
    <t>TZ</t>
  </si>
  <si>
    <t>TZA</t>
  </si>
  <si>
    <t>THA</t>
  </si>
  <si>
    <t>Timor-Leste</t>
  </si>
  <si>
    <t>TL</t>
  </si>
  <si>
    <t>TLS</t>
  </si>
  <si>
    <t>Togo</t>
  </si>
  <si>
    <t>TG</t>
  </si>
  <si>
    <t>TGO</t>
  </si>
  <si>
    <t>Tokelau</t>
  </si>
  <si>
    <t>TK</t>
  </si>
  <si>
    <t>TKL</t>
  </si>
  <si>
    <t>Tonga</t>
  </si>
  <si>
    <t>TO</t>
  </si>
  <si>
    <t>TON</t>
  </si>
  <si>
    <t>Trinidad and Tobago</t>
  </si>
  <si>
    <t>TT</t>
  </si>
  <si>
    <t>TTO</t>
  </si>
  <si>
    <t>Tunisia</t>
  </si>
  <si>
    <t>TN</t>
  </si>
  <si>
    <t>TUN</t>
  </si>
  <si>
    <t>TUR</t>
  </si>
  <si>
    <t>Turkmenistan</t>
  </si>
  <si>
    <t>TM</t>
  </si>
  <si>
    <t>TKM</t>
  </si>
  <si>
    <t>Turks and Caicos Islands (the)</t>
  </si>
  <si>
    <t>TC</t>
  </si>
  <si>
    <t>TCA</t>
  </si>
  <si>
    <t>Tuvalu</t>
  </si>
  <si>
    <t>TUV</t>
  </si>
  <si>
    <t>UGA</t>
  </si>
  <si>
    <t>UKR</t>
  </si>
  <si>
    <t>United Arab Emirates (the)</t>
  </si>
  <si>
    <t>ARE</t>
  </si>
  <si>
    <t>United Kingdom of Great Britain and Northern Ireland (the)</t>
  </si>
  <si>
    <t>GB</t>
  </si>
  <si>
    <t>GBR</t>
  </si>
  <si>
    <t>United States Minor Outlying Islands (the)</t>
  </si>
  <si>
    <t>UM</t>
  </si>
  <si>
    <t>UMI</t>
  </si>
  <si>
    <t>United States of America (the)</t>
  </si>
  <si>
    <t>Uruguay</t>
  </si>
  <si>
    <t>UY</t>
  </si>
  <si>
    <t>URY</t>
  </si>
  <si>
    <t>Uzbekistan</t>
  </si>
  <si>
    <t>UZ</t>
  </si>
  <si>
    <t>UZB</t>
  </si>
  <si>
    <t>Vanuatu</t>
  </si>
  <si>
    <t>VU</t>
  </si>
  <si>
    <t>VUT</t>
  </si>
  <si>
    <t>Venezuela (Bolivarian Republic of)</t>
  </si>
  <si>
    <t>VE</t>
  </si>
  <si>
    <t>VEN</t>
  </si>
  <si>
    <t>Viet Nam</t>
  </si>
  <si>
    <t>VNM</t>
  </si>
  <si>
    <t>Virgin Islands (British)</t>
  </si>
  <si>
    <t>VG</t>
  </si>
  <si>
    <t>VGB</t>
  </si>
  <si>
    <t>Virgin Islands (U.S.)</t>
  </si>
  <si>
    <t>VI</t>
  </si>
  <si>
    <t>VIR</t>
  </si>
  <si>
    <t>Wallis and Futuna</t>
  </si>
  <si>
    <t>WF</t>
  </si>
  <si>
    <t>WLF</t>
  </si>
  <si>
    <t>Western Sahara</t>
  </si>
  <si>
    <t>EH</t>
  </si>
  <si>
    <t>ESH</t>
  </si>
  <si>
    <t>YEM</t>
  </si>
  <si>
    <t>Zambia</t>
  </si>
  <si>
    <t>ZM</t>
  </si>
  <si>
    <t>ZMB</t>
  </si>
  <si>
    <t>Zimbabwe</t>
  </si>
  <si>
    <t>ZW</t>
  </si>
  <si>
    <t>ZWE</t>
  </si>
  <si>
    <t>Åland Islands</t>
  </si>
  <si>
    <t>AX</t>
  </si>
  <si>
    <t>ALA</t>
  </si>
  <si>
    <t>Sub Product to Segment</t>
  </si>
  <si>
    <t>Country to Region</t>
  </si>
  <si>
    <t>Sub-Product to  Portfolio</t>
  </si>
  <si>
    <t>Segment Lookup</t>
  </si>
  <si>
    <t>Region to Region Code</t>
  </si>
  <si>
    <t>Portfolio to Code LU</t>
  </si>
  <si>
    <t>Essence DV Options</t>
  </si>
  <si>
    <t>Country code Values</t>
  </si>
  <si>
    <t>Month</t>
  </si>
  <si>
    <t>Year</t>
  </si>
  <si>
    <t>Media Types</t>
  </si>
  <si>
    <t>Media Type Lookup</t>
  </si>
  <si>
    <t>Mars Period</t>
  </si>
  <si>
    <t>Segment</t>
  </si>
  <si>
    <t>Region</t>
  </si>
  <si>
    <t>Product</t>
  </si>
  <si>
    <t>Pet Portfolio</t>
  </si>
  <si>
    <t>Segment Code</t>
  </si>
  <si>
    <t>Region Code</t>
  </si>
  <si>
    <t>Portfolio Code</t>
  </si>
  <si>
    <t>portfolio code</t>
  </si>
  <si>
    <t>addressable</t>
  </si>
  <si>
    <t>1 in 6</t>
  </si>
  <si>
    <t>ois</t>
  </si>
  <si>
    <t>Added Value</t>
  </si>
  <si>
    <t>AV</t>
  </si>
  <si>
    <t>P1</t>
  </si>
  <si>
    <t>Temptations</t>
  </si>
  <si>
    <t>Not Petcare</t>
  </si>
  <si>
    <t>mw</t>
  </si>
  <si>
    <t>Asia Pacific</t>
  </si>
  <si>
    <t>apac</t>
  </si>
  <si>
    <t>CT</t>
  </si>
  <si>
    <t>care-treat</t>
  </si>
  <si>
    <t>affiliates</t>
  </si>
  <si>
    <t>bid-adr</t>
  </si>
  <si>
    <t>5 Gum</t>
  </si>
  <si>
    <t>gm5</t>
  </si>
  <si>
    <t>Advanced/Connected TV</t>
  </si>
  <si>
    <t>CTV</t>
  </si>
  <si>
    <t>P2</t>
  </si>
  <si>
    <t>Europe 1</t>
  </si>
  <si>
    <t>Oral Care</t>
  </si>
  <si>
    <t>Petcare</t>
  </si>
  <si>
    <t>pn</t>
  </si>
  <si>
    <t>eur</t>
  </si>
  <si>
    <t>DMM</t>
  </si>
  <si>
    <t>dog-mm</t>
  </si>
  <si>
    <t>audio</t>
  </si>
  <si>
    <t>views</t>
  </si>
  <si>
    <t>bid-dda</t>
  </si>
  <si>
    <t>Adoption</t>
  </si>
  <si>
    <t>adp</t>
  </si>
  <si>
    <t>Amplification</t>
  </si>
  <si>
    <t>AMP</t>
  </si>
  <si>
    <t>P3</t>
  </si>
  <si>
    <t>Ben’s Original RTH</t>
  </si>
  <si>
    <t>Royal Canin</t>
  </si>
  <si>
    <t>rc</t>
  </si>
  <si>
    <t>Latin America</t>
  </si>
  <si>
    <t>latam</t>
  </si>
  <si>
    <t>Cat Main Meal and Litter</t>
  </si>
  <si>
    <t>CML</t>
  </si>
  <si>
    <t>cat-mml</t>
  </si>
  <si>
    <t>DCOM</t>
  </si>
  <si>
    <t>display</t>
  </si>
  <si>
    <t>engagement</t>
  </si>
  <si>
    <t>bid-nadr</t>
  </si>
  <si>
    <t>Advance</t>
  </si>
  <si>
    <t>adv</t>
  </si>
  <si>
    <t>Audio Streaming</t>
  </si>
  <si>
    <t>P4</t>
  </si>
  <si>
    <t>Iams Cat</t>
  </si>
  <si>
    <t>Food</t>
  </si>
  <si>
    <t>food</t>
  </si>
  <si>
    <t>mea</t>
  </si>
  <si>
    <t>SPH</t>
  </si>
  <si>
    <t>sph</t>
  </si>
  <si>
    <t>Sales</t>
  </si>
  <si>
    <t>traffic</t>
  </si>
  <si>
    <t>biddable - ibe</t>
  </si>
  <si>
    <t>bid-ibe</t>
  </si>
  <si>
    <t>Airwaves</t>
  </si>
  <si>
    <t>wav</t>
  </si>
  <si>
    <t>Broadcaster VoD</t>
  </si>
  <si>
    <t>BVO</t>
  </si>
  <si>
    <t>P5</t>
  </si>
  <si>
    <t>Iams Dog</t>
  </si>
  <si>
    <t>Kind</t>
  </si>
  <si>
    <t>Ferret</t>
  </si>
  <si>
    <t>influencer</t>
  </si>
  <si>
    <t>Leads</t>
  </si>
  <si>
    <t>biddable-addressable-ibe</t>
  </si>
  <si>
    <t>bid-adr-ibe</t>
  </si>
  <si>
    <t>Alert</t>
  </si>
  <si>
    <t>alr</t>
  </si>
  <si>
    <t>Bus</t>
  </si>
  <si>
    <t>BUS</t>
  </si>
  <si>
    <t>P6</t>
  </si>
  <si>
    <t>Mars</t>
  </si>
  <si>
    <t>Mars, Inc.</t>
  </si>
  <si>
    <t>inc</t>
  </si>
  <si>
    <t>Fish</t>
  </si>
  <si>
    <t>FSH</t>
  </si>
  <si>
    <t>app install</t>
  </si>
  <si>
    <t>direct-addressable</t>
  </si>
  <si>
    <t>dir-adr</t>
  </si>
  <si>
    <t>All Themes</t>
  </si>
  <si>
    <t>all</t>
  </si>
  <si>
    <t>Cinema</t>
  </si>
  <si>
    <t>CNM</t>
  </si>
  <si>
    <t>P7</t>
  </si>
  <si>
    <t>CHO</t>
  </si>
  <si>
    <t>choc</t>
  </si>
  <si>
    <t>ooh</t>
  </si>
  <si>
    <t>direct-data driven audience</t>
  </si>
  <si>
    <t>dir-dda</t>
  </si>
  <si>
    <t>Almond and coconut</t>
  </si>
  <si>
    <t>anc</t>
  </si>
  <si>
    <t>Contracts</t>
  </si>
  <si>
    <t>CTS</t>
  </si>
  <si>
    <t>P8</t>
  </si>
  <si>
    <t>Altoids</t>
  </si>
  <si>
    <t>Confections</t>
  </si>
  <si>
    <t>CON</t>
  </si>
  <si>
    <t>conf</t>
  </si>
  <si>
    <t>other</t>
  </si>
  <si>
    <t>dir-nadr</t>
  </si>
  <si>
    <t>alt</t>
  </si>
  <si>
    <t>Couponing</t>
  </si>
  <si>
    <t>CPN</t>
  </si>
  <si>
    <t>P9</t>
  </si>
  <si>
    <t>Balisto</t>
  </si>
  <si>
    <t>Asia</t>
  </si>
  <si>
    <t>Whiskas</t>
  </si>
  <si>
    <t>ppc</t>
  </si>
  <si>
    <t>direct-ibe</t>
  </si>
  <si>
    <t>dir-ibe</t>
  </si>
  <si>
    <t>American Heritage</t>
  </si>
  <si>
    <t>amh</t>
  </si>
  <si>
    <t>Digital</t>
  </si>
  <si>
    <t>DGT</t>
  </si>
  <si>
    <t>P10</t>
  </si>
  <si>
    <t>Birth and Growth</t>
  </si>
  <si>
    <t>META</t>
  </si>
  <si>
    <t>Whiskas Wet</t>
  </si>
  <si>
    <t>Ice Cream</t>
  </si>
  <si>
    <t>ICE</t>
  </si>
  <si>
    <t>ice-cream</t>
  </si>
  <si>
    <t>print</t>
  </si>
  <si>
    <t>direct-addressable-ibe</t>
  </si>
  <si>
    <t>dir-adr-ibe</t>
  </si>
  <si>
    <t>bal</t>
  </si>
  <si>
    <t>Digital Display</t>
  </si>
  <si>
    <t>DD</t>
  </si>
  <si>
    <t>P11</t>
  </si>
  <si>
    <t>Bites</t>
  </si>
  <si>
    <t>Cesar</t>
  </si>
  <si>
    <t>Mints</t>
  </si>
  <si>
    <t>MIN</t>
  </si>
  <si>
    <t>mints</t>
  </si>
  <si>
    <t>search</t>
  </si>
  <si>
    <t>Ben’s Original</t>
  </si>
  <si>
    <t>ubn</t>
  </si>
  <si>
    <t>Digital Partnership</t>
  </si>
  <si>
    <t>DP</t>
  </si>
  <si>
    <t>P12</t>
  </si>
  <si>
    <t>Boomer</t>
  </si>
  <si>
    <t>Pedigree Dry</t>
  </si>
  <si>
    <t>Ready to Heat</t>
  </si>
  <si>
    <t>RTH</t>
  </si>
  <si>
    <t>Ben’s Original Beginner’s</t>
  </si>
  <si>
    <t>ubb</t>
  </si>
  <si>
    <t>Digital VOD</t>
  </si>
  <si>
    <t>DVO</t>
  </si>
  <si>
    <t>P13</t>
  </si>
  <si>
    <t>Bounty</t>
  </si>
  <si>
    <t>Dolmio</t>
  </si>
  <si>
    <t>Masterfoods Herbs and Spices</t>
  </si>
  <si>
    <t>MF-HS</t>
  </si>
  <si>
    <t>sub-snacks</t>
  </si>
  <si>
    <t>Ben’s Original BIB</t>
  </si>
  <si>
    <t>ubi</t>
  </si>
  <si>
    <t>DVD</t>
  </si>
  <si>
    <t>Breed</t>
  </si>
  <si>
    <t>Snickers</t>
  </si>
  <si>
    <t>Masterfoods Foodservice</t>
  </si>
  <si>
    <t>MF-FS</t>
  </si>
  <si>
    <t>rth</t>
  </si>
  <si>
    <t>Ben’s Original Hero Meals</t>
  </si>
  <si>
    <t>ubh</t>
  </si>
  <si>
    <t>E-Commerce</t>
  </si>
  <si>
    <t>Care &amp; Sensitivities</t>
  </si>
  <si>
    <t>Skittles</t>
  </si>
  <si>
    <t xml:space="preserve">Tasty Bite
</t>
  </si>
  <si>
    <t>TB</t>
  </si>
  <si>
    <t>mf-hs</t>
  </si>
  <si>
    <t>ubr</t>
  </si>
  <si>
    <t>Hispanic Digital OOH</t>
  </si>
  <si>
    <t>HDO</t>
  </si>
  <si>
    <t>Catisfactions</t>
  </si>
  <si>
    <t>LATAM</t>
  </si>
  <si>
    <t>DoubleMint Mints</t>
  </si>
  <si>
    <t>Tasty Bite Foodservice</t>
  </si>
  <si>
    <t>TB-FS</t>
  </si>
  <si>
    <t>mf-fs</t>
  </si>
  <si>
    <t>Ben’s Original Sauces</t>
  </si>
  <si>
    <t>ubs</t>
  </si>
  <si>
    <t>Hispanic Magazines</t>
  </si>
  <si>
    <t>Catsan</t>
  </si>
  <si>
    <t>Seeds of Change</t>
  </si>
  <si>
    <t>SOC</t>
  </si>
  <si>
    <t>dolmio</t>
  </si>
  <si>
    <t>Ben’s Original Twinpot</t>
  </si>
  <si>
    <t>ubt</t>
  </si>
  <si>
    <t>Hispanic Online Video</t>
  </si>
  <si>
    <t>HOV</t>
  </si>
  <si>
    <t>Celebrations</t>
  </si>
  <si>
    <t>Twix</t>
  </si>
  <si>
    <t>Dry</t>
  </si>
  <si>
    <t>DRY</t>
  </si>
  <si>
    <t>tb</t>
  </si>
  <si>
    <t>bag</t>
  </si>
  <si>
    <t>Hispanic OOH</t>
  </si>
  <si>
    <t>HOH</t>
  </si>
  <si>
    <t>Europe 2</t>
  </si>
  <si>
    <t>OTH</t>
  </si>
  <si>
    <t>tb-fs</t>
  </si>
  <si>
    <t>Biscrok</t>
  </si>
  <si>
    <t>bis</t>
  </si>
  <si>
    <t>Hispanic Paid Social Video</t>
  </si>
  <si>
    <t>HSV</t>
  </si>
  <si>
    <t>Chappi</t>
  </si>
  <si>
    <t>Nutro</t>
  </si>
  <si>
    <t>soc</t>
  </si>
  <si>
    <t>bit</t>
  </si>
  <si>
    <t>Hispanic Spot Radio</t>
  </si>
  <si>
    <t>HSR</t>
  </si>
  <si>
    <t>CocoaVia</t>
  </si>
  <si>
    <t>dry</t>
  </si>
  <si>
    <t>Blueberry almond</t>
  </si>
  <si>
    <t>bla</t>
  </si>
  <si>
    <t>Hispanic TV</t>
  </si>
  <si>
    <t>HTV</t>
  </si>
  <si>
    <t>Combos</t>
  </si>
  <si>
    <t>Blueberry vanilla and cashew</t>
  </si>
  <si>
    <t>bvc</t>
  </si>
  <si>
    <t>Magazines</t>
  </si>
  <si>
    <t>M</t>
  </si>
  <si>
    <t>Consideration</t>
  </si>
  <si>
    <t>Eukanuba</t>
  </si>
  <si>
    <t>bom</t>
  </si>
  <si>
    <t>Magazines + Newspapers</t>
  </si>
  <si>
    <t>MNN</t>
  </si>
  <si>
    <t>Cool Air</t>
  </si>
  <si>
    <t>bou</t>
  </si>
  <si>
    <t>Malls</t>
  </si>
  <si>
    <t>MAL</t>
  </si>
  <si>
    <t>Crave</t>
  </si>
  <si>
    <t>DoubleMint Gum</t>
  </si>
  <si>
    <t>bre</t>
  </si>
  <si>
    <t>Mobile Display</t>
  </si>
  <si>
    <t>Crispy</t>
  </si>
  <si>
    <t>Eclipse Gum</t>
  </si>
  <si>
    <t>Caramel almond and sea salt</t>
  </si>
  <si>
    <t>css</t>
  </si>
  <si>
    <t>Mobile Video</t>
  </si>
  <si>
    <t>Dine</t>
  </si>
  <si>
    <t>LifeSaver Mints</t>
  </si>
  <si>
    <t>cas</t>
  </si>
  <si>
    <t>Newspapers</t>
  </si>
  <si>
    <t>Excel Mints</t>
  </si>
  <si>
    <t>caf</t>
  </si>
  <si>
    <t>Non Measured TV</t>
  </si>
  <si>
    <t>NMT</t>
  </si>
  <si>
    <t>cat</t>
  </si>
  <si>
    <t>Online Video</t>
  </si>
  <si>
    <t>OV</t>
  </si>
  <si>
    <t>Greenies</t>
  </si>
  <si>
    <t>cel</t>
  </si>
  <si>
    <t>OOH Video</t>
  </si>
  <si>
    <t>OHV</t>
  </si>
  <si>
    <t>Dove / Galaxy</t>
  </si>
  <si>
    <t>ces</t>
  </si>
  <si>
    <t>Dreamies</t>
  </si>
  <si>
    <t>Champ Dry</t>
  </si>
  <si>
    <t>chd</t>
  </si>
  <si>
    <t>Other (OOH)</t>
  </si>
  <si>
    <t>OOH</t>
  </si>
  <si>
    <t>Ebly</t>
  </si>
  <si>
    <t>cha</t>
  </si>
  <si>
    <t>Paid Search</t>
  </si>
  <si>
    <t>Chocolate Digital Pot</t>
  </si>
  <si>
    <t>cdp</t>
  </si>
  <si>
    <t>Paid Social Display</t>
  </si>
  <si>
    <t>PSD</t>
  </si>
  <si>
    <t>Eclipse Mints</t>
  </si>
  <si>
    <t>Chocolate Multi-brand</t>
  </si>
  <si>
    <t>cmb</t>
  </si>
  <si>
    <t>Paid Social Video</t>
  </si>
  <si>
    <t>PSV</t>
  </si>
  <si>
    <t>Enterprise</t>
  </si>
  <si>
    <t>Chocolate Shopper</t>
  </si>
  <si>
    <t>csh</t>
  </si>
  <si>
    <t>Paid TV</t>
  </si>
  <si>
    <t>PTV</t>
  </si>
  <si>
    <t>ccv</t>
  </si>
  <si>
    <t>Partnership</t>
  </si>
  <si>
    <t>Excel Drops</t>
  </si>
  <si>
    <t>Sticks</t>
  </si>
  <si>
    <t>com</t>
  </si>
  <si>
    <t>Conejos</t>
  </si>
  <si>
    <t>coj</t>
  </si>
  <si>
    <t>Premium Online Display</t>
  </si>
  <si>
    <t>POD</t>
  </si>
  <si>
    <t>Sheba</t>
  </si>
  <si>
    <t>Cat Portfolio</t>
  </si>
  <si>
    <t>cod</t>
  </si>
  <si>
    <t>Premium Online Video</t>
  </si>
  <si>
    <t>POV</t>
  </si>
  <si>
    <t>Exelcat</t>
  </si>
  <si>
    <t>Orbit Gum</t>
  </si>
  <si>
    <t>coa</t>
  </si>
  <si>
    <t>Press Partnership</t>
  </si>
  <si>
    <t>PP</t>
  </si>
  <si>
    <t>Maltesers</t>
  </si>
  <si>
    <t>crv</t>
  </si>
  <si>
    <t>Production</t>
  </si>
  <si>
    <t>PRD</t>
  </si>
  <si>
    <t>Extra Mints</t>
  </si>
  <si>
    <t>cri</t>
  </si>
  <si>
    <t>Radio Airtime</t>
  </si>
  <si>
    <t>RA</t>
  </si>
  <si>
    <t>Extra Prof</t>
  </si>
  <si>
    <t>Jewels</t>
  </si>
  <si>
    <t>Crunchy peanut butter</t>
  </si>
  <si>
    <t>cpb</t>
  </si>
  <si>
    <t>Radio Promotion</t>
  </si>
  <si>
    <t>RP</t>
  </si>
  <si>
    <t>Flutes</t>
  </si>
  <si>
    <t>CSR Initiative</t>
  </si>
  <si>
    <t>csr</t>
  </si>
  <si>
    <t>Radio Sponsorship</t>
  </si>
  <si>
    <t>Freedent</t>
  </si>
  <si>
    <t>Snickers Miniatures</t>
  </si>
  <si>
    <t>Dark chocolate nuts and sea salt</t>
  </si>
  <si>
    <t>dcs</t>
  </si>
  <si>
    <t>Rail</t>
  </si>
  <si>
    <t>RAL</t>
  </si>
  <si>
    <t>Frolic</t>
  </si>
  <si>
    <t>Milky way</t>
  </si>
  <si>
    <t>din</t>
  </si>
  <si>
    <t>Research</t>
  </si>
  <si>
    <t>RSC</t>
  </si>
  <si>
    <t>Starburst</t>
  </si>
  <si>
    <t>dol</t>
  </si>
  <si>
    <t>Reserve Other</t>
  </si>
  <si>
    <t>Gifting</t>
  </si>
  <si>
    <t>Skwinkles</t>
  </si>
  <si>
    <t>Double dark chocolate</t>
  </si>
  <si>
    <t>ddc</t>
  </si>
  <si>
    <t>Roadside</t>
  </si>
  <si>
    <t>ROS</t>
  </si>
  <si>
    <t>Golden Eggs</t>
  </si>
  <si>
    <t>dmg</t>
  </si>
  <si>
    <t>Sampling</t>
  </si>
  <si>
    <t>SAM</t>
  </si>
  <si>
    <t>Goodness Knows</t>
  </si>
  <si>
    <t>Whiskas C&amp;T</t>
  </si>
  <si>
    <t>dmm</t>
  </si>
  <si>
    <t>SEO</t>
  </si>
  <si>
    <t>Dog Portfolio</t>
  </si>
  <si>
    <t>dsg</t>
  </si>
  <si>
    <t>Sponsorship (Other)</t>
  </si>
  <si>
    <t>SPO</t>
  </si>
  <si>
    <t>Gum Disposal Awareness</t>
  </si>
  <si>
    <t>Positive Treats</t>
  </si>
  <si>
    <t>Dove / Galaxy Ice Cream</t>
  </si>
  <si>
    <t>dgic</t>
  </si>
  <si>
    <t>Sponsorship (Video)</t>
  </si>
  <si>
    <t>SPV</t>
  </si>
  <si>
    <t>Hubba Bubba</t>
  </si>
  <si>
    <t>Dove High Cacao</t>
  </si>
  <si>
    <t>dhc</t>
  </si>
  <si>
    <t>Spot TV</t>
  </si>
  <si>
    <t>STV</t>
  </si>
  <si>
    <t>Kitekat</t>
  </si>
  <si>
    <t>dre</t>
  </si>
  <si>
    <t>Supermarket</t>
  </si>
  <si>
    <t>Iams Cat and Dog</t>
  </si>
  <si>
    <t>Perfect Fit</t>
  </si>
  <si>
    <t>ebl</t>
  </si>
  <si>
    <t>Trade Print</t>
  </si>
  <si>
    <t>TP</t>
  </si>
  <si>
    <t>egm</t>
  </si>
  <si>
    <t>emt</t>
  </si>
  <si>
    <t>Institutional</t>
  </si>
  <si>
    <t>Jumbone</t>
  </si>
  <si>
    <t>Eliott</t>
  </si>
  <si>
    <t>ell</t>
  </si>
  <si>
    <t>IWOM</t>
  </si>
  <si>
    <t>COOL AIR</t>
  </si>
  <si>
    <t>ent</t>
  </si>
  <si>
    <t>Suzi Wan</t>
  </si>
  <si>
    <t>Ethel M</t>
  </si>
  <si>
    <t>etm</t>
  </si>
  <si>
    <t>euk</t>
  </si>
  <si>
    <t>Orbit Base</t>
  </si>
  <si>
    <t>ecd</t>
  </si>
  <si>
    <t>Juicy Fruit + Starburst Flavours</t>
  </si>
  <si>
    <t>ecg</t>
  </si>
  <si>
    <t>Kalkan</t>
  </si>
  <si>
    <t>ecm</t>
  </si>
  <si>
    <t>Kan Tong</t>
  </si>
  <si>
    <t>exe</t>
  </si>
  <si>
    <t>exg</t>
  </si>
  <si>
    <t>KiteKat, Perfect Fit, Frolic, Natusan</t>
  </si>
  <si>
    <t>Miracoli</t>
  </si>
  <si>
    <t>exm</t>
  </si>
  <si>
    <t>Korkunov</t>
  </si>
  <si>
    <t>exp</t>
  </si>
  <si>
    <t>LifeSaver Gummies</t>
  </si>
  <si>
    <t>Whiskas Pouch</t>
  </si>
  <si>
    <t>flu</t>
  </si>
  <si>
    <t>Pedigree Wet</t>
  </si>
  <si>
    <t>Food Digital Pot</t>
  </si>
  <si>
    <t>fdp</t>
  </si>
  <si>
    <t>Lockets</t>
  </si>
  <si>
    <t>fre</t>
  </si>
  <si>
    <t>Lucas</t>
  </si>
  <si>
    <t>Orbit Bottle</t>
  </si>
  <si>
    <t>fro</t>
  </si>
  <si>
    <t>Care &amp; Treats</t>
  </si>
  <si>
    <t>gal</t>
  </si>
  <si>
    <t>Nature’s Table Main Meal</t>
  </si>
  <si>
    <t>git</t>
  </si>
  <si>
    <t>MaltEaster</t>
  </si>
  <si>
    <t>BOOMER</t>
  </si>
  <si>
    <t>Goldbach</t>
  </si>
  <si>
    <t>gbc</t>
  </si>
  <si>
    <t>gol</t>
  </si>
  <si>
    <t>gks</t>
  </si>
  <si>
    <t>MasterFoods</t>
  </si>
  <si>
    <t>grn</t>
  </si>
  <si>
    <t>Masterfoods Brand</t>
  </si>
  <si>
    <t>Greenies Feline</t>
  </si>
  <si>
    <t>grf</t>
  </si>
  <si>
    <t>Masterfoods Functional</t>
  </si>
  <si>
    <t>gda</t>
  </si>
  <si>
    <t>Meaty Treats</t>
  </si>
  <si>
    <t>Premium and Health</t>
  </si>
  <si>
    <t>Honey oat</t>
  </si>
  <si>
    <t>hoo</t>
  </si>
  <si>
    <t>3Musketeers</t>
  </si>
  <si>
    <t>Honey roasted nuts and sea salt</t>
  </si>
  <si>
    <t>hrs</t>
  </si>
  <si>
    <t>Minstrels</t>
  </si>
  <si>
    <t>hub</t>
  </si>
  <si>
    <t>ict</t>
  </si>
  <si>
    <t>Misfits</t>
  </si>
  <si>
    <t>Vital Protection</t>
  </si>
  <si>
    <t>icd</t>
  </si>
  <si>
    <t>idg</t>
  </si>
  <si>
    <t>My Dog</t>
  </si>
  <si>
    <t>ice</t>
  </si>
  <si>
    <t>Natural Choice</t>
  </si>
  <si>
    <t>int</t>
  </si>
  <si>
    <t>Natural Defense</t>
  </si>
  <si>
    <t>iwo</t>
  </si>
  <si>
    <t>jwb</t>
  </si>
  <si>
    <t>Optimum</t>
  </si>
  <si>
    <t>Orbit Oral Health Care</t>
  </si>
  <si>
    <t>jew</t>
  </si>
  <si>
    <t>jft</t>
  </si>
  <si>
    <t>jfs</t>
  </si>
  <si>
    <t>jum</t>
  </si>
  <si>
    <t>Orbit Mints</t>
  </si>
  <si>
    <t>kal</t>
  </si>
  <si>
    <t>Schmackos</t>
  </si>
  <si>
    <t>kan</t>
  </si>
  <si>
    <t>Orbit Professional</t>
  </si>
  <si>
    <t>Karma</t>
  </si>
  <si>
    <t>kar</t>
  </si>
  <si>
    <t>Kind Bark</t>
  </si>
  <si>
    <t>kbk</t>
  </si>
  <si>
    <t>Marrobone</t>
  </si>
  <si>
    <t>Kind Bars</t>
  </si>
  <si>
    <t>kbs</t>
  </si>
  <si>
    <t>Kind Breakfast Bars</t>
  </si>
  <si>
    <t>kbb</t>
  </si>
  <si>
    <t>Kind Frozen</t>
  </si>
  <si>
    <t>kfz</t>
  </si>
  <si>
    <t>Kind Frozen Bars</t>
  </si>
  <si>
    <t>kfb</t>
  </si>
  <si>
    <t>Pedigree Adoption Drive</t>
  </si>
  <si>
    <t>X-Brand</t>
  </si>
  <si>
    <t>Kind Frozen Pints</t>
  </si>
  <si>
    <t>kfp</t>
  </si>
  <si>
    <t>Sugus</t>
  </si>
  <si>
    <t>Kind Protein Bars</t>
  </si>
  <si>
    <t>kpb</t>
  </si>
  <si>
    <t>Seasonal</t>
  </si>
  <si>
    <t>kit</t>
  </si>
  <si>
    <t>Royco</t>
  </si>
  <si>
    <t>kpf</t>
  </si>
  <si>
    <t>kok</t>
  </si>
  <si>
    <t>lig</t>
  </si>
  <si>
    <t>PODs</t>
  </si>
  <si>
    <t>lim</t>
  </si>
  <si>
    <t>ProManage</t>
  </si>
  <si>
    <t>loc</t>
  </si>
  <si>
    <t>Raising The Bar</t>
  </si>
  <si>
    <t>Loose</t>
  </si>
  <si>
    <t/>
  </si>
  <si>
    <t>Ripple</t>
  </si>
  <si>
    <t>Lubimchik</t>
  </si>
  <si>
    <t>lub</t>
  </si>
  <si>
    <t>luc</t>
  </si>
  <si>
    <t>M&amp;M’S Minis</t>
  </si>
  <si>
    <t>mmm</t>
  </si>
  <si>
    <t>M&amp;M’S Mix</t>
  </si>
  <si>
    <t>mmx</t>
  </si>
  <si>
    <t>mms</t>
  </si>
  <si>
    <t>M&amp;Ms Fudge Brownies</t>
  </si>
  <si>
    <t>mfb</t>
  </si>
  <si>
    <t>M&amp;Ms Seasonal</t>
  </si>
  <si>
    <t>mmss</t>
  </si>
  <si>
    <t>Madagascar vanilla almond</t>
  </si>
  <si>
    <t>mva</t>
  </si>
  <si>
    <t>mae</t>
  </si>
  <si>
    <t>mal</t>
  </si>
  <si>
    <t>Maple glazed pecan and sea salt</t>
  </si>
  <si>
    <t>mgs</t>
  </si>
  <si>
    <t>Main Meal</t>
  </si>
  <si>
    <t>mab</t>
  </si>
  <si>
    <t>Starburst Minis</t>
  </si>
  <si>
    <t>mar</t>
  </si>
  <si>
    <t>Mars Careers</t>
  </si>
  <si>
    <t>mac</t>
  </si>
  <si>
    <t>mfd</t>
  </si>
  <si>
    <t>msf</t>
  </si>
  <si>
    <t>Tailored Nutrition</t>
  </si>
  <si>
    <t>mff</t>
  </si>
  <si>
    <t>met</t>
  </si>
  <si>
    <t>Three Musketeers</t>
  </si>
  <si>
    <t>myw</t>
  </si>
  <si>
    <t>Transv. (animO)</t>
  </si>
  <si>
    <t>mil</t>
  </si>
  <si>
    <t>mir</t>
  </si>
  <si>
    <t>Ultra</t>
  </si>
  <si>
    <t>mis</t>
  </si>
  <si>
    <t>mub</t>
  </si>
  <si>
    <t>Ben’s Original Beginner's</t>
  </si>
  <si>
    <t>mdg</t>
  </si>
  <si>
    <t>ntc</t>
  </si>
  <si>
    <t>ntd</t>
  </si>
  <si>
    <t>ntm</t>
  </si>
  <si>
    <t>nut</t>
  </si>
  <si>
    <t>Ben’s Original Twinpots</t>
  </si>
  <si>
    <t>opt</t>
  </si>
  <si>
    <t>oce</t>
  </si>
  <si>
    <t>ora</t>
  </si>
  <si>
    <t>oro</t>
  </si>
  <si>
    <t>org</t>
  </si>
  <si>
    <t>Winterfresh</t>
  </si>
  <si>
    <t>orm</t>
  </si>
  <si>
    <t>orc</t>
  </si>
  <si>
    <t>Tasty Bite</t>
  </si>
  <si>
    <t>orp</t>
  </si>
  <si>
    <t>Peanut butter</t>
  </si>
  <si>
    <t>pbt</t>
  </si>
  <si>
    <t>Turin</t>
  </si>
  <si>
    <t>Peanut butter dark chocolate</t>
  </si>
  <si>
    <t>pbd</t>
  </si>
  <si>
    <t>Petcare Digital Pot</t>
  </si>
  <si>
    <t>pdg</t>
  </si>
  <si>
    <t>pda</t>
  </si>
  <si>
    <t>Petcare Multi-brand</t>
  </si>
  <si>
    <t>pdd</t>
  </si>
  <si>
    <t>Pedigree For Paws</t>
  </si>
  <si>
    <t>pfp</t>
  </si>
  <si>
    <t>Petcare Masterbrand</t>
  </si>
  <si>
    <t>pdw</t>
  </si>
  <si>
    <t>pff</t>
  </si>
  <si>
    <t>pdp</t>
  </si>
  <si>
    <t>pem</t>
  </si>
  <si>
    <t>pmb</t>
  </si>
  <si>
    <t>Petcare Shopper</t>
  </si>
  <si>
    <t>psh</t>
  </si>
  <si>
    <t>Wrigley Digital Pot</t>
  </si>
  <si>
    <t>cpk</t>
  </si>
  <si>
    <t>pod</t>
  </si>
  <si>
    <t>pot</t>
  </si>
  <si>
    <t>prm</t>
  </si>
  <si>
    <t>rtb</t>
  </si>
  <si>
    <t>rip</t>
  </si>
  <si>
    <t>ryc</t>
  </si>
  <si>
    <t>roy</t>
  </si>
  <si>
    <t>sch</t>
  </si>
  <si>
    <t>sea</t>
  </si>
  <si>
    <t>she</t>
  </si>
  <si>
    <t>skt</t>
  </si>
  <si>
    <t>Wrigley Multi-brand</t>
  </si>
  <si>
    <t>Skittles Gummies</t>
  </si>
  <si>
    <t>skg</t>
  </si>
  <si>
    <t>For Paws</t>
  </si>
  <si>
    <t>Skittles Halloween</t>
  </si>
  <si>
    <t>skh</t>
  </si>
  <si>
    <t>skw</t>
  </si>
  <si>
    <t>sni</t>
  </si>
  <si>
    <t>Snickers Ice Cream Core</t>
  </si>
  <si>
    <t>sicc</t>
  </si>
  <si>
    <t>Toasted caramel nut</t>
  </si>
  <si>
    <t>Snickers Ice Cream Peanut Brownie</t>
  </si>
  <si>
    <t>sicpb</t>
  </si>
  <si>
    <t>Treat Town</t>
  </si>
  <si>
    <t>snm</t>
  </si>
  <si>
    <t>Dentastix</t>
  </si>
  <si>
    <t>Snickers Nut Brownie</t>
  </si>
  <si>
    <t>snb</t>
  </si>
  <si>
    <t>stb</t>
  </si>
  <si>
    <t>Starburst Gummies</t>
  </si>
  <si>
    <t>stg</t>
  </si>
  <si>
    <t>stm</t>
  </si>
  <si>
    <t>Starburst Seasonal</t>
  </si>
  <si>
    <t>sbs</t>
  </si>
  <si>
    <t>Food Multi-brand</t>
  </si>
  <si>
    <t>stc</t>
  </si>
  <si>
    <t>sug</t>
  </si>
  <si>
    <t>suw</t>
  </si>
  <si>
    <t>tan</t>
  </si>
  <si>
    <t>tab</t>
  </si>
  <si>
    <t>tem</t>
  </si>
  <si>
    <t>M&amp;Ms Mix</t>
  </si>
  <si>
    <t>mu3</t>
  </si>
  <si>
    <t>M&amp;Ms Minis</t>
  </si>
  <si>
    <t>tcn</t>
  </si>
  <si>
    <t>Twix Seasonal</t>
  </si>
  <si>
    <t>trn</t>
  </si>
  <si>
    <t>Twix Cookies and Crème</t>
  </si>
  <si>
    <t>trt</t>
  </si>
  <si>
    <t>tur</t>
  </si>
  <si>
    <t>twx</t>
  </si>
  <si>
    <t>Eliotte</t>
  </si>
  <si>
    <t xml:space="preserve">Twix Cookies and Crème </t>
  </si>
  <si>
    <t>tcc</t>
  </si>
  <si>
    <t xml:space="preserve">Twix Seasonal </t>
  </si>
  <si>
    <t>tws</t>
  </si>
  <si>
    <t>Food Shopper</t>
  </si>
  <si>
    <t>ult</t>
  </si>
  <si>
    <t>KIND Shopper</t>
  </si>
  <si>
    <t>KIND</t>
  </si>
  <si>
    <t>vpt</t>
  </si>
  <si>
    <t>whi</t>
  </si>
  <si>
    <t>Royal Canin Shopper</t>
  </si>
  <si>
    <t>whc</t>
  </si>
  <si>
    <t>Wrigley Shopper</t>
  </si>
  <si>
    <t>whp</t>
  </si>
  <si>
    <t>whw</t>
  </si>
  <si>
    <t>win</t>
  </si>
  <si>
    <t>wdp</t>
  </si>
  <si>
    <t>wmb</t>
  </si>
  <si>
    <t>xbr</t>
  </si>
  <si>
    <t>Wafer</t>
  </si>
  <si>
    <t>waf</t>
  </si>
  <si>
    <t>Portfolio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</si>
</sst>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Calibri"/>
      <family val="2"/>
      <scheme val="minor"/>
    </font>
    <font>
      <sz val="10"/>
      <name val="Calibri"/>
      <family val="2"/>
    </font>
    <font>
      <sz val="12"/>
      <color rgb="FF4E5969"/>
      <name val="Inherit"/>
    </font>
    <font>
      <sz val="8"/>
      <name val="Calibri"/>
      <family val="2"/>
      <scheme val="minor"/>
    </font>
    <font>
      <b/>
      <sz val="9"/>
      <color theme="0"/>
      <name val="Poppins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</font>
    <font>
      <sz val="9"/>
      <color theme="1"/>
      <name val="Poppins"/>
    </font>
    <font>
      <sz val="9"/>
      <name val="Poppins"/>
    </font>
    <font>
      <sz val="9"/>
      <color rgb="FFFF0000"/>
      <name val="Poppins"/>
    </font>
    <font>
      <b/>
      <sz val="11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charset val="1"/>
    </font>
    <font>
      <sz val="10"/>
      <color rgb="FF000000"/>
      <name val="Roboto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5B3D7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indexed="5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AD47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ck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indexed="8"/>
      </diagonal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4">
    <xf numFmtId="0" fontId="0" fillId="0" borderId="0"/>
    <xf numFmtId="0" fontId="1" fillId="0" borderId="1"/>
    <xf numFmtId="0" fontId="1" fillId="0" borderId="0"/>
    <xf numFmtId="0" fontId="8" fillId="9" borderId="0">
      <alignment horizontal="center" vertical="center"/>
    </xf>
  </cellStyleXfs>
  <cellXfs count="5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2" fontId="0" fillId="0" borderId="0" xfId="0" applyNumberFormat="1"/>
    <xf numFmtId="0" fontId="2" fillId="2" borderId="2" xfId="0" applyFont="1" applyFill="1" applyBorder="1" applyAlignment="1">
      <alignment vertical="center" wrapText="1"/>
    </xf>
    <xf numFmtId="0" fontId="0" fillId="3" borderId="7" xfId="0" applyFill="1" applyBorder="1"/>
    <xf numFmtId="0" fontId="0" fillId="3" borderId="3" xfId="0" applyFill="1" applyBorder="1"/>
    <xf numFmtId="1" fontId="0" fillId="3" borderId="3" xfId="0" applyNumberFormat="1" applyFill="1" applyBorder="1"/>
    <xf numFmtId="0" fontId="0" fillId="3" borderId="8" xfId="0" applyFill="1" applyBorder="1"/>
    <xf numFmtId="0" fontId="0" fillId="0" borderId="7" xfId="0" applyBorder="1"/>
    <xf numFmtId="0" fontId="0" fillId="0" borderId="3" xfId="0" applyBorder="1"/>
    <xf numFmtId="1" fontId="0" fillId="0" borderId="3" xfId="0" applyNumberFormat="1" applyBorder="1"/>
    <xf numFmtId="0" fontId="0" fillId="0" borderId="8" xfId="0" applyBorder="1"/>
    <xf numFmtId="0" fontId="0" fillId="0" borderId="9" xfId="0" applyBorder="1"/>
    <xf numFmtId="1" fontId="0" fillId="0" borderId="9" xfId="0" applyNumberFormat="1" applyBorder="1"/>
    <xf numFmtId="0" fontId="0" fillId="0" borderId="10" xfId="0" applyBorder="1"/>
    <xf numFmtId="0" fontId="4" fillId="5" borderId="0" xfId="0" applyFont="1" applyFill="1"/>
    <xf numFmtId="0" fontId="5" fillId="0" borderId="0" xfId="0" applyFont="1"/>
    <xf numFmtId="0" fontId="6" fillId="6" borderId="0" xfId="0" applyFont="1" applyFill="1"/>
    <xf numFmtId="0" fontId="6" fillId="7" borderId="0" xfId="0" applyFont="1" applyFill="1"/>
    <xf numFmtId="0" fontId="7" fillId="8" borderId="0" xfId="0" applyFont="1" applyFill="1"/>
    <xf numFmtId="49" fontId="8" fillId="9" borderId="12" xfId="3" applyNumberFormat="1" applyBorder="1">
      <alignment horizontal="center" vertical="center"/>
    </xf>
    <xf numFmtId="49" fontId="1" fillId="0" borderId="13" xfId="1" applyNumberFormat="1" applyBorder="1"/>
    <xf numFmtId="0" fontId="1" fillId="0" borderId="13" xfId="1" applyBorder="1"/>
    <xf numFmtId="0" fontId="9" fillId="0" borderId="0" xfId="0" applyFont="1"/>
    <xf numFmtId="49" fontId="1" fillId="0" borderId="14" xfId="1" applyNumberFormat="1" applyBorder="1"/>
    <xf numFmtId="0" fontId="10" fillId="0" borderId="0" xfId="0" applyFont="1"/>
    <xf numFmtId="0" fontId="11" fillId="0" borderId="0" xfId="0" applyFont="1"/>
    <xf numFmtId="0" fontId="0" fillId="0" borderId="5" xfId="0" applyBorder="1"/>
    <xf numFmtId="0" fontId="7" fillId="0" borderId="0" xfId="0" applyFont="1"/>
    <xf numFmtId="0" fontId="0" fillId="4" borderId="4" xfId="0" applyFill="1" applyBorder="1" applyAlignment="1">
      <alignment wrapText="1"/>
    </xf>
    <xf numFmtId="0" fontId="0" fillId="4" borderId="5" xfId="0" applyFill="1" applyBorder="1" applyAlignment="1">
      <alignment wrapText="1"/>
    </xf>
    <xf numFmtId="0" fontId="4" fillId="5" borderId="0" xfId="0" applyFont="1" applyFill="1" applyAlignment="1">
      <alignment wrapText="1"/>
    </xf>
    <xf numFmtId="2" fontId="0" fillId="4" borderId="5" xfId="0" applyNumberFormat="1" applyFill="1" applyBorder="1" applyAlignment="1">
      <alignment wrapText="1"/>
    </xf>
    <xf numFmtId="0" fontId="0" fillId="4" borderId="6" xfId="0" applyFill="1" applyBorder="1" applyAlignment="1">
      <alignment wrapText="1"/>
    </xf>
    <xf numFmtId="0" fontId="12" fillId="10" borderId="15" xfId="0" applyFont="1" applyFill="1" applyBorder="1" applyAlignment="1">
      <alignment horizontal="center" vertical="center" wrapText="1"/>
    </xf>
    <xf numFmtId="0" fontId="0" fillId="4" borderId="11" xfId="0" applyFill="1" applyBorder="1" applyAlignment="1">
      <alignment wrapText="1"/>
    </xf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13" fillId="0" borderId="0" xfId="0" applyFont="1" applyAlignment="1">
      <alignment wrapText="1"/>
    </xf>
    <xf numFmtId="0" fontId="14" fillId="0" borderId="0" xfId="0" applyFont="1"/>
    <xf numFmtId="0" fontId="15" fillId="0" borderId="0" xfId="0" applyFont="1"/>
    <xf numFmtId="0" fontId="0" fillId="11" borderId="7" xfId="0" applyFill="1" applyBorder="1"/>
    <xf numFmtId="0" fontId="0" fillId="11" borderId="3" xfId="0" applyFill="1" applyBorder="1"/>
    <xf numFmtId="1" fontId="0" fillId="11" borderId="3" xfId="0" applyNumberFormat="1" applyFill="1" applyBorder="1"/>
    <xf numFmtId="0" fontId="0" fillId="11" borderId="8" xfId="0" applyFill="1" applyBorder="1"/>
    <xf numFmtId="0" fontId="0" fillId="11" borderId="5" xfId="0" applyFill="1" applyBorder="1"/>
    <xf numFmtId="0" fontId="0" fillId="11" borderId="16" xfId="0" applyFill="1" applyBorder="1"/>
    <xf numFmtId="0" fontId="0" fillId="11" borderId="0" xfId="0" applyFill="1"/>
    <xf numFmtId="0" fontId="0" fillId="3" borderId="5" xfId="0" applyFill="1" applyBorder="1"/>
    <xf numFmtId="0" fontId="0" fillId="3" borderId="16" xfId="0" applyFill="1" applyBorder="1"/>
    <xf numFmtId="0" fontId="0" fillId="3" borderId="0" xfId="0" applyFill="1"/>
    <xf numFmtId="0" fontId="0" fillId="0" borderId="18" xfId="0" applyBorder="1"/>
  </cellXfs>
  <cellStyles count="4">
    <cellStyle name="Border_Inside_Style" xfId="1" xr:uid="{395DFA4B-5F3F-4078-BD89-5738D1D315FD}"/>
    <cellStyle name="Normal" xfId="0" builtinId="0"/>
    <cellStyle name="Normal 2 2" xfId="2" xr:uid="{2F402795-0B4E-46CB-9A93-B20AD26DF3CB}"/>
    <cellStyle name="TH" xfId="3" xr:uid="{1887A24B-D90D-4F9F-B65E-9BC5E6AA64F9}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" formatCode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1"/>
        </patternFill>
      </fill>
      <alignment wrapText="1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EEF8FC-2F8B-4382-B45E-AA44C8F2E48C}" name="Table15" displayName="Table15" ref="A2:AA20" totalsRowShown="0" headerRowDxfId="32" headerRowBorderDxfId="31" tableBorderDxfId="30" totalsRowBorderDxfId="29">
  <tableColumns count="27">
    <tableColumn id="1" xr3:uid="{9873DA78-E9F4-4CD7-8A71-12248FEFA102}" name="Market" dataDxfId="28"/>
    <tableColumn id="18" xr3:uid="{B308CB8D-88B3-432B-849C-FD1ACDB608A0}" name="Market Code" dataDxfId="27">
      <calculatedColumnFormula>IFERROR(VLOOKUP(Table15[[#This Row],[Market]],Table3[#All],2,FALSE),"")</calculatedColumnFormula>
    </tableColumn>
    <tableColumn id="2" xr3:uid="{0B4B005D-C913-4EBB-8F85-B85A6628D422}" name="Sub-Product" dataDxfId="26"/>
    <tableColumn id="11" xr3:uid="{12CB3077-77A5-4DC0-920A-137DE9AA61AF}" name="Sub-Product Code" dataDxfId="25">
      <calculatedColumnFormula>IFERROR(VLOOKUP(Table15[[#This Row],[Sub-Product]],'DV Lookups'!$D$2:$E$213,2,FALSE),"")</calculatedColumnFormula>
    </tableColumn>
    <tableColumn id="3" xr3:uid="{648E17BB-D5DE-42A4-BDD4-FAA2D3254D7B}" name="campaign name (free field)" dataDxfId="24"/>
    <tableColumn id="20" xr3:uid="{9D8EE4F5-6789-4500-9D51-FA83AB00A7A4}" name="segment (LU Off Sub-Product)" dataDxfId="23">
      <calculatedColumnFormula>IFERROR(VLOOKUP(Table15[[#This Row],[Sub-Product]],'DV Lookups'!$R$2:$S$207,2,FALSE),"")</calculatedColumnFormula>
    </tableColumn>
    <tableColumn id="21" xr3:uid="{6A315623-211E-42BC-AF7E-05995DB47E55}" name="segment code (LU Off Segment)" dataDxfId="22">
      <calculatedColumnFormula>IFERROR(VLOOKUP(Table15[[#This Row],[segment (LU Off Sub-Product)]],'DV Lookups'!$AD$3:$AE$8,2,FALSE),"")</calculatedColumnFormula>
    </tableColumn>
    <tableColumn id="22" xr3:uid="{98903F82-D92C-4A07-82C6-84921777EC7E}" name="region" dataDxfId="21"/>
    <tableColumn id="23" xr3:uid="{97A54ECE-0533-4A84-B24A-B04627668453}" name="region code (LU Off Region) - Options look way different" dataDxfId="20">
      <calculatedColumnFormula>IFERROR(VLOOKUP(Table15[[#This Row],[region]],'DV Lookups'!$AG$3:$AH$12,2,FALSE),"")</calculatedColumnFormula>
    </tableColumn>
    <tableColumn id="24" xr3:uid="{A999B3AE-05C7-4747-A367-964277C66C24}" name="portfolio" dataDxfId="19"/>
    <tableColumn id="25" xr3:uid="{A17262EC-2F26-47BB-9ECC-E671D60C597D}" name="portfolio code (LU Off Portfolio)" dataDxfId="18">
      <calculatedColumnFormula>IFERROR(VLOOKUP(Table15[[#This Row],[portfolio]],'DV Lookups'!$AK$2:$AL$21,2,FALSE),"")</calculatedColumnFormula>
    </tableColumn>
    <tableColumn id="26" xr3:uid="{494E96F0-E29C-4258-9D34-DF2CF3DD59E8}" name="business channel" dataDxfId="17"/>
    <tableColumn id="27" xr3:uid="{62CAF723-0F41-4AB3-846F-F71CC9AE1BA2}" name="media channel" dataDxfId="16"/>
    <tableColumn id="28" xr3:uid="{B1D029DF-5923-4986-BA87-697AC6255793}" name="objective" dataDxfId="15"/>
    <tableColumn id="29" xr3:uid="{44937E3F-6BC3-4A61-8677-F83360154CA7}" name="Campaign Type" dataDxfId="14"/>
    <tableColumn id="30" xr3:uid="{80A40205-9B14-4143-AF52-85395CF3AF86}" name="addressable code" dataDxfId="13">
      <calculatedColumnFormula>IFERROR(VLOOKUP(Table15[[#This Row],[Campaign Type]],'DV Lookups'!$AW$3:$AX$12,2,FALSE),"")</calculatedColumnFormula>
    </tableColumn>
    <tableColumn id="5" xr3:uid="{A176FB0B-902D-45D1-A4EB-C09909422367}" name="Campaign Start Year" dataDxfId="12"/>
    <tableColumn id="31" xr3:uid="{F78D943B-E431-47FE-AAD9-257BF39E2C67}" name="Campaign Start Year Code" dataDxfId="11">
      <calculatedColumnFormula>IFERROR(VLOOKUP(Table15[[#This Row],[Campaign Start Year]],'DV Lookups'!$H$3:$I$23,2,FALSE),"")</calculatedColumnFormula>
    </tableColumn>
    <tableColumn id="4" xr3:uid="{0179E951-BB00-4A7B-9B82-EB723FFD92E4}" name="Campaign Start Month" dataDxfId="10"/>
    <tableColumn id="32" xr3:uid="{DF8032B1-AD05-483D-91A0-2BE56794E93D}" name="Free Form" dataDxfId="9"/>
    <tableColumn id="6" xr3:uid="{0B176B5B-6936-4807-84FE-1613E292E200}" name="CDD" dataDxfId="8">
      <calculatedColumnFormula>IF(ISBLANK(E3),"DEFAULT",E3)</calculatedColumnFormula>
    </tableColumn>
    <tableColumn id="7" xr3:uid="{5EA5620D-108D-4D06-8E2B-A9989F63E2D1}" name="Zero" dataDxfId="7">
      <calculatedColumnFormula>0</calculatedColumnFormula>
    </tableColumn>
    <tableColumn id="8" xr3:uid="{B1DDFDBB-06B7-4CF7-AF72-3D927721C5F3}" name="CAMPAIGN NAME If Default" dataDxfId="6">
      <calculatedColumnFormula>CONCATENATE(B3,"_",Table15[[#This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code]],"_",IF(S3&gt;9,CONCATENATE(S3,R3),CONCATENATE(V3,S3,R3)),"_",Table15[[#This Row],[Free Form]])</calculatedColumnFormula>
    </tableColumn>
    <tableColumn id="9" xr3:uid="{CE865B78-73FF-4E45-B91F-DED3597F5D1C}" name="Concatenation" dataDxfId="5">
      <calculatedColumnFormula>IF(W3="_________0_","",IF(COUNTIF(A3:T3,"")&gt;0,"Not Valid",Table15[[#This Row],[CAMPAIGN NAME If Default]]))</calculatedColumnFormula>
    </tableColumn>
    <tableColumn id="10" xr3:uid="{5BF13384-882D-4AED-ADA5-57F6A0D354E2}" name="Hyphen" dataDxfId="4">
      <calculatedColumnFormula>SUBSTITUTE(X3," ","-")</calculatedColumnFormula>
    </tableColumn>
    <tableColumn id="12" xr3:uid="{0220CDC3-DEC7-42D4-AC62-9F4ED4DED730}" name="TAG - DO NOT MAKE MANUAL EDITS" dataDxfId="3">
      <calculatedColumnFormula>LOWER(Y3)</calculatedColumnFormula>
    </tableColumn>
    <tableColumn id="16" xr3:uid="{1782B6F7-8B03-4ED6-BBAE-8B430300FA1D}" name="Character Count" dataDxfId="2">
      <calculatedColumnFormula>LEN(Table15[[#This Row],[TAG - DO NOT MAKE MANUAL EDITS]])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F18C77-1A18-43BC-A72E-954780344BF4}" name="Table3" displayName="Table3" ref="A1:B86" totalsRowShown="0">
  <autoFilter ref="A1:B86" xr:uid="{38807EB0-B6E1-4D47-B093-B8BD39512C9C}"/>
  <sortState xmlns:xlrd2="http://schemas.microsoft.com/office/spreadsheetml/2017/richdata2" ref="A2:B86">
    <sortCondition ref="B1:B86"/>
  </sortState>
  <tableColumns count="2">
    <tableColumn id="1" xr3:uid="{88900CBE-9BFE-4238-BE50-108B676C0C41}" name="Country"/>
    <tableColumn id="2" xr3:uid="{92AA9727-C257-4E92-BCC6-ECB8E326B923}" name="Country code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61201BF-0E2C-42F1-B818-7548D591B0B2}" name="Table2" displayName="Table2" ref="K2:L60" totalsRowShown="0">
  <autoFilter ref="K2:L60" xr:uid="{961201BF-0E2C-42F1-B818-7548D591B0B2}"/>
  <sortState xmlns:xlrd2="http://schemas.microsoft.com/office/spreadsheetml/2017/richdata2" ref="K3:K61">
    <sortCondition ref="K2:K61"/>
  </sortState>
  <tableColumns count="2">
    <tableColumn id="1" xr3:uid="{F1AD8722-7E3C-42E4-8DDF-6AF4CB6714E4}" name="Media Types"/>
    <tableColumn id="2" xr3:uid="{E55F5957-AFF3-4944-AFAA-042FEBF54A29}" name="Media Type Lookup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0300-E30C-476A-BC02-3D84E60910E0}">
  <sheetPr codeName="Sheet7"/>
  <dimension ref="A1:AB20"/>
  <sheetViews>
    <sheetView showGridLines="0" topLeftCell="L1" zoomScale="80" zoomScaleNormal="80" workbookViewId="0">
      <selection activeCell="M3" sqref="M3"/>
    </sheetView>
  </sheetViews>
  <sheetFormatPr defaultColWidth="9.1796875" defaultRowHeight="14.5"/>
  <cols>
    <col min="1" max="1" width="9.453125" customWidth="1"/>
    <col min="2" max="2" width="14" customWidth="1"/>
    <col min="3" max="3" width="12.1796875" bestFit="1" customWidth="1"/>
    <col min="4" max="5" width="19.453125" customWidth="1"/>
    <col min="6" max="6" width="32.453125" customWidth="1"/>
    <col min="7" max="7" width="33.81640625" customWidth="1"/>
    <col min="8" max="8" width="21" bestFit="1" customWidth="1"/>
    <col min="9" max="9" width="58.54296875" customWidth="1"/>
    <col min="10" max="10" width="15.453125" customWidth="1"/>
    <col min="11" max="11" width="33.453125" customWidth="1"/>
    <col min="12" max="12" width="10.26953125" bestFit="1" customWidth="1"/>
    <col min="13" max="13" width="13.81640625" customWidth="1"/>
    <col min="14" max="14" width="21.26953125" customWidth="1"/>
    <col min="15" max="15" width="26.26953125" customWidth="1"/>
    <col min="16" max="16" width="21.26953125" hidden="1" customWidth="1"/>
    <col min="17" max="17" width="13.54296875" customWidth="1"/>
    <col min="18" max="18" width="0" hidden="1" customWidth="1"/>
    <col min="19" max="19" width="13.1796875" customWidth="1"/>
    <col min="20" max="20" width="9.1796875" customWidth="1"/>
    <col min="21" max="23" width="81.54296875" customWidth="1"/>
    <col min="24" max="25" width="81.54296875" style="3" customWidth="1"/>
    <col min="26" max="26" width="107.7265625" style="3" customWidth="1"/>
    <col min="27" max="27" width="15.26953125" bestFit="1" customWidth="1"/>
    <col min="28" max="28" width="46.54296875" customWidth="1"/>
    <col min="29" max="29" width="70.26953125" bestFit="1" customWidth="1"/>
    <col min="30" max="30" width="15.81640625" bestFit="1" customWidth="1"/>
  </cols>
  <sheetData>
    <row r="1" spans="1:28" ht="15" thickBot="1">
      <c r="X1"/>
      <c r="Y1"/>
      <c r="Z1"/>
    </row>
    <row r="2" spans="1:28" s="37" customFormat="1" ht="43.5" customHeight="1">
      <c r="A2" s="30" t="s">
        <v>0</v>
      </c>
      <c r="B2" s="30" t="s">
        <v>1</v>
      </c>
      <c r="C2" s="31" t="s">
        <v>2</v>
      </c>
      <c r="D2" s="31" t="s">
        <v>3</v>
      </c>
      <c r="E2" s="31" t="s">
        <v>4</v>
      </c>
      <c r="F2" s="32" t="s">
        <v>5</v>
      </c>
      <c r="G2" s="32" t="s">
        <v>6</v>
      </c>
      <c r="H2" s="32" t="s">
        <v>7</v>
      </c>
      <c r="I2" s="32" t="s">
        <v>8</v>
      </c>
      <c r="J2" s="32" t="s">
        <v>9</v>
      </c>
      <c r="K2" s="32" t="s">
        <v>10</v>
      </c>
      <c r="L2" s="32" t="s">
        <v>11</v>
      </c>
      <c r="M2" s="32" t="s">
        <v>12</v>
      </c>
      <c r="N2" s="32" t="s">
        <v>13</v>
      </c>
      <c r="O2" s="32" t="s">
        <v>14</v>
      </c>
      <c r="P2" s="32" t="s">
        <v>15</v>
      </c>
      <c r="Q2" s="31" t="s">
        <v>16</v>
      </c>
      <c r="R2" s="31" t="s">
        <v>17</v>
      </c>
      <c r="S2" s="31" t="s">
        <v>18</v>
      </c>
      <c r="T2" s="31" t="s">
        <v>19</v>
      </c>
      <c r="U2" s="31" t="s">
        <v>20</v>
      </c>
      <c r="V2" s="33" t="s">
        <v>21</v>
      </c>
      <c r="W2" s="31" t="s">
        <v>22</v>
      </c>
      <c r="X2" s="34" t="s">
        <v>23</v>
      </c>
      <c r="Y2" s="35" t="s">
        <v>24</v>
      </c>
      <c r="Z2" s="35" t="s">
        <v>25</v>
      </c>
      <c r="AA2" s="36" t="s">
        <v>26</v>
      </c>
    </row>
    <row r="3" spans="1:28" s="52" customFormat="1" ht="15.75" customHeight="1">
      <c r="A3" s="5" t="s">
        <v>27</v>
      </c>
      <c r="B3" s="5" t="str">
        <f>IFERROR(VLOOKUP(Table15[[#This Row],[Market]],Table3[#All],2,FALSE),"")</f>
        <v>SA</v>
      </c>
      <c r="C3" s="6" t="s">
        <v>28</v>
      </c>
      <c r="D3" s="6" t="str">
        <f>IFERROR(VLOOKUP(Table15[[#This Row],[Sub-Product]],'DV Lookups'!$D$2:$E$213,2,FALSE),"")</f>
        <v>gal</v>
      </c>
      <c r="E3" s="6"/>
      <c r="F3" s="6" t="str">
        <f>IFERROR(VLOOKUP(Table15[[#This Row],[Sub-Product]],'DV Lookups'!$R$2:$S$207,2,FALSE),"")</f>
        <v>MW</v>
      </c>
      <c r="G3" s="6" t="str">
        <f>IFERROR(VLOOKUP(Table15[[#This Row],[segment (LU Off Sub-Product)]],'DV Lookups'!$AD$3:$AE$8,2,FALSE),"")</f>
        <v>mw</v>
      </c>
      <c r="H3" s="6" t="s">
        <v>29</v>
      </c>
      <c r="I3" s="6" t="str">
        <f>IFERROR(VLOOKUP(Table15[[#This Row],[region]],'DV Lookups'!$AG$3:$AH$12,2,FALSE),"")</f>
        <v>mea</v>
      </c>
      <c r="J3" s="6" t="s">
        <v>30</v>
      </c>
      <c r="K3" s="6" t="str">
        <f>IFERROR(VLOOKUP(Table15[[#This Row],[portfolio]],'DV Lookups'!$AK$2:$AL$21,2,FALSE),"")</f>
        <v>CHO</v>
      </c>
      <c r="L3" s="6" t="s">
        <v>31</v>
      </c>
      <c r="M3" s="6" t="s">
        <v>32</v>
      </c>
      <c r="N3" s="6" t="s">
        <v>33</v>
      </c>
      <c r="O3" s="6" t="s">
        <v>34</v>
      </c>
      <c r="P3" s="6" t="str">
        <f>IFERROR(VLOOKUP(Table15[[#This Row],[Campaign Type]],'DV Lookups'!$AW$3:$AX$12,2,FALSE),"")</f>
        <v>bid-nadr</v>
      </c>
      <c r="Q3" s="6">
        <v>2023</v>
      </c>
      <c r="R3" s="6">
        <f>IFERROR(VLOOKUP(Table15[[#This Row],[Campaign Start Year]],'DV Lookups'!$H$3:$I$23,2,FALSE),"")</f>
        <v>23</v>
      </c>
      <c r="S3" s="6">
        <v>1</v>
      </c>
      <c r="T3" s="6" t="s">
        <v>35</v>
      </c>
      <c r="U3" s="6" t="str">
        <f>IF(ISBLANK(E3),"DEFAULT",E3)</f>
        <v>DEFAULT</v>
      </c>
      <c r="V3" s="7">
        <f>0</f>
        <v>0</v>
      </c>
      <c r="W3" s="6" t="str">
        <f>CONCATENATE(B3,"_",Table15[[#This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code]],"_",IF(S3&gt;9,CONCATENATE(S3,R3),CONCATENATE(V3,S3,R3)),"_",Table15[[#This Row],[Free Form]])</f>
        <v>SA_gal__mw_mea_CHO_Brand_social_awareness_bid-nadr_0123_na</v>
      </c>
      <c r="X3" s="8" t="str">
        <f>IF(W3="_________0_","",IF(COUNTIF(A3:T3,"")&gt;0,"Not Valid",Table15[[#This Row],[CAMPAIGN NAME If Default]]))</f>
        <v>Not Valid</v>
      </c>
      <c r="Y3" s="50" t="str">
        <f t="shared" ref="Y3:Y12" si="0">SUBSTITUTE(X3," ","-")</f>
        <v>Not-Valid</v>
      </c>
      <c r="Z3" s="50" t="str">
        <f t="shared" ref="Z3:Z12" si="1">LOWER(Y3)</f>
        <v>not-valid</v>
      </c>
      <c r="AA3" s="8">
        <f>LEN(Table15[[#This Row],[TAG - DO NOT MAKE MANUAL EDITS]])</f>
        <v>9</v>
      </c>
      <c r="AB3" s="51"/>
    </row>
    <row r="4" spans="1:28" ht="15.75" customHeight="1">
      <c r="A4" s="5" t="s">
        <v>36</v>
      </c>
      <c r="B4" s="5" t="str">
        <f>IFERROR(VLOOKUP(Table15[[#This Row],[Market]],Table3[#All],2,FALSE),"")</f>
        <v>UK</v>
      </c>
      <c r="C4" s="6" t="s">
        <v>37</v>
      </c>
      <c r="D4" s="6" t="str">
        <f>IFERROR(VLOOKUP(Table15[[#This Row],[Sub-Product]],'DV Lookups'!$D$2:$E$213,2,FALSE),"")</f>
        <v>jwb</v>
      </c>
      <c r="E4" s="6" t="s">
        <v>38</v>
      </c>
      <c r="F4" s="6" t="str">
        <f>IFERROR(VLOOKUP(Table15[[#This Row],[Sub-Product]],'DV Lookups'!$R$2:$S$207,2,FALSE),"")</f>
        <v>Petcare</v>
      </c>
      <c r="G4" s="6" t="str">
        <f>IFERROR(VLOOKUP(Table15[[#This Row],[segment (LU Off Sub-Product)]],'DV Lookups'!$AD$3:$AE$8,2,FALSE),"")</f>
        <v>pn</v>
      </c>
      <c r="H4" s="6" t="s">
        <v>39</v>
      </c>
      <c r="I4" s="6" t="str">
        <f>IFERROR(VLOOKUP(Table15[[#This Row],[region]],'DV Lookups'!$AG$3:$AH$12,2,FALSE),"")</f>
        <v>eur</v>
      </c>
      <c r="J4" s="6" t="s">
        <v>40</v>
      </c>
      <c r="K4" s="6" t="str">
        <f>IFERROR(VLOOKUP(Table15[[#This Row],[portfolio]],'DV Lookups'!$AK$2:$AL$21,2,FALSE),"")</f>
        <v>DMM</v>
      </c>
      <c r="L4" s="6" t="s">
        <v>31</v>
      </c>
      <c r="M4" s="6" t="s">
        <v>32</v>
      </c>
      <c r="N4" s="6" t="s">
        <v>41</v>
      </c>
      <c r="O4" s="6" t="s">
        <v>42</v>
      </c>
      <c r="P4" s="6" t="str">
        <f>IFERROR(VLOOKUP(Table15[[#This Row],[Campaign Type]],'DV Lookups'!$AW$3:$AX$12,2,FALSE),"")</f>
        <v>bid-adr</v>
      </c>
      <c r="Q4" s="6">
        <v>2023</v>
      </c>
      <c r="R4" s="6">
        <f>IFERROR(VLOOKUP(Table15[[#This Row],[Campaign Start Year]],'DV Lookups'!$H$3:$I$23,2,FALSE),"")</f>
        <v>23</v>
      </c>
      <c r="S4" s="6">
        <v>1</v>
      </c>
      <c r="T4" s="6" t="s">
        <v>35</v>
      </c>
      <c r="U4" s="6" t="str">
        <f t="shared" ref="U4:U12" si="2">IF(ISBLANK(E4),"DEFAULT",E4)</f>
        <v>PAH_Partnership_P1_3</v>
      </c>
      <c r="V4" s="7">
        <f>0</f>
        <v>0</v>
      </c>
      <c r="W4" s="6" t="str">
        <f>CONCATENATE(B4,"_",Table15[[#This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code]],"_",IF(S4&gt;9,CONCATENATE(S4,R4),CONCATENATE(V4,S4,R4)),"_",Table15[[#This Row],[Free Form]])</f>
        <v>UK_jwb_PAH_Partnership_P1_3_pn_eur_DMM_Brand_social_conversions_bid-adr_0123_na</v>
      </c>
      <c r="X4" s="8" t="str">
        <f>IF(W4="_________0_","",IF(COUNTIF(A4:T4,"")&gt;0,"Not Valid",Table15[[#This Row],[CAMPAIGN NAME If Default]]))</f>
        <v>UK_jwb_PAH_Partnership_P1_3_pn_eur_DMM_Brand_social_conversions_bid-adr_0123_na</v>
      </c>
      <c r="Y4" s="28" t="str">
        <f t="shared" si="0"/>
        <v>UK_jwb_PAH_Partnership_P1_3_pn_eur_DMM_Brand_social_conversions_bid-adr_0123_na</v>
      </c>
      <c r="Z4" s="28" t="str">
        <f t="shared" si="1"/>
        <v>uk_jwb_pah_partnership_p1_3_pn_eur_dmm_brand_social_conversions_bid-adr_0123_na</v>
      </c>
      <c r="AA4" s="8">
        <f>LEN(Table15[[#This Row],[TAG - DO NOT MAKE MANUAL EDITS]])</f>
        <v>79</v>
      </c>
      <c r="AB4" s="38"/>
    </row>
    <row r="5" spans="1:28" s="49" customFormat="1" ht="15.75" customHeight="1">
      <c r="A5" s="43" t="s">
        <v>43</v>
      </c>
      <c r="B5" s="43" t="str">
        <f>IFERROR(VLOOKUP(Table15[[#This Row],[Market]],Table3[#All],2,FALSE),"")</f>
        <v>AE</v>
      </c>
      <c r="C5" s="44" t="s">
        <v>44</v>
      </c>
      <c r="D5" s="44" t="str">
        <f>IFERROR(VLOOKUP(Table15[[#This Row],[Sub-Product]],'DV Lookups'!$D$2:$E$213,2,FALSE),"")</f>
        <v>ecg</v>
      </c>
      <c r="E5" s="42" t="s">
        <v>45</v>
      </c>
      <c r="F5" s="44" t="str">
        <f>IFERROR(VLOOKUP(Table15[[#This Row],[Sub-Product]],'DV Lookups'!$R$2:$S$207,2,FALSE),"")</f>
        <v>MW</v>
      </c>
      <c r="G5" s="44" t="str">
        <f>IFERROR(VLOOKUP(Table15[[#This Row],[segment (LU Off Sub-Product)]],'DV Lookups'!$AD$3:$AE$8,2,FALSE),"")</f>
        <v>mw</v>
      </c>
      <c r="H5" s="44" t="s">
        <v>29</v>
      </c>
      <c r="I5" s="44" t="str">
        <f>IFERROR(VLOOKUP(Table15[[#This Row],[region]],'DV Lookups'!$AG$3:$AH$12,2,FALSE),"")</f>
        <v>mea</v>
      </c>
      <c r="J5" s="44" t="s">
        <v>46</v>
      </c>
      <c r="K5" s="44" t="str">
        <f>IFERROR(VLOOKUP(Table15[[#This Row],[portfolio]],'DV Lookups'!$AK$2:$AL$21,2,FALSE),"")</f>
        <v>GUM</v>
      </c>
      <c r="L5" s="44" t="s">
        <v>31</v>
      </c>
      <c r="M5" s="44" t="s">
        <v>32</v>
      </c>
      <c r="N5" s="44" t="s">
        <v>33</v>
      </c>
      <c r="O5" s="44" t="s">
        <v>34</v>
      </c>
      <c r="P5" s="44" t="str">
        <f>IFERROR(VLOOKUP(Table15[[#This Row],[Campaign Type]],'DV Lookups'!$AW$3:$AX$12,2,FALSE),"")</f>
        <v>bid-nadr</v>
      </c>
      <c r="Q5" s="44">
        <v>2023</v>
      </c>
      <c r="R5" s="44">
        <f>IFERROR(VLOOKUP(Table15[[#This Row],[Campaign Start Year]],'DV Lookups'!$H$3:$I$23,2,FALSE),"")</f>
        <v>23</v>
      </c>
      <c r="S5" s="44">
        <v>1</v>
      </c>
      <c r="T5" s="44" t="s">
        <v>35</v>
      </c>
      <c r="U5" s="44" t="str">
        <f t="shared" si="2"/>
        <v>GYDB-P1</v>
      </c>
      <c r="V5" s="45">
        <f>0</f>
        <v>0</v>
      </c>
      <c r="W5" s="44" t="str">
        <f>CONCATENATE(B5,"_",Table15[[#This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code]],"_",IF(S5&gt;9,CONCATENATE(S5,R5),CONCATENATE(V5,S5,R5)),"_",Table15[[#This Row],[Free Form]])</f>
        <v>AE_ecg_GYDB-P1_mw_mea_GUM_Brand_social_awareness_bid-nadr_0123_na</v>
      </c>
      <c r="X5" s="46" t="str">
        <f>IF(W5="_________0_","",IF(COUNTIF(A5:T5,"")&gt;0,"Not Valid",Table15[[#This Row],[CAMPAIGN NAME If Default]]))</f>
        <v>AE_ecg_GYDB-P1_mw_mea_GUM_Brand_social_awareness_bid-nadr_0123_na</v>
      </c>
      <c r="Y5" s="47" t="str">
        <f t="shared" si="0"/>
        <v>AE_ecg_GYDB-P1_mw_mea_GUM_Brand_social_awareness_bid-nadr_0123_na</v>
      </c>
      <c r="Z5" s="47" t="str">
        <f>LOWER(Y5)</f>
        <v>ae_ecg_gydb-p1_mw_mea_gum_brand_social_awareness_bid-nadr_0123_na</v>
      </c>
      <c r="AA5" s="46">
        <f>LEN(Table15[[#This Row],[TAG - DO NOT MAKE MANUAL EDITS]])</f>
        <v>65</v>
      </c>
      <c r="AB5" s="48"/>
    </row>
    <row r="6" spans="1:28" ht="15.75" customHeight="1">
      <c r="A6" s="9" t="s">
        <v>47</v>
      </c>
      <c r="B6" s="9" t="str">
        <f>IFERROR(VLOOKUP(Table15[[#This Row],[Market]],Table3[#All],2,FALSE),"")</f>
        <v>DE</v>
      </c>
      <c r="C6" s="10" t="s">
        <v>48</v>
      </c>
      <c r="D6" s="10" t="str">
        <f>IFERROR(VLOOKUP(Table15[[#This Row],[Sub-Product]],'DV Lookups'!$D$2:$E$213,2,FALSE),"")</f>
        <v>exg</v>
      </c>
      <c r="E6" s="42" t="s">
        <v>49</v>
      </c>
      <c r="F6" s="10" t="str">
        <f>IFERROR(VLOOKUP(Table15[[#This Row],[Sub-Product]],'DV Lookups'!$R$2:$S$207,2,FALSE),"")</f>
        <v>MW</v>
      </c>
      <c r="G6" s="10" t="str">
        <f>IFERROR(VLOOKUP(Table15[[#This Row],[segment (LU Off Sub-Product)]],'DV Lookups'!$AD$3:$AE$8,2,FALSE),"")</f>
        <v>mw</v>
      </c>
      <c r="H6" s="10" t="s">
        <v>39</v>
      </c>
      <c r="I6" s="10" t="str">
        <f>IFERROR(VLOOKUP(Table15[[#This Row],[region]],'DV Lookups'!$AG$3:$AH$12,2,FALSE),"")</f>
        <v>eur</v>
      </c>
      <c r="J6" s="10" t="s">
        <v>46</v>
      </c>
      <c r="K6" s="10" t="str">
        <f>IFERROR(VLOOKUP(Table15[[#This Row],[portfolio]],'DV Lookups'!$AK$2:$AL$21,2,FALSE),"")</f>
        <v>GUM</v>
      </c>
      <c r="L6" s="10" t="s">
        <v>31</v>
      </c>
      <c r="M6" s="10" t="s">
        <v>50</v>
      </c>
      <c r="N6" s="10" t="s">
        <v>33</v>
      </c>
      <c r="O6" s="10" t="s">
        <v>51</v>
      </c>
      <c r="P6" s="10" t="str">
        <f>IFERROR(VLOOKUP(Table15[[#This Row],[Campaign Type]],'DV Lookups'!$AW$3:$AX$12,2,FALSE),"")</f>
        <v>dir-nadr</v>
      </c>
      <c r="Q6" s="10">
        <v>2023</v>
      </c>
      <c r="R6" s="10">
        <f>IFERROR(VLOOKUP(Table15[[#This Row],[Campaign Start Year]],'DV Lookups'!$H$3:$I$23,2,FALSE),"")</f>
        <v>23</v>
      </c>
      <c r="S6" s="10">
        <v>1</v>
      </c>
      <c r="T6" s="10" t="s">
        <v>52</v>
      </c>
      <c r="U6" s="10" t="str">
        <f t="shared" si="2"/>
        <v>P2 VNP</v>
      </c>
      <c r="V6" s="11">
        <f>0</f>
        <v>0</v>
      </c>
      <c r="W6" s="10" t="str">
        <f>CONCATENATE(B6,"_",Table15[[#This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code]],"_",IF(S6&gt;9,CONCATENATE(S6,R6),CONCATENATE(V6,S6,R6)),"_",Table15[[#This Row],[Free Form]])</f>
        <v>DE_exg_P2 VNP_mw_eur_GUM_Brand_tv_awareness_dir-nadr_0123_TV</v>
      </c>
      <c r="X6" s="12" t="str">
        <f>IF(W6="_________0_","",IF(COUNTIF(A6:T6,"")&gt;0,"Not Valid",Table15[[#This Row],[CAMPAIGN NAME If Default]]))</f>
        <v>DE_exg_P2 VNP_mw_eur_GUM_Brand_tv_awareness_dir-nadr_0123_TV</v>
      </c>
      <c r="Y6" s="28" t="str">
        <f t="shared" si="0"/>
        <v>DE_exg_P2-VNP_mw_eur_GUM_Brand_tv_awareness_dir-nadr_0123_TV</v>
      </c>
      <c r="Z6" s="28" t="str">
        <f t="shared" si="1"/>
        <v>de_exg_p2-vnp_mw_eur_gum_brand_tv_awareness_dir-nadr_0123_tv</v>
      </c>
      <c r="AA6" s="12">
        <f>LEN(Table15[[#This Row],[TAG - DO NOT MAKE MANUAL EDITS]])</f>
        <v>60</v>
      </c>
      <c r="AB6" s="38"/>
    </row>
    <row r="7" spans="1:28" s="49" customFormat="1" ht="15.75" customHeight="1">
      <c r="A7" s="43" t="s">
        <v>27</v>
      </c>
      <c r="B7" s="43" t="str">
        <f>IFERROR(VLOOKUP(Table15[[#This Row],[Market]],Table3[#All],2,FALSE),"")</f>
        <v>SA</v>
      </c>
      <c r="C7" s="44" t="s">
        <v>28</v>
      </c>
      <c r="D7" s="44" t="str">
        <f>IFERROR(VLOOKUP(Table15[[#This Row],[Sub-Product]],'DV Lookups'!$D$2:$E$213,2,FALSE),"")</f>
        <v>gal</v>
      </c>
      <c r="E7" s="10" t="s">
        <v>53</v>
      </c>
      <c r="F7" s="44" t="str">
        <f>IFERROR(VLOOKUP(Table15[[#This Row],[Sub-Product]],'DV Lookups'!$R$2:$S$207,2,FALSE),"")</f>
        <v>MW</v>
      </c>
      <c r="G7" s="44" t="str">
        <f>IFERROR(VLOOKUP(Table15[[#This Row],[segment (LU Off Sub-Product)]],'DV Lookups'!$AD$3:$AE$8,2,FALSE),"")</f>
        <v>mw</v>
      </c>
      <c r="H7" s="44" t="s">
        <v>29</v>
      </c>
      <c r="I7" s="44" t="str">
        <f>IFERROR(VLOOKUP(Table15[[#This Row],[region]],'DV Lookups'!$AG$3:$AH$12,2,FALSE),"")</f>
        <v>mea</v>
      </c>
      <c r="J7" s="44" t="s">
        <v>30</v>
      </c>
      <c r="K7" s="44" t="str">
        <f>IFERROR(VLOOKUP(Table15[[#This Row],[portfolio]],'DV Lookups'!$AK$2:$AL$21,2,FALSE),"")</f>
        <v>CHO</v>
      </c>
      <c r="L7" s="44" t="s">
        <v>31</v>
      </c>
      <c r="M7" s="44" t="s">
        <v>32</v>
      </c>
      <c r="N7" s="44" t="s">
        <v>33</v>
      </c>
      <c r="O7" s="44" t="s">
        <v>34</v>
      </c>
      <c r="P7" s="44" t="str">
        <f>IFERROR(VLOOKUP(Table15[[#This Row],[Campaign Type]],'DV Lookups'!$AW$3:$AX$12,2,FALSE),"")</f>
        <v>bid-nadr</v>
      </c>
      <c r="Q7" s="44">
        <v>2023</v>
      </c>
      <c r="R7" s="44">
        <f>IFERROR(VLOOKUP(Table15[[#This Row],[Campaign Start Year]],'DV Lookups'!$H$3:$I$23,2,FALSE),"")</f>
        <v>23</v>
      </c>
      <c r="S7" s="44">
        <v>1</v>
      </c>
      <c r="T7" s="44" t="s">
        <v>35</v>
      </c>
      <c r="U7" s="44" t="str">
        <f>IF(ISBLANK(E7),"DEFAULT",E7)</f>
        <v>Flutes_Twix_Wafer_P1</v>
      </c>
      <c r="V7" s="45">
        <f>0</f>
        <v>0</v>
      </c>
      <c r="W7" s="44" t="str">
        <f>CONCATENATE(B7,"_",Table15[[#This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code]],"_",IF(S7&gt;9,CONCATENATE(S7,R7),CONCATENATE(V7,S7,R7)),"_",Table15[[#This Row],[Free Form]])</f>
        <v>SA_gal_Flutes_Twix_Wafer_P1_mw_mea_CHO_Brand_social_awareness_bid-nadr_0123_na</v>
      </c>
      <c r="X7" s="46" t="str">
        <f>IF(W7="_________0_","",IF(COUNTIF(A7:T7,"")&gt;0,"Not Valid",Table15[[#This Row],[CAMPAIGN NAME If Default]]))</f>
        <v>SA_gal_Flutes_Twix_Wafer_P1_mw_mea_CHO_Brand_social_awareness_bid-nadr_0123_na</v>
      </c>
      <c r="Y7" s="47" t="str">
        <f t="shared" ref="Y7" si="3">SUBSTITUTE(X7," ","-")</f>
        <v>SA_gal_Flutes_Twix_Wafer_P1_mw_mea_CHO_Brand_social_awareness_bid-nadr_0123_na</v>
      </c>
      <c r="Z7" s="47" t="str">
        <f t="shared" ref="Z7" si="4">LOWER(Y7)</f>
        <v>sa_gal_flutes_twix_wafer_p1_mw_mea_cho_brand_social_awareness_bid-nadr_0123_na</v>
      </c>
      <c r="AA7" s="46">
        <f>LEN(Table15[[#This Row],[TAG - DO NOT MAKE MANUAL EDITS]])</f>
        <v>78</v>
      </c>
      <c r="AB7" s="48"/>
    </row>
    <row r="8" spans="1:28" ht="15.75" customHeight="1">
      <c r="A8" s="9" t="s">
        <v>54</v>
      </c>
      <c r="B8" s="9" t="str">
        <f>IFERROR(VLOOKUP(Table15[[#This Row],[Market]],Table3[#All],2,FALSE),"")</f>
        <v>CZ</v>
      </c>
      <c r="C8" s="10" t="s">
        <v>55</v>
      </c>
      <c r="D8" s="10" t="str">
        <f>IFERROR(VLOOKUP(Table15[[#This Row],[Sub-Product]],'DV Lookups'!$D$2:$E$213,2,FALSE),"")</f>
        <v>pdg</v>
      </c>
      <c r="E8" s="10" t="s">
        <v>56</v>
      </c>
      <c r="F8" s="10" t="str">
        <f>IFERROR(VLOOKUP(Table15[[#This Row],[Sub-Product]],'DV Lookups'!$R$2:$S$207,2,FALSE),"")</f>
        <v>Petcare</v>
      </c>
      <c r="G8" s="10" t="str">
        <f>IFERROR(VLOOKUP(Table15[[#This Row],[segment (LU Off Sub-Product)]],'DV Lookups'!$AD$3:$AE$8,2,FALSE),"")</f>
        <v>pn</v>
      </c>
      <c r="H8" s="10" t="s">
        <v>39</v>
      </c>
      <c r="I8" s="10" t="str">
        <f>IFERROR(VLOOKUP(Table15[[#This Row],[region]],'DV Lookups'!$AG$3:$AH$12,2,FALSE),"")</f>
        <v>eur</v>
      </c>
      <c r="J8" s="10" t="s">
        <v>40</v>
      </c>
      <c r="K8" s="10" t="str">
        <f>IFERROR(VLOOKUP(Table15[[#This Row],[portfolio]],'DV Lookups'!$AK$2:$AL$21,2,FALSE),"")</f>
        <v>DMM</v>
      </c>
      <c r="L8" s="10" t="s">
        <v>31</v>
      </c>
      <c r="M8" s="10" t="s">
        <v>57</v>
      </c>
      <c r="N8" s="10" t="s">
        <v>33</v>
      </c>
      <c r="O8" s="10" t="s">
        <v>51</v>
      </c>
      <c r="P8" s="10" t="str">
        <f>IFERROR(VLOOKUP(Table15[[#This Row],[Campaign Type]],'DV Lookups'!$AW$3:$AX$12,2,FALSE),"")</f>
        <v>dir-nadr</v>
      </c>
      <c r="Q8" s="10">
        <v>2023</v>
      </c>
      <c r="R8" s="10">
        <f>IFERROR(VLOOKUP(Table15[[#This Row],[Campaign Start Year]],'DV Lookups'!$H$3:$I$23,2,FALSE),"")</f>
        <v>23</v>
      </c>
      <c r="S8" s="10">
        <v>1</v>
      </c>
      <c r="T8" s="10" t="s">
        <v>58</v>
      </c>
      <c r="U8" s="10" t="str">
        <f t="shared" si="2"/>
        <v>p01-VNP-Nova OMK</v>
      </c>
      <c r="V8" s="11">
        <f>0</f>
        <v>0</v>
      </c>
      <c r="W8" s="10" t="str">
        <f>CONCATENATE(B8,"_",Table15[[#This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code]],"_",IF(S8&gt;9,CONCATENATE(S8,R8),CONCATENATE(V8,S8,R8)),"_",Table15[[#This Row],[Free Form]])</f>
        <v>CZ_pdg_p01-VNP-Nova OMK_pn_eur_DMM_Brand_olv_awareness_dir-nadr_0123_OLV</v>
      </c>
      <c r="X8" s="12" t="str">
        <f>IF(W8="_________0_","",IF(COUNTIF(A8:T8,"")&gt;0,"Not Valid",Table15[[#This Row],[CAMPAIGN NAME If Default]]))</f>
        <v>CZ_pdg_p01-VNP-Nova OMK_pn_eur_DMM_Brand_olv_awareness_dir-nadr_0123_OLV</v>
      </c>
      <c r="Y8" s="28" t="str">
        <f t="shared" si="0"/>
        <v>CZ_pdg_p01-VNP-Nova-OMK_pn_eur_DMM_Brand_olv_awareness_dir-nadr_0123_OLV</v>
      </c>
      <c r="Z8" s="28" t="str">
        <f t="shared" si="1"/>
        <v>cz_pdg_p01-vnp-nova-omk_pn_eur_dmm_brand_olv_awareness_dir-nadr_0123_olv</v>
      </c>
      <c r="AA8" s="12">
        <f>LEN(Table15[[#This Row],[TAG - DO NOT MAKE MANUAL EDITS]])</f>
        <v>72</v>
      </c>
      <c r="AB8" s="38"/>
    </row>
    <row r="9" spans="1:28">
      <c r="A9" s="9" t="s">
        <v>54</v>
      </c>
      <c r="B9" s="9" t="str">
        <f>IFERROR(VLOOKUP(Table15[[#This Row],[Market]],Table3[#All],2,FALSE),"")</f>
        <v>CZ</v>
      </c>
      <c r="C9" s="10" t="s">
        <v>55</v>
      </c>
      <c r="D9" s="10" t="str">
        <f>IFERROR(VLOOKUP(Table15[[#This Row],[Sub-Product]],'DV Lookups'!$D$2:$E$213,2,FALSE),"")</f>
        <v>pdg</v>
      </c>
      <c r="E9" s="10" t="s">
        <v>59</v>
      </c>
      <c r="F9" s="10" t="str">
        <f>IFERROR(VLOOKUP(Table15[[#This Row],[Sub-Product]],'DV Lookups'!$R$2:$S$207,2,FALSE),"")</f>
        <v>Petcare</v>
      </c>
      <c r="G9" s="10" t="str">
        <f>IFERROR(VLOOKUP(Table15[[#This Row],[segment (LU Off Sub-Product)]],'DV Lookups'!$AD$3:$AE$8,2,FALSE),"")</f>
        <v>pn</v>
      </c>
      <c r="H9" s="10" t="s">
        <v>39</v>
      </c>
      <c r="I9" s="10" t="str">
        <f>IFERROR(VLOOKUP(Table15[[#This Row],[region]],'DV Lookups'!$AG$3:$AH$12,2,FALSE),"")</f>
        <v>eur</v>
      </c>
      <c r="J9" s="10" t="s">
        <v>40</v>
      </c>
      <c r="K9" s="10" t="str">
        <f>IFERROR(VLOOKUP(Table15[[#This Row],[portfolio]],'DV Lookups'!$AK$2:$AL$21,2,FALSE),"")</f>
        <v>DMM</v>
      </c>
      <c r="L9" s="10" t="s">
        <v>31</v>
      </c>
      <c r="M9" s="10" t="s">
        <v>50</v>
      </c>
      <c r="N9" s="10" t="s">
        <v>33</v>
      </c>
      <c r="O9" s="10" t="s">
        <v>51</v>
      </c>
      <c r="P9" s="10" t="str">
        <f>IFERROR(VLOOKUP(Table15[[#This Row],[Campaign Type]],'DV Lookups'!$AW$3:$AX$12,2,FALSE),"")</f>
        <v>dir-nadr</v>
      </c>
      <c r="Q9" s="10">
        <v>2023</v>
      </c>
      <c r="R9" s="10">
        <f>IFERROR(VLOOKUP(Table15[[#This Row],[Campaign Start Year]],'DV Lookups'!$H$3:$I$23,2,FALSE),"")</f>
        <v>23</v>
      </c>
      <c r="S9" s="10">
        <v>1</v>
      </c>
      <c r="T9" s="10" t="s">
        <v>52</v>
      </c>
      <c r="U9" s="10" t="str">
        <f t="shared" si="2"/>
        <v>p01-VNP-TV</v>
      </c>
      <c r="V9" s="11">
        <f>0</f>
        <v>0</v>
      </c>
      <c r="W9" s="10" t="str">
        <f>CONCATENATE(B9,"_",Table15[[#This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code]],"_",IF(S9&gt;9,CONCATENATE(S9,R9),CONCATENATE(V9,S9,R9)),"_",Table15[[#This Row],[Free Form]])</f>
        <v>CZ_pdg_p01-VNP-TV_pn_eur_DMM_Brand_tv_awareness_dir-nadr_0123_TV</v>
      </c>
      <c r="X9" s="12" t="str">
        <f>IF(W9="_________0_","",IF(COUNTIF(A9:T9,"")&gt;0,"Not Valid",Table15[[#This Row],[CAMPAIGN NAME If Default]]))</f>
        <v>CZ_pdg_p01-VNP-TV_pn_eur_DMM_Brand_tv_awareness_dir-nadr_0123_TV</v>
      </c>
      <c r="Y9" s="28" t="str">
        <f t="shared" si="0"/>
        <v>CZ_pdg_p01-VNP-TV_pn_eur_DMM_Brand_tv_awareness_dir-nadr_0123_TV</v>
      </c>
      <c r="Z9" s="28" t="str">
        <f t="shared" si="1"/>
        <v>cz_pdg_p01-vnp-tv_pn_eur_dmm_brand_tv_awareness_dir-nadr_0123_tv</v>
      </c>
      <c r="AA9" s="12">
        <f>LEN(Table15[[#This Row],[TAG - DO NOT MAKE MANUAL EDITS]])</f>
        <v>64</v>
      </c>
      <c r="AB9" s="38"/>
    </row>
    <row r="10" spans="1:28">
      <c r="A10" s="9" t="s">
        <v>54</v>
      </c>
      <c r="B10" s="9" t="str">
        <f>IFERROR(VLOOKUP(Table15[[#This Row],[Market]],Table3[#All],2,FALSE),"")</f>
        <v>CZ</v>
      </c>
      <c r="C10" s="10" t="s">
        <v>55</v>
      </c>
      <c r="D10" s="10" t="str">
        <f>IFERROR(VLOOKUP(Table15[[#This Row],[Sub-Product]],'DV Lookups'!$D$2:$E$213,2,FALSE),"")</f>
        <v>pdg</v>
      </c>
      <c r="E10" s="10" t="s">
        <v>60</v>
      </c>
      <c r="F10" s="10" t="str">
        <f>IFERROR(VLOOKUP(Table15[[#This Row],[Sub-Product]],'DV Lookups'!$R$2:$S$207,2,FALSE),"")</f>
        <v>Petcare</v>
      </c>
      <c r="G10" s="10" t="str">
        <f>IFERROR(VLOOKUP(Table15[[#This Row],[segment (LU Off Sub-Product)]],'DV Lookups'!$AD$3:$AE$8,2,FALSE),"")</f>
        <v>pn</v>
      </c>
      <c r="H10" s="10" t="s">
        <v>39</v>
      </c>
      <c r="I10" s="10" t="str">
        <f>IFERROR(VLOOKUP(Table15[[#This Row],[region]],'DV Lookups'!$AG$3:$AH$12,2,FALSE),"")</f>
        <v>eur</v>
      </c>
      <c r="J10" s="10" t="s">
        <v>40</v>
      </c>
      <c r="K10" s="10" t="str">
        <f>IFERROR(VLOOKUP(Table15[[#This Row],[portfolio]],'DV Lookups'!$AK$2:$AL$21,2,FALSE),"")</f>
        <v>DMM</v>
      </c>
      <c r="L10" s="10" t="s">
        <v>31</v>
      </c>
      <c r="M10" s="10" t="s">
        <v>57</v>
      </c>
      <c r="N10" s="10" t="s">
        <v>33</v>
      </c>
      <c r="O10" s="10" t="s">
        <v>34</v>
      </c>
      <c r="P10" s="10" t="str">
        <f>IFERROR(VLOOKUP(Table15[[#This Row],[Campaign Type]],'DV Lookups'!$AW$3:$AX$12,2,FALSE),"")</f>
        <v>bid-nadr</v>
      </c>
      <c r="Q10" s="10">
        <v>2023</v>
      </c>
      <c r="R10" s="10">
        <f>IFERROR(VLOOKUP(Table15[[#This Row],[Campaign Start Year]],'DV Lookups'!$H$3:$I$23,2,FALSE),"")</f>
        <v>23</v>
      </c>
      <c r="S10" s="10">
        <v>1</v>
      </c>
      <c r="T10" s="10" t="s">
        <v>58</v>
      </c>
      <c r="U10" s="10" t="str">
        <f t="shared" si="2"/>
        <v>p01-VNP-OLV</v>
      </c>
      <c r="V10" s="11">
        <f>0</f>
        <v>0</v>
      </c>
      <c r="W10" s="10" t="str">
        <f>CONCATENATE(B10,"_",Table15[[#This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code]],"_",IF(S10&gt;9,CONCATENATE(S10,R10),CONCATENATE(V10,S10,R10)),"_",Table15[[#This Row],[Free Form]])</f>
        <v>CZ_pdg_p01-VNP-OLV_pn_eur_DMM_Brand_olv_awareness_bid-nadr_0123_OLV</v>
      </c>
      <c r="X10" s="12" t="str">
        <f>IF(W10="_________0_","",IF(COUNTIF(A10:T10,"")&gt;0,"Not Valid",Table15[[#This Row],[CAMPAIGN NAME If Default]]))</f>
        <v>CZ_pdg_p01-VNP-OLV_pn_eur_DMM_Brand_olv_awareness_bid-nadr_0123_OLV</v>
      </c>
      <c r="Y10" s="28" t="str">
        <f t="shared" si="0"/>
        <v>CZ_pdg_p01-VNP-OLV_pn_eur_DMM_Brand_olv_awareness_bid-nadr_0123_OLV</v>
      </c>
      <c r="Z10" s="28" t="str">
        <f t="shared" si="1"/>
        <v>cz_pdg_p01-vnp-olv_pn_eur_dmm_brand_olv_awareness_bid-nadr_0123_olv</v>
      </c>
      <c r="AA10" s="12">
        <f>LEN(Table15[[#This Row],[TAG - DO NOT MAKE MANUAL EDITS]])</f>
        <v>67</v>
      </c>
      <c r="AB10" s="38"/>
    </row>
    <row r="11" spans="1:28">
      <c r="A11" s="9" t="s">
        <v>54</v>
      </c>
      <c r="B11" s="9" t="str">
        <f>IFERROR(VLOOKUP(Table15[[#This Row],[Market]],Table3[#All],2,FALSE),"")</f>
        <v>CZ</v>
      </c>
      <c r="C11" s="10" t="s">
        <v>55</v>
      </c>
      <c r="D11" s="10" t="str">
        <f>IFERROR(VLOOKUP(Table15[[#This Row],[Sub-Product]],'DV Lookups'!$D$2:$E$213,2,FALSE),"")</f>
        <v>pdg</v>
      </c>
      <c r="E11" s="10" t="s">
        <v>60</v>
      </c>
      <c r="F11" s="10" t="str">
        <f>IFERROR(VLOOKUP(Table15[[#This Row],[Sub-Product]],'DV Lookups'!$R$2:$S$207,2,FALSE),"")</f>
        <v>Petcare</v>
      </c>
      <c r="G11" s="10" t="str">
        <f>IFERROR(VLOOKUP(Table15[[#This Row],[segment (LU Off Sub-Product)]],'DV Lookups'!$AD$3:$AE$8,2,FALSE),"")</f>
        <v>pn</v>
      </c>
      <c r="H11" s="10" t="s">
        <v>39</v>
      </c>
      <c r="I11" s="10" t="str">
        <f>IFERROR(VLOOKUP(Table15[[#This Row],[region]],'DV Lookups'!$AG$3:$AH$12,2,FALSE),"")</f>
        <v>eur</v>
      </c>
      <c r="J11" s="10" t="s">
        <v>40</v>
      </c>
      <c r="K11" s="10" t="str">
        <f>IFERROR(VLOOKUP(Table15[[#This Row],[portfolio]],'DV Lookups'!$AK$2:$AL$21,2,FALSE),"")</f>
        <v>DMM</v>
      </c>
      <c r="L11" s="10" t="s">
        <v>31</v>
      </c>
      <c r="M11" s="10" t="s">
        <v>32</v>
      </c>
      <c r="N11" s="10" t="s">
        <v>33</v>
      </c>
      <c r="O11" s="10" t="s">
        <v>34</v>
      </c>
      <c r="P11" s="10" t="str">
        <f>IFERROR(VLOOKUP(Table15[[#This Row],[Campaign Type]],'DV Lookups'!$AW$3:$AX$12,2,FALSE),"")</f>
        <v>bid-nadr</v>
      </c>
      <c r="Q11" s="10">
        <v>2023</v>
      </c>
      <c r="R11" s="10">
        <f>IFERROR(VLOOKUP(Table15[[#This Row],[Campaign Start Year]],'DV Lookups'!$H$3:$I$23,2,FALSE),"")</f>
        <v>23</v>
      </c>
      <c r="S11" s="10">
        <v>1</v>
      </c>
      <c r="T11" s="10" t="s">
        <v>58</v>
      </c>
      <c r="U11" s="13" t="str">
        <f t="shared" si="2"/>
        <v>p01-VNP-OLV</v>
      </c>
      <c r="V11" s="14">
        <f>0</f>
        <v>0</v>
      </c>
      <c r="W11" s="13" t="str">
        <f>CONCATENATE(B11,"_",Table15[[#This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code]],"_",IF(S11&gt;9,CONCATENATE(S11,R11),CONCATENATE(V11,S11,R11)),"_",Table15[[#This Row],[Free Form]])</f>
        <v>CZ_pdg_p01-VNP-OLV_pn_eur_DMM_Brand_social_awareness_bid-nadr_0123_OLV</v>
      </c>
      <c r="X11" s="15" t="str">
        <f>IF(W11="_________0_","",IF(COUNTIF(A11:T11,"")&gt;0,"Not Valid",Table15[[#This Row],[CAMPAIGN NAME If Default]]))</f>
        <v>CZ_pdg_p01-VNP-OLV_pn_eur_DMM_Brand_social_awareness_bid-nadr_0123_OLV</v>
      </c>
      <c r="Y11" s="28" t="str">
        <f t="shared" si="0"/>
        <v>CZ_pdg_p01-VNP-OLV_pn_eur_DMM_Brand_social_awareness_bid-nadr_0123_OLV</v>
      </c>
      <c r="Z11" s="28" t="str">
        <f t="shared" si="1"/>
        <v>cz_pdg_p01-vnp-olv_pn_eur_dmm_brand_social_awareness_bid-nadr_0123_olv</v>
      </c>
      <c r="AA11" s="15">
        <f>LEN(Table15[[#This Row],[TAG - DO NOT MAKE MANUAL EDITS]])</f>
        <v>70</v>
      </c>
      <c r="AB11" s="38"/>
    </row>
    <row r="12" spans="1:28">
      <c r="A12" s="9" t="s">
        <v>54</v>
      </c>
      <c r="B12" s="9" t="str">
        <f>IFERROR(VLOOKUP(Table15[[#This Row],[Market]],Table3[#All],2,FALSE),"")</f>
        <v>CZ</v>
      </c>
      <c r="C12" s="10" t="s">
        <v>55</v>
      </c>
      <c r="D12" s="10" t="str">
        <f>IFERROR(VLOOKUP(Table15[[#This Row],[Sub-Product]],'DV Lookups'!$D$2:$E$213,2,FALSE),"")</f>
        <v>pdg</v>
      </c>
      <c r="E12" s="10" t="s">
        <v>60</v>
      </c>
      <c r="F12" s="10" t="str">
        <f>IFERROR(VLOOKUP(Table15[[#This Row],[Sub-Product]],'DV Lookups'!$R$2:$S$207,2,FALSE),"")</f>
        <v>Petcare</v>
      </c>
      <c r="G12" s="10" t="str">
        <f>IFERROR(VLOOKUP(Table15[[#This Row],[segment (LU Off Sub-Product)]],'DV Lookups'!$AD$3:$AE$8,2,FALSE),"")</f>
        <v>pn</v>
      </c>
      <c r="H12" s="10" t="s">
        <v>39</v>
      </c>
      <c r="I12" s="10" t="str">
        <f>IFERROR(VLOOKUP(Table15[[#This Row],[region]],'DV Lookups'!$AG$3:$AH$12,2,FALSE),"")</f>
        <v>eur</v>
      </c>
      <c r="J12" s="10" t="s">
        <v>40</v>
      </c>
      <c r="K12" s="10" t="str">
        <f>IFERROR(VLOOKUP(Table15[[#This Row],[portfolio]],'DV Lookups'!$AK$2:$AL$21,2,FALSE),"")</f>
        <v>DMM</v>
      </c>
      <c r="L12" s="10" t="s">
        <v>31</v>
      </c>
      <c r="M12" s="10" t="s">
        <v>57</v>
      </c>
      <c r="N12" s="10" t="s">
        <v>33</v>
      </c>
      <c r="O12" s="10" t="s">
        <v>34</v>
      </c>
      <c r="P12" s="10" t="str">
        <f>IFERROR(VLOOKUP(Table15[[#This Row],[Campaign Type]],'DV Lookups'!$AW$3:$AX$12,2,FALSE),"")</f>
        <v>bid-nadr</v>
      </c>
      <c r="Q12" s="10">
        <v>2023</v>
      </c>
      <c r="R12" s="10">
        <f>IFERROR(VLOOKUP(Table15[[#This Row],[Campaign Start Year]],'DV Lookups'!$H$3:$I$23,2,FALSE),"")</f>
        <v>23</v>
      </c>
      <c r="S12" s="10">
        <v>1</v>
      </c>
      <c r="T12" s="10" t="s">
        <v>58</v>
      </c>
      <c r="U12" s="13" t="str">
        <f t="shared" si="2"/>
        <v>p01-VNP-OLV</v>
      </c>
      <c r="V12" s="14">
        <f>0</f>
        <v>0</v>
      </c>
      <c r="W12" s="13" t="str">
        <f>CONCATENATE(B12,"_",Table15[[#This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code]],"_",IF(S12&gt;9,CONCATENATE(S12,R12),CONCATENATE(V12,S12,R12)),"_",Table15[[#This Row],[Free Form]])</f>
        <v>CZ_pdg_p01-VNP-OLV_pn_eur_DMM_Brand_olv_awareness_bid-nadr_0123_OLV</v>
      </c>
      <c r="X12" s="15" t="str">
        <f>IF(W12="_________0_","",IF(COUNTIF(A12:T12,"")&gt;0,"Not Valid",Table15[[#This Row],[CAMPAIGN NAME If Default]]))</f>
        <v>CZ_pdg_p01-VNP-OLV_pn_eur_DMM_Brand_olv_awareness_bid-nadr_0123_OLV</v>
      </c>
      <c r="Y12" s="28" t="str">
        <f t="shared" si="0"/>
        <v>CZ_pdg_p01-VNP-OLV_pn_eur_DMM_Brand_olv_awareness_bid-nadr_0123_OLV</v>
      </c>
      <c r="Z12" s="28" t="str">
        <f t="shared" si="1"/>
        <v>cz_pdg_p01-vnp-olv_pn_eur_dmm_brand_olv_awareness_bid-nadr_0123_olv</v>
      </c>
      <c r="AA12" s="15">
        <f>LEN(Table15[[#This Row],[TAG - DO NOT MAKE MANUAL EDITS]])</f>
        <v>67</v>
      </c>
      <c r="AB12" s="38"/>
    </row>
    <row r="13" spans="1:28">
      <c r="A13" s="9" t="s">
        <v>61</v>
      </c>
      <c r="B13" s="9" t="str">
        <f>IFERROR(VLOOKUP(Table15[[#This Row],[Market]],Table3[#All],2,FALSE),"")</f>
        <v>CA</v>
      </c>
      <c r="C13" s="10" t="s">
        <v>62</v>
      </c>
      <c r="D13" s="10" t="str">
        <f>IFERROR(VLOOKUP(Table15[[#This Row],[Sub-Product]],'DV Lookups'!$D$2:$E$213,2,FALSE),"")</f>
        <v>mms</v>
      </c>
      <c r="E13" s="10" t="s">
        <v>60</v>
      </c>
      <c r="F13" s="10" t="str">
        <f>IFERROR(VLOOKUP(Table15[[#This Row],[Sub-Product]],'DV Lookups'!$R$2:$S$207,2,FALSE),"")</f>
        <v>MW</v>
      </c>
      <c r="G13" s="10" t="str">
        <f>IFERROR(VLOOKUP(Table15[[#This Row],[segment (LU Off Sub-Product)]],'DV Lookups'!$AD$3:$AE$8,2,FALSE),"")</f>
        <v>mw</v>
      </c>
      <c r="H13" s="10" t="s">
        <v>63</v>
      </c>
      <c r="I13" s="10" t="str">
        <f>IFERROR(VLOOKUP(Table15[[#This Row],[region]],'DV Lookups'!$AG$3:$AH$12,2,FALSE),"")</f>
        <v>na</v>
      </c>
      <c r="J13" s="10" t="s">
        <v>40</v>
      </c>
      <c r="K13" s="10" t="str">
        <f>IFERROR(VLOOKUP(Table15[[#This Row],[portfolio]],'DV Lookups'!$AK$2:$AL$21,2,FALSE),"")</f>
        <v>DMM</v>
      </c>
      <c r="L13" s="10" t="s">
        <v>31</v>
      </c>
      <c r="M13" s="10" t="s">
        <v>32</v>
      </c>
      <c r="N13" s="10" t="s">
        <v>33</v>
      </c>
      <c r="O13" s="10" t="s">
        <v>34</v>
      </c>
      <c r="P13" s="10" t="str">
        <f>IFERROR(VLOOKUP(Table15[[#This Row],[Campaign Type]],'DV Lookups'!$AW$3:$AX$12,2,FALSE),"")</f>
        <v>bid-nadr</v>
      </c>
      <c r="Q13" s="10">
        <v>2023</v>
      </c>
      <c r="R13" s="10">
        <f>IFERROR(VLOOKUP(Table15[[#This Row],[Campaign Start Year]],'DV Lookups'!$H$3:$I$23,2,FALSE),"")</f>
        <v>23</v>
      </c>
      <c r="S13" s="10">
        <v>1</v>
      </c>
      <c r="T13" s="10" t="s">
        <v>58</v>
      </c>
      <c r="U13" s="10" t="str">
        <f t="shared" ref="U13" si="5">IF(ISBLANK(E13),"DEFAULT",E13)</f>
        <v>p01-VNP-OLV</v>
      </c>
      <c r="V13" s="11">
        <f>0</f>
        <v>0</v>
      </c>
      <c r="W13" s="10" t="str">
        <f>CONCATENATE(B13,"_",Table15[[#This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code]],"_",IF(S13&gt;9,CONCATENATE(S13,R13),CONCATENATE(V13,S13,R13)),"_",Table15[[#This Row],[Free Form]])</f>
        <v>CA_mms_p01-VNP-OLV_mw_na_DMM_Brand_social_awareness_bid-nadr_0123_OLV</v>
      </c>
      <c r="X13" s="12" t="str">
        <f>IF(W13="_________0_","",IF(COUNTIF(A13:T13,"")&gt;0,"Not Valid",Table15[[#This Row],[CAMPAIGN NAME If Default]]))</f>
        <v>CA_mms_p01-VNP-OLV_mw_na_DMM_Brand_social_awareness_bid-nadr_0123_OLV</v>
      </c>
      <c r="Y13" s="12" t="str">
        <f t="shared" ref="Y13" si="6">SUBSTITUTE(X13," ","-")</f>
        <v>CA_mms_p01-VNP-OLV_mw_na_DMM_Brand_social_awareness_bid-nadr_0123_OLV</v>
      </c>
      <c r="Z13" s="12" t="str">
        <f t="shared" ref="Z13:Z20" si="7">LOWER(Y13)</f>
        <v>ca_mms_p01-vnp-olv_mw_na_dmm_brand_social_awareness_bid-nadr_0123_olv</v>
      </c>
      <c r="AA13" s="15">
        <f>LEN(Table15[[#This Row],[TAG - DO NOT MAKE MANUAL EDITS]])</f>
        <v>69</v>
      </c>
      <c r="AB13" s="38"/>
    </row>
    <row r="14" spans="1:28">
      <c r="A14" s="39" t="s">
        <v>64</v>
      </c>
      <c r="B14" s="39" t="str">
        <f>IFERROR(VLOOKUP(Table15[[#This Row],[Market]],Table3[#All],2,FALSE),"")</f>
        <v>FR</v>
      </c>
      <c r="C14" s="13" t="s">
        <v>48</v>
      </c>
      <c r="D14" s="13" t="str">
        <f>IFERROR(VLOOKUP(Table15[[#This Row],[Sub-Product]],'DV Lookups'!$D$2:$E$213,2,FALSE),"")</f>
        <v>exg</v>
      </c>
      <c r="E14" s="13" t="s">
        <v>65</v>
      </c>
      <c r="F14" s="13" t="str">
        <f>IFERROR(VLOOKUP(Table15[[#This Row],[Sub-Product]],'DV Lookups'!$R$2:$S$207,2,FALSE),"")</f>
        <v>MW</v>
      </c>
      <c r="G14" s="13" t="str">
        <f>IFERROR(VLOOKUP(Table15[[#This Row],[segment (LU Off Sub-Product)]],'DV Lookups'!$AD$3:$AE$8,2,FALSE),"")</f>
        <v>mw</v>
      </c>
      <c r="H14" s="13" t="s">
        <v>39</v>
      </c>
      <c r="I14" s="13" t="str">
        <f>IFERROR(VLOOKUP(Table15[[#This Row],[region]],'DV Lookups'!$AG$3:$AH$12,2,FALSE),"")</f>
        <v>eur</v>
      </c>
      <c r="J14" s="13" t="s">
        <v>46</v>
      </c>
      <c r="K14" s="13" t="str">
        <f>IFERROR(VLOOKUP(Table15[[#This Row],[portfolio]],'DV Lookups'!$AK$2:$AL$21,2,FALSE),"")</f>
        <v>GUM</v>
      </c>
      <c r="L14" s="13" t="s">
        <v>31</v>
      </c>
      <c r="M14" s="13" t="s">
        <v>32</v>
      </c>
      <c r="N14" s="13" t="s">
        <v>33</v>
      </c>
      <c r="O14" s="13" t="s">
        <v>34</v>
      </c>
      <c r="P14" s="13" t="str">
        <f>IFERROR(VLOOKUP(Table15[[#This Row],[Campaign Type]],'DV Lookups'!$AW$3:$AX$12,2,FALSE),"")</f>
        <v>bid-nadr</v>
      </c>
      <c r="Q14" s="13">
        <v>2023</v>
      </c>
      <c r="R14" s="13">
        <f>IFERROR(VLOOKUP(Table15[[#This Row],[Campaign Start Year]],'DV Lookups'!$H$3:$I$23,2,FALSE),"")</f>
        <v>23</v>
      </c>
      <c r="S14" s="13">
        <v>1</v>
      </c>
      <c r="T14" s="13" t="s">
        <v>35</v>
      </c>
      <c r="U14" s="13" t="str">
        <f t="shared" ref="U14" si="8">IF(ISBLANK(E14),"DEFAULT",E14)</f>
        <v>p1-ding-back</v>
      </c>
      <c r="V14" s="14">
        <f>0</f>
        <v>0</v>
      </c>
      <c r="W14" s="13" t="str">
        <f>CONCATENATE(B14,"_",Table15[[#This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code]],"_",IF(S14&gt;9,CONCATENATE(S14,R14),CONCATENATE(V14,S14,R14)),"_",Table15[[#This Row],[Free Form]])</f>
        <v>FR_exg_p1-ding-back_mw_eur_GUM_Brand_social_awareness_bid-nadr_0123_na</v>
      </c>
      <c r="X14" s="15" t="str">
        <f>IF(W14="_________0_","",IF(COUNTIF(A14:T14,"")&gt;0,"Not Valid",Table15[[#This Row],[CAMPAIGN NAME If Default]]))</f>
        <v>FR_exg_p1-ding-back_mw_eur_GUM_Brand_social_awareness_bid-nadr_0123_na</v>
      </c>
      <c r="Y14" s="15" t="str">
        <f t="shared" ref="Y14" si="9">SUBSTITUTE(X14," ","-")</f>
        <v>FR_exg_p1-ding-back_mw_eur_GUM_Brand_social_awareness_bid-nadr_0123_na</v>
      </c>
      <c r="Z14" s="15" t="str">
        <f t="shared" si="7"/>
        <v>fr_exg_p1-ding-back_mw_eur_gum_brand_social_awareness_bid-nadr_0123_na</v>
      </c>
      <c r="AA14" s="15">
        <f>LEN(Table15[[#This Row],[TAG - DO NOT MAKE MANUAL EDITS]])</f>
        <v>70</v>
      </c>
    </row>
    <row r="15" spans="1:28">
      <c r="A15" s="39" t="s">
        <v>66</v>
      </c>
      <c r="B15" s="39" t="str">
        <f>IFERROR(VLOOKUP(Table15[[#This Row],[Market]],Table3[#All],2,FALSE),"")</f>
        <v>KE</v>
      </c>
      <c r="C15" s="13" t="s">
        <v>67</v>
      </c>
      <c r="D15" s="13" t="str">
        <f>IFERROR(VLOOKUP(Table15[[#This Row],[Sub-Product]],'DV Lookups'!$D$2:$E$213,2,FALSE),"")</f>
        <v>jft</v>
      </c>
      <c r="E15" s="13" t="s">
        <v>68</v>
      </c>
      <c r="F15" s="13" t="str">
        <f>IFERROR(VLOOKUP(Table15[[#This Row],[Sub-Product]],'DV Lookups'!$R$2:$S$207,2,FALSE),"")</f>
        <v>MW</v>
      </c>
      <c r="G15" s="13" t="str">
        <f>IFERROR(VLOOKUP(Table15[[#This Row],[segment (LU Off Sub-Product)]],'DV Lookups'!$AD$3:$AE$8,2,FALSE),"")</f>
        <v>mw</v>
      </c>
      <c r="H15" s="13" t="s">
        <v>29</v>
      </c>
      <c r="I15" s="13" t="str">
        <f>IFERROR(VLOOKUP(Table15[[#This Row],[region]],'DV Lookups'!$AG$3:$AH$12,2,FALSE),"")</f>
        <v>mea</v>
      </c>
      <c r="J15" s="13" t="s">
        <v>46</v>
      </c>
      <c r="K15" s="13" t="str">
        <f>IFERROR(VLOOKUP(Table15[[#This Row],[portfolio]],'DV Lookups'!$AK$2:$AL$21,2,FALSE),"")</f>
        <v>GUM</v>
      </c>
      <c r="L15" s="13" t="s">
        <v>31</v>
      </c>
      <c r="M15" s="13" t="s">
        <v>57</v>
      </c>
      <c r="N15" s="13" t="s">
        <v>33</v>
      </c>
      <c r="O15" s="13" t="s">
        <v>69</v>
      </c>
      <c r="P15" s="13" t="str">
        <f>IFERROR(VLOOKUP(Table15[[#This Row],[Campaign Type]],'DV Lookups'!$AW$3:$AX$12,2,FALSE),"")</f>
        <v>bid-dda</v>
      </c>
      <c r="Q15" s="13">
        <v>2023</v>
      </c>
      <c r="R15" s="13">
        <f>IFERROR(VLOOKUP(Table15[[#This Row],[Campaign Start Year]],'DV Lookups'!$H$3:$I$23,2,FALSE),"")</f>
        <v>23</v>
      </c>
      <c r="S15" s="13">
        <v>1</v>
      </c>
      <c r="T15" s="13" t="s">
        <v>35</v>
      </c>
      <c r="U15" s="13" t="str">
        <f t="shared" ref="U15" si="10">IF(ISBLANK(E15),"DEFAULT",E15)</f>
        <v>p1-unexplainbly-juicy</v>
      </c>
      <c r="V15" s="14">
        <f>0</f>
        <v>0</v>
      </c>
      <c r="W15" s="13" t="str">
        <f>CONCATENATE(B15,"_",Table15[[#This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code]],"_",IF(S15&gt;9,CONCATENATE(S15,R15),CONCATENATE(V15,S15,R15)),"_",Table15[[#This Row],[Free Form]])</f>
        <v>KE_jft_p1-unexplainbly-juicy_mw_mea_GUM_Brand_olv_awareness_bid-dda_0123_na</v>
      </c>
      <c r="X15" s="15" t="str">
        <f>IF(W15="_________0_","",IF(COUNTIF(A15:T15,"")&gt;0,"Not Valid",Table15[[#This Row],[CAMPAIGN NAME If Default]]))</f>
        <v>KE_jft_p1-unexplainbly-juicy_mw_mea_GUM_Brand_olv_awareness_bid-dda_0123_na</v>
      </c>
      <c r="Y15" s="15" t="str">
        <f t="shared" ref="Y15" si="11">SUBSTITUTE(X15," ","-")</f>
        <v>KE_jft_p1-unexplainbly-juicy_mw_mea_GUM_Brand_olv_awareness_bid-dda_0123_na</v>
      </c>
      <c r="Z15" s="15" t="str">
        <f t="shared" si="7"/>
        <v>ke_jft_p1-unexplainbly-juicy_mw_mea_gum_brand_olv_awareness_bid-dda_0123_na</v>
      </c>
      <c r="AA15" s="15">
        <f>LEN(Table15[[#This Row],[TAG - DO NOT MAKE MANUAL EDITS]])</f>
        <v>75</v>
      </c>
    </row>
    <row r="16" spans="1:28">
      <c r="A16" s="39" t="s">
        <v>66</v>
      </c>
      <c r="B16" s="39" t="str">
        <f>IFERROR(VLOOKUP(Table15[[#This Row],[Market]],Table3[#All],2,FALSE),"")</f>
        <v>KE</v>
      </c>
      <c r="C16" s="13" t="s">
        <v>67</v>
      </c>
      <c r="D16" s="13" t="str">
        <f>IFERROR(VLOOKUP(Table15[[#This Row],[Sub-Product]],'DV Lookups'!$D$2:$E$213,2,FALSE),"")</f>
        <v>jft</v>
      </c>
      <c r="E16" s="13" t="s">
        <v>68</v>
      </c>
      <c r="F16" s="13" t="str">
        <f>IFERROR(VLOOKUP(Table15[[#This Row],[Sub-Product]],'DV Lookups'!$R$2:$S$207,2,FALSE),"")</f>
        <v>MW</v>
      </c>
      <c r="G16" s="13" t="str">
        <f>IFERROR(VLOOKUP(Table15[[#This Row],[segment (LU Off Sub-Product)]],'DV Lookups'!$AD$3:$AE$8,2,FALSE),"")</f>
        <v>mw</v>
      </c>
      <c r="H16" s="13" t="s">
        <v>29</v>
      </c>
      <c r="I16" s="13" t="str">
        <f>IFERROR(VLOOKUP(Table15[[#This Row],[region]],'DV Lookups'!$AG$3:$AH$12,2,FALSE),"")</f>
        <v>mea</v>
      </c>
      <c r="J16" s="13" t="s">
        <v>46</v>
      </c>
      <c r="K16" s="13" t="str">
        <f>IFERROR(VLOOKUP(Table15[[#This Row],[portfolio]],'DV Lookups'!$AK$2:$AL$21,2,FALSE),"")</f>
        <v>GUM</v>
      </c>
      <c r="L16" s="13" t="s">
        <v>31</v>
      </c>
      <c r="M16" s="13" t="s">
        <v>57</v>
      </c>
      <c r="N16" s="13" t="s">
        <v>33</v>
      </c>
      <c r="O16" s="13" t="s">
        <v>69</v>
      </c>
      <c r="P16" s="13" t="str">
        <f>IFERROR(VLOOKUP(Table15[[#This Row],[Campaign Type]],'DV Lookups'!$AW$3:$AX$12,2,FALSE),"")</f>
        <v>bid-dda</v>
      </c>
      <c r="Q16" s="13">
        <v>2023</v>
      </c>
      <c r="R16" s="13">
        <f>IFERROR(VLOOKUP(Table15[[#This Row],[Campaign Start Year]],'DV Lookups'!$H$3:$I$23,2,FALSE),"")</f>
        <v>23</v>
      </c>
      <c r="S16" s="13">
        <v>1</v>
      </c>
      <c r="T16" s="13" t="s">
        <v>70</v>
      </c>
      <c r="U16" s="13" t="str">
        <f>IF(ISBLANK(E16),"DEFAULT",E16)</f>
        <v>p1-unexplainbly-juicy</v>
      </c>
      <c r="V16" s="14">
        <f>0</f>
        <v>0</v>
      </c>
      <c r="W16" s="13" t="str">
        <f>CONCATENATE(B16,"_",Table15[[#This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code]],"_",IF(S16&gt;9,CONCATENATE(S16,R16),CONCATENATE(V16,S16,R16)),"_",Table15[[#This Row],[Free Form]])</f>
        <v>KE_jft_p1-unexplainbly-juicy_mw_mea_GUM_Brand_olv_awareness_bid-dda_0123_youtube-1234</v>
      </c>
      <c r="X16" s="15" t="str">
        <f>IF(W16="_________0_","",IF(COUNTIF(A16:T16,"")&gt;0,"Not Valid",Table15[[#This Row],[CAMPAIGN NAME If Default]]))</f>
        <v>KE_jft_p1-unexplainbly-juicy_mw_mea_GUM_Brand_olv_awareness_bid-dda_0123_youtube-1234</v>
      </c>
      <c r="Y16" s="15" t="str">
        <f>SUBSTITUTE(X16," ","-")</f>
        <v>KE_jft_p1-unexplainbly-juicy_mw_mea_GUM_Brand_olv_awareness_bid-dda_0123_youtube-1234</v>
      </c>
      <c r="Z16" s="15" t="str">
        <f t="shared" si="7"/>
        <v>ke_jft_p1-unexplainbly-juicy_mw_mea_gum_brand_olv_awareness_bid-dda_0123_youtube-1234</v>
      </c>
      <c r="AA16" s="15">
        <f>LEN(Table15[[#This Row],[TAG - DO NOT MAKE MANUAL EDITS]])</f>
        <v>85</v>
      </c>
    </row>
    <row r="17" spans="1:27">
      <c r="A17" s="39" t="s">
        <v>27</v>
      </c>
      <c r="B17" s="39" t="str">
        <f>IFERROR(VLOOKUP(Table15[[#This Row],[Market]],Table3[#All],2,FALSE),"")</f>
        <v>SA</v>
      </c>
      <c r="C17" s="13" t="s">
        <v>48</v>
      </c>
      <c r="D17" s="13" t="str">
        <f>IFERROR(VLOOKUP(Table15[[#This Row],[Sub-Product]],'DV Lookups'!$D$2:$E$213,2,FALSE),"")</f>
        <v>exg</v>
      </c>
      <c r="E17" s="13" t="s">
        <v>71</v>
      </c>
      <c r="F17" s="13" t="str">
        <f>IFERROR(VLOOKUP(Table15[[#This Row],[Sub-Product]],'DV Lookups'!$R$2:$S$207,2,FALSE),"")</f>
        <v>MW</v>
      </c>
      <c r="G17" s="13" t="str">
        <f>IFERROR(VLOOKUP(Table15[[#This Row],[segment (LU Off Sub-Product)]],'DV Lookups'!$AD$3:$AE$8,2,FALSE),"")</f>
        <v>mw</v>
      </c>
      <c r="H17" s="13" t="s">
        <v>29</v>
      </c>
      <c r="I17" s="13" t="str">
        <f>IFERROR(VLOOKUP(Table15[[#This Row],[region]],'DV Lookups'!$AG$3:$AH$12,2,FALSE),"")</f>
        <v>mea</v>
      </c>
      <c r="J17" s="13" t="s">
        <v>46</v>
      </c>
      <c r="K17" s="13" t="str">
        <f>IFERROR(VLOOKUP(Table15[[#This Row],[portfolio]],'DV Lookups'!$AK$2:$AL$21,2,FALSE),"")</f>
        <v>GUM</v>
      </c>
      <c r="L17" s="13" t="s">
        <v>31</v>
      </c>
      <c r="M17" s="13" t="s">
        <v>32</v>
      </c>
      <c r="N17" s="13" t="s">
        <v>33</v>
      </c>
      <c r="O17" s="13" t="s">
        <v>34</v>
      </c>
      <c r="P17" s="13" t="str">
        <f>IFERROR(VLOOKUP(Table15[[#This Row],[Campaign Type]],'DV Lookups'!$AW$3:$AX$12,2,FALSE),"")</f>
        <v>bid-nadr</v>
      </c>
      <c r="Q17" s="13">
        <v>2023</v>
      </c>
      <c r="R17" s="13">
        <f>IFERROR(VLOOKUP(Table15[[#This Row],[Campaign Start Year]],'DV Lookups'!$H$3:$I$23,2,FALSE),"")</f>
        <v>23</v>
      </c>
      <c r="S17" s="13">
        <v>1</v>
      </c>
      <c r="T17" s="13" t="s">
        <v>35</v>
      </c>
      <c r="U17" s="13" t="str">
        <f>IF(ISBLANK(E17),"DEFAULT",E17)</f>
        <v>GYDB3-P1</v>
      </c>
      <c r="V17" s="14">
        <f>0</f>
        <v>0</v>
      </c>
      <c r="W17" s="13" t="str">
        <f>CONCATENATE(B17,"_",Table15[[#This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code]],"_",IF(S17&gt;9,CONCATENATE(S17,R17),CONCATENATE(V17,S17,R17)),"_",Table15[[#This Row],[Free Form]])</f>
        <v>SA_exg_GYDB3-P1_mw_mea_GUM_Brand_social_awareness_bid-nadr_0123_na</v>
      </c>
      <c r="X17" s="15" t="str">
        <f>IF(W17="_________0_","",IF(COUNTIF(A17:T17,"")&gt;0,"Not Valid",Table15[[#This Row],[CAMPAIGN NAME If Default]]))</f>
        <v>SA_exg_GYDB3-P1_mw_mea_GUM_Brand_social_awareness_bid-nadr_0123_na</v>
      </c>
      <c r="Y17" s="15" t="str">
        <f>SUBSTITUTE(X17," ","-")</f>
        <v>SA_exg_GYDB3-P1_mw_mea_GUM_Brand_social_awareness_bid-nadr_0123_na</v>
      </c>
      <c r="Z17" s="15" t="str">
        <f t="shared" si="7"/>
        <v>sa_exg_gydb3-p1_mw_mea_gum_brand_social_awareness_bid-nadr_0123_na</v>
      </c>
      <c r="AA17" s="15">
        <f>LEN(Table15[[#This Row],[TAG - DO NOT MAKE MANUAL EDITS]])</f>
        <v>66</v>
      </c>
    </row>
    <row r="18" spans="1:27">
      <c r="A18" s="39" t="s">
        <v>64</v>
      </c>
      <c r="B18" s="39" t="str">
        <f>IFERROR(VLOOKUP(Table15[[#This Row],[Market]],Table3[#All],2,FALSE),"")</f>
        <v>FR</v>
      </c>
      <c r="C18" s="13" t="s">
        <v>55</v>
      </c>
      <c r="D18" s="13" t="str">
        <f>IFERROR(VLOOKUP(Table15[[#This Row],[Sub-Product]],'DV Lookups'!$D$2:$E$213,2,FALSE),"")</f>
        <v>pdg</v>
      </c>
      <c r="E18" s="13" t="s">
        <v>72</v>
      </c>
      <c r="F18" s="13" t="str">
        <f>IFERROR(VLOOKUP(Table15[[#This Row],[Sub-Product]],'DV Lookups'!$R$2:$S$207,2,FALSE),"")</f>
        <v>Petcare</v>
      </c>
      <c r="G18" s="13" t="str">
        <f>IFERROR(VLOOKUP(Table15[[#This Row],[segment (LU Off Sub-Product)]],'DV Lookups'!$AD$3:$AE$8,2,FALSE),"")</f>
        <v>pn</v>
      </c>
      <c r="H18" s="13" t="s">
        <v>39</v>
      </c>
      <c r="I18" s="13" t="str">
        <f>IFERROR(VLOOKUP(Table15[[#This Row],[region]],'DV Lookups'!$AG$3:$AH$12,2,FALSE),"")</f>
        <v>eur</v>
      </c>
      <c r="J18" s="13" t="s">
        <v>73</v>
      </c>
      <c r="K18" s="13" t="str">
        <f>IFERROR(VLOOKUP(Table15[[#This Row],[portfolio]],'DV Lookups'!$AK$2:$AL$21,2,FALSE),"")</f>
        <v>CT</v>
      </c>
      <c r="L18" s="13" t="s">
        <v>31</v>
      </c>
      <c r="M18" s="13" t="s">
        <v>32</v>
      </c>
      <c r="N18" s="13" t="s">
        <v>74</v>
      </c>
      <c r="O18" s="13" t="s">
        <v>42</v>
      </c>
      <c r="P18" s="13" t="str">
        <f>IFERROR(VLOOKUP(Table15[[#This Row],[Campaign Type]],'DV Lookups'!$AW$3:$AX$12,2,FALSE),"")</f>
        <v>bid-adr</v>
      </c>
      <c r="Q18" s="13">
        <v>2023</v>
      </c>
      <c r="R18" s="13">
        <f>IFERROR(VLOOKUP(Table15[[#This Row],[Campaign Start Year]],'DV Lookups'!$H$3:$I$23,2,FALSE),"")</f>
        <v>23</v>
      </c>
      <c r="S18" s="13">
        <v>1</v>
      </c>
      <c r="T18" s="13" t="s">
        <v>35</v>
      </c>
      <c r="U18" s="13" t="str">
        <f>IF(ISBLANK(E18),"DEFAULT",E18)</f>
        <v>oral-care</v>
      </c>
      <c r="V18" s="14">
        <f>0</f>
        <v>0</v>
      </c>
      <c r="W18" s="13" t="str">
        <f>CONCATENATE(B18,"_",Table15[[#This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code]],"_",IF(S18&gt;9,CONCATENATE(S18,R18),CONCATENATE(V18,S18,R18)),"_",Table15[[#This Row],[Free Form]])</f>
        <v>FR_pdg_oral-care_pn_eur_CT_Brand_social_multiple_bid-adr_0123_na</v>
      </c>
      <c r="X18" s="15" t="str">
        <f>IF(W18="_________0_","",IF(COUNTIF(A18:T18,"")&gt;0,"Not Valid",Table15[[#This Row],[CAMPAIGN NAME If Default]]))</f>
        <v>FR_pdg_oral-care_pn_eur_CT_Brand_social_multiple_bid-adr_0123_na</v>
      </c>
      <c r="Y18" s="15" t="str">
        <f>SUBSTITUTE(X18," ","-")</f>
        <v>FR_pdg_oral-care_pn_eur_CT_Brand_social_multiple_bid-adr_0123_na</v>
      </c>
      <c r="Z18" s="15" t="str">
        <f t="shared" si="7"/>
        <v>fr_pdg_oral-care_pn_eur_ct_brand_social_multiple_bid-adr_0123_na</v>
      </c>
      <c r="AA18" s="15">
        <f>LEN(Table15[[#This Row],[TAG - DO NOT MAKE MANUAL EDITS]])</f>
        <v>64</v>
      </c>
    </row>
    <row r="19" spans="1:27">
      <c r="A19" s="39" t="s">
        <v>36</v>
      </c>
      <c r="B19" s="39" t="str">
        <f>IFERROR(VLOOKUP(Table15[[#This Row],[Market]],Table3[#All],2,FALSE),"")</f>
        <v>UK</v>
      </c>
      <c r="C19" s="13" t="s">
        <v>37</v>
      </c>
      <c r="D19" s="13" t="str">
        <f>IFERROR(VLOOKUP(Table15[[#This Row],[Sub-Product]],'DV Lookups'!$D$2:$E$213,2,FALSE),"")</f>
        <v>jwb</v>
      </c>
      <c r="E19" s="13" t="s">
        <v>75</v>
      </c>
      <c r="F19" s="13" t="str">
        <f>IFERROR(VLOOKUP(Table15[[#This Row],[Sub-Product]],'DV Lookups'!$R$2:$S$207,2,FALSE),"")</f>
        <v>Petcare</v>
      </c>
      <c r="G19" s="13" t="str">
        <f>IFERROR(VLOOKUP(Table15[[#This Row],[segment (LU Off Sub-Product)]],'DV Lookups'!$AD$3:$AE$8,2,FALSE),"")</f>
        <v>pn</v>
      </c>
      <c r="H19" s="13" t="s">
        <v>39</v>
      </c>
      <c r="I19" s="13" t="str">
        <f>IFERROR(VLOOKUP(Table15[[#This Row],[region]],'DV Lookups'!$AG$3:$AH$12,2,FALSE),"")</f>
        <v>eur</v>
      </c>
      <c r="J19" s="13" t="s">
        <v>76</v>
      </c>
      <c r="K19" s="13" t="str">
        <f>IFERROR(VLOOKUP(Table15[[#This Row],[portfolio]],'DV Lookups'!$AK$2:$AL$21,2,FALSE),"")</f>
        <v>SPH</v>
      </c>
      <c r="L19" s="13" t="s">
        <v>77</v>
      </c>
      <c r="M19" s="13" t="s">
        <v>32</v>
      </c>
      <c r="N19" s="13" t="s">
        <v>41</v>
      </c>
      <c r="O19" s="13" t="s">
        <v>69</v>
      </c>
      <c r="P19" s="13" t="str">
        <f>IFERROR(VLOOKUP(Table15[[#This Row],[Campaign Type]],'DV Lookups'!$AW$3:$AX$12,2,FALSE),"")</f>
        <v>bid-dda</v>
      </c>
      <c r="Q19" s="13">
        <v>2023</v>
      </c>
      <c r="R19" s="13">
        <f>IFERROR(VLOOKUP(Table15[[#This Row],[Campaign Start Year]],'DV Lookups'!$H$3:$I$23,2,FALSE),"")</f>
        <v>23</v>
      </c>
      <c r="S19" s="13">
        <v>1</v>
      </c>
      <c r="T19" s="13" t="s">
        <v>35</v>
      </c>
      <c r="U19" s="13" t="str">
        <f>IF(ISBLANK(E19),"DEFAULT",E19)</f>
        <v>D2C-Retargeting</v>
      </c>
      <c r="V19" s="14">
        <f>0</f>
        <v>0</v>
      </c>
      <c r="W19" s="13" t="str">
        <f>CONCATENATE(B19,"_",Table15[[#This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code]],"_",IF(S19&gt;9,CONCATENATE(S19,R19),CONCATENATE(V19,S19,R19)),"_",Table15[[#This Row],[Free Form]])</f>
        <v>UK_jwb_D2C-Retargeting_pn_eur_SPH_D2C_social_conversions_bid-dda_0123_na</v>
      </c>
      <c r="X19" s="15" t="str">
        <f>IF(W19="_________0_","",IF(COUNTIF(A19:T19,"")&gt;0,"Not Valid",Table15[[#This Row],[CAMPAIGN NAME If Default]]))</f>
        <v>UK_jwb_D2C-Retargeting_pn_eur_SPH_D2C_social_conversions_bid-dda_0123_na</v>
      </c>
      <c r="Y19" s="15" t="str">
        <f>SUBSTITUTE(X19," ","-")</f>
        <v>UK_jwb_D2C-Retargeting_pn_eur_SPH_D2C_social_conversions_bid-dda_0123_na</v>
      </c>
      <c r="Z19" s="15" t="str">
        <f t="shared" si="7"/>
        <v>uk_jwb_d2c-retargeting_pn_eur_sph_d2c_social_conversions_bid-dda_0123_na</v>
      </c>
      <c r="AA19" s="15">
        <f>LEN(Table15[[#This Row],[TAG - DO NOT MAKE MANUAL EDITS]])</f>
        <v>72</v>
      </c>
    </row>
    <row r="20" spans="1:27">
      <c r="A20" s="39" t="s">
        <v>36</v>
      </c>
      <c r="B20" s="39" t="str">
        <f>IFERROR(VLOOKUP(Table15[[#This Row],[Market]],Table3[#All],2,FALSE),"")</f>
        <v>UK</v>
      </c>
      <c r="C20" s="13" t="s">
        <v>78</v>
      </c>
      <c r="D20" s="13" t="str">
        <f>IFERROR(VLOOKUP(Table15[[#This Row],[Sub-Product]],'DV Lookups'!$D$2:$E$213,2,FALSE),"")</f>
        <v>mub</v>
      </c>
      <c r="E20" s="13" t="s">
        <v>79</v>
      </c>
      <c r="F20" s="13" t="str">
        <f>IFERROR(VLOOKUP(Table15[[#This Row],[Sub-Product]],'DV Lookups'!$R$2:$S$207,2,FALSE),"")</f>
        <v>MW</v>
      </c>
      <c r="G20" s="13" t="str">
        <f>IFERROR(VLOOKUP(Table15[[#This Row],[segment (LU Off Sub-Product)]],'DV Lookups'!$AD$3:$AE$8,2,FALSE),"")</f>
        <v>mw</v>
      </c>
      <c r="H20" s="13" t="s">
        <v>39</v>
      </c>
      <c r="I20" s="13" t="str">
        <f>IFERROR(VLOOKUP(Table15[[#This Row],[region]],'DV Lookups'!$AG$3:$AH$12,2,FALSE),"")</f>
        <v>eur</v>
      </c>
      <c r="J20" s="53" t="s">
        <v>80</v>
      </c>
      <c r="K20" s="13" t="str">
        <f>IFERROR(VLOOKUP(Table15[[#This Row],[portfolio]],'DV Lookups'!$AK$2:$AL$21,2,FALSE),"")</f>
        <v>OTH</v>
      </c>
      <c r="L20" s="53" t="s">
        <v>31</v>
      </c>
      <c r="M20" s="53" t="s">
        <v>81</v>
      </c>
      <c r="N20" s="53" t="s">
        <v>33</v>
      </c>
      <c r="O20" s="53" t="s">
        <v>69</v>
      </c>
      <c r="P20" s="13" t="str">
        <f>IFERROR(VLOOKUP(Table15[[#This Row],[Campaign Type]],'DV Lookups'!$AW$3:$AX$12,2,FALSE),"")</f>
        <v>bid-dda</v>
      </c>
      <c r="Q20" s="13">
        <v>2023</v>
      </c>
      <c r="R20" s="13">
        <f>IFERROR(VLOOKUP(Table15[[#This Row],[Campaign Start Year]],'DV Lookups'!$H$3:$I$23,2,FALSE),"")</f>
        <v>23</v>
      </c>
      <c r="S20" s="13">
        <v>1</v>
      </c>
      <c r="T20" s="13" t="s">
        <v>35</v>
      </c>
      <c r="U20" s="13" t="str">
        <f>IF(ISBLANK(E20),"DEFAULT",E20)</f>
        <v>eAATS Q1 2023</v>
      </c>
      <c r="V20" s="14">
        <f>0</f>
        <v>0</v>
      </c>
      <c r="W20" s="13" t="str">
        <f>CONCATENATE(B20,"_",Table15[[#This Row],[Sub-Product Code]],"_",Table15[[#This Row],[campaign name (free field)]],"_",Table15[[#This Row],[segment code (LU Off Segment)]],"_",Table15[[#This Row],[region code (LU Off Region) - Options look way different]],"_",Table15[[#This Row],[portfolio code (LU Off Portfolio)]],"_",Table15[[#This Row],[business channel]],"_",Table15[[#This Row],[media channel]],"_",Table15[[#This Row],[objective]],"_",Table15[[#This Row],[addressable code]],"_",IF(S20&gt;9,CONCATENATE(S20,R20),CONCATENATE(V20,S20,R20)),"_",Table15[[#This Row],[Free Form]])</f>
        <v>UK_mub_eAATS Q1 2023_mw_eur_OTH_Brand_ecom_awareness_bid-dda_0123_na</v>
      </c>
      <c r="X20" s="15" t="str">
        <f>IF(W20="_________0_","",IF(COUNTIF(A20:T20,"")&gt;0,"Not Valid",Table15[[#This Row],[CAMPAIGN NAME If Default]]))</f>
        <v>UK_mub_eAATS Q1 2023_mw_eur_OTH_Brand_ecom_awareness_bid-dda_0123_na</v>
      </c>
      <c r="Y20" s="15" t="str">
        <f>SUBSTITUTE(X20," ","-")</f>
        <v>UK_mub_eAATS-Q1-2023_mw_eur_OTH_Brand_ecom_awareness_bid-dda_0123_na</v>
      </c>
      <c r="Z20" s="15" t="str">
        <f t="shared" si="7"/>
        <v>uk_mub_eaats-q1-2023_mw_eur_oth_brand_ecom_awareness_bid-dda_0123_na</v>
      </c>
      <c r="AA20" s="15">
        <f>LEN(Table15[[#This Row],[TAG - DO NOT MAKE MANUAL EDITS]])</f>
        <v>68</v>
      </c>
    </row>
  </sheetData>
  <phoneticPr fontId="3" type="noConversion"/>
  <dataValidations count="2">
    <dataValidation type="textLength" allowBlank="1" showInputMessage="1" showErrorMessage="1" sqref="K3:K20 F3:G20 I3:I20" xr:uid="{066521DF-FB8D-4140-9055-63DAB44E4749}">
      <formula1>0</formula1>
      <formula2>16</formula2>
    </dataValidation>
    <dataValidation type="textLength" allowBlank="1" showInputMessage="1" showErrorMessage="1" sqref="E4 E7:E20" xr:uid="{EF5D3634-8729-40E8-81D5-67431D15274E}">
      <formula1>0</formula1>
      <formula2>50</formula2>
    </dataValidation>
  </dataValidations>
  <pageMargins left="0.7" right="0.7" top="0.75" bottom="0.75" header="0.3" footer="0.3"/>
  <pageSetup paperSize="246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63A1B1CF-7B31-4738-BD95-DD97F0723730}">
          <x14:formula1>
            <xm:f>'Alpha-2 Reference Sheet'!$A$2:$A$86</xm:f>
          </x14:formula1>
          <xm:sqref>A3:A20</xm:sqref>
        </x14:dataValidation>
        <x14:dataValidation type="list" allowBlank="1" showInputMessage="1" showErrorMessage="1" xr:uid="{7F2A8990-A349-4693-AA5B-B229B4B0CD6C}">
          <x14:formula1>
            <xm:f>'DV Lookups'!$H$3:$H$23</xm:f>
          </x14:formula1>
          <xm:sqref>Q3:R20</xm:sqref>
        </x14:dataValidation>
        <x14:dataValidation type="list" allowBlank="1" showInputMessage="1" showErrorMessage="1" xr:uid="{492DB0B9-89F4-47C9-87A7-94C234BA513A}">
          <x14:formula1>
            <xm:f>'DV Lookups'!$G$3:$G$14</xm:f>
          </x14:formula1>
          <xm:sqref>S3:S20</xm:sqref>
        </x14:dataValidation>
        <x14:dataValidation type="list" allowBlank="1" showInputMessage="1" showErrorMessage="1" xr:uid="{A9F74AE3-23F8-41F9-A385-A90E6D3C5D7F}">
          <x14:formula1>
            <xm:f>'DV Lookups'!$AQ$3:$AQ$6</xm:f>
          </x14:formula1>
          <xm:sqref>L3:L20</xm:sqref>
        </x14:dataValidation>
        <x14:dataValidation type="list" allowBlank="1" showInputMessage="1" showErrorMessage="1" xr:uid="{77CB761B-EA91-4A5C-8337-C00612226F3F}">
          <x14:formula1>
            <xm:f>'DV Lookups'!$AS$3:$AS$15</xm:f>
          </x14:formula1>
          <xm:sqref>M3:M20</xm:sqref>
        </x14:dataValidation>
        <x14:dataValidation type="list" allowBlank="1" showInputMessage="1" showErrorMessage="1" xr:uid="{E0E57069-EB81-4C5B-8DBD-0884F3B1A016}">
          <x14:formula1>
            <xm:f>'DV Lookups'!$AU$3:$AU$10</xm:f>
          </x14:formula1>
          <xm:sqref>N3:N20</xm:sqref>
        </x14:dataValidation>
        <x14:dataValidation type="list" allowBlank="1" showInputMessage="1" showErrorMessage="1" xr:uid="{662B7491-0E89-4FE1-9604-C7DAD0AFD767}">
          <x14:formula1>
            <xm:f>'DV Lookups'!$AW$3:$AW$12</xm:f>
          </x14:formula1>
          <xm:sqref>O3:O20</xm:sqref>
        </x14:dataValidation>
        <x14:dataValidation type="list" allowBlank="1" showInputMessage="1" showErrorMessage="1" xr:uid="{865010CA-080C-4E3A-8567-88E97E7E56E9}">
          <x14:formula1>
            <xm:f>'DV Lookups'!$AG$3:$AG$7</xm:f>
          </x14:formula1>
          <xm:sqref>H3:H20</xm:sqref>
        </x14:dataValidation>
        <x14:dataValidation type="list" allowBlank="1" showInputMessage="1" showErrorMessage="1" xr:uid="{14DE41A5-5081-43A6-A65C-5A8A29A16A7F}">
          <x14:formula1>
            <xm:f>'DV Lookups'!$AK$3:$AK$21</xm:f>
          </x14:formula1>
          <xm:sqref>J3:J20</xm:sqref>
        </x14:dataValidation>
        <x14:dataValidation type="list" allowBlank="1" showInputMessage="1" showErrorMessage="1" xr:uid="{B600F49D-965E-4FD0-AA79-5DF7C423C814}">
          <x14:formula1>
            <xm:f>'DV Lookups'!$D$3:$D$213</xm:f>
          </x14:formula1>
          <xm:sqref>E3 C3:C20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B001-D89D-4E18-A5BD-A48C68F10E0C}">
  <sheetPr codeName="Sheet3"/>
  <dimension ref="A1:B86"/>
  <sheetViews>
    <sheetView showGridLines="0" workbookViewId="0">
      <selection activeCell="B26" sqref="B26"/>
    </sheetView>
  </sheetViews>
  <sheetFormatPr defaultRowHeight="14.5"/>
  <cols>
    <col min="1" max="1" width="17.453125" bestFit="1" customWidth="1"/>
    <col min="2" max="2" width="14.26953125" bestFit="1" customWidth="1"/>
    <col min="3" max="3" width="8.81640625" customWidth="1"/>
  </cols>
  <sheetData>
    <row r="1" spans="1:2">
      <c r="A1" t="s">
        <v>82</v>
      </c>
      <c r="B1" t="s">
        <v>83</v>
      </c>
    </row>
    <row r="2" spans="1:2">
      <c r="A2" t="s">
        <v>43</v>
      </c>
      <c r="B2" t="s">
        <v>84</v>
      </c>
    </row>
    <row r="3" spans="1:2">
      <c r="A3" t="s">
        <v>85</v>
      </c>
      <c r="B3" t="s">
        <v>86</v>
      </c>
    </row>
    <row r="4" spans="1:2">
      <c r="A4" t="s">
        <v>87</v>
      </c>
      <c r="B4" t="s">
        <v>88</v>
      </c>
    </row>
    <row r="5" spans="1:2">
      <c r="A5" t="s">
        <v>89</v>
      </c>
      <c r="B5" t="s">
        <v>90</v>
      </c>
    </row>
    <row r="6" spans="1:2">
      <c r="A6" t="s">
        <v>91</v>
      </c>
      <c r="B6" t="s">
        <v>92</v>
      </c>
    </row>
    <row r="7" spans="1:2">
      <c r="A7" t="s">
        <v>93</v>
      </c>
      <c r="B7" t="s">
        <v>94</v>
      </c>
    </row>
    <row r="8" spans="1:2">
      <c r="A8" t="s">
        <v>95</v>
      </c>
      <c r="B8" t="s">
        <v>96</v>
      </c>
    </row>
    <row r="9" spans="1:2">
      <c r="A9" t="s">
        <v>97</v>
      </c>
      <c r="B9" t="s">
        <v>98</v>
      </c>
    </row>
    <row r="10" spans="1:2">
      <c r="A10" t="s">
        <v>99</v>
      </c>
      <c r="B10" t="s">
        <v>100</v>
      </c>
    </row>
    <row r="11" spans="1:2">
      <c r="A11" t="s">
        <v>101</v>
      </c>
      <c r="B11" t="s">
        <v>102</v>
      </c>
    </row>
    <row r="12" spans="1:2">
      <c r="A12" t="s">
        <v>103</v>
      </c>
      <c r="B12" t="s">
        <v>104</v>
      </c>
    </row>
    <row r="13" spans="1:2">
      <c r="A13" t="s">
        <v>105</v>
      </c>
      <c r="B13" t="s">
        <v>106</v>
      </c>
    </row>
    <row r="14" spans="1:2">
      <c r="A14" t="s">
        <v>61</v>
      </c>
      <c r="B14" t="s">
        <v>107</v>
      </c>
    </row>
    <row r="15" spans="1:2">
      <c r="A15" t="s">
        <v>108</v>
      </c>
      <c r="B15" t="s">
        <v>109</v>
      </c>
    </row>
    <row r="16" spans="1:2">
      <c r="A16" t="s">
        <v>110</v>
      </c>
      <c r="B16" t="s">
        <v>111</v>
      </c>
    </row>
    <row r="17" spans="1:2">
      <c r="A17" t="s">
        <v>112</v>
      </c>
      <c r="B17" t="s">
        <v>113</v>
      </c>
    </row>
    <row r="18" spans="1:2">
      <c r="A18" t="s">
        <v>114</v>
      </c>
      <c r="B18" t="s">
        <v>115</v>
      </c>
    </row>
    <row r="19" spans="1:2">
      <c r="A19" t="s">
        <v>116</v>
      </c>
      <c r="B19" t="s">
        <v>117</v>
      </c>
    </row>
    <row r="20" spans="1:2">
      <c r="A20" t="s">
        <v>54</v>
      </c>
      <c r="B20" t="s">
        <v>118</v>
      </c>
    </row>
    <row r="21" spans="1:2">
      <c r="A21" t="s">
        <v>47</v>
      </c>
      <c r="B21" t="s">
        <v>119</v>
      </c>
    </row>
    <row r="22" spans="1:2">
      <c r="A22" t="s">
        <v>120</v>
      </c>
      <c r="B22" t="s">
        <v>121</v>
      </c>
    </row>
    <row r="23" spans="1:2">
      <c r="A23" t="s">
        <v>122</v>
      </c>
      <c r="B23" t="s">
        <v>123</v>
      </c>
    </row>
    <row r="24" spans="1:2">
      <c r="A24" t="s">
        <v>124</v>
      </c>
      <c r="B24" t="s">
        <v>125</v>
      </c>
    </row>
    <row r="25" spans="1:2">
      <c r="A25" t="s">
        <v>126</v>
      </c>
      <c r="B25" t="s">
        <v>127</v>
      </c>
    </row>
    <row r="26" spans="1:2">
      <c r="A26" t="s">
        <v>128</v>
      </c>
      <c r="B26" t="s">
        <v>129</v>
      </c>
    </row>
    <row r="27" spans="1:2">
      <c r="A27" t="s">
        <v>130</v>
      </c>
      <c r="B27" t="s">
        <v>131</v>
      </c>
    </row>
    <row r="28" spans="1:2">
      <c r="A28" t="s">
        <v>132</v>
      </c>
      <c r="B28" t="s">
        <v>133</v>
      </c>
    </row>
    <row r="29" spans="1:2">
      <c r="A29" t="s">
        <v>64</v>
      </c>
      <c r="B29" t="s">
        <v>134</v>
      </c>
    </row>
    <row r="30" spans="1:2">
      <c r="A30" t="s">
        <v>36</v>
      </c>
      <c r="B30" t="s">
        <v>135</v>
      </c>
    </row>
    <row r="31" spans="1:2">
      <c r="A31" t="s">
        <v>136</v>
      </c>
      <c r="B31" t="s">
        <v>137</v>
      </c>
    </row>
    <row r="32" spans="1:2">
      <c r="A32" t="s">
        <v>138</v>
      </c>
      <c r="B32" t="s">
        <v>139</v>
      </c>
    </row>
    <row r="33" spans="1:2">
      <c r="A33" t="s">
        <v>140</v>
      </c>
      <c r="B33" t="s">
        <v>141</v>
      </c>
    </row>
    <row r="34" spans="1:2">
      <c r="A34" t="s">
        <v>142</v>
      </c>
      <c r="B34" t="s">
        <v>142</v>
      </c>
    </row>
    <row r="35" spans="1:2">
      <c r="A35" t="s">
        <v>143</v>
      </c>
      <c r="B35" t="s">
        <v>144</v>
      </c>
    </row>
    <row r="36" spans="1:2">
      <c r="A36" t="s">
        <v>145</v>
      </c>
      <c r="B36" t="s">
        <v>146</v>
      </c>
    </row>
    <row r="37" spans="1:2">
      <c r="A37" t="s">
        <v>147</v>
      </c>
      <c r="B37" t="s">
        <v>148</v>
      </c>
    </row>
    <row r="38" spans="1:2">
      <c r="A38" t="s">
        <v>149</v>
      </c>
      <c r="B38" t="s">
        <v>150</v>
      </c>
    </row>
    <row r="39" spans="1:2">
      <c r="A39" t="s">
        <v>151</v>
      </c>
      <c r="B39" t="s">
        <v>152</v>
      </c>
    </row>
    <row r="40" spans="1:2">
      <c r="A40" t="s">
        <v>153</v>
      </c>
      <c r="B40" t="s">
        <v>154</v>
      </c>
    </row>
    <row r="41" spans="1:2">
      <c r="A41" t="s">
        <v>155</v>
      </c>
      <c r="B41" t="s">
        <v>156</v>
      </c>
    </row>
    <row r="42" spans="1:2">
      <c r="A42" t="s">
        <v>157</v>
      </c>
      <c r="B42" t="s">
        <v>158</v>
      </c>
    </row>
    <row r="43" spans="1:2">
      <c r="A43" t="s">
        <v>159</v>
      </c>
      <c r="B43" t="s">
        <v>160</v>
      </c>
    </row>
    <row r="44" spans="1:2">
      <c r="A44" t="s">
        <v>161</v>
      </c>
      <c r="B44" t="s">
        <v>162</v>
      </c>
    </row>
    <row r="45" spans="1:2">
      <c r="A45" t="s">
        <v>163</v>
      </c>
      <c r="B45" t="s">
        <v>164</v>
      </c>
    </row>
    <row r="46" spans="1:2">
      <c r="A46" t="s">
        <v>66</v>
      </c>
      <c r="B46" t="s">
        <v>165</v>
      </c>
    </row>
    <row r="47" spans="1:2">
      <c r="A47" t="s">
        <v>166</v>
      </c>
      <c r="B47" t="s">
        <v>167</v>
      </c>
    </row>
    <row r="48" spans="1:2">
      <c r="A48" t="s">
        <v>168</v>
      </c>
      <c r="B48" t="s">
        <v>168</v>
      </c>
    </row>
    <row r="49" spans="1:2">
      <c r="A49" t="s">
        <v>169</v>
      </c>
      <c r="B49" t="s">
        <v>170</v>
      </c>
    </row>
    <row r="50" spans="1:2">
      <c r="A50" t="s">
        <v>171</v>
      </c>
      <c r="B50" t="s">
        <v>172</v>
      </c>
    </row>
    <row r="51" spans="1:2">
      <c r="A51" t="s">
        <v>173</v>
      </c>
      <c r="B51" t="s">
        <v>174</v>
      </c>
    </row>
    <row r="52" spans="1:2">
      <c r="A52" t="s">
        <v>175</v>
      </c>
      <c r="B52" t="s">
        <v>176</v>
      </c>
    </row>
    <row r="53" spans="1:2">
      <c r="A53" t="s">
        <v>177</v>
      </c>
      <c r="B53" t="s">
        <v>178</v>
      </c>
    </row>
    <row r="54" spans="1:2">
      <c r="A54" t="s">
        <v>179</v>
      </c>
      <c r="B54" t="s">
        <v>180</v>
      </c>
    </row>
    <row r="55" spans="1:2">
      <c r="A55" t="s">
        <v>181</v>
      </c>
      <c r="B55" t="s">
        <v>182</v>
      </c>
    </row>
    <row r="56" spans="1:2">
      <c r="A56" t="s">
        <v>183</v>
      </c>
      <c r="B56" t="s">
        <v>184</v>
      </c>
    </row>
    <row r="57" spans="1:2">
      <c r="A57" t="s">
        <v>185</v>
      </c>
      <c r="B57" t="s">
        <v>186</v>
      </c>
    </row>
    <row r="58" spans="1:2">
      <c r="A58" t="s">
        <v>187</v>
      </c>
      <c r="B58" t="s">
        <v>188</v>
      </c>
    </row>
    <row r="59" spans="1:2">
      <c r="A59" t="s">
        <v>189</v>
      </c>
      <c r="B59" t="s">
        <v>190</v>
      </c>
    </row>
    <row r="60" spans="1:2">
      <c r="A60" t="s">
        <v>191</v>
      </c>
      <c r="B60" t="s">
        <v>192</v>
      </c>
    </row>
    <row r="61" spans="1:2">
      <c r="A61" t="s">
        <v>193</v>
      </c>
      <c r="B61" t="s">
        <v>194</v>
      </c>
    </row>
    <row r="62" spans="1:2">
      <c r="A62" t="s">
        <v>195</v>
      </c>
      <c r="B62" t="s">
        <v>196</v>
      </c>
    </row>
    <row r="63" spans="1:2">
      <c r="A63" t="s">
        <v>197</v>
      </c>
      <c r="B63" t="s">
        <v>198</v>
      </c>
    </row>
    <row r="64" spans="1:2">
      <c r="A64" t="s">
        <v>199</v>
      </c>
      <c r="B64" t="s">
        <v>200</v>
      </c>
    </row>
    <row r="65" spans="1:2">
      <c r="A65" t="s">
        <v>201</v>
      </c>
      <c r="B65" t="s">
        <v>202</v>
      </c>
    </row>
    <row r="66" spans="1:2">
      <c r="A66" t="s">
        <v>203</v>
      </c>
      <c r="B66" t="s">
        <v>204</v>
      </c>
    </row>
    <row r="67" spans="1:2">
      <c r="A67" t="s">
        <v>205</v>
      </c>
      <c r="B67" t="s">
        <v>206</v>
      </c>
    </row>
    <row r="68" spans="1:2">
      <c r="A68" t="s">
        <v>207</v>
      </c>
      <c r="B68" t="s">
        <v>208</v>
      </c>
    </row>
    <row r="69" spans="1:2">
      <c r="A69" t="s">
        <v>209</v>
      </c>
      <c r="B69" t="s">
        <v>210</v>
      </c>
    </row>
    <row r="70" spans="1:2">
      <c r="A70" t="s">
        <v>211</v>
      </c>
      <c r="B70" t="s">
        <v>212</v>
      </c>
    </row>
    <row r="71" spans="1:2">
      <c r="A71" t="s">
        <v>213</v>
      </c>
      <c r="B71" t="s">
        <v>214</v>
      </c>
    </row>
    <row r="72" spans="1:2">
      <c r="A72" t="s">
        <v>27</v>
      </c>
      <c r="B72" t="s">
        <v>215</v>
      </c>
    </row>
    <row r="73" spans="1:2">
      <c r="A73" t="s">
        <v>216</v>
      </c>
      <c r="B73" t="s">
        <v>217</v>
      </c>
    </row>
    <row r="74" spans="1:2">
      <c r="A74" t="s">
        <v>218</v>
      </c>
      <c r="B74" t="s">
        <v>219</v>
      </c>
    </row>
    <row r="75" spans="1:2">
      <c r="A75" t="s">
        <v>220</v>
      </c>
      <c r="B75" t="s">
        <v>221</v>
      </c>
    </row>
    <row r="76" spans="1:2">
      <c r="A76" t="s">
        <v>222</v>
      </c>
      <c r="B76" t="s">
        <v>223</v>
      </c>
    </row>
    <row r="77" spans="1:2">
      <c r="A77" t="s">
        <v>224</v>
      </c>
      <c r="B77" t="s">
        <v>225</v>
      </c>
    </row>
    <row r="78" spans="1:2">
      <c r="A78" t="s">
        <v>226</v>
      </c>
      <c r="B78" t="s">
        <v>227</v>
      </c>
    </row>
    <row r="79" spans="1:2">
      <c r="A79" t="s">
        <v>228</v>
      </c>
      <c r="B79" t="s">
        <v>229</v>
      </c>
    </row>
    <row r="80" spans="1:2">
      <c r="A80" t="s">
        <v>230</v>
      </c>
      <c r="B80" t="s">
        <v>231</v>
      </c>
    </row>
    <row r="81" spans="1:2">
      <c r="A81" t="s">
        <v>232</v>
      </c>
      <c r="B81" t="s">
        <v>233</v>
      </c>
    </row>
    <row r="82" spans="1:2">
      <c r="A82" t="s">
        <v>234</v>
      </c>
      <c r="B82" t="s">
        <v>235</v>
      </c>
    </row>
    <row r="83" spans="1:2">
      <c r="A83" t="s">
        <v>236</v>
      </c>
      <c r="B83" t="s">
        <v>237</v>
      </c>
    </row>
    <row r="84" spans="1:2">
      <c r="A84" t="s">
        <v>238</v>
      </c>
      <c r="B84" t="s">
        <v>239</v>
      </c>
    </row>
    <row r="85" spans="1:2">
      <c r="A85" t="s">
        <v>240</v>
      </c>
      <c r="B85" t="s">
        <v>241</v>
      </c>
    </row>
    <row r="86" spans="1:2">
      <c r="A86" t="s">
        <v>242</v>
      </c>
      <c r="B86" t="s">
        <v>243</v>
      </c>
    </row>
  </sheetData>
  <conditionalFormatting sqref="B1:B1048576">
    <cfRule type="duplicateValues" dxfId="1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398D-D0CC-403B-8D16-4AE4DB0AF47D}">
  <sheetPr codeName="Sheet4"/>
  <dimension ref="A1:D249"/>
  <sheetViews>
    <sheetView workbookViewId="0">
      <selection activeCell="A180" sqref="A180"/>
    </sheetView>
  </sheetViews>
  <sheetFormatPr defaultRowHeight="14.5"/>
  <cols>
    <col min="1" max="1" width="21.81640625" customWidth="1"/>
  </cols>
  <sheetData>
    <row r="1" spans="1:4" ht="16" thickBot="1">
      <c r="A1" s="4" t="s">
        <v>244</v>
      </c>
      <c r="B1" s="4" t="s">
        <v>245</v>
      </c>
      <c r="C1" s="4" t="s">
        <v>246</v>
      </c>
      <c r="D1" s="4">
        <v>4</v>
      </c>
    </row>
    <row r="2" spans="1:4" ht="16" thickBot="1">
      <c r="A2" s="4" t="s">
        <v>85</v>
      </c>
      <c r="B2" s="4" t="s">
        <v>86</v>
      </c>
      <c r="C2" s="4" t="s">
        <v>247</v>
      </c>
      <c r="D2" s="4">
        <v>8</v>
      </c>
    </row>
    <row r="3" spans="1:4" ht="16" thickBot="1">
      <c r="A3" s="4" t="s">
        <v>248</v>
      </c>
      <c r="B3" s="4" t="s">
        <v>249</v>
      </c>
      <c r="C3" s="4" t="s">
        <v>250</v>
      </c>
      <c r="D3" s="4">
        <v>12</v>
      </c>
    </row>
    <row r="4" spans="1:4" ht="16" thickBot="1">
      <c r="A4" s="4" t="s">
        <v>251</v>
      </c>
      <c r="B4" s="4" t="s">
        <v>252</v>
      </c>
      <c r="C4" s="4" t="s">
        <v>253</v>
      </c>
      <c r="D4" s="4">
        <v>16</v>
      </c>
    </row>
    <row r="5" spans="1:4" ht="16" thickBot="1">
      <c r="A5" s="4" t="s">
        <v>254</v>
      </c>
      <c r="B5" s="4" t="s">
        <v>255</v>
      </c>
      <c r="C5" s="4" t="s">
        <v>256</v>
      </c>
      <c r="D5" s="4">
        <v>20</v>
      </c>
    </row>
    <row r="6" spans="1:4" ht="16" thickBot="1">
      <c r="A6" s="4" t="s">
        <v>257</v>
      </c>
      <c r="B6" s="4" t="s">
        <v>258</v>
      </c>
      <c r="C6" s="4" t="s">
        <v>259</v>
      </c>
      <c r="D6" s="4">
        <v>24</v>
      </c>
    </row>
    <row r="7" spans="1:4" ht="16" thickBot="1">
      <c r="A7" s="4" t="s">
        <v>260</v>
      </c>
      <c r="B7" s="4" t="s">
        <v>261</v>
      </c>
      <c r="C7" s="4" t="s">
        <v>262</v>
      </c>
      <c r="D7" s="4">
        <v>660</v>
      </c>
    </row>
    <row r="8" spans="1:4" ht="16" thickBot="1">
      <c r="A8" s="4" t="s">
        <v>263</v>
      </c>
      <c r="B8" s="4" t="s">
        <v>264</v>
      </c>
      <c r="C8" s="4" t="s">
        <v>265</v>
      </c>
      <c r="D8" s="4">
        <v>10</v>
      </c>
    </row>
    <row r="9" spans="1:4" ht="31.5" thickBot="1">
      <c r="A9" s="4" t="s">
        <v>266</v>
      </c>
      <c r="B9" s="4" t="s">
        <v>267</v>
      </c>
      <c r="C9" s="4" t="s">
        <v>268</v>
      </c>
      <c r="D9" s="4">
        <v>28</v>
      </c>
    </row>
    <row r="10" spans="1:4" ht="16" thickBot="1">
      <c r="A10" s="4" t="s">
        <v>87</v>
      </c>
      <c r="B10" s="4" t="s">
        <v>88</v>
      </c>
      <c r="C10" s="4" t="s">
        <v>269</v>
      </c>
      <c r="D10" s="4">
        <v>32</v>
      </c>
    </row>
    <row r="11" spans="1:4" ht="16" thickBot="1">
      <c r="A11" s="4" t="s">
        <v>270</v>
      </c>
      <c r="B11" s="4" t="s">
        <v>271</v>
      </c>
      <c r="C11" s="4" t="s">
        <v>272</v>
      </c>
      <c r="D11" s="4">
        <v>51</v>
      </c>
    </row>
    <row r="12" spans="1:4" ht="16" thickBot="1">
      <c r="A12" s="4" t="s">
        <v>273</v>
      </c>
      <c r="B12" s="4" t="s">
        <v>274</v>
      </c>
      <c r="C12" s="4" t="s">
        <v>275</v>
      </c>
      <c r="D12" s="4">
        <v>533</v>
      </c>
    </row>
    <row r="13" spans="1:4" ht="16" thickBot="1">
      <c r="A13" s="4" t="s">
        <v>91</v>
      </c>
      <c r="B13" s="4" t="s">
        <v>92</v>
      </c>
      <c r="C13" s="4" t="s">
        <v>276</v>
      </c>
      <c r="D13" s="4">
        <v>36</v>
      </c>
    </row>
    <row r="14" spans="1:4" ht="16" thickBot="1">
      <c r="A14" s="4" t="s">
        <v>89</v>
      </c>
      <c r="B14" s="4" t="s">
        <v>90</v>
      </c>
      <c r="C14" s="4" t="s">
        <v>277</v>
      </c>
      <c r="D14" s="4">
        <v>40</v>
      </c>
    </row>
    <row r="15" spans="1:4" ht="16" thickBot="1">
      <c r="A15" s="4" t="s">
        <v>93</v>
      </c>
      <c r="B15" s="4" t="s">
        <v>94</v>
      </c>
      <c r="C15" s="4" t="s">
        <v>278</v>
      </c>
      <c r="D15" s="4">
        <v>31</v>
      </c>
    </row>
    <row r="16" spans="1:4" ht="16" thickBot="1">
      <c r="A16" s="4" t="s">
        <v>279</v>
      </c>
      <c r="B16" s="4" t="s">
        <v>280</v>
      </c>
      <c r="C16" s="4" t="s">
        <v>281</v>
      </c>
      <c r="D16" s="4">
        <v>44</v>
      </c>
    </row>
    <row r="17" spans="1:4" ht="16" thickBot="1">
      <c r="A17" s="4" t="s">
        <v>101</v>
      </c>
      <c r="B17" s="4" t="s">
        <v>102</v>
      </c>
      <c r="C17" s="4" t="s">
        <v>282</v>
      </c>
      <c r="D17" s="4">
        <v>48</v>
      </c>
    </row>
    <row r="18" spans="1:4" ht="16" thickBot="1">
      <c r="A18" s="4" t="s">
        <v>283</v>
      </c>
      <c r="B18" s="4" t="s">
        <v>284</v>
      </c>
      <c r="C18" s="4" t="s">
        <v>285</v>
      </c>
      <c r="D18" s="4">
        <v>50</v>
      </c>
    </row>
    <row r="19" spans="1:4" ht="16" thickBot="1">
      <c r="A19" s="4" t="s">
        <v>286</v>
      </c>
      <c r="B19" s="4" t="s">
        <v>287</v>
      </c>
      <c r="C19" s="4" t="s">
        <v>288</v>
      </c>
      <c r="D19" s="4">
        <v>52</v>
      </c>
    </row>
    <row r="20" spans="1:4" ht="16" thickBot="1">
      <c r="A20" s="4" t="s">
        <v>105</v>
      </c>
      <c r="B20" s="4" t="s">
        <v>106</v>
      </c>
      <c r="C20" s="4" t="s">
        <v>289</v>
      </c>
      <c r="D20" s="4">
        <v>112</v>
      </c>
    </row>
    <row r="21" spans="1:4" ht="16" thickBot="1">
      <c r="A21" s="4" t="s">
        <v>97</v>
      </c>
      <c r="B21" s="4" t="s">
        <v>98</v>
      </c>
      <c r="C21" s="4" t="s">
        <v>290</v>
      </c>
      <c r="D21" s="4">
        <v>56</v>
      </c>
    </row>
    <row r="22" spans="1:4" ht="16" thickBot="1">
      <c r="A22" s="4" t="s">
        <v>291</v>
      </c>
      <c r="B22" s="4" t="s">
        <v>292</v>
      </c>
      <c r="C22" s="4" t="s">
        <v>293</v>
      </c>
      <c r="D22" s="4">
        <v>84</v>
      </c>
    </row>
    <row r="23" spans="1:4" ht="16" thickBot="1">
      <c r="A23" s="4" t="s">
        <v>294</v>
      </c>
      <c r="B23" s="4" t="s">
        <v>295</v>
      </c>
      <c r="C23" s="4" t="s">
        <v>296</v>
      </c>
      <c r="D23" s="4">
        <v>204</v>
      </c>
    </row>
    <row r="24" spans="1:4" ht="16" thickBot="1">
      <c r="A24" s="4" t="s">
        <v>297</v>
      </c>
      <c r="B24" s="4" t="s">
        <v>298</v>
      </c>
      <c r="C24" s="4" t="s">
        <v>299</v>
      </c>
      <c r="D24" s="4">
        <v>60</v>
      </c>
    </row>
    <row r="25" spans="1:4" ht="16" thickBot="1">
      <c r="A25" s="4" t="s">
        <v>300</v>
      </c>
      <c r="B25" s="4" t="s">
        <v>301</v>
      </c>
      <c r="C25" s="4" t="s">
        <v>302</v>
      </c>
      <c r="D25" s="4">
        <v>64</v>
      </c>
    </row>
    <row r="26" spans="1:4" ht="31.5" thickBot="1">
      <c r="A26" s="4" t="s">
        <v>303</v>
      </c>
      <c r="B26" s="4" t="s">
        <v>304</v>
      </c>
      <c r="C26" s="4" t="s">
        <v>305</v>
      </c>
      <c r="D26" s="4">
        <v>68</v>
      </c>
    </row>
    <row r="27" spans="1:4" ht="31.5" thickBot="1">
      <c r="A27" s="4" t="s">
        <v>306</v>
      </c>
      <c r="B27" s="4" t="s">
        <v>307</v>
      </c>
      <c r="C27" s="4" t="s">
        <v>308</v>
      </c>
      <c r="D27" s="4">
        <v>535</v>
      </c>
    </row>
    <row r="28" spans="1:4" ht="31.5" thickBot="1">
      <c r="A28" s="4" t="s">
        <v>309</v>
      </c>
      <c r="B28" s="4" t="s">
        <v>96</v>
      </c>
      <c r="C28" s="4" t="s">
        <v>310</v>
      </c>
      <c r="D28" s="4">
        <v>70</v>
      </c>
    </row>
    <row r="29" spans="1:4" ht="16" thickBot="1">
      <c r="A29" s="4" t="s">
        <v>311</v>
      </c>
      <c r="B29" s="4" t="s">
        <v>312</v>
      </c>
      <c r="C29" s="4" t="s">
        <v>313</v>
      </c>
      <c r="D29" s="4">
        <v>72</v>
      </c>
    </row>
    <row r="30" spans="1:4" ht="16" thickBot="1">
      <c r="A30" s="4" t="s">
        <v>314</v>
      </c>
      <c r="B30" s="4" t="s">
        <v>315</v>
      </c>
      <c r="C30" s="4" t="s">
        <v>316</v>
      </c>
      <c r="D30" s="4">
        <v>74</v>
      </c>
    </row>
    <row r="31" spans="1:4" ht="16" thickBot="1">
      <c r="A31" s="4" t="s">
        <v>103</v>
      </c>
      <c r="B31" s="4" t="s">
        <v>104</v>
      </c>
      <c r="C31" s="4" t="s">
        <v>317</v>
      </c>
      <c r="D31" s="4">
        <v>76</v>
      </c>
    </row>
    <row r="32" spans="1:4" ht="31.5" thickBot="1">
      <c r="A32" s="4" t="s">
        <v>318</v>
      </c>
      <c r="B32" s="4" t="s">
        <v>319</v>
      </c>
      <c r="C32" s="4" t="s">
        <v>320</v>
      </c>
      <c r="D32" s="4">
        <v>86</v>
      </c>
    </row>
    <row r="33" spans="1:4" ht="16" thickBot="1">
      <c r="A33" s="4" t="s">
        <v>321</v>
      </c>
      <c r="B33" s="4" t="s">
        <v>322</v>
      </c>
      <c r="C33" s="4" t="s">
        <v>323</v>
      </c>
      <c r="D33" s="4">
        <v>96</v>
      </c>
    </row>
    <row r="34" spans="1:4" ht="16" thickBot="1">
      <c r="A34" s="4" t="s">
        <v>99</v>
      </c>
      <c r="B34" s="4" t="s">
        <v>100</v>
      </c>
      <c r="C34" s="4" t="s">
        <v>324</v>
      </c>
      <c r="D34" s="4">
        <v>100</v>
      </c>
    </row>
    <row r="35" spans="1:4" ht="16" thickBot="1">
      <c r="A35" s="4" t="s">
        <v>325</v>
      </c>
      <c r="B35" s="4" t="s">
        <v>326</v>
      </c>
      <c r="C35" s="4" t="s">
        <v>327</v>
      </c>
      <c r="D35" s="4">
        <v>854</v>
      </c>
    </row>
    <row r="36" spans="1:4" ht="16" thickBot="1">
      <c r="A36" s="4" t="s">
        <v>328</v>
      </c>
      <c r="B36" s="4" t="s">
        <v>329</v>
      </c>
      <c r="C36" s="4" t="s">
        <v>330</v>
      </c>
      <c r="D36" s="4">
        <v>108</v>
      </c>
    </row>
    <row r="37" spans="1:4" ht="16" thickBot="1">
      <c r="A37" s="4" t="s">
        <v>331</v>
      </c>
      <c r="B37" s="4" t="s">
        <v>332</v>
      </c>
      <c r="C37" s="4" t="s">
        <v>333</v>
      </c>
      <c r="D37" s="4">
        <v>132</v>
      </c>
    </row>
    <row r="38" spans="1:4" ht="16" thickBot="1">
      <c r="A38" s="4" t="s">
        <v>334</v>
      </c>
      <c r="B38" s="4" t="s">
        <v>335</v>
      </c>
      <c r="C38" s="4" t="s">
        <v>336</v>
      </c>
      <c r="D38" s="4">
        <v>116</v>
      </c>
    </row>
    <row r="39" spans="1:4" ht="16" thickBot="1">
      <c r="A39" s="4" t="s">
        <v>337</v>
      </c>
      <c r="B39" s="4" t="s">
        <v>338</v>
      </c>
      <c r="C39" s="4" t="s">
        <v>339</v>
      </c>
      <c r="D39" s="4">
        <v>120</v>
      </c>
    </row>
    <row r="40" spans="1:4" ht="16" thickBot="1">
      <c r="A40" s="4" t="s">
        <v>61</v>
      </c>
      <c r="B40" s="4" t="s">
        <v>107</v>
      </c>
      <c r="C40" s="4" t="s">
        <v>340</v>
      </c>
      <c r="D40" s="4">
        <v>124</v>
      </c>
    </row>
    <row r="41" spans="1:4" ht="31.5" thickBot="1">
      <c r="A41" s="4" t="s">
        <v>341</v>
      </c>
      <c r="B41" s="4" t="s">
        <v>342</v>
      </c>
      <c r="C41" s="4" t="s">
        <v>343</v>
      </c>
      <c r="D41" s="4">
        <v>136</v>
      </c>
    </row>
    <row r="42" spans="1:4" ht="31.5" thickBot="1">
      <c r="A42" s="4" t="s">
        <v>344</v>
      </c>
      <c r="B42" s="4" t="s">
        <v>345</v>
      </c>
      <c r="C42" s="4" t="s">
        <v>346</v>
      </c>
      <c r="D42" s="4">
        <v>140</v>
      </c>
    </row>
    <row r="43" spans="1:4" ht="16" thickBot="1">
      <c r="A43" s="4" t="s">
        <v>347</v>
      </c>
      <c r="B43" s="4" t="s">
        <v>348</v>
      </c>
      <c r="C43" s="4" t="s">
        <v>349</v>
      </c>
      <c r="D43" s="4">
        <v>148</v>
      </c>
    </row>
    <row r="44" spans="1:4" ht="16" thickBot="1">
      <c r="A44" s="4" t="s">
        <v>110</v>
      </c>
      <c r="B44" s="4" t="s">
        <v>111</v>
      </c>
      <c r="C44" s="4" t="s">
        <v>350</v>
      </c>
      <c r="D44" s="4">
        <v>152</v>
      </c>
    </row>
    <row r="45" spans="1:4" ht="16" thickBot="1">
      <c r="A45" s="4" t="s">
        <v>112</v>
      </c>
      <c r="B45" s="4" t="s">
        <v>113</v>
      </c>
      <c r="C45" s="4" t="s">
        <v>351</v>
      </c>
      <c r="D45" s="4">
        <v>156</v>
      </c>
    </row>
    <row r="46" spans="1:4" ht="16" thickBot="1">
      <c r="A46" s="4" t="s">
        <v>352</v>
      </c>
      <c r="B46" s="4" t="s">
        <v>353</v>
      </c>
      <c r="C46" s="4" t="s">
        <v>354</v>
      </c>
      <c r="D46" s="4">
        <v>162</v>
      </c>
    </row>
    <row r="47" spans="1:4" ht="31.5" thickBot="1">
      <c r="A47" s="4" t="s">
        <v>355</v>
      </c>
      <c r="B47" s="4" t="s">
        <v>356</v>
      </c>
      <c r="C47" s="4" t="s">
        <v>357</v>
      </c>
      <c r="D47" s="4">
        <v>166</v>
      </c>
    </row>
    <row r="48" spans="1:4" ht="16" thickBot="1">
      <c r="A48" s="4" t="s">
        <v>114</v>
      </c>
      <c r="B48" s="4" t="s">
        <v>115</v>
      </c>
      <c r="C48" s="4" t="s">
        <v>358</v>
      </c>
      <c r="D48" s="4">
        <v>170</v>
      </c>
    </row>
    <row r="49" spans="1:4" ht="16" thickBot="1">
      <c r="A49" s="4" t="s">
        <v>359</v>
      </c>
      <c r="B49" s="4" t="s">
        <v>360</v>
      </c>
      <c r="C49" s="4" t="s">
        <v>361</v>
      </c>
      <c r="D49" s="4">
        <v>174</v>
      </c>
    </row>
    <row r="50" spans="1:4" ht="47" thickBot="1">
      <c r="A50" s="4" t="s">
        <v>362</v>
      </c>
      <c r="B50" s="4" t="s">
        <v>363</v>
      </c>
      <c r="C50" s="4" t="s">
        <v>364</v>
      </c>
      <c r="D50" s="4">
        <v>180</v>
      </c>
    </row>
    <row r="51" spans="1:4" ht="16" thickBot="1">
      <c r="A51" s="4" t="s">
        <v>365</v>
      </c>
      <c r="B51" s="4" t="s">
        <v>366</v>
      </c>
      <c r="C51" s="4" t="s">
        <v>367</v>
      </c>
      <c r="D51" s="4">
        <v>178</v>
      </c>
    </row>
    <row r="52" spans="1:4" ht="16" thickBot="1">
      <c r="A52" s="4" t="s">
        <v>368</v>
      </c>
      <c r="B52" s="4" t="s">
        <v>369</v>
      </c>
      <c r="C52" s="4" t="s">
        <v>370</v>
      </c>
      <c r="D52" s="4">
        <v>184</v>
      </c>
    </row>
    <row r="53" spans="1:4" ht="16" thickBot="1">
      <c r="A53" s="4" t="s">
        <v>116</v>
      </c>
      <c r="B53" s="4" t="s">
        <v>117</v>
      </c>
      <c r="C53" s="4" t="s">
        <v>371</v>
      </c>
      <c r="D53" s="4">
        <v>188</v>
      </c>
    </row>
    <row r="54" spans="1:4" ht="16" thickBot="1">
      <c r="A54" s="4" t="s">
        <v>145</v>
      </c>
      <c r="B54" s="4" t="s">
        <v>146</v>
      </c>
      <c r="C54" s="4" t="s">
        <v>372</v>
      </c>
      <c r="D54" s="4">
        <v>191</v>
      </c>
    </row>
    <row r="55" spans="1:4" ht="16" thickBot="1">
      <c r="A55" s="4" t="s">
        <v>373</v>
      </c>
      <c r="B55" s="4" t="s">
        <v>374</v>
      </c>
      <c r="C55" s="4" t="s">
        <v>375</v>
      </c>
      <c r="D55" s="4">
        <v>192</v>
      </c>
    </row>
    <row r="56" spans="1:4" ht="16" thickBot="1">
      <c r="A56" s="4" t="s">
        <v>376</v>
      </c>
      <c r="B56" s="4" t="s">
        <v>377</v>
      </c>
      <c r="C56" s="4" t="s">
        <v>378</v>
      </c>
      <c r="D56" s="4">
        <v>531</v>
      </c>
    </row>
    <row r="57" spans="1:4" ht="16" thickBot="1">
      <c r="A57" s="4" t="s">
        <v>379</v>
      </c>
      <c r="B57" s="4" t="s">
        <v>380</v>
      </c>
      <c r="C57" s="4" t="s">
        <v>381</v>
      </c>
      <c r="D57" s="4">
        <v>196</v>
      </c>
    </row>
    <row r="58" spans="1:4" ht="16" thickBot="1">
      <c r="A58" s="4" t="s">
        <v>382</v>
      </c>
      <c r="B58" s="4" t="s">
        <v>118</v>
      </c>
      <c r="C58" s="4" t="s">
        <v>383</v>
      </c>
      <c r="D58" s="4">
        <v>203</v>
      </c>
    </row>
    <row r="59" spans="1:4" ht="16" thickBot="1">
      <c r="A59" s="4" t="s">
        <v>384</v>
      </c>
      <c r="B59" s="4" t="s">
        <v>385</v>
      </c>
      <c r="C59" s="4" t="s">
        <v>386</v>
      </c>
      <c r="D59" s="4">
        <v>384</v>
      </c>
    </row>
    <row r="60" spans="1:4" ht="16" thickBot="1">
      <c r="A60" s="4" t="s">
        <v>120</v>
      </c>
      <c r="B60" s="4" t="s">
        <v>121</v>
      </c>
      <c r="C60" s="4" t="s">
        <v>387</v>
      </c>
      <c r="D60" s="4">
        <v>208</v>
      </c>
    </row>
    <row r="61" spans="1:4" ht="16" thickBot="1">
      <c r="A61" s="4" t="s">
        <v>388</v>
      </c>
      <c r="B61" s="4" t="s">
        <v>389</v>
      </c>
      <c r="C61" s="4" t="s">
        <v>390</v>
      </c>
      <c r="D61" s="4">
        <v>262</v>
      </c>
    </row>
    <row r="62" spans="1:4" ht="16" thickBot="1">
      <c r="A62" s="4" t="s">
        <v>391</v>
      </c>
      <c r="B62" s="4" t="s">
        <v>392</v>
      </c>
      <c r="C62" s="4" t="s">
        <v>393</v>
      </c>
      <c r="D62" s="4">
        <v>212</v>
      </c>
    </row>
    <row r="63" spans="1:4" ht="31.5" thickBot="1">
      <c r="A63" s="4" t="s">
        <v>394</v>
      </c>
      <c r="B63" s="4" t="s">
        <v>123</v>
      </c>
      <c r="C63" s="4" t="s">
        <v>395</v>
      </c>
      <c r="D63" s="4">
        <v>214</v>
      </c>
    </row>
    <row r="64" spans="1:4" ht="16" thickBot="1">
      <c r="A64" s="4" t="s">
        <v>124</v>
      </c>
      <c r="B64" s="4" t="s">
        <v>125</v>
      </c>
      <c r="C64" s="4" t="s">
        <v>396</v>
      </c>
      <c r="D64" s="4">
        <v>218</v>
      </c>
    </row>
    <row r="65" spans="1:4" ht="16" thickBot="1">
      <c r="A65" s="4" t="s">
        <v>128</v>
      </c>
      <c r="B65" s="4" t="s">
        <v>129</v>
      </c>
      <c r="C65" s="4" t="s">
        <v>397</v>
      </c>
      <c r="D65" s="4">
        <v>818</v>
      </c>
    </row>
    <row r="66" spans="1:4" ht="16" thickBot="1">
      <c r="A66" s="4" t="s">
        <v>398</v>
      </c>
      <c r="B66" s="4" t="s">
        <v>399</v>
      </c>
      <c r="C66" s="4" t="s">
        <v>400</v>
      </c>
      <c r="D66" s="4">
        <v>222</v>
      </c>
    </row>
    <row r="67" spans="1:4" ht="16" thickBot="1">
      <c r="A67" s="4" t="s">
        <v>401</v>
      </c>
      <c r="B67" s="4" t="s">
        <v>402</v>
      </c>
      <c r="C67" s="4" t="s">
        <v>403</v>
      </c>
      <c r="D67" s="4">
        <v>226</v>
      </c>
    </row>
    <row r="68" spans="1:4" ht="16" thickBot="1">
      <c r="A68" s="4" t="s">
        <v>404</v>
      </c>
      <c r="B68" s="4" t="s">
        <v>405</v>
      </c>
      <c r="C68" s="4" t="s">
        <v>406</v>
      </c>
      <c r="D68" s="4">
        <v>232</v>
      </c>
    </row>
    <row r="69" spans="1:4" ht="16" thickBot="1">
      <c r="A69" s="4" t="s">
        <v>126</v>
      </c>
      <c r="B69" s="4" t="s">
        <v>127</v>
      </c>
      <c r="C69" s="4" t="s">
        <v>407</v>
      </c>
      <c r="D69" s="4">
        <v>233</v>
      </c>
    </row>
    <row r="70" spans="1:4" ht="16" thickBot="1">
      <c r="A70" s="4" t="s">
        <v>408</v>
      </c>
      <c r="B70" s="4" t="s">
        <v>409</v>
      </c>
      <c r="C70" s="4" t="s">
        <v>410</v>
      </c>
      <c r="D70" s="4">
        <v>748</v>
      </c>
    </row>
    <row r="71" spans="1:4" ht="16" thickBot="1">
      <c r="A71" s="4" t="s">
        <v>411</v>
      </c>
      <c r="B71" s="4" t="s">
        <v>412</v>
      </c>
      <c r="C71" s="4" t="s">
        <v>413</v>
      </c>
      <c r="D71" s="4">
        <v>231</v>
      </c>
    </row>
    <row r="72" spans="1:4" ht="31.5" thickBot="1">
      <c r="A72" s="4" t="s">
        <v>414</v>
      </c>
      <c r="B72" s="4" t="s">
        <v>415</v>
      </c>
      <c r="C72" s="4" t="s">
        <v>416</v>
      </c>
      <c r="D72" s="4">
        <v>238</v>
      </c>
    </row>
    <row r="73" spans="1:4" ht="16" thickBot="1">
      <c r="A73" s="4" t="s">
        <v>417</v>
      </c>
      <c r="B73" s="4" t="s">
        <v>418</v>
      </c>
      <c r="C73" s="4" t="s">
        <v>419</v>
      </c>
      <c r="D73" s="4">
        <v>234</v>
      </c>
    </row>
    <row r="74" spans="1:4" ht="16" thickBot="1">
      <c r="A74" s="4" t="s">
        <v>420</v>
      </c>
      <c r="B74" s="4" t="s">
        <v>421</v>
      </c>
      <c r="C74" s="4" t="s">
        <v>422</v>
      </c>
      <c r="D74" s="4">
        <v>242</v>
      </c>
    </row>
    <row r="75" spans="1:4" ht="16" thickBot="1">
      <c r="A75" s="4" t="s">
        <v>132</v>
      </c>
      <c r="B75" s="4" t="s">
        <v>133</v>
      </c>
      <c r="C75" s="4" t="s">
        <v>423</v>
      </c>
      <c r="D75" s="4">
        <v>246</v>
      </c>
    </row>
    <row r="76" spans="1:4" ht="16" thickBot="1">
      <c r="A76" s="4" t="s">
        <v>64</v>
      </c>
      <c r="B76" s="4" t="s">
        <v>134</v>
      </c>
      <c r="C76" s="4" t="s">
        <v>424</v>
      </c>
      <c r="D76" s="4">
        <v>250</v>
      </c>
    </row>
    <row r="77" spans="1:4" ht="16" thickBot="1">
      <c r="A77" s="4" t="s">
        <v>425</v>
      </c>
      <c r="B77" s="4" t="s">
        <v>426</v>
      </c>
      <c r="C77" s="4" t="s">
        <v>427</v>
      </c>
      <c r="D77" s="4">
        <v>254</v>
      </c>
    </row>
    <row r="78" spans="1:4" ht="16" thickBot="1">
      <c r="A78" s="4" t="s">
        <v>428</v>
      </c>
      <c r="B78" s="4" t="s">
        <v>429</v>
      </c>
      <c r="C78" s="4" t="s">
        <v>430</v>
      </c>
      <c r="D78" s="4">
        <v>258</v>
      </c>
    </row>
    <row r="79" spans="1:4" ht="31.5" thickBot="1">
      <c r="A79" s="4" t="s">
        <v>431</v>
      </c>
      <c r="B79" s="4" t="s">
        <v>432</v>
      </c>
      <c r="C79" s="4" t="s">
        <v>433</v>
      </c>
      <c r="D79" s="4">
        <v>260</v>
      </c>
    </row>
    <row r="80" spans="1:4" ht="16" thickBot="1">
      <c r="A80" s="4" t="s">
        <v>434</v>
      </c>
      <c r="B80" s="4" t="s">
        <v>435</v>
      </c>
      <c r="C80" s="4" t="s">
        <v>436</v>
      </c>
      <c r="D80" s="4">
        <v>266</v>
      </c>
    </row>
    <row r="81" spans="1:4" ht="16" thickBot="1">
      <c r="A81" s="4" t="s">
        <v>437</v>
      </c>
      <c r="B81" s="4" t="s">
        <v>438</v>
      </c>
      <c r="C81" s="4" t="s">
        <v>439</v>
      </c>
      <c r="D81" s="4">
        <v>270</v>
      </c>
    </row>
    <row r="82" spans="1:4" ht="16" thickBot="1">
      <c r="A82" s="4" t="s">
        <v>136</v>
      </c>
      <c r="B82" s="4" t="s">
        <v>137</v>
      </c>
      <c r="C82" s="4" t="s">
        <v>440</v>
      </c>
      <c r="D82" s="4">
        <v>268</v>
      </c>
    </row>
    <row r="83" spans="1:4" ht="16" thickBot="1">
      <c r="A83" s="4" t="s">
        <v>47</v>
      </c>
      <c r="B83" s="4" t="s">
        <v>119</v>
      </c>
      <c r="C83" s="4" t="s">
        <v>441</v>
      </c>
      <c r="D83" s="4">
        <v>276</v>
      </c>
    </row>
    <row r="84" spans="1:4" ht="16" thickBot="1">
      <c r="A84" s="4" t="s">
        <v>442</v>
      </c>
      <c r="B84" s="4" t="s">
        <v>443</v>
      </c>
      <c r="C84" s="4" t="s">
        <v>444</v>
      </c>
      <c r="D84" s="4">
        <v>288</v>
      </c>
    </row>
    <row r="85" spans="1:4" ht="16" thickBot="1">
      <c r="A85" s="4" t="s">
        <v>445</v>
      </c>
      <c r="B85" s="4" t="s">
        <v>446</v>
      </c>
      <c r="C85" s="4" t="s">
        <v>447</v>
      </c>
      <c r="D85" s="4">
        <v>292</v>
      </c>
    </row>
    <row r="86" spans="1:4" ht="16" thickBot="1">
      <c r="A86" s="4" t="s">
        <v>138</v>
      </c>
      <c r="B86" s="4" t="s">
        <v>139</v>
      </c>
      <c r="C86" s="4" t="s">
        <v>448</v>
      </c>
      <c r="D86" s="4">
        <v>300</v>
      </c>
    </row>
    <row r="87" spans="1:4" ht="16" thickBot="1">
      <c r="A87" s="4" t="s">
        <v>449</v>
      </c>
      <c r="B87" s="4" t="s">
        <v>450</v>
      </c>
      <c r="C87" s="4" t="s">
        <v>451</v>
      </c>
      <c r="D87" s="4">
        <v>304</v>
      </c>
    </row>
    <row r="88" spans="1:4" ht="16" thickBot="1">
      <c r="A88" s="4" t="s">
        <v>452</v>
      </c>
      <c r="B88" s="4" t="s">
        <v>453</v>
      </c>
      <c r="C88" s="4" t="s">
        <v>454</v>
      </c>
      <c r="D88" s="4">
        <v>308</v>
      </c>
    </row>
    <row r="89" spans="1:4" ht="16" thickBot="1">
      <c r="A89" s="4" t="s">
        <v>455</v>
      </c>
      <c r="B89" s="4" t="s">
        <v>456</v>
      </c>
      <c r="C89" s="4" t="s">
        <v>457</v>
      </c>
      <c r="D89" s="4">
        <v>312</v>
      </c>
    </row>
    <row r="90" spans="1:4" ht="16" thickBot="1">
      <c r="A90" s="4" t="s">
        <v>458</v>
      </c>
      <c r="B90" s="4" t="s">
        <v>459</v>
      </c>
      <c r="C90" s="4" t="s">
        <v>460</v>
      </c>
      <c r="D90" s="4">
        <v>316</v>
      </c>
    </row>
    <row r="91" spans="1:4" ht="16" thickBot="1">
      <c r="A91" s="4" t="s">
        <v>140</v>
      </c>
      <c r="B91" s="4" t="s">
        <v>141</v>
      </c>
      <c r="C91" s="4" t="s">
        <v>461</v>
      </c>
      <c r="D91" s="4">
        <v>320</v>
      </c>
    </row>
    <row r="92" spans="1:4" ht="16" thickBot="1">
      <c r="A92" s="4" t="s">
        <v>462</v>
      </c>
      <c r="B92" s="4" t="s">
        <v>463</v>
      </c>
      <c r="C92" s="4" t="s">
        <v>464</v>
      </c>
      <c r="D92" s="4">
        <v>831</v>
      </c>
    </row>
    <row r="93" spans="1:4" ht="16" thickBot="1">
      <c r="A93" s="4" t="s">
        <v>465</v>
      </c>
      <c r="B93" s="4" t="s">
        <v>466</v>
      </c>
      <c r="C93" s="4" t="s">
        <v>467</v>
      </c>
      <c r="D93" s="4">
        <v>324</v>
      </c>
    </row>
    <row r="94" spans="1:4" ht="16" thickBot="1">
      <c r="A94" s="4" t="s">
        <v>468</v>
      </c>
      <c r="B94" s="4" t="s">
        <v>469</v>
      </c>
      <c r="C94" s="4" t="s">
        <v>470</v>
      </c>
      <c r="D94" s="4">
        <v>624</v>
      </c>
    </row>
    <row r="95" spans="1:4" ht="16" thickBot="1">
      <c r="A95" s="4" t="s">
        <v>471</v>
      </c>
      <c r="B95" s="4" t="s">
        <v>472</v>
      </c>
      <c r="C95" s="4" t="s">
        <v>473</v>
      </c>
      <c r="D95" s="4">
        <v>328</v>
      </c>
    </row>
    <row r="96" spans="1:4" ht="16" thickBot="1">
      <c r="A96" s="4" t="s">
        <v>474</v>
      </c>
      <c r="B96" s="4" t="s">
        <v>475</v>
      </c>
      <c r="C96" s="4" t="s">
        <v>476</v>
      </c>
      <c r="D96" s="4">
        <v>332</v>
      </c>
    </row>
    <row r="97" spans="1:4" ht="31.5" thickBot="1">
      <c r="A97" s="4" t="s">
        <v>477</v>
      </c>
      <c r="B97" s="4" t="s">
        <v>478</v>
      </c>
      <c r="C97" s="4" t="s">
        <v>479</v>
      </c>
      <c r="D97" s="4">
        <v>334</v>
      </c>
    </row>
    <row r="98" spans="1:4" ht="16" thickBot="1">
      <c r="A98" s="4" t="s">
        <v>480</v>
      </c>
      <c r="B98" s="4" t="s">
        <v>481</v>
      </c>
      <c r="C98" s="4" t="s">
        <v>482</v>
      </c>
      <c r="D98" s="4">
        <v>336</v>
      </c>
    </row>
    <row r="99" spans="1:4" ht="16" thickBot="1">
      <c r="A99" s="4" t="s">
        <v>483</v>
      </c>
      <c r="B99" s="4" t="s">
        <v>484</v>
      </c>
      <c r="C99" s="4" t="s">
        <v>485</v>
      </c>
      <c r="D99" s="4">
        <v>340</v>
      </c>
    </row>
    <row r="100" spans="1:4" ht="16" thickBot="1">
      <c r="A100" s="4" t="s">
        <v>143</v>
      </c>
      <c r="B100" s="4" t="s">
        <v>144</v>
      </c>
      <c r="C100" s="4" t="s">
        <v>486</v>
      </c>
      <c r="D100" s="4">
        <v>344</v>
      </c>
    </row>
    <row r="101" spans="1:4" ht="16" thickBot="1">
      <c r="A101" s="4" t="s">
        <v>147</v>
      </c>
      <c r="B101" s="4" t="s">
        <v>148</v>
      </c>
      <c r="C101" s="4" t="s">
        <v>487</v>
      </c>
      <c r="D101" s="4">
        <v>348</v>
      </c>
    </row>
    <row r="102" spans="1:4" ht="16" thickBot="1">
      <c r="A102" s="4" t="s">
        <v>488</v>
      </c>
      <c r="B102" s="4" t="s">
        <v>489</v>
      </c>
      <c r="C102" s="4" t="s">
        <v>490</v>
      </c>
      <c r="D102" s="4">
        <v>352</v>
      </c>
    </row>
    <row r="103" spans="1:4" ht="16" thickBot="1">
      <c r="A103" s="4" t="s">
        <v>155</v>
      </c>
      <c r="B103" s="4" t="s">
        <v>156</v>
      </c>
      <c r="C103" s="4" t="s">
        <v>491</v>
      </c>
      <c r="D103" s="4">
        <v>356</v>
      </c>
    </row>
    <row r="104" spans="1:4" ht="16" thickBot="1">
      <c r="A104" s="4" t="s">
        <v>149</v>
      </c>
      <c r="B104" s="4" t="s">
        <v>150</v>
      </c>
      <c r="C104" s="4" t="s">
        <v>492</v>
      </c>
      <c r="D104" s="4">
        <v>360</v>
      </c>
    </row>
    <row r="105" spans="1:4" ht="31.5" thickBot="1">
      <c r="A105" s="4" t="s">
        <v>493</v>
      </c>
      <c r="B105" s="4" t="s">
        <v>494</v>
      </c>
      <c r="C105" s="4" t="s">
        <v>495</v>
      </c>
      <c r="D105" s="4">
        <v>364</v>
      </c>
    </row>
    <row r="106" spans="1:4" ht="16" thickBot="1">
      <c r="A106" s="4" t="s">
        <v>496</v>
      </c>
      <c r="B106" s="4" t="s">
        <v>158</v>
      </c>
      <c r="C106" s="4" t="s">
        <v>497</v>
      </c>
      <c r="D106" s="4">
        <v>368</v>
      </c>
    </row>
    <row r="107" spans="1:4" ht="16" thickBot="1">
      <c r="A107" s="4" t="s">
        <v>151</v>
      </c>
      <c r="B107" s="4" t="s">
        <v>152</v>
      </c>
      <c r="C107" s="4" t="s">
        <v>498</v>
      </c>
      <c r="D107" s="4">
        <v>372</v>
      </c>
    </row>
    <row r="108" spans="1:4" ht="16" thickBot="1">
      <c r="A108" s="4" t="s">
        <v>499</v>
      </c>
      <c r="B108" s="4" t="s">
        <v>500</v>
      </c>
      <c r="C108" s="4" t="s">
        <v>501</v>
      </c>
      <c r="D108" s="4">
        <v>833</v>
      </c>
    </row>
    <row r="109" spans="1:4" ht="16" thickBot="1">
      <c r="A109" s="4" t="s">
        <v>153</v>
      </c>
      <c r="B109" s="4" t="s">
        <v>154</v>
      </c>
      <c r="C109" s="4" t="s">
        <v>502</v>
      </c>
      <c r="D109" s="4">
        <v>376</v>
      </c>
    </row>
    <row r="110" spans="1:4" ht="16" thickBot="1">
      <c r="A110" s="4" t="s">
        <v>159</v>
      </c>
      <c r="B110" s="4" t="s">
        <v>160</v>
      </c>
      <c r="C110" s="4" t="s">
        <v>503</v>
      </c>
      <c r="D110" s="4">
        <v>380</v>
      </c>
    </row>
    <row r="111" spans="1:4" ht="16" thickBot="1">
      <c r="A111" s="4" t="s">
        <v>504</v>
      </c>
      <c r="B111" s="4" t="s">
        <v>505</v>
      </c>
      <c r="C111" s="4" t="s">
        <v>506</v>
      </c>
      <c r="D111" s="4">
        <v>388</v>
      </c>
    </row>
    <row r="112" spans="1:4" ht="16" thickBot="1">
      <c r="A112" s="4" t="s">
        <v>163</v>
      </c>
      <c r="B112" s="4" t="s">
        <v>164</v>
      </c>
      <c r="C112" s="4" t="s">
        <v>507</v>
      </c>
      <c r="D112" s="4">
        <v>392</v>
      </c>
    </row>
    <row r="113" spans="1:4" ht="16" thickBot="1">
      <c r="A113" s="4" t="s">
        <v>508</v>
      </c>
      <c r="B113" s="4" t="s">
        <v>509</v>
      </c>
      <c r="C113" s="4" t="s">
        <v>510</v>
      </c>
      <c r="D113" s="4">
        <v>832</v>
      </c>
    </row>
    <row r="114" spans="1:4" ht="16" thickBot="1">
      <c r="A114" s="4" t="s">
        <v>511</v>
      </c>
      <c r="B114" s="4" t="s">
        <v>162</v>
      </c>
      <c r="C114" s="4" t="s">
        <v>512</v>
      </c>
      <c r="D114" s="4">
        <v>400</v>
      </c>
    </row>
    <row r="115" spans="1:4" ht="16" thickBot="1">
      <c r="A115" s="4" t="s">
        <v>171</v>
      </c>
      <c r="B115" s="4" t="s">
        <v>172</v>
      </c>
      <c r="C115" s="4" t="s">
        <v>513</v>
      </c>
      <c r="D115" s="4">
        <v>398</v>
      </c>
    </row>
    <row r="116" spans="1:4" ht="16" thickBot="1">
      <c r="A116" s="4" t="s">
        <v>66</v>
      </c>
      <c r="B116" s="4" t="s">
        <v>165</v>
      </c>
      <c r="C116" s="4" t="s">
        <v>514</v>
      </c>
      <c r="D116" s="4">
        <v>404</v>
      </c>
    </row>
    <row r="117" spans="1:4" ht="16" thickBot="1">
      <c r="A117" s="4" t="s">
        <v>515</v>
      </c>
      <c r="B117" s="4" t="s">
        <v>516</v>
      </c>
      <c r="C117" s="4" t="s">
        <v>517</v>
      </c>
      <c r="D117" s="4">
        <v>296</v>
      </c>
    </row>
    <row r="118" spans="1:4" ht="47" thickBot="1">
      <c r="A118" s="4" t="s">
        <v>518</v>
      </c>
      <c r="B118" s="4" t="s">
        <v>519</v>
      </c>
      <c r="C118" s="4" t="s">
        <v>520</v>
      </c>
      <c r="D118" s="4">
        <v>408</v>
      </c>
    </row>
    <row r="119" spans="1:4" ht="31.5" thickBot="1">
      <c r="A119" s="4" t="s">
        <v>521</v>
      </c>
      <c r="B119" s="4" t="s">
        <v>167</v>
      </c>
      <c r="C119" s="4" t="s">
        <v>522</v>
      </c>
      <c r="D119" s="4">
        <v>410</v>
      </c>
    </row>
    <row r="120" spans="1:4" ht="16" thickBot="1">
      <c r="A120" s="4" t="s">
        <v>169</v>
      </c>
      <c r="B120" s="4" t="s">
        <v>170</v>
      </c>
      <c r="C120" s="4" t="s">
        <v>523</v>
      </c>
      <c r="D120" s="4">
        <v>414</v>
      </c>
    </row>
    <row r="121" spans="1:4" ht="16" thickBot="1">
      <c r="A121" s="4" t="s">
        <v>524</v>
      </c>
      <c r="B121" s="4" t="s">
        <v>525</v>
      </c>
      <c r="C121" s="4" t="s">
        <v>526</v>
      </c>
      <c r="D121" s="4">
        <v>417</v>
      </c>
    </row>
    <row r="122" spans="1:4" ht="47" thickBot="1">
      <c r="A122" s="4" t="s">
        <v>527</v>
      </c>
      <c r="B122" s="4" t="s">
        <v>528</v>
      </c>
      <c r="C122" s="4" t="s">
        <v>529</v>
      </c>
      <c r="D122" s="4">
        <v>418</v>
      </c>
    </row>
    <row r="123" spans="1:4" ht="16" thickBot="1">
      <c r="A123" s="4" t="s">
        <v>177</v>
      </c>
      <c r="B123" s="4" t="s">
        <v>178</v>
      </c>
      <c r="C123" s="4" t="s">
        <v>530</v>
      </c>
      <c r="D123" s="4">
        <v>428</v>
      </c>
    </row>
    <row r="124" spans="1:4" ht="16" thickBot="1">
      <c r="A124" s="4" t="s">
        <v>531</v>
      </c>
      <c r="B124" s="4" t="s">
        <v>174</v>
      </c>
      <c r="C124" s="4" t="s">
        <v>532</v>
      </c>
      <c r="D124" s="4">
        <v>422</v>
      </c>
    </row>
    <row r="125" spans="1:4" ht="16" thickBot="1">
      <c r="A125" s="4" t="s">
        <v>533</v>
      </c>
      <c r="B125" s="4" t="s">
        <v>534</v>
      </c>
      <c r="C125" s="4" t="s">
        <v>535</v>
      </c>
      <c r="D125" s="4">
        <v>426</v>
      </c>
    </row>
    <row r="126" spans="1:4" ht="16" thickBot="1">
      <c r="A126" s="4" t="s">
        <v>536</v>
      </c>
      <c r="B126" s="4" t="s">
        <v>537</v>
      </c>
      <c r="C126" s="4" t="s">
        <v>538</v>
      </c>
      <c r="D126" s="4">
        <v>430</v>
      </c>
    </row>
    <row r="127" spans="1:4" ht="16" thickBot="1">
      <c r="A127" s="4" t="s">
        <v>539</v>
      </c>
      <c r="B127" s="4" t="s">
        <v>540</v>
      </c>
      <c r="C127" s="4" t="s">
        <v>541</v>
      </c>
      <c r="D127" s="4">
        <v>434</v>
      </c>
    </row>
    <row r="128" spans="1:4" ht="16" thickBot="1">
      <c r="A128" s="4" t="s">
        <v>542</v>
      </c>
      <c r="B128" s="4" t="s">
        <v>543</v>
      </c>
      <c r="C128" s="4" t="s">
        <v>544</v>
      </c>
      <c r="D128" s="4">
        <v>438</v>
      </c>
    </row>
    <row r="129" spans="1:4" ht="16" thickBot="1">
      <c r="A129" s="4" t="s">
        <v>175</v>
      </c>
      <c r="B129" s="4" t="s">
        <v>176</v>
      </c>
      <c r="C129" s="4" t="s">
        <v>545</v>
      </c>
      <c r="D129" s="4">
        <v>440</v>
      </c>
    </row>
    <row r="130" spans="1:4" ht="16" thickBot="1">
      <c r="A130" s="4" t="s">
        <v>546</v>
      </c>
      <c r="B130" s="4" t="s">
        <v>547</v>
      </c>
      <c r="C130" s="4" t="s">
        <v>548</v>
      </c>
      <c r="D130" s="4">
        <v>442</v>
      </c>
    </row>
    <row r="131" spans="1:4" ht="16" thickBot="1">
      <c r="A131" s="4" t="s">
        <v>549</v>
      </c>
      <c r="B131" s="4" t="s">
        <v>550</v>
      </c>
      <c r="C131" s="4" t="s">
        <v>551</v>
      </c>
      <c r="D131" s="4">
        <v>446</v>
      </c>
    </row>
    <row r="132" spans="1:4" ht="16" thickBot="1">
      <c r="A132" s="4" t="s">
        <v>552</v>
      </c>
      <c r="B132" s="4" t="s">
        <v>553</v>
      </c>
      <c r="C132" s="4" t="s">
        <v>554</v>
      </c>
      <c r="D132" s="4">
        <v>450</v>
      </c>
    </row>
    <row r="133" spans="1:4" ht="16" thickBot="1">
      <c r="A133" s="4" t="s">
        <v>555</v>
      </c>
      <c r="B133" s="4" t="s">
        <v>556</v>
      </c>
      <c r="C133" s="4" t="s">
        <v>557</v>
      </c>
      <c r="D133" s="4">
        <v>454</v>
      </c>
    </row>
    <row r="134" spans="1:4" ht="16" thickBot="1">
      <c r="A134" s="4" t="s">
        <v>185</v>
      </c>
      <c r="B134" s="4" t="s">
        <v>186</v>
      </c>
      <c r="C134" s="4" t="s">
        <v>558</v>
      </c>
      <c r="D134" s="4">
        <v>458</v>
      </c>
    </row>
    <row r="135" spans="1:4" ht="16" thickBot="1">
      <c r="A135" s="4" t="s">
        <v>559</v>
      </c>
      <c r="B135" s="4" t="s">
        <v>560</v>
      </c>
      <c r="C135" s="4" t="s">
        <v>561</v>
      </c>
      <c r="D135" s="4">
        <v>462</v>
      </c>
    </row>
    <row r="136" spans="1:4" ht="16" thickBot="1">
      <c r="A136" s="4" t="s">
        <v>562</v>
      </c>
      <c r="B136" s="4" t="s">
        <v>563</v>
      </c>
      <c r="C136" s="4" t="s">
        <v>564</v>
      </c>
      <c r="D136" s="4">
        <v>466</v>
      </c>
    </row>
    <row r="137" spans="1:4" ht="16" thickBot="1">
      <c r="A137" s="4" t="s">
        <v>565</v>
      </c>
      <c r="B137" s="4" t="s">
        <v>566</v>
      </c>
      <c r="C137" s="4" t="s">
        <v>567</v>
      </c>
      <c r="D137" s="4">
        <v>470</v>
      </c>
    </row>
    <row r="138" spans="1:4" ht="31.5" thickBot="1">
      <c r="A138" s="4" t="s">
        <v>568</v>
      </c>
      <c r="B138" s="4" t="s">
        <v>569</v>
      </c>
      <c r="C138" s="4" t="s">
        <v>570</v>
      </c>
      <c r="D138" s="4">
        <v>584</v>
      </c>
    </row>
    <row r="139" spans="1:4" ht="16" thickBot="1">
      <c r="A139" s="4" t="s">
        <v>571</v>
      </c>
      <c r="B139" s="4" t="s">
        <v>572</v>
      </c>
      <c r="C139" s="4" t="s">
        <v>573</v>
      </c>
      <c r="D139" s="4">
        <v>474</v>
      </c>
    </row>
    <row r="140" spans="1:4" ht="16" thickBot="1">
      <c r="A140" s="4" t="s">
        <v>574</v>
      </c>
      <c r="B140" s="4" t="s">
        <v>575</v>
      </c>
      <c r="C140" s="4" t="s">
        <v>576</v>
      </c>
      <c r="D140" s="4">
        <v>478</v>
      </c>
    </row>
    <row r="141" spans="1:4" ht="16" thickBot="1">
      <c r="A141" s="4" t="s">
        <v>577</v>
      </c>
      <c r="B141" s="4" t="s">
        <v>578</v>
      </c>
      <c r="C141" s="4" t="s">
        <v>579</v>
      </c>
      <c r="D141" s="4">
        <v>480</v>
      </c>
    </row>
    <row r="142" spans="1:4" ht="16" thickBot="1">
      <c r="A142" s="4" t="s">
        <v>580</v>
      </c>
      <c r="B142" s="4" t="s">
        <v>581</v>
      </c>
      <c r="C142" s="4" t="s">
        <v>582</v>
      </c>
      <c r="D142" s="4">
        <v>175</v>
      </c>
    </row>
    <row r="143" spans="1:4" ht="16" thickBot="1">
      <c r="A143" s="4" t="s">
        <v>183</v>
      </c>
      <c r="B143" s="4" t="s">
        <v>184</v>
      </c>
      <c r="C143" s="4" t="s">
        <v>583</v>
      </c>
      <c r="D143" s="4">
        <v>484</v>
      </c>
    </row>
    <row r="144" spans="1:4" ht="47" thickBot="1">
      <c r="A144" s="4" t="s">
        <v>584</v>
      </c>
      <c r="B144" s="4" t="s">
        <v>585</v>
      </c>
      <c r="C144" s="4" t="s">
        <v>586</v>
      </c>
      <c r="D144" s="4">
        <v>583</v>
      </c>
    </row>
    <row r="145" spans="1:4" ht="31.5" thickBot="1">
      <c r="A145" s="4" t="s">
        <v>587</v>
      </c>
      <c r="B145" s="4" t="s">
        <v>588</v>
      </c>
      <c r="C145" s="4" t="s">
        <v>589</v>
      </c>
      <c r="D145" s="4">
        <v>498</v>
      </c>
    </row>
    <row r="146" spans="1:4" ht="16" thickBot="1">
      <c r="A146" s="4" t="s">
        <v>590</v>
      </c>
      <c r="B146" s="4" t="s">
        <v>591</v>
      </c>
      <c r="C146" s="4" t="s">
        <v>592</v>
      </c>
      <c r="D146" s="4">
        <v>492</v>
      </c>
    </row>
    <row r="147" spans="1:4" ht="16" thickBot="1">
      <c r="A147" s="4" t="s">
        <v>593</v>
      </c>
      <c r="B147" s="4" t="s">
        <v>594</v>
      </c>
      <c r="C147" s="4" t="s">
        <v>595</v>
      </c>
      <c r="D147" s="4">
        <v>496</v>
      </c>
    </row>
    <row r="148" spans="1:4" ht="16" thickBot="1">
      <c r="A148" s="4" t="s">
        <v>179</v>
      </c>
      <c r="B148" s="4" t="s">
        <v>180</v>
      </c>
      <c r="C148" s="4" t="s">
        <v>596</v>
      </c>
      <c r="D148" s="4">
        <v>499</v>
      </c>
    </row>
    <row r="149" spans="1:4" ht="16" thickBot="1">
      <c r="A149" s="4" t="s">
        <v>597</v>
      </c>
      <c r="B149" s="4" t="s">
        <v>598</v>
      </c>
      <c r="C149" s="4" t="s">
        <v>599</v>
      </c>
      <c r="D149" s="4">
        <v>500</v>
      </c>
    </row>
    <row r="150" spans="1:4" ht="16" thickBot="1">
      <c r="A150" s="4" t="s">
        <v>600</v>
      </c>
      <c r="B150" s="4" t="s">
        <v>601</v>
      </c>
      <c r="C150" s="4" t="s">
        <v>602</v>
      </c>
      <c r="D150" s="4">
        <v>504</v>
      </c>
    </row>
    <row r="151" spans="1:4" ht="16" thickBot="1">
      <c r="A151" s="4" t="s">
        <v>603</v>
      </c>
      <c r="B151" s="4" t="s">
        <v>604</v>
      </c>
      <c r="C151" s="4" t="s">
        <v>605</v>
      </c>
      <c r="D151" s="4">
        <v>508</v>
      </c>
    </row>
    <row r="152" spans="1:4" ht="16" thickBot="1">
      <c r="A152" s="4" t="s">
        <v>606</v>
      </c>
      <c r="B152" s="4" t="s">
        <v>607</v>
      </c>
      <c r="C152" s="4" t="s">
        <v>608</v>
      </c>
      <c r="D152" s="4">
        <v>104</v>
      </c>
    </row>
    <row r="153" spans="1:4" ht="16" thickBot="1">
      <c r="A153" s="4" t="s">
        <v>609</v>
      </c>
      <c r="B153" s="4" t="s">
        <v>610</v>
      </c>
      <c r="C153" s="4" t="s">
        <v>611</v>
      </c>
      <c r="D153" s="4">
        <v>516</v>
      </c>
    </row>
    <row r="154" spans="1:4" ht="16" thickBot="1">
      <c r="A154" s="4" t="s">
        <v>612</v>
      </c>
      <c r="B154" s="4" t="s">
        <v>613</v>
      </c>
      <c r="C154" s="4" t="s">
        <v>614</v>
      </c>
      <c r="D154" s="4">
        <v>520</v>
      </c>
    </row>
    <row r="155" spans="1:4" ht="16" thickBot="1">
      <c r="A155" s="4" t="s">
        <v>615</v>
      </c>
      <c r="B155" s="4" t="s">
        <v>616</v>
      </c>
      <c r="C155" s="4" t="s">
        <v>617</v>
      </c>
      <c r="D155" s="4">
        <v>524</v>
      </c>
    </row>
    <row r="156" spans="1:4" ht="16" thickBot="1">
      <c r="A156" s="4" t="s">
        <v>618</v>
      </c>
      <c r="B156" s="4" t="s">
        <v>188</v>
      </c>
      <c r="C156" s="4" t="s">
        <v>619</v>
      </c>
      <c r="D156" s="4">
        <v>528</v>
      </c>
    </row>
    <row r="157" spans="1:4" ht="16" thickBot="1">
      <c r="A157" s="4" t="s">
        <v>620</v>
      </c>
      <c r="B157" s="4" t="s">
        <v>621</v>
      </c>
      <c r="C157" s="4" t="s">
        <v>622</v>
      </c>
      <c r="D157" s="4">
        <v>540</v>
      </c>
    </row>
    <row r="158" spans="1:4" ht="16" thickBot="1">
      <c r="A158" s="4" t="s">
        <v>191</v>
      </c>
      <c r="B158" s="4" t="s">
        <v>192</v>
      </c>
      <c r="C158" s="4" t="s">
        <v>623</v>
      </c>
      <c r="D158" s="4">
        <v>554</v>
      </c>
    </row>
    <row r="159" spans="1:4" ht="16" thickBot="1">
      <c r="A159" s="4" t="s">
        <v>624</v>
      </c>
      <c r="B159" s="4" t="s">
        <v>625</v>
      </c>
      <c r="C159" s="4" t="s">
        <v>626</v>
      </c>
      <c r="D159" s="4">
        <v>558</v>
      </c>
    </row>
    <row r="160" spans="1:4" ht="16" thickBot="1">
      <c r="A160" s="4" t="s">
        <v>627</v>
      </c>
      <c r="B160" s="4" t="s">
        <v>628</v>
      </c>
      <c r="C160" s="4" t="s">
        <v>629</v>
      </c>
      <c r="D160" s="4">
        <v>562</v>
      </c>
    </row>
    <row r="161" spans="1:4" ht="16" thickBot="1">
      <c r="A161" s="4" t="s">
        <v>630</v>
      </c>
      <c r="B161" s="4" t="s">
        <v>631</v>
      </c>
      <c r="C161" s="4" t="s">
        <v>632</v>
      </c>
      <c r="D161" s="4">
        <v>566</v>
      </c>
    </row>
    <row r="162" spans="1:4" ht="16" thickBot="1">
      <c r="A162" s="4" t="s">
        <v>633</v>
      </c>
      <c r="B162" s="4" t="s">
        <v>634</v>
      </c>
      <c r="C162" s="4" t="s">
        <v>635</v>
      </c>
      <c r="D162" s="4">
        <v>570</v>
      </c>
    </row>
    <row r="163" spans="1:4" ht="16" thickBot="1">
      <c r="A163" s="4" t="s">
        <v>636</v>
      </c>
      <c r="B163" s="4" t="s">
        <v>637</v>
      </c>
      <c r="C163" s="4" t="s">
        <v>638</v>
      </c>
      <c r="D163" s="4">
        <v>574</v>
      </c>
    </row>
    <row r="164" spans="1:4" ht="31.5" thickBot="1">
      <c r="A164" s="4" t="s">
        <v>639</v>
      </c>
      <c r="B164" s="4" t="s">
        <v>640</v>
      </c>
      <c r="C164" s="4" t="s">
        <v>641</v>
      </c>
      <c r="D164" s="4">
        <v>580</v>
      </c>
    </row>
    <row r="165" spans="1:4" ht="16" thickBot="1">
      <c r="A165" s="4" t="s">
        <v>189</v>
      </c>
      <c r="B165" s="4" t="s">
        <v>190</v>
      </c>
      <c r="C165" s="4" t="s">
        <v>642</v>
      </c>
      <c r="D165" s="4">
        <v>578</v>
      </c>
    </row>
    <row r="166" spans="1:4" ht="16" thickBot="1">
      <c r="A166" s="4" t="s">
        <v>193</v>
      </c>
      <c r="B166" s="4" t="s">
        <v>194</v>
      </c>
      <c r="C166" s="4" t="s">
        <v>643</v>
      </c>
      <c r="D166" s="4">
        <v>512</v>
      </c>
    </row>
    <row r="167" spans="1:4" ht="16" thickBot="1">
      <c r="A167" s="4" t="s">
        <v>644</v>
      </c>
      <c r="B167" s="4" t="s">
        <v>645</v>
      </c>
      <c r="C167" s="4" t="s">
        <v>646</v>
      </c>
      <c r="D167" s="4">
        <v>586</v>
      </c>
    </row>
    <row r="168" spans="1:4" ht="16" thickBot="1">
      <c r="A168" s="4" t="s">
        <v>647</v>
      </c>
      <c r="B168" s="4" t="s">
        <v>648</v>
      </c>
      <c r="C168" s="4" t="s">
        <v>649</v>
      </c>
      <c r="D168" s="4">
        <v>585</v>
      </c>
    </row>
    <row r="169" spans="1:4" ht="16" thickBot="1">
      <c r="A169" s="4" t="s">
        <v>650</v>
      </c>
      <c r="B169" s="4" t="s">
        <v>651</v>
      </c>
      <c r="C169" s="4" t="s">
        <v>652</v>
      </c>
      <c r="D169" s="4">
        <v>275</v>
      </c>
    </row>
    <row r="170" spans="1:4" ht="16" thickBot="1">
      <c r="A170" s="4" t="s">
        <v>195</v>
      </c>
      <c r="B170" s="4" t="s">
        <v>196</v>
      </c>
      <c r="C170" s="4" t="s">
        <v>653</v>
      </c>
      <c r="D170" s="4">
        <v>591</v>
      </c>
    </row>
    <row r="171" spans="1:4" ht="16" thickBot="1">
      <c r="A171" s="4" t="s">
        <v>654</v>
      </c>
      <c r="B171" s="4" t="s">
        <v>655</v>
      </c>
      <c r="C171" s="4" t="s">
        <v>656</v>
      </c>
      <c r="D171" s="4">
        <v>598</v>
      </c>
    </row>
    <row r="172" spans="1:4" ht="16" thickBot="1">
      <c r="A172" s="4" t="s">
        <v>657</v>
      </c>
      <c r="B172" s="4" t="s">
        <v>658</v>
      </c>
      <c r="C172" s="4" t="s">
        <v>659</v>
      </c>
      <c r="D172" s="4">
        <v>600</v>
      </c>
    </row>
    <row r="173" spans="1:4" ht="16" thickBot="1">
      <c r="A173" s="4" t="s">
        <v>197</v>
      </c>
      <c r="B173" s="4" t="s">
        <v>198</v>
      </c>
      <c r="C173" s="4" t="s">
        <v>660</v>
      </c>
      <c r="D173" s="4">
        <v>604</v>
      </c>
    </row>
    <row r="174" spans="1:4" ht="16" thickBot="1">
      <c r="A174" s="4" t="s">
        <v>661</v>
      </c>
      <c r="B174" s="4" t="s">
        <v>200</v>
      </c>
      <c r="C174" s="4" t="s">
        <v>662</v>
      </c>
      <c r="D174" s="4">
        <v>608</v>
      </c>
    </row>
    <row r="175" spans="1:4" ht="16" thickBot="1">
      <c r="A175" s="4" t="s">
        <v>663</v>
      </c>
      <c r="B175" s="4" t="s">
        <v>664</v>
      </c>
      <c r="C175" s="4" t="s">
        <v>665</v>
      </c>
      <c r="D175" s="4">
        <v>612</v>
      </c>
    </row>
    <row r="176" spans="1:4" ht="16" thickBot="1">
      <c r="A176" s="4" t="s">
        <v>201</v>
      </c>
      <c r="B176" s="4" t="s">
        <v>202</v>
      </c>
      <c r="C176" s="4" t="s">
        <v>666</v>
      </c>
      <c r="D176" s="4">
        <v>616</v>
      </c>
    </row>
    <row r="177" spans="1:4" ht="16" thickBot="1">
      <c r="A177" s="4" t="s">
        <v>205</v>
      </c>
      <c r="B177" s="4" t="s">
        <v>206</v>
      </c>
      <c r="C177" s="4" t="s">
        <v>667</v>
      </c>
      <c r="D177" s="4">
        <v>620</v>
      </c>
    </row>
    <row r="178" spans="1:4" ht="16" thickBot="1">
      <c r="A178" s="4" t="s">
        <v>203</v>
      </c>
      <c r="B178" s="4" t="s">
        <v>204</v>
      </c>
      <c r="C178" s="4" t="s">
        <v>668</v>
      </c>
      <c r="D178" s="4">
        <v>630</v>
      </c>
    </row>
    <row r="179" spans="1:4" ht="16" thickBot="1">
      <c r="A179" s="4" t="s">
        <v>207</v>
      </c>
      <c r="B179" s="4" t="s">
        <v>208</v>
      </c>
      <c r="C179" s="4" t="s">
        <v>669</v>
      </c>
      <c r="D179" s="4">
        <v>634</v>
      </c>
    </row>
    <row r="180" spans="1:4" ht="31.5" thickBot="1">
      <c r="A180" s="4" t="s">
        <v>670</v>
      </c>
      <c r="B180" s="4" t="s">
        <v>182</v>
      </c>
      <c r="C180" s="4" t="s">
        <v>671</v>
      </c>
      <c r="D180" s="4">
        <v>807</v>
      </c>
    </row>
    <row r="181" spans="1:4" ht="16" thickBot="1">
      <c r="A181" s="4" t="s">
        <v>209</v>
      </c>
      <c r="B181" s="4" t="s">
        <v>210</v>
      </c>
      <c r="C181" s="4" t="s">
        <v>672</v>
      </c>
      <c r="D181" s="4">
        <v>642</v>
      </c>
    </row>
    <row r="182" spans="1:4" ht="31.5" thickBot="1">
      <c r="A182" s="4" t="s">
        <v>673</v>
      </c>
      <c r="B182" s="4" t="s">
        <v>214</v>
      </c>
      <c r="C182" s="4" t="s">
        <v>674</v>
      </c>
      <c r="D182" s="4">
        <v>643</v>
      </c>
    </row>
    <row r="183" spans="1:4" ht="16" thickBot="1">
      <c r="A183" s="4" t="s">
        <v>675</v>
      </c>
      <c r="B183" s="4" t="s">
        <v>676</v>
      </c>
      <c r="C183" s="4" t="s">
        <v>677</v>
      </c>
      <c r="D183" s="4">
        <v>646</v>
      </c>
    </row>
    <row r="184" spans="1:4" ht="16" thickBot="1">
      <c r="A184" s="4" t="s">
        <v>678</v>
      </c>
      <c r="B184" s="4" t="s">
        <v>679</v>
      </c>
      <c r="C184" s="4" t="s">
        <v>680</v>
      </c>
      <c r="D184" s="4">
        <v>638</v>
      </c>
    </row>
    <row r="185" spans="1:4" ht="16" thickBot="1">
      <c r="A185" s="4" t="s">
        <v>681</v>
      </c>
      <c r="B185" s="4" t="s">
        <v>682</v>
      </c>
      <c r="C185" s="4" t="s">
        <v>683</v>
      </c>
      <c r="D185" s="4">
        <v>652</v>
      </c>
    </row>
    <row r="186" spans="1:4" ht="47" thickBot="1">
      <c r="A186" s="4" t="s">
        <v>684</v>
      </c>
      <c r="B186" s="4" t="s">
        <v>685</v>
      </c>
      <c r="C186" s="4" t="s">
        <v>686</v>
      </c>
      <c r="D186" s="4">
        <v>654</v>
      </c>
    </row>
    <row r="187" spans="1:4" ht="16" thickBot="1">
      <c r="A187" s="4" t="s">
        <v>687</v>
      </c>
      <c r="B187" s="4" t="s">
        <v>688</v>
      </c>
      <c r="C187" s="4" t="s">
        <v>689</v>
      </c>
      <c r="D187" s="4">
        <v>659</v>
      </c>
    </row>
    <row r="188" spans="1:4" ht="16" thickBot="1">
      <c r="A188" s="4" t="s">
        <v>690</v>
      </c>
      <c r="B188" s="4" t="s">
        <v>691</v>
      </c>
      <c r="C188" s="4" t="s">
        <v>692</v>
      </c>
      <c r="D188" s="4">
        <v>662</v>
      </c>
    </row>
    <row r="189" spans="1:4" ht="31.5" thickBot="1">
      <c r="A189" s="4" t="s">
        <v>693</v>
      </c>
      <c r="B189" s="4" t="s">
        <v>694</v>
      </c>
      <c r="C189" s="4" t="s">
        <v>695</v>
      </c>
      <c r="D189" s="4">
        <v>663</v>
      </c>
    </row>
    <row r="190" spans="1:4" ht="31.5" thickBot="1">
      <c r="A190" s="4" t="s">
        <v>696</v>
      </c>
      <c r="B190" s="4" t="s">
        <v>697</v>
      </c>
      <c r="C190" s="4" t="s">
        <v>698</v>
      </c>
      <c r="D190" s="4">
        <v>666</v>
      </c>
    </row>
    <row r="191" spans="1:4" ht="31.5" thickBot="1">
      <c r="A191" s="4" t="s">
        <v>699</v>
      </c>
      <c r="B191" s="4" t="s">
        <v>700</v>
      </c>
      <c r="C191" s="4" t="s">
        <v>701</v>
      </c>
      <c r="D191" s="4">
        <v>670</v>
      </c>
    </row>
    <row r="192" spans="1:4" ht="16" thickBot="1">
      <c r="A192" s="4" t="s">
        <v>702</v>
      </c>
      <c r="B192" s="4" t="s">
        <v>703</v>
      </c>
      <c r="C192" s="4" t="s">
        <v>704</v>
      </c>
      <c r="D192" s="4">
        <v>882</v>
      </c>
    </row>
    <row r="193" spans="1:4" ht="16" thickBot="1">
      <c r="A193" s="4" t="s">
        <v>705</v>
      </c>
      <c r="B193" s="4" t="s">
        <v>706</v>
      </c>
      <c r="C193" s="4" t="s">
        <v>707</v>
      </c>
      <c r="D193" s="4">
        <v>674</v>
      </c>
    </row>
    <row r="194" spans="1:4" ht="31.5" thickBot="1">
      <c r="A194" s="4" t="s">
        <v>708</v>
      </c>
      <c r="B194" s="4" t="s">
        <v>709</v>
      </c>
      <c r="C194" s="4" t="s">
        <v>710</v>
      </c>
      <c r="D194" s="4">
        <v>678</v>
      </c>
    </row>
    <row r="195" spans="1:4" ht="16" thickBot="1">
      <c r="A195" s="4" t="s">
        <v>27</v>
      </c>
      <c r="B195" s="4" t="s">
        <v>215</v>
      </c>
      <c r="C195" s="4" t="s">
        <v>711</v>
      </c>
      <c r="D195" s="4">
        <v>682</v>
      </c>
    </row>
    <row r="196" spans="1:4" ht="16" thickBot="1">
      <c r="A196" s="4" t="s">
        <v>712</v>
      </c>
      <c r="B196" s="4" t="s">
        <v>713</v>
      </c>
      <c r="C196" s="4" t="s">
        <v>714</v>
      </c>
      <c r="D196" s="4">
        <v>686</v>
      </c>
    </row>
    <row r="197" spans="1:4" ht="16" thickBot="1">
      <c r="A197" s="4" t="s">
        <v>211</v>
      </c>
      <c r="B197" s="4" t="s">
        <v>212</v>
      </c>
      <c r="C197" s="4" t="s">
        <v>715</v>
      </c>
      <c r="D197" s="4">
        <v>688</v>
      </c>
    </row>
    <row r="198" spans="1:4" ht="16" thickBot="1">
      <c r="A198" s="4" t="s">
        <v>716</v>
      </c>
      <c r="B198" s="4" t="s">
        <v>717</v>
      </c>
      <c r="C198" s="4" t="s">
        <v>718</v>
      </c>
      <c r="D198" s="4">
        <v>690</v>
      </c>
    </row>
    <row r="199" spans="1:4" ht="16" thickBot="1">
      <c r="A199" s="4" t="s">
        <v>719</v>
      </c>
      <c r="B199" s="4" t="s">
        <v>720</v>
      </c>
      <c r="C199" s="4" t="s">
        <v>721</v>
      </c>
      <c r="D199" s="4">
        <v>694</v>
      </c>
    </row>
    <row r="200" spans="1:4" ht="16" thickBot="1">
      <c r="A200" s="4" t="s">
        <v>218</v>
      </c>
      <c r="B200" s="4" t="s">
        <v>219</v>
      </c>
      <c r="C200" s="4" t="s">
        <v>722</v>
      </c>
      <c r="D200" s="4">
        <v>702</v>
      </c>
    </row>
    <row r="201" spans="1:4" ht="31.5" thickBot="1">
      <c r="A201" s="4" t="s">
        <v>723</v>
      </c>
      <c r="B201" s="4" t="s">
        <v>724</v>
      </c>
      <c r="C201" s="4" t="s">
        <v>725</v>
      </c>
      <c r="D201" s="4">
        <v>534</v>
      </c>
    </row>
    <row r="202" spans="1:4" ht="16" thickBot="1">
      <c r="A202" s="4" t="s">
        <v>222</v>
      </c>
      <c r="B202" s="4" t="s">
        <v>223</v>
      </c>
      <c r="C202" s="4" t="s">
        <v>726</v>
      </c>
      <c r="D202" s="4">
        <v>703</v>
      </c>
    </row>
    <row r="203" spans="1:4" ht="16" thickBot="1">
      <c r="A203" s="4" t="s">
        <v>220</v>
      </c>
      <c r="B203" s="4" t="s">
        <v>221</v>
      </c>
      <c r="C203" s="4" t="s">
        <v>727</v>
      </c>
      <c r="D203" s="4">
        <v>705</v>
      </c>
    </row>
    <row r="204" spans="1:4" ht="16" thickBot="1">
      <c r="A204" s="4" t="s">
        <v>728</v>
      </c>
      <c r="B204" s="4" t="s">
        <v>729</v>
      </c>
      <c r="C204" s="4" t="s">
        <v>730</v>
      </c>
      <c r="D204" s="4">
        <v>90</v>
      </c>
    </row>
    <row r="205" spans="1:4" ht="16" thickBot="1">
      <c r="A205" s="4" t="s">
        <v>731</v>
      </c>
      <c r="B205" s="4" t="s">
        <v>732</v>
      </c>
      <c r="C205" s="4" t="s">
        <v>733</v>
      </c>
      <c r="D205" s="4">
        <v>706</v>
      </c>
    </row>
    <row r="206" spans="1:4" ht="16" thickBot="1">
      <c r="A206" s="4" t="s">
        <v>242</v>
      </c>
      <c r="B206" s="4" t="s">
        <v>243</v>
      </c>
      <c r="C206" s="4" t="s">
        <v>734</v>
      </c>
      <c r="D206" s="4">
        <v>710</v>
      </c>
    </row>
    <row r="207" spans="1:4" ht="47" thickBot="1">
      <c r="A207" s="4" t="s">
        <v>735</v>
      </c>
      <c r="B207" s="4" t="s">
        <v>736</v>
      </c>
      <c r="C207" s="4" t="s">
        <v>737</v>
      </c>
      <c r="D207" s="4">
        <v>239</v>
      </c>
    </row>
    <row r="208" spans="1:4" ht="16" thickBot="1">
      <c r="A208" s="4" t="s">
        <v>738</v>
      </c>
      <c r="B208" s="4" t="s">
        <v>739</v>
      </c>
      <c r="C208" s="4" t="s">
        <v>740</v>
      </c>
      <c r="D208" s="4">
        <v>728</v>
      </c>
    </row>
    <row r="209" spans="1:4" ht="16" thickBot="1">
      <c r="A209" s="4" t="s">
        <v>130</v>
      </c>
      <c r="B209" s="4" t="s">
        <v>131</v>
      </c>
      <c r="C209" s="4" t="s">
        <v>741</v>
      </c>
      <c r="D209" s="4">
        <v>724</v>
      </c>
    </row>
    <row r="210" spans="1:4" ht="16" thickBot="1">
      <c r="A210" s="4" t="s">
        <v>742</v>
      </c>
      <c r="B210" s="4" t="s">
        <v>743</v>
      </c>
      <c r="C210" s="4" t="s">
        <v>744</v>
      </c>
      <c r="D210" s="4">
        <v>144</v>
      </c>
    </row>
    <row r="211" spans="1:4" ht="16" thickBot="1">
      <c r="A211" s="4" t="s">
        <v>745</v>
      </c>
      <c r="B211" s="4" t="s">
        <v>746</v>
      </c>
      <c r="C211" s="4" t="s">
        <v>747</v>
      </c>
      <c r="D211" s="4">
        <v>729</v>
      </c>
    </row>
    <row r="212" spans="1:4" ht="16" thickBot="1">
      <c r="A212" s="4" t="s">
        <v>748</v>
      </c>
      <c r="B212" s="4" t="s">
        <v>749</v>
      </c>
      <c r="C212" s="4" t="s">
        <v>750</v>
      </c>
      <c r="D212" s="4">
        <v>740</v>
      </c>
    </row>
    <row r="213" spans="1:4" ht="31.5" thickBot="1">
      <c r="A213" s="4" t="s">
        <v>751</v>
      </c>
      <c r="B213" s="4" t="s">
        <v>752</v>
      </c>
      <c r="C213" s="4" t="s">
        <v>753</v>
      </c>
      <c r="D213" s="4">
        <v>744</v>
      </c>
    </row>
    <row r="214" spans="1:4" ht="16" thickBot="1">
      <c r="A214" s="4" t="s">
        <v>216</v>
      </c>
      <c r="B214" s="4" t="s">
        <v>217</v>
      </c>
      <c r="C214" s="4" t="s">
        <v>754</v>
      </c>
      <c r="D214" s="4">
        <v>752</v>
      </c>
    </row>
    <row r="215" spans="1:4" ht="16" thickBot="1">
      <c r="A215" s="4" t="s">
        <v>108</v>
      </c>
      <c r="B215" s="4" t="s">
        <v>109</v>
      </c>
      <c r="C215" s="4" t="s">
        <v>755</v>
      </c>
      <c r="D215" s="4">
        <v>756</v>
      </c>
    </row>
    <row r="216" spans="1:4" ht="31.5" thickBot="1">
      <c r="A216" s="4" t="s">
        <v>756</v>
      </c>
      <c r="B216" s="4" t="s">
        <v>757</v>
      </c>
      <c r="C216" s="4" t="s">
        <v>758</v>
      </c>
      <c r="D216" s="4">
        <v>760</v>
      </c>
    </row>
    <row r="217" spans="1:4" ht="31.5" thickBot="1">
      <c r="A217" s="4" t="s">
        <v>759</v>
      </c>
      <c r="B217" s="4" t="s">
        <v>229</v>
      </c>
      <c r="C217" s="4" t="s">
        <v>760</v>
      </c>
      <c r="D217" s="4">
        <v>158</v>
      </c>
    </row>
    <row r="218" spans="1:4" ht="16" thickBot="1">
      <c r="A218" s="4" t="s">
        <v>761</v>
      </c>
      <c r="B218" s="4" t="s">
        <v>762</v>
      </c>
      <c r="C218" s="4" t="s">
        <v>763</v>
      </c>
      <c r="D218" s="4">
        <v>762</v>
      </c>
    </row>
    <row r="219" spans="1:4" ht="31.5" thickBot="1">
      <c r="A219" s="4" t="s">
        <v>764</v>
      </c>
      <c r="B219" s="4" t="s">
        <v>765</v>
      </c>
      <c r="C219" s="4" t="s">
        <v>766</v>
      </c>
      <c r="D219" s="4">
        <v>834</v>
      </c>
    </row>
    <row r="220" spans="1:4" ht="16" thickBot="1">
      <c r="A220" s="4" t="s">
        <v>224</v>
      </c>
      <c r="B220" s="4" t="s">
        <v>225</v>
      </c>
      <c r="C220" s="4" t="s">
        <v>767</v>
      </c>
      <c r="D220" s="4">
        <v>764</v>
      </c>
    </row>
    <row r="221" spans="1:4" ht="16" thickBot="1">
      <c r="A221" s="4" t="s">
        <v>768</v>
      </c>
      <c r="B221" s="4" t="s">
        <v>769</v>
      </c>
      <c r="C221" s="4" t="s">
        <v>770</v>
      </c>
      <c r="D221" s="4">
        <v>626</v>
      </c>
    </row>
    <row r="222" spans="1:4" ht="16" thickBot="1">
      <c r="A222" s="4" t="s">
        <v>771</v>
      </c>
      <c r="B222" s="4" t="s">
        <v>772</v>
      </c>
      <c r="C222" s="4" t="s">
        <v>773</v>
      </c>
      <c r="D222" s="4">
        <v>768</v>
      </c>
    </row>
    <row r="223" spans="1:4" ht="16" thickBot="1">
      <c r="A223" s="4" t="s">
        <v>774</v>
      </c>
      <c r="B223" s="4" t="s">
        <v>775</v>
      </c>
      <c r="C223" s="4" t="s">
        <v>776</v>
      </c>
      <c r="D223" s="4">
        <v>772</v>
      </c>
    </row>
    <row r="224" spans="1:4" ht="16" thickBot="1">
      <c r="A224" s="4" t="s">
        <v>777</v>
      </c>
      <c r="B224" s="4" t="s">
        <v>778</v>
      </c>
      <c r="C224" s="4" t="s">
        <v>779</v>
      </c>
      <c r="D224" s="4">
        <v>776</v>
      </c>
    </row>
    <row r="225" spans="1:4" ht="16" thickBot="1">
      <c r="A225" s="4" t="s">
        <v>780</v>
      </c>
      <c r="B225" s="4" t="s">
        <v>781</v>
      </c>
      <c r="C225" s="4" t="s">
        <v>782</v>
      </c>
      <c r="D225" s="4">
        <v>780</v>
      </c>
    </row>
    <row r="226" spans="1:4" ht="16" thickBot="1">
      <c r="A226" s="4" t="s">
        <v>783</v>
      </c>
      <c r="B226" s="4" t="s">
        <v>784</v>
      </c>
      <c r="C226" s="4" t="s">
        <v>785</v>
      </c>
      <c r="D226" s="4">
        <v>788</v>
      </c>
    </row>
    <row r="227" spans="1:4" ht="16" thickBot="1">
      <c r="A227" s="4" t="s">
        <v>226</v>
      </c>
      <c r="B227" s="4" t="s">
        <v>227</v>
      </c>
      <c r="C227" s="4" t="s">
        <v>786</v>
      </c>
      <c r="D227" s="4">
        <v>792</v>
      </c>
    </row>
    <row r="228" spans="1:4" ht="16" thickBot="1">
      <c r="A228" s="4" t="s">
        <v>787</v>
      </c>
      <c r="B228" s="4" t="s">
        <v>788</v>
      </c>
      <c r="C228" s="4" t="s">
        <v>789</v>
      </c>
      <c r="D228" s="4">
        <v>795</v>
      </c>
    </row>
    <row r="229" spans="1:4" ht="31.5" thickBot="1">
      <c r="A229" s="4" t="s">
        <v>790</v>
      </c>
      <c r="B229" s="4" t="s">
        <v>791</v>
      </c>
      <c r="C229" s="4" t="s">
        <v>792</v>
      </c>
      <c r="D229" s="4">
        <v>796</v>
      </c>
    </row>
    <row r="230" spans="1:4" ht="16" thickBot="1">
      <c r="A230" s="4" t="s">
        <v>793</v>
      </c>
      <c r="B230" s="4" t="s">
        <v>52</v>
      </c>
      <c r="C230" s="4" t="s">
        <v>794</v>
      </c>
      <c r="D230" s="4">
        <v>798</v>
      </c>
    </row>
    <row r="231" spans="1:4" ht="16" thickBot="1">
      <c r="A231" s="4" t="s">
        <v>232</v>
      </c>
      <c r="B231" s="4" t="s">
        <v>233</v>
      </c>
      <c r="C231" s="4" t="s">
        <v>795</v>
      </c>
      <c r="D231" s="4">
        <v>800</v>
      </c>
    </row>
    <row r="232" spans="1:4" ht="16" thickBot="1">
      <c r="A232" s="4" t="s">
        <v>230</v>
      </c>
      <c r="B232" s="4" t="s">
        <v>231</v>
      </c>
      <c r="C232" s="4" t="s">
        <v>796</v>
      </c>
      <c r="D232" s="4">
        <v>804</v>
      </c>
    </row>
    <row r="233" spans="1:4" ht="31.5" thickBot="1">
      <c r="A233" s="4" t="s">
        <v>797</v>
      </c>
      <c r="B233" s="4" t="s">
        <v>84</v>
      </c>
      <c r="C233" s="4" t="s">
        <v>798</v>
      </c>
      <c r="D233" s="4">
        <v>784</v>
      </c>
    </row>
    <row r="234" spans="1:4" ht="62.5" thickBot="1">
      <c r="A234" s="4" t="s">
        <v>799</v>
      </c>
      <c r="B234" s="4" t="s">
        <v>800</v>
      </c>
      <c r="C234" s="4" t="s">
        <v>801</v>
      </c>
      <c r="D234" s="4">
        <v>826</v>
      </c>
    </row>
    <row r="235" spans="1:4" ht="47" thickBot="1">
      <c r="A235" s="4" t="s">
        <v>802</v>
      </c>
      <c r="B235" s="4" t="s">
        <v>803</v>
      </c>
      <c r="C235" s="4" t="s">
        <v>804</v>
      </c>
      <c r="D235" s="4">
        <v>581</v>
      </c>
    </row>
    <row r="236" spans="1:4" ht="31.5" thickBot="1">
      <c r="A236" s="4" t="s">
        <v>805</v>
      </c>
      <c r="B236" s="4" t="s">
        <v>235</v>
      </c>
      <c r="C236" s="4" t="s">
        <v>234</v>
      </c>
      <c r="D236" s="4">
        <v>840</v>
      </c>
    </row>
    <row r="237" spans="1:4" ht="16" thickBot="1">
      <c r="A237" s="4" t="s">
        <v>806</v>
      </c>
      <c r="B237" s="4" t="s">
        <v>807</v>
      </c>
      <c r="C237" s="4" t="s">
        <v>808</v>
      </c>
      <c r="D237" s="4">
        <v>858</v>
      </c>
    </row>
    <row r="238" spans="1:4" ht="16" thickBot="1">
      <c r="A238" s="4" t="s">
        <v>809</v>
      </c>
      <c r="B238" s="4" t="s">
        <v>810</v>
      </c>
      <c r="C238" s="4" t="s">
        <v>811</v>
      </c>
      <c r="D238" s="4">
        <v>860</v>
      </c>
    </row>
    <row r="239" spans="1:4" ht="16" thickBot="1">
      <c r="A239" s="4" t="s">
        <v>812</v>
      </c>
      <c r="B239" s="4" t="s">
        <v>813</v>
      </c>
      <c r="C239" s="4" t="s">
        <v>814</v>
      </c>
      <c r="D239" s="4">
        <v>548</v>
      </c>
    </row>
    <row r="240" spans="1:4" ht="47" thickBot="1">
      <c r="A240" s="4" t="s">
        <v>815</v>
      </c>
      <c r="B240" s="4" t="s">
        <v>816</v>
      </c>
      <c r="C240" s="4" t="s">
        <v>817</v>
      </c>
      <c r="D240" s="4">
        <v>862</v>
      </c>
    </row>
    <row r="241" spans="1:4" ht="16" thickBot="1">
      <c r="A241" s="4" t="s">
        <v>818</v>
      </c>
      <c r="B241" s="4" t="s">
        <v>237</v>
      </c>
      <c r="C241" s="4" t="s">
        <v>819</v>
      </c>
      <c r="D241" s="4">
        <v>704</v>
      </c>
    </row>
    <row r="242" spans="1:4" ht="31.5" thickBot="1">
      <c r="A242" s="4" t="s">
        <v>820</v>
      </c>
      <c r="B242" s="4" t="s">
        <v>821</v>
      </c>
      <c r="C242" s="4" t="s">
        <v>822</v>
      </c>
      <c r="D242" s="4">
        <v>92</v>
      </c>
    </row>
    <row r="243" spans="1:4" ht="16" thickBot="1">
      <c r="A243" s="4" t="s">
        <v>823</v>
      </c>
      <c r="B243" s="4" t="s">
        <v>824</v>
      </c>
      <c r="C243" s="4" t="s">
        <v>825</v>
      </c>
      <c r="D243" s="4">
        <v>850</v>
      </c>
    </row>
    <row r="244" spans="1:4" ht="16" thickBot="1">
      <c r="A244" s="4" t="s">
        <v>826</v>
      </c>
      <c r="B244" s="4" t="s">
        <v>827</v>
      </c>
      <c r="C244" s="4" t="s">
        <v>828</v>
      </c>
      <c r="D244" s="4">
        <v>876</v>
      </c>
    </row>
    <row r="245" spans="1:4" ht="16" thickBot="1">
      <c r="A245" s="4" t="s">
        <v>829</v>
      </c>
      <c r="B245" s="4" t="s">
        <v>830</v>
      </c>
      <c r="C245" s="4" t="s">
        <v>831</v>
      </c>
      <c r="D245" s="4">
        <v>732</v>
      </c>
    </row>
    <row r="246" spans="1:4" ht="16" thickBot="1">
      <c r="A246" s="4" t="s">
        <v>240</v>
      </c>
      <c r="B246" s="4" t="s">
        <v>241</v>
      </c>
      <c r="C246" s="4" t="s">
        <v>832</v>
      </c>
      <c r="D246" s="4">
        <v>887</v>
      </c>
    </row>
    <row r="247" spans="1:4" ht="16" thickBot="1">
      <c r="A247" s="4" t="s">
        <v>833</v>
      </c>
      <c r="B247" s="4" t="s">
        <v>834</v>
      </c>
      <c r="C247" s="4" t="s">
        <v>835</v>
      </c>
      <c r="D247" s="4">
        <v>894</v>
      </c>
    </row>
    <row r="248" spans="1:4" ht="16" thickBot="1">
      <c r="A248" s="4" t="s">
        <v>836</v>
      </c>
      <c r="B248" s="4" t="s">
        <v>837</v>
      </c>
      <c r="C248" s="4" t="s">
        <v>838</v>
      </c>
      <c r="D248" s="4">
        <v>716</v>
      </c>
    </row>
    <row r="249" spans="1:4" ht="16" thickBot="1">
      <c r="A249" s="4" t="s">
        <v>839</v>
      </c>
      <c r="B249" s="4" t="s">
        <v>840</v>
      </c>
      <c r="C249" s="4" t="s">
        <v>841</v>
      </c>
      <c r="D249" s="4">
        <v>248</v>
      </c>
    </row>
  </sheetData>
  <autoFilter ref="A1:D249" xr:uid="{6A6EDA9D-0B12-47A2-B88A-E4034324267A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FCE64-F2F3-4E26-8049-7DE2032B0DCB}">
  <sheetPr codeName="Sheet6"/>
  <dimension ref="A1:AX215"/>
  <sheetViews>
    <sheetView tabSelected="1" topLeftCell="A31" workbookViewId="0">
      <selection activeCell="A3" sqref="A3"/>
    </sheetView>
  </sheetViews>
  <sheetFormatPr defaultRowHeight="14.5"/>
  <cols>
    <col min="1" max="1" width="18" bestFit="1" customWidth="1"/>
    <col min="2" max="2" width="11.90625" bestFit="1" customWidth="1"/>
    <col min="3" max="3" width="17.453125" bestFit="1" customWidth="1"/>
    <col min="4" max="4" width="30.36328125" bestFit="1" customWidth="1"/>
    <col min="5" max="5" width="15.81640625" bestFit="1" customWidth="1"/>
    <col min="6" max="6" width="10.453125" bestFit="1" customWidth="1"/>
    <col min="7" max="7" width="6.453125" bestFit="1" customWidth="1"/>
    <col min="8" max="8" width="4.81640625" bestFit="1" customWidth="1"/>
    <col min="9" max="9" width="2.81640625" bestFit="1" customWidth="1"/>
    <col min="11" max="11" width="22.453125" bestFit="1" customWidth="1"/>
    <col min="12" max="12" width="19.6328125" bestFit="1" customWidth="1"/>
    <col min="15" max="15" width="10.90625" bestFit="1" customWidth="1"/>
    <col min="18" max="18" width="27.36328125" bestFit="1" customWidth="1"/>
    <col min="19" max="19" width="9.81640625" bestFit="1" customWidth="1"/>
    <col min="22" max="22" width="16" bestFit="1" customWidth="1"/>
    <col min="23" max="23" width="7.6328125" bestFit="1" customWidth="1"/>
    <col min="26" max="26" width="27.36328125" bestFit="1" customWidth="1"/>
    <col min="27" max="27" width="16.54296875" bestFit="1" customWidth="1"/>
    <col min="30" max="30" width="14.6328125" bestFit="1" customWidth="1"/>
    <col min="31" max="31" width="12.7265625" bestFit="1" customWidth="1"/>
    <col min="33" max="33" width="19.6328125" bestFit="1" customWidth="1"/>
    <col min="34" max="34" width="11.1796875" bestFit="1" customWidth="1"/>
    <col min="37" max="37" width="22.08984375" bestFit="1" customWidth="1"/>
    <col min="38" max="38" width="12.7265625" bestFit="1" customWidth="1"/>
    <col min="40" max="40" width="12.1796875" bestFit="1" customWidth="1"/>
    <col min="43" max="43" width="17.36328125" bestFit="1" customWidth="1"/>
    <col min="45" max="45" width="13.08984375" bestFit="1" customWidth="1"/>
    <col min="47" max="47" width="11.6328125" bestFit="1" customWidth="1"/>
    <col min="49" max="49" width="26.90625" bestFit="1" customWidth="1"/>
    <col min="50" max="50" width="15.453125" bestFit="1" customWidth="1"/>
  </cols>
  <sheetData>
    <row r="1" spans="1:50" ht="15" thickBot="1">
      <c r="R1" t="s">
        <v>842</v>
      </c>
      <c r="V1" t="s">
        <v>843</v>
      </c>
      <c r="Z1" t="s">
        <v>844</v>
      </c>
      <c r="AD1" t="s">
        <v>845</v>
      </c>
      <c r="AG1" t="s">
        <v>846</v>
      </c>
      <c r="AK1" t="s">
        <v>847</v>
      </c>
      <c r="AQ1" t="s">
        <v>848</v>
      </c>
    </row>
    <row r="2" spans="1:50" ht="15" thickTop="1">
      <c r="A2" t="s">
        <v>849</v>
      </c>
      <c r="B2" t="s">
        <v>83</v>
      </c>
      <c r="C2" t="s">
        <v>82</v>
      </c>
      <c r="D2" t="s">
        <v>2</v>
      </c>
      <c r="E2" t="s">
        <v>3</v>
      </c>
      <c r="G2" t="s">
        <v>850</v>
      </c>
      <c r="H2" t="s">
        <v>851</v>
      </c>
      <c r="K2" t="s">
        <v>852</v>
      </c>
      <c r="L2" t="s">
        <v>853</v>
      </c>
      <c r="O2" t="s">
        <v>854</v>
      </c>
      <c r="R2" s="17" t="s">
        <v>2</v>
      </c>
      <c r="S2" s="17" t="s">
        <v>855</v>
      </c>
      <c r="V2" s="21" t="s">
        <v>82</v>
      </c>
      <c r="W2" s="21" t="s">
        <v>856</v>
      </c>
      <c r="Z2" s="21" t="s">
        <v>857</v>
      </c>
      <c r="AA2" s="21" t="s">
        <v>858</v>
      </c>
      <c r="AD2" t="s">
        <v>855</v>
      </c>
      <c r="AE2" t="s">
        <v>859</v>
      </c>
      <c r="AG2" t="s">
        <v>856</v>
      </c>
      <c r="AH2" t="s">
        <v>860</v>
      </c>
      <c r="AK2" s="21" t="s">
        <v>858</v>
      </c>
      <c r="AL2" t="s">
        <v>861</v>
      </c>
      <c r="AN2" s="16" t="s">
        <v>862</v>
      </c>
      <c r="AQ2" t="s">
        <v>11</v>
      </c>
      <c r="AS2" t="s">
        <v>12</v>
      </c>
      <c r="AU2" t="s">
        <v>13</v>
      </c>
      <c r="AW2" t="s">
        <v>863</v>
      </c>
      <c r="AX2" t="s">
        <v>15</v>
      </c>
    </row>
    <row r="3" spans="1:50">
      <c r="A3" t="s">
        <v>84</v>
      </c>
      <c r="B3" t="s">
        <v>84</v>
      </c>
      <c r="C3" s="1" t="s">
        <v>43</v>
      </c>
      <c r="D3" t="s">
        <v>864</v>
      </c>
      <c r="E3" t="s">
        <v>865</v>
      </c>
      <c r="F3" s="2">
        <v>43466</v>
      </c>
      <c r="G3">
        <v>1</v>
      </c>
      <c r="H3">
        <v>2010</v>
      </c>
      <c r="I3">
        <v>10</v>
      </c>
      <c r="K3" t="s">
        <v>866</v>
      </c>
      <c r="L3" t="s">
        <v>867</v>
      </c>
      <c r="O3" t="s">
        <v>868</v>
      </c>
      <c r="R3" s="18" t="s">
        <v>864</v>
      </c>
      <c r="S3" s="18" t="s">
        <v>556</v>
      </c>
      <c r="V3" s="22" t="s">
        <v>61</v>
      </c>
      <c r="W3" s="22" t="s">
        <v>235</v>
      </c>
      <c r="Z3" s="22" t="s">
        <v>869</v>
      </c>
      <c r="AA3" s="23" t="s">
        <v>870</v>
      </c>
      <c r="AD3" s="18" t="s">
        <v>556</v>
      </c>
      <c r="AE3" t="s">
        <v>871</v>
      </c>
      <c r="AG3" t="s">
        <v>872</v>
      </c>
      <c r="AH3" t="s">
        <v>873</v>
      </c>
      <c r="AI3" s="24"/>
      <c r="AK3" s="23" t="s">
        <v>73</v>
      </c>
      <c r="AL3" t="s">
        <v>874</v>
      </c>
      <c r="AN3" s="24" t="s">
        <v>875</v>
      </c>
      <c r="AQ3" s="24" t="s">
        <v>31</v>
      </c>
      <c r="AS3" s="24" t="s">
        <v>876</v>
      </c>
      <c r="AU3" s="24" t="s">
        <v>33</v>
      </c>
      <c r="AW3" s="24" t="s">
        <v>42</v>
      </c>
      <c r="AX3" s="24" t="s">
        <v>877</v>
      </c>
    </row>
    <row r="4" spans="1:50">
      <c r="A4" t="s">
        <v>86</v>
      </c>
      <c r="B4" t="s">
        <v>86</v>
      </c>
      <c r="C4" s="1" t="s">
        <v>85</v>
      </c>
      <c r="D4" t="s">
        <v>878</v>
      </c>
      <c r="E4" t="s">
        <v>879</v>
      </c>
      <c r="G4">
        <v>2</v>
      </c>
      <c r="H4">
        <v>2011</v>
      </c>
      <c r="I4">
        <v>11</v>
      </c>
      <c r="K4" t="s">
        <v>880</v>
      </c>
      <c r="L4" t="s">
        <v>881</v>
      </c>
      <c r="O4" t="s">
        <v>882</v>
      </c>
      <c r="R4" s="18" t="s">
        <v>878</v>
      </c>
      <c r="S4" s="18" t="s">
        <v>556</v>
      </c>
      <c r="V4" s="22" t="s">
        <v>36</v>
      </c>
      <c r="W4" s="22" t="s">
        <v>883</v>
      </c>
      <c r="Z4" s="22" t="s">
        <v>884</v>
      </c>
      <c r="AA4" s="23" t="s">
        <v>870</v>
      </c>
      <c r="AD4" s="18" t="s">
        <v>885</v>
      </c>
      <c r="AE4" t="s">
        <v>886</v>
      </c>
      <c r="AG4" t="s">
        <v>39</v>
      </c>
      <c r="AH4" t="s">
        <v>887</v>
      </c>
      <c r="AI4" s="24"/>
      <c r="AK4" s="22" t="s">
        <v>40</v>
      </c>
      <c r="AL4" t="s">
        <v>888</v>
      </c>
      <c r="AN4" s="24" t="s">
        <v>889</v>
      </c>
      <c r="AQ4" s="24" t="s">
        <v>77</v>
      </c>
      <c r="AS4" s="24" t="s">
        <v>890</v>
      </c>
      <c r="AU4" s="24" t="s">
        <v>891</v>
      </c>
      <c r="AW4" s="24" t="s">
        <v>69</v>
      </c>
      <c r="AX4" s="24" t="s">
        <v>892</v>
      </c>
    </row>
    <row r="5" spans="1:50">
      <c r="A5" t="s">
        <v>88</v>
      </c>
      <c r="B5" t="s">
        <v>88</v>
      </c>
      <c r="C5" s="1" t="s">
        <v>87</v>
      </c>
      <c r="D5" t="s">
        <v>893</v>
      </c>
      <c r="E5" t="s">
        <v>894</v>
      </c>
      <c r="G5">
        <v>3</v>
      </c>
      <c r="H5">
        <v>2012</v>
      </c>
      <c r="I5">
        <v>12</v>
      </c>
      <c r="K5" t="s">
        <v>895</v>
      </c>
      <c r="L5" t="s">
        <v>896</v>
      </c>
      <c r="O5" t="s">
        <v>897</v>
      </c>
      <c r="R5" s="18" t="s">
        <v>893</v>
      </c>
      <c r="S5" s="18" t="s">
        <v>885</v>
      </c>
      <c r="V5" s="22" t="s">
        <v>120</v>
      </c>
      <c r="W5" s="22" t="s">
        <v>883</v>
      </c>
      <c r="Z5" s="22" t="s">
        <v>898</v>
      </c>
      <c r="AA5" s="23" t="s">
        <v>870</v>
      </c>
      <c r="AD5" s="18" t="s">
        <v>899</v>
      </c>
      <c r="AE5" t="s">
        <v>900</v>
      </c>
      <c r="AG5" t="s">
        <v>901</v>
      </c>
      <c r="AH5" t="s">
        <v>902</v>
      </c>
      <c r="AI5" s="24"/>
      <c r="AK5" s="22" t="s">
        <v>903</v>
      </c>
      <c r="AL5" t="s">
        <v>904</v>
      </c>
      <c r="AN5" s="24" t="s">
        <v>905</v>
      </c>
      <c r="AQ5" s="24" t="s">
        <v>906</v>
      </c>
      <c r="AS5" s="24" t="s">
        <v>907</v>
      </c>
      <c r="AU5" s="24" t="s">
        <v>908</v>
      </c>
      <c r="AW5" s="24" t="s">
        <v>34</v>
      </c>
      <c r="AX5" s="24" t="s">
        <v>909</v>
      </c>
    </row>
    <row r="6" spans="1:50">
      <c r="A6" t="s">
        <v>90</v>
      </c>
      <c r="B6" t="s">
        <v>90</v>
      </c>
      <c r="C6" s="1" t="s">
        <v>89</v>
      </c>
      <c r="D6" t="s">
        <v>910</v>
      </c>
      <c r="E6" t="s">
        <v>911</v>
      </c>
      <c r="G6">
        <v>4</v>
      </c>
      <c r="H6">
        <v>2013</v>
      </c>
      <c r="I6">
        <v>13</v>
      </c>
      <c r="K6" t="s">
        <v>912</v>
      </c>
      <c r="L6" t="s">
        <v>252</v>
      </c>
      <c r="O6" t="s">
        <v>913</v>
      </c>
      <c r="R6" s="18" t="s">
        <v>910</v>
      </c>
      <c r="S6" s="18" t="s">
        <v>885</v>
      </c>
      <c r="V6" s="22" t="s">
        <v>234</v>
      </c>
      <c r="W6" s="22" t="s">
        <v>235</v>
      </c>
      <c r="Z6" s="22" t="s">
        <v>914</v>
      </c>
      <c r="AA6" s="23" t="s">
        <v>870</v>
      </c>
      <c r="AD6" s="18" t="s">
        <v>915</v>
      </c>
      <c r="AE6" t="s">
        <v>916</v>
      </c>
      <c r="AG6" t="s">
        <v>29</v>
      </c>
      <c r="AH6" t="s">
        <v>917</v>
      </c>
      <c r="AI6" s="24"/>
      <c r="AK6" s="22" t="s">
        <v>76</v>
      </c>
      <c r="AL6" t="s">
        <v>918</v>
      </c>
      <c r="AN6" s="24" t="s">
        <v>919</v>
      </c>
      <c r="AQ6" s="26" t="s">
        <v>920</v>
      </c>
      <c r="AS6" s="24" t="s">
        <v>81</v>
      </c>
      <c r="AU6" s="24" t="s">
        <v>921</v>
      </c>
      <c r="AW6" s="24" t="s">
        <v>922</v>
      </c>
      <c r="AX6" s="24" t="s">
        <v>923</v>
      </c>
    </row>
    <row r="7" spans="1:50">
      <c r="A7" t="s">
        <v>92</v>
      </c>
      <c r="B7" t="s">
        <v>92</v>
      </c>
      <c r="C7" s="1" t="s">
        <v>91</v>
      </c>
      <c r="D7" t="s">
        <v>924</v>
      </c>
      <c r="E7" t="s">
        <v>925</v>
      </c>
      <c r="G7">
        <v>5</v>
      </c>
      <c r="H7">
        <v>2014</v>
      </c>
      <c r="I7">
        <v>14</v>
      </c>
      <c r="K7" t="s">
        <v>926</v>
      </c>
      <c r="L7" t="s">
        <v>927</v>
      </c>
      <c r="O7" t="s">
        <v>928</v>
      </c>
      <c r="R7" s="18" t="s">
        <v>924</v>
      </c>
      <c r="S7" s="18" t="s">
        <v>556</v>
      </c>
      <c r="V7" s="22" t="s">
        <v>47</v>
      </c>
      <c r="W7" s="22" t="s">
        <v>883</v>
      </c>
      <c r="Z7" s="22" t="s">
        <v>929</v>
      </c>
      <c r="AA7" s="23" t="s">
        <v>870</v>
      </c>
      <c r="AD7" s="18" t="s">
        <v>930</v>
      </c>
      <c r="AE7" t="s">
        <v>930</v>
      </c>
      <c r="AG7" t="s">
        <v>63</v>
      </c>
      <c r="AH7" t="s">
        <v>35</v>
      </c>
      <c r="AI7" s="24"/>
      <c r="AK7" s="22" t="s">
        <v>931</v>
      </c>
      <c r="AL7" t="s">
        <v>200</v>
      </c>
      <c r="AN7" s="24" t="s">
        <v>931</v>
      </c>
      <c r="AQ7" s="27"/>
      <c r="AS7" s="24" t="s">
        <v>932</v>
      </c>
      <c r="AU7" s="24" t="s">
        <v>933</v>
      </c>
      <c r="AW7" s="24" t="s">
        <v>934</v>
      </c>
      <c r="AX7" s="24" t="s">
        <v>935</v>
      </c>
    </row>
    <row r="8" spans="1:50">
      <c r="A8" t="s">
        <v>94</v>
      </c>
      <c r="B8" t="s">
        <v>94</v>
      </c>
      <c r="C8" s="1" t="s">
        <v>93</v>
      </c>
      <c r="D8" t="s">
        <v>936</v>
      </c>
      <c r="E8" t="s">
        <v>937</v>
      </c>
      <c r="G8">
        <v>6</v>
      </c>
      <c r="H8">
        <v>2015</v>
      </c>
      <c r="I8">
        <v>15</v>
      </c>
      <c r="K8" t="s">
        <v>938</v>
      </c>
      <c r="L8" t="s">
        <v>939</v>
      </c>
      <c r="O8" t="s">
        <v>940</v>
      </c>
      <c r="R8" s="18" t="s">
        <v>936</v>
      </c>
      <c r="S8" s="18" t="s">
        <v>556</v>
      </c>
      <c r="V8" s="22" t="s">
        <v>132</v>
      </c>
      <c r="W8" s="22" t="s">
        <v>883</v>
      </c>
      <c r="Z8" s="22" t="s">
        <v>941</v>
      </c>
      <c r="AA8" s="23" t="s">
        <v>870</v>
      </c>
      <c r="AD8" s="20" t="s">
        <v>942</v>
      </c>
      <c r="AE8" t="s">
        <v>943</v>
      </c>
      <c r="AI8" s="24"/>
      <c r="AK8" t="s">
        <v>944</v>
      </c>
      <c r="AL8" t="s">
        <v>945</v>
      </c>
      <c r="AN8" s="24" t="s">
        <v>944</v>
      </c>
      <c r="AQ8" s="27"/>
      <c r="AS8" s="24" t="s">
        <v>57</v>
      </c>
      <c r="AU8" s="24" t="s">
        <v>946</v>
      </c>
      <c r="AW8" s="24" t="s">
        <v>947</v>
      </c>
      <c r="AX8" s="24" t="s">
        <v>948</v>
      </c>
    </row>
    <row r="9" spans="1:50">
      <c r="A9" t="s">
        <v>96</v>
      </c>
      <c r="B9" t="s">
        <v>96</v>
      </c>
      <c r="C9" s="1" t="s">
        <v>95</v>
      </c>
      <c r="D9" t="s">
        <v>949</v>
      </c>
      <c r="E9" t="s">
        <v>950</v>
      </c>
      <c r="G9">
        <v>7</v>
      </c>
      <c r="H9">
        <v>2016</v>
      </c>
      <c r="I9">
        <v>16</v>
      </c>
      <c r="K9" t="s">
        <v>951</v>
      </c>
      <c r="L9" t="s">
        <v>952</v>
      </c>
      <c r="O9" t="s">
        <v>953</v>
      </c>
      <c r="R9" s="18" t="s">
        <v>949</v>
      </c>
      <c r="S9" s="18" t="s">
        <v>899</v>
      </c>
      <c r="V9" s="22" t="s">
        <v>216</v>
      </c>
      <c r="W9" s="22" t="s">
        <v>883</v>
      </c>
      <c r="Z9" s="22" t="s">
        <v>878</v>
      </c>
      <c r="AA9" s="23" t="s">
        <v>870</v>
      </c>
      <c r="AI9" s="24"/>
      <c r="AK9" t="s">
        <v>30</v>
      </c>
      <c r="AL9" t="s">
        <v>954</v>
      </c>
      <c r="AN9" s="24" t="s">
        <v>955</v>
      </c>
      <c r="AQ9" s="24"/>
      <c r="AS9" s="24" t="s">
        <v>956</v>
      </c>
      <c r="AU9" s="24" t="s">
        <v>41</v>
      </c>
      <c r="AW9" s="24" t="s">
        <v>957</v>
      </c>
      <c r="AX9" s="24" t="s">
        <v>958</v>
      </c>
    </row>
    <row r="10" spans="1:50">
      <c r="A10" t="s">
        <v>98</v>
      </c>
      <c r="B10" t="s">
        <v>98</v>
      </c>
      <c r="C10" s="1" t="s">
        <v>97</v>
      </c>
      <c r="D10" t="s">
        <v>959</v>
      </c>
      <c r="E10" t="s">
        <v>960</v>
      </c>
      <c r="G10">
        <v>8</v>
      </c>
      <c r="H10">
        <v>2017</v>
      </c>
      <c r="I10">
        <v>17</v>
      </c>
      <c r="K10" t="s">
        <v>961</v>
      </c>
      <c r="L10" t="s">
        <v>962</v>
      </c>
      <c r="O10" t="s">
        <v>963</v>
      </c>
      <c r="R10" s="18" t="s">
        <v>964</v>
      </c>
      <c r="S10" s="18" t="s">
        <v>556</v>
      </c>
      <c r="V10" s="22" t="s">
        <v>151</v>
      </c>
      <c r="W10" s="22" t="s">
        <v>883</v>
      </c>
      <c r="Z10" s="22" t="s">
        <v>62</v>
      </c>
      <c r="AA10" s="23" t="s">
        <v>870</v>
      </c>
      <c r="AK10" t="s">
        <v>965</v>
      </c>
      <c r="AL10" t="s">
        <v>966</v>
      </c>
      <c r="AN10" s="24" t="s">
        <v>967</v>
      </c>
      <c r="AQ10" s="27"/>
      <c r="AS10" s="24" t="s">
        <v>968</v>
      </c>
      <c r="AU10" s="24" t="s">
        <v>74</v>
      </c>
      <c r="AW10" s="24" t="s">
        <v>51</v>
      </c>
      <c r="AX10" s="24" t="s">
        <v>969</v>
      </c>
    </row>
    <row r="11" spans="1:50">
      <c r="A11" t="s">
        <v>100</v>
      </c>
      <c r="B11" t="s">
        <v>100</v>
      </c>
      <c r="C11" s="1" t="s">
        <v>99</v>
      </c>
      <c r="D11" t="s">
        <v>964</v>
      </c>
      <c r="E11" t="s">
        <v>970</v>
      </c>
      <c r="G11">
        <v>9</v>
      </c>
      <c r="H11">
        <v>2018</v>
      </c>
      <c r="I11">
        <v>18</v>
      </c>
      <c r="K11" t="s">
        <v>971</v>
      </c>
      <c r="L11" t="s">
        <v>972</v>
      </c>
      <c r="O11" t="s">
        <v>973</v>
      </c>
      <c r="R11" s="18" t="s">
        <v>974</v>
      </c>
      <c r="S11" s="18" t="s">
        <v>556</v>
      </c>
      <c r="V11" s="22" t="s">
        <v>163</v>
      </c>
      <c r="W11" s="22" t="s">
        <v>975</v>
      </c>
      <c r="Z11" s="22" t="s">
        <v>976</v>
      </c>
      <c r="AA11" s="23" t="s">
        <v>870</v>
      </c>
      <c r="AK11" t="s">
        <v>46</v>
      </c>
      <c r="AL11" t="s">
        <v>460</v>
      </c>
      <c r="AN11" s="24" t="s">
        <v>46</v>
      </c>
      <c r="AQ11" s="27"/>
      <c r="AS11" s="24" t="s">
        <v>977</v>
      </c>
      <c r="AU11" s="24"/>
      <c r="AW11" s="24" t="s">
        <v>978</v>
      </c>
      <c r="AX11" s="24" t="s">
        <v>979</v>
      </c>
    </row>
    <row r="12" spans="1:50">
      <c r="A12" t="s">
        <v>102</v>
      </c>
      <c r="B12" t="s">
        <v>102</v>
      </c>
      <c r="C12" s="1" t="s">
        <v>101</v>
      </c>
      <c r="D12" t="s">
        <v>980</v>
      </c>
      <c r="E12" t="s">
        <v>981</v>
      </c>
      <c r="G12">
        <v>10</v>
      </c>
      <c r="H12">
        <v>2019</v>
      </c>
      <c r="I12">
        <v>19</v>
      </c>
      <c r="K12" t="s">
        <v>982</v>
      </c>
      <c r="L12" t="s">
        <v>983</v>
      </c>
      <c r="O12" t="s">
        <v>984</v>
      </c>
      <c r="R12" s="18" t="s">
        <v>985</v>
      </c>
      <c r="S12" s="18" t="s">
        <v>899</v>
      </c>
      <c r="V12" s="22" t="s">
        <v>168</v>
      </c>
      <c r="W12" s="22" t="s">
        <v>986</v>
      </c>
      <c r="Z12" s="22" t="s">
        <v>987</v>
      </c>
      <c r="AA12" s="23" t="s">
        <v>870</v>
      </c>
      <c r="AK12" t="s">
        <v>988</v>
      </c>
      <c r="AL12" t="s">
        <v>989</v>
      </c>
      <c r="AN12" s="24" t="s">
        <v>990</v>
      </c>
      <c r="AQ12" s="27"/>
      <c r="AS12" s="24" t="s">
        <v>991</v>
      </c>
      <c r="AU12" s="24"/>
      <c r="AW12" s="24" t="s">
        <v>992</v>
      </c>
      <c r="AX12" s="24" t="s">
        <v>993</v>
      </c>
    </row>
    <row r="13" spans="1:50">
      <c r="A13" t="s">
        <v>104</v>
      </c>
      <c r="B13" t="s">
        <v>104</v>
      </c>
      <c r="C13" s="1" t="s">
        <v>103</v>
      </c>
      <c r="D13" t="s">
        <v>974</v>
      </c>
      <c r="E13" t="s">
        <v>994</v>
      </c>
      <c r="G13">
        <v>11</v>
      </c>
      <c r="H13">
        <v>2020</v>
      </c>
      <c r="I13">
        <v>20</v>
      </c>
      <c r="K13" t="s">
        <v>995</v>
      </c>
      <c r="L13" t="s">
        <v>996</v>
      </c>
      <c r="O13" t="s">
        <v>997</v>
      </c>
      <c r="R13" s="18" t="s">
        <v>998</v>
      </c>
      <c r="S13" s="18" t="s">
        <v>556</v>
      </c>
      <c r="V13" s="22" t="s">
        <v>228</v>
      </c>
      <c r="W13" s="22" t="s">
        <v>975</v>
      </c>
      <c r="Z13" s="22" t="s">
        <v>999</v>
      </c>
      <c r="AA13" s="23" t="s">
        <v>870</v>
      </c>
      <c r="AK13" t="s">
        <v>1000</v>
      </c>
      <c r="AL13" t="s">
        <v>1001</v>
      </c>
      <c r="AN13" s="24" t="s">
        <v>1002</v>
      </c>
      <c r="AQ13" s="24"/>
      <c r="AR13" s="24"/>
      <c r="AS13" s="24" t="s">
        <v>1003</v>
      </c>
      <c r="AT13" s="24"/>
      <c r="AU13" s="24"/>
    </row>
    <row r="14" spans="1:50">
      <c r="A14" t="s">
        <v>106</v>
      </c>
      <c r="B14" t="s">
        <v>106</v>
      </c>
      <c r="C14" s="1" t="s">
        <v>105</v>
      </c>
      <c r="D14" t="s">
        <v>1004</v>
      </c>
      <c r="E14" t="s">
        <v>1005</v>
      </c>
      <c r="G14">
        <v>12</v>
      </c>
      <c r="H14">
        <v>2021</v>
      </c>
      <c r="I14">
        <v>21</v>
      </c>
      <c r="K14" t="s">
        <v>1006</v>
      </c>
      <c r="L14" t="s">
        <v>1007</v>
      </c>
      <c r="O14" t="s">
        <v>1008</v>
      </c>
      <c r="R14" s="18" t="s">
        <v>1009</v>
      </c>
      <c r="S14" s="18" t="s">
        <v>556</v>
      </c>
      <c r="V14" s="22" t="s">
        <v>112</v>
      </c>
      <c r="W14" s="22" t="s">
        <v>112</v>
      </c>
      <c r="Z14" s="22" t="s">
        <v>1010</v>
      </c>
      <c r="AA14" s="23" t="s">
        <v>870</v>
      </c>
      <c r="AK14" t="s">
        <v>1011</v>
      </c>
      <c r="AL14" t="s">
        <v>1012</v>
      </c>
      <c r="AN14" s="24" t="s">
        <v>968</v>
      </c>
      <c r="AS14" t="s">
        <v>32</v>
      </c>
    </row>
    <row r="15" spans="1:50" ht="29">
      <c r="A15" t="s">
        <v>107</v>
      </c>
      <c r="B15" t="s">
        <v>107</v>
      </c>
      <c r="C15" s="1" t="s">
        <v>61</v>
      </c>
      <c r="D15" t="s">
        <v>1013</v>
      </c>
      <c r="E15" t="s">
        <v>1014</v>
      </c>
      <c r="H15">
        <v>2022</v>
      </c>
      <c r="I15">
        <v>22</v>
      </c>
      <c r="K15" t="s">
        <v>1015</v>
      </c>
      <c r="L15" t="s">
        <v>1016</v>
      </c>
      <c r="O15" t="s">
        <v>1017</v>
      </c>
      <c r="R15" s="18" t="s">
        <v>1018</v>
      </c>
      <c r="S15" s="18" t="s">
        <v>556</v>
      </c>
      <c r="V15" s="22" t="s">
        <v>89</v>
      </c>
      <c r="W15" s="22" t="s">
        <v>883</v>
      </c>
      <c r="Z15" s="22" t="s">
        <v>1019</v>
      </c>
      <c r="AA15" s="23" t="s">
        <v>870</v>
      </c>
      <c r="AK15" s="40" t="s">
        <v>1020</v>
      </c>
      <c r="AL15" t="s">
        <v>1021</v>
      </c>
      <c r="AN15" s="24" t="s">
        <v>1022</v>
      </c>
      <c r="AS15" t="s">
        <v>50</v>
      </c>
    </row>
    <row r="16" spans="1:50">
      <c r="A16" t="s">
        <v>109</v>
      </c>
      <c r="B16" t="s">
        <v>109</v>
      </c>
      <c r="C16" s="1" t="s">
        <v>108</v>
      </c>
      <c r="D16" t="s">
        <v>1023</v>
      </c>
      <c r="E16" t="s">
        <v>1024</v>
      </c>
      <c r="H16">
        <v>2023</v>
      </c>
      <c r="I16">
        <v>23</v>
      </c>
      <c r="K16" t="s">
        <v>1025</v>
      </c>
      <c r="L16" t="s">
        <v>1025</v>
      </c>
      <c r="R16" s="18" t="s">
        <v>1026</v>
      </c>
      <c r="S16" s="18" t="s">
        <v>899</v>
      </c>
      <c r="V16" s="22" t="s">
        <v>189</v>
      </c>
      <c r="W16" s="22" t="s">
        <v>883</v>
      </c>
      <c r="Z16" s="22" t="s">
        <v>1027</v>
      </c>
      <c r="AA16" s="23" t="s">
        <v>870</v>
      </c>
      <c r="AK16" t="s">
        <v>1028</v>
      </c>
      <c r="AL16" t="s">
        <v>1029</v>
      </c>
      <c r="AN16" s="24" t="s">
        <v>1030</v>
      </c>
    </row>
    <row r="17" spans="1:40" ht="29">
      <c r="A17" t="s">
        <v>111</v>
      </c>
      <c r="B17" t="s">
        <v>111</v>
      </c>
      <c r="C17" s="1" t="s">
        <v>110</v>
      </c>
      <c r="D17" t="s">
        <v>1031</v>
      </c>
      <c r="E17" t="s">
        <v>1032</v>
      </c>
      <c r="H17">
        <v>2024</v>
      </c>
      <c r="I17">
        <v>24</v>
      </c>
      <c r="K17" t="s">
        <v>1033</v>
      </c>
      <c r="L17" t="s">
        <v>125</v>
      </c>
      <c r="R17" s="18" t="s">
        <v>1034</v>
      </c>
      <c r="S17" s="18" t="s">
        <v>899</v>
      </c>
      <c r="V17" s="22" t="s">
        <v>91</v>
      </c>
      <c r="W17" s="22" t="s">
        <v>91</v>
      </c>
      <c r="Z17" s="22" t="s">
        <v>1035</v>
      </c>
      <c r="AA17" s="23" t="s">
        <v>870</v>
      </c>
      <c r="AK17" s="37" t="s">
        <v>1036</v>
      </c>
      <c r="AL17" t="s">
        <v>1037</v>
      </c>
      <c r="AN17" s="24" t="s">
        <v>1038</v>
      </c>
    </row>
    <row r="18" spans="1:40">
      <c r="A18" t="s">
        <v>113</v>
      </c>
      <c r="B18" t="s">
        <v>113</v>
      </c>
      <c r="C18" s="1" t="s">
        <v>112</v>
      </c>
      <c r="D18" t="s">
        <v>898</v>
      </c>
      <c r="E18" t="s">
        <v>1039</v>
      </c>
      <c r="H18">
        <v>2025</v>
      </c>
      <c r="I18">
        <v>25</v>
      </c>
      <c r="K18" t="s">
        <v>1040</v>
      </c>
      <c r="L18" t="s">
        <v>1041</v>
      </c>
      <c r="R18" s="18" t="s">
        <v>1042</v>
      </c>
      <c r="S18" s="18" t="s">
        <v>885</v>
      </c>
      <c r="V18" s="22" t="s">
        <v>183</v>
      </c>
      <c r="W18" s="22" t="s">
        <v>1043</v>
      </c>
      <c r="Z18" s="22" t="s">
        <v>1044</v>
      </c>
      <c r="AA18" s="23" t="s">
        <v>870</v>
      </c>
      <c r="AK18" t="s">
        <v>1045</v>
      </c>
      <c r="AL18" t="s">
        <v>1046</v>
      </c>
      <c r="AN18" s="24" t="s">
        <v>1047</v>
      </c>
    </row>
    <row r="19" spans="1:40">
      <c r="A19" t="s">
        <v>115</v>
      </c>
      <c r="B19" t="s">
        <v>115</v>
      </c>
      <c r="C19" s="1" t="s">
        <v>114</v>
      </c>
      <c r="D19" t="s">
        <v>1048</v>
      </c>
      <c r="E19" t="s">
        <v>1049</v>
      </c>
      <c r="H19">
        <v>2026</v>
      </c>
      <c r="I19">
        <v>26</v>
      </c>
      <c r="K19" t="s">
        <v>1050</v>
      </c>
      <c r="L19" t="s">
        <v>478</v>
      </c>
      <c r="R19" s="18" t="s">
        <v>1051</v>
      </c>
      <c r="S19" s="18" t="s">
        <v>885</v>
      </c>
      <c r="V19" s="22" t="s">
        <v>64</v>
      </c>
      <c r="W19" s="22" t="s">
        <v>883</v>
      </c>
      <c r="Z19" s="22" t="s">
        <v>48</v>
      </c>
      <c r="AA19" s="23" t="s">
        <v>870</v>
      </c>
      <c r="AK19" s="41" t="s">
        <v>1052</v>
      </c>
      <c r="AL19" t="s">
        <v>1053</v>
      </c>
      <c r="AN19" s="24" t="s">
        <v>1054</v>
      </c>
    </row>
    <row r="20" spans="1:40">
      <c r="A20" t="s">
        <v>117</v>
      </c>
      <c r="B20" t="s">
        <v>117</v>
      </c>
      <c r="C20" s="1" t="s">
        <v>116</v>
      </c>
      <c r="D20" t="s">
        <v>1055</v>
      </c>
      <c r="E20" t="s">
        <v>1056</v>
      </c>
      <c r="H20">
        <v>2027</v>
      </c>
      <c r="I20">
        <v>27</v>
      </c>
      <c r="K20" t="s">
        <v>1057</v>
      </c>
      <c r="L20" t="s">
        <v>1058</v>
      </c>
      <c r="R20" s="18" t="s">
        <v>1059</v>
      </c>
      <c r="S20" s="18" t="s">
        <v>556</v>
      </c>
      <c r="V20" s="22" t="s">
        <v>130</v>
      </c>
      <c r="W20" s="22" t="s">
        <v>883</v>
      </c>
      <c r="Z20" s="22" t="s">
        <v>1060</v>
      </c>
      <c r="AA20" s="23" t="s">
        <v>870</v>
      </c>
      <c r="AK20" t="s">
        <v>1061</v>
      </c>
      <c r="AL20" t="s">
        <v>1062</v>
      </c>
      <c r="AN20" s="24" t="s">
        <v>1063</v>
      </c>
    </row>
    <row r="21" spans="1:40">
      <c r="A21" t="s">
        <v>118</v>
      </c>
      <c r="B21" t="s">
        <v>118</v>
      </c>
      <c r="C21" s="1" t="s">
        <v>54</v>
      </c>
      <c r="D21" t="s">
        <v>985</v>
      </c>
      <c r="E21" t="s">
        <v>1064</v>
      </c>
      <c r="H21">
        <v>2028</v>
      </c>
      <c r="I21">
        <v>28</v>
      </c>
      <c r="K21" t="s">
        <v>1065</v>
      </c>
      <c r="L21" t="s">
        <v>1066</v>
      </c>
      <c r="R21" s="18" t="s">
        <v>999</v>
      </c>
      <c r="S21" s="18" t="s">
        <v>885</v>
      </c>
      <c r="V21" s="22" t="s">
        <v>201</v>
      </c>
      <c r="W21" s="22" t="s">
        <v>1067</v>
      </c>
      <c r="Z21" s="22" t="s">
        <v>67</v>
      </c>
      <c r="AA21" s="23" t="s">
        <v>870</v>
      </c>
      <c r="AK21" t="s">
        <v>80</v>
      </c>
      <c r="AL21" t="s">
        <v>1068</v>
      </c>
      <c r="AN21" s="24" t="s">
        <v>1069</v>
      </c>
    </row>
    <row r="22" spans="1:40">
      <c r="A22" t="s">
        <v>119</v>
      </c>
      <c r="B22" t="s">
        <v>119</v>
      </c>
      <c r="C22" s="1" t="s">
        <v>47</v>
      </c>
      <c r="D22" t="s">
        <v>1070</v>
      </c>
      <c r="E22" t="s">
        <v>1071</v>
      </c>
      <c r="H22">
        <v>2029</v>
      </c>
      <c r="I22">
        <v>29</v>
      </c>
      <c r="K22" t="s">
        <v>1072</v>
      </c>
      <c r="L22" t="s">
        <v>1073</v>
      </c>
      <c r="R22" s="18" t="s">
        <v>1074</v>
      </c>
      <c r="S22" s="18" t="s">
        <v>885</v>
      </c>
      <c r="V22" s="22" t="s">
        <v>203</v>
      </c>
      <c r="W22" s="22" t="s">
        <v>1043</v>
      </c>
      <c r="Z22" s="22" t="s">
        <v>1075</v>
      </c>
      <c r="AA22" s="23" t="s">
        <v>870</v>
      </c>
      <c r="AN22" s="24" t="s">
        <v>1076</v>
      </c>
    </row>
    <row r="23" spans="1:40">
      <c r="A23" t="s">
        <v>121</v>
      </c>
      <c r="B23" t="s">
        <v>121</v>
      </c>
      <c r="C23" s="1" t="s">
        <v>120</v>
      </c>
      <c r="D23" t="s">
        <v>998</v>
      </c>
      <c r="E23" t="s">
        <v>1077</v>
      </c>
      <c r="H23">
        <v>2030</v>
      </c>
      <c r="I23">
        <v>30</v>
      </c>
      <c r="K23" t="s">
        <v>1078</v>
      </c>
      <c r="L23" t="s">
        <v>1079</v>
      </c>
      <c r="R23" s="18" t="s">
        <v>1080</v>
      </c>
      <c r="S23" s="18" t="s">
        <v>915</v>
      </c>
      <c r="V23" s="22" t="s">
        <v>236</v>
      </c>
      <c r="W23" s="22" t="s">
        <v>975</v>
      </c>
      <c r="Z23" s="22" t="s">
        <v>924</v>
      </c>
      <c r="AA23" s="23" t="s">
        <v>870</v>
      </c>
      <c r="AN23" s="24" t="s">
        <v>1081</v>
      </c>
    </row>
    <row r="24" spans="1:40">
      <c r="A24" t="s">
        <v>123</v>
      </c>
      <c r="B24" t="s">
        <v>123</v>
      </c>
      <c r="C24" s="1" t="s">
        <v>122</v>
      </c>
      <c r="D24" t="s">
        <v>1082</v>
      </c>
      <c r="E24" t="s">
        <v>1083</v>
      </c>
      <c r="K24" t="s">
        <v>1084</v>
      </c>
      <c r="L24" t="s">
        <v>1085</v>
      </c>
      <c r="R24" s="18" t="s">
        <v>1086</v>
      </c>
      <c r="S24" s="18" t="s">
        <v>556</v>
      </c>
      <c r="V24" s="22" t="s">
        <v>142</v>
      </c>
      <c r="W24" s="22" t="s">
        <v>986</v>
      </c>
      <c r="Z24" s="22" t="s">
        <v>1023</v>
      </c>
      <c r="AA24" s="23" t="s">
        <v>870</v>
      </c>
    </row>
    <row r="25" spans="1:40">
      <c r="A25" t="s">
        <v>125</v>
      </c>
      <c r="B25" t="s">
        <v>125</v>
      </c>
      <c r="C25" s="1" t="s">
        <v>124</v>
      </c>
      <c r="D25" t="s">
        <v>1087</v>
      </c>
      <c r="E25" t="s">
        <v>1088</v>
      </c>
      <c r="K25" t="s">
        <v>1089</v>
      </c>
      <c r="L25" t="s">
        <v>1090</v>
      </c>
      <c r="R25" s="18" t="s">
        <v>1091</v>
      </c>
      <c r="S25" s="18" t="s">
        <v>899</v>
      </c>
      <c r="V25" s="22" t="s">
        <v>155</v>
      </c>
      <c r="W25" s="22" t="s">
        <v>155</v>
      </c>
      <c r="Z25" s="22" t="s">
        <v>1092</v>
      </c>
      <c r="AA25" s="23" t="s">
        <v>870</v>
      </c>
    </row>
    <row r="26" spans="1:40">
      <c r="A26" t="s">
        <v>127</v>
      </c>
      <c r="B26" t="s">
        <v>127</v>
      </c>
      <c r="C26" s="1" t="s">
        <v>126</v>
      </c>
      <c r="D26" t="s">
        <v>1009</v>
      </c>
      <c r="E26" t="s">
        <v>1093</v>
      </c>
      <c r="K26" t="s">
        <v>1094</v>
      </c>
      <c r="L26" t="s">
        <v>1095</v>
      </c>
      <c r="R26" s="18" t="s">
        <v>1096</v>
      </c>
      <c r="S26" s="18" t="s">
        <v>556</v>
      </c>
      <c r="V26" s="22" t="s">
        <v>187</v>
      </c>
      <c r="W26" s="22" t="s">
        <v>883</v>
      </c>
      <c r="Z26" s="22" t="s">
        <v>964</v>
      </c>
      <c r="AA26" s="23" t="s">
        <v>870</v>
      </c>
    </row>
    <row r="27" spans="1:40">
      <c r="A27" t="s">
        <v>129</v>
      </c>
      <c r="B27" t="s">
        <v>129</v>
      </c>
      <c r="C27" s="1" t="s">
        <v>128</v>
      </c>
      <c r="D27" t="s">
        <v>1018</v>
      </c>
      <c r="E27" t="s">
        <v>1097</v>
      </c>
      <c r="K27" t="s">
        <v>1098</v>
      </c>
      <c r="L27" t="s">
        <v>1099</v>
      </c>
      <c r="R27" s="18" t="s">
        <v>1100</v>
      </c>
      <c r="S27" s="18" t="s">
        <v>885</v>
      </c>
      <c r="V27" s="22" t="s">
        <v>230</v>
      </c>
      <c r="W27" s="22" t="s">
        <v>213</v>
      </c>
      <c r="Z27" s="22" t="s">
        <v>1101</v>
      </c>
      <c r="AA27" s="23" t="s">
        <v>870</v>
      </c>
    </row>
    <row r="28" spans="1:40">
      <c r="A28" t="s">
        <v>131</v>
      </c>
      <c r="B28" t="s">
        <v>131</v>
      </c>
      <c r="C28" s="1" t="s">
        <v>130</v>
      </c>
      <c r="D28" t="s">
        <v>1026</v>
      </c>
      <c r="E28" t="s">
        <v>1102</v>
      </c>
      <c r="K28" t="s">
        <v>1103</v>
      </c>
      <c r="L28" t="s">
        <v>588</v>
      </c>
      <c r="R28" s="18" t="s">
        <v>1104</v>
      </c>
      <c r="S28" s="18" t="s">
        <v>556</v>
      </c>
      <c r="V28" s="22" t="s">
        <v>108</v>
      </c>
      <c r="W28" s="22" t="s">
        <v>883</v>
      </c>
      <c r="Z28" s="22" t="s">
        <v>1105</v>
      </c>
      <c r="AA28" s="23" t="s">
        <v>870</v>
      </c>
    </row>
    <row r="29" spans="1:40">
      <c r="A29" t="s">
        <v>133</v>
      </c>
      <c r="B29" t="s">
        <v>133</v>
      </c>
      <c r="C29" s="1" t="s">
        <v>132</v>
      </c>
      <c r="D29" t="s">
        <v>1106</v>
      </c>
      <c r="E29" t="s">
        <v>1107</v>
      </c>
      <c r="K29" t="s">
        <v>1108</v>
      </c>
      <c r="L29" t="s">
        <v>560</v>
      </c>
      <c r="R29" s="18" t="s">
        <v>1109</v>
      </c>
      <c r="S29" s="18" t="s">
        <v>885</v>
      </c>
      <c r="V29" s="22" t="s">
        <v>213</v>
      </c>
      <c r="W29" s="22" t="s">
        <v>213</v>
      </c>
      <c r="Z29" s="22" t="s">
        <v>1110</v>
      </c>
      <c r="AA29" s="23" t="s">
        <v>870</v>
      </c>
    </row>
    <row r="30" spans="1:40">
      <c r="A30" t="s">
        <v>134</v>
      </c>
      <c r="B30" t="s">
        <v>134</v>
      </c>
      <c r="C30" s="1" t="s">
        <v>64</v>
      </c>
      <c r="D30" t="s">
        <v>1034</v>
      </c>
      <c r="E30" t="s">
        <v>1111</v>
      </c>
      <c r="K30" t="s">
        <v>1112</v>
      </c>
      <c r="L30" t="s">
        <v>616</v>
      </c>
      <c r="R30" s="18" t="s">
        <v>1019</v>
      </c>
      <c r="S30" s="18" t="s">
        <v>915</v>
      </c>
      <c r="V30" s="22" t="s">
        <v>205</v>
      </c>
      <c r="W30" s="22" t="s">
        <v>883</v>
      </c>
      <c r="Z30" s="22" t="s">
        <v>1113</v>
      </c>
      <c r="AA30" s="23" t="s">
        <v>870</v>
      </c>
    </row>
    <row r="31" spans="1:40">
      <c r="A31" t="s">
        <v>800</v>
      </c>
      <c r="B31" t="s">
        <v>800</v>
      </c>
      <c r="C31" s="1" t="s">
        <v>36</v>
      </c>
      <c r="D31" t="s">
        <v>1042</v>
      </c>
      <c r="E31" t="s">
        <v>1114</v>
      </c>
      <c r="K31" t="s">
        <v>1115</v>
      </c>
      <c r="L31" t="s">
        <v>1116</v>
      </c>
      <c r="R31" s="18" t="s">
        <v>1101</v>
      </c>
      <c r="S31" s="18" t="s">
        <v>556</v>
      </c>
      <c r="V31" s="22" t="s">
        <v>166</v>
      </c>
      <c r="W31" s="22" t="s">
        <v>975</v>
      </c>
      <c r="Z31" s="22" t="s">
        <v>1059</v>
      </c>
      <c r="AA31" s="23" t="s">
        <v>870</v>
      </c>
    </row>
    <row r="32" spans="1:40">
      <c r="A32" t="s">
        <v>137</v>
      </c>
      <c r="B32" t="s">
        <v>137</v>
      </c>
      <c r="C32" s="1" t="s">
        <v>136</v>
      </c>
      <c r="D32" t="s">
        <v>1051</v>
      </c>
      <c r="E32" t="s">
        <v>1117</v>
      </c>
      <c r="K32" t="s">
        <v>1118</v>
      </c>
      <c r="L32" t="s">
        <v>1119</v>
      </c>
      <c r="R32" s="18" t="s">
        <v>1044</v>
      </c>
      <c r="S32" s="18" t="s">
        <v>556</v>
      </c>
      <c r="V32" s="22" t="s">
        <v>87</v>
      </c>
      <c r="W32" s="22" t="s">
        <v>1043</v>
      </c>
      <c r="Z32" s="22" t="s">
        <v>1120</v>
      </c>
      <c r="AA32" s="23" t="s">
        <v>870</v>
      </c>
    </row>
    <row r="33" spans="1:27">
      <c r="A33" t="s">
        <v>139</v>
      </c>
      <c r="B33" t="s">
        <v>139</v>
      </c>
      <c r="C33" s="1" t="s">
        <v>138</v>
      </c>
      <c r="D33" t="s">
        <v>1059</v>
      </c>
      <c r="E33" t="s">
        <v>1121</v>
      </c>
      <c r="K33" t="s">
        <v>1122</v>
      </c>
      <c r="L33" t="s">
        <v>1123</v>
      </c>
      <c r="R33" s="18" t="s">
        <v>1124</v>
      </c>
      <c r="S33" s="18" t="s">
        <v>556</v>
      </c>
      <c r="V33" s="22" t="s">
        <v>224</v>
      </c>
      <c r="W33" s="22" t="s">
        <v>975</v>
      </c>
      <c r="Z33" s="22" t="s">
        <v>1004</v>
      </c>
      <c r="AA33" s="23" t="s">
        <v>870</v>
      </c>
    </row>
    <row r="34" spans="1:27">
      <c r="A34" t="s">
        <v>141</v>
      </c>
      <c r="B34" t="s">
        <v>141</v>
      </c>
      <c r="C34" s="1" t="s">
        <v>140</v>
      </c>
      <c r="D34" t="s">
        <v>999</v>
      </c>
      <c r="E34" t="s">
        <v>1125</v>
      </c>
      <c r="K34" t="s">
        <v>80</v>
      </c>
      <c r="L34" t="s">
        <v>1068</v>
      </c>
      <c r="R34" s="18" t="s">
        <v>1126</v>
      </c>
      <c r="S34" s="18" t="s">
        <v>885</v>
      </c>
      <c r="V34" s="22" t="s">
        <v>209</v>
      </c>
      <c r="W34" s="22" t="s">
        <v>1067</v>
      </c>
      <c r="Z34" s="22" t="s">
        <v>899</v>
      </c>
      <c r="AA34" s="23" t="s">
        <v>870</v>
      </c>
    </row>
    <row r="35" spans="1:27">
      <c r="A35" t="s">
        <v>142</v>
      </c>
      <c r="B35" t="s">
        <v>142</v>
      </c>
      <c r="C35" s="1" t="s">
        <v>142</v>
      </c>
      <c r="D35" t="s">
        <v>1127</v>
      </c>
      <c r="E35" t="s">
        <v>1128</v>
      </c>
      <c r="K35" t="s">
        <v>1129</v>
      </c>
      <c r="L35" t="s">
        <v>1130</v>
      </c>
      <c r="R35" s="18" t="s">
        <v>1131</v>
      </c>
      <c r="S35" s="18" t="s">
        <v>915</v>
      </c>
      <c r="V35" s="22" t="s">
        <v>226</v>
      </c>
      <c r="W35" s="22" t="s">
        <v>986</v>
      </c>
      <c r="Z35" s="22" t="s">
        <v>988</v>
      </c>
      <c r="AA35" s="23" t="s">
        <v>870</v>
      </c>
    </row>
    <row r="36" spans="1:27">
      <c r="A36" t="s">
        <v>144</v>
      </c>
      <c r="B36" t="s">
        <v>144</v>
      </c>
      <c r="C36" s="1" t="s">
        <v>143</v>
      </c>
      <c r="D36" t="s">
        <v>1074</v>
      </c>
      <c r="E36" t="s">
        <v>1132</v>
      </c>
      <c r="K36" t="s">
        <v>1133</v>
      </c>
      <c r="L36" t="s">
        <v>651</v>
      </c>
      <c r="R36" s="18" t="s">
        <v>1105</v>
      </c>
      <c r="S36" s="18" t="s">
        <v>556</v>
      </c>
      <c r="V36" s="22" t="s">
        <v>143</v>
      </c>
      <c r="W36" s="22" t="s">
        <v>112</v>
      </c>
      <c r="Z36" s="22" t="s">
        <v>1013</v>
      </c>
      <c r="AA36" s="23" t="s">
        <v>870</v>
      </c>
    </row>
    <row r="37" spans="1:27">
      <c r="A37" t="s">
        <v>146</v>
      </c>
      <c r="B37" t="s">
        <v>146</v>
      </c>
      <c r="C37" s="1" t="s">
        <v>145</v>
      </c>
      <c r="D37" t="s">
        <v>1134</v>
      </c>
      <c r="E37" t="s">
        <v>1135</v>
      </c>
      <c r="K37" t="s">
        <v>1136</v>
      </c>
      <c r="L37" t="s">
        <v>1137</v>
      </c>
      <c r="R37" s="18" t="s">
        <v>1138</v>
      </c>
      <c r="S37" s="18" t="s">
        <v>556</v>
      </c>
      <c r="V37" s="22" t="s">
        <v>54</v>
      </c>
      <c r="W37" s="22" t="s">
        <v>1067</v>
      </c>
      <c r="Z37" s="22" t="s">
        <v>1055</v>
      </c>
      <c r="AA37" s="23" t="s">
        <v>870</v>
      </c>
    </row>
    <row r="38" spans="1:27">
      <c r="A38" t="s">
        <v>148</v>
      </c>
      <c r="B38" t="s">
        <v>148</v>
      </c>
      <c r="C38" s="1" t="s">
        <v>147</v>
      </c>
      <c r="D38" t="s">
        <v>1139</v>
      </c>
      <c r="E38" t="s">
        <v>1140</v>
      </c>
      <c r="K38" t="s">
        <v>1141</v>
      </c>
      <c r="L38" t="s">
        <v>1142</v>
      </c>
      <c r="R38" s="18" t="s">
        <v>1143</v>
      </c>
      <c r="S38" s="18" t="s">
        <v>556</v>
      </c>
      <c r="V38" s="22" t="s">
        <v>222</v>
      </c>
      <c r="W38" s="22" t="s">
        <v>1067</v>
      </c>
      <c r="Z38" s="22" t="s">
        <v>55</v>
      </c>
      <c r="AA38" s="23" t="s">
        <v>870</v>
      </c>
    </row>
    <row r="39" spans="1:27">
      <c r="A39" t="s">
        <v>150</v>
      </c>
      <c r="B39" t="s">
        <v>150</v>
      </c>
      <c r="C39" s="1" t="s">
        <v>149</v>
      </c>
      <c r="D39" t="s">
        <v>1144</v>
      </c>
      <c r="E39" t="s">
        <v>1145</v>
      </c>
      <c r="K39" t="s">
        <v>1146</v>
      </c>
      <c r="L39" t="s">
        <v>1147</v>
      </c>
      <c r="R39" s="18" t="s">
        <v>1092</v>
      </c>
      <c r="S39" s="18" t="s">
        <v>899</v>
      </c>
      <c r="V39" s="22" t="s">
        <v>138</v>
      </c>
      <c r="W39" s="22" t="s">
        <v>883</v>
      </c>
      <c r="Z39" s="22" t="s">
        <v>1126</v>
      </c>
      <c r="AA39" s="23" t="s">
        <v>870</v>
      </c>
    </row>
    <row r="40" spans="1:27">
      <c r="A40" t="s">
        <v>152</v>
      </c>
      <c r="B40" t="s">
        <v>152</v>
      </c>
      <c r="C40" s="1" t="s">
        <v>151</v>
      </c>
      <c r="D40" t="s">
        <v>1080</v>
      </c>
      <c r="E40" t="s">
        <v>1148</v>
      </c>
      <c r="K40" t="s">
        <v>1149</v>
      </c>
      <c r="L40" t="s">
        <v>667</v>
      </c>
      <c r="R40" s="18" t="s">
        <v>1150</v>
      </c>
      <c r="S40" s="18" t="s">
        <v>556</v>
      </c>
      <c r="V40" s="22" t="s">
        <v>157</v>
      </c>
      <c r="W40" s="22" t="s">
        <v>986</v>
      </c>
      <c r="Z40" s="22" t="s">
        <v>1151</v>
      </c>
      <c r="AA40" s="23" t="s">
        <v>870</v>
      </c>
    </row>
    <row r="41" spans="1:27">
      <c r="A41" t="s">
        <v>154</v>
      </c>
      <c r="B41" t="s">
        <v>154</v>
      </c>
      <c r="C41" s="1" t="s">
        <v>153</v>
      </c>
      <c r="D41" t="s">
        <v>1086</v>
      </c>
      <c r="E41" t="s">
        <v>1152</v>
      </c>
      <c r="K41" t="s">
        <v>204</v>
      </c>
      <c r="L41" t="s">
        <v>204</v>
      </c>
      <c r="R41" s="18" t="s">
        <v>44</v>
      </c>
      <c r="S41" s="18" t="s">
        <v>556</v>
      </c>
      <c r="V41" s="22" t="s">
        <v>161</v>
      </c>
      <c r="W41" s="22" t="s">
        <v>986</v>
      </c>
      <c r="Z41" s="22" t="s">
        <v>1124</v>
      </c>
      <c r="AA41" s="23" t="s">
        <v>870</v>
      </c>
    </row>
    <row r="42" spans="1:27">
      <c r="A42" t="s">
        <v>156</v>
      </c>
      <c r="B42" t="s">
        <v>156</v>
      </c>
      <c r="C42" s="1" t="s">
        <v>155</v>
      </c>
      <c r="D42" t="s">
        <v>1153</v>
      </c>
      <c r="E42" t="s">
        <v>1154</v>
      </c>
      <c r="K42" t="s">
        <v>1155</v>
      </c>
      <c r="L42" t="s">
        <v>1156</v>
      </c>
      <c r="R42" s="18" t="s">
        <v>1113</v>
      </c>
      <c r="S42" s="18" t="s">
        <v>556</v>
      </c>
      <c r="V42" s="22" t="s">
        <v>173</v>
      </c>
      <c r="W42" s="22" t="s">
        <v>986</v>
      </c>
      <c r="Z42" s="22" t="s">
        <v>1157</v>
      </c>
      <c r="AA42" s="22" t="s">
        <v>1158</v>
      </c>
    </row>
    <row r="43" spans="1:27">
      <c r="A43" t="s">
        <v>158</v>
      </c>
      <c r="B43" t="s">
        <v>158</v>
      </c>
      <c r="C43" s="1" t="s">
        <v>157</v>
      </c>
      <c r="D43" t="s">
        <v>1091</v>
      </c>
      <c r="E43" t="s">
        <v>1159</v>
      </c>
      <c r="K43" t="s">
        <v>1160</v>
      </c>
      <c r="L43" t="s">
        <v>1161</v>
      </c>
      <c r="R43" s="18" t="s">
        <v>1162</v>
      </c>
      <c r="S43" s="18" t="s">
        <v>885</v>
      </c>
      <c r="V43" s="22" t="s">
        <v>199</v>
      </c>
      <c r="W43" s="22" t="s">
        <v>975</v>
      </c>
      <c r="Z43" s="22" t="s">
        <v>1163</v>
      </c>
      <c r="AA43" s="23" t="s">
        <v>870</v>
      </c>
    </row>
    <row r="44" spans="1:27">
      <c r="A44" t="s">
        <v>160</v>
      </c>
      <c r="B44" t="s">
        <v>160</v>
      </c>
      <c r="C44" s="1" t="s">
        <v>159</v>
      </c>
      <c r="D44" t="s">
        <v>1096</v>
      </c>
      <c r="E44" t="s">
        <v>1164</v>
      </c>
      <c r="K44" t="s">
        <v>1165</v>
      </c>
      <c r="L44" t="s">
        <v>1166</v>
      </c>
      <c r="R44" s="18" t="s">
        <v>48</v>
      </c>
      <c r="S44" s="18" t="s">
        <v>556</v>
      </c>
      <c r="V44" s="22" t="s">
        <v>147</v>
      </c>
      <c r="W44" s="22" t="s">
        <v>1067</v>
      </c>
      <c r="Z44" s="22" t="s">
        <v>1167</v>
      </c>
      <c r="AA44" s="23" t="s">
        <v>870</v>
      </c>
    </row>
    <row r="45" spans="1:27">
      <c r="A45" t="s">
        <v>162</v>
      </c>
      <c r="B45" t="s">
        <v>162</v>
      </c>
      <c r="C45" s="1" t="s">
        <v>161</v>
      </c>
      <c r="D45" t="s">
        <v>1100</v>
      </c>
      <c r="E45" t="s">
        <v>1168</v>
      </c>
      <c r="K45" t="s">
        <v>1169</v>
      </c>
      <c r="L45" t="s">
        <v>1170</v>
      </c>
      <c r="R45" s="18" t="s">
        <v>1171</v>
      </c>
      <c r="S45" s="18" t="s">
        <v>556</v>
      </c>
      <c r="V45" s="22" t="s">
        <v>97</v>
      </c>
      <c r="W45" s="22" t="s">
        <v>883</v>
      </c>
      <c r="Z45" s="22" t="s">
        <v>1138</v>
      </c>
      <c r="AA45" s="23" t="s">
        <v>870</v>
      </c>
    </row>
    <row r="46" spans="1:27">
      <c r="A46" t="s">
        <v>164</v>
      </c>
      <c r="B46" t="s">
        <v>164</v>
      </c>
      <c r="C46" s="1" t="s">
        <v>163</v>
      </c>
      <c r="D46" t="s">
        <v>1104</v>
      </c>
      <c r="E46" t="s">
        <v>1172</v>
      </c>
      <c r="K46" t="s">
        <v>1173</v>
      </c>
      <c r="L46" t="s">
        <v>1174</v>
      </c>
      <c r="R46" s="18" t="s">
        <v>1175</v>
      </c>
      <c r="S46" s="18" t="s">
        <v>556</v>
      </c>
      <c r="V46" s="22" t="s">
        <v>110</v>
      </c>
      <c r="W46" s="22" t="s">
        <v>1043</v>
      </c>
      <c r="Z46" s="22" t="s">
        <v>1176</v>
      </c>
      <c r="AA46" s="23" t="s">
        <v>870</v>
      </c>
    </row>
    <row r="47" spans="1:27">
      <c r="A47" t="s">
        <v>165</v>
      </c>
      <c r="B47" t="s">
        <v>165</v>
      </c>
      <c r="C47" s="1" t="s">
        <v>66</v>
      </c>
      <c r="D47" t="s">
        <v>1177</v>
      </c>
      <c r="E47" t="s">
        <v>1178</v>
      </c>
      <c r="K47" t="s">
        <v>1179</v>
      </c>
      <c r="L47" t="s">
        <v>1180</v>
      </c>
      <c r="R47" s="18" t="s">
        <v>1181</v>
      </c>
      <c r="S47" s="18" t="s">
        <v>556</v>
      </c>
      <c r="V47" s="22" t="s">
        <v>185</v>
      </c>
      <c r="W47" s="22" t="s">
        <v>975</v>
      </c>
      <c r="Z47" s="22" t="s">
        <v>1181</v>
      </c>
      <c r="AA47" s="23" t="s">
        <v>870</v>
      </c>
    </row>
    <row r="48" spans="1:27">
      <c r="A48" t="s">
        <v>167</v>
      </c>
      <c r="B48" t="s">
        <v>167</v>
      </c>
      <c r="C48" s="1" t="s">
        <v>166</v>
      </c>
      <c r="D48" t="s">
        <v>1182</v>
      </c>
      <c r="E48" t="s">
        <v>1183</v>
      </c>
      <c r="K48" t="s">
        <v>1184</v>
      </c>
      <c r="L48" t="s">
        <v>212</v>
      </c>
      <c r="R48" s="18" t="s">
        <v>1185</v>
      </c>
      <c r="S48" s="18" t="s">
        <v>556</v>
      </c>
      <c r="V48" s="22" t="s">
        <v>149</v>
      </c>
      <c r="W48" s="22" t="s">
        <v>975</v>
      </c>
      <c r="Z48" s="22" t="s">
        <v>1186</v>
      </c>
      <c r="AA48" s="23" t="s">
        <v>870</v>
      </c>
    </row>
    <row r="49" spans="1:27">
      <c r="A49" t="s">
        <v>168</v>
      </c>
      <c r="B49" t="s">
        <v>168</v>
      </c>
      <c r="C49" s="1" t="s">
        <v>168</v>
      </c>
      <c r="D49" t="s">
        <v>1187</v>
      </c>
      <c r="E49" t="s">
        <v>1188</v>
      </c>
      <c r="K49" t="s">
        <v>1189</v>
      </c>
      <c r="L49" t="s">
        <v>1190</v>
      </c>
      <c r="R49" s="18" t="s">
        <v>1191</v>
      </c>
      <c r="S49" s="18" t="s">
        <v>885</v>
      </c>
      <c r="V49" s="22" t="s">
        <v>145</v>
      </c>
      <c r="W49" s="22" t="s">
        <v>1067</v>
      </c>
      <c r="Z49" s="22" t="s">
        <v>1192</v>
      </c>
      <c r="AA49" s="23" t="s">
        <v>870</v>
      </c>
    </row>
    <row r="50" spans="1:27">
      <c r="A50" t="s">
        <v>170</v>
      </c>
      <c r="B50" t="s">
        <v>170</v>
      </c>
      <c r="C50" s="1" t="s">
        <v>169</v>
      </c>
      <c r="D50" t="s">
        <v>1109</v>
      </c>
      <c r="E50" t="s">
        <v>1193</v>
      </c>
      <c r="K50" t="s">
        <v>1194</v>
      </c>
      <c r="L50" t="s">
        <v>1195</v>
      </c>
      <c r="R50" s="18" t="s">
        <v>28</v>
      </c>
      <c r="S50" s="18" t="s">
        <v>556</v>
      </c>
      <c r="V50" s="22" t="s">
        <v>159</v>
      </c>
      <c r="W50" s="22" t="s">
        <v>883</v>
      </c>
      <c r="Z50" s="22" t="s">
        <v>1196</v>
      </c>
      <c r="AA50" s="23" t="s">
        <v>870</v>
      </c>
    </row>
    <row r="51" spans="1:27">
      <c r="A51" t="s">
        <v>172</v>
      </c>
      <c r="B51" t="s">
        <v>172</v>
      </c>
      <c r="C51" s="1" t="s">
        <v>171</v>
      </c>
      <c r="D51" t="s">
        <v>1019</v>
      </c>
      <c r="E51" t="s">
        <v>1197</v>
      </c>
      <c r="K51" t="s">
        <v>1198</v>
      </c>
      <c r="L51" t="s">
        <v>210</v>
      </c>
      <c r="R51" s="18" t="s">
        <v>1199</v>
      </c>
      <c r="S51" s="18" t="s">
        <v>556</v>
      </c>
      <c r="V51" s="22" t="s">
        <v>177</v>
      </c>
      <c r="W51" s="22" t="s">
        <v>1067</v>
      </c>
      <c r="Z51" s="22" t="s">
        <v>1200</v>
      </c>
      <c r="AA51" s="23" t="s">
        <v>870</v>
      </c>
    </row>
    <row r="52" spans="1:27">
      <c r="A52" t="s">
        <v>174</v>
      </c>
      <c r="B52" t="s">
        <v>174</v>
      </c>
      <c r="C52" s="1" t="s">
        <v>173</v>
      </c>
      <c r="D52" t="s">
        <v>1201</v>
      </c>
      <c r="E52" t="s">
        <v>1202</v>
      </c>
      <c r="K52" t="s">
        <v>1203</v>
      </c>
      <c r="L52" t="s">
        <v>1204</v>
      </c>
      <c r="R52" s="18" t="s">
        <v>1205</v>
      </c>
      <c r="S52" s="18" t="s">
        <v>556</v>
      </c>
      <c r="V52" s="22" t="s">
        <v>126</v>
      </c>
      <c r="W52" s="22" t="s">
        <v>1067</v>
      </c>
      <c r="Z52" s="22" t="s">
        <v>1185</v>
      </c>
      <c r="AA52" s="23" t="s">
        <v>870</v>
      </c>
    </row>
    <row r="53" spans="1:27">
      <c r="A53" t="s">
        <v>176</v>
      </c>
      <c r="B53" t="s">
        <v>176</v>
      </c>
      <c r="C53" s="1" t="s">
        <v>175</v>
      </c>
      <c r="D53" t="s">
        <v>1101</v>
      </c>
      <c r="E53" t="s">
        <v>1206</v>
      </c>
      <c r="K53" t="s">
        <v>1207</v>
      </c>
      <c r="L53" t="s">
        <v>1208</v>
      </c>
      <c r="R53" s="18" t="s">
        <v>1209</v>
      </c>
      <c r="S53" s="18" t="s">
        <v>556</v>
      </c>
      <c r="V53" s="22" t="s">
        <v>175</v>
      </c>
      <c r="W53" s="22" t="s">
        <v>1067</v>
      </c>
      <c r="Z53" s="22" t="s">
        <v>1210</v>
      </c>
      <c r="AA53" s="23" t="s">
        <v>870</v>
      </c>
    </row>
    <row r="54" spans="1:27">
      <c r="A54" t="s">
        <v>178</v>
      </c>
      <c r="B54" t="s">
        <v>178</v>
      </c>
      <c r="C54" s="1" t="s">
        <v>177</v>
      </c>
      <c r="D54" t="s">
        <v>1044</v>
      </c>
      <c r="E54" t="s">
        <v>1211</v>
      </c>
      <c r="K54" t="s">
        <v>1212</v>
      </c>
      <c r="L54" t="s">
        <v>1212</v>
      </c>
      <c r="R54" s="18" t="s">
        <v>1120</v>
      </c>
      <c r="S54" s="18" t="s">
        <v>885</v>
      </c>
      <c r="V54" s="22" t="s">
        <v>136</v>
      </c>
      <c r="W54" s="22" t="s">
        <v>213</v>
      </c>
      <c r="Z54" s="22" t="s">
        <v>884</v>
      </c>
      <c r="AA54" s="22" t="s">
        <v>1213</v>
      </c>
    </row>
    <row r="55" spans="1:27">
      <c r="A55" t="s">
        <v>180</v>
      </c>
      <c r="B55" t="s">
        <v>180</v>
      </c>
      <c r="C55" s="1" t="s">
        <v>179</v>
      </c>
      <c r="D55" t="s">
        <v>1124</v>
      </c>
      <c r="E55" t="s">
        <v>1214</v>
      </c>
      <c r="K55" t="s">
        <v>1215</v>
      </c>
      <c r="L55" t="s">
        <v>1216</v>
      </c>
      <c r="R55" s="18" t="s">
        <v>1217</v>
      </c>
      <c r="S55" s="18" t="s">
        <v>556</v>
      </c>
      <c r="V55" s="22" t="s">
        <v>128</v>
      </c>
      <c r="W55" s="22" t="s">
        <v>986</v>
      </c>
      <c r="Z55" s="22" t="s">
        <v>1218</v>
      </c>
      <c r="AA55" s="22" t="s">
        <v>1213</v>
      </c>
    </row>
    <row r="56" spans="1:27">
      <c r="A56" t="s">
        <v>182</v>
      </c>
      <c r="B56" t="s">
        <v>182</v>
      </c>
      <c r="C56" s="1" t="s">
        <v>181</v>
      </c>
      <c r="D56" t="s">
        <v>1219</v>
      </c>
      <c r="E56" t="s">
        <v>1220</v>
      </c>
      <c r="K56" t="s">
        <v>1221</v>
      </c>
      <c r="L56" t="s">
        <v>1222</v>
      </c>
      <c r="R56" s="18" t="s">
        <v>1223</v>
      </c>
      <c r="S56" s="18" t="s">
        <v>556</v>
      </c>
      <c r="V56" s="22" t="s">
        <v>114</v>
      </c>
      <c r="W56" s="22" t="s">
        <v>1043</v>
      </c>
      <c r="Z56" s="22" t="s">
        <v>1191</v>
      </c>
      <c r="AA56" s="23" t="s">
        <v>870</v>
      </c>
    </row>
    <row r="57" spans="1:27">
      <c r="A57" t="s">
        <v>184</v>
      </c>
      <c r="B57" t="s">
        <v>184</v>
      </c>
      <c r="C57" s="1" t="s">
        <v>183</v>
      </c>
      <c r="D57" t="s">
        <v>1224</v>
      </c>
      <c r="E57" t="s">
        <v>1225</v>
      </c>
      <c r="K57" t="s">
        <v>1226</v>
      </c>
      <c r="L57" t="s">
        <v>1227</v>
      </c>
      <c r="R57" s="18" t="s">
        <v>914</v>
      </c>
      <c r="S57" s="18" t="s">
        <v>885</v>
      </c>
      <c r="V57" s="22" t="s">
        <v>171</v>
      </c>
      <c r="W57" s="22" t="s">
        <v>213</v>
      </c>
      <c r="Z57" s="22" t="s">
        <v>1228</v>
      </c>
      <c r="AA57" s="23" t="s">
        <v>870</v>
      </c>
    </row>
    <row r="58" spans="1:27">
      <c r="A58" t="s">
        <v>186</v>
      </c>
      <c r="B58" t="s">
        <v>186</v>
      </c>
      <c r="C58" s="1" t="s">
        <v>185</v>
      </c>
      <c r="D58" t="s">
        <v>1126</v>
      </c>
      <c r="E58" t="s">
        <v>1229</v>
      </c>
      <c r="K58" t="s">
        <v>1230</v>
      </c>
      <c r="L58" t="s">
        <v>698</v>
      </c>
      <c r="R58" s="18" t="s">
        <v>1231</v>
      </c>
      <c r="S58" s="18" t="s">
        <v>885</v>
      </c>
      <c r="V58" s="22" t="s">
        <v>93</v>
      </c>
      <c r="W58" s="22" t="s">
        <v>213</v>
      </c>
      <c r="Z58" s="22" t="s">
        <v>1232</v>
      </c>
      <c r="AA58" s="23" t="s">
        <v>870</v>
      </c>
    </row>
    <row r="59" spans="1:27">
      <c r="A59" t="s">
        <v>188</v>
      </c>
      <c r="B59" t="s">
        <v>188</v>
      </c>
      <c r="C59" s="1" t="s">
        <v>187</v>
      </c>
      <c r="D59" t="s">
        <v>1131</v>
      </c>
      <c r="E59" t="s">
        <v>1233</v>
      </c>
      <c r="K59" t="s">
        <v>1234</v>
      </c>
      <c r="L59" t="s">
        <v>1235</v>
      </c>
      <c r="R59" s="18" t="s">
        <v>929</v>
      </c>
      <c r="S59" s="18" t="s">
        <v>885</v>
      </c>
      <c r="V59" s="22" t="s">
        <v>242</v>
      </c>
      <c r="W59" s="22" t="s">
        <v>986</v>
      </c>
      <c r="Z59" s="22" t="s">
        <v>44</v>
      </c>
      <c r="AA59" s="23" t="s">
        <v>870</v>
      </c>
    </row>
    <row r="60" spans="1:27">
      <c r="A60" t="s">
        <v>190</v>
      </c>
      <c r="B60" t="s">
        <v>190</v>
      </c>
      <c r="C60" s="1" t="s">
        <v>189</v>
      </c>
      <c r="D60" t="s">
        <v>1105</v>
      </c>
      <c r="E60" t="s">
        <v>1236</v>
      </c>
      <c r="K60" t="s">
        <v>52</v>
      </c>
      <c r="L60" t="s">
        <v>52</v>
      </c>
      <c r="R60" s="18" t="s">
        <v>988</v>
      </c>
      <c r="S60" s="18" t="s">
        <v>556</v>
      </c>
      <c r="V60" s="22" t="s">
        <v>105</v>
      </c>
      <c r="W60" s="22" t="s">
        <v>213</v>
      </c>
      <c r="Z60" s="22" t="s">
        <v>1157</v>
      </c>
      <c r="AA60" s="23" t="s">
        <v>870</v>
      </c>
    </row>
    <row r="61" spans="1:27">
      <c r="A61" t="s">
        <v>192</v>
      </c>
      <c r="B61" t="s">
        <v>192</v>
      </c>
      <c r="C61" s="1" t="s">
        <v>191</v>
      </c>
      <c r="D61" t="s">
        <v>1138</v>
      </c>
      <c r="E61" t="s">
        <v>1237</v>
      </c>
      <c r="R61" s="18" t="s">
        <v>1238</v>
      </c>
      <c r="S61" s="18" t="s">
        <v>885</v>
      </c>
      <c r="V61" s="22" t="s">
        <v>191</v>
      </c>
      <c r="W61" s="22" t="s">
        <v>91</v>
      </c>
      <c r="Z61" s="22" t="s">
        <v>1239</v>
      </c>
      <c r="AA61" s="23" t="s">
        <v>870</v>
      </c>
    </row>
    <row r="62" spans="1:27">
      <c r="A62" t="s">
        <v>194</v>
      </c>
      <c r="B62" t="s">
        <v>194</v>
      </c>
      <c r="C62" s="1" t="s">
        <v>193</v>
      </c>
      <c r="D62" t="s">
        <v>1240</v>
      </c>
      <c r="E62" t="s">
        <v>1241</v>
      </c>
      <c r="R62" s="18" t="s">
        <v>1242</v>
      </c>
      <c r="S62" s="18" t="s">
        <v>885</v>
      </c>
      <c r="V62" s="22" t="s">
        <v>116</v>
      </c>
      <c r="W62" s="22" t="s">
        <v>1043</v>
      </c>
      <c r="Z62" s="22" t="s">
        <v>1243</v>
      </c>
      <c r="AA62" s="23" t="s">
        <v>870</v>
      </c>
    </row>
    <row r="63" spans="1:27">
      <c r="A63" t="s">
        <v>196</v>
      </c>
      <c r="B63" t="s">
        <v>196</v>
      </c>
      <c r="C63" s="1" t="s">
        <v>195</v>
      </c>
      <c r="D63" t="s">
        <v>1143</v>
      </c>
      <c r="E63" t="s">
        <v>1244</v>
      </c>
      <c r="R63" s="18" t="s">
        <v>37</v>
      </c>
      <c r="S63" s="18" t="s">
        <v>885</v>
      </c>
      <c r="V63" s="22" t="s">
        <v>195</v>
      </c>
      <c r="W63" s="22" t="s">
        <v>1043</v>
      </c>
      <c r="Z63" s="22" t="s">
        <v>1245</v>
      </c>
      <c r="AA63" s="23" t="s">
        <v>870</v>
      </c>
    </row>
    <row r="64" spans="1:27">
      <c r="A64" t="s">
        <v>198</v>
      </c>
      <c r="B64" t="s">
        <v>198</v>
      </c>
      <c r="C64" s="1" t="s">
        <v>197</v>
      </c>
      <c r="D64" t="s">
        <v>1246</v>
      </c>
      <c r="E64" t="s">
        <v>1247</v>
      </c>
      <c r="R64" s="18" t="s">
        <v>1176</v>
      </c>
      <c r="S64" s="18" t="s">
        <v>556</v>
      </c>
      <c r="V64" s="22" t="s">
        <v>95</v>
      </c>
      <c r="W64" s="22" t="s">
        <v>1067</v>
      </c>
      <c r="Z64" s="22" t="s">
        <v>1051</v>
      </c>
      <c r="AA64" s="23" t="s">
        <v>870</v>
      </c>
    </row>
    <row r="65" spans="1:27">
      <c r="A65" t="s">
        <v>200</v>
      </c>
      <c r="B65" t="s">
        <v>200</v>
      </c>
      <c r="C65" s="1" t="s">
        <v>199</v>
      </c>
      <c r="D65" t="s">
        <v>1092</v>
      </c>
      <c r="E65" t="s">
        <v>1248</v>
      </c>
      <c r="R65" s="18" t="s">
        <v>67</v>
      </c>
      <c r="S65" s="18" t="s">
        <v>556</v>
      </c>
      <c r="V65" s="22" t="s">
        <v>220</v>
      </c>
      <c r="W65" s="22" t="s">
        <v>1067</v>
      </c>
      <c r="Z65" s="22" t="s">
        <v>1249</v>
      </c>
      <c r="AA65" s="23" t="s">
        <v>870</v>
      </c>
    </row>
    <row r="66" spans="1:27">
      <c r="A66" t="s">
        <v>202</v>
      </c>
      <c r="B66" t="s">
        <v>202</v>
      </c>
      <c r="C66" s="1" t="s">
        <v>201</v>
      </c>
      <c r="D66" t="s">
        <v>1150</v>
      </c>
      <c r="E66" t="s">
        <v>1250</v>
      </c>
      <c r="R66" s="18" t="s">
        <v>1251</v>
      </c>
      <c r="S66" s="18" t="s">
        <v>556</v>
      </c>
      <c r="V66" s="22" t="s">
        <v>153</v>
      </c>
      <c r="W66" s="22" t="s">
        <v>1067</v>
      </c>
      <c r="Z66" s="22" t="s">
        <v>1104</v>
      </c>
      <c r="AA66" s="23" t="s">
        <v>870</v>
      </c>
    </row>
    <row r="67" spans="1:27">
      <c r="A67" t="s">
        <v>204</v>
      </c>
      <c r="B67" t="s">
        <v>204</v>
      </c>
      <c r="C67" s="1" t="s">
        <v>203</v>
      </c>
      <c r="D67" t="s">
        <v>44</v>
      </c>
      <c r="E67" t="s">
        <v>1252</v>
      </c>
      <c r="R67" s="18" t="s">
        <v>1253</v>
      </c>
      <c r="S67" s="18" t="s">
        <v>885</v>
      </c>
      <c r="V67" s="22" t="s">
        <v>140</v>
      </c>
      <c r="W67" s="22" t="s">
        <v>1043</v>
      </c>
      <c r="Z67" s="22" t="s">
        <v>1175</v>
      </c>
      <c r="AA67" s="23" t="s">
        <v>870</v>
      </c>
    </row>
    <row r="68" spans="1:27">
      <c r="A68" t="s">
        <v>206</v>
      </c>
      <c r="B68" t="s">
        <v>206</v>
      </c>
      <c r="C68" s="1" t="s">
        <v>205</v>
      </c>
      <c r="D68" t="s">
        <v>1113</v>
      </c>
      <c r="E68" t="s">
        <v>1254</v>
      </c>
      <c r="R68" s="18" t="s">
        <v>1255</v>
      </c>
      <c r="S68" s="18" t="s">
        <v>915</v>
      </c>
      <c r="V68" s="22" t="s">
        <v>122</v>
      </c>
      <c r="W68" s="22" t="s">
        <v>1043</v>
      </c>
      <c r="Z68" s="22" t="s">
        <v>78</v>
      </c>
      <c r="AA68" s="23" t="s">
        <v>870</v>
      </c>
    </row>
    <row r="69" spans="1:27">
      <c r="A69" t="s">
        <v>208</v>
      </c>
      <c r="B69" t="s">
        <v>208</v>
      </c>
      <c r="C69" s="1" t="s">
        <v>207</v>
      </c>
      <c r="D69" t="s">
        <v>1162</v>
      </c>
      <c r="E69" t="s">
        <v>1256</v>
      </c>
      <c r="R69" s="18" t="s">
        <v>1228</v>
      </c>
      <c r="S69" s="18" t="s">
        <v>885</v>
      </c>
      <c r="V69" s="22" t="s">
        <v>211</v>
      </c>
      <c r="W69" s="22" t="s">
        <v>1067</v>
      </c>
      <c r="Z69" s="22" t="s">
        <v>974</v>
      </c>
      <c r="AA69" s="23" t="s">
        <v>870</v>
      </c>
    </row>
    <row r="70" spans="1:27">
      <c r="A70" t="s">
        <v>210</v>
      </c>
      <c r="B70" t="s">
        <v>210</v>
      </c>
      <c r="C70" s="1" t="s">
        <v>209</v>
      </c>
      <c r="D70" t="s">
        <v>48</v>
      </c>
      <c r="E70" t="s">
        <v>1257</v>
      </c>
      <c r="R70" s="18" t="s">
        <v>1258</v>
      </c>
      <c r="S70" s="18" t="s">
        <v>885</v>
      </c>
      <c r="V70" s="22" t="s">
        <v>179</v>
      </c>
      <c r="W70" s="22" t="s">
        <v>1067</v>
      </c>
      <c r="Z70" s="22" t="s">
        <v>1259</v>
      </c>
      <c r="AA70" s="23" t="s">
        <v>870</v>
      </c>
    </row>
    <row r="71" spans="1:27">
      <c r="A71" t="s">
        <v>212</v>
      </c>
      <c r="B71" t="s">
        <v>212</v>
      </c>
      <c r="C71" s="1" t="s">
        <v>211</v>
      </c>
      <c r="D71" t="s">
        <v>1171</v>
      </c>
      <c r="E71" t="s">
        <v>1260</v>
      </c>
      <c r="R71" s="18" t="s">
        <v>1261</v>
      </c>
      <c r="S71" s="18" t="s">
        <v>556</v>
      </c>
      <c r="V71" s="22" t="s">
        <v>85</v>
      </c>
      <c r="W71" s="22" t="s">
        <v>1067</v>
      </c>
      <c r="Z71" s="22" t="s">
        <v>1261</v>
      </c>
      <c r="AA71" s="23" t="s">
        <v>870</v>
      </c>
    </row>
    <row r="72" spans="1:27">
      <c r="A72" t="s">
        <v>214</v>
      </c>
      <c r="B72" t="s">
        <v>214</v>
      </c>
      <c r="C72" s="1" t="s">
        <v>213</v>
      </c>
      <c r="D72" t="s">
        <v>1175</v>
      </c>
      <c r="E72" t="s">
        <v>1262</v>
      </c>
      <c r="R72" s="18" t="s">
        <v>1263</v>
      </c>
      <c r="S72" s="18" t="s">
        <v>556</v>
      </c>
      <c r="V72" s="22" t="s">
        <v>181</v>
      </c>
      <c r="W72" s="22" t="s">
        <v>1067</v>
      </c>
      <c r="Z72" s="22" t="s">
        <v>1264</v>
      </c>
      <c r="AA72" s="23" t="s">
        <v>870</v>
      </c>
    </row>
    <row r="73" spans="1:27">
      <c r="A73" t="s">
        <v>215</v>
      </c>
      <c r="B73" t="s">
        <v>215</v>
      </c>
      <c r="C73" s="1" t="s">
        <v>27</v>
      </c>
      <c r="D73" t="s">
        <v>1181</v>
      </c>
      <c r="E73" t="s">
        <v>1265</v>
      </c>
      <c r="R73" s="18" t="s">
        <v>1110</v>
      </c>
      <c r="S73" s="18" t="s">
        <v>556</v>
      </c>
      <c r="V73" s="22" t="s">
        <v>238</v>
      </c>
      <c r="W73" s="22" t="s">
        <v>1067</v>
      </c>
      <c r="Z73" s="22" t="s">
        <v>1266</v>
      </c>
      <c r="AA73" s="23" t="s">
        <v>870</v>
      </c>
    </row>
    <row r="74" spans="1:27">
      <c r="A74" t="s">
        <v>217</v>
      </c>
      <c r="B74" t="s">
        <v>217</v>
      </c>
      <c r="C74" s="1" t="s">
        <v>216</v>
      </c>
      <c r="D74" t="s">
        <v>1267</v>
      </c>
      <c r="E74" t="s">
        <v>1268</v>
      </c>
      <c r="R74" s="18" t="s">
        <v>1269</v>
      </c>
      <c r="S74" s="18" t="s">
        <v>556</v>
      </c>
      <c r="V74" s="22" t="s">
        <v>103</v>
      </c>
      <c r="W74" s="22" t="s">
        <v>1043</v>
      </c>
      <c r="Z74" s="22" t="s">
        <v>1010</v>
      </c>
      <c r="AA74" s="22" t="s">
        <v>1213</v>
      </c>
    </row>
    <row r="75" spans="1:27">
      <c r="A75" t="s">
        <v>219</v>
      </c>
      <c r="B75" t="s">
        <v>219</v>
      </c>
      <c r="C75" s="1" t="s">
        <v>218</v>
      </c>
      <c r="D75" t="s">
        <v>1185</v>
      </c>
      <c r="E75" t="s">
        <v>1270</v>
      </c>
      <c r="R75" s="18" t="s">
        <v>1271</v>
      </c>
      <c r="S75" s="18" t="s">
        <v>556</v>
      </c>
      <c r="V75" s="22" t="s">
        <v>66</v>
      </c>
      <c r="W75" s="22" t="s">
        <v>986</v>
      </c>
      <c r="Z75" s="22" t="s">
        <v>1272</v>
      </c>
      <c r="AA75" s="23" t="s">
        <v>870</v>
      </c>
    </row>
    <row r="76" spans="1:27">
      <c r="A76" t="s">
        <v>221</v>
      </c>
      <c r="B76" t="s">
        <v>221</v>
      </c>
      <c r="C76" s="1" t="s">
        <v>220</v>
      </c>
      <c r="D76" t="s">
        <v>1191</v>
      </c>
      <c r="E76" t="s">
        <v>1273</v>
      </c>
      <c r="R76" s="18" t="s">
        <v>62</v>
      </c>
      <c r="S76" s="18" t="s">
        <v>556</v>
      </c>
      <c r="V76" s="22" t="s">
        <v>99</v>
      </c>
      <c r="W76" s="22" t="s">
        <v>1067</v>
      </c>
      <c r="Z76" s="22" t="s">
        <v>869</v>
      </c>
      <c r="AA76" s="22" t="s">
        <v>1274</v>
      </c>
    </row>
    <row r="77" spans="1:27">
      <c r="A77" t="s">
        <v>223</v>
      </c>
      <c r="B77" t="s">
        <v>223</v>
      </c>
      <c r="C77" t="s">
        <v>222</v>
      </c>
      <c r="D77" t="s">
        <v>28</v>
      </c>
      <c r="E77" t="s">
        <v>1275</v>
      </c>
      <c r="R77" s="18" t="s">
        <v>1276</v>
      </c>
      <c r="S77" s="18" t="s">
        <v>885</v>
      </c>
      <c r="V77" s="22" t="s">
        <v>232</v>
      </c>
      <c r="W77" s="22" t="s">
        <v>986</v>
      </c>
      <c r="Z77" s="22" t="s">
        <v>1162</v>
      </c>
      <c r="AA77" s="23" t="s">
        <v>870</v>
      </c>
    </row>
    <row r="78" spans="1:27">
      <c r="A78" t="s">
        <v>225</v>
      </c>
      <c r="B78" t="s">
        <v>225</v>
      </c>
      <c r="C78" t="s">
        <v>224</v>
      </c>
      <c r="D78" t="s">
        <v>1199</v>
      </c>
      <c r="E78" t="s">
        <v>1277</v>
      </c>
      <c r="R78" s="18" t="s">
        <v>1278</v>
      </c>
      <c r="S78" s="18" t="s">
        <v>556</v>
      </c>
      <c r="V78" s="22" t="s">
        <v>218</v>
      </c>
      <c r="W78" s="22" t="s">
        <v>975</v>
      </c>
      <c r="Z78" s="22" t="s">
        <v>1279</v>
      </c>
      <c r="AA78" s="23" t="s">
        <v>870</v>
      </c>
    </row>
    <row r="79" spans="1:27">
      <c r="A79" t="s">
        <v>227</v>
      </c>
      <c r="B79" t="s">
        <v>227</v>
      </c>
      <c r="C79" t="s">
        <v>226</v>
      </c>
      <c r="D79" t="s">
        <v>1280</v>
      </c>
      <c r="E79" t="s">
        <v>1281</v>
      </c>
      <c r="R79" s="18" t="s">
        <v>1167</v>
      </c>
      <c r="S79" s="18" t="s">
        <v>556</v>
      </c>
      <c r="V79" s="22" t="s">
        <v>43</v>
      </c>
      <c r="W79" s="22" t="s">
        <v>986</v>
      </c>
      <c r="Z79" s="22" t="s">
        <v>55</v>
      </c>
      <c r="AA79" s="22" t="s">
        <v>1213</v>
      </c>
    </row>
    <row r="80" spans="1:27">
      <c r="A80" t="s">
        <v>229</v>
      </c>
      <c r="B80" t="s">
        <v>229</v>
      </c>
      <c r="C80" t="s">
        <v>228</v>
      </c>
      <c r="D80" t="s">
        <v>1205</v>
      </c>
      <c r="E80" t="s">
        <v>1282</v>
      </c>
      <c r="R80" s="18" t="s">
        <v>941</v>
      </c>
      <c r="S80" s="18" t="s">
        <v>556</v>
      </c>
      <c r="V80" s="22" t="s">
        <v>124</v>
      </c>
      <c r="W80" s="22" t="s">
        <v>1043</v>
      </c>
      <c r="Z80" s="22" t="s">
        <v>1042</v>
      </c>
      <c r="AA80" s="23" t="s">
        <v>870</v>
      </c>
    </row>
    <row r="81" spans="1:27">
      <c r="A81" t="s">
        <v>231</v>
      </c>
      <c r="B81" t="s">
        <v>231</v>
      </c>
      <c r="C81" t="s">
        <v>230</v>
      </c>
      <c r="D81" t="s">
        <v>1209</v>
      </c>
      <c r="E81" t="s">
        <v>1283</v>
      </c>
      <c r="R81" s="18" t="s">
        <v>1284</v>
      </c>
      <c r="S81" s="18" t="s">
        <v>915</v>
      </c>
      <c r="V81" s="22" t="s">
        <v>197</v>
      </c>
      <c r="W81" s="22" t="s">
        <v>1043</v>
      </c>
      <c r="Z81" s="22" t="s">
        <v>1264</v>
      </c>
      <c r="AA81" s="22" t="s">
        <v>1158</v>
      </c>
    </row>
    <row r="82" spans="1:27">
      <c r="A82" t="s">
        <v>233</v>
      </c>
      <c r="B82" t="s">
        <v>233</v>
      </c>
      <c r="C82" t="s">
        <v>232</v>
      </c>
      <c r="D82" t="s">
        <v>1120</v>
      </c>
      <c r="E82" t="s">
        <v>1285</v>
      </c>
      <c r="R82" s="18" t="s">
        <v>1286</v>
      </c>
      <c r="S82" s="18" t="s">
        <v>915</v>
      </c>
      <c r="V82" s="22" t="s">
        <v>809</v>
      </c>
      <c r="W82" s="22" t="s">
        <v>213</v>
      </c>
      <c r="Z82" s="22" t="s">
        <v>1253</v>
      </c>
      <c r="AA82" s="22" t="s">
        <v>1158</v>
      </c>
    </row>
    <row r="83" spans="1:27">
      <c r="A83" t="s">
        <v>235</v>
      </c>
      <c r="B83" t="s">
        <v>235</v>
      </c>
      <c r="C83" t="s">
        <v>234</v>
      </c>
      <c r="D83" t="s">
        <v>1287</v>
      </c>
      <c r="E83" t="s">
        <v>1288</v>
      </c>
      <c r="R83" s="18" t="s">
        <v>1289</v>
      </c>
      <c r="S83" s="18" t="s">
        <v>915</v>
      </c>
      <c r="V83" s="22" t="s">
        <v>806</v>
      </c>
      <c r="W83" s="22" t="s">
        <v>1043</v>
      </c>
      <c r="Z83" s="22" t="s">
        <v>1258</v>
      </c>
      <c r="AA83" s="23" t="s">
        <v>870</v>
      </c>
    </row>
    <row r="84" spans="1:27">
      <c r="A84" t="s">
        <v>237</v>
      </c>
      <c r="B84" t="s">
        <v>237</v>
      </c>
      <c r="C84" t="s">
        <v>236</v>
      </c>
      <c r="D84" t="s">
        <v>1217</v>
      </c>
      <c r="E84" t="s">
        <v>1290</v>
      </c>
      <c r="R84" s="18" t="s">
        <v>1291</v>
      </c>
      <c r="S84" s="18" t="s">
        <v>885</v>
      </c>
      <c r="Z84" s="22" t="s">
        <v>37</v>
      </c>
      <c r="AA84" s="22" t="s">
        <v>1292</v>
      </c>
    </row>
    <row r="85" spans="1:27">
      <c r="A85" t="s">
        <v>239</v>
      </c>
      <c r="B85" t="s">
        <v>239</v>
      </c>
      <c r="C85" t="s">
        <v>238</v>
      </c>
      <c r="D85" t="s">
        <v>1293</v>
      </c>
      <c r="E85" t="s">
        <v>1294</v>
      </c>
      <c r="R85" s="18" t="s">
        <v>1192</v>
      </c>
      <c r="S85" s="18" t="s">
        <v>556</v>
      </c>
      <c r="Z85" s="22" t="s">
        <v>1295</v>
      </c>
      <c r="AA85" s="23" t="s">
        <v>870</v>
      </c>
    </row>
    <row r="86" spans="1:27">
      <c r="A86" t="s">
        <v>241</v>
      </c>
      <c r="B86" t="s">
        <v>241</v>
      </c>
      <c r="C86" t="s">
        <v>240</v>
      </c>
      <c r="D86" t="s">
        <v>1296</v>
      </c>
      <c r="E86" t="s">
        <v>1297</v>
      </c>
      <c r="R86" s="18" t="s">
        <v>1298</v>
      </c>
      <c r="S86" s="18" t="s">
        <v>556</v>
      </c>
      <c r="Z86" s="22" t="s">
        <v>893</v>
      </c>
      <c r="AA86" s="23" t="s">
        <v>870</v>
      </c>
    </row>
    <row r="87" spans="1:27">
      <c r="A87" t="s">
        <v>243</v>
      </c>
      <c r="B87" t="s">
        <v>243</v>
      </c>
      <c r="C87" t="s">
        <v>242</v>
      </c>
      <c r="D87" t="s">
        <v>1223</v>
      </c>
      <c r="E87" t="s">
        <v>1299</v>
      </c>
      <c r="R87" s="18" t="s">
        <v>1259</v>
      </c>
      <c r="S87" s="18" t="s">
        <v>915</v>
      </c>
      <c r="Z87" s="22" t="s">
        <v>976</v>
      </c>
      <c r="AA87" s="22" t="s">
        <v>1158</v>
      </c>
    </row>
    <row r="88" spans="1:27">
      <c r="D88" t="s">
        <v>914</v>
      </c>
      <c r="E88" t="s">
        <v>1300</v>
      </c>
      <c r="R88" s="18" t="s">
        <v>1301</v>
      </c>
      <c r="S88" s="18" t="s">
        <v>885</v>
      </c>
      <c r="Z88" s="22" t="s">
        <v>1302</v>
      </c>
      <c r="AA88" s="23" t="s">
        <v>870</v>
      </c>
    </row>
    <row r="89" spans="1:27">
      <c r="D89" t="s">
        <v>1231</v>
      </c>
      <c r="E89" t="s">
        <v>1303</v>
      </c>
      <c r="R89" s="18" t="s">
        <v>78</v>
      </c>
      <c r="S89" s="18" t="s">
        <v>556</v>
      </c>
      <c r="Z89" s="22" t="s">
        <v>1291</v>
      </c>
      <c r="AA89" s="23" t="s">
        <v>870</v>
      </c>
    </row>
    <row r="90" spans="1:27">
      <c r="D90" t="s">
        <v>929</v>
      </c>
      <c r="E90" t="s">
        <v>1304</v>
      </c>
      <c r="R90" s="18" t="s">
        <v>1305</v>
      </c>
      <c r="S90" s="18" t="s">
        <v>885</v>
      </c>
      <c r="Z90" s="22" t="s">
        <v>1271</v>
      </c>
      <c r="AA90" s="23" t="s">
        <v>870</v>
      </c>
    </row>
    <row r="91" spans="1:27">
      <c r="D91" t="s">
        <v>988</v>
      </c>
      <c r="E91" t="s">
        <v>1306</v>
      </c>
      <c r="R91" s="18" t="s">
        <v>1307</v>
      </c>
      <c r="S91" s="18" t="s">
        <v>885</v>
      </c>
      <c r="Z91" s="22" t="s">
        <v>1209</v>
      </c>
      <c r="AA91" s="23" t="s">
        <v>870</v>
      </c>
    </row>
    <row r="92" spans="1:27">
      <c r="D92" t="s">
        <v>1238</v>
      </c>
      <c r="E92" t="s">
        <v>1308</v>
      </c>
      <c r="R92" s="18" t="s">
        <v>1309</v>
      </c>
      <c r="S92" s="18" t="s">
        <v>885</v>
      </c>
      <c r="Z92" s="22" t="s">
        <v>1018</v>
      </c>
      <c r="AA92" s="23" t="s">
        <v>870</v>
      </c>
    </row>
    <row r="93" spans="1:27">
      <c r="D93" t="s">
        <v>1242</v>
      </c>
      <c r="E93" t="s">
        <v>1310</v>
      </c>
      <c r="R93" s="18" t="s">
        <v>1075</v>
      </c>
      <c r="S93" s="18" t="s">
        <v>885</v>
      </c>
      <c r="Z93" s="22" t="s">
        <v>1238</v>
      </c>
      <c r="AA93" s="23" t="s">
        <v>870</v>
      </c>
    </row>
    <row r="94" spans="1:27">
      <c r="D94" t="s">
        <v>37</v>
      </c>
      <c r="E94" t="s">
        <v>1311</v>
      </c>
      <c r="R94" s="18" t="s">
        <v>1312</v>
      </c>
      <c r="S94" s="18" t="s">
        <v>885</v>
      </c>
      <c r="Z94" s="22" t="s">
        <v>1313</v>
      </c>
      <c r="AA94" s="23" t="s">
        <v>870</v>
      </c>
    </row>
    <row r="95" spans="1:27">
      <c r="D95" t="s">
        <v>1176</v>
      </c>
      <c r="E95" t="s">
        <v>1314</v>
      </c>
      <c r="R95" s="18" t="s">
        <v>1249</v>
      </c>
      <c r="S95" s="18" t="s">
        <v>556</v>
      </c>
      <c r="Z95" s="22" t="s">
        <v>1120</v>
      </c>
      <c r="AA95" s="22" t="s">
        <v>1292</v>
      </c>
    </row>
    <row r="96" spans="1:27">
      <c r="D96" t="s">
        <v>67</v>
      </c>
      <c r="E96" t="s">
        <v>1315</v>
      </c>
      <c r="R96" s="18" t="s">
        <v>1272</v>
      </c>
      <c r="S96" s="18" t="s">
        <v>556</v>
      </c>
      <c r="Z96" s="22" t="s">
        <v>1305</v>
      </c>
      <c r="AA96" s="23" t="s">
        <v>870</v>
      </c>
    </row>
    <row r="97" spans="4:27">
      <c r="D97" t="s">
        <v>1251</v>
      </c>
      <c r="E97" t="s">
        <v>1316</v>
      </c>
      <c r="R97" s="18" t="s">
        <v>1163</v>
      </c>
      <c r="S97" s="18" t="s">
        <v>556</v>
      </c>
      <c r="Z97" s="22" t="s">
        <v>1109</v>
      </c>
      <c r="AA97" s="23" t="s">
        <v>870</v>
      </c>
    </row>
    <row r="98" spans="4:27">
      <c r="D98" t="s">
        <v>1239</v>
      </c>
      <c r="E98" t="s">
        <v>1317</v>
      </c>
      <c r="R98" s="18" t="s">
        <v>1318</v>
      </c>
      <c r="S98" s="18" t="s">
        <v>556</v>
      </c>
      <c r="Z98" s="22" t="s">
        <v>1312</v>
      </c>
      <c r="AA98" s="23" t="s">
        <v>870</v>
      </c>
    </row>
    <row r="99" spans="4:27">
      <c r="D99" t="s">
        <v>1253</v>
      </c>
      <c r="E99" t="s">
        <v>1319</v>
      </c>
      <c r="R99" s="18" t="s">
        <v>1313</v>
      </c>
      <c r="S99" s="18" t="s">
        <v>556</v>
      </c>
      <c r="Z99" s="22" t="s">
        <v>1320</v>
      </c>
      <c r="AA99" s="23" t="s">
        <v>870</v>
      </c>
    </row>
    <row r="100" spans="4:27">
      <c r="D100" t="s">
        <v>1255</v>
      </c>
      <c r="E100" t="s">
        <v>1321</v>
      </c>
      <c r="R100" s="18" t="s">
        <v>1322</v>
      </c>
      <c r="S100" s="18" t="s">
        <v>556</v>
      </c>
      <c r="Z100" s="22" t="s">
        <v>910</v>
      </c>
      <c r="AA100" s="23" t="s">
        <v>870</v>
      </c>
    </row>
    <row r="101" spans="4:27">
      <c r="D101" t="s">
        <v>1323</v>
      </c>
      <c r="E101" t="s">
        <v>1324</v>
      </c>
      <c r="R101" s="18" t="s">
        <v>1239</v>
      </c>
      <c r="S101" s="18" t="s">
        <v>885</v>
      </c>
      <c r="Z101" s="22" t="s">
        <v>1218</v>
      </c>
      <c r="AA101" s="23" t="s">
        <v>870</v>
      </c>
    </row>
    <row r="102" spans="4:27">
      <c r="D102" t="s">
        <v>1325</v>
      </c>
      <c r="E102" t="s">
        <v>1326</v>
      </c>
      <c r="R102" s="18" t="s">
        <v>1327</v>
      </c>
      <c r="S102" s="18" t="s">
        <v>885</v>
      </c>
      <c r="Z102" s="22" t="s">
        <v>1042</v>
      </c>
      <c r="AA102" s="22" t="s">
        <v>1274</v>
      </c>
    </row>
    <row r="103" spans="4:27">
      <c r="D103" t="s">
        <v>1328</v>
      </c>
      <c r="E103" t="s">
        <v>1329</v>
      </c>
      <c r="R103" s="18" t="s">
        <v>884</v>
      </c>
      <c r="S103" s="18" t="s">
        <v>885</v>
      </c>
      <c r="Z103" s="22" t="s">
        <v>1126</v>
      </c>
      <c r="AA103" s="22" t="s">
        <v>1274</v>
      </c>
    </row>
    <row r="104" spans="4:27">
      <c r="D104" t="s">
        <v>1330</v>
      </c>
      <c r="E104" t="s">
        <v>1331</v>
      </c>
      <c r="R104" s="18" t="s">
        <v>1218</v>
      </c>
      <c r="S104" s="18" t="s">
        <v>885</v>
      </c>
      <c r="Z104" s="22" t="s">
        <v>1232</v>
      </c>
      <c r="AA104" s="22" t="s">
        <v>1292</v>
      </c>
    </row>
    <row r="105" spans="4:27">
      <c r="D105" t="s">
        <v>1332</v>
      </c>
      <c r="E105" t="s">
        <v>1333</v>
      </c>
      <c r="R105" s="18" t="s">
        <v>55</v>
      </c>
      <c r="S105" s="18" t="s">
        <v>885</v>
      </c>
      <c r="Z105" s="22" t="s">
        <v>1080</v>
      </c>
      <c r="AA105" s="23" t="s">
        <v>870</v>
      </c>
    </row>
    <row r="106" spans="4:27">
      <c r="D106" t="s">
        <v>1334</v>
      </c>
      <c r="E106" t="s">
        <v>1335</v>
      </c>
      <c r="R106" s="18" t="s">
        <v>1336</v>
      </c>
      <c r="S106" s="18" t="s">
        <v>885</v>
      </c>
      <c r="Z106" s="22" t="s">
        <v>1337</v>
      </c>
      <c r="AA106" s="22" t="s">
        <v>1158</v>
      </c>
    </row>
    <row r="107" spans="4:27">
      <c r="D107" t="s">
        <v>1338</v>
      </c>
      <c r="E107" t="s">
        <v>1339</v>
      </c>
      <c r="R107" s="18" t="s">
        <v>1010</v>
      </c>
      <c r="S107" s="18" t="s">
        <v>885</v>
      </c>
      <c r="Z107" s="22" t="s">
        <v>1340</v>
      </c>
      <c r="AA107" s="23" t="s">
        <v>870</v>
      </c>
    </row>
    <row r="108" spans="4:27">
      <c r="D108" t="s">
        <v>1341</v>
      </c>
      <c r="E108" t="s">
        <v>1342</v>
      </c>
      <c r="R108" s="18" t="s">
        <v>1266</v>
      </c>
      <c r="S108" s="18" t="s">
        <v>885</v>
      </c>
      <c r="Z108" s="22" t="s">
        <v>1343</v>
      </c>
      <c r="AA108" s="23" t="s">
        <v>870</v>
      </c>
    </row>
    <row r="109" spans="4:27">
      <c r="D109" t="s">
        <v>1228</v>
      </c>
      <c r="E109" t="s">
        <v>1344</v>
      </c>
      <c r="R109" s="18" t="s">
        <v>1302</v>
      </c>
      <c r="S109" s="18" t="s">
        <v>885</v>
      </c>
      <c r="Z109" s="22" t="s">
        <v>1345</v>
      </c>
      <c r="AA109" s="23" t="s">
        <v>870</v>
      </c>
    </row>
    <row r="110" spans="4:27">
      <c r="D110" t="s">
        <v>1258</v>
      </c>
      <c r="E110" t="s">
        <v>1346</v>
      </c>
      <c r="R110" s="18" t="s">
        <v>1232</v>
      </c>
      <c r="S110" s="18" t="s">
        <v>885</v>
      </c>
      <c r="Z110" s="22" t="s">
        <v>1228</v>
      </c>
      <c r="AA110" s="22" t="s">
        <v>1158</v>
      </c>
    </row>
    <row r="111" spans="4:27">
      <c r="D111" t="s">
        <v>1261</v>
      </c>
      <c r="E111" t="s">
        <v>1347</v>
      </c>
      <c r="R111" s="18" t="s">
        <v>645</v>
      </c>
      <c r="S111" s="18" t="s">
        <v>556</v>
      </c>
      <c r="Z111" s="22" t="s">
        <v>1238</v>
      </c>
      <c r="AA111" s="22" t="s">
        <v>1213</v>
      </c>
    </row>
    <row r="112" spans="4:27">
      <c r="D112" t="s">
        <v>1263</v>
      </c>
      <c r="E112" t="s">
        <v>1348</v>
      </c>
      <c r="R112" s="18" t="s">
        <v>1349</v>
      </c>
      <c r="S112" s="18" t="s">
        <v>556</v>
      </c>
      <c r="Z112" s="22" t="s">
        <v>1109</v>
      </c>
      <c r="AA112" s="22" t="s">
        <v>1158</v>
      </c>
    </row>
    <row r="113" spans="4:27">
      <c r="D113" t="s">
        <v>1110</v>
      </c>
      <c r="E113" t="s">
        <v>1350</v>
      </c>
      <c r="R113" s="18" t="s">
        <v>1351</v>
      </c>
      <c r="S113" s="18" t="s">
        <v>885</v>
      </c>
      <c r="Z113" s="22" t="s">
        <v>1305</v>
      </c>
      <c r="AA113" s="22" t="s">
        <v>1213</v>
      </c>
    </row>
    <row r="114" spans="4:27">
      <c r="D114" t="s">
        <v>1269</v>
      </c>
      <c r="E114" t="s">
        <v>1352</v>
      </c>
      <c r="R114" s="18" t="s">
        <v>1353</v>
      </c>
      <c r="S114" s="18" t="s">
        <v>556</v>
      </c>
      <c r="Z114" s="22" t="s">
        <v>1284</v>
      </c>
      <c r="AA114" s="23" t="s">
        <v>870</v>
      </c>
    </row>
    <row r="115" spans="4:27">
      <c r="D115" t="s">
        <v>1354</v>
      </c>
      <c r="E115" t="s">
        <v>1355</v>
      </c>
      <c r="R115" s="18" t="s">
        <v>1356</v>
      </c>
      <c r="S115" s="18" t="s">
        <v>556</v>
      </c>
      <c r="Z115" s="22" t="s">
        <v>1171</v>
      </c>
      <c r="AA115" s="23" t="s">
        <v>870</v>
      </c>
    </row>
    <row r="116" spans="4:27">
      <c r="D116" t="s">
        <v>1357</v>
      </c>
      <c r="E116" t="s">
        <v>1358</v>
      </c>
      <c r="R116" s="18" t="s">
        <v>899</v>
      </c>
      <c r="S116" s="18" t="s">
        <v>899</v>
      </c>
      <c r="Z116" s="22" t="s">
        <v>1278</v>
      </c>
      <c r="AA116" s="23" t="s">
        <v>870</v>
      </c>
    </row>
    <row r="117" spans="4:27">
      <c r="D117" t="s">
        <v>1271</v>
      </c>
      <c r="E117" t="s">
        <v>1359</v>
      </c>
      <c r="R117" s="18" t="s">
        <v>1345</v>
      </c>
      <c r="S117" s="18" t="s">
        <v>915</v>
      </c>
      <c r="Z117" s="22" t="s">
        <v>1205</v>
      </c>
      <c r="AA117" s="23" t="s">
        <v>870</v>
      </c>
    </row>
    <row r="118" spans="4:27">
      <c r="D118" t="s">
        <v>1360</v>
      </c>
      <c r="E118" t="s">
        <v>1361</v>
      </c>
      <c r="R118" s="18" t="s">
        <v>1320</v>
      </c>
      <c r="S118" s="18" t="s">
        <v>885</v>
      </c>
      <c r="Z118" s="22" t="s">
        <v>999</v>
      </c>
      <c r="AA118" s="22" t="s">
        <v>1213</v>
      </c>
    </row>
    <row r="119" spans="4:27">
      <c r="D119" t="s">
        <v>1362</v>
      </c>
      <c r="E119" t="s">
        <v>1363</v>
      </c>
      <c r="R119" s="18" t="s">
        <v>1343</v>
      </c>
      <c r="S119" s="18" t="s">
        <v>556</v>
      </c>
      <c r="Z119" s="22" t="s">
        <v>1210</v>
      </c>
      <c r="AA119" s="22" t="s">
        <v>1158</v>
      </c>
    </row>
    <row r="120" spans="4:27">
      <c r="D120" t="s">
        <v>62</v>
      </c>
      <c r="E120" t="s">
        <v>1364</v>
      </c>
      <c r="R120" s="18" t="s">
        <v>1052</v>
      </c>
      <c r="S120" s="18" t="s">
        <v>915</v>
      </c>
      <c r="Z120" s="22" t="s">
        <v>1351</v>
      </c>
      <c r="AA120" s="22" t="s">
        <v>1213</v>
      </c>
    </row>
    <row r="121" spans="4:27">
      <c r="D121" t="s">
        <v>1365</v>
      </c>
      <c r="E121" t="s">
        <v>1366</v>
      </c>
      <c r="R121" s="18" t="s">
        <v>1157</v>
      </c>
      <c r="S121" s="18" t="s">
        <v>885</v>
      </c>
      <c r="Z121" s="22" t="s">
        <v>1131</v>
      </c>
      <c r="AA121" s="23" t="s">
        <v>870</v>
      </c>
    </row>
    <row r="122" spans="4:27">
      <c r="D122" t="s">
        <v>1367</v>
      </c>
      <c r="E122" t="s">
        <v>1368</v>
      </c>
      <c r="R122" s="18" t="s">
        <v>1035</v>
      </c>
      <c r="S122" s="18" t="s">
        <v>556</v>
      </c>
      <c r="Z122" s="22" t="s">
        <v>998</v>
      </c>
      <c r="AA122" s="23" t="s">
        <v>870</v>
      </c>
    </row>
    <row r="123" spans="4:27">
      <c r="D123" t="s">
        <v>1369</v>
      </c>
      <c r="E123" t="s">
        <v>1370</v>
      </c>
      <c r="R123" s="18" t="s">
        <v>1200</v>
      </c>
      <c r="S123" s="18" t="s">
        <v>556</v>
      </c>
      <c r="Z123" s="22" t="s">
        <v>1322</v>
      </c>
      <c r="AA123" s="23" t="s">
        <v>870</v>
      </c>
    </row>
    <row r="124" spans="4:27">
      <c r="D124" t="s">
        <v>1278</v>
      </c>
      <c r="E124" t="s">
        <v>1371</v>
      </c>
      <c r="R124" s="18" t="s">
        <v>1027</v>
      </c>
      <c r="S124" s="18" t="s">
        <v>556</v>
      </c>
      <c r="Z124" s="22" t="s">
        <v>1086</v>
      </c>
      <c r="AA124" s="23" t="s">
        <v>870</v>
      </c>
    </row>
    <row r="125" spans="4:27">
      <c r="D125" t="s">
        <v>1167</v>
      </c>
      <c r="E125" t="s">
        <v>1372</v>
      </c>
      <c r="R125" s="18" t="s">
        <v>1186</v>
      </c>
      <c r="S125" s="18" t="s">
        <v>556</v>
      </c>
      <c r="Z125" s="22" t="s">
        <v>910</v>
      </c>
      <c r="AA125" s="22" t="s">
        <v>1292</v>
      </c>
    </row>
    <row r="126" spans="4:27">
      <c r="D126" t="s">
        <v>1373</v>
      </c>
      <c r="E126" t="s">
        <v>1374</v>
      </c>
      <c r="R126" s="18" t="s">
        <v>1196</v>
      </c>
      <c r="S126" s="18" t="s">
        <v>556</v>
      </c>
      <c r="Z126" s="22" t="s">
        <v>1375</v>
      </c>
      <c r="AA126" s="23" t="s">
        <v>870</v>
      </c>
    </row>
    <row r="127" spans="4:27">
      <c r="D127" t="s">
        <v>1327</v>
      </c>
      <c r="E127" t="s">
        <v>1376</v>
      </c>
      <c r="R127" s="18" t="s">
        <v>1377</v>
      </c>
      <c r="S127" s="18" t="s">
        <v>556</v>
      </c>
      <c r="Z127" s="22" t="s">
        <v>1075</v>
      </c>
      <c r="AA127" s="22" t="s">
        <v>1292</v>
      </c>
    </row>
    <row r="128" spans="4:27">
      <c r="D128" t="s">
        <v>941</v>
      </c>
      <c r="E128" t="s">
        <v>1378</v>
      </c>
      <c r="R128" s="18" t="s">
        <v>1151</v>
      </c>
      <c r="S128" s="18" t="s">
        <v>556</v>
      </c>
      <c r="Z128" s="22" t="s">
        <v>1266</v>
      </c>
      <c r="AA128" s="22" t="s">
        <v>1213</v>
      </c>
    </row>
    <row r="129" spans="4:27">
      <c r="D129" t="s">
        <v>1379</v>
      </c>
      <c r="E129" t="s">
        <v>1380</v>
      </c>
      <c r="R129" s="18" t="s">
        <v>1340</v>
      </c>
      <c r="S129" s="18" t="s">
        <v>556</v>
      </c>
      <c r="Z129" s="22" t="s">
        <v>1100</v>
      </c>
      <c r="AA129" s="22" t="s">
        <v>1292</v>
      </c>
    </row>
    <row r="130" spans="4:27">
      <c r="D130" t="s">
        <v>1284</v>
      </c>
      <c r="E130" t="s">
        <v>1381</v>
      </c>
      <c r="R130" s="18" t="s">
        <v>1245</v>
      </c>
      <c r="S130" s="18" t="s">
        <v>915</v>
      </c>
      <c r="Z130" s="22" t="s">
        <v>1052</v>
      </c>
      <c r="AA130" s="23" t="s">
        <v>870</v>
      </c>
    </row>
    <row r="131" spans="4:27">
      <c r="D131" t="s">
        <v>1286</v>
      </c>
      <c r="E131" t="s">
        <v>1382</v>
      </c>
      <c r="R131" s="18" t="s">
        <v>1383</v>
      </c>
      <c r="S131" s="18" t="s">
        <v>899</v>
      </c>
      <c r="Z131" s="22" t="s">
        <v>936</v>
      </c>
      <c r="AA131" s="23" t="s">
        <v>870</v>
      </c>
    </row>
    <row r="132" spans="4:27">
      <c r="D132" t="s">
        <v>1289</v>
      </c>
      <c r="E132" t="s">
        <v>1384</v>
      </c>
      <c r="R132" s="18" t="s">
        <v>869</v>
      </c>
      <c r="S132" s="18" t="s">
        <v>885</v>
      </c>
      <c r="Z132" s="22" t="s">
        <v>1143</v>
      </c>
      <c r="AA132" s="23" t="s">
        <v>870</v>
      </c>
    </row>
    <row r="133" spans="4:27">
      <c r="D133" t="s">
        <v>1291</v>
      </c>
      <c r="E133" t="s">
        <v>1385</v>
      </c>
      <c r="R133" s="18" t="s">
        <v>1386</v>
      </c>
      <c r="S133" s="18" t="s">
        <v>556</v>
      </c>
      <c r="Z133" s="22" t="s">
        <v>914</v>
      </c>
      <c r="AA133" s="22" t="s">
        <v>1292</v>
      </c>
    </row>
    <row r="134" spans="4:27">
      <c r="D134" t="s">
        <v>1192</v>
      </c>
      <c r="E134" t="s">
        <v>1387</v>
      </c>
      <c r="R134" s="18" t="s">
        <v>1388</v>
      </c>
      <c r="S134" s="18" t="s">
        <v>885</v>
      </c>
      <c r="Z134" s="22" t="s">
        <v>1375</v>
      </c>
      <c r="AA134" s="22" t="s">
        <v>1292</v>
      </c>
    </row>
    <row r="135" spans="4:27">
      <c r="D135" t="s">
        <v>1298</v>
      </c>
      <c r="E135" t="s">
        <v>1389</v>
      </c>
      <c r="R135" s="18" t="s">
        <v>1060</v>
      </c>
      <c r="S135" s="18" t="s">
        <v>556</v>
      </c>
      <c r="Z135" s="22" t="s">
        <v>987</v>
      </c>
      <c r="AA135" s="22" t="s">
        <v>1158</v>
      </c>
    </row>
    <row r="136" spans="4:27">
      <c r="D136" t="s">
        <v>1259</v>
      </c>
      <c r="E136" t="s">
        <v>1390</v>
      </c>
      <c r="R136" s="18" t="s">
        <v>1391</v>
      </c>
      <c r="S136" s="18" t="s">
        <v>885</v>
      </c>
      <c r="Z136" s="22" t="s">
        <v>985</v>
      </c>
      <c r="AA136" s="23" t="s">
        <v>870</v>
      </c>
    </row>
    <row r="137" spans="4:27">
      <c r="D137" t="s">
        <v>1301</v>
      </c>
      <c r="E137" t="s">
        <v>1392</v>
      </c>
      <c r="R137" s="18" t="s">
        <v>1004</v>
      </c>
      <c r="S137" s="18" t="s">
        <v>915</v>
      </c>
      <c r="Z137" s="22" t="s">
        <v>1026</v>
      </c>
      <c r="AA137" s="23" t="s">
        <v>870</v>
      </c>
    </row>
    <row r="138" spans="4:27">
      <c r="D138" t="s">
        <v>78</v>
      </c>
      <c r="E138" t="s">
        <v>1393</v>
      </c>
      <c r="R138" s="18" t="s">
        <v>1394</v>
      </c>
      <c r="S138" s="18" t="s">
        <v>915</v>
      </c>
      <c r="Z138" s="22" t="s">
        <v>929</v>
      </c>
      <c r="AA138" s="22" t="s">
        <v>1292</v>
      </c>
    </row>
    <row r="139" spans="4:27">
      <c r="D139" t="s">
        <v>1305</v>
      </c>
      <c r="E139" t="s">
        <v>1395</v>
      </c>
      <c r="R139" s="18" t="s">
        <v>1023</v>
      </c>
      <c r="S139" s="18" t="s">
        <v>915</v>
      </c>
      <c r="Z139" s="22" t="s">
        <v>1286</v>
      </c>
      <c r="AA139" s="23" t="s">
        <v>870</v>
      </c>
    </row>
    <row r="140" spans="4:27">
      <c r="D140" t="s">
        <v>1307</v>
      </c>
      <c r="E140" t="s">
        <v>1396</v>
      </c>
      <c r="R140" s="18" t="s">
        <v>1031</v>
      </c>
      <c r="S140" s="18" t="s">
        <v>915</v>
      </c>
      <c r="Z140" s="22" t="s">
        <v>1291</v>
      </c>
      <c r="AA140" s="22" t="s">
        <v>1158</v>
      </c>
    </row>
    <row r="141" spans="4:27">
      <c r="D141" t="s">
        <v>1309</v>
      </c>
      <c r="E141" t="s">
        <v>1397</v>
      </c>
      <c r="R141" s="18" t="s">
        <v>898</v>
      </c>
      <c r="S141" s="18" t="s">
        <v>915</v>
      </c>
      <c r="Z141" s="22" t="s">
        <v>1051</v>
      </c>
      <c r="AA141" s="22" t="s">
        <v>1158</v>
      </c>
    </row>
    <row r="142" spans="4:27">
      <c r="D142" t="s">
        <v>1276</v>
      </c>
      <c r="E142" t="s">
        <v>1398</v>
      </c>
      <c r="R142" s="18" t="s">
        <v>1048</v>
      </c>
      <c r="S142" s="18" t="s">
        <v>915</v>
      </c>
      <c r="Z142" s="22" t="s">
        <v>1199</v>
      </c>
      <c r="AA142" s="23" t="s">
        <v>870</v>
      </c>
    </row>
    <row r="143" spans="4:27">
      <c r="D143" t="s">
        <v>1075</v>
      </c>
      <c r="E143" t="s">
        <v>1399</v>
      </c>
      <c r="R143" s="18" t="s">
        <v>1400</v>
      </c>
      <c r="S143" s="18" t="s">
        <v>915</v>
      </c>
      <c r="Z143" s="22" t="s">
        <v>1312</v>
      </c>
      <c r="AA143" s="22" t="s">
        <v>1292</v>
      </c>
    </row>
    <row r="144" spans="4:27">
      <c r="D144" t="s">
        <v>1312</v>
      </c>
      <c r="E144" t="s">
        <v>1401</v>
      </c>
      <c r="R144" s="18" t="s">
        <v>976</v>
      </c>
      <c r="S144" s="18" t="s">
        <v>885</v>
      </c>
      <c r="Z144" s="22" t="s">
        <v>1320</v>
      </c>
      <c r="AA144" s="22" t="s">
        <v>1213</v>
      </c>
    </row>
    <row r="145" spans="4:27">
      <c r="D145" t="s">
        <v>884</v>
      </c>
      <c r="E145" t="s">
        <v>1402</v>
      </c>
      <c r="R145" s="18" t="s">
        <v>1210</v>
      </c>
      <c r="S145" s="18" t="s">
        <v>885</v>
      </c>
      <c r="Z145" s="22" t="s">
        <v>1034</v>
      </c>
      <c r="AA145" s="23" t="s">
        <v>870</v>
      </c>
    </row>
    <row r="146" spans="4:27">
      <c r="D146" t="s">
        <v>1249</v>
      </c>
      <c r="E146" t="s">
        <v>1403</v>
      </c>
      <c r="R146" s="18" t="s">
        <v>1264</v>
      </c>
      <c r="S146" s="18" t="s">
        <v>885</v>
      </c>
      <c r="Z146" s="22" t="s">
        <v>1091</v>
      </c>
      <c r="AA146" s="23" t="s">
        <v>870</v>
      </c>
    </row>
    <row r="147" spans="4:27">
      <c r="D147" t="s">
        <v>1272</v>
      </c>
      <c r="E147" t="s">
        <v>1404</v>
      </c>
      <c r="R147" s="18" t="s">
        <v>987</v>
      </c>
      <c r="S147" s="18" t="s">
        <v>885</v>
      </c>
      <c r="Z147" s="22" t="s">
        <v>1223</v>
      </c>
      <c r="AA147" s="23" t="s">
        <v>870</v>
      </c>
    </row>
    <row r="148" spans="4:27">
      <c r="D148" t="s">
        <v>1163</v>
      </c>
      <c r="E148" t="s">
        <v>1405</v>
      </c>
      <c r="R148" s="18" t="s">
        <v>1406</v>
      </c>
      <c r="S148" s="18" t="s">
        <v>556</v>
      </c>
      <c r="Z148" s="22" t="s">
        <v>1231</v>
      </c>
      <c r="AA148" s="22" t="s">
        <v>1292</v>
      </c>
    </row>
    <row r="149" spans="4:27">
      <c r="D149" t="s">
        <v>1318</v>
      </c>
      <c r="E149" t="s">
        <v>1407</v>
      </c>
      <c r="R149" s="18" t="s">
        <v>1337</v>
      </c>
      <c r="S149" s="18" t="s">
        <v>885</v>
      </c>
      <c r="Z149" s="22" t="s">
        <v>949</v>
      </c>
      <c r="AA149" s="23" t="s">
        <v>870</v>
      </c>
    </row>
    <row r="150" spans="4:27">
      <c r="D150" t="s">
        <v>1313</v>
      </c>
      <c r="E150" t="s">
        <v>1408</v>
      </c>
      <c r="R150" s="18" t="s">
        <v>1409</v>
      </c>
      <c r="S150" s="18" t="s">
        <v>915</v>
      </c>
      <c r="Z150" s="22" t="s">
        <v>1409</v>
      </c>
      <c r="AA150" s="23" t="s">
        <v>870</v>
      </c>
    </row>
    <row r="151" spans="4:27">
      <c r="D151" t="s">
        <v>1322</v>
      </c>
      <c r="E151" t="s">
        <v>1410</v>
      </c>
      <c r="R151" s="18" t="s">
        <v>1153</v>
      </c>
      <c r="S151" s="18" t="s">
        <v>556</v>
      </c>
      <c r="Z151" s="22" t="s">
        <v>28</v>
      </c>
      <c r="AA151" s="23" t="s">
        <v>870</v>
      </c>
    </row>
    <row r="152" spans="4:27">
      <c r="D152" t="s">
        <v>1411</v>
      </c>
      <c r="E152" t="s">
        <v>1412</v>
      </c>
      <c r="R152" s="19" t="s">
        <v>1413</v>
      </c>
      <c r="S152" s="19" t="s">
        <v>556</v>
      </c>
      <c r="Z152" s="22" t="s">
        <v>1328</v>
      </c>
      <c r="AA152" s="23" t="s">
        <v>870</v>
      </c>
    </row>
    <row r="153" spans="4:27">
      <c r="D153" t="s">
        <v>1414</v>
      </c>
      <c r="E153" t="s">
        <v>1415</v>
      </c>
      <c r="R153" s="18" t="s">
        <v>1070</v>
      </c>
      <c r="S153" s="18" t="s">
        <v>885</v>
      </c>
      <c r="Z153" s="22" t="s">
        <v>1416</v>
      </c>
      <c r="AA153" s="23" t="s">
        <v>870</v>
      </c>
    </row>
    <row r="154" spans="4:27">
      <c r="D154" t="s">
        <v>55</v>
      </c>
      <c r="E154" t="s">
        <v>1417</v>
      </c>
      <c r="R154" s="18" t="s">
        <v>1328</v>
      </c>
      <c r="S154" s="18" t="s">
        <v>930</v>
      </c>
      <c r="Z154" s="22" t="s">
        <v>1153</v>
      </c>
      <c r="AA154" s="23" t="s">
        <v>870</v>
      </c>
    </row>
    <row r="155" spans="4:27">
      <c r="D155" t="s">
        <v>1336</v>
      </c>
      <c r="E155" t="s">
        <v>1418</v>
      </c>
      <c r="R155" s="18" t="s">
        <v>1325</v>
      </c>
      <c r="S155" s="18" t="s">
        <v>930</v>
      </c>
      <c r="Z155" s="22" t="s">
        <v>1419</v>
      </c>
      <c r="AA155" s="23" t="s">
        <v>870</v>
      </c>
    </row>
    <row r="156" spans="4:27">
      <c r="D156" t="s">
        <v>1010</v>
      </c>
      <c r="E156" t="s">
        <v>1420</v>
      </c>
      <c r="R156" s="18" t="s">
        <v>980</v>
      </c>
      <c r="S156" s="18" t="s">
        <v>556</v>
      </c>
      <c r="Z156" s="22" t="s">
        <v>1139</v>
      </c>
      <c r="AA156" s="23" t="s">
        <v>870</v>
      </c>
    </row>
    <row r="157" spans="4:27">
      <c r="D157" t="s">
        <v>1421</v>
      </c>
      <c r="E157" t="s">
        <v>1422</v>
      </c>
      <c r="R157" s="18" t="s">
        <v>1423</v>
      </c>
      <c r="S157" s="18" t="s">
        <v>885</v>
      </c>
      <c r="Z157" s="22" t="s">
        <v>1239</v>
      </c>
      <c r="AA157" s="22" t="s">
        <v>1213</v>
      </c>
    </row>
    <row r="158" spans="4:27">
      <c r="D158" t="s">
        <v>1266</v>
      </c>
      <c r="E158" t="s">
        <v>1424</v>
      </c>
      <c r="R158" s="18" t="s">
        <v>1182</v>
      </c>
      <c r="S158" s="18" t="s">
        <v>942</v>
      </c>
      <c r="Z158" s="22" t="s">
        <v>1127</v>
      </c>
      <c r="AA158" s="22" t="s">
        <v>1213</v>
      </c>
    </row>
    <row r="159" spans="4:27">
      <c r="D159" t="s">
        <v>1232</v>
      </c>
      <c r="E159" t="s">
        <v>1425</v>
      </c>
      <c r="R159" s="18" t="s">
        <v>1379</v>
      </c>
      <c r="S159" s="18" t="s">
        <v>942</v>
      </c>
      <c r="Z159" s="22" t="s">
        <v>1383</v>
      </c>
      <c r="AA159" s="23" t="s">
        <v>870</v>
      </c>
    </row>
    <row r="160" spans="4:27">
      <c r="D160" t="s">
        <v>1416</v>
      </c>
      <c r="E160" t="s">
        <v>1426</v>
      </c>
      <c r="R160" s="18" t="s">
        <v>1134</v>
      </c>
      <c r="S160" s="18" t="s">
        <v>556</v>
      </c>
      <c r="Z160" s="22" t="s">
        <v>1074</v>
      </c>
      <c r="AA160" s="22" t="s">
        <v>1213</v>
      </c>
    </row>
    <row r="161" spans="4:27">
      <c r="D161" t="s">
        <v>1423</v>
      </c>
      <c r="E161" t="s">
        <v>1427</v>
      </c>
      <c r="R161" s="18" t="s">
        <v>1267</v>
      </c>
      <c r="S161" s="18" t="s">
        <v>915</v>
      </c>
      <c r="Z161" s="22" t="s">
        <v>1354</v>
      </c>
      <c r="AA161" s="23" t="s">
        <v>870</v>
      </c>
    </row>
    <row r="162" spans="4:27">
      <c r="D162" t="s">
        <v>1419</v>
      </c>
      <c r="E162" t="s">
        <v>1428</v>
      </c>
      <c r="R162" s="18" t="s">
        <v>1416</v>
      </c>
      <c r="S162" s="18" t="s">
        <v>885</v>
      </c>
      <c r="Z162" s="22" t="s">
        <v>1391</v>
      </c>
      <c r="AA162" s="22" t="s">
        <v>1292</v>
      </c>
    </row>
    <row r="163" spans="4:27">
      <c r="D163" t="s">
        <v>1429</v>
      </c>
      <c r="E163" t="s">
        <v>1430</v>
      </c>
      <c r="R163" s="18" t="s">
        <v>1431</v>
      </c>
      <c r="S163" s="18" t="s">
        <v>556</v>
      </c>
      <c r="Z163" s="22" t="s">
        <v>1325</v>
      </c>
      <c r="AA163" s="23" t="s">
        <v>870</v>
      </c>
    </row>
    <row r="164" spans="4:27">
      <c r="D164" t="s">
        <v>645</v>
      </c>
      <c r="E164" t="s">
        <v>1432</v>
      </c>
      <c r="R164" s="18" t="s">
        <v>1330</v>
      </c>
      <c r="S164" s="18" t="s">
        <v>930</v>
      </c>
      <c r="Z164" s="22" t="s">
        <v>1332</v>
      </c>
      <c r="AA164" s="23" t="s">
        <v>870</v>
      </c>
    </row>
    <row r="165" spans="4:27">
      <c r="D165" t="s">
        <v>1349</v>
      </c>
      <c r="E165" t="s">
        <v>1433</v>
      </c>
      <c r="R165" s="18" t="s">
        <v>1341</v>
      </c>
      <c r="S165" s="18" t="s">
        <v>930</v>
      </c>
      <c r="Z165" s="22" t="s">
        <v>1070</v>
      </c>
      <c r="AA165" s="22" t="s">
        <v>1213</v>
      </c>
    </row>
    <row r="166" spans="4:27">
      <c r="D166" t="s">
        <v>1218</v>
      </c>
      <c r="E166" t="s">
        <v>1434</v>
      </c>
      <c r="R166" s="18" t="s">
        <v>1332</v>
      </c>
      <c r="S166" s="18" t="s">
        <v>930</v>
      </c>
      <c r="Z166" s="22" t="s">
        <v>645</v>
      </c>
      <c r="AA166" s="23" t="s">
        <v>870</v>
      </c>
    </row>
    <row r="167" spans="4:27">
      <c r="D167" t="s">
        <v>1351</v>
      </c>
      <c r="E167" t="s">
        <v>1435</v>
      </c>
      <c r="R167" s="18" t="s">
        <v>1357</v>
      </c>
      <c r="S167" s="18" t="s">
        <v>885</v>
      </c>
      <c r="Z167" s="22" t="s">
        <v>1413</v>
      </c>
      <c r="AA167" s="23" t="s">
        <v>870</v>
      </c>
    </row>
    <row r="168" spans="4:27">
      <c r="D168" t="s">
        <v>1353</v>
      </c>
      <c r="E168" t="s">
        <v>1436</v>
      </c>
      <c r="R168" s="18" t="s">
        <v>1106</v>
      </c>
      <c r="S168" s="18" t="s">
        <v>930</v>
      </c>
      <c r="Z168" s="22" t="s">
        <v>1429</v>
      </c>
      <c r="AA168" s="23" t="s">
        <v>870</v>
      </c>
    </row>
    <row r="169" spans="4:27">
      <c r="D169" t="s">
        <v>1356</v>
      </c>
      <c r="E169" t="s">
        <v>1437</v>
      </c>
      <c r="R169" s="18" t="s">
        <v>1414</v>
      </c>
      <c r="S169" s="18" t="s">
        <v>930</v>
      </c>
      <c r="Z169" s="22" t="s">
        <v>1144</v>
      </c>
      <c r="AA169" s="23" t="s">
        <v>870</v>
      </c>
    </row>
    <row r="170" spans="4:27">
      <c r="D170" t="s">
        <v>899</v>
      </c>
      <c r="E170" t="s">
        <v>1438</v>
      </c>
      <c r="R170" s="18" t="s">
        <v>1187</v>
      </c>
      <c r="S170" s="18" t="s">
        <v>930</v>
      </c>
      <c r="Z170" s="22" t="s">
        <v>1162</v>
      </c>
      <c r="AA170" s="22" t="s">
        <v>1158</v>
      </c>
    </row>
    <row r="171" spans="4:27">
      <c r="D171" t="s">
        <v>1345</v>
      </c>
      <c r="E171" t="s">
        <v>1439</v>
      </c>
      <c r="R171" s="18" t="s">
        <v>1369</v>
      </c>
      <c r="S171" s="18" t="s">
        <v>930</v>
      </c>
      <c r="Z171" s="23"/>
      <c r="AA171" s="23" t="s">
        <v>870</v>
      </c>
    </row>
    <row r="172" spans="4:27">
      <c r="D172" t="s">
        <v>1320</v>
      </c>
      <c r="E172" t="s">
        <v>1440</v>
      </c>
      <c r="R172" s="18" t="s">
        <v>1373</v>
      </c>
      <c r="S172" s="18" t="s">
        <v>930</v>
      </c>
      <c r="Z172" s="22" t="s">
        <v>1323</v>
      </c>
      <c r="AA172" s="22" t="s">
        <v>1213</v>
      </c>
    </row>
    <row r="173" spans="4:27">
      <c r="D173" t="s">
        <v>1343</v>
      </c>
      <c r="E173" t="s">
        <v>1441</v>
      </c>
      <c r="R173" s="18" t="s">
        <v>959</v>
      </c>
      <c r="S173" s="18" t="s">
        <v>930</v>
      </c>
      <c r="Z173" s="22" t="s">
        <v>1341</v>
      </c>
      <c r="AA173" s="23" t="s">
        <v>870</v>
      </c>
    </row>
    <row r="174" spans="4:27">
      <c r="D174" t="s">
        <v>1052</v>
      </c>
      <c r="E174" t="s">
        <v>1076</v>
      </c>
      <c r="R174" s="18" t="s">
        <v>1087</v>
      </c>
      <c r="S174" s="18" t="s">
        <v>930</v>
      </c>
      <c r="Z174" s="22" t="s">
        <v>1336</v>
      </c>
      <c r="AA174" s="22" t="s">
        <v>1213</v>
      </c>
    </row>
    <row r="175" spans="4:27">
      <c r="D175" t="s">
        <v>1157</v>
      </c>
      <c r="E175" t="s">
        <v>1442</v>
      </c>
      <c r="R175" s="18" t="s">
        <v>1296</v>
      </c>
      <c r="S175" s="18" t="s">
        <v>930</v>
      </c>
      <c r="Z175" s="22" t="s">
        <v>893</v>
      </c>
      <c r="AA175" s="22" t="s">
        <v>1213</v>
      </c>
    </row>
    <row r="176" spans="4:27">
      <c r="D176" t="s">
        <v>1035</v>
      </c>
      <c r="E176" t="s">
        <v>1443</v>
      </c>
      <c r="R176" s="18" t="s">
        <v>1082</v>
      </c>
      <c r="S176" s="18" t="s">
        <v>930</v>
      </c>
      <c r="Z176" s="22" t="s">
        <v>1444</v>
      </c>
      <c r="AA176" s="23" t="s">
        <v>870</v>
      </c>
    </row>
    <row r="177" spans="4:27">
      <c r="D177" t="s">
        <v>1445</v>
      </c>
      <c r="E177" t="s">
        <v>1446</v>
      </c>
      <c r="R177" s="18" t="s">
        <v>1293</v>
      </c>
      <c r="S177" s="18" t="s">
        <v>930</v>
      </c>
      <c r="Z177" s="22" t="s">
        <v>1447</v>
      </c>
      <c r="AA177" s="22" t="s">
        <v>1213</v>
      </c>
    </row>
    <row r="178" spans="4:27">
      <c r="D178" t="s">
        <v>1448</v>
      </c>
      <c r="E178" t="s">
        <v>1449</v>
      </c>
      <c r="R178" s="18" t="s">
        <v>1411</v>
      </c>
      <c r="S178" s="18" t="s">
        <v>930</v>
      </c>
      <c r="Z178" s="22" t="s">
        <v>1231</v>
      </c>
      <c r="AA178" s="23" t="s">
        <v>870</v>
      </c>
    </row>
    <row r="179" spans="4:27">
      <c r="D179" t="s">
        <v>1200</v>
      </c>
      <c r="E179" t="s">
        <v>1450</v>
      </c>
      <c r="R179" s="18" t="s">
        <v>1201</v>
      </c>
      <c r="S179" s="18" t="s">
        <v>930</v>
      </c>
      <c r="Z179" s="25" t="s">
        <v>864</v>
      </c>
      <c r="AA179" s="23" t="s">
        <v>870</v>
      </c>
    </row>
    <row r="180" spans="4:27">
      <c r="D180" t="s">
        <v>1027</v>
      </c>
      <c r="E180" t="s">
        <v>1451</v>
      </c>
      <c r="R180" s="18" t="s">
        <v>1177</v>
      </c>
      <c r="S180" s="18" t="s">
        <v>930</v>
      </c>
    </row>
    <row r="181" spans="4:27">
      <c r="D181" t="s">
        <v>1452</v>
      </c>
      <c r="E181" t="s">
        <v>1453</v>
      </c>
      <c r="R181" s="18" t="s">
        <v>1454</v>
      </c>
      <c r="S181" s="18" t="s">
        <v>930</v>
      </c>
    </row>
    <row r="182" spans="4:27">
      <c r="D182" t="s">
        <v>1455</v>
      </c>
      <c r="E182" t="s">
        <v>1456</v>
      </c>
      <c r="R182" s="18" t="s">
        <v>1457</v>
      </c>
      <c r="S182" s="18" t="s">
        <v>556</v>
      </c>
    </row>
    <row r="183" spans="4:27">
      <c r="D183" t="s">
        <v>1186</v>
      </c>
      <c r="E183" t="s">
        <v>1458</v>
      </c>
      <c r="R183" s="18" t="s">
        <v>1459</v>
      </c>
      <c r="S183" s="18" t="s">
        <v>885</v>
      </c>
    </row>
    <row r="184" spans="4:27">
      <c r="D184" t="s">
        <v>1460</v>
      </c>
      <c r="E184" t="s">
        <v>1461</v>
      </c>
      <c r="R184" s="18" t="s">
        <v>1365</v>
      </c>
      <c r="S184" s="18" t="s">
        <v>556</v>
      </c>
    </row>
    <row r="185" spans="4:27">
      <c r="D185" t="s">
        <v>1196</v>
      </c>
      <c r="E185" t="s">
        <v>1462</v>
      </c>
      <c r="R185" s="18" t="s">
        <v>1139</v>
      </c>
      <c r="S185" s="18" t="s">
        <v>556</v>
      </c>
    </row>
    <row r="186" spans="4:27">
      <c r="D186" t="s">
        <v>1463</v>
      </c>
      <c r="E186" t="s">
        <v>1464</v>
      </c>
      <c r="R186" s="18" t="s">
        <v>1444</v>
      </c>
      <c r="S186" s="18" t="s">
        <v>556</v>
      </c>
    </row>
    <row r="187" spans="4:27">
      <c r="D187" t="s">
        <v>1377</v>
      </c>
      <c r="E187" t="s">
        <v>1465</v>
      </c>
      <c r="R187" s="18" t="s">
        <v>1419</v>
      </c>
      <c r="S187" s="18" t="s">
        <v>885</v>
      </c>
    </row>
    <row r="188" spans="4:27">
      <c r="D188" t="s">
        <v>1466</v>
      </c>
      <c r="E188" t="s">
        <v>1467</v>
      </c>
      <c r="R188" s="18" t="s">
        <v>1468</v>
      </c>
      <c r="S188" s="18" t="s">
        <v>915</v>
      </c>
    </row>
    <row r="189" spans="4:27">
      <c r="D189" t="s">
        <v>1151</v>
      </c>
      <c r="E189" t="s">
        <v>1469</v>
      </c>
      <c r="R189" s="18" t="s">
        <v>1127</v>
      </c>
      <c r="S189" s="18" t="s">
        <v>885</v>
      </c>
    </row>
    <row r="190" spans="4:27">
      <c r="D190" t="s">
        <v>1340</v>
      </c>
      <c r="E190" t="s">
        <v>1470</v>
      </c>
      <c r="R190" s="18" t="s">
        <v>1323</v>
      </c>
      <c r="S190" s="18" t="s">
        <v>885</v>
      </c>
    </row>
    <row r="191" spans="4:27">
      <c r="D191" t="s">
        <v>1245</v>
      </c>
      <c r="E191" t="s">
        <v>1471</v>
      </c>
      <c r="R191" s="18" t="s">
        <v>1354</v>
      </c>
      <c r="S191" s="18" t="s">
        <v>556</v>
      </c>
    </row>
    <row r="192" spans="4:27">
      <c r="D192" t="s">
        <v>1383</v>
      </c>
      <c r="E192" t="s">
        <v>1472</v>
      </c>
      <c r="R192" s="18" t="s">
        <v>1334</v>
      </c>
      <c r="S192" s="18" t="s">
        <v>930</v>
      </c>
    </row>
    <row r="193" spans="4:19">
      <c r="D193" t="s">
        <v>1409</v>
      </c>
      <c r="E193" t="s">
        <v>1473</v>
      </c>
      <c r="R193" s="18" t="s">
        <v>1338</v>
      </c>
      <c r="S193" s="18" t="s">
        <v>930</v>
      </c>
    </row>
    <row r="194" spans="4:19">
      <c r="D194" t="s">
        <v>869</v>
      </c>
      <c r="E194" t="s">
        <v>1474</v>
      </c>
      <c r="R194" s="18" t="s">
        <v>1475</v>
      </c>
      <c r="S194" s="18" t="s">
        <v>556</v>
      </c>
    </row>
    <row r="195" spans="4:19">
      <c r="D195" t="s">
        <v>1386</v>
      </c>
      <c r="E195" t="s">
        <v>1476</v>
      </c>
      <c r="R195" s="18" t="s">
        <v>1477</v>
      </c>
      <c r="S195" s="18" t="s">
        <v>556</v>
      </c>
    </row>
    <row r="196" spans="4:19">
      <c r="D196" t="s">
        <v>1454</v>
      </c>
      <c r="E196" t="s">
        <v>1478</v>
      </c>
      <c r="R196" s="18" t="s">
        <v>1479</v>
      </c>
      <c r="S196" s="18" t="s">
        <v>556</v>
      </c>
    </row>
    <row r="197" spans="4:19">
      <c r="D197" t="s">
        <v>1388</v>
      </c>
      <c r="E197" t="s">
        <v>1480</v>
      </c>
      <c r="R197" s="18" t="s">
        <v>1481</v>
      </c>
      <c r="S197" s="18" t="s">
        <v>556</v>
      </c>
    </row>
    <row r="198" spans="4:19">
      <c r="D198" t="s">
        <v>1457</v>
      </c>
      <c r="E198" t="s">
        <v>1482</v>
      </c>
      <c r="R198" s="18" t="s">
        <v>1460</v>
      </c>
      <c r="S198" s="18" t="s">
        <v>556</v>
      </c>
    </row>
    <row r="199" spans="4:19">
      <c r="D199" t="s">
        <v>1413</v>
      </c>
      <c r="E199" t="s">
        <v>1483</v>
      </c>
      <c r="R199" s="18" t="s">
        <v>1224</v>
      </c>
      <c r="S199" s="18" t="s">
        <v>556</v>
      </c>
    </row>
    <row r="200" spans="4:19">
      <c r="D200" t="s">
        <v>1060</v>
      </c>
      <c r="E200" t="s">
        <v>1484</v>
      </c>
      <c r="R200" s="20" t="s">
        <v>1485</v>
      </c>
      <c r="S200" s="20" t="s">
        <v>885</v>
      </c>
    </row>
    <row r="201" spans="4:19">
      <c r="D201" t="s">
        <v>1486</v>
      </c>
      <c r="E201" t="s">
        <v>1487</v>
      </c>
      <c r="R201" s="20" t="s">
        <v>1144</v>
      </c>
      <c r="S201" s="20" t="s">
        <v>556</v>
      </c>
    </row>
    <row r="202" spans="4:19">
      <c r="D202" t="s">
        <v>1488</v>
      </c>
      <c r="E202" t="s">
        <v>1489</v>
      </c>
      <c r="R202" s="20" t="s">
        <v>1490</v>
      </c>
      <c r="S202" s="20" t="s">
        <v>915</v>
      </c>
    </row>
    <row r="203" spans="4:19">
      <c r="D203" t="s">
        <v>1391</v>
      </c>
      <c r="E203" t="s">
        <v>1491</v>
      </c>
      <c r="R203" s="20" t="s">
        <v>1492</v>
      </c>
      <c r="S203" s="20" t="s">
        <v>1493</v>
      </c>
    </row>
    <row r="204" spans="4:19">
      <c r="D204" t="s">
        <v>1302</v>
      </c>
      <c r="E204" t="s">
        <v>1494</v>
      </c>
      <c r="R204" s="20" t="s">
        <v>1429</v>
      </c>
      <c r="S204" s="20" t="s">
        <v>885</v>
      </c>
    </row>
    <row r="205" spans="4:19">
      <c r="D205" t="s">
        <v>1505</v>
      </c>
      <c r="E205" t="s">
        <v>1506</v>
      </c>
      <c r="R205" s="20" t="s">
        <v>1496</v>
      </c>
      <c r="S205" s="20" t="s">
        <v>899</v>
      </c>
    </row>
    <row r="206" spans="4:19">
      <c r="D206" t="s">
        <v>976</v>
      </c>
      <c r="E206" t="s">
        <v>1495</v>
      </c>
      <c r="R206" s="20" t="s">
        <v>1498</v>
      </c>
      <c r="S206" s="20" t="s">
        <v>942</v>
      </c>
    </row>
    <row r="207" spans="4:19">
      <c r="D207" t="s">
        <v>1210</v>
      </c>
      <c r="E207" t="s">
        <v>1497</v>
      </c>
      <c r="R207" s="18" t="s">
        <v>1447</v>
      </c>
      <c r="S207" s="18" t="s">
        <v>885</v>
      </c>
    </row>
    <row r="208" spans="4:19">
      <c r="D208" t="s">
        <v>1264</v>
      </c>
      <c r="E208" t="s">
        <v>1499</v>
      </c>
      <c r="R208" t="s">
        <v>1419</v>
      </c>
      <c r="S208" s="20" t="s">
        <v>885</v>
      </c>
    </row>
    <row r="209" spans="4:19">
      <c r="D209" t="s">
        <v>987</v>
      </c>
      <c r="E209" t="s">
        <v>1500</v>
      </c>
      <c r="R209" t="s">
        <v>1139</v>
      </c>
      <c r="S209" s="20" t="s">
        <v>30</v>
      </c>
    </row>
    <row r="210" spans="4:19">
      <c r="D210" t="s">
        <v>1406</v>
      </c>
      <c r="E210" t="s">
        <v>1501</v>
      </c>
      <c r="R210" t="s">
        <v>1429</v>
      </c>
      <c r="S210" s="29" t="s">
        <v>885</v>
      </c>
    </row>
    <row r="211" spans="4:19">
      <c r="D211" t="s">
        <v>1431</v>
      </c>
      <c r="E211" t="s">
        <v>1502</v>
      </c>
      <c r="R211" t="s">
        <v>1144</v>
      </c>
      <c r="S211" s="29" t="s">
        <v>556</v>
      </c>
    </row>
    <row r="212" spans="4:19">
      <c r="D212" t="s">
        <v>1444</v>
      </c>
      <c r="E212" t="s">
        <v>1503</v>
      </c>
      <c r="R212" t="s">
        <v>1444</v>
      </c>
      <c r="S212" s="29" t="s">
        <v>556</v>
      </c>
    </row>
    <row r="213" spans="4:19">
      <c r="D213" t="s">
        <v>1337</v>
      </c>
      <c r="E213" t="s">
        <v>1504</v>
      </c>
      <c r="R213" t="s">
        <v>1421</v>
      </c>
      <c r="S213" s="29" t="s">
        <v>885</v>
      </c>
    </row>
    <row r="214" spans="4:19">
      <c r="R214" t="s">
        <v>1287</v>
      </c>
      <c r="S214" s="29" t="s">
        <v>885</v>
      </c>
    </row>
    <row r="215" spans="4:19">
      <c r="R215" t="s">
        <v>1505</v>
      </c>
      <c r="S215" s="29" t="s">
        <v>556</v>
      </c>
    </row>
  </sheetData>
  <autoFilter ref="R2:S207" xr:uid="{AEEFCE64-F2F3-4E26-8049-7DE2032B0DCB}"/>
  <phoneticPr fontId="3" type="noConversion"/>
  <conditionalFormatting sqref="L1:L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9312-8F15-486A-AD04-635DED15A501}">
  <dimension ref="A2:H213"/>
  <sheetViews>
    <sheetView workbookViewId="0">
      <selection activeCell="A21" sqref="A21"/>
    </sheetView>
  </sheetViews>
  <sheetFormatPr defaultRowHeight="14.5"/>
  <cols>
    <col min="1" max="1" width="32.7265625" bestFit="1" customWidth="1"/>
  </cols>
  <sheetData>
    <row r="2" spans="1:8">
      <c r="G2" t="s">
        <v>1507</v>
      </c>
    </row>
    <row r="3" spans="1:8">
      <c r="A3" t="s">
        <v>864</v>
      </c>
      <c r="B3" t="s">
        <v>865</v>
      </c>
      <c r="G3" t="s">
        <v>73</v>
      </c>
      <c r="H3" t="s">
        <v>874</v>
      </c>
    </row>
    <row r="4" spans="1:8">
      <c r="A4" t="s">
        <v>878</v>
      </c>
      <c r="B4" t="s">
        <v>879</v>
      </c>
      <c r="C4" t="s">
        <v>46</v>
      </c>
      <c r="G4" t="s">
        <v>40</v>
      </c>
      <c r="H4" t="s">
        <v>888</v>
      </c>
    </row>
    <row r="5" spans="1:8">
      <c r="A5" t="s">
        <v>893</v>
      </c>
      <c r="B5" t="s">
        <v>894</v>
      </c>
      <c r="G5" t="s">
        <v>903</v>
      </c>
      <c r="H5" t="s">
        <v>904</v>
      </c>
    </row>
    <row r="6" spans="1:8">
      <c r="A6" t="s">
        <v>910</v>
      </c>
      <c r="B6" t="s">
        <v>911</v>
      </c>
      <c r="G6" t="s">
        <v>76</v>
      </c>
      <c r="H6" t="s">
        <v>918</v>
      </c>
    </row>
    <row r="7" spans="1:8">
      <c r="A7" t="s">
        <v>924</v>
      </c>
      <c r="B7" t="s">
        <v>925</v>
      </c>
      <c r="C7" t="s">
        <v>46</v>
      </c>
      <c r="G7" t="s">
        <v>931</v>
      </c>
      <c r="H7" t="s">
        <v>200</v>
      </c>
    </row>
    <row r="8" spans="1:8">
      <c r="A8" t="s">
        <v>936</v>
      </c>
      <c r="B8" t="s">
        <v>937</v>
      </c>
      <c r="G8" t="s">
        <v>944</v>
      </c>
      <c r="H8" t="s">
        <v>945</v>
      </c>
    </row>
    <row r="9" spans="1:8">
      <c r="A9" t="s">
        <v>949</v>
      </c>
      <c r="B9" t="s">
        <v>950</v>
      </c>
      <c r="G9" t="s">
        <v>30</v>
      </c>
      <c r="H9" t="s">
        <v>954</v>
      </c>
    </row>
    <row r="10" spans="1:8">
      <c r="A10" t="s">
        <v>959</v>
      </c>
      <c r="B10" t="s">
        <v>960</v>
      </c>
      <c r="G10" t="s">
        <v>965</v>
      </c>
      <c r="H10" t="s">
        <v>966</v>
      </c>
    </row>
    <row r="11" spans="1:8">
      <c r="A11" t="s">
        <v>964</v>
      </c>
      <c r="B11" t="s">
        <v>970</v>
      </c>
      <c r="G11" t="s">
        <v>46</v>
      </c>
      <c r="H11" t="s">
        <v>460</v>
      </c>
    </row>
    <row r="12" spans="1:8">
      <c r="A12" t="s">
        <v>980</v>
      </c>
      <c r="B12" t="s">
        <v>981</v>
      </c>
      <c r="G12" t="s">
        <v>988</v>
      </c>
      <c r="H12" t="s">
        <v>989</v>
      </c>
    </row>
    <row r="13" spans="1:8">
      <c r="A13" t="s">
        <v>974</v>
      </c>
      <c r="B13" t="s">
        <v>994</v>
      </c>
      <c r="G13" t="s">
        <v>1000</v>
      </c>
      <c r="H13" t="s">
        <v>1001</v>
      </c>
    </row>
    <row r="14" spans="1:8">
      <c r="A14" t="s">
        <v>1004</v>
      </c>
      <c r="B14" t="s">
        <v>1005</v>
      </c>
      <c r="C14" t="s">
        <v>1011</v>
      </c>
      <c r="G14" t="s">
        <v>1011</v>
      </c>
      <c r="H14" t="s">
        <v>1012</v>
      </c>
    </row>
    <row r="15" spans="1:8">
      <c r="A15" t="s">
        <v>1013</v>
      </c>
      <c r="B15" t="s">
        <v>1014</v>
      </c>
      <c r="C15" t="s">
        <v>1011</v>
      </c>
      <c r="G15" t="s">
        <v>1020</v>
      </c>
      <c r="H15" t="s">
        <v>1021</v>
      </c>
    </row>
    <row r="16" spans="1:8">
      <c r="A16" t="s">
        <v>1023</v>
      </c>
      <c r="B16" t="s">
        <v>1024</v>
      </c>
      <c r="C16" t="s">
        <v>1011</v>
      </c>
      <c r="G16" t="s">
        <v>1028</v>
      </c>
      <c r="H16" t="s">
        <v>1029</v>
      </c>
    </row>
    <row r="17" spans="1:8">
      <c r="A17" t="s">
        <v>1031</v>
      </c>
      <c r="B17" t="s">
        <v>1032</v>
      </c>
      <c r="C17" t="s">
        <v>1011</v>
      </c>
      <c r="G17" t="s">
        <v>1036</v>
      </c>
      <c r="H17" t="s">
        <v>1037</v>
      </c>
    </row>
    <row r="18" spans="1:8">
      <c r="A18" t="s">
        <v>898</v>
      </c>
      <c r="B18" t="s">
        <v>1039</v>
      </c>
      <c r="C18" t="s">
        <v>1011</v>
      </c>
      <c r="G18" t="s">
        <v>1045</v>
      </c>
      <c r="H18" t="s">
        <v>1046</v>
      </c>
    </row>
    <row r="19" spans="1:8">
      <c r="A19" t="s">
        <v>1048</v>
      </c>
      <c r="B19" t="s">
        <v>1049</v>
      </c>
      <c r="C19" t="s">
        <v>1011</v>
      </c>
      <c r="G19" t="s">
        <v>1052</v>
      </c>
      <c r="H19" t="s">
        <v>1053</v>
      </c>
    </row>
    <row r="20" spans="1:8">
      <c r="A20" t="s">
        <v>1055</v>
      </c>
      <c r="B20" t="s">
        <v>1056</v>
      </c>
      <c r="C20" t="s">
        <v>1011</v>
      </c>
      <c r="G20" t="s">
        <v>1061</v>
      </c>
      <c r="H20" t="s">
        <v>1062</v>
      </c>
    </row>
    <row r="21" spans="1:8">
      <c r="A21" t="s">
        <v>985</v>
      </c>
      <c r="B21" t="s">
        <v>1064</v>
      </c>
      <c r="C21" t="s">
        <v>1011</v>
      </c>
      <c r="G21" t="s">
        <v>80</v>
      </c>
      <c r="H21" t="s">
        <v>1068</v>
      </c>
    </row>
    <row r="22" spans="1:8">
      <c r="A22" t="s">
        <v>1070</v>
      </c>
      <c r="B22" t="s">
        <v>1071</v>
      </c>
    </row>
    <row r="23" spans="1:8">
      <c r="A23" t="s">
        <v>998</v>
      </c>
      <c r="B23" t="s">
        <v>1077</v>
      </c>
    </row>
    <row r="24" spans="1:8">
      <c r="A24" t="s">
        <v>1082</v>
      </c>
      <c r="B24" t="s">
        <v>1083</v>
      </c>
    </row>
    <row r="25" spans="1:8">
      <c r="A25" t="s">
        <v>1087</v>
      </c>
      <c r="B25" t="s">
        <v>1088</v>
      </c>
    </row>
    <row r="26" spans="1:8">
      <c r="A26" t="s">
        <v>1009</v>
      </c>
      <c r="B26" t="s">
        <v>1093</v>
      </c>
    </row>
    <row r="27" spans="1:8">
      <c r="A27" t="s">
        <v>1018</v>
      </c>
      <c r="B27" t="s">
        <v>1097</v>
      </c>
    </row>
    <row r="28" spans="1:8">
      <c r="A28" t="s">
        <v>1026</v>
      </c>
      <c r="B28" t="s">
        <v>1102</v>
      </c>
    </row>
    <row r="29" spans="1:8">
      <c r="A29" t="s">
        <v>1106</v>
      </c>
      <c r="B29" t="s">
        <v>1107</v>
      </c>
    </row>
    <row r="30" spans="1:8">
      <c r="A30" t="s">
        <v>1034</v>
      </c>
      <c r="B30" t="s">
        <v>1111</v>
      </c>
    </row>
    <row r="31" spans="1:8">
      <c r="A31" t="s">
        <v>1042</v>
      </c>
      <c r="B31" t="s">
        <v>1114</v>
      </c>
    </row>
    <row r="32" spans="1:8">
      <c r="A32" t="s">
        <v>1051</v>
      </c>
      <c r="B32" t="s">
        <v>1117</v>
      </c>
    </row>
    <row r="33" spans="1:2">
      <c r="A33" t="s">
        <v>1059</v>
      </c>
      <c r="B33" t="s">
        <v>1121</v>
      </c>
    </row>
    <row r="34" spans="1:2">
      <c r="A34" t="s">
        <v>999</v>
      </c>
      <c r="B34" t="s">
        <v>1125</v>
      </c>
    </row>
    <row r="35" spans="1:2">
      <c r="A35" t="s">
        <v>1127</v>
      </c>
      <c r="B35" t="s">
        <v>1128</v>
      </c>
    </row>
    <row r="36" spans="1:2">
      <c r="A36" t="s">
        <v>1074</v>
      </c>
      <c r="B36" t="s">
        <v>1132</v>
      </c>
    </row>
    <row r="37" spans="1:2">
      <c r="A37" t="s">
        <v>1134</v>
      </c>
      <c r="B37" t="s">
        <v>1135</v>
      </c>
    </row>
    <row r="38" spans="1:2">
      <c r="A38" t="s">
        <v>1139</v>
      </c>
      <c r="B38" t="s">
        <v>1140</v>
      </c>
    </row>
    <row r="39" spans="1:2">
      <c r="A39" t="s">
        <v>1144</v>
      </c>
      <c r="B39" t="s">
        <v>1145</v>
      </c>
    </row>
    <row r="40" spans="1:2">
      <c r="A40" t="s">
        <v>1080</v>
      </c>
      <c r="B40" t="s">
        <v>1148</v>
      </c>
    </row>
    <row r="41" spans="1:2">
      <c r="A41" t="s">
        <v>1086</v>
      </c>
      <c r="B41" t="s">
        <v>1152</v>
      </c>
    </row>
    <row r="42" spans="1:2">
      <c r="A42" t="s">
        <v>1153</v>
      </c>
      <c r="B42" t="s">
        <v>1154</v>
      </c>
    </row>
    <row r="43" spans="1:2">
      <c r="A43" t="s">
        <v>1091</v>
      </c>
      <c r="B43" t="s">
        <v>1159</v>
      </c>
    </row>
    <row r="44" spans="1:2">
      <c r="A44" t="s">
        <v>1096</v>
      </c>
      <c r="B44" t="s">
        <v>1164</v>
      </c>
    </row>
    <row r="45" spans="1:2">
      <c r="A45" t="s">
        <v>1100</v>
      </c>
      <c r="B45" t="s">
        <v>1168</v>
      </c>
    </row>
    <row r="46" spans="1:2">
      <c r="A46" t="s">
        <v>1104</v>
      </c>
      <c r="B46" t="s">
        <v>1172</v>
      </c>
    </row>
    <row r="47" spans="1:2">
      <c r="A47" t="s">
        <v>1177</v>
      </c>
      <c r="B47" t="s">
        <v>1178</v>
      </c>
    </row>
    <row r="48" spans="1:2">
      <c r="A48" t="s">
        <v>1182</v>
      </c>
      <c r="B48" t="s">
        <v>1183</v>
      </c>
    </row>
    <row r="49" spans="1:3">
      <c r="A49" t="s">
        <v>1187</v>
      </c>
      <c r="B49" t="s">
        <v>1188</v>
      </c>
    </row>
    <row r="50" spans="1:3">
      <c r="A50" t="s">
        <v>1109</v>
      </c>
      <c r="B50" t="s">
        <v>1193</v>
      </c>
    </row>
    <row r="51" spans="1:3">
      <c r="A51" t="s">
        <v>1019</v>
      </c>
      <c r="B51" t="s">
        <v>1197</v>
      </c>
    </row>
    <row r="52" spans="1:3">
      <c r="A52" t="s">
        <v>1201</v>
      </c>
      <c r="B52" t="s">
        <v>1202</v>
      </c>
    </row>
    <row r="53" spans="1:3">
      <c r="A53" t="s">
        <v>1101</v>
      </c>
      <c r="B53" t="s">
        <v>1206</v>
      </c>
      <c r="C53" t="s">
        <v>46</v>
      </c>
    </row>
    <row r="54" spans="1:3">
      <c r="A54" t="s">
        <v>1044</v>
      </c>
      <c r="B54" t="s">
        <v>1211</v>
      </c>
    </row>
    <row r="55" spans="1:3">
      <c r="A55" t="s">
        <v>1124</v>
      </c>
      <c r="B55" t="s">
        <v>1214</v>
      </c>
    </row>
    <row r="56" spans="1:3">
      <c r="A56" t="s">
        <v>1219</v>
      </c>
      <c r="B56" t="s">
        <v>1220</v>
      </c>
    </row>
    <row r="57" spans="1:3">
      <c r="A57" t="s">
        <v>1224</v>
      </c>
      <c r="B57" t="s">
        <v>1225</v>
      </c>
    </row>
    <row r="58" spans="1:3">
      <c r="A58" t="s">
        <v>1126</v>
      </c>
      <c r="B58" t="s">
        <v>1229</v>
      </c>
    </row>
    <row r="59" spans="1:3">
      <c r="A59" t="s">
        <v>1131</v>
      </c>
      <c r="B59" t="s">
        <v>1233</v>
      </c>
    </row>
    <row r="60" spans="1:3">
      <c r="A60" t="s">
        <v>1105</v>
      </c>
      <c r="B60" t="s">
        <v>1236</v>
      </c>
      <c r="C60" t="s">
        <v>46</v>
      </c>
    </row>
    <row r="61" spans="1:3">
      <c r="A61" t="s">
        <v>1138</v>
      </c>
      <c r="B61" t="s">
        <v>1237</v>
      </c>
    </row>
    <row r="62" spans="1:3">
      <c r="A62" t="s">
        <v>1240</v>
      </c>
      <c r="B62" t="s">
        <v>1241</v>
      </c>
    </row>
    <row r="63" spans="1:3">
      <c r="A63" t="s">
        <v>1143</v>
      </c>
      <c r="B63" t="s">
        <v>1244</v>
      </c>
    </row>
    <row r="64" spans="1:3">
      <c r="A64" t="s">
        <v>1246</v>
      </c>
      <c r="B64" t="s">
        <v>1247</v>
      </c>
    </row>
    <row r="65" spans="1:3">
      <c r="A65" t="s">
        <v>1092</v>
      </c>
      <c r="B65" t="s">
        <v>1248</v>
      </c>
    </row>
    <row r="66" spans="1:3">
      <c r="A66" t="s">
        <v>1150</v>
      </c>
      <c r="B66" t="s">
        <v>1250</v>
      </c>
      <c r="C66" t="s">
        <v>46</v>
      </c>
    </row>
    <row r="67" spans="1:3">
      <c r="A67" t="s">
        <v>44</v>
      </c>
      <c r="B67" t="s">
        <v>1252</v>
      </c>
      <c r="C67" t="s">
        <v>46</v>
      </c>
    </row>
    <row r="68" spans="1:3">
      <c r="A68" t="s">
        <v>1113</v>
      </c>
      <c r="B68" t="s">
        <v>1254</v>
      </c>
    </row>
    <row r="69" spans="1:3">
      <c r="A69" t="s">
        <v>1162</v>
      </c>
      <c r="B69" t="s">
        <v>1256</v>
      </c>
    </row>
    <row r="70" spans="1:3">
      <c r="A70" t="s">
        <v>48</v>
      </c>
      <c r="B70" t="s">
        <v>1257</v>
      </c>
      <c r="C70" t="s">
        <v>46</v>
      </c>
    </row>
    <row r="71" spans="1:3">
      <c r="A71" t="s">
        <v>1171</v>
      </c>
      <c r="B71" t="s">
        <v>1260</v>
      </c>
      <c r="C71" t="s">
        <v>46</v>
      </c>
    </row>
    <row r="72" spans="1:3">
      <c r="A72" t="s">
        <v>1175</v>
      </c>
      <c r="B72" t="s">
        <v>1262</v>
      </c>
    </row>
    <row r="73" spans="1:3">
      <c r="A73" t="s">
        <v>1181</v>
      </c>
      <c r="B73" t="s">
        <v>1265</v>
      </c>
    </row>
    <row r="74" spans="1:3">
      <c r="A74" t="s">
        <v>1267</v>
      </c>
      <c r="B74" t="s">
        <v>1268</v>
      </c>
    </row>
    <row r="75" spans="1:3">
      <c r="A75" t="s">
        <v>1185</v>
      </c>
      <c r="B75" t="s">
        <v>1270</v>
      </c>
    </row>
    <row r="76" spans="1:3">
      <c r="A76" t="s">
        <v>1191</v>
      </c>
      <c r="B76" t="s">
        <v>1273</v>
      </c>
    </row>
    <row r="77" spans="1:3">
      <c r="A77" t="s">
        <v>28</v>
      </c>
      <c r="B77" t="s">
        <v>1275</v>
      </c>
    </row>
    <row r="78" spans="1:3">
      <c r="A78" t="s">
        <v>1199</v>
      </c>
      <c r="B78" t="s">
        <v>1277</v>
      </c>
    </row>
    <row r="79" spans="1:3">
      <c r="A79" t="s">
        <v>1280</v>
      </c>
      <c r="B79" t="s">
        <v>1281</v>
      </c>
    </row>
    <row r="80" spans="1:3">
      <c r="A80" t="s">
        <v>1205</v>
      </c>
      <c r="B80" t="s">
        <v>1282</v>
      </c>
    </row>
    <row r="81" spans="1:3">
      <c r="A81" t="s">
        <v>1209</v>
      </c>
      <c r="B81" t="s">
        <v>1283</v>
      </c>
    </row>
    <row r="82" spans="1:3">
      <c r="A82" t="s">
        <v>1120</v>
      </c>
      <c r="B82" t="s">
        <v>1285</v>
      </c>
    </row>
    <row r="83" spans="1:3">
      <c r="A83" t="s">
        <v>1287</v>
      </c>
      <c r="B83" t="s">
        <v>1288</v>
      </c>
    </row>
    <row r="84" spans="1:3">
      <c r="A84" t="s">
        <v>1217</v>
      </c>
      <c r="B84" t="s">
        <v>1290</v>
      </c>
      <c r="C84" t="s">
        <v>46</v>
      </c>
    </row>
    <row r="85" spans="1:3">
      <c r="A85" t="s">
        <v>1293</v>
      </c>
      <c r="B85" t="s">
        <v>1294</v>
      </c>
    </row>
    <row r="86" spans="1:3">
      <c r="A86" t="s">
        <v>1296</v>
      </c>
      <c r="B86" t="s">
        <v>1297</v>
      </c>
    </row>
    <row r="87" spans="1:3">
      <c r="A87" t="s">
        <v>1223</v>
      </c>
      <c r="B87" t="s">
        <v>1299</v>
      </c>
    </row>
    <row r="88" spans="1:3">
      <c r="A88" t="s">
        <v>914</v>
      </c>
      <c r="B88" t="s">
        <v>1300</v>
      </c>
    </row>
    <row r="89" spans="1:3">
      <c r="A89" t="s">
        <v>1231</v>
      </c>
      <c r="B89" t="s">
        <v>1303</v>
      </c>
    </row>
    <row r="90" spans="1:3">
      <c r="A90" t="s">
        <v>929</v>
      </c>
      <c r="B90" t="s">
        <v>1304</v>
      </c>
    </row>
    <row r="91" spans="1:3">
      <c r="A91" t="s">
        <v>988</v>
      </c>
      <c r="B91" t="s">
        <v>1306</v>
      </c>
    </row>
    <row r="92" spans="1:3">
      <c r="A92" t="s">
        <v>1238</v>
      </c>
      <c r="B92" t="s">
        <v>1308</v>
      </c>
    </row>
    <row r="93" spans="1:3">
      <c r="A93" t="s">
        <v>1242</v>
      </c>
      <c r="B93" t="s">
        <v>1310</v>
      </c>
    </row>
    <row r="94" spans="1:3">
      <c r="A94" t="s">
        <v>37</v>
      </c>
      <c r="B94" t="s">
        <v>1311</v>
      </c>
    </row>
    <row r="95" spans="1:3">
      <c r="A95" t="s">
        <v>1176</v>
      </c>
      <c r="B95" t="s">
        <v>1314</v>
      </c>
    </row>
    <row r="96" spans="1:3">
      <c r="A96" t="s">
        <v>67</v>
      </c>
      <c r="B96" t="s">
        <v>1315</v>
      </c>
    </row>
    <row r="97" spans="1:3">
      <c r="A97" t="s">
        <v>1251</v>
      </c>
      <c r="B97" t="s">
        <v>1316</v>
      </c>
    </row>
    <row r="98" spans="1:3">
      <c r="A98" t="s">
        <v>1239</v>
      </c>
      <c r="B98" t="s">
        <v>1317</v>
      </c>
    </row>
    <row r="99" spans="1:3">
      <c r="A99" t="s">
        <v>1253</v>
      </c>
      <c r="B99" t="s">
        <v>1319</v>
      </c>
    </row>
    <row r="100" spans="1:3">
      <c r="A100" t="s">
        <v>1255</v>
      </c>
      <c r="B100" t="s">
        <v>1321</v>
      </c>
    </row>
    <row r="101" spans="1:3">
      <c r="A101" t="s">
        <v>1323</v>
      </c>
      <c r="B101" t="s">
        <v>1324</v>
      </c>
    </row>
    <row r="102" spans="1:3">
      <c r="A102" t="s">
        <v>1325</v>
      </c>
      <c r="B102" t="s">
        <v>1326</v>
      </c>
    </row>
    <row r="103" spans="1:3">
      <c r="A103" t="s">
        <v>1328</v>
      </c>
      <c r="B103" t="s">
        <v>1329</v>
      </c>
    </row>
    <row r="104" spans="1:3">
      <c r="A104" t="s">
        <v>1330</v>
      </c>
      <c r="B104" t="s">
        <v>1331</v>
      </c>
    </row>
    <row r="105" spans="1:3">
      <c r="A105" t="s">
        <v>1332</v>
      </c>
      <c r="B105" t="s">
        <v>1333</v>
      </c>
    </row>
    <row r="106" spans="1:3">
      <c r="A106" t="s">
        <v>1334</v>
      </c>
      <c r="B106" t="s">
        <v>1335</v>
      </c>
    </row>
    <row r="107" spans="1:3">
      <c r="A107" t="s">
        <v>1338</v>
      </c>
      <c r="B107" t="s">
        <v>1339</v>
      </c>
    </row>
    <row r="108" spans="1:3">
      <c r="A108" t="s">
        <v>1341</v>
      </c>
      <c r="B108" t="s">
        <v>1342</v>
      </c>
    </row>
    <row r="109" spans="1:3">
      <c r="A109" t="s">
        <v>1228</v>
      </c>
      <c r="B109" t="s">
        <v>1344</v>
      </c>
    </row>
    <row r="110" spans="1:3">
      <c r="A110" t="s">
        <v>1258</v>
      </c>
      <c r="B110" t="s">
        <v>1346</v>
      </c>
    </row>
    <row r="111" spans="1:3">
      <c r="A111" t="s">
        <v>1261</v>
      </c>
      <c r="B111" t="s">
        <v>1347</v>
      </c>
    </row>
    <row r="112" spans="1:3">
      <c r="A112" t="s">
        <v>1263</v>
      </c>
      <c r="B112" t="s">
        <v>1348</v>
      </c>
      <c r="C112" t="s">
        <v>46</v>
      </c>
    </row>
    <row r="113" spans="1:2">
      <c r="A113" t="s">
        <v>1110</v>
      </c>
      <c r="B113" t="s">
        <v>1350</v>
      </c>
    </row>
    <row r="114" spans="1:2">
      <c r="A114" t="s">
        <v>1269</v>
      </c>
      <c r="B114" t="s">
        <v>1352</v>
      </c>
    </row>
    <row r="115" spans="1:2">
      <c r="A115" t="s">
        <v>1354</v>
      </c>
      <c r="B115" t="s">
        <v>1355</v>
      </c>
    </row>
    <row r="116" spans="1:2">
      <c r="A116" t="s">
        <v>1357</v>
      </c>
      <c r="B116" t="s">
        <v>1358</v>
      </c>
    </row>
    <row r="117" spans="1:2">
      <c r="A117" t="s">
        <v>1271</v>
      </c>
      <c r="B117" t="s">
        <v>1359</v>
      </c>
    </row>
    <row r="118" spans="1:2">
      <c r="A118" t="s">
        <v>1360</v>
      </c>
      <c r="B118" t="s">
        <v>1361</v>
      </c>
    </row>
    <row r="119" spans="1:2">
      <c r="A119" t="s">
        <v>1362</v>
      </c>
      <c r="B119" t="s">
        <v>1363</v>
      </c>
    </row>
    <row r="120" spans="1:2">
      <c r="A120" t="s">
        <v>62</v>
      </c>
      <c r="B120" t="s">
        <v>1364</v>
      </c>
    </row>
    <row r="121" spans="1:2">
      <c r="A121" t="s">
        <v>1365</v>
      </c>
      <c r="B121" t="s">
        <v>1366</v>
      </c>
    </row>
    <row r="122" spans="1:2">
      <c r="A122" t="s">
        <v>1367</v>
      </c>
      <c r="B122" t="s">
        <v>1368</v>
      </c>
    </row>
    <row r="123" spans="1:2">
      <c r="A123" t="s">
        <v>1369</v>
      </c>
      <c r="B123" t="s">
        <v>1370</v>
      </c>
    </row>
    <row r="124" spans="1:2">
      <c r="A124" t="s">
        <v>1278</v>
      </c>
      <c r="B124" t="s">
        <v>1371</v>
      </c>
    </row>
    <row r="125" spans="1:2">
      <c r="A125" t="s">
        <v>1167</v>
      </c>
      <c r="B125" t="s">
        <v>1372</v>
      </c>
    </row>
    <row r="126" spans="1:2">
      <c r="A126" t="s">
        <v>1373</v>
      </c>
      <c r="B126" t="s">
        <v>1374</v>
      </c>
    </row>
    <row r="127" spans="1:2">
      <c r="A127" t="s">
        <v>1327</v>
      </c>
      <c r="B127" t="s">
        <v>1376</v>
      </c>
    </row>
    <row r="128" spans="1:2">
      <c r="A128" t="s">
        <v>941</v>
      </c>
      <c r="B128" t="s">
        <v>1378</v>
      </c>
    </row>
    <row r="129" spans="1:2">
      <c r="A129" t="s">
        <v>1379</v>
      </c>
      <c r="B129" t="s">
        <v>1380</v>
      </c>
    </row>
    <row r="130" spans="1:2">
      <c r="A130" t="s">
        <v>1284</v>
      </c>
      <c r="B130" t="s">
        <v>1381</v>
      </c>
    </row>
    <row r="131" spans="1:2">
      <c r="A131" t="s">
        <v>1286</v>
      </c>
      <c r="B131" t="s">
        <v>1382</v>
      </c>
    </row>
    <row r="132" spans="1:2">
      <c r="A132" t="s">
        <v>1289</v>
      </c>
      <c r="B132" t="s">
        <v>1384</v>
      </c>
    </row>
    <row r="133" spans="1:2">
      <c r="A133" t="s">
        <v>1291</v>
      </c>
      <c r="B133" t="s">
        <v>1385</v>
      </c>
    </row>
    <row r="134" spans="1:2">
      <c r="A134" t="s">
        <v>1192</v>
      </c>
      <c r="B134" t="s">
        <v>1387</v>
      </c>
    </row>
    <row r="135" spans="1:2">
      <c r="A135" t="s">
        <v>1298</v>
      </c>
      <c r="B135" t="s">
        <v>1389</v>
      </c>
    </row>
    <row r="136" spans="1:2">
      <c r="A136" t="s">
        <v>1259</v>
      </c>
      <c r="B136" t="s">
        <v>1390</v>
      </c>
    </row>
    <row r="137" spans="1:2">
      <c r="A137" t="s">
        <v>1301</v>
      </c>
      <c r="B137" t="s">
        <v>1392</v>
      </c>
    </row>
    <row r="138" spans="1:2">
      <c r="A138" t="s">
        <v>78</v>
      </c>
      <c r="B138" t="s">
        <v>1393</v>
      </c>
    </row>
    <row r="139" spans="1:2">
      <c r="A139" t="s">
        <v>1305</v>
      </c>
      <c r="B139" t="s">
        <v>1395</v>
      </c>
    </row>
    <row r="140" spans="1:2">
      <c r="A140" t="s">
        <v>1307</v>
      </c>
      <c r="B140" t="s">
        <v>1396</v>
      </c>
    </row>
    <row r="141" spans="1:2">
      <c r="A141" t="s">
        <v>1309</v>
      </c>
      <c r="B141" t="s">
        <v>1397</v>
      </c>
    </row>
    <row r="142" spans="1:2">
      <c r="A142" t="s">
        <v>1276</v>
      </c>
      <c r="B142" t="s">
        <v>1398</v>
      </c>
    </row>
    <row r="143" spans="1:2">
      <c r="A143" t="s">
        <v>1075</v>
      </c>
      <c r="B143" t="s">
        <v>1399</v>
      </c>
    </row>
    <row r="144" spans="1:2">
      <c r="A144" t="s">
        <v>1312</v>
      </c>
      <c r="B144" t="s">
        <v>1401</v>
      </c>
    </row>
    <row r="145" spans="1:3">
      <c r="A145" t="s">
        <v>884</v>
      </c>
      <c r="B145" t="s">
        <v>1402</v>
      </c>
    </row>
    <row r="146" spans="1:3">
      <c r="A146" t="s">
        <v>1249</v>
      </c>
      <c r="B146" t="s">
        <v>1403</v>
      </c>
    </row>
    <row r="147" spans="1:3">
      <c r="A147" t="s">
        <v>1272</v>
      </c>
      <c r="B147" t="s">
        <v>1404</v>
      </c>
    </row>
    <row r="148" spans="1:3">
      <c r="A148" t="s">
        <v>1163</v>
      </c>
      <c r="B148" t="s">
        <v>1405</v>
      </c>
      <c r="C148" t="s">
        <v>46</v>
      </c>
    </row>
    <row r="149" spans="1:3">
      <c r="A149" t="s">
        <v>1318</v>
      </c>
      <c r="B149" t="s">
        <v>1407</v>
      </c>
    </row>
    <row r="150" spans="1:3">
      <c r="A150" t="s">
        <v>1313</v>
      </c>
      <c r="B150" t="s">
        <v>1408</v>
      </c>
    </row>
    <row r="151" spans="1:3">
      <c r="A151" t="s">
        <v>1322</v>
      </c>
      <c r="B151" t="s">
        <v>1410</v>
      </c>
    </row>
    <row r="152" spans="1:3">
      <c r="A152" t="s">
        <v>1411</v>
      </c>
      <c r="B152" t="s">
        <v>1412</v>
      </c>
    </row>
    <row r="153" spans="1:3">
      <c r="A153" t="s">
        <v>1414</v>
      </c>
      <c r="B153" t="s">
        <v>1415</v>
      </c>
    </row>
    <row r="154" spans="1:3">
      <c r="A154" t="s">
        <v>55</v>
      </c>
      <c r="B154" t="s">
        <v>1417</v>
      </c>
    </row>
    <row r="155" spans="1:3">
      <c r="A155" t="s">
        <v>1336</v>
      </c>
      <c r="B155" t="s">
        <v>1418</v>
      </c>
    </row>
    <row r="156" spans="1:3">
      <c r="A156" t="s">
        <v>1010</v>
      </c>
      <c r="B156" t="s">
        <v>1420</v>
      </c>
    </row>
    <row r="157" spans="1:3">
      <c r="A157" t="s">
        <v>1421</v>
      </c>
      <c r="B157" t="s">
        <v>1422</v>
      </c>
    </row>
    <row r="158" spans="1:3">
      <c r="A158" t="s">
        <v>1266</v>
      </c>
      <c r="B158" t="s">
        <v>1424</v>
      </c>
    </row>
    <row r="159" spans="1:3">
      <c r="A159" t="s">
        <v>1232</v>
      </c>
      <c r="B159" t="s">
        <v>1425</v>
      </c>
    </row>
    <row r="160" spans="1:3">
      <c r="A160" t="s">
        <v>1416</v>
      </c>
      <c r="B160" t="s">
        <v>1426</v>
      </c>
    </row>
    <row r="161" spans="1:2">
      <c r="A161" t="s">
        <v>1423</v>
      </c>
      <c r="B161" t="s">
        <v>1427</v>
      </c>
    </row>
    <row r="162" spans="1:2">
      <c r="A162" t="s">
        <v>1419</v>
      </c>
      <c r="B162" t="s">
        <v>1428</v>
      </c>
    </row>
    <row r="163" spans="1:2">
      <c r="A163" t="s">
        <v>1429</v>
      </c>
      <c r="B163" t="s">
        <v>1430</v>
      </c>
    </row>
    <row r="164" spans="1:2">
      <c r="A164" t="s">
        <v>645</v>
      </c>
      <c r="B164" t="s">
        <v>1432</v>
      </c>
    </row>
    <row r="165" spans="1:2">
      <c r="A165" t="s">
        <v>1349</v>
      </c>
      <c r="B165" t="s">
        <v>1433</v>
      </c>
    </row>
    <row r="166" spans="1:2">
      <c r="A166" t="s">
        <v>1218</v>
      </c>
      <c r="B166" t="s">
        <v>1434</v>
      </c>
    </row>
    <row r="167" spans="1:2">
      <c r="A167" t="s">
        <v>1351</v>
      </c>
      <c r="B167" t="s">
        <v>1435</v>
      </c>
    </row>
    <row r="168" spans="1:2">
      <c r="A168" t="s">
        <v>1353</v>
      </c>
      <c r="B168" t="s">
        <v>1436</v>
      </c>
    </row>
    <row r="169" spans="1:2">
      <c r="A169" t="s">
        <v>1356</v>
      </c>
      <c r="B169" t="s">
        <v>1437</v>
      </c>
    </row>
    <row r="170" spans="1:2">
      <c r="A170" t="s">
        <v>899</v>
      </c>
      <c r="B170" t="s">
        <v>1438</v>
      </c>
    </row>
    <row r="171" spans="1:2">
      <c r="A171" t="s">
        <v>1345</v>
      </c>
      <c r="B171" t="s">
        <v>1439</v>
      </c>
    </row>
    <row r="172" spans="1:2">
      <c r="A172" t="s">
        <v>1320</v>
      </c>
      <c r="B172" t="s">
        <v>1440</v>
      </c>
    </row>
    <row r="173" spans="1:2">
      <c r="A173" t="s">
        <v>1343</v>
      </c>
      <c r="B173" t="s">
        <v>1441</v>
      </c>
    </row>
    <row r="174" spans="1:2">
      <c r="A174" t="s">
        <v>1052</v>
      </c>
      <c r="B174" t="s">
        <v>1076</v>
      </c>
    </row>
    <row r="175" spans="1:2">
      <c r="A175" t="s">
        <v>1157</v>
      </c>
      <c r="B175" t="s">
        <v>1442</v>
      </c>
    </row>
    <row r="176" spans="1:2">
      <c r="A176" t="s">
        <v>1035</v>
      </c>
      <c r="B176" t="s">
        <v>1443</v>
      </c>
    </row>
    <row r="177" spans="1:2">
      <c r="A177" t="s">
        <v>1445</v>
      </c>
      <c r="B177" t="s">
        <v>1446</v>
      </c>
    </row>
    <row r="178" spans="1:2">
      <c r="A178" t="s">
        <v>1448</v>
      </c>
      <c r="B178" t="s">
        <v>1449</v>
      </c>
    </row>
    <row r="179" spans="1:2">
      <c r="A179" t="s">
        <v>1200</v>
      </c>
      <c r="B179" t="s">
        <v>1450</v>
      </c>
    </row>
    <row r="180" spans="1:2">
      <c r="A180" t="s">
        <v>1027</v>
      </c>
      <c r="B180" t="s">
        <v>1451</v>
      </c>
    </row>
    <row r="181" spans="1:2">
      <c r="A181" t="s">
        <v>1452</v>
      </c>
      <c r="B181" t="s">
        <v>1453</v>
      </c>
    </row>
    <row r="182" spans="1:2">
      <c r="A182" t="s">
        <v>1455</v>
      </c>
      <c r="B182" t="s">
        <v>1456</v>
      </c>
    </row>
    <row r="183" spans="1:2">
      <c r="A183" t="s">
        <v>1186</v>
      </c>
      <c r="B183" t="s">
        <v>1458</v>
      </c>
    </row>
    <row r="184" spans="1:2">
      <c r="A184" t="s">
        <v>1460</v>
      </c>
      <c r="B184" t="s">
        <v>1461</v>
      </c>
    </row>
    <row r="185" spans="1:2">
      <c r="A185" t="s">
        <v>1196</v>
      </c>
      <c r="B185" t="s">
        <v>1462</v>
      </c>
    </row>
    <row r="186" spans="1:2">
      <c r="A186" t="s">
        <v>1463</v>
      </c>
      <c r="B186" t="s">
        <v>1464</v>
      </c>
    </row>
    <row r="187" spans="1:2">
      <c r="A187" t="s">
        <v>1377</v>
      </c>
      <c r="B187" t="s">
        <v>1465</v>
      </c>
    </row>
    <row r="188" spans="1:2">
      <c r="A188" t="s">
        <v>1466</v>
      </c>
      <c r="B188" t="s">
        <v>1467</v>
      </c>
    </row>
    <row r="189" spans="1:2">
      <c r="A189" t="s">
        <v>1151</v>
      </c>
      <c r="B189" t="s">
        <v>1469</v>
      </c>
    </row>
    <row r="190" spans="1:2">
      <c r="A190" t="s">
        <v>1340</v>
      </c>
      <c r="B190" t="s">
        <v>1470</v>
      </c>
    </row>
    <row r="191" spans="1:2">
      <c r="A191" t="s">
        <v>1245</v>
      </c>
      <c r="B191" t="s">
        <v>1471</v>
      </c>
    </row>
    <row r="192" spans="1:2">
      <c r="A192" t="s">
        <v>1383</v>
      </c>
      <c r="B192" t="s">
        <v>1472</v>
      </c>
    </row>
    <row r="193" spans="1:2">
      <c r="A193" t="s">
        <v>1409</v>
      </c>
      <c r="B193" t="s">
        <v>1473</v>
      </c>
    </row>
    <row r="194" spans="1:2">
      <c r="A194" t="s">
        <v>869</v>
      </c>
      <c r="B194" t="s">
        <v>1474</v>
      </c>
    </row>
    <row r="195" spans="1:2">
      <c r="A195" t="s">
        <v>1386</v>
      </c>
      <c r="B195" t="s">
        <v>1476</v>
      </c>
    </row>
    <row r="196" spans="1:2">
      <c r="A196" t="s">
        <v>1454</v>
      </c>
      <c r="B196" t="s">
        <v>1478</v>
      </c>
    </row>
    <row r="197" spans="1:2">
      <c r="A197" t="s">
        <v>1388</v>
      </c>
      <c r="B197" t="s">
        <v>1480</v>
      </c>
    </row>
    <row r="198" spans="1:2">
      <c r="A198" t="s">
        <v>1457</v>
      </c>
      <c r="B198" t="s">
        <v>1482</v>
      </c>
    </row>
    <row r="199" spans="1:2">
      <c r="A199" t="s">
        <v>1413</v>
      </c>
      <c r="B199" t="s">
        <v>1483</v>
      </c>
    </row>
    <row r="200" spans="1:2">
      <c r="A200" t="s">
        <v>1060</v>
      </c>
      <c r="B200" t="s">
        <v>1484</v>
      </c>
    </row>
    <row r="201" spans="1:2">
      <c r="A201" t="s">
        <v>1486</v>
      </c>
      <c r="B201" t="s">
        <v>1487</v>
      </c>
    </row>
    <row r="202" spans="1:2">
      <c r="A202" t="s">
        <v>1488</v>
      </c>
      <c r="B202" t="s">
        <v>1489</v>
      </c>
    </row>
    <row r="203" spans="1:2">
      <c r="A203" t="s">
        <v>1391</v>
      </c>
      <c r="B203" t="s">
        <v>1491</v>
      </c>
    </row>
    <row r="204" spans="1:2">
      <c r="A204" t="s">
        <v>1302</v>
      </c>
      <c r="B204" t="s">
        <v>1494</v>
      </c>
    </row>
    <row r="205" spans="1:2">
      <c r="A205" t="s">
        <v>1505</v>
      </c>
      <c r="B205" t="s">
        <v>1506</v>
      </c>
    </row>
    <row r="206" spans="1:2">
      <c r="A206" t="s">
        <v>976</v>
      </c>
      <c r="B206" t="s">
        <v>1495</v>
      </c>
    </row>
    <row r="207" spans="1:2">
      <c r="A207" t="s">
        <v>1210</v>
      </c>
      <c r="B207" t="s">
        <v>1497</v>
      </c>
    </row>
    <row r="208" spans="1:2">
      <c r="A208" t="s">
        <v>1264</v>
      </c>
      <c r="B208" t="s">
        <v>1499</v>
      </c>
    </row>
    <row r="209" spans="1:2">
      <c r="A209" t="s">
        <v>987</v>
      </c>
      <c r="B209" t="s">
        <v>1500</v>
      </c>
    </row>
    <row r="210" spans="1:2">
      <c r="A210" t="s">
        <v>1406</v>
      </c>
      <c r="B210" t="s">
        <v>1501</v>
      </c>
    </row>
    <row r="211" spans="1:2">
      <c r="A211" t="s">
        <v>1431</v>
      </c>
      <c r="B211" t="s">
        <v>1502</v>
      </c>
    </row>
    <row r="212" spans="1:2">
      <c r="A212" t="s">
        <v>1444</v>
      </c>
      <c r="B212" t="s">
        <v>1503</v>
      </c>
    </row>
    <row r="213" spans="1:2">
      <c r="A213" t="s">
        <v>1337</v>
      </c>
      <c r="B213" t="s">
        <v>1504</v>
      </c>
    </row>
  </sheetData>
  <autoFilter ref="A3:C213" xr:uid="{266B9312-8F15-486A-AD04-635DED15A50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10D8689B31B8B4B96874533B95D8B77" ma:contentTypeVersion="13" ma:contentTypeDescription="Create a new document." ma:contentTypeScope="" ma:versionID="1c08fcf3e6db4ef4f1af194f8085dd0e">
  <xsd:schema xmlns:xsd="http://www.w3.org/2001/XMLSchema" xmlns:xs="http://www.w3.org/2001/XMLSchema" xmlns:p="http://schemas.microsoft.com/office/2006/metadata/properties" xmlns:ns2="b184fd8c-feb0-44a2-8b5a-31cbef26b624" xmlns:ns3="5e17d599-2558-480c-a093-3f7153a2aab6" targetNamespace="http://schemas.microsoft.com/office/2006/metadata/properties" ma:root="true" ma:fieldsID="b1193c929575188f1c7aa06c0f5e6e8e" ns2:_="" ns3:_="">
    <xsd:import namespace="b184fd8c-feb0-44a2-8b5a-31cbef26b624"/>
    <xsd:import namespace="5e17d599-2558-480c-a093-3f7153a2aa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184fd8c-feb0-44a2-8b5a-31cbef26b6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17d599-2558-480c-a093-3f7153a2aab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5e17d599-2558-480c-a093-3f7153a2aab6">
      <UserInfo>
        <DisplayName>Benthe Roesing</DisplayName>
        <AccountId>1275</AccountId>
        <AccountType/>
      </UserInfo>
      <UserInfo>
        <DisplayName>Ryan Davey</DisplayName>
        <AccountId>117</AccountId>
        <AccountType/>
      </UserInfo>
      <UserInfo>
        <DisplayName>Arpan Priyamvada</DisplayName>
        <AccountId>11</AccountId>
        <AccountType/>
      </UserInfo>
      <UserInfo>
        <DisplayName>Stephan Bauer</DisplayName>
        <AccountId>1540</AccountId>
        <AccountType/>
      </UserInfo>
      <UserInfo>
        <DisplayName>Saskia Duexmann</DisplayName>
        <AccountId>85</AccountId>
        <AccountType/>
      </UserInfo>
      <UserInfo>
        <DisplayName>Erol Goekler</DisplayName>
        <AccountId>114</AccountId>
        <AccountType/>
      </UserInfo>
      <UserInfo>
        <DisplayName>Sabrina Fauszt</DisplayName>
        <AccountId>134</AccountId>
        <AccountType/>
      </UserInfo>
      <UserInfo>
        <DisplayName>Cara Kronenberg</DisplayName>
        <AccountId>1274</AccountId>
        <AccountType/>
      </UserInfo>
      <UserInfo>
        <DisplayName>Monika Buhler</DisplayName>
        <AccountId>1273</AccountId>
        <AccountType/>
      </UserInfo>
      <UserInfo>
        <DisplayName>Nagoi Rhennou</DisplayName>
        <AccountId>1797</AccountId>
        <AccountType/>
      </UserInfo>
      <UserInfo>
        <DisplayName>Vivien Kovacs</DisplayName>
        <AccountId>1796</AccountId>
        <AccountType/>
      </UserInfo>
      <UserInfo>
        <DisplayName>Shirin Janssen</DisplayName>
        <AccountId>2040</AccountId>
        <AccountType/>
      </UserInfo>
      <UserInfo>
        <DisplayName>Alina Schubert</DisplayName>
        <AccountId>1795</AccountId>
        <AccountType/>
      </UserInfo>
      <UserInfo>
        <DisplayName>Angela Nunez Uria</DisplayName>
        <AccountId>1816</AccountId>
        <AccountType/>
      </UserInfo>
      <UserInfo>
        <DisplayName>Xenia Schwitzgebel</DisplayName>
        <AccountId>2041</AccountId>
        <AccountType/>
      </UserInfo>
      <UserInfo>
        <DisplayName>Paulina Martinez</DisplayName>
        <AccountId>2141</AccountId>
        <AccountType/>
      </UserInfo>
      <UserInfo>
        <DisplayName>Luis Olvera</DisplayName>
        <AccountId>2143</AccountId>
        <AccountType/>
      </UserInfo>
      <UserInfo>
        <DisplayName>Miguel Caballero</DisplayName>
        <AccountId>2144</AccountId>
        <AccountType/>
      </UserInfo>
      <UserInfo>
        <DisplayName>Orlando Garcia</DisplayName>
        <AccountId>2145</AccountId>
        <AccountType/>
      </UserInfo>
      <UserInfo>
        <DisplayName>Sanjana.Ravindran-Essence</DisplayName>
        <AccountId>2162</AccountId>
        <AccountType/>
      </UserInfo>
      <UserInfo>
        <DisplayName>Abigail.Lim-Essence</DisplayName>
        <AccountId>2188</AccountId>
        <AccountType/>
      </UserInfo>
      <UserInfo>
        <DisplayName>SiawPhun.Bong-Essence</DisplayName>
        <AccountId>2187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2DD31FF3-92B0-4D74-BADB-1B175275D0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184fd8c-feb0-44a2-8b5a-31cbef26b624"/>
    <ds:schemaRef ds:uri="5e17d599-2558-480c-a093-3f7153a2aa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99C5F38-D50F-4C7A-A5D7-4021F6CE89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9728F9-BA8A-44BE-BDFD-0274D41C6252}">
  <ds:schemaRefs>
    <ds:schemaRef ds:uri="http://schemas.microsoft.com/office/2006/metadata/properties"/>
    <ds:schemaRef ds:uri="http://purl.org/dc/terms/"/>
    <ds:schemaRef ds:uri="5e17d599-2558-480c-a093-3f7153a2aab6"/>
    <ds:schemaRef ds:uri="http://purl.org/dc/elements/1.1/"/>
    <ds:schemaRef ds:uri="b184fd8c-feb0-44a2-8b5a-31cbef26b624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Campaign Name Generator</vt:lpstr>
      <vt:lpstr>Alpha-2 Reference Sheet</vt:lpstr>
      <vt:lpstr>COUNTRY CODES</vt:lpstr>
      <vt:lpstr>DV Lookups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Ryan Davey</dc:creator>
  <cp:keywords/>
  <dc:description/>
  <cp:lastModifiedBy>Felipe Lima</cp:lastModifiedBy>
  <cp:revision/>
  <dcterms:created xsi:type="dcterms:W3CDTF">2019-07-03T08:53:40Z</dcterms:created>
  <dcterms:modified xsi:type="dcterms:W3CDTF">2023-07-31T21:40:42Z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0x010100810D8689B31B8B4B96874533B95D8B77</vt:lpwstr>
  </property>
</Properties>
</file>