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insidemedia.sharepoint.com/sites/MarsGroupMW/Shared Documents/Digital/2022 Mars Inc Naming Convention/"/>
    </mc:Choice>
  </mc:AlternateContent>
  <xr:revisionPtr revIDLastSave="7" documentId="13_ncr:1_{A9C82771-8592-454F-8A35-982B2B33177F}" xr6:coauthVersionLast="47" xr6:coauthVersionMax="47" xr10:uidLastSave="{868090D6-4472-4094-8568-65C64673ACB0}"/>
  <bookViews>
    <workbookView xWindow="-120" yWindow="-120" windowWidth="20730" windowHeight="11160" tabRatio="605" firstSheet="1" activeTab="1" xr2:uid="{E8B8A425-F1B8-4442-A499-DF6D324F9DE1}"/>
  </bookViews>
  <sheets>
    <sheet name="How To Use" sheetId="5" state="hidden" r:id="rId1"/>
    <sheet name="Campaign Name Generator" sheetId="7" r:id="rId2"/>
    <sheet name="Alpha-2 Reference Sheet" sheetId="6" state="hidden" r:id="rId3"/>
    <sheet name="COUNTRY CODES" sheetId="4" state="hidden" r:id="rId4"/>
    <sheet name="DV Lookups" sheetId="2" state="hidden" r:id="rId5"/>
  </sheets>
  <definedNames>
    <definedName name="_xlnm._FilterDatabase" localSheetId="3" hidden="1">'COUNTRY CODES'!$A$1:$D$249</definedName>
    <definedName name="_xlnm._FilterDatabase" localSheetId="4" hidden="1">'DV Lookups'!$BA$2:$BA$114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7" l="1"/>
  <c r="Q4" i="7"/>
  <c r="Q5" i="7"/>
  <c r="Q6" i="7"/>
  <c r="Q7" i="7"/>
  <c r="Q8" i="7"/>
  <c r="Q9" i="7"/>
  <c r="L3" i="7"/>
  <c r="L4" i="7"/>
  <c r="L5" i="7"/>
  <c r="L6" i="7"/>
  <c r="L7" i="7"/>
  <c r="L8" i="7"/>
  <c r="L9" i="7"/>
  <c r="O3" i="7" l="1"/>
  <c r="O4" i="7"/>
  <c r="O5" i="7"/>
  <c r="O6" i="7"/>
  <c r="O7" i="7"/>
  <c r="O8" i="7"/>
  <c r="O9" i="7"/>
  <c r="B3" i="7"/>
  <c r="I3" i="7"/>
  <c r="I4" i="7"/>
  <c r="I5" i="7"/>
  <c r="I6" i="7"/>
  <c r="I7" i="7"/>
  <c r="I8" i="7"/>
  <c r="I9" i="7"/>
  <c r="E5" i="7" l="1"/>
  <c r="T5" i="7"/>
  <c r="E6" i="7"/>
  <c r="T6" i="7"/>
  <c r="E7" i="7"/>
  <c r="T7" i="7"/>
  <c r="E8" i="7"/>
  <c r="T8" i="7"/>
  <c r="E9" i="7"/>
  <c r="T9" i="7"/>
  <c r="Y3" i="7"/>
  <c r="Y4" i="7"/>
  <c r="Y5" i="7"/>
  <c r="Y6" i="7"/>
  <c r="Y7" i="7"/>
  <c r="Y8" i="7"/>
  <c r="Y9" i="7"/>
  <c r="E3" i="7" l="1"/>
  <c r="T3" i="7"/>
  <c r="T4" i="7"/>
  <c r="E4" i="7"/>
  <c r="C3" i="7"/>
  <c r="B4" i="7"/>
  <c r="B5" i="7"/>
  <c r="B6" i="7"/>
  <c r="AC6" i="7" s="1"/>
  <c r="B7" i="7"/>
  <c r="B8" i="7"/>
  <c r="B9" i="7"/>
  <c r="G3" i="7"/>
  <c r="G4" i="7"/>
  <c r="G5" i="7"/>
  <c r="G6" i="7"/>
  <c r="G7" i="7"/>
  <c r="G8" i="7"/>
  <c r="G9" i="7"/>
  <c r="AB9" i="7"/>
  <c r="AA9" i="7"/>
  <c r="AB8" i="7"/>
  <c r="AA8" i="7"/>
  <c r="AB7" i="7"/>
  <c r="AA7" i="7"/>
  <c r="AB6" i="7"/>
  <c r="AA6" i="7"/>
  <c r="AB5" i="7"/>
  <c r="AA5" i="7"/>
  <c r="AB4" i="7"/>
  <c r="AA4" i="7"/>
  <c r="AB3" i="7"/>
  <c r="AA3" i="7"/>
  <c r="AC9" i="7" l="1"/>
  <c r="AC3" i="7"/>
  <c r="AC5" i="7"/>
  <c r="AC8" i="7"/>
  <c r="AC4" i="7"/>
  <c r="AD4" i="7" s="1"/>
  <c r="AE4" i="7" s="1"/>
  <c r="AF4" i="7" s="1"/>
  <c r="AG4" i="7" s="1"/>
  <c r="AC7" i="7"/>
  <c r="C8" i="7"/>
  <c r="AD8" i="7"/>
  <c r="C6" i="7"/>
  <c r="AD6" i="7" s="1"/>
  <c r="AE6" i="7" s="1"/>
  <c r="AF6" i="7" s="1"/>
  <c r="AG6" i="7" s="1"/>
  <c r="C4" i="7"/>
  <c r="C7" i="7"/>
  <c r="C9" i="7"/>
  <c r="AD9" i="7" s="1"/>
  <c r="AE9" i="7" s="1"/>
  <c r="AF9" i="7" s="1"/>
  <c r="AG9" i="7" s="1"/>
  <c r="C5" i="7"/>
  <c r="AD5" i="7" s="1"/>
  <c r="AE5" i="7" s="1"/>
  <c r="AF5" i="7" s="1"/>
  <c r="AG5" i="7" s="1"/>
  <c r="AD3" i="7"/>
  <c r="AE3" i="7" s="1"/>
  <c r="AF3" i="7" s="1"/>
  <c r="AG3" i="7" s="1"/>
  <c r="AE8" i="7"/>
  <c r="AF8" i="7" s="1"/>
  <c r="AG8" i="7" s="1"/>
  <c r="AD7" i="7" l="1"/>
  <c r="AE7" i="7" s="1"/>
  <c r="AF7" i="7" s="1"/>
  <c r="AG7" i="7" s="1"/>
</calcChain>
</file>

<file path=xl/sharedStrings.xml><?xml version="1.0" encoding="utf-8"?>
<sst xmlns="http://schemas.openxmlformats.org/spreadsheetml/2006/main" count="4111" uniqueCount="2126">
  <si>
    <t>How to use the Billing Name Generator</t>
  </si>
  <si>
    <t>Choose your country's corresponding Alpha-2 code from the dropdown list. If you are not sure which to pick, use the 'Alpha-2 Reference Sheet' to help.</t>
  </si>
  <si>
    <t>From the dropdown list, choose the Mars sub-product that the campaign will be focused on.</t>
  </si>
  <si>
    <t>Type in a short descriptive detail to identify the campaign. DO NOT USE SPECIAL CHARACTERS. Spaces are okay.</t>
  </si>
  <si>
    <t>Campaign Names will not work in UK and DE finance systems if character count is above 6</t>
  </si>
  <si>
    <t>Choose the month that the campaign will start from the 'Campaign Start Month' dropdown.</t>
  </si>
  <si>
    <t>Choose the year that the campaign will start from the 'Campaign Start Year' dropdown.</t>
  </si>
  <si>
    <t>Choose the Mars Period that the campaign will start from the 'Mars Period' dropdown.</t>
  </si>
  <si>
    <t>Choose the Media Type that the campaign will run from the 'Media Type' dropdown.</t>
  </si>
  <si>
    <t>Type in the PO number which can be used to match this campaign to billing information</t>
  </si>
  <si>
    <t>Type in the Estimate Number which is used in the billing platform</t>
  </si>
  <si>
    <t>Market</t>
  </si>
  <si>
    <t>Market Code</t>
  </si>
  <si>
    <t>Sub-Product</t>
  </si>
  <si>
    <t>Sub-Product Code</t>
  </si>
  <si>
    <t>campaign name (free field)</t>
  </si>
  <si>
    <t>segment (LU Off Sub-Product)</t>
  </si>
  <si>
    <t>segment code (LU Off Segment)</t>
  </si>
  <si>
    <t>region</t>
  </si>
  <si>
    <t>region code (LU Off Region) - Options look way different</t>
  </si>
  <si>
    <t>business channel</t>
  </si>
  <si>
    <t>media channel</t>
  </si>
  <si>
    <t>objective</t>
  </si>
  <si>
    <t>Campaign Type</t>
  </si>
  <si>
    <t>addressable code</t>
  </si>
  <si>
    <t>Campaign Start Year</t>
  </si>
  <si>
    <t>Campaign Start Year Code</t>
  </si>
  <si>
    <t>Campaign Start Month</t>
  </si>
  <si>
    <t>Free Form</t>
  </si>
  <si>
    <t>CDD</t>
  </si>
  <si>
    <t>Zero</t>
  </si>
  <si>
    <t>CAMPAIGN NAME If Default</t>
  </si>
  <si>
    <t>Concatenation</t>
  </si>
  <si>
    <t>Hyphen</t>
  </si>
  <si>
    <t>TAG - DO NOT MAKE MANUAL EDITS</t>
  </si>
  <si>
    <t>Character Count</t>
  </si>
  <si>
    <t>UAE</t>
  </si>
  <si>
    <t>Whiskas</t>
  </si>
  <si>
    <t>Example</t>
  </si>
  <si>
    <t>Middle East and Africa</t>
  </si>
  <si>
    <t>Confections</t>
  </si>
  <si>
    <t>D2C</t>
  </si>
  <si>
    <t>audio</t>
  </si>
  <si>
    <t>awareness</t>
  </si>
  <si>
    <t>biddable-addressable</t>
  </si>
  <si>
    <t>example name</t>
  </si>
  <si>
    <t>Germany</t>
  </si>
  <si>
    <t>Extra Gum</t>
  </si>
  <si>
    <t>P1 VNP</t>
  </si>
  <si>
    <t>Europe</t>
  </si>
  <si>
    <t>Gum</t>
  </si>
  <si>
    <t>olv</t>
  </si>
  <si>
    <t>biddable-non addressable</t>
  </si>
  <si>
    <t>Test</t>
  </si>
  <si>
    <t>Snickers</t>
  </si>
  <si>
    <t>Chocolate</t>
  </si>
  <si>
    <t>tv</t>
  </si>
  <si>
    <t>direct-non addressable</t>
  </si>
  <si>
    <t>5 Gum</t>
  </si>
  <si>
    <t>Brand</t>
  </si>
  <si>
    <t>Region</t>
  </si>
  <si>
    <t>LATAM</t>
  </si>
  <si>
    <t>NA</t>
  </si>
  <si>
    <t>Country</t>
  </si>
  <si>
    <t>Country code</t>
  </si>
  <si>
    <t>AE</t>
  </si>
  <si>
    <t>Albania</t>
  </si>
  <si>
    <t>AL</t>
  </si>
  <si>
    <t>Argentina</t>
  </si>
  <si>
    <t>AR</t>
  </si>
  <si>
    <t>Austria</t>
  </si>
  <si>
    <t>AT</t>
  </si>
  <si>
    <t>Australia</t>
  </si>
  <si>
    <t>AU</t>
  </si>
  <si>
    <t>Azerbaijan</t>
  </si>
  <si>
    <t>AZ</t>
  </si>
  <si>
    <t>Bosnia</t>
  </si>
  <si>
    <t>BA</t>
  </si>
  <si>
    <t>Belgium</t>
  </si>
  <si>
    <t>BE</t>
  </si>
  <si>
    <t>Bulgaria</t>
  </si>
  <si>
    <t>BG</t>
  </si>
  <si>
    <t>Bahrain</t>
  </si>
  <si>
    <t>BH</t>
  </si>
  <si>
    <t>Brazil</t>
  </si>
  <si>
    <t>BR</t>
  </si>
  <si>
    <t>Belarus</t>
  </si>
  <si>
    <t>BY</t>
  </si>
  <si>
    <t>Canada</t>
  </si>
  <si>
    <t>CA</t>
  </si>
  <si>
    <t>Switzerland</t>
  </si>
  <si>
    <t>CH</t>
  </si>
  <si>
    <t>Chile</t>
  </si>
  <si>
    <t>CL</t>
  </si>
  <si>
    <t>China</t>
  </si>
  <si>
    <t>CN</t>
  </si>
  <si>
    <t>Colombia</t>
  </si>
  <si>
    <t>CO</t>
  </si>
  <si>
    <t>Costa Rica</t>
  </si>
  <si>
    <t>CR</t>
  </si>
  <si>
    <t>Czech Republic</t>
  </si>
  <si>
    <t>CZ</t>
  </si>
  <si>
    <t>DE</t>
  </si>
  <si>
    <t>Denmark</t>
  </si>
  <si>
    <t>DK</t>
  </si>
  <si>
    <t>Dominican Republic</t>
  </si>
  <si>
    <t>DO</t>
  </si>
  <si>
    <t>Ecuador</t>
  </si>
  <si>
    <t>EC</t>
  </si>
  <si>
    <t>Estonia</t>
  </si>
  <si>
    <t>EE</t>
  </si>
  <si>
    <t>Egypt</t>
  </si>
  <si>
    <t>EG</t>
  </si>
  <si>
    <t>Spain</t>
  </si>
  <si>
    <t>ES</t>
  </si>
  <si>
    <t>Finland</t>
  </si>
  <si>
    <t>FI</t>
  </si>
  <si>
    <t>France</t>
  </si>
  <si>
    <t>FR</t>
  </si>
  <si>
    <t>United Kingdom</t>
  </si>
  <si>
    <t>GB</t>
  </si>
  <si>
    <t>Georgia</t>
  </si>
  <si>
    <t>GE</t>
  </si>
  <si>
    <t>Greece</t>
  </si>
  <si>
    <t>GR</t>
  </si>
  <si>
    <t>Guatemala</t>
  </si>
  <si>
    <t>GT</t>
  </si>
  <si>
    <t>Gulf</t>
  </si>
  <si>
    <t>Hong Kong</t>
  </si>
  <si>
    <t>HK</t>
  </si>
  <si>
    <t>Croatia</t>
  </si>
  <si>
    <t>HR</t>
  </si>
  <si>
    <t>Hungary</t>
  </si>
  <si>
    <t>HU</t>
  </si>
  <si>
    <t>Indonesia</t>
  </si>
  <si>
    <t>ID</t>
  </si>
  <si>
    <t>Ireland</t>
  </si>
  <si>
    <t>IE</t>
  </si>
  <si>
    <t>Israel</t>
  </si>
  <si>
    <t>IL</t>
  </si>
  <si>
    <t>India</t>
  </si>
  <si>
    <t>IN</t>
  </si>
  <si>
    <t>Levant-Iraq</t>
  </si>
  <si>
    <t>IQ</t>
  </si>
  <si>
    <t>Italy</t>
  </si>
  <si>
    <t>IT</t>
  </si>
  <si>
    <t>Levant-Jordan</t>
  </si>
  <si>
    <t>JO</t>
  </si>
  <si>
    <t>Japan</t>
  </si>
  <si>
    <t>JP</t>
  </si>
  <si>
    <t>Kenya</t>
  </si>
  <si>
    <t>KE</t>
  </si>
  <si>
    <t>Korea</t>
  </si>
  <si>
    <t>KR</t>
  </si>
  <si>
    <t>KSA</t>
  </si>
  <si>
    <t>Kuwait</t>
  </si>
  <si>
    <t>KW</t>
  </si>
  <si>
    <t>Kazakhstan</t>
  </si>
  <si>
    <t>KZ</t>
  </si>
  <si>
    <t>Levant-Lebanon</t>
  </si>
  <si>
    <t>LB</t>
  </si>
  <si>
    <t>Lithuania</t>
  </si>
  <si>
    <t>LT</t>
  </si>
  <si>
    <t>Latvia</t>
  </si>
  <si>
    <t>LV</t>
  </si>
  <si>
    <t>Montenegro</t>
  </si>
  <si>
    <t>ME</t>
  </si>
  <si>
    <t>Macedonia</t>
  </si>
  <si>
    <t>MK</t>
  </si>
  <si>
    <t>Mexico</t>
  </si>
  <si>
    <t>MX</t>
  </si>
  <si>
    <t>Malaysia</t>
  </si>
  <si>
    <t>MY</t>
  </si>
  <si>
    <t>Netherlands</t>
  </si>
  <si>
    <t>NL</t>
  </si>
  <si>
    <t>Norway</t>
  </si>
  <si>
    <t>NO</t>
  </si>
  <si>
    <t>New Zealand</t>
  </si>
  <si>
    <t>NZ</t>
  </si>
  <si>
    <t>Oman</t>
  </si>
  <si>
    <t>OM</t>
  </si>
  <si>
    <t>Panama</t>
  </si>
  <si>
    <t>PA</t>
  </si>
  <si>
    <t>Peru</t>
  </si>
  <si>
    <t>PE</t>
  </si>
  <si>
    <t>Philippines</t>
  </si>
  <si>
    <t>PH</t>
  </si>
  <si>
    <t>Poland</t>
  </si>
  <si>
    <t>PL</t>
  </si>
  <si>
    <t>Puerto Rico</t>
  </si>
  <si>
    <t>PR</t>
  </si>
  <si>
    <t>Portugal</t>
  </si>
  <si>
    <t>PT</t>
  </si>
  <si>
    <t>Qatar</t>
  </si>
  <si>
    <t>QA</t>
  </si>
  <si>
    <t>Romania</t>
  </si>
  <si>
    <t>RO</t>
  </si>
  <si>
    <t>Serbia</t>
  </si>
  <si>
    <t>RS</t>
  </si>
  <si>
    <t>Russia</t>
  </si>
  <si>
    <t>RU</t>
  </si>
  <si>
    <t>Saudi Arabia</t>
  </si>
  <si>
    <t>SA</t>
  </si>
  <si>
    <t>Sweden</t>
  </si>
  <si>
    <t>SE</t>
  </si>
  <si>
    <t>Singapore</t>
  </si>
  <si>
    <t>SG</t>
  </si>
  <si>
    <t>Slovenia</t>
  </si>
  <si>
    <t>SI</t>
  </si>
  <si>
    <t>Slovakia</t>
  </si>
  <si>
    <t>SK</t>
  </si>
  <si>
    <t>Thailand</t>
  </si>
  <si>
    <t>TH</t>
  </si>
  <si>
    <t>Turkey</t>
  </si>
  <si>
    <t>TR</t>
  </si>
  <si>
    <t>Taiwan</t>
  </si>
  <si>
    <t>TW</t>
  </si>
  <si>
    <t>Ukraine</t>
  </si>
  <si>
    <t>UA</t>
  </si>
  <si>
    <t>Uganda</t>
  </si>
  <si>
    <t>UG</t>
  </si>
  <si>
    <t>USA</t>
  </si>
  <si>
    <t>US</t>
  </si>
  <si>
    <t>Vietnam</t>
  </si>
  <si>
    <t>VN</t>
  </si>
  <si>
    <t>Kosovo</t>
  </si>
  <si>
    <t>XK</t>
  </si>
  <si>
    <t>Yemen</t>
  </si>
  <si>
    <t>YE</t>
  </si>
  <si>
    <t>South Africa</t>
  </si>
  <si>
    <t>ZA</t>
  </si>
  <si>
    <t>Afghanistan</t>
  </si>
  <si>
    <t>AF</t>
  </si>
  <si>
    <t>AFG</t>
  </si>
  <si>
    <t>ALB</t>
  </si>
  <si>
    <t>Algeria</t>
  </si>
  <si>
    <t>DZ</t>
  </si>
  <si>
    <t>DZA</t>
  </si>
  <si>
    <t>American Samoa</t>
  </si>
  <si>
    <t>AS</t>
  </si>
  <si>
    <t>ASM</t>
  </si>
  <si>
    <t>Andorra</t>
  </si>
  <si>
    <t>AD</t>
  </si>
  <si>
    <t>AND</t>
  </si>
  <si>
    <t>Angola</t>
  </si>
  <si>
    <t>AO</t>
  </si>
  <si>
    <t>AGO</t>
  </si>
  <si>
    <t>Anguilla</t>
  </si>
  <si>
    <t>AI</t>
  </si>
  <si>
    <t>AIA</t>
  </si>
  <si>
    <t>Antarctica</t>
  </si>
  <si>
    <t>AQ</t>
  </si>
  <si>
    <t>ATA</t>
  </si>
  <si>
    <t>Antigua and Barbuda</t>
  </si>
  <si>
    <t>AG</t>
  </si>
  <si>
    <t>ATG</t>
  </si>
  <si>
    <t>ARG</t>
  </si>
  <si>
    <t>Armenia</t>
  </si>
  <si>
    <t>AM</t>
  </si>
  <si>
    <t>ARM</t>
  </si>
  <si>
    <t>Aruba</t>
  </si>
  <si>
    <t>AW</t>
  </si>
  <si>
    <t>ABW</t>
  </si>
  <si>
    <t>AUS</t>
  </si>
  <si>
    <t>AUT</t>
  </si>
  <si>
    <t>AZE</t>
  </si>
  <si>
    <t>Bahamas (the)</t>
  </si>
  <si>
    <t>BS</t>
  </si>
  <si>
    <t>BHS</t>
  </si>
  <si>
    <t>BHR</t>
  </si>
  <si>
    <t>Bangladesh</t>
  </si>
  <si>
    <t>BD</t>
  </si>
  <si>
    <t>BGD</t>
  </si>
  <si>
    <t>Barbados</t>
  </si>
  <si>
    <t>BB</t>
  </si>
  <si>
    <t>BRB</t>
  </si>
  <si>
    <t>BLR</t>
  </si>
  <si>
    <t>BEL</t>
  </si>
  <si>
    <t>Belize</t>
  </si>
  <si>
    <t>BZ</t>
  </si>
  <si>
    <t>BLZ</t>
  </si>
  <si>
    <t>Benin</t>
  </si>
  <si>
    <t>BJ</t>
  </si>
  <si>
    <t>BEN</t>
  </si>
  <si>
    <t>Bermuda</t>
  </si>
  <si>
    <t>BM</t>
  </si>
  <si>
    <t>BMU</t>
  </si>
  <si>
    <t>Bhutan</t>
  </si>
  <si>
    <t>BT</t>
  </si>
  <si>
    <t>BTN</t>
  </si>
  <si>
    <t>Bolivia (Plurinational State of)</t>
  </si>
  <si>
    <t>BO</t>
  </si>
  <si>
    <t>BOL</t>
  </si>
  <si>
    <t>Bonaire, Sint Eustatius and Saba</t>
  </si>
  <si>
    <t>BQ</t>
  </si>
  <si>
    <t>BES</t>
  </si>
  <si>
    <t>Bosnia and Herzegovina</t>
  </si>
  <si>
    <t>BIH</t>
  </si>
  <si>
    <t>Botswana</t>
  </si>
  <si>
    <t>BW</t>
  </si>
  <si>
    <t>BWA</t>
  </si>
  <si>
    <t>Bouvet Island</t>
  </si>
  <si>
    <t>BV</t>
  </si>
  <si>
    <t>BVT</t>
  </si>
  <si>
    <t>BRA</t>
  </si>
  <si>
    <t>British Indian Ocean Territory (the)</t>
  </si>
  <si>
    <t>IO</t>
  </si>
  <si>
    <t>IOT</t>
  </si>
  <si>
    <t>Brunei Darussalam</t>
  </si>
  <si>
    <t>BN</t>
  </si>
  <si>
    <t>BRN</t>
  </si>
  <si>
    <t>BGR</t>
  </si>
  <si>
    <t>Burkina Faso</t>
  </si>
  <si>
    <t>BF</t>
  </si>
  <si>
    <t>BFA</t>
  </si>
  <si>
    <t>Burundi</t>
  </si>
  <si>
    <t>BI</t>
  </si>
  <si>
    <t>BDI</t>
  </si>
  <si>
    <t>Cabo Verde</t>
  </si>
  <si>
    <t>CV</t>
  </si>
  <si>
    <t>CPV</t>
  </si>
  <si>
    <t>Cambodia</t>
  </si>
  <si>
    <t>KH</t>
  </si>
  <si>
    <t>KHM</t>
  </si>
  <si>
    <t>Cameroon</t>
  </si>
  <si>
    <t>CM</t>
  </si>
  <si>
    <t>CMR</t>
  </si>
  <si>
    <t>CAN</t>
  </si>
  <si>
    <t>Cayman Islands (the)</t>
  </si>
  <si>
    <t>KY</t>
  </si>
  <si>
    <t>CYM</t>
  </si>
  <si>
    <t>Central African Republic (the)</t>
  </si>
  <si>
    <t>CF</t>
  </si>
  <si>
    <t>CAF</t>
  </si>
  <si>
    <t>Chad</t>
  </si>
  <si>
    <t>TD</t>
  </si>
  <si>
    <t>TCD</t>
  </si>
  <si>
    <t>CHL</t>
  </si>
  <si>
    <t>CHN</t>
  </si>
  <si>
    <t>Christmas Island</t>
  </si>
  <si>
    <t>CX</t>
  </si>
  <si>
    <t>CXR</t>
  </si>
  <si>
    <t>Cocos (Keeling) Islands (the)</t>
  </si>
  <si>
    <t>CC</t>
  </si>
  <si>
    <t>CCK</t>
  </si>
  <si>
    <t>COL</t>
  </si>
  <si>
    <t>Comoros (the)</t>
  </si>
  <si>
    <t>KM</t>
  </si>
  <si>
    <t>COM</t>
  </si>
  <si>
    <t>Congo (the Democratic Republic of the)</t>
  </si>
  <si>
    <t>CD</t>
  </si>
  <si>
    <t>COD</t>
  </si>
  <si>
    <t>Congo (the)</t>
  </si>
  <si>
    <t>CG</t>
  </si>
  <si>
    <t>COG</t>
  </si>
  <si>
    <t>Cook Islands (the)</t>
  </si>
  <si>
    <t>CK</t>
  </si>
  <si>
    <t>COK</t>
  </si>
  <si>
    <t>CRI</t>
  </si>
  <si>
    <t>HRV</t>
  </si>
  <si>
    <t>Cuba</t>
  </si>
  <si>
    <t>CU</t>
  </si>
  <si>
    <t>CUB</t>
  </si>
  <si>
    <t>Curaçao</t>
  </si>
  <si>
    <t>CW</t>
  </si>
  <si>
    <t>CUW</t>
  </si>
  <si>
    <t>Cyprus</t>
  </si>
  <si>
    <t>CY</t>
  </si>
  <si>
    <t>CYP</t>
  </si>
  <si>
    <t>Czechia</t>
  </si>
  <si>
    <t>CZE</t>
  </si>
  <si>
    <t>Côte d'Ivoire</t>
  </si>
  <si>
    <t>CI</t>
  </si>
  <si>
    <t>CIV</t>
  </si>
  <si>
    <t>DNK</t>
  </si>
  <si>
    <t>Djibouti</t>
  </si>
  <si>
    <t>DJ</t>
  </si>
  <si>
    <t>DJI</t>
  </si>
  <si>
    <t>Dominica</t>
  </si>
  <si>
    <t>DM</t>
  </si>
  <si>
    <t>DMA</t>
  </si>
  <si>
    <t>Dominican Republic (the)</t>
  </si>
  <si>
    <t>DOM</t>
  </si>
  <si>
    <t>ECU</t>
  </si>
  <si>
    <t>EGY</t>
  </si>
  <si>
    <t>El Salvador</t>
  </si>
  <si>
    <t>SV</t>
  </si>
  <si>
    <t>SLV</t>
  </si>
  <si>
    <t>Equatorial Guinea</t>
  </si>
  <si>
    <t>GQ</t>
  </si>
  <si>
    <t>GNQ</t>
  </si>
  <si>
    <t>Eritrea</t>
  </si>
  <si>
    <t>ER</t>
  </si>
  <si>
    <t>ERI</t>
  </si>
  <si>
    <t>EST</t>
  </si>
  <si>
    <t>Eswatini</t>
  </si>
  <si>
    <t>SZ</t>
  </si>
  <si>
    <t>SWZ</t>
  </si>
  <si>
    <t>Ethiopia</t>
  </si>
  <si>
    <t>ET</t>
  </si>
  <si>
    <t>ETH</t>
  </si>
  <si>
    <t>Falkland Islands (the) [Malvinas]</t>
  </si>
  <si>
    <t>FK</t>
  </si>
  <si>
    <t>FLK</t>
  </si>
  <si>
    <t>Faroe Islands (the)</t>
  </si>
  <si>
    <t>FO</t>
  </si>
  <si>
    <t>FRO</t>
  </si>
  <si>
    <t>Fiji</t>
  </si>
  <si>
    <t>FJ</t>
  </si>
  <si>
    <t>FJI</t>
  </si>
  <si>
    <t>FIN</t>
  </si>
  <si>
    <t>FRA</t>
  </si>
  <si>
    <t>French Guiana</t>
  </si>
  <si>
    <t>GF</t>
  </si>
  <si>
    <t>GUF</t>
  </si>
  <si>
    <t>French Polynesia</t>
  </si>
  <si>
    <t>PF</t>
  </si>
  <si>
    <t>PYF</t>
  </si>
  <si>
    <t>French Southern Territories (the)</t>
  </si>
  <si>
    <t>TF</t>
  </si>
  <si>
    <t>ATF</t>
  </si>
  <si>
    <t>Gabon</t>
  </si>
  <si>
    <t>GA</t>
  </si>
  <si>
    <t>GAB</t>
  </si>
  <si>
    <t>Gambia (the)</t>
  </si>
  <si>
    <t>GM</t>
  </si>
  <si>
    <t>GMB</t>
  </si>
  <si>
    <t>GEO</t>
  </si>
  <si>
    <t>DEU</t>
  </si>
  <si>
    <t>Ghana</t>
  </si>
  <si>
    <t>GH</t>
  </si>
  <si>
    <t>GHA</t>
  </si>
  <si>
    <t>Gibraltar</t>
  </si>
  <si>
    <t>GI</t>
  </si>
  <si>
    <t>GIB</t>
  </si>
  <si>
    <t>GRC</t>
  </si>
  <si>
    <t>Greenland</t>
  </si>
  <si>
    <t>GL</t>
  </si>
  <si>
    <t>GRL</t>
  </si>
  <si>
    <t>Grenada</t>
  </si>
  <si>
    <t>GD</t>
  </si>
  <si>
    <t>GRD</t>
  </si>
  <si>
    <t>Guadeloupe</t>
  </si>
  <si>
    <t>GP</t>
  </si>
  <si>
    <t>GLP</t>
  </si>
  <si>
    <t>Guam</t>
  </si>
  <si>
    <t>GU</t>
  </si>
  <si>
    <t>GUM</t>
  </si>
  <si>
    <t>GTM</t>
  </si>
  <si>
    <t>Guernsey</t>
  </si>
  <si>
    <t>GG</t>
  </si>
  <si>
    <t>GGY</t>
  </si>
  <si>
    <t>Guinea</t>
  </si>
  <si>
    <t>GN</t>
  </si>
  <si>
    <t>GIN</t>
  </si>
  <si>
    <t>Guinea-Bissau</t>
  </si>
  <si>
    <t>GW</t>
  </si>
  <si>
    <t>GNB</t>
  </si>
  <si>
    <t>Guyana</t>
  </si>
  <si>
    <t>GY</t>
  </si>
  <si>
    <t>GUY</t>
  </si>
  <si>
    <t>Haiti</t>
  </si>
  <si>
    <t>HT</t>
  </si>
  <si>
    <t>HTI</t>
  </si>
  <si>
    <t>Heard Island and McDonald Islands</t>
  </si>
  <si>
    <t>HM</t>
  </si>
  <si>
    <t>HMD</t>
  </si>
  <si>
    <t>Holy See (the)</t>
  </si>
  <si>
    <t>VA</t>
  </si>
  <si>
    <t>VAT</t>
  </si>
  <si>
    <t>Honduras</t>
  </si>
  <si>
    <t>HN</t>
  </si>
  <si>
    <t>HND</t>
  </si>
  <si>
    <t>HKG</t>
  </si>
  <si>
    <t>HUN</t>
  </si>
  <si>
    <t>Iceland</t>
  </si>
  <si>
    <t>IS</t>
  </si>
  <si>
    <t>ISL</t>
  </si>
  <si>
    <t>IND</t>
  </si>
  <si>
    <t>IDN</t>
  </si>
  <si>
    <t>Iran (Islamic Republic of)</t>
  </si>
  <si>
    <t>IR</t>
  </si>
  <si>
    <t>IRN</t>
  </si>
  <si>
    <t>Iraq</t>
  </si>
  <si>
    <t>IRQ</t>
  </si>
  <si>
    <t>IRL</t>
  </si>
  <si>
    <t>Isle of Man</t>
  </si>
  <si>
    <t>IM</t>
  </si>
  <si>
    <t>IMN</t>
  </si>
  <si>
    <t>ISR</t>
  </si>
  <si>
    <t>ITA</t>
  </si>
  <si>
    <t>Jamaica</t>
  </si>
  <si>
    <t>JM</t>
  </si>
  <si>
    <t>JAM</t>
  </si>
  <si>
    <t>JPN</t>
  </si>
  <si>
    <t>Jersey</t>
  </si>
  <si>
    <t>JE</t>
  </si>
  <si>
    <t>JEY</t>
  </si>
  <si>
    <t>Jordan</t>
  </si>
  <si>
    <t>JOR</t>
  </si>
  <si>
    <t>KAZ</t>
  </si>
  <si>
    <t>KEN</t>
  </si>
  <si>
    <t>Kiribati</t>
  </si>
  <si>
    <t>KI</t>
  </si>
  <si>
    <t>KIR</t>
  </si>
  <si>
    <t>Korea (the Democratic People's Republic of)</t>
  </si>
  <si>
    <t>KP</t>
  </si>
  <si>
    <t>PRK</t>
  </si>
  <si>
    <t>Korea (the Republic of)</t>
  </si>
  <si>
    <t>KOR</t>
  </si>
  <si>
    <t>KWT</t>
  </si>
  <si>
    <t>Kyrgyzstan</t>
  </si>
  <si>
    <t>KG</t>
  </si>
  <si>
    <t>KGZ</t>
  </si>
  <si>
    <t>Lao People's Democratic Republic (the)</t>
  </si>
  <si>
    <t>LA</t>
  </si>
  <si>
    <t>LAO</t>
  </si>
  <si>
    <t>LVA</t>
  </si>
  <si>
    <t>Lebanon</t>
  </si>
  <si>
    <t>LBN</t>
  </si>
  <si>
    <t>Lesotho</t>
  </si>
  <si>
    <t>LS</t>
  </si>
  <si>
    <t>LSO</t>
  </si>
  <si>
    <t>Liberia</t>
  </si>
  <si>
    <t>LR</t>
  </si>
  <si>
    <t>LBR</t>
  </si>
  <si>
    <t>Libya</t>
  </si>
  <si>
    <t>LY</t>
  </si>
  <si>
    <t>LBY</t>
  </si>
  <si>
    <t>Liechtenstein</t>
  </si>
  <si>
    <t>LI</t>
  </si>
  <si>
    <t>LIE</t>
  </si>
  <si>
    <t>LTU</t>
  </si>
  <si>
    <t>Luxembourg</t>
  </si>
  <si>
    <t>LU</t>
  </si>
  <si>
    <t>LUX</t>
  </si>
  <si>
    <t>Macao</t>
  </si>
  <si>
    <t>MO</t>
  </si>
  <si>
    <t>MAC</t>
  </si>
  <si>
    <t>Madagascar</t>
  </si>
  <si>
    <t>MG</t>
  </si>
  <si>
    <t>MDG</t>
  </si>
  <si>
    <t>Malawi</t>
  </si>
  <si>
    <t>MW</t>
  </si>
  <si>
    <t>MWI</t>
  </si>
  <si>
    <t>MYS</t>
  </si>
  <si>
    <t>Maldives</t>
  </si>
  <si>
    <t>MV</t>
  </si>
  <si>
    <t>MDV</t>
  </si>
  <si>
    <t>Mali</t>
  </si>
  <si>
    <t>ML</t>
  </si>
  <si>
    <t>MLI</t>
  </si>
  <si>
    <t>Malta</t>
  </si>
  <si>
    <t>MT</t>
  </si>
  <si>
    <t>MLT</t>
  </si>
  <si>
    <t>Marshall Islands (the)</t>
  </si>
  <si>
    <t>MH</t>
  </si>
  <si>
    <t>MHL</t>
  </si>
  <si>
    <t>Martinique</t>
  </si>
  <si>
    <t>MQ</t>
  </si>
  <si>
    <t>MTQ</t>
  </si>
  <si>
    <t>Mauritania</t>
  </si>
  <si>
    <t>MR</t>
  </si>
  <si>
    <t>MRT</t>
  </si>
  <si>
    <t>Mauritius</t>
  </si>
  <si>
    <t>MU</t>
  </si>
  <si>
    <t>MUS</t>
  </si>
  <si>
    <t>Mayotte</t>
  </si>
  <si>
    <t>YT</t>
  </si>
  <si>
    <t>MYT</t>
  </si>
  <si>
    <t>MEX</t>
  </si>
  <si>
    <t>Micronesia (Federated States of)</t>
  </si>
  <si>
    <t>FM</t>
  </si>
  <si>
    <t>FSM</t>
  </si>
  <si>
    <t>Moldova (the Republic of)</t>
  </si>
  <si>
    <t>MD</t>
  </si>
  <si>
    <t>MDA</t>
  </si>
  <si>
    <t>Monaco</t>
  </si>
  <si>
    <t>MC</t>
  </si>
  <si>
    <t>MCO</t>
  </si>
  <si>
    <t>Mongolia</t>
  </si>
  <si>
    <t>MN</t>
  </si>
  <si>
    <t>MNG</t>
  </si>
  <si>
    <t>MNE</t>
  </si>
  <si>
    <t>Montserrat</t>
  </si>
  <si>
    <t>MS</t>
  </si>
  <si>
    <t>MSR</t>
  </si>
  <si>
    <t>Morocco</t>
  </si>
  <si>
    <t>MA</t>
  </si>
  <si>
    <t>MAR</t>
  </si>
  <si>
    <t>Mozambique</t>
  </si>
  <si>
    <t>MZ</t>
  </si>
  <si>
    <t>MOZ</t>
  </si>
  <si>
    <t>Myanmar</t>
  </si>
  <si>
    <t>MM</t>
  </si>
  <si>
    <t>MMR</t>
  </si>
  <si>
    <t>Namibia</t>
  </si>
  <si>
    <t>NAM</t>
  </si>
  <si>
    <t>Nauru</t>
  </si>
  <si>
    <t>NR</t>
  </si>
  <si>
    <t>NRU</t>
  </si>
  <si>
    <t>Nepal</t>
  </si>
  <si>
    <t>NP</t>
  </si>
  <si>
    <t>NPL</t>
  </si>
  <si>
    <t>Netherlands (the)</t>
  </si>
  <si>
    <t>NLD</t>
  </si>
  <si>
    <t>New Caledonia</t>
  </si>
  <si>
    <t>NC</t>
  </si>
  <si>
    <t>NCL</t>
  </si>
  <si>
    <t>NZL</t>
  </si>
  <si>
    <t>Nicaragua</t>
  </si>
  <si>
    <t>NI</t>
  </si>
  <si>
    <t>NIC</t>
  </si>
  <si>
    <t>Niger (the)</t>
  </si>
  <si>
    <t>NE</t>
  </si>
  <si>
    <t>NER</t>
  </si>
  <si>
    <t>Nigeria</t>
  </si>
  <si>
    <t>NG</t>
  </si>
  <si>
    <t>NGA</t>
  </si>
  <si>
    <t>Niue</t>
  </si>
  <si>
    <t>NU</t>
  </si>
  <si>
    <t>NIU</t>
  </si>
  <si>
    <t>Norfolk Island</t>
  </si>
  <si>
    <t>NF</t>
  </si>
  <si>
    <t>NFK</t>
  </si>
  <si>
    <t>Northern Mariana Islands (the)</t>
  </si>
  <si>
    <t>MP</t>
  </si>
  <si>
    <t>MNP</t>
  </si>
  <si>
    <t>NOR</t>
  </si>
  <si>
    <t>OMN</t>
  </si>
  <si>
    <t>Pakistan</t>
  </si>
  <si>
    <t>PK</t>
  </si>
  <si>
    <t>PAK</t>
  </si>
  <si>
    <t>Palau</t>
  </si>
  <si>
    <t>PW</t>
  </si>
  <si>
    <t>PLW</t>
  </si>
  <si>
    <t>Palestine, State of</t>
  </si>
  <si>
    <t>PS</t>
  </si>
  <si>
    <t>PSE</t>
  </si>
  <si>
    <t>PAN</t>
  </si>
  <si>
    <t>Papua New Guinea</t>
  </si>
  <si>
    <t>PG</t>
  </si>
  <si>
    <t>PNG</t>
  </si>
  <si>
    <t>Paraguay</t>
  </si>
  <si>
    <t>PY</t>
  </si>
  <si>
    <t>PRY</t>
  </si>
  <si>
    <t>PER</t>
  </si>
  <si>
    <t>Philippines (the)</t>
  </si>
  <si>
    <t>PHL</t>
  </si>
  <si>
    <t>Pitcairn</t>
  </si>
  <si>
    <t>PN</t>
  </si>
  <si>
    <t>PCN</t>
  </si>
  <si>
    <t>POL</t>
  </si>
  <si>
    <t>PRT</t>
  </si>
  <si>
    <t>PRI</t>
  </si>
  <si>
    <t>QAT</t>
  </si>
  <si>
    <t>Republic of North Macedonia</t>
  </si>
  <si>
    <t>MKD</t>
  </si>
  <si>
    <t>ROU</t>
  </si>
  <si>
    <t>Russian Federation (the)</t>
  </si>
  <si>
    <t>RUS</t>
  </si>
  <si>
    <t>Rwanda</t>
  </si>
  <si>
    <t>RW</t>
  </si>
  <si>
    <t>RWA</t>
  </si>
  <si>
    <t>Réunion</t>
  </si>
  <si>
    <t>RE</t>
  </si>
  <si>
    <t>REU</t>
  </si>
  <si>
    <t>Saint Barthélemy</t>
  </si>
  <si>
    <t>BL</t>
  </si>
  <si>
    <t>BLM</t>
  </si>
  <si>
    <t>Saint Helena, Ascension and Tristan da Cunha</t>
  </si>
  <si>
    <t>SH</t>
  </si>
  <si>
    <t>SHN</t>
  </si>
  <si>
    <t>Saint Kitts and Nevis</t>
  </si>
  <si>
    <t>KN</t>
  </si>
  <si>
    <t>KNA</t>
  </si>
  <si>
    <t>Saint Lucia</t>
  </si>
  <si>
    <t>LC</t>
  </si>
  <si>
    <t>LCA</t>
  </si>
  <si>
    <t>Saint Martin (French part)</t>
  </si>
  <si>
    <t>MF</t>
  </si>
  <si>
    <t>MAF</t>
  </si>
  <si>
    <t>Saint Pierre and Miquelon</t>
  </si>
  <si>
    <t>PM</t>
  </si>
  <si>
    <t>SPM</t>
  </si>
  <si>
    <t>Saint Vincent and the Grenadines</t>
  </si>
  <si>
    <t>VC</t>
  </si>
  <si>
    <t>VCT</t>
  </si>
  <si>
    <t>Samoa</t>
  </si>
  <si>
    <t>WS</t>
  </si>
  <si>
    <t>WSM</t>
  </si>
  <si>
    <t>San Marino</t>
  </si>
  <si>
    <t>SM</t>
  </si>
  <si>
    <t>SMR</t>
  </si>
  <si>
    <t>Sao Tome and Principe</t>
  </si>
  <si>
    <t>ST</t>
  </si>
  <si>
    <t>STP</t>
  </si>
  <si>
    <t>SAU</t>
  </si>
  <si>
    <t>Senegal</t>
  </si>
  <si>
    <t>SN</t>
  </si>
  <si>
    <t>SEN</t>
  </si>
  <si>
    <t>SRB</t>
  </si>
  <si>
    <t>Seychelles</t>
  </si>
  <si>
    <t>SC</t>
  </si>
  <si>
    <t>SYC</t>
  </si>
  <si>
    <t>Sierra Leone</t>
  </si>
  <si>
    <t>SL</t>
  </si>
  <si>
    <t>SLE</t>
  </si>
  <si>
    <t>SGP</t>
  </si>
  <si>
    <t>Sint Maarten (Dutch part)</t>
  </si>
  <si>
    <t>SX</t>
  </si>
  <si>
    <t>SXM</t>
  </si>
  <si>
    <t>SVK</t>
  </si>
  <si>
    <t>SVN</t>
  </si>
  <si>
    <t>Solomon Islands</t>
  </si>
  <si>
    <t>SB</t>
  </si>
  <si>
    <t>SLB</t>
  </si>
  <si>
    <t>Somalia</t>
  </si>
  <si>
    <t>SO</t>
  </si>
  <si>
    <t>SOM</t>
  </si>
  <si>
    <t>ZAF</t>
  </si>
  <si>
    <t>South Georgia and the South Sandwich Islands</t>
  </si>
  <si>
    <t>GS</t>
  </si>
  <si>
    <t>SGS</t>
  </si>
  <si>
    <t>South Sudan</t>
  </si>
  <si>
    <t>SS</t>
  </si>
  <si>
    <t>SSD</t>
  </si>
  <si>
    <t>ESP</t>
  </si>
  <si>
    <t>Sri Lanka</t>
  </si>
  <si>
    <t>LK</t>
  </si>
  <si>
    <t>LKA</t>
  </si>
  <si>
    <t>Sudan (the)</t>
  </si>
  <si>
    <t>SD</t>
  </si>
  <si>
    <t>SDN</t>
  </si>
  <si>
    <t>Suriname</t>
  </si>
  <si>
    <t>SR</t>
  </si>
  <si>
    <t>SUR</t>
  </si>
  <si>
    <t>Svalbard and Jan Mayen</t>
  </si>
  <si>
    <t>SJ</t>
  </si>
  <si>
    <t>SJM</t>
  </si>
  <si>
    <t>SWE</t>
  </si>
  <si>
    <t>CHE</t>
  </si>
  <si>
    <t>Syrian Arab Republic</t>
  </si>
  <si>
    <t>SY</t>
  </si>
  <si>
    <t>SYR</t>
  </si>
  <si>
    <t>Taiwan (Province of China)</t>
  </si>
  <si>
    <t>TWN</t>
  </si>
  <si>
    <t>Tajikistan</t>
  </si>
  <si>
    <t>TJ</t>
  </si>
  <si>
    <t>TJK</t>
  </si>
  <si>
    <t>Tanzania, United Republic of</t>
  </si>
  <si>
    <t>TZ</t>
  </si>
  <si>
    <t>TZA</t>
  </si>
  <si>
    <t>THA</t>
  </si>
  <si>
    <t>Timor-Leste</t>
  </si>
  <si>
    <t>TL</t>
  </si>
  <si>
    <t>TLS</t>
  </si>
  <si>
    <t>Togo</t>
  </si>
  <si>
    <t>TG</t>
  </si>
  <si>
    <t>TGO</t>
  </si>
  <si>
    <t>Tokelau</t>
  </si>
  <si>
    <t>TK</t>
  </si>
  <si>
    <t>TKL</t>
  </si>
  <si>
    <t>Tonga</t>
  </si>
  <si>
    <t>TO</t>
  </si>
  <si>
    <t>TON</t>
  </si>
  <si>
    <t>Trinidad and Tobago</t>
  </si>
  <si>
    <t>TT</t>
  </si>
  <si>
    <t>TTO</t>
  </si>
  <si>
    <t>Tunisia</t>
  </si>
  <si>
    <t>TN</t>
  </si>
  <si>
    <t>TUN</t>
  </si>
  <si>
    <t>TUR</t>
  </si>
  <si>
    <t>Turkmenistan</t>
  </si>
  <si>
    <t>TM</t>
  </si>
  <si>
    <t>TKM</t>
  </si>
  <si>
    <t>Turks and Caicos Islands (the)</t>
  </si>
  <si>
    <t>TC</t>
  </si>
  <si>
    <t>TCA</t>
  </si>
  <si>
    <t>Tuvalu</t>
  </si>
  <si>
    <t>TV</t>
  </si>
  <si>
    <t>TUV</t>
  </si>
  <si>
    <t>UGA</t>
  </si>
  <si>
    <t>UKR</t>
  </si>
  <si>
    <t>United Arab Emirates (the)</t>
  </si>
  <si>
    <t>ARE</t>
  </si>
  <si>
    <t>United Kingdom of Great Britain and Northern Ireland (the)</t>
  </si>
  <si>
    <t>GBR</t>
  </si>
  <si>
    <t>United States Minor Outlying Islands (the)</t>
  </si>
  <si>
    <t>UM</t>
  </si>
  <si>
    <t>UMI</t>
  </si>
  <si>
    <t>United States of America (the)</t>
  </si>
  <si>
    <t>Uruguay</t>
  </si>
  <si>
    <t>UY</t>
  </si>
  <si>
    <t>URY</t>
  </si>
  <si>
    <t>Uzbekistan</t>
  </si>
  <si>
    <t>UZ</t>
  </si>
  <si>
    <t>UZB</t>
  </si>
  <si>
    <t>Vanuatu</t>
  </si>
  <si>
    <t>VU</t>
  </si>
  <si>
    <t>VUT</t>
  </si>
  <si>
    <t>Venezuela (Bolivarian Republic of)</t>
  </si>
  <si>
    <t>VE</t>
  </si>
  <si>
    <t>VEN</t>
  </si>
  <si>
    <t>Viet Nam</t>
  </si>
  <si>
    <t>VNM</t>
  </si>
  <si>
    <t>Virgin Islands (British)</t>
  </si>
  <si>
    <t>VG</t>
  </si>
  <si>
    <t>VGB</t>
  </si>
  <si>
    <t>Virgin Islands (U.S.)</t>
  </si>
  <si>
    <t>VI</t>
  </si>
  <si>
    <t>VIR</t>
  </si>
  <si>
    <t>Wallis and Futuna</t>
  </si>
  <si>
    <t>WF</t>
  </si>
  <si>
    <t>WLF</t>
  </si>
  <si>
    <t>Western Sahara</t>
  </si>
  <si>
    <t>EH</t>
  </si>
  <si>
    <t>ESH</t>
  </si>
  <si>
    <t>YEM</t>
  </si>
  <si>
    <t>Zambia</t>
  </si>
  <si>
    <t>ZM</t>
  </si>
  <si>
    <t>ZMB</t>
  </si>
  <si>
    <t>Zimbabwe</t>
  </si>
  <si>
    <t>ZW</t>
  </si>
  <si>
    <t>ZWE</t>
  </si>
  <si>
    <t>Åland Islands</t>
  </si>
  <si>
    <t>AX</t>
  </si>
  <si>
    <t>ALA</t>
  </si>
  <si>
    <t>Product</t>
  </si>
  <si>
    <t>Extra</t>
  </si>
  <si>
    <t>Sub Product to Segment</t>
  </si>
  <si>
    <t>Country to Region</t>
  </si>
  <si>
    <t>Sub-Product to  Portfolio</t>
  </si>
  <si>
    <t>Segment Lookup</t>
  </si>
  <si>
    <t>Region to Region Code</t>
  </si>
  <si>
    <t>Portfolio to Code LU</t>
  </si>
  <si>
    <t>Essence DV Options</t>
  </si>
  <si>
    <t>Country code Values</t>
  </si>
  <si>
    <t>Month</t>
  </si>
  <si>
    <t>Year</t>
  </si>
  <si>
    <t>Media Types</t>
  </si>
  <si>
    <t>Media Type Lookup</t>
  </si>
  <si>
    <t>Mars Period</t>
  </si>
  <si>
    <t>Segment</t>
  </si>
  <si>
    <t>Pet Portfolio</t>
  </si>
  <si>
    <t>Segment Code</t>
  </si>
  <si>
    <t>Region Code</t>
  </si>
  <si>
    <t>Portfolio Code</t>
  </si>
  <si>
    <t>portfolio code</t>
  </si>
  <si>
    <t>addressable</t>
  </si>
  <si>
    <t>1 in 6</t>
  </si>
  <si>
    <t>ois</t>
  </si>
  <si>
    <t>Added Value</t>
  </si>
  <si>
    <t>AV</t>
  </si>
  <si>
    <t>P1</t>
  </si>
  <si>
    <t>Temptations</t>
  </si>
  <si>
    <t>Not Petcare</t>
  </si>
  <si>
    <t>mw</t>
  </si>
  <si>
    <t>Asia Pacific</t>
  </si>
  <si>
    <t>apac</t>
  </si>
  <si>
    <t>Care and treats</t>
  </si>
  <si>
    <t>CT</t>
  </si>
  <si>
    <t>care-treat</t>
  </si>
  <si>
    <t>affiliates</t>
  </si>
  <si>
    <t>bid-adr</t>
  </si>
  <si>
    <t>gm5</t>
  </si>
  <si>
    <t>Advanced/Connected TV</t>
  </si>
  <si>
    <t>CTV</t>
  </si>
  <si>
    <t>P2</t>
  </si>
  <si>
    <t>Europe 1</t>
  </si>
  <si>
    <t>Oral Care</t>
  </si>
  <si>
    <t>Petcare</t>
  </si>
  <si>
    <t>pn</t>
  </si>
  <si>
    <t>eur</t>
  </si>
  <si>
    <t>Dog Main Meal</t>
  </si>
  <si>
    <t>DMM</t>
  </si>
  <si>
    <t>dog-mm</t>
  </si>
  <si>
    <t>views</t>
  </si>
  <si>
    <t>biddable-data driven audience</t>
  </si>
  <si>
    <t>bid-dda</t>
  </si>
  <si>
    <t>Adoption</t>
  </si>
  <si>
    <t>adp</t>
  </si>
  <si>
    <t>Amplification</t>
  </si>
  <si>
    <t>AMP</t>
  </si>
  <si>
    <t>P3</t>
  </si>
  <si>
    <t>Ben’s Original RTH</t>
  </si>
  <si>
    <t>Royal Canin</t>
  </si>
  <si>
    <t>rc</t>
  </si>
  <si>
    <t>Latin America</t>
  </si>
  <si>
    <t>latam</t>
  </si>
  <si>
    <t>Cat Main Meal and Litter</t>
  </si>
  <si>
    <t>CML</t>
  </si>
  <si>
    <t>cat-mml</t>
  </si>
  <si>
    <t>DCOM</t>
  </si>
  <si>
    <t>display</t>
  </si>
  <si>
    <t>engagement</t>
  </si>
  <si>
    <t>bid-nadr</t>
  </si>
  <si>
    <t>Advance</t>
  </si>
  <si>
    <t>adv</t>
  </si>
  <si>
    <t>Audio Streaming</t>
  </si>
  <si>
    <t>P4</t>
  </si>
  <si>
    <t>Iams Cat</t>
  </si>
  <si>
    <t>Food</t>
  </si>
  <si>
    <t>food</t>
  </si>
  <si>
    <t>mea</t>
  </si>
  <si>
    <t>Super Premium Health</t>
  </si>
  <si>
    <t>SPH</t>
  </si>
  <si>
    <t>sph</t>
  </si>
  <si>
    <t>Sales</t>
  </si>
  <si>
    <t>ecom</t>
  </si>
  <si>
    <t>traffic</t>
  </si>
  <si>
    <t>biddable - icj</t>
  </si>
  <si>
    <t>bid-icj</t>
  </si>
  <si>
    <t>Airwaves</t>
  </si>
  <si>
    <t>wav</t>
  </si>
  <si>
    <t>Broadcaster VoD</t>
  </si>
  <si>
    <t>BVO</t>
  </si>
  <si>
    <t>P5</t>
  </si>
  <si>
    <t>Iams Dog</t>
  </si>
  <si>
    <t>Kind</t>
  </si>
  <si>
    <t>North America</t>
  </si>
  <si>
    <t>na</t>
  </si>
  <si>
    <t>Ferret</t>
  </si>
  <si>
    <t>influencer</t>
  </si>
  <si>
    <t>Leads</t>
  </si>
  <si>
    <t>biddable-addressable-icj</t>
  </si>
  <si>
    <t>bid-adr-icj</t>
  </si>
  <si>
    <t>Alert</t>
  </si>
  <si>
    <t>alr</t>
  </si>
  <si>
    <t>Bus</t>
  </si>
  <si>
    <t>BUS</t>
  </si>
  <si>
    <t>P6</t>
  </si>
  <si>
    <t>Mars</t>
  </si>
  <si>
    <t>Mars, Inc.</t>
  </si>
  <si>
    <t>inc</t>
  </si>
  <si>
    <t>Fish</t>
  </si>
  <si>
    <t>FSH</t>
  </si>
  <si>
    <t>app install</t>
  </si>
  <si>
    <t>direct-addressable</t>
  </si>
  <si>
    <t>dir-adr</t>
  </si>
  <si>
    <t>All Themes</t>
  </si>
  <si>
    <t>all</t>
  </si>
  <si>
    <t>Cinema</t>
  </si>
  <si>
    <t>CNM</t>
  </si>
  <si>
    <t>P7</t>
  </si>
  <si>
    <t>CHO</t>
  </si>
  <si>
    <t>choc</t>
  </si>
  <si>
    <t>ooh</t>
  </si>
  <si>
    <t>conversions</t>
  </si>
  <si>
    <t>direct-data driven audience</t>
  </si>
  <si>
    <t>dir-dda</t>
  </si>
  <si>
    <t>Almond and coconut</t>
  </si>
  <si>
    <t>anc</t>
  </si>
  <si>
    <t>Contracts</t>
  </si>
  <si>
    <t>CTS</t>
  </si>
  <si>
    <t>P8</t>
  </si>
  <si>
    <t>Altoids</t>
  </si>
  <si>
    <t>M&amp;Ms</t>
  </si>
  <si>
    <t>CON</t>
  </si>
  <si>
    <t>conf</t>
  </si>
  <si>
    <t>other</t>
  </si>
  <si>
    <t>dir-nadr</t>
  </si>
  <si>
    <t>alt</t>
  </si>
  <si>
    <t>Couponing</t>
  </si>
  <si>
    <t>CPN</t>
  </si>
  <si>
    <t>P9</t>
  </si>
  <si>
    <t>Balisto</t>
  </si>
  <si>
    <t>Asia</t>
  </si>
  <si>
    <t>ppc</t>
  </si>
  <si>
    <t>direct-icj</t>
  </si>
  <si>
    <t>dir-icj</t>
  </si>
  <si>
    <t>American Heritage</t>
  </si>
  <si>
    <t>amh</t>
  </si>
  <si>
    <t>Digital</t>
  </si>
  <si>
    <t>DGT</t>
  </si>
  <si>
    <t>P10</t>
  </si>
  <si>
    <t>Birth and Growth</t>
  </si>
  <si>
    <t>META</t>
  </si>
  <si>
    <t>Whiskas Wet</t>
  </si>
  <si>
    <t>Ice Cream</t>
  </si>
  <si>
    <t>ICE</t>
  </si>
  <si>
    <t>ice-cream</t>
  </si>
  <si>
    <t>print</t>
  </si>
  <si>
    <t>direct-addressable-icj</t>
  </si>
  <si>
    <t>dir-adr-icj</t>
  </si>
  <si>
    <t>bal</t>
  </si>
  <si>
    <t>Digital Display</t>
  </si>
  <si>
    <t>DD</t>
  </si>
  <si>
    <t>P11</t>
  </si>
  <si>
    <t>Bites</t>
  </si>
  <si>
    <t>Cesar</t>
  </si>
  <si>
    <t>Mints</t>
  </si>
  <si>
    <t>MIN</t>
  </si>
  <si>
    <t>mints</t>
  </si>
  <si>
    <t>search</t>
  </si>
  <si>
    <t>Ben’s Original</t>
  </si>
  <si>
    <t>ubn</t>
  </si>
  <si>
    <t>Digital Partnership</t>
  </si>
  <si>
    <t>DP</t>
  </si>
  <si>
    <t>P12</t>
  </si>
  <si>
    <t>Boomer</t>
  </si>
  <si>
    <t>Pedigree Dry</t>
  </si>
  <si>
    <t>Other</t>
  </si>
  <si>
    <t>OTH</t>
  </si>
  <si>
    <t>social</t>
  </si>
  <si>
    <t>Ben’s Original Beginner’s</t>
  </si>
  <si>
    <t>ubb</t>
  </si>
  <si>
    <t>Digital VOD</t>
  </si>
  <si>
    <t>DVO</t>
  </si>
  <si>
    <t>P13</t>
  </si>
  <si>
    <t>Bounty</t>
  </si>
  <si>
    <t>Dolmio</t>
  </si>
  <si>
    <t>sub-snacks</t>
  </si>
  <si>
    <t>Ben’s Original BIB</t>
  </si>
  <si>
    <t>ubi</t>
  </si>
  <si>
    <t>DVD</t>
  </si>
  <si>
    <t>Breed</t>
  </si>
  <si>
    <t>rth</t>
  </si>
  <si>
    <t>Ben’s Original Hero Meals</t>
  </si>
  <si>
    <t>ubh</t>
  </si>
  <si>
    <t>E-Commerce</t>
  </si>
  <si>
    <t>Care &amp; Sensitivities</t>
  </si>
  <si>
    <t>Skittles</t>
  </si>
  <si>
    <t>mf-hs</t>
  </si>
  <si>
    <t>ubr</t>
  </si>
  <si>
    <t>Hispanic Digital OOH</t>
  </si>
  <si>
    <t>HDO</t>
  </si>
  <si>
    <t>Catisfactions</t>
  </si>
  <si>
    <t>DoubleMint Mints</t>
  </si>
  <si>
    <t>mf-fs</t>
  </si>
  <si>
    <t>Ben’s Original Sauces</t>
  </si>
  <si>
    <t>ubs</t>
  </si>
  <si>
    <t>Hispanic Magazines</t>
  </si>
  <si>
    <t>Catsan</t>
  </si>
  <si>
    <t>dolmio</t>
  </si>
  <si>
    <t>Ben’s Original Twinpot</t>
  </si>
  <si>
    <t>ubt</t>
  </si>
  <si>
    <t>Hispanic Online Video</t>
  </si>
  <si>
    <t>HOV</t>
  </si>
  <si>
    <t>Celebrations</t>
  </si>
  <si>
    <t>Twix</t>
  </si>
  <si>
    <t>tb</t>
  </si>
  <si>
    <t>bag</t>
  </si>
  <si>
    <t>Hispanic OOH</t>
  </si>
  <si>
    <t>HOH</t>
  </si>
  <si>
    <t>Europe 2</t>
  </si>
  <si>
    <t>Juicy Fruit</t>
  </si>
  <si>
    <t>tb-fs</t>
  </si>
  <si>
    <t>Biscrok</t>
  </si>
  <si>
    <t>bis</t>
  </si>
  <si>
    <t>Hispanic Paid Social Video</t>
  </si>
  <si>
    <t>HSV</t>
  </si>
  <si>
    <t>Chappi</t>
  </si>
  <si>
    <t>Nutro</t>
  </si>
  <si>
    <t>soc</t>
  </si>
  <si>
    <t>bit</t>
  </si>
  <si>
    <t>Hispanic Spot Radio</t>
  </si>
  <si>
    <t>HSR</t>
  </si>
  <si>
    <t>CocoaVia</t>
  </si>
  <si>
    <t>dry</t>
  </si>
  <si>
    <t>Blueberry almond</t>
  </si>
  <si>
    <t>bla</t>
  </si>
  <si>
    <t>Hispanic TV</t>
  </si>
  <si>
    <t>HTV</t>
  </si>
  <si>
    <t>Combos</t>
  </si>
  <si>
    <t>Blueberry vanilla and cashew</t>
  </si>
  <si>
    <t>bvc</t>
  </si>
  <si>
    <t>Magazines</t>
  </si>
  <si>
    <t>M</t>
  </si>
  <si>
    <t>Consideration</t>
  </si>
  <si>
    <t>Eukanuba</t>
  </si>
  <si>
    <t>bom</t>
  </si>
  <si>
    <t>Magazines + Newspapers</t>
  </si>
  <si>
    <t>MNN</t>
  </si>
  <si>
    <t>Cool Air</t>
  </si>
  <si>
    <t>bou</t>
  </si>
  <si>
    <t>Malls</t>
  </si>
  <si>
    <t>MAL</t>
  </si>
  <si>
    <t>Crave</t>
  </si>
  <si>
    <t>DoubleMint Gum</t>
  </si>
  <si>
    <t>bre</t>
  </si>
  <si>
    <t>Mobile Display</t>
  </si>
  <si>
    <t>Crispy</t>
  </si>
  <si>
    <t>Eclipse Gum</t>
  </si>
  <si>
    <t>Caramel almond and sea salt</t>
  </si>
  <si>
    <t>css</t>
  </si>
  <si>
    <t>Mobile Video</t>
  </si>
  <si>
    <t>Dine</t>
  </si>
  <si>
    <t>LifeSaver Mints</t>
  </si>
  <si>
    <t>cas</t>
  </si>
  <si>
    <t>Newspapers</t>
  </si>
  <si>
    <t>Excel Mints</t>
  </si>
  <si>
    <t>caf</t>
  </si>
  <si>
    <t>Non Measured TV</t>
  </si>
  <si>
    <t>NMT</t>
  </si>
  <si>
    <t>cat</t>
  </si>
  <si>
    <t>Online Video</t>
  </si>
  <si>
    <t>OV</t>
  </si>
  <si>
    <t>Greenies</t>
  </si>
  <si>
    <t>cel</t>
  </si>
  <si>
    <t>OOH Video</t>
  </si>
  <si>
    <t>OHV</t>
  </si>
  <si>
    <t>Dove / Galaxy</t>
  </si>
  <si>
    <t>ces</t>
  </si>
  <si>
    <t>Dreamies</t>
  </si>
  <si>
    <t>Champ Dry</t>
  </si>
  <si>
    <t>chd</t>
  </si>
  <si>
    <t>Other (OOH)</t>
  </si>
  <si>
    <t>OOH</t>
  </si>
  <si>
    <t>Ebly</t>
  </si>
  <si>
    <t>cha</t>
  </si>
  <si>
    <t>Paid Search</t>
  </si>
  <si>
    <t>Chocolate Digital Pot</t>
  </si>
  <si>
    <t>cdp</t>
  </si>
  <si>
    <t>Paid Social Display</t>
  </si>
  <si>
    <t>PSD</t>
  </si>
  <si>
    <t>Eclipse Mints</t>
  </si>
  <si>
    <t>Chocolate Multi-brand</t>
  </si>
  <si>
    <t>cmb</t>
  </si>
  <si>
    <t>Paid Social Video</t>
  </si>
  <si>
    <t>PSV</t>
  </si>
  <si>
    <t>Enterprise</t>
  </si>
  <si>
    <t>Pedigree</t>
  </si>
  <si>
    <t>Chocolate Shopper</t>
  </si>
  <si>
    <t>csh</t>
  </si>
  <si>
    <t>Paid TV</t>
  </si>
  <si>
    <t>PTV</t>
  </si>
  <si>
    <t>ccv</t>
  </si>
  <si>
    <t>Partnership</t>
  </si>
  <si>
    <t>Excel Drops</t>
  </si>
  <si>
    <t>Sticks</t>
  </si>
  <si>
    <t>com</t>
  </si>
  <si>
    <t>Excel Gum</t>
  </si>
  <si>
    <t>Conejos</t>
  </si>
  <si>
    <t>coj</t>
  </si>
  <si>
    <t>Premium Online Display</t>
  </si>
  <si>
    <t>POD</t>
  </si>
  <si>
    <t>Sheba</t>
  </si>
  <si>
    <t>Cat Portfolio</t>
  </si>
  <si>
    <t>cod</t>
  </si>
  <si>
    <t>Premium Online Video</t>
  </si>
  <si>
    <t>POV</t>
  </si>
  <si>
    <t>Exelcat</t>
  </si>
  <si>
    <t>Orbit Gum</t>
  </si>
  <si>
    <t>coa</t>
  </si>
  <si>
    <t>Press Partnership</t>
  </si>
  <si>
    <t>PP</t>
  </si>
  <si>
    <t>Maltesers</t>
  </si>
  <si>
    <t>crv</t>
  </si>
  <si>
    <t>Production</t>
  </si>
  <si>
    <t>PRD</t>
  </si>
  <si>
    <t>Extra Mints</t>
  </si>
  <si>
    <t>cri</t>
  </si>
  <si>
    <t>Radio Airtime</t>
  </si>
  <si>
    <t>RA</t>
  </si>
  <si>
    <t>Extra Prof</t>
  </si>
  <si>
    <t>Jewels</t>
  </si>
  <si>
    <t>Crunchy peanut butter</t>
  </si>
  <si>
    <t>cpb</t>
  </si>
  <si>
    <t>Radio Promotion</t>
  </si>
  <si>
    <t>RP</t>
  </si>
  <si>
    <t>Flutes</t>
  </si>
  <si>
    <t>CSR Initiative</t>
  </si>
  <si>
    <t>csr</t>
  </si>
  <si>
    <t>Radio Sponsorship</t>
  </si>
  <si>
    <t>Freedent</t>
  </si>
  <si>
    <t>Snickers Miniatures</t>
  </si>
  <si>
    <t>Dark chocolate nuts and sea salt</t>
  </si>
  <si>
    <t>dcs</t>
  </si>
  <si>
    <t>Rail</t>
  </si>
  <si>
    <t>RAL</t>
  </si>
  <si>
    <t>Frolic</t>
  </si>
  <si>
    <t>Milky way</t>
  </si>
  <si>
    <t>din</t>
  </si>
  <si>
    <t>Research</t>
  </si>
  <si>
    <t>RSC</t>
  </si>
  <si>
    <t>Galaxy/Dove Fruit</t>
  </si>
  <si>
    <t>Starburst</t>
  </si>
  <si>
    <t>dol</t>
  </si>
  <si>
    <t>Reserve Other</t>
  </si>
  <si>
    <t>Gifting</t>
  </si>
  <si>
    <t>Skwinkles</t>
  </si>
  <si>
    <t>Double dark chocolate</t>
  </si>
  <si>
    <t>ddc</t>
  </si>
  <si>
    <t>Roadside</t>
  </si>
  <si>
    <t>ROS</t>
  </si>
  <si>
    <t>Golden Eggs</t>
  </si>
  <si>
    <t>dmg</t>
  </si>
  <si>
    <t>Sampling</t>
  </si>
  <si>
    <t>SAM</t>
  </si>
  <si>
    <t>Goodness Knows</t>
  </si>
  <si>
    <t>Whiskas C&amp;T</t>
  </si>
  <si>
    <t>dmm</t>
  </si>
  <si>
    <t>SEO</t>
  </si>
  <si>
    <t>Dog Portfolio</t>
  </si>
  <si>
    <t>dsg</t>
  </si>
  <si>
    <t>Sponsorship (Other)</t>
  </si>
  <si>
    <t>SPO</t>
  </si>
  <si>
    <t>Gum Disposal Awareness</t>
  </si>
  <si>
    <t>Positive Treats</t>
  </si>
  <si>
    <t>Dove / Galaxy Ice Cream</t>
  </si>
  <si>
    <t>dgic</t>
  </si>
  <si>
    <t>Sponsorship (Video)</t>
  </si>
  <si>
    <t>SPV</t>
  </si>
  <si>
    <t>Hubba Bubba</t>
  </si>
  <si>
    <t>Dove High Cacao</t>
  </si>
  <si>
    <t>dhc</t>
  </si>
  <si>
    <t>Spot TV</t>
  </si>
  <si>
    <t>STV</t>
  </si>
  <si>
    <t>Kitekat</t>
  </si>
  <si>
    <t>dre</t>
  </si>
  <si>
    <t>Supermarket</t>
  </si>
  <si>
    <t>Iams Cat and Dog</t>
  </si>
  <si>
    <t>Perfect Fit</t>
  </si>
  <si>
    <t>ebl</t>
  </si>
  <si>
    <t>Trade Print</t>
  </si>
  <si>
    <t>TP</t>
  </si>
  <si>
    <t>egm</t>
  </si>
  <si>
    <t>emt</t>
  </si>
  <si>
    <t>Institutional</t>
  </si>
  <si>
    <t>Jumbone</t>
  </si>
  <si>
    <t>Eliott</t>
  </si>
  <si>
    <t>ell</t>
  </si>
  <si>
    <t>IWOM</t>
  </si>
  <si>
    <t>COOL AIR</t>
  </si>
  <si>
    <t>ent</t>
  </si>
  <si>
    <t>James Wellbeloved</t>
  </si>
  <si>
    <t>Suzi Wan</t>
  </si>
  <si>
    <t>Ethel M</t>
  </si>
  <si>
    <t>etm</t>
  </si>
  <si>
    <t>euk</t>
  </si>
  <si>
    <t>Orbit Base</t>
  </si>
  <si>
    <t>ecd</t>
  </si>
  <si>
    <t>Juicy Fruit + Starburst Flavours</t>
  </si>
  <si>
    <t>ecg</t>
  </si>
  <si>
    <t>Kalkan</t>
  </si>
  <si>
    <t>ecm</t>
  </si>
  <si>
    <t>Kan Tong</t>
  </si>
  <si>
    <t>Multibrand</t>
  </si>
  <si>
    <t>exe</t>
  </si>
  <si>
    <t>exg</t>
  </si>
  <si>
    <t>KiteKat, Perfect Fit, Frolic, Natusan</t>
  </si>
  <si>
    <t>Miracoli</t>
  </si>
  <si>
    <t>exm</t>
  </si>
  <si>
    <t>Korkunov</t>
  </si>
  <si>
    <t>exp</t>
  </si>
  <si>
    <t>LifeSaver Gummies</t>
  </si>
  <si>
    <t>Whiskas Pouch</t>
  </si>
  <si>
    <t>flu</t>
  </si>
  <si>
    <t>Pedigree Wet</t>
  </si>
  <si>
    <t>Food Digital Pot</t>
  </si>
  <si>
    <t>fdp</t>
  </si>
  <si>
    <t>Lockets</t>
  </si>
  <si>
    <t>fre</t>
  </si>
  <si>
    <t>Lucas</t>
  </si>
  <si>
    <t>Orbit Bottle</t>
  </si>
  <si>
    <t>fro</t>
  </si>
  <si>
    <t>Care &amp; Treats</t>
  </si>
  <si>
    <t>gal</t>
  </si>
  <si>
    <t>Nature’s Table Main Meal</t>
  </si>
  <si>
    <t>git</t>
  </si>
  <si>
    <t>MaltEaster</t>
  </si>
  <si>
    <t>BOOMER</t>
  </si>
  <si>
    <t>Goldbach</t>
  </si>
  <si>
    <t>gbc</t>
  </si>
  <si>
    <t>gol</t>
  </si>
  <si>
    <t>gks</t>
  </si>
  <si>
    <t>MasterFoods</t>
  </si>
  <si>
    <t>grn</t>
  </si>
  <si>
    <t>Masterfoods Brand</t>
  </si>
  <si>
    <t>Greenies Feline</t>
  </si>
  <si>
    <t>grf</t>
  </si>
  <si>
    <t>Masterfoods Functional</t>
  </si>
  <si>
    <t>gda</t>
  </si>
  <si>
    <t>Meaty Treats</t>
  </si>
  <si>
    <t>Premium and Health</t>
  </si>
  <si>
    <t>Honey oat</t>
  </si>
  <si>
    <t>hoo</t>
  </si>
  <si>
    <t>3Musketeers</t>
  </si>
  <si>
    <t>Honey roasted nuts and sea salt</t>
  </si>
  <si>
    <t>hrs</t>
  </si>
  <si>
    <t>Minstrels</t>
  </si>
  <si>
    <t>hub</t>
  </si>
  <si>
    <t>ict</t>
  </si>
  <si>
    <t>Misfits</t>
  </si>
  <si>
    <t>Vital Protection</t>
  </si>
  <si>
    <t>icd</t>
  </si>
  <si>
    <t>idg</t>
  </si>
  <si>
    <t>My Dog</t>
  </si>
  <si>
    <t>ice</t>
  </si>
  <si>
    <t>Natural Choice</t>
  </si>
  <si>
    <t>int</t>
  </si>
  <si>
    <t>Natural Defense</t>
  </si>
  <si>
    <t>iwo</t>
  </si>
  <si>
    <t>jwb</t>
  </si>
  <si>
    <t>Optimum</t>
  </si>
  <si>
    <t>Orbit Oral Health Care</t>
  </si>
  <si>
    <t>jew</t>
  </si>
  <si>
    <t>jft</t>
  </si>
  <si>
    <t>jfs</t>
  </si>
  <si>
    <t>jum</t>
  </si>
  <si>
    <t>Orbit Mints</t>
  </si>
  <si>
    <t>kal</t>
  </si>
  <si>
    <t>Schmackos</t>
  </si>
  <si>
    <t>kan</t>
  </si>
  <si>
    <t>Orbit Professional</t>
  </si>
  <si>
    <t>Karma</t>
  </si>
  <si>
    <t>kar</t>
  </si>
  <si>
    <t>Kind Bark</t>
  </si>
  <si>
    <t>kbk</t>
  </si>
  <si>
    <t>Marrobone</t>
  </si>
  <si>
    <t>Kind Bars</t>
  </si>
  <si>
    <t>kbs</t>
  </si>
  <si>
    <t>Kind Breakfast Bars</t>
  </si>
  <si>
    <t>kbb</t>
  </si>
  <si>
    <t>Kind Frozen</t>
  </si>
  <si>
    <t>kfz</t>
  </si>
  <si>
    <t>Kind Frozen Bars</t>
  </si>
  <si>
    <t>kfb</t>
  </si>
  <si>
    <t>Pedigree Adoption Drive</t>
  </si>
  <si>
    <t>X-Brand</t>
  </si>
  <si>
    <t>Kind Frozen Pints</t>
  </si>
  <si>
    <t>kfp</t>
  </si>
  <si>
    <t>Sugus</t>
  </si>
  <si>
    <t>Kind Protein Bars</t>
  </si>
  <si>
    <t>kpb</t>
  </si>
  <si>
    <t>Seasonal</t>
  </si>
  <si>
    <t>kit</t>
  </si>
  <si>
    <t>Royco</t>
  </si>
  <si>
    <t>kpf</t>
  </si>
  <si>
    <t>kok</t>
  </si>
  <si>
    <t>lig</t>
  </si>
  <si>
    <t>PODs</t>
  </si>
  <si>
    <t>lim</t>
  </si>
  <si>
    <t>ProManage</t>
  </si>
  <si>
    <t>loc</t>
  </si>
  <si>
    <t>Raising The Bar</t>
  </si>
  <si>
    <t>Loose</t>
  </si>
  <si>
    <t/>
  </si>
  <si>
    <t>Ripple</t>
  </si>
  <si>
    <t>Lubimchik</t>
  </si>
  <si>
    <t>lub</t>
  </si>
  <si>
    <t>luc</t>
  </si>
  <si>
    <t>M&amp;M’S Minis</t>
  </si>
  <si>
    <t>mmm</t>
  </si>
  <si>
    <t>M&amp;M’S Mix</t>
  </si>
  <si>
    <t>mmx</t>
  </si>
  <si>
    <t>mms</t>
  </si>
  <si>
    <t>Seeds of Change</t>
  </si>
  <si>
    <t>M&amp;Ms Fudge Brownies</t>
  </si>
  <si>
    <t>mfb</t>
  </si>
  <si>
    <t>M&amp;Ms Seasonal</t>
  </si>
  <si>
    <t>mmss</t>
  </si>
  <si>
    <t>Madagascar vanilla almond</t>
  </si>
  <si>
    <t>mva</t>
  </si>
  <si>
    <t>mae</t>
  </si>
  <si>
    <t>mal</t>
  </si>
  <si>
    <t>Maple glazed pecan and sea salt</t>
  </si>
  <si>
    <t>mgs</t>
  </si>
  <si>
    <t>Main Meal</t>
  </si>
  <si>
    <t>mab</t>
  </si>
  <si>
    <t>Starburst Minis</t>
  </si>
  <si>
    <t>mar</t>
  </si>
  <si>
    <t>Mars Careers</t>
  </si>
  <si>
    <t>mac</t>
  </si>
  <si>
    <t>mfd</t>
  </si>
  <si>
    <t>msf</t>
  </si>
  <si>
    <t>Tailored Nutrition</t>
  </si>
  <si>
    <t>mff</t>
  </si>
  <si>
    <t>met</t>
  </si>
  <si>
    <t>Three Musketeers</t>
  </si>
  <si>
    <t>myw</t>
  </si>
  <si>
    <t>Transv. (animO)</t>
  </si>
  <si>
    <t>mil</t>
  </si>
  <si>
    <t>mir</t>
  </si>
  <si>
    <t>Ultra</t>
  </si>
  <si>
    <t>mis</t>
  </si>
  <si>
    <t>mub</t>
  </si>
  <si>
    <t>Ben’s Original Beginner's</t>
  </si>
  <si>
    <t>mdg</t>
  </si>
  <si>
    <t>ntc</t>
  </si>
  <si>
    <t>ntd</t>
  </si>
  <si>
    <t>ntm</t>
  </si>
  <si>
    <t>nut</t>
  </si>
  <si>
    <t>Ben’s Original Twinpots</t>
  </si>
  <si>
    <t>opt</t>
  </si>
  <si>
    <t>oce</t>
  </si>
  <si>
    <t>ora</t>
  </si>
  <si>
    <t>oro</t>
  </si>
  <si>
    <t>org</t>
  </si>
  <si>
    <t>Winterfresh</t>
  </si>
  <si>
    <t>orm</t>
  </si>
  <si>
    <t>orc</t>
  </si>
  <si>
    <t>Tasty Bite</t>
  </si>
  <si>
    <t>orp</t>
  </si>
  <si>
    <t>Peanut butter</t>
  </si>
  <si>
    <t>pbt</t>
  </si>
  <si>
    <t>Turin</t>
  </si>
  <si>
    <t>Peanut butter dark chocolate</t>
  </si>
  <si>
    <t>pbd</t>
  </si>
  <si>
    <t>Petcare Digital Pot</t>
  </si>
  <si>
    <t>pdg</t>
  </si>
  <si>
    <t>pda</t>
  </si>
  <si>
    <t>Petcare Multi-brand</t>
  </si>
  <si>
    <t>pdd</t>
  </si>
  <si>
    <t>Pedigree For Paws</t>
  </si>
  <si>
    <t>pfp</t>
  </si>
  <si>
    <t>Petcare Masterbrand</t>
  </si>
  <si>
    <t>pdw</t>
  </si>
  <si>
    <t>pff</t>
  </si>
  <si>
    <t>pdp</t>
  </si>
  <si>
    <t>pem</t>
  </si>
  <si>
    <t>pmb</t>
  </si>
  <si>
    <t>Petcare Shopper</t>
  </si>
  <si>
    <t>psh</t>
  </si>
  <si>
    <t>Wrigley Digital Pot</t>
  </si>
  <si>
    <t>cpk</t>
  </si>
  <si>
    <t>pod</t>
  </si>
  <si>
    <t>pot</t>
  </si>
  <si>
    <t>prm</t>
  </si>
  <si>
    <t>rtb</t>
  </si>
  <si>
    <t>rip</t>
  </si>
  <si>
    <t>ryc</t>
  </si>
  <si>
    <t>roy</t>
  </si>
  <si>
    <t>sch</t>
  </si>
  <si>
    <t>sea</t>
  </si>
  <si>
    <t>she</t>
  </si>
  <si>
    <t>skt</t>
  </si>
  <si>
    <t>Wrigley Multi-brand</t>
  </si>
  <si>
    <t>Skittles Gummies</t>
  </si>
  <si>
    <t>skg</t>
  </si>
  <si>
    <t>For Paws</t>
  </si>
  <si>
    <t>Skittles Halloween</t>
  </si>
  <si>
    <t>skh</t>
  </si>
  <si>
    <t>skw</t>
  </si>
  <si>
    <t>sni</t>
  </si>
  <si>
    <t>Snickers Ice Cream Core</t>
  </si>
  <si>
    <t>sicc</t>
  </si>
  <si>
    <t>Toasted caramel nut</t>
  </si>
  <si>
    <t>Snickers Ice Cream Peanut Brownie</t>
  </si>
  <si>
    <t>sicpb</t>
  </si>
  <si>
    <t>Treat Town</t>
  </si>
  <si>
    <t>snm</t>
  </si>
  <si>
    <t>Dentastix</t>
  </si>
  <si>
    <t>Snickers Nut Brownie</t>
  </si>
  <si>
    <t>snb</t>
  </si>
  <si>
    <t>stb</t>
  </si>
  <si>
    <t>Starburst Gummies</t>
  </si>
  <si>
    <t>stg</t>
  </si>
  <si>
    <t>stm</t>
  </si>
  <si>
    <t>Starburst Seasonal</t>
  </si>
  <si>
    <t>sbs</t>
  </si>
  <si>
    <t>Food Multi-brand</t>
  </si>
  <si>
    <t>stc</t>
  </si>
  <si>
    <t>sug</t>
  </si>
  <si>
    <t>suw</t>
  </si>
  <si>
    <t>tan</t>
  </si>
  <si>
    <t>tab</t>
  </si>
  <si>
    <t>tem</t>
  </si>
  <si>
    <t>M&amp;Ms Mix</t>
  </si>
  <si>
    <t>mu3</t>
  </si>
  <si>
    <t>M&amp;Ms Minis</t>
  </si>
  <si>
    <t>tcn</t>
  </si>
  <si>
    <t>Twix Seasonal</t>
  </si>
  <si>
    <t>trn</t>
  </si>
  <si>
    <t>Twix Cookies and Crème</t>
  </si>
  <si>
    <t>trt</t>
  </si>
  <si>
    <t>tur</t>
  </si>
  <si>
    <t>twx</t>
  </si>
  <si>
    <t>Eliotte</t>
  </si>
  <si>
    <t xml:space="preserve">Twix Cookies and Crème </t>
  </si>
  <si>
    <t>tcc</t>
  </si>
  <si>
    <t xml:space="preserve">Twix Seasonal </t>
  </si>
  <si>
    <t>tws</t>
  </si>
  <si>
    <t>Food Shopper</t>
  </si>
  <si>
    <t>ult</t>
  </si>
  <si>
    <t>KIND Shopper</t>
  </si>
  <si>
    <t>KIND</t>
  </si>
  <si>
    <t>vpt</t>
  </si>
  <si>
    <t>whi</t>
  </si>
  <si>
    <t>Royal Canin Shopper</t>
  </si>
  <si>
    <t>whc</t>
  </si>
  <si>
    <t>Wrigley Shopper</t>
  </si>
  <si>
    <t>whp</t>
  </si>
  <si>
    <t>whw</t>
  </si>
  <si>
    <t>win</t>
  </si>
  <si>
    <t>wdp</t>
  </si>
  <si>
    <t>wmb</t>
  </si>
  <si>
    <t>xbr</t>
  </si>
  <si>
    <t>Language</t>
  </si>
  <si>
    <t>Publisher</t>
  </si>
  <si>
    <t>Device</t>
  </si>
  <si>
    <t>Cohort</t>
  </si>
  <si>
    <t>Bid Strategy</t>
  </si>
  <si>
    <t>Match Type</t>
  </si>
  <si>
    <t>Language Code</t>
  </si>
  <si>
    <t>Dreamies/Temptations/Catisfactions</t>
  </si>
  <si>
    <t>CXM</t>
  </si>
  <si>
    <t>DoubleMint</t>
  </si>
  <si>
    <t>Eclipse/Excel</t>
  </si>
  <si>
    <t>Chewing Gum Action Group</t>
  </si>
  <si>
    <t>Iams</t>
  </si>
  <si>
    <t>Lifesaver</t>
  </si>
  <si>
    <t>Nature's Table</t>
  </si>
  <si>
    <t>Mars/Milky Way (US)</t>
  </si>
  <si>
    <t>Orbit</t>
  </si>
  <si>
    <t>Ben's Original</t>
  </si>
  <si>
    <t>Champ Mainmeal</t>
  </si>
  <si>
    <t>Kind Shopper</t>
  </si>
  <si>
    <t>cohort</t>
  </si>
  <si>
    <t>365 Scores</t>
  </si>
  <si>
    <t>9Honey</t>
  </si>
  <si>
    <t>9HO</t>
  </si>
  <si>
    <t>ABC</t>
  </si>
  <si>
    <t>Acast</t>
  </si>
  <si>
    <t>ACA</t>
  </si>
  <si>
    <t>Adaptive Media</t>
  </si>
  <si>
    <t>AMG</t>
  </si>
  <si>
    <t>AdColony</t>
  </si>
  <si>
    <t>ADC</t>
  </si>
  <si>
    <t>Adelphic</t>
  </si>
  <si>
    <t>ADL</t>
  </si>
  <si>
    <t>Admixer</t>
  </si>
  <si>
    <t>ADM</t>
  </si>
  <si>
    <t>Adot</t>
  </si>
  <si>
    <t>ADT</t>
  </si>
  <si>
    <t>Adpartner</t>
  </si>
  <si>
    <t>ADPA</t>
  </si>
  <si>
    <t>ADpick</t>
  </si>
  <si>
    <t>ADPI</t>
  </si>
  <si>
    <t>Adult Swim</t>
  </si>
  <si>
    <t>Aftonbladet</t>
  </si>
  <si>
    <t>AFB</t>
  </si>
  <si>
    <t>Aki</t>
  </si>
  <si>
    <t>AKI</t>
  </si>
  <si>
    <t>Allegro</t>
  </si>
  <si>
    <t>ALG</t>
  </si>
  <si>
    <t>Amazon</t>
  </si>
  <si>
    <t>AMZ</t>
  </si>
  <si>
    <t>Anghami</t>
  </si>
  <si>
    <t>ANG</t>
  </si>
  <si>
    <t>AstraOne</t>
  </si>
  <si>
    <t>ASO</t>
  </si>
  <si>
    <t>AtMedia</t>
  </si>
  <si>
    <t>ATM</t>
  </si>
  <si>
    <t>Avito</t>
  </si>
  <si>
    <t>AVT</t>
  </si>
  <si>
    <t>Axel Springer Media</t>
  </si>
  <si>
    <t>B Media</t>
  </si>
  <si>
    <t>BME</t>
  </si>
  <si>
    <t>Baofeng</t>
  </si>
  <si>
    <t>BAO</t>
  </si>
  <si>
    <t>Bauer Media</t>
  </si>
  <si>
    <t>BAU</t>
  </si>
  <si>
    <t>Bazaar Voice</t>
  </si>
  <si>
    <t>BAV</t>
  </si>
  <si>
    <t>Beeswax</t>
  </si>
  <si>
    <t>Betoota Advocate</t>
  </si>
  <si>
    <t>BTO</t>
  </si>
  <si>
    <t>Bing</t>
  </si>
  <si>
    <t>BIN</t>
  </si>
  <si>
    <t>Blis</t>
  </si>
  <si>
    <t>BLS</t>
  </si>
  <si>
    <t>Blis Miroma</t>
  </si>
  <si>
    <t>Blix</t>
  </si>
  <si>
    <t>BLX</t>
  </si>
  <si>
    <t>Brat</t>
  </si>
  <si>
    <t>BRT</t>
  </si>
  <si>
    <t>Broadsheet</t>
  </si>
  <si>
    <t>BRS</t>
  </si>
  <si>
    <t>Buzzfeed</t>
  </si>
  <si>
    <t>BUZ</t>
  </si>
  <si>
    <t>CBS</t>
  </si>
  <si>
    <t>CBS All Access</t>
  </si>
  <si>
    <t>CBA</t>
  </si>
  <si>
    <t>CBS Sports</t>
  </si>
  <si>
    <t>CSP</t>
  </si>
  <si>
    <t>Central Media Sales</t>
  </si>
  <si>
    <t>CMS</t>
  </si>
  <si>
    <t>Channel Factory</t>
  </si>
  <si>
    <t>Cinema Premium</t>
  </si>
  <si>
    <t>CIP</t>
  </si>
  <si>
    <t>CMT</t>
  </si>
  <si>
    <t>Collective</t>
  </si>
  <si>
    <t>CLL</t>
  </si>
  <si>
    <t>Collective Miroma</t>
  </si>
  <si>
    <t>CLM</t>
  </si>
  <si>
    <t>Complex</t>
  </si>
  <si>
    <t>Convenience Store</t>
  </si>
  <si>
    <t>Criteo</t>
  </si>
  <si>
    <t>CRIT</t>
  </si>
  <si>
    <t>CTC</t>
  </si>
  <si>
    <t>Dailymotion</t>
  </si>
  <si>
    <t>DLM</t>
  </si>
  <si>
    <t>Digital Venture</t>
  </si>
  <si>
    <t>DV</t>
  </si>
  <si>
    <t>DIO</t>
  </si>
  <si>
    <t>Discovery</t>
  </si>
  <si>
    <t>DIS</t>
  </si>
  <si>
    <t>Disney</t>
  </si>
  <si>
    <t>DSN</t>
  </si>
  <si>
    <t>DMS</t>
  </si>
  <si>
    <t>Dot Dash</t>
  </si>
  <si>
    <t>DV360</t>
  </si>
  <si>
    <t>EA Sports</t>
  </si>
  <si>
    <t>EAS</t>
  </si>
  <si>
    <t>ebay</t>
  </si>
  <si>
    <t>EBA</t>
  </si>
  <si>
    <t>E-contenta</t>
  </si>
  <si>
    <t>ECO</t>
  </si>
  <si>
    <t>Edadeal</t>
  </si>
  <si>
    <t>EDAD</t>
  </si>
  <si>
    <t>Edelman</t>
  </si>
  <si>
    <t>EDAM</t>
  </si>
  <si>
    <t>ESPN</t>
  </si>
  <si>
    <t>ETtoday</t>
  </si>
  <si>
    <t>ETT</t>
  </si>
  <si>
    <t>Facebook</t>
  </si>
  <si>
    <t>FCB</t>
  </si>
  <si>
    <t>Facebook &amp; Instagram</t>
  </si>
  <si>
    <t>FBI</t>
  </si>
  <si>
    <t>Fandom</t>
  </si>
  <si>
    <t>FND</t>
  </si>
  <si>
    <t>Finecast</t>
  </si>
  <si>
    <t>Fitatu</t>
  </si>
  <si>
    <t>FIT</t>
  </si>
  <si>
    <t>Flaire</t>
  </si>
  <si>
    <t>FLA</t>
  </si>
  <si>
    <t>FourSquare </t>
  </si>
  <si>
    <t>fsq</t>
  </si>
  <si>
    <t>FOX</t>
  </si>
  <si>
    <t>Funny or Die</t>
  </si>
  <si>
    <t>FOD</t>
  </si>
  <si>
    <t>Globmobi</t>
  </si>
  <si>
    <t>GLO</t>
  </si>
  <si>
    <t>Goal.com</t>
  </si>
  <si>
    <t>GOA</t>
  </si>
  <si>
    <t>Goldbach Audience Austria GmbH</t>
  </si>
  <si>
    <t>GAAG</t>
  </si>
  <si>
    <t>Go-Media</t>
  </si>
  <si>
    <t>GOM</t>
  </si>
  <si>
    <t>Google</t>
  </si>
  <si>
    <t>GOG</t>
  </si>
  <si>
    <t>Google + Yandex</t>
  </si>
  <si>
    <t>GYA</t>
  </si>
  <si>
    <t>Google Display Network</t>
  </si>
  <si>
    <t>GDN</t>
  </si>
  <si>
    <t>GoPuff</t>
  </si>
  <si>
    <t>GOP</t>
  </si>
  <si>
    <t>GPMD</t>
  </si>
  <si>
    <t>Gree Lifestyle</t>
  </si>
  <si>
    <t>GRE</t>
  </si>
  <si>
    <t>Grocery Magnet</t>
  </si>
  <si>
    <t>GRM</t>
  </si>
  <si>
    <t>Groundtruth</t>
  </si>
  <si>
    <t>grd</t>
  </si>
  <si>
    <t>Group Nine</t>
  </si>
  <si>
    <t>GRN</t>
  </si>
  <si>
    <t>GroupM</t>
  </si>
  <si>
    <t>GRPM</t>
  </si>
  <si>
    <t>GroupNine</t>
  </si>
  <si>
    <t>GumGum</t>
  </si>
  <si>
    <t>Hallmark</t>
  </si>
  <si>
    <t>Holler</t>
  </si>
  <si>
    <t>HOL</t>
  </si>
  <si>
    <t>HOTStar</t>
  </si>
  <si>
    <t>HOT</t>
  </si>
  <si>
    <t>Hulu</t>
  </si>
  <si>
    <t>HULU</t>
  </si>
  <si>
    <t>Hybrid</t>
  </si>
  <si>
    <t>HYB</t>
  </si>
  <si>
    <t>iHeart</t>
  </si>
  <si>
    <t>IHR</t>
  </si>
  <si>
    <t>imdb</t>
  </si>
  <si>
    <t>Imgur</t>
  </si>
  <si>
    <t>IMG</t>
  </si>
  <si>
    <t>IMHO</t>
  </si>
  <si>
    <t>Inca</t>
  </si>
  <si>
    <t>INCA</t>
  </si>
  <si>
    <t>Indamedia</t>
  </si>
  <si>
    <t>Inmobi</t>
  </si>
  <si>
    <t>INM</t>
  </si>
  <si>
    <t>Instagram</t>
  </si>
  <si>
    <t>IG</t>
  </si>
  <si>
    <t>Jun Group</t>
  </si>
  <si>
    <t>JG</t>
  </si>
  <si>
    <t>KOL</t>
  </si>
  <si>
    <t>LADbible</t>
  </si>
  <si>
    <t>LAD</t>
  </si>
  <si>
    <t>Light Reaction</t>
  </si>
  <si>
    <t>LinkedIn</t>
  </si>
  <si>
    <t>LKI</t>
  </si>
  <si>
    <t>Listonic</t>
  </si>
  <si>
    <t>LIS</t>
  </si>
  <si>
    <t>Livewire</t>
  </si>
  <si>
    <t>LIV</t>
  </si>
  <si>
    <t>LoopMe</t>
  </si>
  <si>
    <t>LM</t>
  </si>
  <si>
    <t>Madhouse</t>
  </si>
  <si>
    <t>Mango</t>
  </si>
  <si>
    <t>MAN</t>
  </si>
  <si>
    <t>Marvel</t>
  </si>
  <si>
    <t>MRV</t>
  </si>
  <si>
    <t>Match Group</t>
  </si>
  <si>
    <t>MAG</t>
  </si>
  <si>
    <t>Matrix</t>
  </si>
  <si>
    <t>MAT</t>
  </si>
  <si>
    <t>Maxima</t>
  </si>
  <si>
    <t>MAX</t>
  </si>
  <si>
    <t>MBA</t>
  </si>
  <si>
    <t>Meredith</t>
  </si>
  <si>
    <t>MER</t>
  </si>
  <si>
    <t>MIQ</t>
  </si>
  <si>
    <t>MIQ Miroma</t>
  </si>
  <si>
    <t>MIM</t>
  </si>
  <si>
    <t>Mix</t>
  </si>
  <si>
    <t>MIX</t>
  </si>
  <si>
    <t>Mobsta</t>
  </si>
  <si>
    <t>MOB</t>
  </si>
  <si>
    <t>Mobsta Miroma</t>
  </si>
  <si>
    <t>MOM</t>
  </si>
  <si>
    <t>mocity</t>
  </si>
  <si>
    <t>MOC</t>
  </si>
  <si>
    <t>Mumsnet</t>
  </si>
  <si>
    <t>MUM</t>
  </si>
  <si>
    <t>Mxplayer</t>
  </si>
  <si>
    <t>MXP</t>
  </si>
  <si>
    <t>MyTarget</t>
  </si>
  <si>
    <t>Nabd</t>
  </si>
  <si>
    <t>NABD</t>
  </si>
  <si>
    <t>NASCAR</t>
  </si>
  <si>
    <t>Naver</t>
  </si>
  <si>
    <t>NAV</t>
  </si>
  <si>
    <t>NBA 2K League</t>
  </si>
  <si>
    <t>N2KL</t>
  </si>
  <si>
    <t>NBC</t>
  </si>
  <si>
    <t>NBCSPORTS</t>
  </si>
  <si>
    <t>NBS</t>
  </si>
  <si>
    <t>NCM</t>
  </si>
  <si>
    <t>Network10</t>
  </si>
  <si>
    <t>NW10</t>
  </si>
  <si>
    <t>NewsCorp</t>
  </si>
  <si>
    <t>Nextdoor</t>
  </si>
  <si>
    <t>NXD</t>
  </si>
  <si>
    <t>NFL</t>
  </si>
  <si>
    <t>NRA</t>
  </si>
  <si>
    <t>Oath</t>
  </si>
  <si>
    <t>OAT</t>
  </si>
  <si>
    <t>Ogury</t>
  </si>
  <si>
    <t>OGR</t>
  </si>
  <si>
    <t>OK.ru</t>
  </si>
  <si>
    <t>OKR</t>
  </si>
  <si>
    <t>OLX</t>
  </si>
  <si>
    <t>Openslate</t>
  </si>
  <si>
    <t>OPE</t>
  </si>
  <si>
    <t>Pandora</t>
  </si>
  <si>
    <t>Pedestrian</t>
  </si>
  <si>
    <t>PED</t>
  </si>
  <si>
    <t>Penetration Trade Desk</t>
  </si>
  <si>
    <t>PTD</t>
  </si>
  <si>
    <t>PetPet</t>
  </si>
  <si>
    <t>PET</t>
  </si>
  <si>
    <t>Phaistos</t>
  </si>
  <si>
    <t>PHA</t>
  </si>
  <si>
    <t>Pinterest</t>
  </si>
  <si>
    <t>PIN</t>
  </si>
  <si>
    <t>Plista</t>
  </si>
  <si>
    <t>PLS</t>
  </si>
  <si>
    <t>Pluto</t>
  </si>
  <si>
    <t>PLT</t>
  </si>
  <si>
    <t>Podcast</t>
  </si>
  <si>
    <t>PDC</t>
  </si>
  <si>
    <t>Pokkt</t>
  </si>
  <si>
    <t>PKT</t>
  </si>
  <si>
    <t>Polsat Media</t>
  </si>
  <si>
    <t>POPSUGAR</t>
  </si>
  <si>
    <t>PPS</t>
  </si>
  <si>
    <t>Privalia</t>
  </si>
  <si>
    <t>Promofix</t>
  </si>
  <si>
    <t>PRF</t>
  </si>
  <si>
    <t>Qiyi</t>
  </si>
  <si>
    <t>QIY</t>
  </si>
  <si>
    <t>Quotient</t>
  </si>
  <si>
    <t>qut</t>
  </si>
  <si>
    <t>Reddit</t>
  </si>
  <si>
    <t>RDT</t>
  </si>
  <si>
    <t>Rezonence</t>
  </si>
  <si>
    <t>RZN</t>
  </si>
  <si>
    <t>Ricardo</t>
  </si>
  <si>
    <t>RCD</t>
  </si>
  <si>
    <t>Rick and Morty</t>
  </si>
  <si>
    <t>RNM</t>
  </si>
  <si>
    <t>Roku</t>
  </si>
  <si>
    <t>ROKU</t>
  </si>
  <si>
    <t>Rtime</t>
  </si>
  <si>
    <t>RTI</t>
  </si>
  <si>
    <t>SAPO Teads</t>
  </si>
  <si>
    <t>SAP</t>
  </si>
  <si>
    <t>SBS</t>
  </si>
  <si>
    <t>Segmento</t>
  </si>
  <si>
    <t>SEG</t>
  </si>
  <si>
    <t>Seven</t>
  </si>
  <si>
    <t>SEV</t>
  </si>
  <si>
    <t>Shahid</t>
  </si>
  <si>
    <t>SHD</t>
  </si>
  <si>
    <t>Snapchat</t>
  </si>
  <si>
    <t>SNA</t>
  </si>
  <si>
    <t>Social ID</t>
  </si>
  <si>
    <t>SID</t>
  </si>
  <si>
    <t>Socials MRG</t>
  </si>
  <si>
    <t>SMRG</t>
  </si>
  <si>
    <t>Spotify</t>
  </si>
  <si>
    <t>SPF</t>
  </si>
  <si>
    <t>Tabmo</t>
  </si>
  <si>
    <t>TBMO</t>
  </si>
  <si>
    <t>Target</t>
  </si>
  <si>
    <t>TGT</t>
  </si>
  <si>
    <t>Tastemade</t>
  </si>
  <si>
    <t>TST</t>
  </si>
  <si>
    <t>Teads</t>
  </si>
  <si>
    <t>TEA</t>
  </si>
  <si>
    <t>Team CoCo</t>
  </si>
  <si>
    <t>TCC</t>
  </si>
  <si>
    <t>Ten</t>
  </si>
  <si>
    <t>TNE</t>
  </si>
  <si>
    <t>Tencent</t>
  </si>
  <si>
    <t>TEN</t>
  </si>
  <si>
    <t>The Dodo</t>
  </si>
  <si>
    <t>DOD</t>
  </si>
  <si>
    <t>The Trade Desk</t>
  </si>
  <si>
    <t>TTD</t>
  </si>
  <si>
    <t>Thrillist</t>
  </si>
  <si>
    <t>THRL</t>
  </si>
  <si>
    <t>TikTok</t>
  </si>
  <si>
    <t>TIK</t>
  </si>
  <si>
    <t>Tportal</t>
  </si>
  <si>
    <t>TPT</t>
  </si>
  <si>
    <t>TreSensa</t>
  </si>
  <si>
    <t>TRE</t>
  </si>
  <si>
    <t>TubiTV</t>
  </si>
  <si>
    <t>TUB</t>
  </si>
  <si>
    <t>Turner</t>
  </si>
  <si>
    <t>TV Extend</t>
  </si>
  <si>
    <t>TVE</t>
  </si>
  <si>
    <t>TVN</t>
  </si>
  <si>
    <t>Twitch</t>
  </si>
  <si>
    <t>TWT</t>
  </si>
  <si>
    <t>Twitter</t>
  </si>
  <si>
    <t>TWI</t>
  </si>
  <si>
    <t>UnderTone</t>
  </si>
  <si>
    <t>und</t>
  </si>
  <si>
    <t>Unisound</t>
  </si>
  <si>
    <t>UNS</t>
  </si>
  <si>
    <t>Univision</t>
  </si>
  <si>
    <t>UNI</t>
  </si>
  <si>
    <t>Unruly</t>
  </si>
  <si>
    <t>UNR</t>
  </si>
  <si>
    <t>Val Morgan</t>
  </si>
  <si>
    <t>VM</t>
  </si>
  <si>
    <t>Valassis</t>
  </si>
  <si>
    <t>val</t>
  </si>
  <si>
    <t>VDX</t>
  </si>
  <si>
    <t>Verizon</t>
  </si>
  <si>
    <t>VZN</t>
  </si>
  <si>
    <t>Vevo</t>
  </si>
  <si>
    <t>VEV</t>
  </si>
  <si>
    <t>Viacom</t>
  </si>
  <si>
    <t>VIZ</t>
  </si>
  <si>
    <t>Viant</t>
  </si>
  <si>
    <t>VNT</t>
  </si>
  <si>
    <t>VIU</t>
  </si>
  <si>
    <t>VK</t>
  </si>
  <si>
    <t>Voot</t>
  </si>
  <si>
    <t>VOOT</t>
  </si>
  <si>
    <t>Vpon</t>
  </si>
  <si>
    <t>VPO</t>
  </si>
  <si>
    <t>Walmart Media Group</t>
  </si>
  <si>
    <t>wmg</t>
  </si>
  <si>
    <t>Weyyak</t>
  </si>
  <si>
    <t>WYK</t>
  </si>
  <si>
    <t>WWE</t>
  </si>
  <si>
    <t>Xaxis</t>
  </si>
  <si>
    <t>XAX</t>
  </si>
  <si>
    <t>Xiaomi</t>
  </si>
  <si>
    <t>XIA</t>
  </si>
  <si>
    <t>Xplay</t>
  </si>
  <si>
    <t>XPL</t>
  </si>
  <si>
    <t>Xplay Audio</t>
  </si>
  <si>
    <t>XPA</t>
  </si>
  <si>
    <t>Yahoo</t>
  </si>
  <si>
    <t>YAH</t>
  </si>
  <si>
    <t>Yandex</t>
  </si>
  <si>
    <t>YAN</t>
  </si>
  <si>
    <t>Yazle</t>
  </si>
  <si>
    <t>YZL</t>
  </si>
  <si>
    <t>Youku</t>
  </si>
  <si>
    <t>YOU</t>
  </si>
  <si>
    <t>YouTube</t>
  </si>
  <si>
    <t>Zee5</t>
  </si>
  <si>
    <t>Z5</t>
  </si>
  <si>
    <t>Desktop</t>
  </si>
  <si>
    <t>Mobile</t>
  </si>
  <si>
    <t>N/A</t>
  </si>
  <si>
    <t>language</t>
  </si>
  <si>
    <t>language code</t>
  </si>
  <si>
    <t>(Afan) Oromo</t>
  </si>
  <si>
    <t>om</t>
  </si>
  <si>
    <t>Afrikaans</t>
  </si>
  <si>
    <t>af</t>
  </si>
  <si>
    <t>Albanian</t>
  </si>
  <si>
    <t>al</t>
  </si>
  <si>
    <t>sq</t>
  </si>
  <si>
    <t>Amharic</t>
  </si>
  <si>
    <t>am</t>
  </si>
  <si>
    <t>Arabic</t>
  </si>
  <si>
    <t>ar</t>
  </si>
  <si>
    <t>Armenian</t>
  </si>
  <si>
    <t>hy</t>
  </si>
  <si>
    <t>Assamese</t>
  </si>
  <si>
    <t>as</t>
  </si>
  <si>
    <t>Azerbaijani</t>
  </si>
  <si>
    <t>az</t>
  </si>
  <si>
    <t>Basque</t>
  </si>
  <si>
    <t>eu</t>
  </si>
  <si>
    <t>Bengali; Bangla</t>
  </si>
  <si>
    <t>bn</t>
  </si>
  <si>
    <t>Bulgarian</t>
  </si>
  <si>
    <t>bg</t>
  </si>
  <si>
    <t>Byelorussian</t>
  </si>
  <si>
    <t>be</t>
  </si>
  <si>
    <t>Cambodian</t>
  </si>
  <si>
    <t>km</t>
  </si>
  <si>
    <t>Catalan</t>
  </si>
  <si>
    <t>ca</t>
  </si>
  <si>
    <t>Chinese</t>
  </si>
  <si>
    <t>zh</t>
  </si>
  <si>
    <t>cornish</t>
  </si>
  <si>
    <t>kw</t>
  </si>
  <si>
    <t>Croatian</t>
  </si>
  <si>
    <t>hr</t>
  </si>
  <si>
    <t>Czech</t>
  </si>
  <si>
    <t>cs</t>
  </si>
  <si>
    <t>Danish</t>
  </si>
  <si>
    <t>da</t>
  </si>
  <si>
    <t>Dutch</t>
  </si>
  <si>
    <t>nl</t>
  </si>
  <si>
    <t>English</t>
  </si>
  <si>
    <t>en</t>
  </si>
  <si>
    <t>Estonian</t>
  </si>
  <si>
    <t>et</t>
  </si>
  <si>
    <t>Faeroese</t>
  </si>
  <si>
    <t>fo</t>
  </si>
  <si>
    <t>Finnish</t>
  </si>
  <si>
    <t>fi</t>
  </si>
  <si>
    <t>French</t>
  </si>
  <si>
    <t>fr</t>
  </si>
  <si>
    <t>Galician</t>
  </si>
  <si>
    <t>gl</t>
  </si>
  <si>
    <t>Georgian</t>
  </si>
  <si>
    <t>ka</t>
  </si>
  <si>
    <t>German</t>
  </si>
  <si>
    <t>de</t>
  </si>
  <si>
    <t>Greek</t>
  </si>
  <si>
    <t>el</t>
  </si>
  <si>
    <t>Greenlandic</t>
  </si>
  <si>
    <t>kl</t>
  </si>
  <si>
    <t>Gujarati</t>
  </si>
  <si>
    <t>gu</t>
  </si>
  <si>
    <t>Hausa</t>
  </si>
  <si>
    <t>ha</t>
  </si>
  <si>
    <t>Hawaiian</t>
  </si>
  <si>
    <t>haw</t>
  </si>
  <si>
    <t>Hebrew</t>
  </si>
  <si>
    <t>he</t>
  </si>
  <si>
    <t>iw</t>
  </si>
  <si>
    <t>Hindi</t>
  </si>
  <si>
    <t>hi</t>
  </si>
  <si>
    <t>Hungarian</t>
  </si>
  <si>
    <t>hu</t>
  </si>
  <si>
    <t>Icelandic</t>
  </si>
  <si>
    <t>is</t>
  </si>
  <si>
    <t>Indonesian</t>
  </si>
  <si>
    <t>id</t>
  </si>
  <si>
    <t>in</t>
  </si>
  <si>
    <t>Irish</t>
  </si>
  <si>
    <t>ga</t>
  </si>
  <si>
    <t>Italian</t>
  </si>
  <si>
    <t>it</t>
  </si>
  <si>
    <t>Japanese</t>
  </si>
  <si>
    <t>ja</t>
  </si>
  <si>
    <t>Kannada</t>
  </si>
  <si>
    <t>kn</t>
  </si>
  <si>
    <t>Kazakh</t>
  </si>
  <si>
    <t>kk</t>
  </si>
  <si>
    <t>Konkani</t>
  </si>
  <si>
    <t>Korean</t>
  </si>
  <si>
    <t>ko</t>
  </si>
  <si>
    <t>Latvian</t>
  </si>
  <si>
    <t>lv</t>
  </si>
  <si>
    <t>Lithuanian</t>
  </si>
  <si>
    <t>lt</t>
  </si>
  <si>
    <t>Macedonian</t>
  </si>
  <si>
    <t>mk</t>
  </si>
  <si>
    <t>Malay</t>
  </si>
  <si>
    <t>ms</t>
  </si>
  <si>
    <t>Malayalam</t>
  </si>
  <si>
    <t>ml</t>
  </si>
  <si>
    <t>Maltese</t>
  </si>
  <si>
    <t>mt</t>
  </si>
  <si>
    <t>Manx</t>
  </si>
  <si>
    <t>gv</t>
  </si>
  <si>
    <t>Marathi</t>
  </si>
  <si>
    <t>mr</t>
  </si>
  <si>
    <t>Nepali</t>
  </si>
  <si>
    <t>ne</t>
  </si>
  <si>
    <t>Norwegian</t>
  </si>
  <si>
    <t>no</t>
  </si>
  <si>
    <t>Norwegian Bokmål</t>
  </si>
  <si>
    <t>nb</t>
  </si>
  <si>
    <t>Norwegian Nynorsk</t>
  </si>
  <si>
    <t>nn</t>
  </si>
  <si>
    <t>Oriya</t>
  </si>
  <si>
    <t>or</t>
  </si>
  <si>
    <t>Pashto, Pushto</t>
  </si>
  <si>
    <t>ps</t>
  </si>
  <si>
    <t>Persian</t>
  </si>
  <si>
    <t>fa</t>
  </si>
  <si>
    <t>Polish</t>
  </si>
  <si>
    <t>pl</t>
  </si>
  <si>
    <t>Portuguese</t>
  </si>
  <si>
    <t>pt</t>
  </si>
  <si>
    <t>Punjabi</t>
  </si>
  <si>
    <t>pa</t>
  </si>
  <si>
    <t>Romanian</t>
  </si>
  <si>
    <t>ro</t>
  </si>
  <si>
    <t>Russian</t>
  </si>
  <si>
    <t>ru</t>
  </si>
  <si>
    <t>Serbian</t>
  </si>
  <si>
    <t>sr</t>
  </si>
  <si>
    <t>Serbo-Croatian</t>
  </si>
  <si>
    <t>sh</t>
  </si>
  <si>
    <t>Sichuan Yi</t>
  </si>
  <si>
    <t>ii</t>
  </si>
  <si>
    <t>Singhalese</t>
  </si>
  <si>
    <t>si</t>
  </si>
  <si>
    <t>Slovak</t>
  </si>
  <si>
    <t>sk</t>
  </si>
  <si>
    <t>Slovenian</t>
  </si>
  <si>
    <t>sl</t>
  </si>
  <si>
    <t>Somali</t>
  </si>
  <si>
    <t>so</t>
  </si>
  <si>
    <t>Spanish</t>
  </si>
  <si>
    <t>es</t>
  </si>
  <si>
    <t>Swahili</t>
  </si>
  <si>
    <t>sw</t>
  </si>
  <si>
    <t>Swedish</t>
  </si>
  <si>
    <t>sv</t>
  </si>
  <si>
    <t>Swiss German</t>
  </si>
  <si>
    <t>gsw</t>
  </si>
  <si>
    <t>Tamil</t>
  </si>
  <si>
    <t>ta</t>
  </si>
  <si>
    <t>Tegulu</t>
  </si>
  <si>
    <t>te</t>
  </si>
  <si>
    <t>Thai</t>
  </si>
  <si>
    <t>th</t>
  </si>
  <si>
    <t>Tibetan</t>
  </si>
  <si>
    <t>bo</t>
  </si>
  <si>
    <t>Tigrinya</t>
  </si>
  <si>
    <t>ti</t>
  </si>
  <si>
    <t>Turkish</t>
  </si>
  <si>
    <t>tr</t>
  </si>
  <si>
    <t>Ukrainian</t>
  </si>
  <si>
    <t>uk</t>
  </si>
  <si>
    <t>Urdu</t>
  </si>
  <si>
    <t>ur</t>
  </si>
  <si>
    <t>Uzbek</t>
  </si>
  <si>
    <t>uz</t>
  </si>
  <si>
    <t>Vietnamese</t>
  </si>
  <si>
    <t>vi</t>
  </si>
  <si>
    <t>Welsh</t>
  </si>
  <si>
    <t>cy</t>
  </si>
  <si>
    <t>Zulu</t>
  </si>
  <si>
    <t>zu</t>
  </si>
  <si>
    <t>Audience type</t>
  </si>
  <si>
    <t>audience type code</t>
  </si>
  <si>
    <t>demo-only</t>
  </si>
  <si>
    <t>interest</t>
  </si>
  <si>
    <t>behavioural</t>
  </si>
  <si>
    <t>life events</t>
  </si>
  <si>
    <t>life-event</t>
  </si>
  <si>
    <t>retargeting</t>
  </si>
  <si>
    <t>rtg</t>
  </si>
  <si>
    <t>contextual</t>
  </si>
  <si>
    <t>lookalikes</t>
  </si>
  <si>
    <t>lal</t>
  </si>
  <si>
    <t>keyword</t>
  </si>
  <si>
    <t>weather</t>
  </si>
  <si>
    <t>location-specific</t>
  </si>
  <si>
    <t>location</t>
  </si>
  <si>
    <t>interest &amp; behavioural</t>
  </si>
  <si>
    <t>int-behav</t>
  </si>
  <si>
    <t>interest &amp; keywords</t>
  </si>
  <si>
    <t>int-kws</t>
  </si>
  <si>
    <t>interest &amp; life events</t>
  </si>
  <si>
    <t>int-life</t>
  </si>
  <si>
    <t>behavioural &amp; keywords</t>
  </si>
  <si>
    <t>behav-kws</t>
  </si>
  <si>
    <t>behavioural &amp; life events</t>
  </si>
  <si>
    <t>behav-life</t>
  </si>
  <si>
    <t>location &amp; behavioural</t>
  </si>
  <si>
    <t>behav-location</t>
  </si>
  <si>
    <t>Broad</t>
  </si>
  <si>
    <t>Phrase</t>
  </si>
  <si>
    <t>Exact</t>
  </si>
  <si>
    <t>Negative</t>
  </si>
  <si>
    <t>Search</t>
  </si>
  <si>
    <t>PMax</t>
  </si>
  <si>
    <t>Shopping</t>
  </si>
  <si>
    <t>Manual</t>
  </si>
  <si>
    <t>tCPA</t>
  </si>
  <si>
    <t>tROAS</t>
  </si>
  <si>
    <t>Impression Share</t>
  </si>
  <si>
    <t>Nature’s Table</t>
  </si>
  <si>
    <t>Ben’s Original RTH Plant Powered</t>
  </si>
  <si>
    <t>Publisher Code</t>
  </si>
  <si>
    <t>Cohort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</si>
</sst>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scheme val="minor"/>
    </font>
    <font>
      <sz val="10"/>
      <name val="Calibri"/>
      <family val="2"/>
    </font>
    <font>
      <sz val="12"/>
      <color rgb="FF4E5969"/>
      <name val="Inherit"/>
    </font>
    <font>
      <b/>
      <i/>
      <u/>
      <sz val="22"/>
      <name val="Calibri"/>
      <family val="2"/>
    </font>
    <font>
      <b/>
      <i/>
      <sz val="11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0"/>
      <name val="Poppins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name val="Calibri"/>
      <family val="2"/>
    </font>
    <font>
      <sz val="9"/>
      <color theme="1"/>
      <name val="Poppins"/>
    </font>
    <font>
      <sz val="9"/>
      <name val="Poppins"/>
    </font>
    <font>
      <sz val="9"/>
      <color rgb="FFFF0000"/>
      <name val="Poppins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9"/>
      <color rgb="FF000000"/>
      <name val="Poppins"/>
    </font>
    <font>
      <sz val="10"/>
      <color rgb="FF000000"/>
      <name val="Calibri"/>
      <family val="2"/>
      <charset val="1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5B3D7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indexed="5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4C6E7"/>
        <bgColor rgb="FF0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 style="thin">
        <color rgb="FF000000"/>
      </diagonal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/>
      <top style="thick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 style="thin">
        <color indexed="8"/>
      </diagonal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1"/>
    <xf numFmtId="0" fontId="1" fillId="0" borderId="0"/>
    <xf numFmtId="0" fontId="11" fillId="10" borderId="0">
      <alignment horizontal="center" vertical="center"/>
    </xf>
  </cellStyleXfs>
  <cellXfs count="59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/>
    <xf numFmtId="2" fontId="0" fillId="0" borderId="0" xfId="0" applyNumberFormat="1"/>
    <xf numFmtId="0" fontId="2" fillId="2" borderId="2" xfId="0" applyFont="1" applyFill="1" applyBorder="1" applyAlignment="1">
      <alignment vertical="center" wrapText="1"/>
    </xf>
    <xf numFmtId="0" fontId="0" fillId="3" borderId="7" xfId="0" applyFill="1" applyBorder="1"/>
    <xf numFmtId="0" fontId="0" fillId="3" borderId="3" xfId="0" applyFill="1" applyBorder="1"/>
    <xf numFmtId="1" fontId="0" fillId="3" borderId="3" xfId="0" applyNumberFormat="1" applyFill="1" applyBorder="1"/>
    <xf numFmtId="0" fontId="0" fillId="3" borderId="8" xfId="0" applyFill="1" applyBorder="1"/>
    <xf numFmtId="0" fontId="0" fillId="0" borderId="7" xfId="0" applyBorder="1"/>
    <xf numFmtId="0" fontId="0" fillId="0" borderId="3" xfId="0" applyBorder="1"/>
    <xf numFmtId="1" fontId="0" fillId="0" borderId="3" xfId="0" applyNumberForma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1" fontId="0" fillId="0" borderId="10" xfId="0" applyNumberFormat="1" applyBorder="1"/>
    <xf numFmtId="0" fontId="0" fillId="0" borderId="11" xfId="0" applyBorder="1"/>
    <xf numFmtId="0" fontId="4" fillId="4" borderId="0" xfId="2" applyFont="1" applyFill="1"/>
    <xf numFmtId="0" fontId="0" fillId="5" borderId="4" xfId="0" applyFill="1" applyBorder="1"/>
    <xf numFmtId="0" fontId="0" fillId="5" borderId="5" xfId="0" applyFill="1" applyBorder="1"/>
    <xf numFmtId="2" fontId="0" fillId="5" borderId="5" xfId="0" applyNumberFormat="1" applyFill="1" applyBorder="1"/>
    <xf numFmtId="0" fontId="0" fillId="5" borderId="6" xfId="0" applyFill="1" applyBorder="1"/>
    <xf numFmtId="0" fontId="0" fillId="5" borderId="12" xfId="0" applyFill="1" applyBorder="1"/>
    <xf numFmtId="0" fontId="6" fillId="0" borderId="0" xfId="0" applyFont="1"/>
    <xf numFmtId="0" fontId="7" fillId="6" borderId="0" xfId="0" applyFont="1" applyFill="1"/>
    <xf numFmtId="0" fontId="8" fillId="0" borderId="0" xfId="0" applyFont="1"/>
    <xf numFmtId="0" fontId="9" fillId="7" borderId="0" xfId="0" applyFont="1" applyFill="1"/>
    <xf numFmtId="0" fontId="9" fillId="8" borderId="0" xfId="0" applyFont="1" applyFill="1"/>
    <xf numFmtId="0" fontId="10" fillId="9" borderId="0" xfId="0" applyFont="1" applyFill="1"/>
    <xf numFmtId="49" fontId="11" fillId="10" borderId="13" xfId="3" applyNumberFormat="1" applyBorder="1">
      <alignment horizontal="center" vertical="center"/>
    </xf>
    <xf numFmtId="49" fontId="1" fillId="0" borderId="14" xfId="1" applyNumberFormat="1" applyBorder="1"/>
    <xf numFmtId="0" fontId="1" fillId="0" borderId="14" xfId="1" applyBorder="1"/>
    <xf numFmtId="0" fontId="12" fillId="0" borderId="0" xfId="0" applyFont="1"/>
    <xf numFmtId="49" fontId="1" fillId="0" borderId="15" xfId="1" applyNumberFormat="1" applyBorder="1"/>
    <xf numFmtId="0" fontId="13" fillId="0" borderId="0" xfId="0" applyFont="1"/>
    <xf numFmtId="0" fontId="14" fillId="0" borderId="0" xfId="0" applyFont="1"/>
    <xf numFmtId="0" fontId="0" fillId="3" borderId="0" xfId="0" applyFill="1"/>
    <xf numFmtId="0" fontId="15" fillId="11" borderId="16" xfId="0" applyFont="1" applyFill="1" applyBorder="1" applyAlignment="1">
      <alignment horizontal="center" vertical="center"/>
    </xf>
    <xf numFmtId="0" fontId="0" fillId="0" borderId="5" xfId="0" applyBorder="1"/>
    <xf numFmtId="0" fontId="10" fillId="0" borderId="0" xfId="0" applyFont="1"/>
    <xf numFmtId="0" fontId="16" fillId="0" borderId="0" xfId="0" applyFont="1"/>
    <xf numFmtId="0" fontId="16" fillId="12" borderId="0" xfId="0" applyFont="1" applyFill="1"/>
    <xf numFmtId="0" fontId="17" fillId="0" borderId="0" xfId="0" applyFont="1"/>
    <xf numFmtId="0" fontId="16" fillId="13" borderId="0" xfId="0" applyFont="1" applyFill="1"/>
    <xf numFmtId="0" fontId="16" fillId="8" borderId="0" xfId="0" applyFont="1" applyFill="1" applyAlignment="1">
      <alignment wrapText="1"/>
    </xf>
    <xf numFmtId="0" fontId="16" fillId="0" borderId="0" xfId="0" applyFont="1" applyAlignment="1">
      <alignment wrapText="1"/>
    </xf>
    <xf numFmtId="0" fontId="16" fillId="13" borderId="0" xfId="0" applyFont="1" applyFill="1" applyAlignment="1">
      <alignment wrapText="1"/>
    </xf>
    <xf numFmtId="0" fontId="16" fillId="14" borderId="0" xfId="0" applyFont="1" applyFill="1"/>
    <xf numFmtId="0" fontId="16" fillId="15" borderId="0" xfId="0" applyFont="1" applyFill="1"/>
    <xf numFmtId="0" fontId="0" fillId="16" borderId="0" xfId="0" applyFill="1"/>
    <xf numFmtId="0" fontId="16" fillId="8" borderId="0" xfId="0" applyFont="1" applyFill="1"/>
    <xf numFmtId="0" fontId="0" fillId="0" borderId="0" xfId="0" applyAlignment="1">
      <alignment vertical="center"/>
    </xf>
    <xf numFmtId="0" fontId="7" fillId="17" borderId="0" xfId="0" applyFont="1" applyFill="1"/>
    <xf numFmtId="0" fontId="18" fillId="0" borderId="0" xfId="0" applyFont="1"/>
    <xf numFmtId="0" fontId="10" fillId="18" borderId="0" xfId="0" applyFont="1" applyFill="1"/>
    <xf numFmtId="0" fontId="9" fillId="18" borderId="0" xfId="0" applyFont="1" applyFill="1"/>
    <xf numFmtId="0" fontId="19" fillId="8" borderId="0" xfId="0" applyFont="1" applyFill="1"/>
    <xf numFmtId="0" fontId="9" fillId="0" borderId="0" xfId="0" applyFont="1"/>
    <xf numFmtId="0" fontId="3" fillId="4" borderId="0" xfId="2" applyFont="1" applyFill="1" applyAlignment="1">
      <alignment horizontal="left"/>
    </xf>
  </cellXfs>
  <cellStyles count="4">
    <cellStyle name="Border_Inside_Style" xfId="1" xr:uid="{395DFA4B-5F3F-4078-BD89-5738D1D315FD}"/>
    <cellStyle name="Normal" xfId="0" builtinId="0"/>
    <cellStyle name="Normal 2 2" xfId="2" xr:uid="{2F402795-0B4E-46CB-9A93-B20AD26DF3CB}"/>
    <cellStyle name="TH" xfId="3" xr:uid="{1887A24B-D90D-4F9F-B65E-9BC5E6AA64F9}"/>
  </cellStyles>
  <dxfs count="40"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ill>
        <patternFill patternType="solid">
          <fgColor indexed="64"/>
          <bgColor theme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4</xdr:row>
      <xdr:rowOff>28575</xdr:rowOff>
    </xdr:from>
    <xdr:to>
      <xdr:col>11</xdr:col>
      <xdr:colOff>47626</xdr:colOff>
      <xdr:row>12</xdr:row>
      <xdr:rowOff>114300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4B4D20-3F05-4C78-9EA2-D1ECF172FE5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21287"/>
        <a:stretch/>
      </xdr:blipFill>
      <xdr:spPr bwMode="auto">
        <a:xfrm>
          <a:off x="1" y="962025"/>
          <a:ext cx="7219950" cy="1609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</xdr:row>
      <xdr:rowOff>9525</xdr:rowOff>
    </xdr:from>
    <xdr:to>
      <xdr:col>11</xdr:col>
      <xdr:colOff>38100</xdr:colOff>
      <xdr:row>23</xdr:row>
      <xdr:rowOff>114300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9C9FA63-93DF-408B-9E1B-29803EDD610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r="21554"/>
        <a:stretch/>
      </xdr:blipFill>
      <xdr:spPr bwMode="auto">
        <a:xfrm>
          <a:off x="0" y="3038475"/>
          <a:ext cx="7210425" cy="1628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</xdr:row>
      <xdr:rowOff>28575</xdr:rowOff>
    </xdr:from>
    <xdr:to>
      <xdr:col>11</xdr:col>
      <xdr:colOff>95250</xdr:colOff>
      <xdr:row>31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2C9F016-DC6C-4AD1-A30D-BB6B14EFE0E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r="21178"/>
        <a:stretch/>
      </xdr:blipFill>
      <xdr:spPr bwMode="auto">
        <a:xfrm>
          <a:off x="0" y="5038725"/>
          <a:ext cx="7267575" cy="1047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</xdr:row>
      <xdr:rowOff>38100</xdr:rowOff>
    </xdr:from>
    <xdr:to>
      <xdr:col>11</xdr:col>
      <xdr:colOff>114300</xdr:colOff>
      <xdr:row>42</xdr:row>
      <xdr:rowOff>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A6CE722-2B4E-4748-9603-08D43F813A9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 r="20726"/>
        <a:stretch/>
      </xdr:blipFill>
      <xdr:spPr bwMode="auto">
        <a:xfrm>
          <a:off x="0" y="6486525"/>
          <a:ext cx="7286625" cy="1485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11</xdr:col>
      <xdr:colOff>314325</xdr:colOff>
      <xdr:row>51</xdr:row>
      <xdr:rowOff>142875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7684F2B-E6D2-4FE2-96EA-D193B90A434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r="18802"/>
        <a:stretch/>
      </xdr:blipFill>
      <xdr:spPr bwMode="auto">
        <a:xfrm>
          <a:off x="0" y="8286750"/>
          <a:ext cx="7486650" cy="1476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38100</xdr:colOff>
      <xdr:row>4</xdr:row>
      <xdr:rowOff>123825</xdr:rowOff>
    </xdr:from>
    <xdr:to>
      <xdr:col>2</xdr:col>
      <xdr:colOff>219075</xdr:colOff>
      <xdr:row>5</xdr:row>
      <xdr:rowOff>77066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25341D8-5489-4021-A877-9D58F400DB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47700" y="1057275"/>
          <a:ext cx="790575" cy="143741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</xdr:colOff>
      <xdr:row>15</xdr:row>
      <xdr:rowOff>76200</xdr:rowOff>
    </xdr:from>
    <xdr:to>
      <xdr:col>2</xdr:col>
      <xdr:colOff>200025</xdr:colOff>
      <xdr:row>16</xdr:row>
      <xdr:rowOff>29441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3B6DD69-F7B9-40F9-9A1B-E97DB32C2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28650" y="3105150"/>
          <a:ext cx="790575" cy="143741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26</xdr:row>
      <xdr:rowOff>95250</xdr:rowOff>
    </xdr:from>
    <xdr:to>
      <xdr:col>2</xdr:col>
      <xdr:colOff>238125</xdr:colOff>
      <xdr:row>27</xdr:row>
      <xdr:rowOff>48491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3BAF26A1-3327-4A4F-92BB-FD8D6F4C42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66750" y="5105400"/>
          <a:ext cx="790575" cy="143741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34</xdr:row>
      <xdr:rowOff>85725</xdr:rowOff>
    </xdr:from>
    <xdr:to>
      <xdr:col>2</xdr:col>
      <xdr:colOff>228600</xdr:colOff>
      <xdr:row>35</xdr:row>
      <xdr:rowOff>38966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3514A518-38BD-4FB7-A1C3-5B505505E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7225" y="6534150"/>
          <a:ext cx="790575" cy="143741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44</xdr:row>
      <xdr:rowOff>85725</xdr:rowOff>
    </xdr:from>
    <xdr:to>
      <xdr:col>2</xdr:col>
      <xdr:colOff>228600</xdr:colOff>
      <xdr:row>45</xdr:row>
      <xdr:rowOff>38966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2225D8D5-7C4A-4E9C-869C-893B467F9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7225" y="8372475"/>
          <a:ext cx="790575" cy="14374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22</xdr:col>
      <xdr:colOff>431589</xdr:colOff>
      <xdr:row>76</xdr:row>
      <xdr:rowOff>38100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734C6C7-0462-414A-9B7D-0EA4D7873C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0001250"/>
          <a:ext cx="14309514" cy="15621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77</xdr:row>
      <xdr:rowOff>190499</xdr:rowOff>
    </xdr:from>
    <xdr:to>
      <xdr:col>17</xdr:col>
      <xdr:colOff>419245</xdr:colOff>
      <xdr:row>81</xdr:row>
      <xdr:rowOff>161924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7C0FB34-B165-4EF8-853C-8936A639C1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1906249"/>
          <a:ext cx="11249170" cy="73342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83</xdr:row>
      <xdr:rowOff>19050</xdr:rowOff>
    </xdr:from>
    <xdr:to>
      <xdr:col>11</xdr:col>
      <xdr:colOff>600075</xdr:colOff>
      <xdr:row>86</xdr:row>
      <xdr:rowOff>133854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D0D68542-13B7-422E-853E-5C39A60005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2877800"/>
          <a:ext cx="7772400" cy="68630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38100</xdr:rowOff>
    </xdr:from>
    <xdr:to>
      <xdr:col>12</xdr:col>
      <xdr:colOff>495300</xdr:colOff>
      <xdr:row>65</xdr:row>
      <xdr:rowOff>66675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9F6FE773-E694-4641-996E-C71F0CB2F7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229850"/>
          <a:ext cx="8277225" cy="21240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DEEF8FC-2F8B-4382-B45E-AA44C8F2E48C}" name="Table15" displayName="Table15" ref="B2:AG9" totalsRowShown="0" headerRowDxfId="39" headerRowBorderDxfId="38" tableBorderDxfId="37" totalsRowBorderDxfId="36">
  <tableColumns count="32">
    <tableColumn id="20" xr3:uid="{9D8EE4F5-6789-4500-9D51-FA83AB00A7A4}" name="segment (LU Off Sub-Product)" dataDxfId="35">
      <calculatedColumnFormula>IFERROR(VLOOKUP(Table15[[#This Row],[Sub-Product]],'DV Lookups'!$R$2:$S$207,2,FALSE),"")</calculatedColumnFormula>
    </tableColumn>
    <tableColumn id="21" xr3:uid="{6A315623-211E-42BC-AF7E-05995DB47E55}" name="segment code (LU Off Segment)" dataDxfId="34">
      <calculatedColumnFormula>IFERROR(VLOOKUP(Table15[[#This Row],[segment (LU Off Sub-Product)]],'DV Lookups'!$AD$3:$AE$8,2,FALSE),"")</calculatedColumnFormula>
    </tableColumn>
    <tableColumn id="22" xr3:uid="{98903F82-D92C-4A07-82C6-84921777EC7E}" name="region" dataDxfId="33"/>
    <tableColumn id="23" xr3:uid="{97A54ECE-0533-4A84-B24A-B04627668453}" name="region code (LU Off Region) - Options look way different" dataDxfId="32">
      <calculatedColumnFormula>IFERROR(VLOOKUP(Table15[[#This Row],[region]],'DV Lookups'!$AG$3:$AH$12,2,FALSE),"")</calculatedColumnFormula>
    </tableColumn>
    <tableColumn id="1" xr3:uid="{9873DA78-E9F4-4CD7-8A71-12248FEFA102}" name="Market" dataDxfId="31"/>
    <tableColumn id="18" xr3:uid="{B308CB8D-88B3-432B-849C-FD1ACDB608A0}" name="Market Code" dataDxfId="30">
      <calculatedColumnFormula>IFERROR(VLOOKUP(Table15[[#This Row],[Market]],Table3[#All],2,FALSE),"")</calculatedColumnFormula>
    </tableColumn>
    <tableColumn id="13" xr3:uid="{A24387D9-E679-46BC-AB50-E0B9FFE5DE5A}" name="Language" dataDxfId="29"/>
    <tableColumn id="14" xr3:uid="{CC8DF78A-01FA-4BCC-BF46-43496C74A5D3}" name="Language Code" dataDxfId="28">
      <calculatedColumnFormula>IFERROR(VLOOKUP(Table15[[#This Row],[Language]],'DV Lookups'!$BL$3:$BM$94,2,FALSE),"")</calculatedColumnFormula>
    </tableColumn>
    <tableColumn id="27" xr3:uid="{62CAF723-0F41-4AB3-846F-F71CC9AE1BA2}" name="media channel" dataDxfId="27"/>
    <tableColumn id="39" xr3:uid="{361394A7-BFAE-4F36-B003-62C19B4316CA}" name="Publisher" dataDxfId="26"/>
    <tableColumn id="15" xr3:uid="{7611A8E5-52BE-4DF5-8BDE-A96FED140478}" name="Publisher Code" dataDxfId="25">
      <calculatedColumnFormula>IFERROR(VLOOKUP(Table15[[#This Row],[Publisher]],'DV Lookups'!$BD$3:$BE$226,2,FALSE),"")</calculatedColumnFormula>
    </tableColumn>
    <tableColumn id="33" xr3:uid="{4BD74407-8FD4-4A65-87AE-E980F8F1B6CF}" name="Device" dataDxfId="24"/>
    <tableColumn id="34" xr3:uid="{E1F6AA1B-63CF-4C07-A6A3-C2DD740C4BE4}" name="Campaign Type" dataDxfId="23"/>
    <tableColumn id="35" xr3:uid="{260A3AF4-0DDE-4F27-B63A-75FF96BD2AF3}" name="Brand" dataDxfId="22">
      <calculatedColumnFormula>IFERROR(VLOOKUP(Table15[[#This Row],[Sub-Product]],'DV Lookups'!$CA$3:$CB$209,2,FALSE),"")</calculatedColumnFormula>
    </tableColumn>
    <tableColumn id="36" xr3:uid="{B865628F-0EB5-40A8-8813-9841517A0EC1}" name="Cohort" dataDxfId="21"/>
    <tableColumn id="17" xr3:uid="{5F0BAE02-4BC4-4744-AD1C-412CE7569C01}" name="Cohort Code" dataDxfId="20">
      <calculatedColumnFormula>IFERROR(VLOOKUP(Table15[[#This Row],[Cohort]],'DV Lookups'!$BI$4:$BJ$19,2,FALSE),"")</calculatedColumnFormula>
    </tableColumn>
    <tableColumn id="37" xr3:uid="{8F3CB03E-6140-4664-8447-B7807FE4B083}" name="Bid Strategy" dataDxfId="19"/>
    <tableColumn id="5" xr3:uid="{A176FB0B-902D-45D1-A4EB-C09909422367}" name="Campaign Start Year" dataDxfId="18"/>
    <tableColumn id="31" xr3:uid="{F78D943B-E431-47FE-AAD9-257BF39E2C67}" name="Campaign Start Year Code" dataDxfId="17">
      <calculatedColumnFormula>IFERROR(VLOOKUP(Table15[[#This Row],[Campaign Start Year]],'DV Lookups'!$H$3:$I$23,2,FALSE),"")</calculatedColumnFormula>
    </tableColumn>
    <tableColumn id="4" xr3:uid="{0179E951-BB00-4A7B-9B82-EB723FFD92E4}" name="Campaign Start Month" dataDxfId="16"/>
    <tableColumn id="38" xr3:uid="{C2C3544F-5F3C-49C6-9051-EB14D2EE9248}" name="Match Type" dataDxfId="15"/>
    <tableColumn id="32" xr3:uid="{DF8032B1-AD05-483D-91A0-2BE56794E93D}" name="Free Form" dataDxfId="14"/>
    <tableColumn id="2" xr3:uid="{0B4B005D-C913-4EBB-8F85-B85A6628D422}" name="Sub-Product" dataDxfId="13"/>
    <tableColumn id="11" xr3:uid="{12CB3077-77A5-4DC0-920A-137DE9AA61AF}" name="Sub-Product Code" dataDxfId="12">
      <calculatedColumnFormula>IFERROR(VLOOKUP(Table15[[#This Row],[Sub-Product]],'DV Lookups'!$D$2:$E$212,2,FALSE),"")</calculatedColumnFormula>
    </tableColumn>
    <tableColumn id="3" xr3:uid="{648E17BB-D5DE-42A4-BDD4-FAA2D3254D7B}" name="campaign name (free field)" dataDxfId="11"/>
    <tableColumn id="6" xr3:uid="{0B176B5B-6936-4807-84FE-1613E292E200}" name="CDD" dataDxfId="10">
      <calculatedColumnFormula>IF(ISBLANK(Z3),"DEFAULT",Z3)</calculatedColumnFormula>
    </tableColumn>
    <tableColumn id="7" xr3:uid="{5EA5620D-108D-4D06-8E2B-A9989F63E2D1}" name="Zero" dataDxfId="9">
      <calculatedColumnFormula>0</calculatedColumnFormula>
    </tableColumn>
    <tableColumn id="8" xr3:uid="{B1DDFDBB-06B7-4CF7-AF72-3D927721C5F3}" name="CAMPAIGN NAME If Default" dataDxfId="8">
      <calculatedColumnFormula>CONCATENATE(Table15[[#This Row],[segment (LU Off Sub-Product)]],"_",Table15[[#This Row],[region code (LU Off Region) - Options look way different]],"_",Table15[[#This Row],[Market Code]],"_",Table15[[#This Row],[Language Code]],"_",Table15[[#This Row],[media channel]],"_",Table15[[#This Row],[Publisher Code]],"_",Table15[[#This Row],[Device]],"_",Table15[[#This Row],[Campaign Type]],"_",Table15[[#This Row],[Brand]],"_",Table15[[#This Row],[Cohort Code]],"_",Table15[[#This Row],[Bid Strategy]],"_",IF(Table15[[#This Row],[Campaign Start Month]]&gt;9,Table15[[#This Row],[Campaign Start Month]],CONCATENATE(Table15[[#This Row],[Zero]],Table15[[#This Row],[Campaign Start Month]])),Table15[[#This Row],[Campaign Start Year Code]],"_",Table15[[#This Row],[Match Type]],"_",Table15[[#This Row],[Free Form]])</calculatedColumnFormula>
    </tableColumn>
    <tableColumn id="9" xr3:uid="{CE865B78-73FF-4E45-B91F-DED3597F5D1C}" name="Concatenation" dataDxfId="7">
      <calculatedColumnFormula>IF(AC3="_________0_","",IF(COUNTIF(B3:Z3,"")&gt;0,"Not Valid",Table15[[#This Row],[CAMPAIGN NAME If Default]]))</calculatedColumnFormula>
    </tableColumn>
    <tableColumn id="10" xr3:uid="{5BF13384-882D-4AED-ADA5-57F6A0D354E2}" name="Hyphen" dataDxfId="6">
      <calculatedColumnFormula>SUBSTITUTE(AD3," ","-")</calculatedColumnFormula>
    </tableColumn>
    <tableColumn id="12" xr3:uid="{0220CDC3-DEC7-42D4-AC62-9F4ED4DED730}" name="TAG - DO NOT MAKE MANUAL EDITS" dataDxfId="5">
      <calculatedColumnFormula>LOWER(AE3)</calculatedColumnFormula>
    </tableColumn>
    <tableColumn id="16" xr3:uid="{1782B6F7-8B03-4ED6-BBAE-8B430300FA1D}" name="Character Count" dataDxfId="4">
      <calculatedColumnFormula>LEN(Table15[[#This Row],[TAG - DO NOT MAKE MANUAL EDITS]])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6F18C77-1A18-43BC-A72E-954780344BF4}" name="Table3" displayName="Table3" ref="A1:B86" totalsRowShown="0">
  <autoFilter ref="A1:B86" xr:uid="{38807EB0-B6E1-4D47-B093-B8BD39512C9C}"/>
  <sortState xmlns:xlrd2="http://schemas.microsoft.com/office/spreadsheetml/2017/richdata2" ref="A2:B86">
    <sortCondition ref="B1:B86"/>
  </sortState>
  <tableColumns count="2">
    <tableColumn id="1" xr3:uid="{88900CBE-9BFE-4238-BE50-108B676C0C41}" name="Country"/>
    <tableColumn id="2" xr3:uid="{92AA9727-C257-4E92-BCC6-ECB8E326B923}" name="Country code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61201BF-0E2C-42F1-B818-7548D591B0B2}" name="Table2" displayName="Table2" ref="K2:L60" totalsRowShown="0">
  <autoFilter ref="K2:L60" xr:uid="{961201BF-0E2C-42F1-B818-7548D591B0B2}"/>
  <sortState xmlns:xlrd2="http://schemas.microsoft.com/office/spreadsheetml/2017/richdata2" ref="K3:K61">
    <sortCondition ref="K2:K61"/>
  </sortState>
  <tableColumns count="2">
    <tableColumn id="1" xr3:uid="{F1AD8722-7E3C-42E4-8DDF-6AF4CB6714E4}" name="Media Types"/>
    <tableColumn id="2" xr3:uid="{E55F5957-AFF3-4944-AFAA-042FEBF54A29}" name="Media Type Lookup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D60F8-1729-4BEF-856F-F3749D6D6F86}">
  <sheetPr codeName="Sheet1"/>
  <dimension ref="A1:G83"/>
  <sheetViews>
    <sheetView showGridLines="0" workbookViewId="0">
      <selection sqref="A1:G1"/>
    </sheetView>
  </sheetViews>
  <sheetFormatPr defaultRowHeight="15"/>
  <cols>
    <col min="6" max="6" width="12.140625" customWidth="1"/>
    <col min="7" max="7" width="13.140625" customWidth="1"/>
  </cols>
  <sheetData>
    <row r="1" spans="1:7" ht="28.5">
      <c r="A1" s="58" t="s">
        <v>0</v>
      </c>
      <c r="B1" s="58"/>
      <c r="C1" s="58"/>
      <c r="D1" s="58"/>
      <c r="E1" s="58"/>
      <c r="F1" s="58"/>
      <c r="G1" s="58"/>
    </row>
    <row r="4" spans="1:7">
      <c r="A4" s="17" t="s">
        <v>1</v>
      </c>
    </row>
    <row r="15" spans="1:7">
      <c r="A15" s="17" t="s">
        <v>2</v>
      </c>
    </row>
    <row r="24" spans="1:1" ht="21" customHeight="1"/>
    <row r="25" spans="1:1" ht="21" customHeight="1">
      <c r="A25" s="17" t="s">
        <v>3</v>
      </c>
    </row>
    <row r="26" spans="1:1">
      <c r="A26" s="23" t="s">
        <v>4</v>
      </c>
    </row>
    <row r="33" spans="1:1" ht="8.25" customHeight="1"/>
    <row r="34" spans="1:1">
      <c r="A34" s="17" t="s">
        <v>5</v>
      </c>
    </row>
    <row r="43" spans="1:1" ht="9.75" customHeight="1"/>
    <row r="44" spans="1:1">
      <c r="A44" s="17" t="s">
        <v>6</v>
      </c>
    </row>
    <row r="54" spans="1:1">
      <c r="A54" s="17" t="s">
        <v>7</v>
      </c>
    </row>
    <row r="68" spans="1:1">
      <c r="A68" s="17" t="s">
        <v>8</v>
      </c>
    </row>
    <row r="78" spans="1:1">
      <c r="A78" s="17" t="s">
        <v>9</v>
      </c>
    </row>
    <row r="83" spans="1:1">
      <c r="A83" s="17" t="s">
        <v>10</v>
      </c>
    </row>
  </sheetData>
  <mergeCells count="1">
    <mergeCell ref="A1:G1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80300-E30C-476A-BC02-3D84E60910E0}">
  <sheetPr codeName="Sheet7"/>
  <dimension ref="B1:AQ9"/>
  <sheetViews>
    <sheetView showGridLines="0" tabSelected="1" zoomScale="80" zoomScaleNormal="80" workbookViewId="0"/>
  </sheetViews>
  <sheetFormatPr defaultColWidth="9.140625" defaultRowHeight="15"/>
  <cols>
    <col min="2" max="2" width="32.42578125" hidden="1" customWidth="1"/>
    <col min="3" max="3" width="33.85546875" hidden="1" customWidth="1"/>
    <col min="4" max="4" width="23.7109375" customWidth="1"/>
    <col min="5" max="5" width="58.5703125" hidden="1" customWidth="1"/>
    <col min="7" max="7" width="17" hidden="1" customWidth="1"/>
    <col min="8" max="8" width="16" bestFit="1" customWidth="1"/>
    <col min="9" max="9" width="29.140625" hidden="1" customWidth="1"/>
    <col min="10" max="10" width="16.28515625" bestFit="1" customWidth="1"/>
    <col min="11" max="11" width="16.7109375" bestFit="1" customWidth="1"/>
    <col min="12" max="12" width="16.7109375" hidden="1" customWidth="1"/>
    <col min="14" max="14" width="17" bestFit="1" customWidth="1"/>
    <col min="15" max="15" width="17" hidden="1" customWidth="1"/>
    <col min="16" max="16" width="17" customWidth="1"/>
    <col min="17" max="17" width="17" hidden="1" customWidth="1"/>
    <col min="18" max="18" width="17" customWidth="1"/>
    <col min="19" max="19" width="30.85546875" bestFit="1" customWidth="1"/>
    <col min="20" max="20" width="33.42578125" hidden="1" customWidth="1"/>
    <col min="21" max="21" width="21.42578125" bestFit="1" customWidth="1"/>
    <col min="22" max="22" width="17" customWidth="1"/>
    <col min="23" max="23" width="15.85546875" bestFit="1" customWidth="1"/>
    <col min="24" max="24" width="11.5703125" hidden="1" customWidth="1"/>
    <col min="25" max="25" width="17.42578125" hidden="1" customWidth="1"/>
    <col min="26" max="26" width="26.5703125" hidden="1" customWidth="1"/>
    <col min="27" max="28" width="0" hidden="1" customWidth="1"/>
    <col min="29" max="29" width="106.7109375" hidden="1" customWidth="1"/>
    <col min="30" max="31" width="21.28515625" hidden="1" customWidth="1"/>
    <col min="32" max="32" width="105.5703125" bestFit="1" customWidth="1"/>
    <col min="33" max="33" width="21.28515625" customWidth="1"/>
    <col min="34" max="34" width="26.85546875" customWidth="1"/>
    <col min="35" max="35" width="9.140625" customWidth="1"/>
    <col min="36" max="37" width="26.85546875" customWidth="1"/>
    <col min="38" max="38" width="9.140625" customWidth="1"/>
    <col min="39" max="39" width="14.5703125" customWidth="1"/>
    <col min="40" max="40" width="81.5703125" customWidth="1"/>
    <col min="41" max="43" width="81.5703125" style="3" customWidth="1"/>
    <col min="44" max="44" width="15.28515625" bestFit="1" customWidth="1"/>
    <col min="45" max="45" width="46.5703125" customWidth="1"/>
    <col min="46" max="46" width="70.28515625" bestFit="1" customWidth="1"/>
    <col min="47" max="47" width="15.85546875" bestFit="1" customWidth="1"/>
  </cols>
  <sheetData>
    <row r="1" spans="2:43" ht="15.75" thickBot="1"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AO1"/>
      <c r="AP1"/>
      <c r="AQ1"/>
    </row>
    <row r="2" spans="2:43" ht="43.5" customHeight="1" thickBot="1">
      <c r="B2" s="24" t="s">
        <v>16</v>
      </c>
      <c r="C2" s="24" t="s">
        <v>17</v>
      </c>
      <c r="D2" s="24" t="s">
        <v>18</v>
      </c>
      <c r="E2" s="24" t="s">
        <v>19</v>
      </c>
      <c r="F2" s="18" t="s">
        <v>11</v>
      </c>
      <c r="G2" s="18" t="s">
        <v>12</v>
      </c>
      <c r="H2" s="24" t="s">
        <v>1489</v>
      </c>
      <c r="I2" s="24" t="s">
        <v>1495</v>
      </c>
      <c r="J2" s="24" t="s">
        <v>21</v>
      </c>
      <c r="K2" s="24" t="s">
        <v>1490</v>
      </c>
      <c r="L2" s="24" t="s">
        <v>2124</v>
      </c>
      <c r="M2" s="24" t="s">
        <v>1491</v>
      </c>
      <c r="N2" s="24" t="s">
        <v>23</v>
      </c>
      <c r="O2" s="24" t="s">
        <v>59</v>
      </c>
      <c r="P2" s="24" t="s">
        <v>1492</v>
      </c>
      <c r="Q2" s="24" t="s">
        <v>2125</v>
      </c>
      <c r="R2" s="24" t="s">
        <v>1493</v>
      </c>
      <c r="S2" s="19" t="s">
        <v>25</v>
      </c>
      <c r="T2" s="19" t="s">
        <v>26</v>
      </c>
      <c r="U2" s="19" t="s">
        <v>27</v>
      </c>
      <c r="V2" s="24" t="s">
        <v>1494</v>
      </c>
      <c r="W2" s="19" t="s">
        <v>28</v>
      </c>
      <c r="X2" s="19" t="s">
        <v>13</v>
      </c>
      <c r="Y2" s="19" t="s">
        <v>14</v>
      </c>
      <c r="Z2" s="19" t="s">
        <v>15</v>
      </c>
      <c r="AA2" s="19" t="s">
        <v>29</v>
      </c>
      <c r="AB2" s="20" t="s">
        <v>30</v>
      </c>
      <c r="AC2" s="19" t="s">
        <v>31</v>
      </c>
      <c r="AD2" s="21" t="s">
        <v>32</v>
      </c>
      <c r="AE2" s="37" t="s">
        <v>33</v>
      </c>
      <c r="AF2" s="37" t="s">
        <v>34</v>
      </c>
      <c r="AG2" s="22" t="s">
        <v>35</v>
      </c>
      <c r="AO2"/>
      <c r="AP2"/>
      <c r="AQ2"/>
    </row>
    <row r="3" spans="2:43">
      <c r="B3" s="6" t="str">
        <f>IFERROR(VLOOKUP(Table15[[#This Row],[Sub-Product]],'DV Lookups'!$R$2:$S$207,2,FALSE),"")</f>
        <v>Petcare</v>
      </c>
      <c r="C3" s="6" t="str">
        <f>IFERROR(VLOOKUP(Table15[[#This Row],[segment (LU Off Sub-Product)]],'DV Lookups'!$AD$3:$AE$8,2,FALSE),"")</f>
        <v>pn</v>
      </c>
      <c r="D3" s="6" t="s">
        <v>39</v>
      </c>
      <c r="E3" s="6" t="str">
        <f>IFERROR(VLOOKUP(Table15[[#This Row],[region]],'DV Lookups'!$AG$3:$AH$12,2,FALSE),"")</f>
        <v>mea</v>
      </c>
      <c r="F3" s="5" t="s">
        <v>36</v>
      </c>
      <c r="G3" s="5" t="str">
        <f>IFERROR(VLOOKUP(Table15[[#This Row],[Market]],Table3[#All],2,FALSE),"")</f>
        <v>AE</v>
      </c>
      <c r="H3" s="5" t="s">
        <v>1907</v>
      </c>
      <c r="I3" s="5" t="str">
        <f>IFERROR(VLOOKUP(Table15[[#This Row],[Language]],'DV Lookups'!$BL$3:$BM$94,2,FALSE),"")</f>
        <v>af</v>
      </c>
      <c r="J3" s="6" t="s">
        <v>42</v>
      </c>
      <c r="K3" s="6" t="s">
        <v>1514</v>
      </c>
      <c r="L3" s="6" t="str">
        <f>IFERROR(VLOOKUP(Table15[[#This Row],[Publisher]],'DV Lookups'!$BD$3:$BE$226,2,FALSE),"")</f>
        <v>ACA</v>
      </c>
      <c r="M3" s="6" t="s">
        <v>1900</v>
      </c>
      <c r="N3" s="6" t="s">
        <v>2115</v>
      </c>
      <c r="O3" s="6" t="str">
        <f>IFERROR(VLOOKUP(Table15[[#This Row],[Sub-Product]],'DV Lookups'!$CA$3:$CB$209,2,FALSE),"")</f>
        <v>Whiskas</v>
      </c>
      <c r="P3" s="6" t="s">
        <v>2085</v>
      </c>
      <c r="Q3" s="6" t="str">
        <f>IFERROR(VLOOKUP(Table15[[#This Row],[Cohort]],'DV Lookups'!$BI$4:$BJ$19,2,FALSE),"")</f>
        <v>demo-only</v>
      </c>
      <c r="R3" s="6" t="s">
        <v>2119</v>
      </c>
      <c r="S3" s="6">
        <v>2020</v>
      </c>
      <c r="T3" s="6">
        <f>IFERROR(VLOOKUP(Table15[[#This Row],[Campaign Start Year]],'DV Lookups'!$H$3:$I$23,2,FALSE),"")</f>
        <v>20</v>
      </c>
      <c r="U3" s="6">
        <v>11</v>
      </c>
      <c r="V3" s="6" t="s">
        <v>2111</v>
      </c>
      <c r="W3" s="6" t="s">
        <v>45</v>
      </c>
      <c r="X3" s="6" t="s">
        <v>37</v>
      </c>
      <c r="Y3" s="6" t="str">
        <f>IFERROR(VLOOKUP(Table15[[#This Row],[Sub-Product]],'DV Lookups'!$D$2:$E$212,2,FALSE),"")</f>
        <v>whi</v>
      </c>
      <c r="Z3" s="6" t="s">
        <v>38</v>
      </c>
      <c r="AA3" s="6" t="str">
        <f t="shared" ref="AA3:AA9" si="0">IF(ISBLANK(Z3),"DEFAULT",Z3)</f>
        <v>Example</v>
      </c>
      <c r="AB3" s="7">
        <f>0</f>
        <v>0</v>
      </c>
      <c r="AC3" s="6" t="str">
        <f>CONCATENATE(Table15[[#This Row],[segment (LU Off Sub-Product)]],"_",Table15[[#This Row],[region code (LU Off Region) - Options look way different]],"_",Table15[[#This Row],[Market Code]],"_",Table15[[#This Row],[Language Code]],"_",Table15[[#This Row],[media channel]],"_",Table15[[#This Row],[Publisher Code]],"_",Table15[[#This Row],[Device]],"_",Table15[[#This Row],[Campaign Type]],"_",Table15[[#This Row],[Brand]],"_",Table15[[#This Row],[Cohort Code]],"_",Table15[[#This Row],[Bid Strategy]],"_",IF(Table15[[#This Row],[Campaign Start Month]]&gt;9,Table15[[#This Row],[Campaign Start Month]],CONCATENATE(Table15[[#This Row],[Zero]],Table15[[#This Row],[Campaign Start Month]])),Table15[[#This Row],[Campaign Start Year Code]],"_",Table15[[#This Row],[Match Type]],"_",Table15[[#This Row],[Free Form]])</f>
        <v>Petcare_mea_AE_af_audio_ACA_Desktop_Search_Whiskas_demo-only_tCPA_1120_Broad_example name</v>
      </c>
      <c r="AD3" s="8" t="str">
        <f>IF(AC3="_________0_","",IF(COUNTIF(B3:Z3,"")&gt;0,"Not Valid",Table15[[#This Row],[CAMPAIGN NAME If Default]]))</f>
        <v>Petcare_mea_AE_af_audio_ACA_Desktop_Search_Whiskas_demo-only_tCPA_1120_Broad_example name</v>
      </c>
      <c r="AE3" s="38" t="str">
        <f t="shared" ref="AE3:AE9" si="1">SUBSTITUTE(AD3," ","-")</f>
        <v>Petcare_mea_AE_af_audio_ACA_Desktop_Search_Whiskas_demo-only_tCPA_1120_Broad_example-name</v>
      </c>
      <c r="AF3" s="38" t="str">
        <f t="shared" ref="AF3:AF9" si="2">LOWER(AE3)</f>
        <v>petcare_mea_ae_af_audio_aca_desktop_search_whiskas_demo-only_tcpa_1120_broad_example-name</v>
      </c>
      <c r="AG3" s="8">
        <f>LEN(Table15[[#This Row],[TAG - DO NOT MAKE MANUAL EDITS]])</f>
        <v>89</v>
      </c>
      <c r="AO3"/>
      <c r="AP3"/>
      <c r="AQ3"/>
    </row>
    <row r="4" spans="2:43">
      <c r="B4" s="6" t="str">
        <f>IFERROR(VLOOKUP(Table15[[#This Row],[Sub-Product]],'DV Lookups'!$R$2:$S$207,2,FALSE),"")</f>
        <v>MW</v>
      </c>
      <c r="C4" s="6" t="str">
        <f>IFERROR(VLOOKUP(Table15[[#This Row],[segment (LU Off Sub-Product)]],'DV Lookups'!$AD$3:$AE$8,2,FALSE),"")</f>
        <v>mw</v>
      </c>
      <c r="D4" s="6" t="s">
        <v>49</v>
      </c>
      <c r="E4" s="6" t="str">
        <f>IFERROR(VLOOKUP(Table15[[#This Row],[region]],'DV Lookups'!$AG$3:$AH$12,2,FALSE),"")</f>
        <v>eur</v>
      </c>
      <c r="F4" s="5" t="s">
        <v>46</v>
      </c>
      <c r="G4" s="5" t="str">
        <f>IFERROR(VLOOKUP(Table15[[#This Row],[Market]],Table3[#All],2,FALSE),"")</f>
        <v>DE</v>
      </c>
      <c r="H4" s="5" t="s">
        <v>1912</v>
      </c>
      <c r="I4" s="5" t="str">
        <f>IFERROR(VLOOKUP(Table15[[#This Row],[Language]],'DV Lookups'!$BL$3:$BM$94,2,FALSE),"")</f>
        <v>am</v>
      </c>
      <c r="J4" s="6" t="s">
        <v>51</v>
      </c>
      <c r="K4" s="6"/>
      <c r="L4" s="6" t="str">
        <f>IFERROR(VLOOKUP(Table15[[#This Row],[Publisher]],'DV Lookups'!$BD$3:$BE$226,2,FALSE),"")</f>
        <v/>
      </c>
      <c r="M4" s="6"/>
      <c r="N4" s="6"/>
      <c r="O4" s="6" t="str">
        <f>IFERROR(VLOOKUP(Table15[[#This Row],[Sub-Product]],'DV Lookups'!$CA$3:$CB$209,2,FALSE),"")</f>
        <v>Extra</v>
      </c>
      <c r="P4" s="6"/>
      <c r="Q4" s="6" t="str">
        <f>IFERROR(VLOOKUP(Table15[[#This Row],[Cohort]],'DV Lookups'!$BI$4:$BJ$19,2,FALSE),"")</f>
        <v/>
      </c>
      <c r="R4" s="6"/>
      <c r="S4" s="6">
        <v>2023</v>
      </c>
      <c r="T4" s="6">
        <f>IFERROR(VLOOKUP(Table15[[#This Row],[Campaign Start Year]],'DV Lookups'!$H$3:$I$23,2,FALSE),"")</f>
        <v>23</v>
      </c>
      <c r="U4" s="6">
        <v>1</v>
      </c>
      <c r="V4" s="6"/>
      <c r="W4" s="6" t="s">
        <v>53</v>
      </c>
      <c r="X4" s="6" t="s">
        <v>47</v>
      </c>
      <c r="Y4" s="6" t="str">
        <f>IFERROR(VLOOKUP(Table15[[#This Row],[Sub-Product]],'DV Lookups'!$D$2:$E$212,2,FALSE),"")</f>
        <v>exg</v>
      </c>
      <c r="Z4" s="6" t="s">
        <v>48</v>
      </c>
      <c r="AA4" s="6" t="str">
        <f t="shared" si="0"/>
        <v>P1 VNP</v>
      </c>
      <c r="AB4" s="7">
        <f>0</f>
        <v>0</v>
      </c>
      <c r="AC4" s="6" t="str">
        <f>CONCATENATE(Table15[[#This Row],[segment (LU Off Sub-Product)]],"_",Table15[[#This Row],[region code (LU Off Region) - Options look way different]],"_",Table15[[#This Row],[Market Code]],"_",Table15[[#This Row],[Language Code]],"_",Table15[[#This Row],[media channel]],"_",Table15[[#This Row],[Publisher Code]],"_",Table15[[#This Row],[Device]],"_",Table15[[#This Row],[Campaign Type]],"_",Table15[[#This Row],[Brand]],"_",Table15[[#This Row],[Cohort Code]],"_",Table15[[#This Row],[Bid Strategy]],"_",IF(Table15[[#This Row],[Campaign Start Month]]&gt;9,Table15[[#This Row],[Campaign Start Month]],CONCATENATE(Table15[[#This Row],[Zero]],Table15[[#This Row],[Campaign Start Month]])),Table15[[#This Row],[Campaign Start Year Code]],"_",Table15[[#This Row],[Match Type]],"_",Table15[[#This Row],[Free Form]])</f>
        <v>MW_eur_DE_am_olv____Extra___0123__Test</v>
      </c>
      <c r="AD4" s="8" t="str">
        <f>IF(AC4="_________0_","",IF(COUNTIF(B4:Z4,"")&gt;0,"Not Valid",Table15[[#This Row],[CAMPAIGN NAME If Default]]))</f>
        <v>Not Valid</v>
      </c>
      <c r="AE4" s="38" t="str">
        <f t="shared" si="1"/>
        <v>Not-Valid</v>
      </c>
      <c r="AF4" s="38" t="str">
        <f t="shared" si="2"/>
        <v>not-valid</v>
      </c>
      <c r="AG4" s="8">
        <f>LEN(Table15[[#This Row],[TAG - DO NOT MAKE MANUAL EDITS]])</f>
        <v>9</v>
      </c>
      <c r="AO4"/>
      <c r="AP4"/>
      <c r="AQ4"/>
    </row>
    <row r="5" spans="2:43">
      <c r="B5" s="10" t="str">
        <f>IFERROR(VLOOKUP(Table15[[#This Row],[Sub-Product]],'DV Lookups'!$R$2:$S$207,2,FALSE),"")</f>
        <v/>
      </c>
      <c r="C5" s="10" t="str">
        <f>IFERROR(VLOOKUP(Table15[[#This Row],[segment (LU Off Sub-Product)]],'DV Lookups'!$AD$3:$AE$8,2,FALSE),"")</f>
        <v/>
      </c>
      <c r="D5" s="10"/>
      <c r="E5" s="10" t="str">
        <f>IFERROR(VLOOKUP(Table15[[#This Row],[region]],'DV Lookups'!$AG$3:$AH$12,2,FALSE),"")</f>
        <v/>
      </c>
      <c r="F5" s="9"/>
      <c r="G5" s="9" t="str">
        <f>IFERROR(VLOOKUP(Table15[[#This Row],[Market]],Table3[#All],2,FALSE),"")</f>
        <v/>
      </c>
      <c r="H5" s="9"/>
      <c r="I5" s="9" t="str">
        <f>IFERROR(VLOOKUP(Table15[[#This Row],[Language]],'DV Lookups'!$BL$3:$BM$94,2,FALSE),"")</f>
        <v/>
      </c>
      <c r="J5" s="10"/>
      <c r="K5" s="10"/>
      <c r="L5" s="10" t="str">
        <f>IFERROR(VLOOKUP(Table15[[#This Row],[Publisher]],'DV Lookups'!$BD$3:$BE$226,2,FALSE),"")</f>
        <v/>
      </c>
      <c r="M5" s="10"/>
      <c r="N5" s="10"/>
      <c r="O5" s="10" t="str">
        <f>IFERROR(VLOOKUP(Table15[[#This Row],[Sub-Product]],'DV Lookups'!$CA$3:$CB$209,2,FALSE),"")</f>
        <v/>
      </c>
      <c r="P5" s="10"/>
      <c r="Q5" s="10" t="str">
        <f>IFERROR(VLOOKUP(Table15[[#This Row],[Cohort]],'DV Lookups'!$BI$4:$BJ$19,2,FALSE),"")</f>
        <v/>
      </c>
      <c r="R5" s="10"/>
      <c r="S5" s="10"/>
      <c r="T5" s="10" t="str">
        <f>IFERROR(VLOOKUP(Table15[[#This Row],[Campaign Start Year]],'DV Lookups'!$H$3:$I$23,2,FALSE),"")</f>
        <v/>
      </c>
      <c r="U5" s="10"/>
      <c r="V5" s="10"/>
      <c r="W5" s="10"/>
      <c r="X5" s="10"/>
      <c r="Y5" s="10" t="str">
        <f>IFERROR(VLOOKUP(Table15[[#This Row],[Sub-Product]],'DV Lookups'!$D$2:$E$212,2,FALSE),"")</f>
        <v/>
      </c>
      <c r="Z5" s="10"/>
      <c r="AA5" s="10" t="str">
        <f t="shared" si="0"/>
        <v>DEFAULT</v>
      </c>
      <c r="AB5" s="11">
        <f>0</f>
        <v>0</v>
      </c>
      <c r="AC5" s="10" t="str">
        <f>CONCATENATE(Table15[[#This Row],[segment (LU Off Sub-Product)]],"_",Table15[[#This Row],[region code (LU Off Region) - Options look way different]],"_",Table15[[#This Row],[Market Code]],"_",Table15[[#This Row],[Language Code]],"_",Table15[[#This Row],[media channel]],"_",Table15[[#This Row],[Publisher Code]],"_",Table15[[#This Row],[Device]],"_",Table15[[#This Row],[Campaign Type]],"_",Table15[[#This Row],[Brand]],"_",Table15[[#This Row],[Cohort Code]],"_",Table15[[#This Row],[Bid Strategy]],"_",IF(Table15[[#This Row],[Campaign Start Month]]&gt;9,Table15[[#This Row],[Campaign Start Month]],CONCATENATE(Table15[[#This Row],[Zero]],Table15[[#This Row],[Campaign Start Month]])),Table15[[#This Row],[Campaign Start Year Code]],"_",Table15[[#This Row],[Match Type]],"_",Table15[[#This Row],[Free Form]])</f>
        <v>___________0__</v>
      </c>
      <c r="AD5" s="12" t="str">
        <f>IF(AC5="_________0_","",IF(COUNTIF(B5:Z5,"")&gt;0,"Not Valid",Table15[[#This Row],[CAMPAIGN NAME If Default]]))</f>
        <v>Not Valid</v>
      </c>
      <c r="AE5" s="38" t="str">
        <f t="shared" si="1"/>
        <v>Not-Valid</v>
      </c>
      <c r="AF5" s="38" t="str">
        <f t="shared" si="2"/>
        <v>not-valid</v>
      </c>
      <c r="AG5" s="12">
        <f>LEN(Table15[[#This Row],[TAG - DO NOT MAKE MANUAL EDITS]])</f>
        <v>9</v>
      </c>
      <c r="AO5"/>
      <c r="AP5"/>
      <c r="AQ5"/>
    </row>
    <row r="6" spans="2:43">
      <c r="B6" s="10" t="str">
        <f>IFERROR(VLOOKUP(Table15[[#This Row],[Sub-Product]],'DV Lookups'!$R$2:$S$207,2,FALSE),"")</f>
        <v/>
      </c>
      <c r="C6" s="10" t="str">
        <f>IFERROR(VLOOKUP(Table15[[#This Row],[segment (LU Off Sub-Product)]],'DV Lookups'!$AD$3:$AE$8,2,FALSE),"")</f>
        <v/>
      </c>
      <c r="D6" s="10"/>
      <c r="E6" s="10" t="str">
        <f>IFERROR(VLOOKUP(Table15[[#This Row],[region]],'DV Lookups'!$AG$3:$AH$12,2,FALSE),"")</f>
        <v/>
      </c>
      <c r="F6" s="9"/>
      <c r="G6" s="9" t="str">
        <f>IFERROR(VLOOKUP(Table15[[#This Row],[Market]],Table3[#All],2,FALSE),"")</f>
        <v/>
      </c>
      <c r="H6" s="9"/>
      <c r="I6" s="9" t="str">
        <f>IFERROR(VLOOKUP(Table15[[#This Row],[Language]],'DV Lookups'!$BL$3:$BM$94,2,FALSE),"")</f>
        <v/>
      </c>
      <c r="J6" s="10"/>
      <c r="K6" s="10"/>
      <c r="L6" s="10" t="str">
        <f>IFERROR(VLOOKUP(Table15[[#This Row],[Publisher]],'DV Lookups'!$BD$3:$BE$226,2,FALSE),"")</f>
        <v/>
      </c>
      <c r="M6" s="10"/>
      <c r="N6" s="10"/>
      <c r="O6" s="10" t="str">
        <f>IFERROR(VLOOKUP(Table15[[#This Row],[Sub-Product]],'DV Lookups'!$CA$3:$CB$209,2,FALSE),"")</f>
        <v/>
      </c>
      <c r="P6" s="10"/>
      <c r="Q6" s="10" t="str">
        <f>IFERROR(VLOOKUP(Table15[[#This Row],[Cohort]],'DV Lookups'!$BI$4:$BJ$19,2,FALSE),"")</f>
        <v/>
      </c>
      <c r="R6" s="10"/>
      <c r="S6" s="10"/>
      <c r="T6" s="10" t="str">
        <f>IFERROR(VLOOKUP(Table15[[#This Row],[Campaign Start Year]],'DV Lookups'!$H$3:$I$23,2,FALSE),"")</f>
        <v/>
      </c>
      <c r="U6" s="10"/>
      <c r="V6" s="10"/>
      <c r="W6" s="10"/>
      <c r="X6" s="10"/>
      <c r="Y6" s="10" t="str">
        <f>IFERROR(VLOOKUP(Table15[[#This Row],[Sub-Product]],'DV Lookups'!$D$2:$E$212,2,FALSE),"")</f>
        <v/>
      </c>
      <c r="Z6" s="10"/>
      <c r="AA6" s="10" t="str">
        <f t="shared" si="0"/>
        <v>DEFAULT</v>
      </c>
      <c r="AB6" s="11">
        <f>0</f>
        <v>0</v>
      </c>
      <c r="AC6" s="10" t="str">
        <f>CONCATENATE(Table15[[#This Row],[segment (LU Off Sub-Product)]],"_",Table15[[#This Row],[region code (LU Off Region) - Options look way different]],"_",Table15[[#This Row],[Market Code]],"_",Table15[[#This Row],[Language Code]],"_",Table15[[#This Row],[media channel]],"_",Table15[[#This Row],[Publisher Code]],"_",Table15[[#This Row],[Device]],"_",Table15[[#This Row],[Campaign Type]],"_",Table15[[#This Row],[Brand]],"_",Table15[[#This Row],[Cohort Code]],"_",Table15[[#This Row],[Bid Strategy]],"_",IF(Table15[[#This Row],[Campaign Start Month]]&gt;9,Table15[[#This Row],[Campaign Start Month]],CONCATENATE(Table15[[#This Row],[Zero]],Table15[[#This Row],[Campaign Start Month]])),Table15[[#This Row],[Campaign Start Year Code]],"_",Table15[[#This Row],[Match Type]],"_",Table15[[#This Row],[Free Form]])</f>
        <v>___________0__</v>
      </c>
      <c r="AD6" s="12" t="str">
        <f>IF(AC6="_________0_","",IF(COUNTIF(B6:Z6,"")&gt;0,"Not Valid",Table15[[#This Row],[CAMPAIGN NAME If Default]]))</f>
        <v>Not Valid</v>
      </c>
      <c r="AE6" s="38" t="str">
        <f t="shared" si="1"/>
        <v>Not-Valid</v>
      </c>
      <c r="AF6" s="38" t="str">
        <f t="shared" si="2"/>
        <v>not-valid</v>
      </c>
      <c r="AG6" s="12">
        <f>LEN(Table15[[#This Row],[TAG - DO NOT MAKE MANUAL EDITS]])</f>
        <v>9</v>
      </c>
      <c r="AO6"/>
      <c r="AP6"/>
      <c r="AQ6"/>
    </row>
    <row r="7" spans="2:43">
      <c r="B7" s="10" t="str">
        <f>IFERROR(VLOOKUP(Table15[[#This Row],[Sub-Product]],'DV Lookups'!$R$2:$S$207,2,FALSE),"")</f>
        <v/>
      </c>
      <c r="C7" s="10" t="str">
        <f>IFERROR(VLOOKUP(Table15[[#This Row],[segment (LU Off Sub-Product)]],'DV Lookups'!$AD$3:$AE$8,2,FALSE),"")</f>
        <v/>
      </c>
      <c r="D7" s="10"/>
      <c r="E7" s="10" t="str">
        <f>IFERROR(VLOOKUP(Table15[[#This Row],[region]],'DV Lookups'!$AG$3:$AH$12,2,FALSE),"")</f>
        <v/>
      </c>
      <c r="F7" s="9"/>
      <c r="G7" s="9" t="str">
        <f>IFERROR(VLOOKUP(Table15[[#This Row],[Market]],Table3[#All],2,FALSE),"")</f>
        <v/>
      </c>
      <c r="H7" s="9"/>
      <c r="I7" s="9" t="str">
        <f>IFERROR(VLOOKUP(Table15[[#This Row],[Language]],'DV Lookups'!$BL$3:$BM$94,2,FALSE),"")</f>
        <v/>
      </c>
      <c r="J7" s="10"/>
      <c r="K7" s="10"/>
      <c r="L7" s="10" t="str">
        <f>IFERROR(VLOOKUP(Table15[[#This Row],[Publisher]],'DV Lookups'!$BD$3:$BE$226,2,FALSE),"")</f>
        <v/>
      </c>
      <c r="M7" s="10"/>
      <c r="N7" s="10"/>
      <c r="O7" s="10" t="str">
        <f>IFERROR(VLOOKUP(Table15[[#This Row],[Sub-Product]],'DV Lookups'!$CA$3:$CB$209,2,FALSE),"")</f>
        <v/>
      </c>
      <c r="P7" s="10"/>
      <c r="Q7" s="10" t="str">
        <f>IFERROR(VLOOKUP(Table15[[#This Row],[Cohort]],'DV Lookups'!$BI$4:$BJ$19,2,FALSE),"")</f>
        <v/>
      </c>
      <c r="R7" s="10"/>
      <c r="S7" s="10"/>
      <c r="T7" s="10" t="str">
        <f>IFERROR(VLOOKUP(Table15[[#This Row],[Campaign Start Year]],'DV Lookups'!$H$3:$I$23,2,FALSE),"")</f>
        <v/>
      </c>
      <c r="U7" s="10"/>
      <c r="V7" s="10"/>
      <c r="W7" s="10"/>
      <c r="X7" s="10"/>
      <c r="Y7" s="10" t="str">
        <f>IFERROR(VLOOKUP(Table15[[#This Row],[Sub-Product]],'DV Lookups'!$D$2:$E$212,2,FALSE),"")</f>
        <v/>
      </c>
      <c r="Z7" s="10"/>
      <c r="AA7" s="10" t="str">
        <f t="shared" si="0"/>
        <v>DEFAULT</v>
      </c>
      <c r="AB7" s="11">
        <f>0</f>
        <v>0</v>
      </c>
      <c r="AC7" s="10" t="str">
        <f>CONCATENATE(Table15[[#This Row],[segment (LU Off Sub-Product)]],"_",Table15[[#This Row],[region code (LU Off Region) - Options look way different]],"_",Table15[[#This Row],[Market Code]],"_",Table15[[#This Row],[Language Code]],"_",Table15[[#This Row],[media channel]],"_",Table15[[#This Row],[Publisher Code]],"_",Table15[[#This Row],[Device]],"_",Table15[[#This Row],[Campaign Type]],"_",Table15[[#This Row],[Brand]],"_",Table15[[#This Row],[Cohort Code]],"_",Table15[[#This Row],[Bid Strategy]],"_",IF(Table15[[#This Row],[Campaign Start Month]]&gt;9,Table15[[#This Row],[Campaign Start Month]],CONCATENATE(Table15[[#This Row],[Zero]],Table15[[#This Row],[Campaign Start Month]])),Table15[[#This Row],[Campaign Start Year Code]],"_",Table15[[#This Row],[Match Type]],"_",Table15[[#This Row],[Free Form]])</f>
        <v>___________0__</v>
      </c>
      <c r="AD7" s="12" t="str">
        <f>IF(AC7="_________0_","",IF(COUNTIF(B7:Z7,"")&gt;0,"Not Valid",Table15[[#This Row],[CAMPAIGN NAME If Default]]))</f>
        <v>Not Valid</v>
      </c>
      <c r="AE7" s="38" t="str">
        <f t="shared" si="1"/>
        <v>Not-Valid</v>
      </c>
      <c r="AF7" s="38" t="str">
        <f t="shared" si="2"/>
        <v>not-valid</v>
      </c>
      <c r="AG7" s="12">
        <f>LEN(Table15[[#This Row],[TAG - DO NOT MAKE MANUAL EDITS]])</f>
        <v>9</v>
      </c>
      <c r="AO7"/>
      <c r="AP7"/>
      <c r="AQ7"/>
    </row>
    <row r="8" spans="2:43">
      <c r="B8" s="14" t="str">
        <f>IFERROR(VLOOKUP(Table15[[#This Row],[Sub-Product]],'DV Lookups'!$R$2:$S$207,2,FALSE),"")</f>
        <v/>
      </c>
      <c r="C8" s="14" t="str">
        <f>IFERROR(VLOOKUP(Table15[[#This Row],[segment (LU Off Sub-Product)]],'DV Lookups'!$AD$3:$AE$8,2,FALSE),"")</f>
        <v/>
      </c>
      <c r="D8" s="14"/>
      <c r="E8" s="14" t="str">
        <f>IFERROR(VLOOKUP(Table15[[#This Row],[region]],'DV Lookups'!$AG$3:$AH$12,2,FALSE),"")</f>
        <v/>
      </c>
      <c r="F8" s="13"/>
      <c r="G8" s="13" t="str">
        <f>IFERROR(VLOOKUP(Table15[[#This Row],[Market]],Table3[#All],2,FALSE),"")</f>
        <v/>
      </c>
      <c r="H8" s="13"/>
      <c r="I8" s="13" t="str">
        <f>IFERROR(VLOOKUP(Table15[[#This Row],[Language]],'DV Lookups'!$BL$3:$BM$94,2,FALSE),"")</f>
        <v/>
      </c>
      <c r="J8" s="14"/>
      <c r="K8" s="14"/>
      <c r="L8" s="14" t="str">
        <f>IFERROR(VLOOKUP(Table15[[#This Row],[Publisher]],'DV Lookups'!$BD$3:$BE$226,2,FALSE),"")</f>
        <v/>
      </c>
      <c r="M8" s="14"/>
      <c r="N8" s="14"/>
      <c r="O8" s="14" t="str">
        <f>IFERROR(VLOOKUP(Table15[[#This Row],[Sub-Product]],'DV Lookups'!$CA$3:$CB$209,2,FALSE),"")</f>
        <v/>
      </c>
      <c r="P8" s="14"/>
      <c r="Q8" s="14" t="str">
        <f>IFERROR(VLOOKUP(Table15[[#This Row],[Cohort]],'DV Lookups'!$BI$4:$BJ$19,2,FALSE),"")</f>
        <v/>
      </c>
      <c r="R8" s="14"/>
      <c r="S8" s="14"/>
      <c r="T8" s="14" t="str">
        <f>IFERROR(VLOOKUP(Table15[[#This Row],[Campaign Start Year]],'DV Lookups'!$H$3:$I$23,2,FALSE),"")</f>
        <v/>
      </c>
      <c r="U8" s="14"/>
      <c r="V8" s="14"/>
      <c r="W8" s="14"/>
      <c r="X8" s="14"/>
      <c r="Y8" s="14" t="str">
        <f>IFERROR(VLOOKUP(Table15[[#This Row],[Sub-Product]],'DV Lookups'!$D$2:$E$212,2,FALSE),"")</f>
        <v/>
      </c>
      <c r="Z8" s="14"/>
      <c r="AA8" s="14" t="str">
        <f t="shared" si="0"/>
        <v>DEFAULT</v>
      </c>
      <c r="AB8" s="15">
        <f>0</f>
        <v>0</v>
      </c>
      <c r="AC8" s="14" t="str">
        <f>CONCATENATE(Table15[[#This Row],[segment (LU Off Sub-Product)]],"_",Table15[[#This Row],[region code (LU Off Region) - Options look way different]],"_",Table15[[#This Row],[Market Code]],"_",Table15[[#This Row],[Language Code]],"_",Table15[[#This Row],[media channel]],"_",Table15[[#This Row],[Publisher Code]],"_",Table15[[#This Row],[Device]],"_",Table15[[#This Row],[Campaign Type]],"_",Table15[[#This Row],[Brand]],"_",Table15[[#This Row],[Cohort Code]],"_",Table15[[#This Row],[Bid Strategy]],"_",IF(Table15[[#This Row],[Campaign Start Month]]&gt;9,Table15[[#This Row],[Campaign Start Month]],CONCATENATE(Table15[[#This Row],[Zero]],Table15[[#This Row],[Campaign Start Month]])),Table15[[#This Row],[Campaign Start Year Code]],"_",Table15[[#This Row],[Match Type]],"_",Table15[[#This Row],[Free Form]])</f>
        <v>___________0__</v>
      </c>
      <c r="AD8" s="16" t="str">
        <f>IF(AC8="_________0_","",IF(COUNTIF(B8:Z8,"")&gt;0,"Not Valid",Table15[[#This Row],[CAMPAIGN NAME If Default]]))</f>
        <v>Not Valid</v>
      </c>
      <c r="AE8" s="38" t="str">
        <f t="shared" si="1"/>
        <v>Not-Valid</v>
      </c>
      <c r="AF8" s="38" t="str">
        <f t="shared" si="2"/>
        <v>not-valid</v>
      </c>
      <c r="AG8" s="16">
        <f>LEN(Table15[[#This Row],[TAG - DO NOT MAKE MANUAL EDITS]])</f>
        <v>9</v>
      </c>
      <c r="AO8"/>
      <c r="AP8"/>
      <c r="AQ8"/>
    </row>
    <row r="9" spans="2:43">
      <c r="B9" s="14" t="str">
        <f>IFERROR(VLOOKUP(Table15[[#This Row],[Sub-Product]],'DV Lookups'!$R$2:$S$207,2,FALSE),"")</f>
        <v/>
      </c>
      <c r="C9" s="14" t="str">
        <f>IFERROR(VLOOKUP(Table15[[#This Row],[segment (LU Off Sub-Product)]],'DV Lookups'!$AD$3:$AE$8,2,FALSE),"")</f>
        <v/>
      </c>
      <c r="D9" s="14"/>
      <c r="E9" s="14" t="str">
        <f>IFERROR(VLOOKUP(Table15[[#This Row],[region]],'DV Lookups'!$AG$3:$AH$12,2,FALSE),"")</f>
        <v/>
      </c>
      <c r="F9" s="13"/>
      <c r="G9" s="13" t="str">
        <f>IFERROR(VLOOKUP(Table15[[#This Row],[Market]],Table3[#All],2,FALSE),"")</f>
        <v/>
      </c>
      <c r="H9" s="13"/>
      <c r="I9" s="13" t="str">
        <f>IFERROR(VLOOKUP(Table15[[#This Row],[Language]],'DV Lookups'!$BL$3:$BM$94,2,FALSE),"")</f>
        <v/>
      </c>
      <c r="J9" s="14"/>
      <c r="K9" s="14"/>
      <c r="L9" s="14" t="str">
        <f>IFERROR(VLOOKUP(Table15[[#This Row],[Publisher]],'DV Lookups'!$BD$3:$BE$226,2,FALSE),"")</f>
        <v/>
      </c>
      <c r="M9" s="14"/>
      <c r="N9" s="14"/>
      <c r="O9" s="14" t="str">
        <f>IFERROR(VLOOKUP(Table15[[#This Row],[Sub-Product]],'DV Lookups'!$CA$3:$CB$209,2,FALSE),"")</f>
        <v/>
      </c>
      <c r="P9" s="14"/>
      <c r="Q9" s="14" t="str">
        <f>IFERROR(VLOOKUP(Table15[[#This Row],[Cohort]],'DV Lookups'!$BI$4:$BJ$19,2,FALSE),"")</f>
        <v/>
      </c>
      <c r="R9" s="14"/>
      <c r="S9" s="14"/>
      <c r="T9" s="14" t="str">
        <f>IFERROR(VLOOKUP(Table15[[#This Row],[Campaign Start Year]],'DV Lookups'!$H$3:$I$23,2,FALSE),"")</f>
        <v/>
      </c>
      <c r="U9" s="14"/>
      <c r="V9" s="14"/>
      <c r="W9" s="14"/>
      <c r="X9" s="14"/>
      <c r="Y9" s="14" t="str">
        <f>IFERROR(VLOOKUP(Table15[[#This Row],[Sub-Product]],'DV Lookups'!$D$2:$E$212,2,FALSE),"")</f>
        <v/>
      </c>
      <c r="Z9" s="14"/>
      <c r="AA9" s="14" t="str">
        <f t="shared" si="0"/>
        <v>DEFAULT</v>
      </c>
      <c r="AB9" s="15">
        <f>0</f>
        <v>0</v>
      </c>
      <c r="AC9" s="14" t="str">
        <f>CONCATENATE(Table15[[#This Row],[segment (LU Off Sub-Product)]],"_",Table15[[#This Row],[region code (LU Off Region) - Options look way different]],"_",Table15[[#This Row],[Market Code]],"_",Table15[[#This Row],[Language Code]],"_",Table15[[#This Row],[media channel]],"_",Table15[[#This Row],[Publisher Code]],"_",Table15[[#This Row],[Device]],"_",Table15[[#This Row],[Campaign Type]],"_",Table15[[#This Row],[Brand]],"_",Table15[[#This Row],[Cohort Code]],"_",Table15[[#This Row],[Bid Strategy]],"_",IF(Table15[[#This Row],[Campaign Start Month]]&gt;9,Table15[[#This Row],[Campaign Start Month]],CONCATENATE(Table15[[#This Row],[Zero]],Table15[[#This Row],[Campaign Start Month]])),Table15[[#This Row],[Campaign Start Year Code]],"_",Table15[[#This Row],[Match Type]],"_",Table15[[#This Row],[Free Form]])</f>
        <v>___________0__</v>
      </c>
      <c r="AD9" s="16" t="str">
        <f>IF(AC9="_________0_","",IF(COUNTIF(B9:Z9,"")&gt;0,"Not Valid",Table15[[#This Row],[CAMPAIGN NAME If Default]]))</f>
        <v>Not Valid</v>
      </c>
      <c r="AE9" s="38" t="str">
        <f t="shared" si="1"/>
        <v>Not-Valid</v>
      </c>
      <c r="AF9" s="38" t="str">
        <f t="shared" si="2"/>
        <v>not-valid</v>
      </c>
      <c r="AG9" s="16">
        <f>LEN(Table15[[#This Row],[TAG - DO NOT MAKE MANUAL EDITS]])</f>
        <v>9</v>
      </c>
      <c r="AO9"/>
      <c r="AP9"/>
      <c r="AQ9"/>
    </row>
  </sheetData>
  <phoneticPr fontId="5" type="noConversion"/>
  <dataValidations count="1">
    <dataValidation type="textLength" allowBlank="1" showInputMessage="1" showErrorMessage="1" sqref="B3:C9 Z3:Z9 E3:E9 W3:W9 T3:T9" xr:uid="{066521DF-FB8D-4140-9055-63DAB44E4749}">
      <formula1>0</formula1>
      <formula2>16</formula2>
    </dataValidation>
  </dataValidations>
  <pageMargins left="0.7" right="0.7" top="0.75" bottom="0.75" header="0.3" footer="0.3"/>
  <pageSetup paperSize="246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4">
        <x14:dataValidation type="list" allowBlank="1" showInputMessage="1" showErrorMessage="1" xr:uid="{63A1B1CF-7B31-4738-BD95-DD97F0723730}">
          <x14:formula1>
            <xm:f>'Alpha-2 Reference Sheet'!$A$2:$A$86</xm:f>
          </x14:formula1>
          <xm:sqref>F3:F9</xm:sqref>
        </x14:dataValidation>
        <x14:dataValidation type="list" allowBlank="1" showInputMessage="1" showErrorMessage="1" xr:uid="{7F2A8990-A349-4693-AA5B-B229B4B0CD6C}">
          <x14:formula1>
            <xm:f>'DV Lookups'!$H$3:$H$23</xm:f>
          </x14:formula1>
          <xm:sqref>S3:T9 S3:S9</xm:sqref>
        </x14:dataValidation>
        <x14:dataValidation type="list" allowBlank="1" showInputMessage="1" showErrorMessage="1" xr:uid="{492DB0B9-89F4-47C9-87A7-94C234BA513A}">
          <x14:formula1>
            <xm:f>'DV Lookups'!$G$3:$G$14</xm:f>
          </x14:formula1>
          <xm:sqref>U3:U9</xm:sqref>
        </x14:dataValidation>
        <x14:dataValidation type="list" allowBlank="1" showInputMessage="1" showErrorMessage="1" xr:uid="{77CB761B-EA91-4A5C-8337-C00612226F3F}">
          <x14:formula1>
            <xm:f>'DV Lookups'!$AS$3:$AS$15</xm:f>
          </x14:formula1>
          <xm:sqref>J3:J9 W3:W9 J3:J9 S3:U9</xm:sqref>
        </x14:dataValidation>
        <x14:dataValidation type="list" allowBlank="1" showInputMessage="1" showErrorMessage="1" xr:uid="{865010CA-080C-4E3A-8567-88E97E7E56E9}">
          <x14:formula1>
            <xm:f>'DV Lookups'!$AG$3:$AG$7</xm:f>
          </x14:formula1>
          <xm:sqref>D3:D9</xm:sqref>
        </x14:dataValidation>
        <x14:dataValidation type="list" allowBlank="1" showInputMessage="1" showErrorMessage="1" xr:uid="{B600F49D-965E-4FD0-AA79-5DF7C423C814}">
          <x14:formula1>
            <xm:f>'DV Lookups'!$D$3:$D$212</xm:f>
          </x14:formula1>
          <xm:sqref>X3:X9</xm:sqref>
        </x14:dataValidation>
        <x14:dataValidation type="list" allowBlank="1" showInputMessage="1" showErrorMessage="1" xr:uid="{6DA926A3-B1D7-4230-BD1E-BE1D74E9F1FA}">
          <x14:formula1>
            <xm:f>'DV Lookups'!$BL$3:$BL$94</xm:f>
          </x14:formula1>
          <xm:sqref>H3:H9</xm:sqref>
        </x14:dataValidation>
        <x14:dataValidation type="list" allowBlank="1" showInputMessage="1" showErrorMessage="1" xr:uid="{B412DB32-9070-450E-B161-6C18FD20A63C}">
          <x14:formula1>
            <xm:f>'DV Lookups'!$BG$3:$BG$5</xm:f>
          </x14:formula1>
          <xm:sqref>M3:M9 M3:M9</xm:sqref>
        </x14:dataValidation>
        <x14:dataValidation type="list" allowBlank="1" showInputMessage="1" showErrorMessage="1" xr:uid="{9BAFD1D4-4EB4-4810-9366-A6EC8C4C1825}">
          <x14:formula1>
            <xm:f>'DV Lookups'!$BR$3:$BR$6</xm:f>
          </x14:formula1>
          <xm:sqref>V3:V9 V3:V9</xm:sqref>
        </x14:dataValidation>
        <x14:dataValidation type="list" allowBlank="1" showInputMessage="1" showErrorMessage="1" xr:uid="{058D08E6-9C11-4C65-BE15-FA315558C157}">
          <x14:formula1>
            <xm:f>'DV Lookups'!$BT$3:$BT$6</xm:f>
          </x14:formula1>
          <xm:sqref>N3:N9</xm:sqref>
        </x14:dataValidation>
        <x14:dataValidation type="list" allowBlank="1" showInputMessage="1" showErrorMessage="1" xr:uid="{EA815739-93EA-4214-980C-E58EA3B2F0F4}">
          <x14:formula1>
            <xm:f>'DV Lookups'!$BV$3:$BV$6</xm:f>
          </x14:formula1>
          <xm:sqref>R3:R9 R3:R9</xm:sqref>
        </x14:dataValidation>
        <x14:dataValidation type="list" allowBlank="1" showInputMessage="1" showErrorMessage="1" xr:uid="{00CE2BC8-9762-4F2F-8444-FDFDF37799BE}">
          <x14:formula1>
            <xm:f>'DV Lookups'!$BI$4:$BI$19</xm:f>
          </x14:formula1>
          <xm:sqref>P3:P9 P3:P9</xm:sqref>
        </x14:dataValidation>
        <x14:dataValidation type="list" allowBlank="1" showInputMessage="1" showErrorMessage="1" xr:uid="{A354DDF3-D3F4-47E8-83A4-BE3161064BF8}">
          <x14:formula1>
            <xm:f>'DV Lookups'!$BD$3:$BD$226</xm:f>
          </x14:formula1>
          <xm:sqref>K3:K9</xm:sqref>
        </x14:dataValidation>
        <x14:dataValidation type="list" allowBlank="1" showInputMessage="1" showErrorMessage="1" xr:uid="{2A7518F2-2CAB-4BD9-85A9-4E4E1670C6D7}">
          <x14:formula1>
            <xm:f>'DV Lookups'!$I$3:$I$23</xm:f>
          </x14:formula1>
          <xm:sqref>U3:U9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0B001-D89D-4E18-A5BD-A48C68F10E0C}">
  <sheetPr codeName="Sheet3"/>
  <dimension ref="A1:B86"/>
  <sheetViews>
    <sheetView showGridLines="0" topLeftCell="A65" workbookViewId="0">
      <selection activeCell="B19" sqref="B19"/>
    </sheetView>
  </sheetViews>
  <sheetFormatPr defaultRowHeight="15"/>
  <cols>
    <col min="1" max="1" width="17.42578125" bestFit="1" customWidth="1"/>
    <col min="2" max="2" width="14.28515625" bestFit="1" customWidth="1"/>
    <col min="3" max="3" width="8.85546875" customWidth="1"/>
  </cols>
  <sheetData>
    <row r="1" spans="1:2">
      <c r="A1" t="s">
        <v>63</v>
      </c>
      <c r="B1" t="s">
        <v>64</v>
      </c>
    </row>
    <row r="2" spans="1:2">
      <c r="A2" t="s">
        <v>36</v>
      </c>
      <c r="B2" t="s">
        <v>65</v>
      </c>
    </row>
    <row r="3" spans="1:2">
      <c r="A3" t="s">
        <v>66</v>
      </c>
      <c r="B3" t="s">
        <v>67</v>
      </c>
    </row>
    <row r="4" spans="1:2">
      <c r="A4" t="s">
        <v>68</v>
      </c>
      <c r="B4" t="s">
        <v>69</v>
      </c>
    </row>
    <row r="5" spans="1:2">
      <c r="A5" t="s">
        <v>70</v>
      </c>
      <c r="B5" t="s">
        <v>71</v>
      </c>
    </row>
    <row r="6" spans="1:2">
      <c r="A6" t="s">
        <v>72</v>
      </c>
      <c r="B6" t="s">
        <v>73</v>
      </c>
    </row>
    <row r="7" spans="1:2">
      <c r="A7" t="s">
        <v>74</v>
      </c>
      <c r="B7" t="s">
        <v>75</v>
      </c>
    </row>
    <row r="8" spans="1:2">
      <c r="A8" t="s">
        <v>76</v>
      </c>
      <c r="B8" t="s">
        <v>77</v>
      </c>
    </row>
    <row r="9" spans="1:2">
      <c r="A9" t="s">
        <v>78</v>
      </c>
      <c r="B9" t="s">
        <v>79</v>
      </c>
    </row>
    <row r="10" spans="1:2">
      <c r="A10" t="s">
        <v>80</v>
      </c>
      <c r="B10" t="s">
        <v>81</v>
      </c>
    </row>
    <row r="11" spans="1:2">
      <c r="A11" t="s">
        <v>82</v>
      </c>
      <c r="B11" t="s">
        <v>83</v>
      </c>
    </row>
    <row r="12" spans="1:2">
      <c r="A12" t="s">
        <v>84</v>
      </c>
      <c r="B12" t="s">
        <v>85</v>
      </c>
    </row>
    <row r="13" spans="1:2">
      <c r="A13" t="s">
        <v>86</v>
      </c>
      <c r="B13" t="s">
        <v>87</v>
      </c>
    </row>
    <row r="14" spans="1:2">
      <c r="A14" t="s">
        <v>88</v>
      </c>
      <c r="B14" t="s">
        <v>89</v>
      </c>
    </row>
    <row r="15" spans="1:2">
      <c r="A15" t="s">
        <v>90</v>
      </c>
      <c r="B15" t="s">
        <v>91</v>
      </c>
    </row>
    <row r="16" spans="1:2">
      <c r="A16" t="s">
        <v>92</v>
      </c>
      <c r="B16" t="s">
        <v>93</v>
      </c>
    </row>
    <row r="17" spans="1:2">
      <c r="A17" t="s">
        <v>94</v>
      </c>
      <c r="B17" t="s">
        <v>95</v>
      </c>
    </row>
    <row r="18" spans="1:2">
      <c r="A18" t="s">
        <v>96</v>
      </c>
      <c r="B18" t="s">
        <v>97</v>
      </c>
    </row>
    <row r="19" spans="1:2">
      <c r="A19" t="s">
        <v>98</v>
      </c>
      <c r="B19" t="s">
        <v>99</v>
      </c>
    </row>
    <row r="20" spans="1:2">
      <c r="A20" t="s">
        <v>100</v>
      </c>
      <c r="B20" t="s">
        <v>101</v>
      </c>
    </row>
    <row r="21" spans="1:2">
      <c r="A21" t="s">
        <v>46</v>
      </c>
      <c r="B21" t="s">
        <v>102</v>
      </c>
    </row>
    <row r="22" spans="1:2">
      <c r="A22" t="s">
        <v>103</v>
      </c>
      <c r="B22" t="s">
        <v>104</v>
      </c>
    </row>
    <row r="23" spans="1:2">
      <c r="A23" t="s">
        <v>105</v>
      </c>
      <c r="B23" t="s">
        <v>106</v>
      </c>
    </row>
    <row r="24" spans="1:2">
      <c r="A24" t="s">
        <v>107</v>
      </c>
      <c r="B24" t="s">
        <v>108</v>
      </c>
    </row>
    <row r="25" spans="1:2">
      <c r="A25" t="s">
        <v>109</v>
      </c>
      <c r="B25" t="s">
        <v>110</v>
      </c>
    </row>
    <row r="26" spans="1:2">
      <c r="A26" t="s">
        <v>111</v>
      </c>
      <c r="B26" t="s">
        <v>112</v>
      </c>
    </row>
    <row r="27" spans="1:2">
      <c r="A27" t="s">
        <v>113</v>
      </c>
      <c r="B27" t="s">
        <v>114</v>
      </c>
    </row>
    <row r="28" spans="1:2">
      <c r="A28" t="s">
        <v>115</v>
      </c>
      <c r="B28" t="s">
        <v>116</v>
      </c>
    </row>
    <row r="29" spans="1:2">
      <c r="A29" t="s">
        <v>117</v>
      </c>
      <c r="B29" t="s">
        <v>118</v>
      </c>
    </row>
    <row r="30" spans="1:2">
      <c r="A30" t="s">
        <v>119</v>
      </c>
      <c r="B30" t="s">
        <v>120</v>
      </c>
    </row>
    <row r="31" spans="1:2">
      <c r="A31" t="s">
        <v>121</v>
      </c>
      <c r="B31" t="s">
        <v>122</v>
      </c>
    </row>
    <row r="32" spans="1:2">
      <c r="A32" t="s">
        <v>123</v>
      </c>
      <c r="B32" t="s">
        <v>124</v>
      </c>
    </row>
    <row r="33" spans="1:2">
      <c r="A33" t="s">
        <v>125</v>
      </c>
      <c r="B33" t="s">
        <v>126</v>
      </c>
    </row>
    <row r="34" spans="1:2">
      <c r="A34" t="s">
        <v>127</v>
      </c>
      <c r="B34" t="s">
        <v>127</v>
      </c>
    </row>
    <row r="35" spans="1:2">
      <c r="A35" t="s">
        <v>128</v>
      </c>
      <c r="B35" t="s">
        <v>129</v>
      </c>
    </row>
    <row r="36" spans="1:2">
      <c r="A36" t="s">
        <v>130</v>
      </c>
      <c r="B36" t="s">
        <v>131</v>
      </c>
    </row>
    <row r="37" spans="1:2">
      <c r="A37" t="s">
        <v>132</v>
      </c>
      <c r="B37" t="s">
        <v>133</v>
      </c>
    </row>
    <row r="38" spans="1:2">
      <c r="A38" t="s">
        <v>134</v>
      </c>
      <c r="B38" t="s">
        <v>135</v>
      </c>
    </row>
    <row r="39" spans="1:2">
      <c r="A39" t="s">
        <v>136</v>
      </c>
      <c r="B39" t="s">
        <v>137</v>
      </c>
    </row>
    <row r="40" spans="1:2">
      <c r="A40" t="s">
        <v>138</v>
      </c>
      <c r="B40" t="s">
        <v>139</v>
      </c>
    </row>
    <row r="41" spans="1:2">
      <c r="A41" t="s">
        <v>140</v>
      </c>
      <c r="B41" t="s">
        <v>141</v>
      </c>
    </row>
    <row r="42" spans="1:2">
      <c r="A42" t="s">
        <v>142</v>
      </c>
      <c r="B42" t="s">
        <v>143</v>
      </c>
    </row>
    <row r="43" spans="1:2">
      <c r="A43" t="s">
        <v>144</v>
      </c>
      <c r="B43" t="s">
        <v>145</v>
      </c>
    </row>
    <row r="44" spans="1:2">
      <c r="A44" t="s">
        <v>146</v>
      </c>
      <c r="B44" t="s">
        <v>147</v>
      </c>
    </row>
    <row r="45" spans="1:2">
      <c r="A45" t="s">
        <v>148</v>
      </c>
      <c r="B45" t="s">
        <v>149</v>
      </c>
    </row>
    <row r="46" spans="1:2">
      <c r="A46" t="s">
        <v>150</v>
      </c>
      <c r="B46" t="s">
        <v>151</v>
      </c>
    </row>
    <row r="47" spans="1:2">
      <c r="A47" t="s">
        <v>152</v>
      </c>
      <c r="B47" t="s">
        <v>153</v>
      </c>
    </row>
    <row r="48" spans="1:2">
      <c r="A48" t="s">
        <v>154</v>
      </c>
      <c r="B48" t="s">
        <v>154</v>
      </c>
    </row>
    <row r="49" spans="1:2">
      <c r="A49" t="s">
        <v>155</v>
      </c>
      <c r="B49" t="s">
        <v>156</v>
      </c>
    </row>
    <row r="50" spans="1:2">
      <c r="A50" t="s">
        <v>157</v>
      </c>
      <c r="B50" t="s">
        <v>158</v>
      </c>
    </row>
    <row r="51" spans="1:2">
      <c r="A51" t="s">
        <v>159</v>
      </c>
      <c r="B51" t="s">
        <v>160</v>
      </c>
    </row>
    <row r="52" spans="1:2">
      <c r="A52" t="s">
        <v>161</v>
      </c>
      <c r="B52" t="s">
        <v>162</v>
      </c>
    </row>
    <row r="53" spans="1:2">
      <c r="A53" t="s">
        <v>163</v>
      </c>
      <c r="B53" t="s">
        <v>164</v>
      </c>
    </row>
    <row r="54" spans="1:2">
      <c r="A54" t="s">
        <v>165</v>
      </c>
      <c r="B54" t="s">
        <v>166</v>
      </c>
    </row>
    <row r="55" spans="1:2">
      <c r="A55" t="s">
        <v>167</v>
      </c>
      <c r="B55" t="s">
        <v>168</v>
      </c>
    </row>
    <row r="56" spans="1:2">
      <c r="A56" t="s">
        <v>169</v>
      </c>
      <c r="B56" t="s">
        <v>170</v>
      </c>
    </row>
    <row r="57" spans="1:2">
      <c r="A57" t="s">
        <v>171</v>
      </c>
      <c r="B57" t="s">
        <v>172</v>
      </c>
    </row>
    <row r="58" spans="1:2">
      <c r="A58" t="s">
        <v>173</v>
      </c>
      <c r="B58" t="s">
        <v>174</v>
      </c>
    </row>
    <row r="59" spans="1:2">
      <c r="A59" t="s">
        <v>175</v>
      </c>
      <c r="B59" t="s">
        <v>176</v>
      </c>
    </row>
    <row r="60" spans="1:2">
      <c r="A60" t="s">
        <v>177</v>
      </c>
      <c r="B60" t="s">
        <v>178</v>
      </c>
    </row>
    <row r="61" spans="1:2">
      <c r="A61" t="s">
        <v>179</v>
      </c>
      <c r="B61" t="s">
        <v>180</v>
      </c>
    </row>
    <row r="62" spans="1:2">
      <c r="A62" t="s">
        <v>181</v>
      </c>
      <c r="B62" t="s">
        <v>182</v>
      </c>
    </row>
    <row r="63" spans="1:2">
      <c r="A63" t="s">
        <v>183</v>
      </c>
      <c r="B63" t="s">
        <v>184</v>
      </c>
    </row>
    <row r="64" spans="1:2">
      <c r="A64" t="s">
        <v>185</v>
      </c>
      <c r="B64" t="s">
        <v>186</v>
      </c>
    </row>
    <row r="65" spans="1:2">
      <c r="A65" t="s">
        <v>187</v>
      </c>
      <c r="B65" t="s">
        <v>188</v>
      </c>
    </row>
    <row r="66" spans="1:2">
      <c r="A66" t="s">
        <v>189</v>
      </c>
      <c r="B66" t="s">
        <v>190</v>
      </c>
    </row>
    <row r="67" spans="1:2">
      <c r="A67" t="s">
        <v>191</v>
      </c>
      <c r="B67" t="s">
        <v>192</v>
      </c>
    </row>
    <row r="68" spans="1:2">
      <c r="A68" t="s">
        <v>193</v>
      </c>
      <c r="B68" t="s">
        <v>194</v>
      </c>
    </row>
    <row r="69" spans="1:2">
      <c r="A69" t="s">
        <v>195</v>
      </c>
      <c r="B69" t="s">
        <v>196</v>
      </c>
    </row>
    <row r="70" spans="1:2">
      <c r="A70" t="s">
        <v>197</v>
      </c>
      <c r="B70" t="s">
        <v>198</v>
      </c>
    </row>
    <row r="71" spans="1:2">
      <c r="A71" t="s">
        <v>199</v>
      </c>
      <c r="B71" t="s">
        <v>200</v>
      </c>
    </row>
    <row r="72" spans="1:2">
      <c r="A72" t="s">
        <v>201</v>
      </c>
      <c r="B72" t="s">
        <v>202</v>
      </c>
    </row>
    <row r="73" spans="1:2">
      <c r="A73" t="s">
        <v>203</v>
      </c>
      <c r="B73" t="s">
        <v>204</v>
      </c>
    </row>
    <row r="74" spans="1:2">
      <c r="A74" t="s">
        <v>205</v>
      </c>
      <c r="B74" t="s">
        <v>206</v>
      </c>
    </row>
    <row r="75" spans="1:2">
      <c r="A75" t="s">
        <v>207</v>
      </c>
      <c r="B75" t="s">
        <v>208</v>
      </c>
    </row>
    <row r="76" spans="1:2">
      <c r="A76" t="s">
        <v>209</v>
      </c>
      <c r="B76" t="s">
        <v>210</v>
      </c>
    </row>
    <row r="77" spans="1:2">
      <c r="A77" t="s">
        <v>211</v>
      </c>
      <c r="B77" t="s">
        <v>212</v>
      </c>
    </row>
    <row r="78" spans="1:2">
      <c r="A78" t="s">
        <v>213</v>
      </c>
      <c r="B78" t="s">
        <v>214</v>
      </c>
    </row>
    <row r="79" spans="1:2">
      <c r="A79" t="s">
        <v>215</v>
      </c>
      <c r="B79" t="s">
        <v>216</v>
      </c>
    </row>
    <row r="80" spans="1:2">
      <c r="A80" t="s">
        <v>217</v>
      </c>
      <c r="B80" t="s">
        <v>218</v>
      </c>
    </row>
    <row r="81" spans="1:2">
      <c r="A81" t="s">
        <v>219</v>
      </c>
      <c r="B81" t="s">
        <v>220</v>
      </c>
    </row>
    <row r="82" spans="1:2">
      <c r="A82" t="s">
        <v>221</v>
      </c>
      <c r="B82" t="s">
        <v>222</v>
      </c>
    </row>
    <row r="83" spans="1:2">
      <c r="A83" t="s">
        <v>223</v>
      </c>
      <c r="B83" t="s">
        <v>224</v>
      </c>
    </row>
    <row r="84" spans="1:2">
      <c r="A84" t="s">
        <v>225</v>
      </c>
      <c r="B84" t="s">
        <v>226</v>
      </c>
    </row>
    <row r="85" spans="1:2">
      <c r="A85" t="s">
        <v>227</v>
      </c>
      <c r="B85" t="s">
        <v>228</v>
      </c>
    </row>
    <row r="86" spans="1:2">
      <c r="A86" t="s">
        <v>229</v>
      </c>
      <c r="B86" t="s">
        <v>230</v>
      </c>
    </row>
  </sheetData>
  <conditionalFormatting sqref="B1:B1048576">
    <cfRule type="duplicateValues" dxfId="3" priority="1"/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398D-D0CC-403B-8D16-4AE4DB0AF47D}">
  <sheetPr codeName="Sheet4" filterMode="1"/>
  <dimension ref="A1:D249"/>
  <sheetViews>
    <sheetView workbookViewId="0">
      <selection activeCell="G262" sqref="G262"/>
    </sheetView>
  </sheetViews>
  <sheetFormatPr defaultRowHeight="15"/>
  <cols>
    <col min="1" max="1" width="21.85546875" customWidth="1"/>
  </cols>
  <sheetData>
    <row r="1" spans="1:4" ht="15.75" thickBot="1">
      <c r="A1" s="4" t="s">
        <v>231</v>
      </c>
      <c r="B1" s="4" t="s">
        <v>232</v>
      </c>
      <c r="C1" s="4" t="s">
        <v>233</v>
      </c>
      <c r="D1" s="4">
        <v>4</v>
      </c>
    </row>
    <row r="2" spans="1:4" ht="15.75" hidden="1" thickBot="1">
      <c r="A2" s="4" t="s">
        <v>66</v>
      </c>
      <c r="B2" s="4" t="s">
        <v>67</v>
      </c>
      <c r="C2" s="4" t="s">
        <v>234</v>
      </c>
      <c r="D2" s="4">
        <v>8</v>
      </c>
    </row>
    <row r="3" spans="1:4" ht="15.75" hidden="1" thickBot="1">
      <c r="A3" s="4" t="s">
        <v>235</v>
      </c>
      <c r="B3" s="4" t="s">
        <v>236</v>
      </c>
      <c r="C3" s="4" t="s">
        <v>237</v>
      </c>
      <c r="D3" s="4">
        <v>12</v>
      </c>
    </row>
    <row r="4" spans="1:4" ht="15.75" hidden="1" thickBot="1">
      <c r="A4" s="4" t="s">
        <v>238</v>
      </c>
      <c r="B4" s="4" t="s">
        <v>239</v>
      </c>
      <c r="C4" s="4" t="s">
        <v>240</v>
      </c>
      <c r="D4" s="4">
        <v>16</v>
      </c>
    </row>
    <row r="5" spans="1:4" ht="15.75" hidden="1" thickBot="1">
      <c r="A5" s="4" t="s">
        <v>241</v>
      </c>
      <c r="B5" s="4" t="s">
        <v>242</v>
      </c>
      <c r="C5" s="4" t="s">
        <v>243</v>
      </c>
      <c r="D5" s="4">
        <v>20</v>
      </c>
    </row>
    <row r="6" spans="1:4" ht="15.75" hidden="1" thickBot="1">
      <c r="A6" s="4" t="s">
        <v>244</v>
      </c>
      <c r="B6" s="4" t="s">
        <v>245</v>
      </c>
      <c r="C6" s="4" t="s">
        <v>246</v>
      </c>
      <c r="D6" s="4">
        <v>24</v>
      </c>
    </row>
    <row r="7" spans="1:4" ht="15.75" hidden="1" thickBot="1">
      <c r="A7" s="4" t="s">
        <v>247</v>
      </c>
      <c r="B7" s="4" t="s">
        <v>248</v>
      </c>
      <c r="C7" s="4" t="s">
        <v>249</v>
      </c>
      <c r="D7" s="4">
        <v>660</v>
      </c>
    </row>
    <row r="8" spans="1:4" ht="15.75" hidden="1" thickBot="1">
      <c r="A8" s="4" t="s">
        <v>250</v>
      </c>
      <c r="B8" s="4" t="s">
        <v>251</v>
      </c>
      <c r="C8" s="4" t="s">
        <v>252</v>
      </c>
      <c r="D8" s="4">
        <v>10</v>
      </c>
    </row>
    <row r="9" spans="1:4" ht="30.75" hidden="1" thickBot="1">
      <c r="A9" s="4" t="s">
        <v>253</v>
      </c>
      <c r="B9" s="4" t="s">
        <v>254</v>
      </c>
      <c r="C9" s="4" t="s">
        <v>255</v>
      </c>
      <c r="D9" s="4">
        <v>28</v>
      </c>
    </row>
    <row r="10" spans="1:4" ht="15.75" hidden="1" thickBot="1">
      <c r="A10" s="4" t="s">
        <v>68</v>
      </c>
      <c r="B10" s="4" t="s">
        <v>69</v>
      </c>
      <c r="C10" s="4" t="s">
        <v>256</v>
      </c>
      <c r="D10" s="4">
        <v>32</v>
      </c>
    </row>
    <row r="11" spans="1:4" ht="15.75" hidden="1" thickBot="1">
      <c r="A11" s="4" t="s">
        <v>257</v>
      </c>
      <c r="B11" s="4" t="s">
        <v>258</v>
      </c>
      <c r="C11" s="4" t="s">
        <v>259</v>
      </c>
      <c r="D11" s="4">
        <v>51</v>
      </c>
    </row>
    <row r="12" spans="1:4" ht="15.75" hidden="1" thickBot="1">
      <c r="A12" s="4" t="s">
        <v>260</v>
      </c>
      <c r="B12" s="4" t="s">
        <v>261</v>
      </c>
      <c r="C12" s="4" t="s">
        <v>262</v>
      </c>
      <c r="D12" s="4">
        <v>533</v>
      </c>
    </row>
    <row r="13" spans="1:4" ht="15.75" hidden="1" thickBot="1">
      <c r="A13" s="4" t="s">
        <v>72</v>
      </c>
      <c r="B13" s="4" t="s">
        <v>73</v>
      </c>
      <c r="C13" s="4" t="s">
        <v>263</v>
      </c>
      <c r="D13" s="4">
        <v>36</v>
      </c>
    </row>
    <row r="14" spans="1:4" ht="15.75" hidden="1" thickBot="1">
      <c r="A14" s="4" t="s">
        <v>70</v>
      </c>
      <c r="B14" s="4" t="s">
        <v>71</v>
      </c>
      <c r="C14" s="4" t="s">
        <v>264</v>
      </c>
      <c r="D14" s="4">
        <v>40</v>
      </c>
    </row>
    <row r="15" spans="1:4" ht="15.75" hidden="1" thickBot="1">
      <c r="A15" s="4" t="s">
        <v>74</v>
      </c>
      <c r="B15" s="4" t="s">
        <v>75</v>
      </c>
      <c r="C15" s="4" t="s">
        <v>265</v>
      </c>
      <c r="D15" s="4">
        <v>31</v>
      </c>
    </row>
    <row r="16" spans="1:4" ht="15.75" hidden="1" thickBot="1">
      <c r="A16" s="4" t="s">
        <v>266</v>
      </c>
      <c r="B16" s="4" t="s">
        <v>267</v>
      </c>
      <c r="C16" s="4" t="s">
        <v>268</v>
      </c>
      <c r="D16" s="4">
        <v>44</v>
      </c>
    </row>
    <row r="17" spans="1:4" ht="15.75" hidden="1" thickBot="1">
      <c r="A17" s="4" t="s">
        <v>82</v>
      </c>
      <c r="B17" s="4" t="s">
        <v>83</v>
      </c>
      <c r="C17" s="4" t="s">
        <v>269</v>
      </c>
      <c r="D17" s="4">
        <v>48</v>
      </c>
    </row>
    <row r="18" spans="1:4" ht="15.75" hidden="1" thickBot="1">
      <c r="A18" s="4" t="s">
        <v>270</v>
      </c>
      <c r="B18" s="4" t="s">
        <v>271</v>
      </c>
      <c r="C18" s="4" t="s">
        <v>272</v>
      </c>
      <c r="D18" s="4">
        <v>50</v>
      </c>
    </row>
    <row r="19" spans="1:4" ht="15.75" hidden="1" thickBot="1">
      <c r="A19" s="4" t="s">
        <v>273</v>
      </c>
      <c r="B19" s="4" t="s">
        <v>274</v>
      </c>
      <c r="C19" s="4" t="s">
        <v>275</v>
      </c>
      <c r="D19" s="4">
        <v>52</v>
      </c>
    </row>
    <row r="20" spans="1:4" ht="15.75" hidden="1" thickBot="1">
      <c r="A20" s="4" t="s">
        <v>86</v>
      </c>
      <c r="B20" s="4" t="s">
        <v>87</v>
      </c>
      <c r="C20" s="4" t="s">
        <v>276</v>
      </c>
      <c r="D20" s="4">
        <v>112</v>
      </c>
    </row>
    <row r="21" spans="1:4" ht="15.75" hidden="1" thickBot="1">
      <c r="A21" s="4" t="s">
        <v>78</v>
      </c>
      <c r="B21" s="4" t="s">
        <v>79</v>
      </c>
      <c r="C21" s="4" t="s">
        <v>277</v>
      </c>
      <c r="D21" s="4">
        <v>56</v>
      </c>
    </row>
    <row r="22" spans="1:4" ht="15.75" hidden="1" thickBot="1">
      <c r="A22" s="4" t="s">
        <v>278</v>
      </c>
      <c r="B22" s="4" t="s">
        <v>279</v>
      </c>
      <c r="C22" s="4" t="s">
        <v>280</v>
      </c>
      <c r="D22" s="4">
        <v>84</v>
      </c>
    </row>
    <row r="23" spans="1:4" ht="15.75" hidden="1" thickBot="1">
      <c r="A23" s="4" t="s">
        <v>281</v>
      </c>
      <c r="B23" s="4" t="s">
        <v>282</v>
      </c>
      <c r="C23" s="4" t="s">
        <v>283</v>
      </c>
      <c r="D23" s="4">
        <v>204</v>
      </c>
    </row>
    <row r="24" spans="1:4" ht="15.75" hidden="1" thickBot="1">
      <c r="A24" s="4" t="s">
        <v>284</v>
      </c>
      <c r="B24" s="4" t="s">
        <v>285</v>
      </c>
      <c r="C24" s="4" t="s">
        <v>286</v>
      </c>
      <c r="D24" s="4">
        <v>60</v>
      </c>
    </row>
    <row r="25" spans="1:4" ht="15.75" hidden="1" thickBot="1">
      <c r="A25" s="4" t="s">
        <v>287</v>
      </c>
      <c r="B25" s="4" t="s">
        <v>288</v>
      </c>
      <c r="C25" s="4" t="s">
        <v>289</v>
      </c>
      <c r="D25" s="4">
        <v>64</v>
      </c>
    </row>
    <row r="26" spans="1:4" ht="30.75" hidden="1" thickBot="1">
      <c r="A26" s="4" t="s">
        <v>290</v>
      </c>
      <c r="B26" s="4" t="s">
        <v>291</v>
      </c>
      <c r="C26" s="4" t="s">
        <v>292</v>
      </c>
      <c r="D26" s="4">
        <v>68</v>
      </c>
    </row>
    <row r="27" spans="1:4" ht="30.75" hidden="1" thickBot="1">
      <c r="A27" s="4" t="s">
        <v>293</v>
      </c>
      <c r="B27" s="4" t="s">
        <v>294</v>
      </c>
      <c r="C27" s="4" t="s">
        <v>295</v>
      </c>
      <c r="D27" s="4">
        <v>535</v>
      </c>
    </row>
    <row r="28" spans="1:4" ht="30.75" hidden="1" thickBot="1">
      <c r="A28" s="4" t="s">
        <v>296</v>
      </c>
      <c r="B28" s="4" t="s">
        <v>77</v>
      </c>
      <c r="C28" s="4" t="s">
        <v>297</v>
      </c>
      <c r="D28" s="4">
        <v>70</v>
      </c>
    </row>
    <row r="29" spans="1:4" ht="15.75" hidden="1" thickBot="1">
      <c r="A29" s="4" t="s">
        <v>298</v>
      </c>
      <c r="B29" s="4" t="s">
        <v>299</v>
      </c>
      <c r="C29" s="4" t="s">
        <v>300</v>
      </c>
      <c r="D29" s="4">
        <v>72</v>
      </c>
    </row>
    <row r="30" spans="1:4" ht="15.75" hidden="1" thickBot="1">
      <c r="A30" s="4" t="s">
        <v>301</v>
      </c>
      <c r="B30" s="4" t="s">
        <v>302</v>
      </c>
      <c r="C30" s="4" t="s">
        <v>303</v>
      </c>
      <c r="D30" s="4">
        <v>74</v>
      </c>
    </row>
    <row r="31" spans="1:4" ht="15.75" hidden="1" thickBot="1">
      <c r="A31" s="4" t="s">
        <v>84</v>
      </c>
      <c r="B31" s="4" t="s">
        <v>85</v>
      </c>
      <c r="C31" s="4" t="s">
        <v>304</v>
      </c>
      <c r="D31" s="4">
        <v>76</v>
      </c>
    </row>
    <row r="32" spans="1:4" ht="30.75" hidden="1" thickBot="1">
      <c r="A32" s="4" t="s">
        <v>305</v>
      </c>
      <c r="B32" s="4" t="s">
        <v>306</v>
      </c>
      <c r="C32" s="4" t="s">
        <v>307</v>
      </c>
      <c r="D32" s="4">
        <v>86</v>
      </c>
    </row>
    <row r="33" spans="1:4" ht="15.75" hidden="1" thickBot="1">
      <c r="A33" s="4" t="s">
        <v>308</v>
      </c>
      <c r="B33" s="4" t="s">
        <v>309</v>
      </c>
      <c r="C33" s="4" t="s">
        <v>310</v>
      </c>
      <c r="D33" s="4">
        <v>96</v>
      </c>
    </row>
    <row r="34" spans="1:4" ht="15.75" hidden="1" thickBot="1">
      <c r="A34" s="4" t="s">
        <v>80</v>
      </c>
      <c r="B34" s="4" t="s">
        <v>81</v>
      </c>
      <c r="C34" s="4" t="s">
        <v>311</v>
      </c>
      <c r="D34" s="4">
        <v>100</v>
      </c>
    </row>
    <row r="35" spans="1:4" ht="15.75" hidden="1" thickBot="1">
      <c r="A35" s="4" t="s">
        <v>312</v>
      </c>
      <c r="B35" s="4" t="s">
        <v>313</v>
      </c>
      <c r="C35" s="4" t="s">
        <v>314</v>
      </c>
      <c r="D35" s="4">
        <v>854</v>
      </c>
    </row>
    <row r="36" spans="1:4" ht="15.75" hidden="1" thickBot="1">
      <c r="A36" s="4" t="s">
        <v>315</v>
      </c>
      <c r="B36" s="4" t="s">
        <v>316</v>
      </c>
      <c r="C36" s="4" t="s">
        <v>317</v>
      </c>
      <c r="D36" s="4">
        <v>108</v>
      </c>
    </row>
    <row r="37" spans="1:4" ht="15.75" hidden="1" thickBot="1">
      <c r="A37" s="4" t="s">
        <v>318</v>
      </c>
      <c r="B37" s="4" t="s">
        <v>319</v>
      </c>
      <c r="C37" s="4" t="s">
        <v>320</v>
      </c>
      <c r="D37" s="4">
        <v>132</v>
      </c>
    </row>
    <row r="38" spans="1:4" ht="15.75" hidden="1" thickBot="1">
      <c r="A38" s="4" t="s">
        <v>321</v>
      </c>
      <c r="B38" s="4" t="s">
        <v>322</v>
      </c>
      <c r="C38" s="4" t="s">
        <v>323</v>
      </c>
      <c r="D38" s="4">
        <v>116</v>
      </c>
    </row>
    <row r="39" spans="1:4" ht="15.75" hidden="1" thickBot="1">
      <c r="A39" s="4" t="s">
        <v>324</v>
      </c>
      <c r="B39" s="4" t="s">
        <v>325</v>
      </c>
      <c r="C39" s="4" t="s">
        <v>326</v>
      </c>
      <c r="D39" s="4">
        <v>120</v>
      </c>
    </row>
    <row r="40" spans="1:4" ht="15.75" hidden="1" thickBot="1">
      <c r="A40" s="4" t="s">
        <v>88</v>
      </c>
      <c r="B40" s="4" t="s">
        <v>89</v>
      </c>
      <c r="C40" s="4" t="s">
        <v>327</v>
      </c>
      <c r="D40" s="4">
        <v>124</v>
      </c>
    </row>
    <row r="41" spans="1:4" ht="30.75" hidden="1" thickBot="1">
      <c r="A41" s="4" t="s">
        <v>328</v>
      </c>
      <c r="B41" s="4" t="s">
        <v>329</v>
      </c>
      <c r="C41" s="4" t="s">
        <v>330</v>
      </c>
      <c r="D41" s="4">
        <v>136</v>
      </c>
    </row>
    <row r="42" spans="1:4" ht="30.75" hidden="1" thickBot="1">
      <c r="A42" s="4" t="s">
        <v>331</v>
      </c>
      <c r="B42" s="4" t="s">
        <v>332</v>
      </c>
      <c r="C42" s="4" t="s">
        <v>333</v>
      </c>
      <c r="D42" s="4">
        <v>140</v>
      </c>
    </row>
    <row r="43" spans="1:4" ht="15.75" hidden="1" thickBot="1">
      <c r="A43" s="4" t="s">
        <v>334</v>
      </c>
      <c r="B43" s="4" t="s">
        <v>335</v>
      </c>
      <c r="C43" s="4" t="s">
        <v>336</v>
      </c>
      <c r="D43" s="4">
        <v>148</v>
      </c>
    </row>
    <row r="44" spans="1:4" ht="15.75" hidden="1" thickBot="1">
      <c r="A44" s="4" t="s">
        <v>92</v>
      </c>
      <c r="B44" s="4" t="s">
        <v>93</v>
      </c>
      <c r="C44" s="4" t="s">
        <v>337</v>
      </c>
      <c r="D44" s="4">
        <v>152</v>
      </c>
    </row>
    <row r="45" spans="1:4" ht="15.75" hidden="1" thickBot="1">
      <c r="A45" s="4" t="s">
        <v>94</v>
      </c>
      <c r="B45" s="4" t="s">
        <v>95</v>
      </c>
      <c r="C45" s="4" t="s">
        <v>338</v>
      </c>
      <c r="D45" s="4">
        <v>156</v>
      </c>
    </row>
    <row r="46" spans="1:4" ht="15.75" hidden="1" thickBot="1">
      <c r="A46" s="4" t="s">
        <v>339</v>
      </c>
      <c r="B46" s="4" t="s">
        <v>340</v>
      </c>
      <c r="C46" s="4" t="s">
        <v>341</v>
      </c>
      <c r="D46" s="4">
        <v>162</v>
      </c>
    </row>
    <row r="47" spans="1:4" ht="30.75" hidden="1" thickBot="1">
      <c r="A47" s="4" t="s">
        <v>342</v>
      </c>
      <c r="B47" s="4" t="s">
        <v>343</v>
      </c>
      <c r="C47" s="4" t="s">
        <v>344</v>
      </c>
      <c r="D47" s="4">
        <v>166</v>
      </c>
    </row>
    <row r="48" spans="1:4" ht="15.75" hidden="1" thickBot="1">
      <c r="A48" s="4" t="s">
        <v>96</v>
      </c>
      <c r="B48" s="4" t="s">
        <v>97</v>
      </c>
      <c r="C48" s="4" t="s">
        <v>345</v>
      </c>
      <c r="D48" s="4">
        <v>170</v>
      </c>
    </row>
    <row r="49" spans="1:4" ht="15.75" hidden="1" thickBot="1">
      <c r="A49" s="4" t="s">
        <v>346</v>
      </c>
      <c r="B49" s="4" t="s">
        <v>347</v>
      </c>
      <c r="C49" s="4" t="s">
        <v>348</v>
      </c>
      <c r="D49" s="4">
        <v>174</v>
      </c>
    </row>
    <row r="50" spans="1:4" ht="45.75" hidden="1" thickBot="1">
      <c r="A50" s="4" t="s">
        <v>349</v>
      </c>
      <c r="B50" s="4" t="s">
        <v>350</v>
      </c>
      <c r="C50" s="4" t="s">
        <v>351</v>
      </c>
      <c r="D50" s="4">
        <v>180</v>
      </c>
    </row>
    <row r="51" spans="1:4" ht="15.75" hidden="1" thickBot="1">
      <c r="A51" s="4" t="s">
        <v>352</v>
      </c>
      <c r="B51" s="4" t="s">
        <v>353</v>
      </c>
      <c r="C51" s="4" t="s">
        <v>354</v>
      </c>
      <c r="D51" s="4">
        <v>178</v>
      </c>
    </row>
    <row r="52" spans="1:4" ht="15.75" hidden="1" thickBot="1">
      <c r="A52" s="4" t="s">
        <v>355</v>
      </c>
      <c r="B52" s="4" t="s">
        <v>356</v>
      </c>
      <c r="C52" s="4" t="s">
        <v>357</v>
      </c>
      <c r="D52" s="4">
        <v>184</v>
      </c>
    </row>
    <row r="53" spans="1:4" ht="15.75" hidden="1" thickBot="1">
      <c r="A53" s="4" t="s">
        <v>98</v>
      </c>
      <c r="B53" s="4" t="s">
        <v>99</v>
      </c>
      <c r="C53" s="4" t="s">
        <v>358</v>
      </c>
      <c r="D53" s="4">
        <v>188</v>
      </c>
    </row>
    <row r="54" spans="1:4" ht="15.75" hidden="1" thickBot="1">
      <c r="A54" s="4" t="s">
        <v>130</v>
      </c>
      <c r="B54" s="4" t="s">
        <v>131</v>
      </c>
      <c r="C54" s="4" t="s">
        <v>359</v>
      </c>
      <c r="D54" s="4">
        <v>191</v>
      </c>
    </row>
    <row r="55" spans="1:4" ht="15.75" hidden="1" thickBot="1">
      <c r="A55" s="4" t="s">
        <v>360</v>
      </c>
      <c r="B55" s="4" t="s">
        <v>361</v>
      </c>
      <c r="C55" s="4" t="s">
        <v>362</v>
      </c>
      <c r="D55" s="4">
        <v>192</v>
      </c>
    </row>
    <row r="56" spans="1:4" ht="15.75" hidden="1" thickBot="1">
      <c r="A56" s="4" t="s">
        <v>363</v>
      </c>
      <c r="B56" s="4" t="s">
        <v>364</v>
      </c>
      <c r="C56" s="4" t="s">
        <v>365</v>
      </c>
      <c r="D56" s="4">
        <v>531</v>
      </c>
    </row>
    <row r="57" spans="1:4" ht="15.75" hidden="1" thickBot="1">
      <c r="A57" s="4" t="s">
        <v>366</v>
      </c>
      <c r="B57" s="4" t="s">
        <v>367</v>
      </c>
      <c r="C57" s="4" t="s">
        <v>368</v>
      </c>
      <c r="D57" s="4">
        <v>196</v>
      </c>
    </row>
    <row r="58" spans="1:4" ht="15.75" hidden="1" thickBot="1">
      <c r="A58" s="4" t="s">
        <v>369</v>
      </c>
      <c r="B58" s="4" t="s">
        <v>101</v>
      </c>
      <c r="C58" s="4" t="s">
        <v>370</v>
      </c>
      <c r="D58" s="4">
        <v>203</v>
      </c>
    </row>
    <row r="59" spans="1:4" ht="15.75" hidden="1" thickBot="1">
      <c r="A59" s="4" t="s">
        <v>371</v>
      </c>
      <c r="B59" s="4" t="s">
        <v>372</v>
      </c>
      <c r="C59" s="4" t="s">
        <v>373</v>
      </c>
      <c r="D59" s="4">
        <v>384</v>
      </c>
    </row>
    <row r="60" spans="1:4" ht="15.75" hidden="1" thickBot="1">
      <c r="A60" s="4" t="s">
        <v>103</v>
      </c>
      <c r="B60" s="4" t="s">
        <v>104</v>
      </c>
      <c r="C60" s="4" t="s">
        <v>374</v>
      </c>
      <c r="D60" s="4">
        <v>208</v>
      </c>
    </row>
    <row r="61" spans="1:4" ht="15.75" hidden="1" thickBot="1">
      <c r="A61" s="4" t="s">
        <v>375</v>
      </c>
      <c r="B61" s="4" t="s">
        <v>376</v>
      </c>
      <c r="C61" s="4" t="s">
        <v>377</v>
      </c>
      <c r="D61" s="4">
        <v>262</v>
      </c>
    </row>
    <row r="62" spans="1:4" ht="15.75" hidden="1" thickBot="1">
      <c r="A62" s="4" t="s">
        <v>378</v>
      </c>
      <c r="B62" s="4" t="s">
        <v>379</v>
      </c>
      <c r="C62" s="4" t="s">
        <v>380</v>
      </c>
      <c r="D62" s="4">
        <v>212</v>
      </c>
    </row>
    <row r="63" spans="1:4" ht="30.75" hidden="1" thickBot="1">
      <c r="A63" s="4" t="s">
        <v>381</v>
      </c>
      <c r="B63" s="4" t="s">
        <v>106</v>
      </c>
      <c r="C63" s="4" t="s">
        <v>382</v>
      </c>
      <c r="D63" s="4">
        <v>214</v>
      </c>
    </row>
    <row r="64" spans="1:4" ht="15.75" hidden="1" thickBot="1">
      <c r="A64" s="4" t="s">
        <v>107</v>
      </c>
      <c r="B64" s="4" t="s">
        <v>108</v>
      </c>
      <c r="C64" s="4" t="s">
        <v>383</v>
      </c>
      <c r="D64" s="4">
        <v>218</v>
      </c>
    </row>
    <row r="65" spans="1:4" ht="15.75" hidden="1" thickBot="1">
      <c r="A65" s="4" t="s">
        <v>111</v>
      </c>
      <c r="B65" s="4" t="s">
        <v>112</v>
      </c>
      <c r="C65" s="4" t="s">
        <v>384</v>
      </c>
      <c r="D65" s="4">
        <v>818</v>
      </c>
    </row>
    <row r="66" spans="1:4" ht="15.75" hidden="1" thickBot="1">
      <c r="A66" s="4" t="s">
        <v>385</v>
      </c>
      <c r="B66" s="4" t="s">
        <v>386</v>
      </c>
      <c r="C66" s="4" t="s">
        <v>387</v>
      </c>
      <c r="D66" s="4">
        <v>222</v>
      </c>
    </row>
    <row r="67" spans="1:4" ht="15.75" hidden="1" thickBot="1">
      <c r="A67" s="4" t="s">
        <v>388</v>
      </c>
      <c r="B67" s="4" t="s">
        <v>389</v>
      </c>
      <c r="C67" s="4" t="s">
        <v>390</v>
      </c>
      <c r="D67" s="4">
        <v>226</v>
      </c>
    </row>
    <row r="68" spans="1:4" ht="15.75" hidden="1" thickBot="1">
      <c r="A68" s="4" t="s">
        <v>391</v>
      </c>
      <c r="B68" s="4" t="s">
        <v>392</v>
      </c>
      <c r="C68" s="4" t="s">
        <v>393</v>
      </c>
      <c r="D68" s="4">
        <v>232</v>
      </c>
    </row>
    <row r="69" spans="1:4" ht="15.75" hidden="1" thickBot="1">
      <c r="A69" s="4" t="s">
        <v>109</v>
      </c>
      <c r="B69" s="4" t="s">
        <v>110</v>
      </c>
      <c r="C69" s="4" t="s">
        <v>394</v>
      </c>
      <c r="D69" s="4">
        <v>233</v>
      </c>
    </row>
    <row r="70" spans="1:4" ht="15.75" hidden="1" thickBot="1">
      <c r="A70" s="4" t="s">
        <v>395</v>
      </c>
      <c r="B70" s="4" t="s">
        <v>396</v>
      </c>
      <c r="C70" s="4" t="s">
        <v>397</v>
      </c>
      <c r="D70" s="4">
        <v>748</v>
      </c>
    </row>
    <row r="71" spans="1:4" ht="15.75" hidden="1" thickBot="1">
      <c r="A71" s="4" t="s">
        <v>398</v>
      </c>
      <c r="B71" s="4" t="s">
        <v>399</v>
      </c>
      <c r="C71" s="4" t="s">
        <v>400</v>
      </c>
      <c r="D71" s="4">
        <v>231</v>
      </c>
    </row>
    <row r="72" spans="1:4" ht="30.75" hidden="1" thickBot="1">
      <c r="A72" s="4" t="s">
        <v>401</v>
      </c>
      <c r="B72" s="4" t="s">
        <v>402</v>
      </c>
      <c r="C72" s="4" t="s">
        <v>403</v>
      </c>
      <c r="D72" s="4">
        <v>238</v>
      </c>
    </row>
    <row r="73" spans="1:4" ht="15.75" hidden="1" thickBot="1">
      <c r="A73" s="4" t="s">
        <v>404</v>
      </c>
      <c r="B73" s="4" t="s">
        <v>405</v>
      </c>
      <c r="C73" s="4" t="s">
        <v>406</v>
      </c>
      <c r="D73" s="4">
        <v>234</v>
      </c>
    </row>
    <row r="74" spans="1:4" ht="15.75" hidden="1" thickBot="1">
      <c r="A74" s="4" t="s">
        <v>407</v>
      </c>
      <c r="B74" s="4" t="s">
        <v>408</v>
      </c>
      <c r="C74" s="4" t="s">
        <v>409</v>
      </c>
      <c r="D74" s="4">
        <v>242</v>
      </c>
    </row>
    <row r="75" spans="1:4" ht="15.75" hidden="1" thickBot="1">
      <c r="A75" s="4" t="s">
        <v>115</v>
      </c>
      <c r="B75" s="4" t="s">
        <v>116</v>
      </c>
      <c r="C75" s="4" t="s">
        <v>410</v>
      </c>
      <c r="D75" s="4">
        <v>246</v>
      </c>
    </row>
    <row r="76" spans="1:4" ht="15.75" hidden="1" thickBot="1">
      <c r="A76" s="4" t="s">
        <v>117</v>
      </c>
      <c r="B76" s="4" t="s">
        <v>118</v>
      </c>
      <c r="C76" s="4" t="s">
        <v>411</v>
      </c>
      <c r="D76" s="4">
        <v>250</v>
      </c>
    </row>
    <row r="77" spans="1:4" ht="15.75" hidden="1" thickBot="1">
      <c r="A77" s="4" t="s">
        <v>412</v>
      </c>
      <c r="B77" s="4" t="s">
        <v>413</v>
      </c>
      <c r="C77" s="4" t="s">
        <v>414</v>
      </c>
      <c r="D77" s="4">
        <v>254</v>
      </c>
    </row>
    <row r="78" spans="1:4" ht="15.75" hidden="1" thickBot="1">
      <c r="A78" s="4" t="s">
        <v>415</v>
      </c>
      <c r="B78" s="4" t="s">
        <v>416</v>
      </c>
      <c r="C78" s="4" t="s">
        <v>417</v>
      </c>
      <c r="D78" s="4">
        <v>258</v>
      </c>
    </row>
    <row r="79" spans="1:4" ht="30.75" hidden="1" thickBot="1">
      <c r="A79" s="4" t="s">
        <v>418</v>
      </c>
      <c r="B79" s="4" t="s">
        <v>419</v>
      </c>
      <c r="C79" s="4" t="s">
        <v>420</v>
      </c>
      <c r="D79" s="4">
        <v>260</v>
      </c>
    </row>
    <row r="80" spans="1:4" ht="15.75" hidden="1" thickBot="1">
      <c r="A80" s="4" t="s">
        <v>421</v>
      </c>
      <c r="B80" s="4" t="s">
        <v>422</v>
      </c>
      <c r="C80" s="4" t="s">
        <v>423</v>
      </c>
      <c r="D80" s="4">
        <v>266</v>
      </c>
    </row>
    <row r="81" spans="1:4" ht="15.75" hidden="1" thickBot="1">
      <c r="A81" s="4" t="s">
        <v>424</v>
      </c>
      <c r="B81" s="4" t="s">
        <v>425</v>
      </c>
      <c r="C81" s="4" t="s">
        <v>426</v>
      </c>
      <c r="D81" s="4">
        <v>270</v>
      </c>
    </row>
    <row r="82" spans="1:4" ht="15.75" hidden="1" thickBot="1">
      <c r="A82" s="4" t="s">
        <v>121</v>
      </c>
      <c r="B82" s="4" t="s">
        <v>122</v>
      </c>
      <c r="C82" s="4" t="s">
        <v>427</v>
      </c>
      <c r="D82" s="4">
        <v>268</v>
      </c>
    </row>
    <row r="83" spans="1:4" ht="15.75" hidden="1" thickBot="1">
      <c r="A83" s="4" t="s">
        <v>46</v>
      </c>
      <c r="B83" s="4" t="s">
        <v>102</v>
      </c>
      <c r="C83" s="4" t="s">
        <v>428</v>
      </c>
      <c r="D83" s="4">
        <v>276</v>
      </c>
    </row>
    <row r="84" spans="1:4" ht="15.75" hidden="1" thickBot="1">
      <c r="A84" s="4" t="s">
        <v>429</v>
      </c>
      <c r="B84" s="4" t="s">
        <v>430</v>
      </c>
      <c r="C84" s="4" t="s">
        <v>431</v>
      </c>
      <c r="D84" s="4">
        <v>288</v>
      </c>
    </row>
    <row r="85" spans="1:4" ht="15.75" hidden="1" thickBot="1">
      <c r="A85" s="4" t="s">
        <v>432</v>
      </c>
      <c r="B85" s="4" t="s">
        <v>433</v>
      </c>
      <c r="C85" s="4" t="s">
        <v>434</v>
      </c>
      <c r="D85" s="4">
        <v>292</v>
      </c>
    </row>
    <row r="86" spans="1:4" ht="15.75" hidden="1" thickBot="1">
      <c r="A86" s="4" t="s">
        <v>123</v>
      </c>
      <c r="B86" s="4" t="s">
        <v>124</v>
      </c>
      <c r="C86" s="4" t="s">
        <v>435</v>
      </c>
      <c r="D86" s="4">
        <v>300</v>
      </c>
    </row>
    <row r="87" spans="1:4" ht="15.75" hidden="1" thickBot="1">
      <c r="A87" s="4" t="s">
        <v>436</v>
      </c>
      <c r="B87" s="4" t="s">
        <v>437</v>
      </c>
      <c r="C87" s="4" t="s">
        <v>438</v>
      </c>
      <c r="D87" s="4">
        <v>304</v>
      </c>
    </row>
    <row r="88" spans="1:4" ht="15.75" hidden="1" thickBot="1">
      <c r="A88" s="4" t="s">
        <v>439</v>
      </c>
      <c r="B88" s="4" t="s">
        <v>440</v>
      </c>
      <c r="C88" s="4" t="s">
        <v>441</v>
      </c>
      <c r="D88" s="4">
        <v>308</v>
      </c>
    </row>
    <row r="89" spans="1:4" ht="15.75" hidden="1" thickBot="1">
      <c r="A89" s="4" t="s">
        <v>442</v>
      </c>
      <c r="B89" s="4" t="s">
        <v>443</v>
      </c>
      <c r="C89" s="4" t="s">
        <v>444</v>
      </c>
      <c r="D89" s="4">
        <v>312</v>
      </c>
    </row>
    <row r="90" spans="1:4" ht="15.75" hidden="1" thickBot="1">
      <c r="A90" s="4" t="s">
        <v>445</v>
      </c>
      <c r="B90" s="4" t="s">
        <v>446</v>
      </c>
      <c r="C90" s="4" t="s">
        <v>447</v>
      </c>
      <c r="D90" s="4">
        <v>316</v>
      </c>
    </row>
    <row r="91" spans="1:4" ht="15.75" hidden="1" thickBot="1">
      <c r="A91" s="4" t="s">
        <v>125</v>
      </c>
      <c r="B91" s="4" t="s">
        <v>126</v>
      </c>
      <c r="C91" s="4" t="s">
        <v>448</v>
      </c>
      <c r="D91" s="4">
        <v>320</v>
      </c>
    </row>
    <row r="92" spans="1:4" ht="15.75" hidden="1" thickBot="1">
      <c r="A92" s="4" t="s">
        <v>449</v>
      </c>
      <c r="B92" s="4" t="s">
        <v>450</v>
      </c>
      <c r="C92" s="4" t="s">
        <v>451</v>
      </c>
      <c r="D92" s="4">
        <v>831</v>
      </c>
    </row>
    <row r="93" spans="1:4" ht="15.75" hidden="1" thickBot="1">
      <c r="A93" s="4" t="s">
        <v>452</v>
      </c>
      <c r="B93" s="4" t="s">
        <v>453</v>
      </c>
      <c r="C93" s="4" t="s">
        <v>454</v>
      </c>
      <c r="D93" s="4">
        <v>324</v>
      </c>
    </row>
    <row r="94" spans="1:4" ht="15.75" hidden="1" thickBot="1">
      <c r="A94" s="4" t="s">
        <v>455</v>
      </c>
      <c r="B94" s="4" t="s">
        <v>456</v>
      </c>
      <c r="C94" s="4" t="s">
        <v>457</v>
      </c>
      <c r="D94" s="4">
        <v>624</v>
      </c>
    </row>
    <row r="95" spans="1:4" ht="15.75" hidden="1" thickBot="1">
      <c r="A95" s="4" t="s">
        <v>458</v>
      </c>
      <c r="B95" s="4" t="s">
        <v>459</v>
      </c>
      <c r="C95" s="4" t="s">
        <v>460</v>
      </c>
      <c r="D95" s="4">
        <v>328</v>
      </c>
    </row>
    <row r="96" spans="1:4" ht="15.75" hidden="1" thickBot="1">
      <c r="A96" s="4" t="s">
        <v>461</v>
      </c>
      <c r="B96" s="4" t="s">
        <v>462</v>
      </c>
      <c r="C96" s="4" t="s">
        <v>463</v>
      </c>
      <c r="D96" s="4">
        <v>332</v>
      </c>
    </row>
    <row r="97" spans="1:4" ht="30.75" hidden="1" thickBot="1">
      <c r="A97" s="4" t="s">
        <v>464</v>
      </c>
      <c r="B97" s="4" t="s">
        <v>465</v>
      </c>
      <c r="C97" s="4" t="s">
        <v>466</v>
      </c>
      <c r="D97" s="4">
        <v>334</v>
      </c>
    </row>
    <row r="98" spans="1:4" ht="15.75" hidden="1" thickBot="1">
      <c r="A98" s="4" t="s">
        <v>467</v>
      </c>
      <c r="B98" s="4" t="s">
        <v>468</v>
      </c>
      <c r="C98" s="4" t="s">
        <v>469</v>
      </c>
      <c r="D98" s="4">
        <v>336</v>
      </c>
    </row>
    <row r="99" spans="1:4" ht="15.75" hidden="1" thickBot="1">
      <c r="A99" s="4" t="s">
        <v>470</v>
      </c>
      <c r="B99" s="4" t="s">
        <v>471</v>
      </c>
      <c r="C99" s="4" t="s">
        <v>472</v>
      </c>
      <c r="D99" s="4">
        <v>340</v>
      </c>
    </row>
    <row r="100" spans="1:4" ht="15.75" hidden="1" thickBot="1">
      <c r="A100" s="4" t="s">
        <v>128</v>
      </c>
      <c r="B100" s="4" t="s">
        <v>129</v>
      </c>
      <c r="C100" s="4" t="s">
        <v>473</v>
      </c>
      <c r="D100" s="4">
        <v>344</v>
      </c>
    </row>
    <row r="101" spans="1:4" ht="15.75" hidden="1" thickBot="1">
      <c r="A101" s="4" t="s">
        <v>132</v>
      </c>
      <c r="B101" s="4" t="s">
        <v>133</v>
      </c>
      <c r="C101" s="4" t="s">
        <v>474</v>
      </c>
      <c r="D101" s="4">
        <v>348</v>
      </c>
    </row>
    <row r="102" spans="1:4" ht="15.75" hidden="1" thickBot="1">
      <c r="A102" s="4" t="s">
        <v>475</v>
      </c>
      <c r="B102" s="4" t="s">
        <v>476</v>
      </c>
      <c r="C102" s="4" t="s">
        <v>477</v>
      </c>
      <c r="D102" s="4">
        <v>352</v>
      </c>
    </row>
    <row r="103" spans="1:4" ht="15.75" hidden="1" thickBot="1">
      <c r="A103" s="4" t="s">
        <v>140</v>
      </c>
      <c r="B103" s="4" t="s">
        <v>141</v>
      </c>
      <c r="C103" s="4" t="s">
        <v>478</v>
      </c>
      <c r="D103" s="4">
        <v>356</v>
      </c>
    </row>
    <row r="104" spans="1:4" ht="15.75" hidden="1" thickBot="1">
      <c r="A104" s="4" t="s">
        <v>134</v>
      </c>
      <c r="B104" s="4" t="s">
        <v>135</v>
      </c>
      <c r="C104" s="4" t="s">
        <v>479</v>
      </c>
      <c r="D104" s="4">
        <v>360</v>
      </c>
    </row>
    <row r="105" spans="1:4" ht="30.75" hidden="1" thickBot="1">
      <c r="A105" s="4" t="s">
        <v>480</v>
      </c>
      <c r="B105" s="4" t="s">
        <v>481</v>
      </c>
      <c r="C105" s="4" t="s">
        <v>482</v>
      </c>
      <c r="D105" s="4">
        <v>364</v>
      </c>
    </row>
    <row r="106" spans="1:4" ht="15.75" hidden="1" thickBot="1">
      <c r="A106" s="4" t="s">
        <v>483</v>
      </c>
      <c r="B106" s="4" t="s">
        <v>143</v>
      </c>
      <c r="C106" s="4" t="s">
        <v>484</v>
      </c>
      <c r="D106" s="4">
        <v>368</v>
      </c>
    </row>
    <row r="107" spans="1:4" ht="15.75" hidden="1" thickBot="1">
      <c r="A107" s="4" t="s">
        <v>136</v>
      </c>
      <c r="B107" s="4" t="s">
        <v>137</v>
      </c>
      <c r="C107" s="4" t="s">
        <v>485</v>
      </c>
      <c r="D107" s="4">
        <v>372</v>
      </c>
    </row>
    <row r="108" spans="1:4" ht="15.75" hidden="1" thickBot="1">
      <c r="A108" s="4" t="s">
        <v>486</v>
      </c>
      <c r="B108" s="4" t="s">
        <v>487</v>
      </c>
      <c r="C108" s="4" t="s">
        <v>488</v>
      </c>
      <c r="D108" s="4">
        <v>833</v>
      </c>
    </row>
    <row r="109" spans="1:4" ht="15.75" hidden="1" thickBot="1">
      <c r="A109" s="4" t="s">
        <v>138</v>
      </c>
      <c r="B109" s="4" t="s">
        <v>139</v>
      </c>
      <c r="C109" s="4" t="s">
        <v>489</v>
      </c>
      <c r="D109" s="4">
        <v>376</v>
      </c>
    </row>
    <row r="110" spans="1:4" ht="15.75" hidden="1" thickBot="1">
      <c r="A110" s="4" t="s">
        <v>144</v>
      </c>
      <c r="B110" s="4" t="s">
        <v>145</v>
      </c>
      <c r="C110" s="4" t="s">
        <v>490</v>
      </c>
      <c r="D110" s="4">
        <v>380</v>
      </c>
    </row>
    <row r="111" spans="1:4" ht="15.75" hidden="1" thickBot="1">
      <c r="A111" s="4" t="s">
        <v>491</v>
      </c>
      <c r="B111" s="4" t="s">
        <v>492</v>
      </c>
      <c r="C111" s="4" t="s">
        <v>493</v>
      </c>
      <c r="D111" s="4">
        <v>388</v>
      </c>
    </row>
    <row r="112" spans="1:4" ht="15.75" hidden="1" thickBot="1">
      <c r="A112" s="4" t="s">
        <v>148</v>
      </c>
      <c r="B112" s="4" t="s">
        <v>149</v>
      </c>
      <c r="C112" s="4" t="s">
        <v>494</v>
      </c>
      <c r="D112" s="4">
        <v>392</v>
      </c>
    </row>
    <row r="113" spans="1:4" ht="15.75" hidden="1" thickBot="1">
      <c r="A113" s="4" t="s">
        <v>495</v>
      </c>
      <c r="B113" s="4" t="s">
        <v>496</v>
      </c>
      <c r="C113" s="4" t="s">
        <v>497</v>
      </c>
      <c r="D113" s="4">
        <v>832</v>
      </c>
    </row>
    <row r="114" spans="1:4" ht="15.75" hidden="1" thickBot="1">
      <c r="A114" s="4" t="s">
        <v>498</v>
      </c>
      <c r="B114" s="4" t="s">
        <v>147</v>
      </c>
      <c r="C114" s="4" t="s">
        <v>499</v>
      </c>
      <c r="D114" s="4">
        <v>400</v>
      </c>
    </row>
    <row r="115" spans="1:4" ht="15.75" hidden="1" thickBot="1">
      <c r="A115" s="4" t="s">
        <v>157</v>
      </c>
      <c r="B115" s="4" t="s">
        <v>158</v>
      </c>
      <c r="C115" s="4" t="s">
        <v>500</v>
      </c>
      <c r="D115" s="4">
        <v>398</v>
      </c>
    </row>
    <row r="116" spans="1:4" ht="15.75" hidden="1" thickBot="1">
      <c r="A116" s="4" t="s">
        <v>150</v>
      </c>
      <c r="B116" s="4" t="s">
        <v>151</v>
      </c>
      <c r="C116" s="4" t="s">
        <v>501</v>
      </c>
      <c r="D116" s="4">
        <v>404</v>
      </c>
    </row>
    <row r="117" spans="1:4" ht="15.75" hidden="1" thickBot="1">
      <c r="A117" s="4" t="s">
        <v>502</v>
      </c>
      <c r="B117" s="4" t="s">
        <v>503</v>
      </c>
      <c r="C117" s="4" t="s">
        <v>504</v>
      </c>
      <c r="D117" s="4">
        <v>296</v>
      </c>
    </row>
    <row r="118" spans="1:4" ht="60.75" hidden="1" thickBot="1">
      <c r="A118" s="4" t="s">
        <v>505</v>
      </c>
      <c r="B118" s="4" t="s">
        <v>506</v>
      </c>
      <c r="C118" s="4" t="s">
        <v>507</v>
      </c>
      <c r="D118" s="4">
        <v>408</v>
      </c>
    </row>
    <row r="119" spans="1:4" ht="30.75" hidden="1" thickBot="1">
      <c r="A119" s="4" t="s">
        <v>508</v>
      </c>
      <c r="B119" s="4" t="s">
        <v>153</v>
      </c>
      <c r="C119" s="4" t="s">
        <v>509</v>
      </c>
      <c r="D119" s="4">
        <v>410</v>
      </c>
    </row>
    <row r="120" spans="1:4" ht="15.75" hidden="1" thickBot="1">
      <c r="A120" s="4" t="s">
        <v>155</v>
      </c>
      <c r="B120" s="4" t="s">
        <v>156</v>
      </c>
      <c r="C120" s="4" t="s">
        <v>510</v>
      </c>
      <c r="D120" s="4">
        <v>414</v>
      </c>
    </row>
    <row r="121" spans="1:4" ht="15.75" hidden="1" thickBot="1">
      <c r="A121" s="4" t="s">
        <v>511</v>
      </c>
      <c r="B121" s="4" t="s">
        <v>512</v>
      </c>
      <c r="C121" s="4" t="s">
        <v>513</v>
      </c>
      <c r="D121" s="4">
        <v>417</v>
      </c>
    </row>
    <row r="122" spans="1:4" ht="45.75" hidden="1" thickBot="1">
      <c r="A122" s="4" t="s">
        <v>514</v>
      </c>
      <c r="B122" s="4" t="s">
        <v>515</v>
      </c>
      <c r="C122" s="4" t="s">
        <v>516</v>
      </c>
      <c r="D122" s="4">
        <v>418</v>
      </c>
    </row>
    <row r="123" spans="1:4" ht="15.75" hidden="1" thickBot="1">
      <c r="A123" s="4" t="s">
        <v>163</v>
      </c>
      <c r="B123" s="4" t="s">
        <v>164</v>
      </c>
      <c r="C123" s="4" t="s">
        <v>517</v>
      </c>
      <c r="D123" s="4">
        <v>428</v>
      </c>
    </row>
    <row r="124" spans="1:4" ht="15.75" hidden="1" thickBot="1">
      <c r="A124" s="4" t="s">
        <v>518</v>
      </c>
      <c r="B124" s="4" t="s">
        <v>160</v>
      </c>
      <c r="C124" s="4" t="s">
        <v>519</v>
      </c>
      <c r="D124" s="4">
        <v>422</v>
      </c>
    </row>
    <row r="125" spans="1:4" ht="15.75" hidden="1" thickBot="1">
      <c r="A125" s="4" t="s">
        <v>520</v>
      </c>
      <c r="B125" s="4" t="s">
        <v>521</v>
      </c>
      <c r="C125" s="4" t="s">
        <v>522</v>
      </c>
      <c r="D125" s="4">
        <v>426</v>
      </c>
    </row>
    <row r="126" spans="1:4" ht="15.75" hidden="1" thickBot="1">
      <c r="A126" s="4" t="s">
        <v>523</v>
      </c>
      <c r="B126" s="4" t="s">
        <v>524</v>
      </c>
      <c r="C126" s="4" t="s">
        <v>525</v>
      </c>
      <c r="D126" s="4">
        <v>430</v>
      </c>
    </row>
    <row r="127" spans="1:4" ht="15.75" hidden="1" thickBot="1">
      <c r="A127" s="4" t="s">
        <v>526</v>
      </c>
      <c r="B127" s="4" t="s">
        <v>527</v>
      </c>
      <c r="C127" s="4" t="s">
        <v>528</v>
      </c>
      <c r="D127" s="4">
        <v>434</v>
      </c>
    </row>
    <row r="128" spans="1:4" ht="15.75" hidden="1" thickBot="1">
      <c r="A128" s="4" t="s">
        <v>529</v>
      </c>
      <c r="B128" s="4" t="s">
        <v>530</v>
      </c>
      <c r="C128" s="4" t="s">
        <v>531</v>
      </c>
      <c r="D128" s="4">
        <v>438</v>
      </c>
    </row>
    <row r="129" spans="1:4" ht="15.75" hidden="1" thickBot="1">
      <c r="A129" s="4" t="s">
        <v>161</v>
      </c>
      <c r="B129" s="4" t="s">
        <v>162</v>
      </c>
      <c r="C129" s="4" t="s">
        <v>532</v>
      </c>
      <c r="D129" s="4">
        <v>440</v>
      </c>
    </row>
    <row r="130" spans="1:4" ht="15.75" hidden="1" thickBot="1">
      <c r="A130" s="4" t="s">
        <v>533</v>
      </c>
      <c r="B130" s="4" t="s">
        <v>534</v>
      </c>
      <c r="C130" s="4" t="s">
        <v>535</v>
      </c>
      <c r="D130" s="4">
        <v>442</v>
      </c>
    </row>
    <row r="131" spans="1:4" ht="15.75" hidden="1" thickBot="1">
      <c r="A131" s="4" t="s">
        <v>536</v>
      </c>
      <c r="B131" s="4" t="s">
        <v>537</v>
      </c>
      <c r="C131" s="4" t="s">
        <v>538</v>
      </c>
      <c r="D131" s="4">
        <v>446</v>
      </c>
    </row>
    <row r="132" spans="1:4" ht="15.75" hidden="1" thickBot="1">
      <c r="A132" s="4" t="s">
        <v>539</v>
      </c>
      <c r="B132" s="4" t="s">
        <v>540</v>
      </c>
      <c r="C132" s="4" t="s">
        <v>541</v>
      </c>
      <c r="D132" s="4">
        <v>450</v>
      </c>
    </row>
    <row r="133" spans="1:4" ht="15.75" hidden="1" thickBot="1">
      <c r="A133" s="4" t="s">
        <v>542</v>
      </c>
      <c r="B133" s="4" t="s">
        <v>543</v>
      </c>
      <c r="C133" s="4" t="s">
        <v>544</v>
      </c>
      <c r="D133" s="4">
        <v>454</v>
      </c>
    </row>
    <row r="134" spans="1:4" ht="15.75" hidden="1" thickBot="1">
      <c r="A134" s="4" t="s">
        <v>171</v>
      </c>
      <c r="B134" s="4" t="s">
        <v>172</v>
      </c>
      <c r="C134" s="4" t="s">
        <v>545</v>
      </c>
      <c r="D134" s="4">
        <v>458</v>
      </c>
    </row>
    <row r="135" spans="1:4" ht="15.75" hidden="1" thickBot="1">
      <c r="A135" s="4" t="s">
        <v>546</v>
      </c>
      <c r="B135" s="4" t="s">
        <v>547</v>
      </c>
      <c r="C135" s="4" t="s">
        <v>548</v>
      </c>
      <c r="D135" s="4">
        <v>462</v>
      </c>
    </row>
    <row r="136" spans="1:4" ht="15.75" hidden="1" thickBot="1">
      <c r="A136" s="4" t="s">
        <v>549</v>
      </c>
      <c r="B136" s="4" t="s">
        <v>550</v>
      </c>
      <c r="C136" s="4" t="s">
        <v>551</v>
      </c>
      <c r="D136" s="4">
        <v>466</v>
      </c>
    </row>
    <row r="137" spans="1:4" ht="15.75" hidden="1" thickBot="1">
      <c r="A137" s="4" t="s">
        <v>552</v>
      </c>
      <c r="B137" s="4" t="s">
        <v>553</v>
      </c>
      <c r="C137" s="4" t="s">
        <v>554</v>
      </c>
      <c r="D137" s="4">
        <v>470</v>
      </c>
    </row>
    <row r="138" spans="1:4" ht="30.75" hidden="1" thickBot="1">
      <c r="A138" s="4" t="s">
        <v>555</v>
      </c>
      <c r="B138" s="4" t="s">
        <v>556</v>
      </c>
      <c r="C138" s="4" t="s">
        <v>557</v>
      </c>
      <c r="D138" s="4">
        <v>584</v>
      </c>
    </row>
    <row r="139" spans="1:4" ht="15.75" hidden="1" thickBot="1">
      <c r="A139" s="4" t="s">
        <v>558</v>
      </c>
      <c r="B139" s="4" t="s">
        <v>559</v>
      </c>
      <c r="C139" s="4" t="s">
        <v>560</v>
      </c>
      <c r="D139" s="4">
        <v>474</v>
      </c>
    </row>
    <row r="140" spans="1:4" ht="15.75" hidden="1" thickBot="1">
      <c r="A140" s="4" t="s">
        <v>561</v>
      </c>
      <c r="B140" s="4" t="s">
        <v>562</v>
      </c>
      <c r="C140" s="4" t="s">
        <v>563</v>
      </c>
      <c r="D140" s="4">
        <v>478</v>
      </c>
    </row>
    <row r="141" spans="1:4" ht="15.75" hidden="1" thickBot="1">
      <c r="A141" s="4" t="s">
        <v>564</v>
      </c>
      <c r="B141" s="4" t="s">
        <v>565</v>
      </c>
      <c r="C141" s="4" t="s">
        <v>566</v>
      </c>
      <c r="D141" s="4">
        <v>480</v>
      </c>
    </row>
    <row r="142" spans="1:4" ht="15.75" hidden="1" thickBot="1">
      <c r="A142" s="4" t="s">
        <v>567</v>
      </c>
      <c r="B142" s="4" t="s">
        <v>568</v>
      </c>
      <c r="C142" s="4" t="s">
        <v>569</v>
      </c>
      <c r="D142" s="4">
        <v>175</v>
      </c>
    </row>
    <row r="143" spans="1:4" ht="15.75" hidden="1" thickBot="1">
      <c r="A143" s="4" t="s">
        <v>169</v>
      </c>
      <c r="B143" s="4" t="s">
        <v>170</v>
      </c>
      <c r="C143" s="4" t="s">
        <v>570</v>
      </c>
      <c r="D143" s="4">
        <v>484</v>
      </c>
    </row>
    <row r="144" spans="1:4" ht="45.75" hidden="1" thickBot="1">
      <c r="A144" s="4" t="s">
        <v>571</v>
      </c>
      <c r="B144" s="4" t="s">
        <v>572</v>
      </c>
      <c r="C144" s="4" t="s">
        <v>573</v>
      </c>
      <c r="D144" s="4">
        <v>583</v>
      </c>
    </row>
    <row r="145" spans="1:4" ht="30.75" hidden="1" thickBot="1">
      <c r="A145" s="4" t="s">
        <v>574</v>
      </c>
      <c r="B145" s="4" t="s">
        <v>575</v>
      </c>
      <c r="C145" s="4" t="s">
        <v>576</v>
      </c>
      <c r="D145" s="4">
        <v>498</v>
      </c>
    </row>
    <row r="146" spans="1:4" ht="15.75" hidden="1" thickBot="1">
      <c r="A146" s="4" t="s">
        <v>577</v>
      </c>
      <c r="B146" s="4" t="s">
        <v>578</v>
      </c>
      <c r="C146" s="4" t="s">
        <v>579</v>
      </c>
      <c r="D146" s="4">
        <v>492</v>
      </c>
    </row>
    <row r="147" spans="1:4" ht="15.75" hidden="1" thickBot="1">
      <c r="A147" s="4" t="s">
        <v>580</v>
      </c>
      <c r="B147" s="4" t="s">
        <v>581</v>
      </c>
      <c r="C147" s="4" t="s">
        <v>582</v>
      </c>
      <c r="D147" s="4">
        <v>496</v>
      </c>
    </row>
    <row r="148" spans="1:4" ht="15.75" hidden="1" thickBot="1">
      <c r="A148" s="4" t="s">
        <v>165</v>
      </c>
      <c r="B148" s="4" t="s">
        <v>166</v>
      </c>
      <c r="C148" s="4" t="s">
        <v>583</v>
      </c>
      <c r="D148" s="4">
        <v>499</v>
      </c>
    </row>
    <row r="149" spans="1:4" ht="15.75" hidden="1" thickBot="1">
      <c r="A149" s="4" t="s">
        <v>584</v>
      </c>
      <c r="B149" s="4" t="s">
        <v>585</v>
      </c>
      <c r="C149" s="4" t="s">
        <v>586</v>
      </c>
      <c r="D149" s="4">
        <v>500</v>
      </c>
    </row>
    <row r="150" spans="1:4" ht="15.75" hidden="1" thickBot="1">
      <c r="A150" s="4" t="s">
        <v>587</v>
      </c>
      <c r="B150" s="4" t="s">
        <v>588</v>
      </c>
      <c r="C150" s="4" t="s">
        <v>589</v>
      </c>
      <c r="D150" s="4">
        <v>504</v>
      </c>
    </row>
    <row r="151" spans="1:4" ht="15.75" hidden="1" thickBot="1">
      <c r="A151" s="4" t="s">
        <v>590</v>
      </c>
      <c r="B151" s="4" t="s">
        <v>591</v>
      </c>
      <c r="C151" s="4" t="s">
        <v>592</v>
      </c>
      <c r="D151" s="4">
        <v>508</v>
      </c>
    </row>
    <row r="152" spans="1:4" ht="15.75" hidden="1" thickBot="1">
      <c r="A152" s="4" t="s">
        <v>593</v>
      </c>
      <c r="B152" s="4" t="s">
        <v>594</v>
      </c>
      <c r="C152" s="4" t="s">
        <v>595</v>
      </c>
      <c r="D152" s="4">
        <v>104</v>
      </c>
    </row>
    <row r="153" spans="1:4" ht="15.75" hidden="1" thickBot="1">
      <c r="A153" s="4" t="s">
        <v>596</v>
      </c>
      <c r="B153" s="4" t="s">
        <v>62</v>
      </c>
      <c r="C153" s="4" t="s">
        <v>597</v>
      </c>
      <c r="D153" s="4">
        <v>516</v>
      </c>
    </row>
    <row r="154" spans="1:4" ht="15.75" hidden="1" thickBot="1">
      <c r="A154" s="4" t="s">
        <v>598</v>
      </c>
      <c r="B154" s="4" t="s">
        <v>599</v>
      </c>
      <c r="C154" s="4" t="s">
        <v>600</v>
      </c>
      <c r="D154" s="4">
        <v>520</v>
      </c>
    </row>
    <row r="155" spans="1:4" ht="15.75" hidden="1" thickBot="1">
      <c r="A155" s="4" t="s">
        <v>601</v>
      </c>
      <c r="B155" s="4" t="s">
        <v>602</v>
      </c>
      <c r="C155" s="4" t="s">
        <v>603</v>
      </c>
      <c r="D155" s="4">
        <v>524</v>
      </c>
    </row>
    <row r="156" spans="1:4" ht="15.75" hidden="1" thickBot="1">
      <c r="A156" s="4" t="s">
        <v>604</v>
      </c>
      <c r="B156" s="4" t="s">
        <v>174</v>
      </c>
      <c r="C156" s="4" t="s">
        <v>605</v>
      </c>
      <c r="D156" s="4">
        <v>528</v>
      </c>
    </row>
    <row r="157" spans="1:4" ht="15.75" hidden="1" thickBot="1">
      <c r="A157" s="4" t="s">
        <v>606</v>
      </c>
      <c r="B157" s="4" t="s">
        <v>607</v>
      </c>
      <c r="C157" s="4" t="s">
        <v>608</v>
      </c>
      <c r="D157" s="4">
        <v>540</v>
      </c>
    </row>
    <row r="158" spans="1:4" ht="15.75" hidden="1" thickBot="1">
      <c r="A158" s="4" t="s">
        <v>177</v>
      </c>
      <c r="B158" s="4" t="s">
        <v>178</v>
      </c>
      <c r="C158" s="4" t="s">
        <v>609</v>
      </c>
      <c r="D158" s="4">
        <v>554</v>
      </c>
    </row>
    <row r="159" spans="1:4" ht="15.75" hidden="1" thickBot="1">
      <c r="A159" s="4" t="s">
        <v>610</v>
      </c>
      <c r="B159" s="4" t="s">
        <v>611</v>
      </c>
      <c r="C159" s="4" t="s">
        <v>612</v>
      </c>
      <c r="D159" s="4">
        <v>558</v>
      </c>
    </row>
    <row r="160" spans="1:4" ht="15.75" hidden="1" thickBot="1">
      <c r="A160" s="4" t="s">
        <v>613</v>
      </c>
      <c r="B160" s="4" t="s">
        <v>614</v>
      </c>
      <c r="C160" s="4" t="s">
        <v>615</v>
      </c>
      <c r="D160" s="4">
        <v>562</v>
      </c>
    </row>
    <row r="161" spans="1:4" ht="15.75" hidden="1" thickBot="1">
      <c r="A161" s="4" t="s">
        <v>616</v>
      </c>
      <c r="B161" s="4" t="s">
        <v>617</v>
      </c>
      <c r="C161" s="4" t="s">
        <v>618</v>
      </c>
      <c r="D161" s="4">
        <v>566</v>
      </c>
    </row>
    <row r="162" spans="1:4" ht="15.75" hidden="1" thickBot="1">
      <c r="A162" s="4" t="s">
        <v>619</v>
      </c>
      <c r="B162" s="4" t="s">
        <v>620</v>
      </c>
      <c r="C162" s="4" t="s">
        <v>621</v>
      </c>
      <c r="D162" s="4">
        <v>570</v>
      </c>
    </row>
    <row r="163" spans="1:4" ht="15.75" hidden="1" thickBot="1">
      <c r="A163" s="4" t="s">
        <v>622</v>
      </c>
      <c r="B163" s="4" t="s">
        <v>623</v>
      </c>
      <c r="C163" s="4" t="s">
        <v>624</v>
      </c>
      <c r="D163" s="4">
        <v>574</v>
      </c>
    </row>
    <row r="164" spans="1:4" ht="30.75" hidden="1" thickBot="1">
      <c r="A164" s="4" t="s">
        <v>625</v>
      </c>
      <c r="B164" s="4" t="s">
        <v>626</v>
      </c>
      <c r="C164" s="4" t="s">
        <v>627</v>
      </c>
      <c r="D164" s="4">
        <v>580</v>
      </c>
    </row>
    <row r="165" spans="1:4" ht="15.75" hidden="1" thickBot="1">
      <c r="A165" s="4" t="s">
        <v>175</v>
      </c>
      <c r="B165" s="4" t="s">
        <v>176</v>
      </c>
      <c r="C165" s="4" t="s">
        <v>628</v>
      </c>
      <c r="D165" s="4">
        <v>578</v>
      </c>
    </row>
    <row r="166" spans="1:4" ht="15.75" hidden="1" thickBot="1">
      <c r="A166" s="4" t="s">
        <v>179</v>
      </c>
      <c r="B166" s="4" t="s">
        <v>180</v>
      </c>
      <c r="C166" s="4" t="s">
        <v>629</v>
      </c>
      <c r="D166" s="4">
        <v>512</v>
      </c>
    </row>
    <row r="167" spans="1:4" ht="15.75" hidden="1" thickBot="1">
      <c r="A167" s="4" t="s">
        <v>630</v>
      </c>
      <c r="B167" s="4" t="s">
        <v>631</v>
      </c>
      <c r="C167" s="4" t="s">
        <v>632</v>
      </c>
      <c r="D167" s="4">
        <v>586</v>
      </c>
    </row>
    <row r="168" spans="1:4" ht="15.75" hidden="1" thickBot="1">
      <c r="A168" s="4" t="s">
        <v>633</v>
      </c>
      <c r="B168" s="4" t="s">
        <v>634</v>
      </c>
      <c r="C168" s="4" t="s">
        <v>635</v>
      </c>
      <c r="D168" s="4">
        <v>585</v>
      </c>
    </row>
    <row r="169" spans="1:4" ht="15.75" hidden="1" thickBot="1">
      <c r="A169" s="4" t="s">
        <v>636</v>
      </c>
      <c r="B169" s="4" t="s">
        <v>637</v>
      </c>
      <c r="C169" s="4" t="s">
        <v>638</v>
      </c>
      <c r="D169" s="4">
        <v>275</v>
      </c>
    </row>
    <row r="170" spans="1:4" ht="15.75" hidden="1" thickBot="1">
      <c r="A170" s="4" t="s">
        <v>181</v>
      </c>
      <c r="B170" s="4" t="s">
        <v>182</v>
      </c>
      <c r="C170" s="4" t="s">
        <v>639</v>
      </c>
      <c r="D170" s="4">
        <v>591</v>
      </c>
    </row>
    <row r="171" spans="1:4" ht="15.75" hidden="1" thickBot="1">
      <c r="A171" s="4" t="s">
        <v>640</v>
      </c>
      <c r="B171" s="4" t="s">
        <v>641</v>
      </c>
      <c r="C171" s="4" t="s">
        <v>642</v>
      </c>
      <c r="D171" s="4">
        <v>598</v>
      </c>
    </row>
    <row r="172" spans="1:4" ht="15.75" hidden="1" thickBot="1">
      <c r="A172" s="4" t="s">
        <v>643</v>
      </c>
      <c r="B172" s="4" t="s">
        <v>644</v>
      </c>
      <c r="C172" s="4" t="s">
        <v>645</v>
      </c>
      <c r="D172" s="4">
        <v>600</v>
      </c>
    </row>
    <row r="173" spans="1:4" ht="15.75" hidden="1" thickBot="1">
      <c r="A173" s="4" t="s">
        <v>183</v>
      </c>
      <c r="B173" s="4" t="s">
        <v>184</v>
      </c>
      <c r="C173" s="4" t="s">
        <v>646</v>
      </c>
      <c r="D173" s="4">
        <v>604</v>
      </c>
    </row>
    <row r="174" spans="1:4" ht="15.75" hidden="1" thickBot="1">
      <c r="A174" s="4" t="s">
        <v>647</v>
      </c>
      <c r="B174" s="4" t="s">
        <v>186</v>
      </c>
      <c r="C174" s="4" t="s">
        <v>648</v>
      </c>
      <c r="D174" s="4">
        <v>608</v>
      </c>
    </row>
    <row r="175" spans="1:4" ht="15.75" hidden="1" thickBot="1">
      <c r="A175" s="4" t="s">
        <v>649</v>
      </c>
      <c r="B175" s="4" t="s">
        <v>650</v>
      </c>
      <c r="C175" s="4" t="s">
        <v>651</v>
      </c>
      <c r="D175" s="4">
        <v>612</v>
      </c>
    </row>
    <row r="176" spans="1:4" ht="15.75" hidden="1" thickBot="1">
      <c r="A176" s="4" t="s">
        <v>187</v>
      </c>
      <c r="B176" s="4" t="s">
        <v>188</v>
      </c>
      <c r="C176" s="4" t="s">
        <v>652</v>
      </c>
      <c r="D176" s="4">
        <v>616</v>
      </c>
    </row>
    <row r="177" spans="1:4" ht="15.75" hidden="1" thickBot="1">
      <c r="A177" s="4" t="s">
        <v>191</v>
      </c>
      <c r="B177" s="4" t="s">
        <v>192</v>
      </c>
      <c r="C177" s="4" t="s">
        <v>653</v>
      </c>
      <c r="D177" s="4">
        <v>620</v>
      </c>
    </row>
    <row r="178" spans="1:4" ht="15.75" hidden="1" thickBot="1">
      <c r="A178" s="4" t="s">
        <v>189</v>
      </c>
      <c r="B178" s="4" t="s">
        <v>190</v>
      </c>
      <c r="C178" s="4" t="s">
        <v>654</v>
      </c>
      <c r="D178" s="4">
        <v>630</v>
      </c>
    </row>
    <row r="179" spans="1:4" ht="15.75" hidden="1" thickBot="1">
      <c r="A179" s="4" t="s">
        <v>193</v>
      </c>
      <c r="B179" s="4" t="s">
        <v>194</v>
      </c>
      <c r="C179" s="4" t="s">
        <v>655</v>
      </c>
      <c r="D179" s="4">
        <v>634</v>
      </c>
    </row>
    <row r="180" spans="1:4" ht="30.75" thickBot="1">
      <c r="A180" s="4" t="s">
        <v>656</v>
      </c>
      <c r="B180" s="4" t="s">
        <v>168</v>
      </c>
      <c r="C180" s="4" t="s">
        <v>657</v>
      </c>
      <c r="D180" s="4">
        <v>807</v>
      </c>
    </row>
    <row r="181" spans="1:4" ht="15.75" hidden="1" thickBot="1">
      <c r="A181" s="4" t="s">
        <v>195</v>
      </c>
      <c r="B181" s="4" t="s">
        <v>196</v>
      </c>
      <c r="C181" s="4" t="s">
        <v>658</v>
      </c>
      <c r="D181" s="4">
        <v>642</v>
      </c>
    </row>
    <row r="182" spans="1:4" ht="30.75" hidden="1" thickBot="1">
      <c r="A182" s="4" t="s">
        <v>659</v>
      </c>
      <c r="B182" s="4" t="s">
        <v>200</v>
      </c>
      <c r="C182" s="4" t="s">
        <v>660</v>
      </c>
      <c r="D182" s="4">
        <v>643</v>
      </c>
    </row>
    <row r="183" spans="1:4" ht="15.75" hidden="1" thickBot="1">
      <c r="A183" s="4" t="s">
        <v>661</v>
      </c>
      <c r="B183" s="4" t="s">
        <v>662</v>
      </c>
      <c r="C183" s="4" t="s">
        <v>663</v>
      </c>
      <c r="D183" s="4">
        <v>646</v>
      </c>
    </row>
    <row r="184" spans="1:4" ht="15.75" hidden="1" thickBot="1">
      <c r="A184" s="4" t="s">
        <v>664</v>
      </c>
      <c r="B184" s="4" t="s">
        <v>665</v>
      </c>
      <c r="C184" s="4" t="s">
        <v>666</v>
      </c>
      <c r="D184" s="4">
        <v>638</v>
      </c>
    </row>
    <row r="185" spans="1:4" ht="15.75" hidden="1" thickBot="1">
      <c r="A185" s="4" t="s">
        <v>667</v>
      </c>
      <c r="B185" s="4" t="s">
        <v>668</v>
      </c>
      <c r="C185" s="4" t="s">
        <v>669</v>
      </c>
      <c r="D185" s="4">
        <v>652</v>
      </c>
    </row>
    <row r="186" spans="1:4" ht="45.75" hidden="1" thickBot="1">
      <c r="A186" s="4" t="s">
        <v>670</v>
      </c>
      <c r="B186" s="4" t="s">
        <v>671</v>
      </c>
      <c r="C186" s="4" t="s">
        <v>672</v>
      </c>
      <c r="D186" s="4">
        <v>654</v>
      </c>
    </row>
    <row r="187" spans="1:4" ht="30.75" hidden="1" thickBot="1">
      <c r="A187" s="4" t="s">
        <v>673</v>
      </c>
      <c r="B187" s="4" t="s">
        <v>674</v>
      </c>
      <c r="C187" s="4" t="s">
        <v>675</v>
      </c>
      <c r="D187" s="4">
        <v>659</v>
      </c>
    </row>
    <row r="188" spans="1:4" ht="15.75" hidden="1" thickBot="1">
      <c r="A188" s="4" t="s">
        <v>676</v>
      </c>
      <c r="B188" s="4" t="s">
        <v>677</v>
      </c>
      <c r="C188" s="4" t="s">
        <v>678</v>
      </c>
      <c r="D188" s="4">
        <v>662</v>
      </c>
    </row>
    <row r="189" spans="1:4" ht="30.75" hidden="1" thickBot="1">
      <c r="A189" s="4" t="s">
        <v>679</v>
      </c>
      <c r="B189" s="4" t="s">
        <v>680</v>
      </c>
      <c r="C189" s="4" t="s">
        <v>681</v>
      </c>
      <c r="D189" s="4">
        <v>663</v>
      </c>
    </row>
    <row r="190" spans="1:4" ht="30.75" hidden="1" thickBot="1">
      <c r="A190" s="4" t="s">
        <v>682</v>
      </c>
      <c r="B190" s="4" t="s">
        <v>683</v>
      </c>
      <c r="C190" s="4" t="s">
        <v>684</v>
      </c>
      <c r="D190" s="4">
        <v>666</v>
      </c>
    </row>
    <row r="191" spans="1:4" ht="30.75" hidden="1" thickBot="1">
      <c r="A191" s="4" t="s">
        <v>685</v>
      </c>
      <c r="B191" s="4" t="s">
        <v>686</v>
      </c>
      <c r="C191" s="4" t="s">
        <v>687</v>
      </c>
      <c r="D191" s="4">
        <v>670</v>
      </c>
    </row>
    <row r="192" spans="1:4" ht="15.75" hidden="1" thickBot="1">
      <c r="A192" s="4" t="s">
        <v>688</v>
      </c>
      <c r="B192" s="4" t="s">
        <v>689</v>
      </c>
      <c r="C192" s="4" t="s">
        <v>690</v>
      </c>
      <c r="D192" s="4">
        <v>882</v>
      </c>
    </row>
    <row r="193" spans="1:4" ht="15.75" hidden="1" thickBot="1">
      <c r="A193" s="4" t="s">
        <v>691</v>
      </c>
      <c r="B193" s="4" t="s">
        <v>692</v>
      </c>
      <c r="C193" s="4" t="s">
        <v>693</v>
      </c>
      <c r="D193" s="4">
        <v>674</v>
      </c>
    </row>
    <row r="194" spans="1:4" ht="30.75" hidden="1" thickBot="1">
      <c r="A194" s="4" t="s">
        <v>694</v>
      </c>
      <c r="B194" s="4" t="s">
        <v>695</v>
      </c>
      <c r="C194" s="4" t="s">
        <v>696</v>
      </c>
      <c r="D194" s="4">
        <v>678</v>
      </c>
    </row>
    <row r="195" spans="1:4" ht="15.75" hidden="1" thickBot="1">
      <c r="A195" s="4" t="s">
        <v>201</v>
      </c>
      <c r="B195" s="4" t="s">
        <v>202</v>
      </c>
      <c r="C195" s="4" t="s">
        <v>697</v>
      </c>
      <c r="D195" s="4">
        <v>682</v>
      </c>
    </row>
    <row r="196" spans="1:4" ht="15.75" hidden="1" thickBot="1">
      <c r="A196" s="4" t="s">
        <v>698</v>
      </c>
      <c r="B196" s="4" t="s">
        <v>699</v>
      </c>
      <c r="C196" s="4" t="s">
        <v>700</v>
      </c>
      <c r="D196" s="4">
        <v>686</v>
      </c>
    </row>
    <row r="197" spans="1:4" ht="15.75" hidden="1" thickBot="1">
      <c r="A197" s="4" t="s">
        <v>197</v>
      </c>
      <c r="B197" s="4" t="s">
        <v>198</v>
      </c>
      <c r="C197" s="4" t="s">
        <v>701</v>
      </c>
      <c r="D197" s="4">
        <v>688</v>
      </c>
    </row>
    <row r="198" spans="1:4" ht="15.75" hidden="1" thickBot="1">
      <c r="A198" s="4" t="s">
        <v>702</v>
      </c>
      <c r="B198" s="4" t="s">
        <v>703</v>
      </c>
      <c r="C198" s="4" t="s">
        <v>704</v>
      </c>
      <c r="D198" s="4">
        <v>690</v>
      </c>
    </row>
    <row r="199" spans="1:4" ht="15.75" hidden="1" thickBot="1">
      <c r="A199" s="4" t="s">
        <v>705</v>
      </c>
      <c r="B199" s="4" t="s">
        <v>706</v>
      </c>
      <c r="C199" s="4" t="s">
        <v>707</v>
      </c>
      <c r="D199" s="4">
        <v>694</v>
      </c>
    </row>
    <row r="200" spans="1:4" ht="15.75" hidden="1" thickBot="1">
      <c r="A200" s="4" t="s">
        <v>205</v>
      </c>
      <c r="B200" s="4" t="s">
        <v>206</v>
      </c>
      <c r="C200" s="4" t="s">
        <v>708</v>
      </c>
      <c r="D200" s="4">
        <v>702</v>
      </c>
    </row>
    <row r="201" spans="1:4" ht="30.75" hidden="1" thickBot="1">
      <c r="A201" s="4" t="s">
        <v>709</v>
      </c>
      <c r="B201" s="4" t="s">
        <v>710</v>
      </c>
      <c r="C201" s="4" t="s">
        <v>711</v>
      </c>
      <c r="D201" s="4">
        <v>534</v>
      </c>
    </row>
    <row r="202" spans="1:4" ht="15.75" hidden="1" thickBot="1">
      <c r="A202" s="4" t="s">
        <v>209</v>
      </c>
      <c r="B202" s="4" t="s">
        <v>210</v>
      </c>
      <c r="C202" s="4" t="s">
        <v>712</v>
      </c>
      <c r="D202" s="4">
        <v>703</v>
      </c>
    </row>
    <row r="203" spans="1:4" ht="15.75" hidden="1" thickBot="1">
      <c r="A203" s="4" t="s">
        <v>207</v>
      </c>
      <c r="B203" s="4" t="s">
        <v>208</v>
      </c>
      <c r="C203" s="4" t="s">
        <v>713</v>
      </c>
      <c r="D203" s="4">
        <v>705</v>
      </c>
    </row>
    <row r="204" spans="1:4" ht="15.75" hidden="1" thickBot="1">
      <c r="A204" s="4" t="s">
        <v>714</v>
      </c>
      <c r="B204" s="4" t="s">
        <v>715</v>
      </c>
      <c r="C204" s="4" t="s">
        <v>716</v>
      </c>
      <c r="D204" s="4">
        <v>90</v>
      </c>
    </row>
    <row r="205" spans="1:4" ht="15.75" hidden="1" thickBot="1">
      <c r="A205" s="4" t="s">
        <v>717</v>
      </c>
      <c r="B205" s="4" t="s">
        <v>718</v>
      </c>
      <c r="C205" s="4" t="s">
        <v>719</v>
      </c>
      <c r="D205" s="4">
        <v>706</v>
      </c>
    </row>
    <row r="206" spans="1:4" ht="15.75" hidden="1" thickBot="1">
      <c r="A206" s="4" t="s">
        <v>229</v>
      </c>
      <c r="B206" s="4" t="s">
        <v>230</v>
      </c>
      <c r="C206" s="4" t="s">
        <v>720</v>
      </c>
      <c r="D206" s="4">
        <v>710</v>
      </c>
    </row>
    <row r="207" spans="1:4" ht="45.75" hidden="1" thickBot="1">
      <c r="A207" s="4" t="s">
        <v>721</v>
      </c>
      <c r="B207" s="4" t="s">
        <v>722</v>
      </c>
      <c r="C207" s="4" t="s">
        <v>723</v>
      </c>
      <c r="D207" s="4">
        <v>239</v>
      </c>
    </row>
    <row r="208" spans="1:4" ht="15.75" hidden="1" thickBot="1">
      <c r="A208" s="4" t="s">
        <v>724</v>
      </c>
      <c r="B208" s="4" t="s">
        <v>725</v>
      </c>
      <c r="C208" s="4" t="s">
        <v>726</v>
      </c>
      <c r="D208" s="4">
        <v>728</v>
      </c>
    </row>
    <row r="209" spans="1:4" ht="15.75" hidden="1" thickBot="1">
      <c r="A209" s="4" t="s">
        <v>113</v>
      </c>
      <c r="B209" s="4" t="s">
        <v>114</v>
      </c>
      <c r="C209" s="4" t="s">
        <v>727</v>
      </c>
      <c r="D209" s="4">
        <v>724</v>
      </c>
    </row>
    <row r="210" spans="1:4" ht="15.75" hidden="1" thickBot="1">
      <c r="A210" s="4" t="s">
        <v>728</v>
      </c>
      <c r="B210" s="4" t="s">
        <v>729</v>
      </c>
      <c r="C210" s="4" t="s">
        <v>730</v>
      </c>
      <c r="D210" s="4">
        <v>144</v>
      </c>
    </row>
    <row r="211" spans="1:4" ht="15.75" hidden="1" thickBot="1">
      <c r="A211" s="4" t="s">
        <v>731</v>
      </c>
      <c r="B211" s="4" t="s">
        <v>732</v>
      </c>
      <c r="C211" s="4" t="s">
        <v>733</v>
      </c>
      <c r="D211" s="4">
        <v>729</v>
      </c>
    </row>
    <row r="212" spans="1:4" ht="15.75" hidden="1" thickBot="1">
      <c r="A212" s="4" t="s">
        <v>734</v>
      </c>
      <c r="B212" s="4" t="s">
        <v>735</v>
      </c>
      <c r="C212" s="4" t="s">
        <v>736</v>
      </c>
      <c r="D212" s="4">
        <v>740</v>
      </c>
    </row>
    <row r="213" spans="1:4" ht="30.75" hidden="1" thickBot="1">
      <c r="A213" s="4" t="s">
        <v>737</v>
      </c>
      <c r="B213" s="4" t="s">
        <v>738</v>
      </c>
      <c r="C213" s="4" t="s">
        <v>739</v>
      </c>
      <c r="D213" s="4">
        <v>744</v>
      </c>
    </row>
    <row r="214" spans="1:4" ht="15.75" hidden="1" thickBot="1">
      <c r="A214" s="4" t="s">
        <v>203</v>
      </c>
      <c r="B214" s="4" t="s">
        <v>204</v>
      </c>
      <c r="C214" s="4" t="s">
        <v>740</v>
      </c>
      <c r="D214" s="4">
        <v>752</v>
      </c>
    </row>
    <row r="215" spans="1:4" ht="15.75" hidden="1" thickBot="1">
      <c r="A215" s="4" t="s">
        <v>90</v>
      </c>
      <c r="B215" s="4" t="s">
        <v>91</v>
      </c>
      <c r="C215" s="4" t="s">
        <v>741</v>
      </c>
      <c r="D215" s="4">
        <v>756</v>
      </c>
    </row>
    <row r="216" spans="1:4" ht="30.75" hidden="1" thickBot="1">
      <c r="A216" s="4" t="s">
        <v>742</v>
      </c>
      <c r="B216" s="4" t="s">
        <v>743</v>
      </c>
      <c r="C216" s="4" t="s">
        <v>744</v>
      </c>
      <c r="D216" s="4">
        <v>760</v>
      </c>
    </row>
    <row r="217" spans="1:4" ht="30.75" hidden="1" thickBot="1">
      <c r="A217" s="4" t="s">
        <v>745</v>
      </c>
      <c r="B217" s="4" t="s">
        <v>216</v>
      </c>
      <c r="C217" s="4" t="s">
        <v>746</v>
      </c>
      <c r="D217" s="4">
        <v>158</v>
      </c>
    </row>
    <row r="218" spans="1:4" ht="15.75" hidden="1" thickBot="1">
      <c r="A218" s="4" t="s">
        <v>747</v>
      </c>
      <c r="B218" s="4" t="s">
        <v>748</v>
      </c>
      <c r="C218" s="4" t="s">
        <v>749</v>
      </c>
      <c r="D218" s="4">
        <v>762</v>
      </c>
    </row>
    <row r="219" spans="1:4" ht="30.75" hidden="1" thickBot="1">
      <c r="A219" s="4" t="s">
        <v>750</v>
      </c>
      <c r="B219" s="4" t="s">
        <v>751</v>
      </c>
      <c r="C219" s="4" t="s">
        <v>752</v>
      </c>
      <c r="D219" s="4">
        <v>834</v>
      </c>
    </row>
    <row r="220" spans="1:4" ht="15.75" hidden="1" thickBot="1">
      <c r="A220" s="4" t="s">
        <v>211</v>
      </c>
      <c r="B220" s="4" t="s">
        <v>212</v>
      </c>
      <c r="C220" s="4" t="s">
        <v>753</v>
      </c>
      <c r="D220" s="4">
        <v>764</v>
      </c>
    </row>
    <row r="221" spans="1:4" ht="15.75" hidden="1" thickBot="1">
      <c r="A221" s="4" t="s">
        <v>754</v>
      </c>
      <c r="B221" s="4" t="s">
        <v>755</v>
      </c>
      <c r="C221" s="4" t="s">
        <v>756</v>
      </c>
      <c r="D221" s="4">
        <v>626</v>
      </c>
    </row>
    <row r="222" spans="1:4" ht="15.75" hidden="1" thickBot="1">
      <c r="A222" s="4" t="s">
        <v>757</v>
      </c>
      <c r="B222" s="4" t="s">
        <v>758</v>
      </c>
      <c r="C222" s="4" t="s">
        <v>759</v>
      </c>
      <c r="D222" s="4">
        <v>768</v>
      </c>
    </row>
    <row r="223" spans="1:4" ht="15.75" hidden="1" thickBot="1">
      <c r="A223" s="4" t="s">
        <v>760</v>
      </c>
      <c r="B223" s="4" t="s">
        <v>761</v>
      </c>
      <c r="C223" s="4" t="s">
        <v>762</v>
      </c>
      <c r="D223" s="4">
        <v>772</v>
      </c>
    </row>
    <row r="224" spans="1:4" ht="15.75" hidden="1" thickBot="1">
      <c r="A224" s="4" t="s">
        <v>763</v>
      </c>
      <c r="B224" s="4" t="s">
        <v>764</v>
      </c>
      <c r="C224" s="4" t="s">
        <v>765</v>
      </c>
      <c r="D224" s="4">
        <v>776</v>
      </c>
    </row>
    <row r="225" spans="1:4" ht="30.75" hidden="1" thickBot="1">
      <c r="A225" s="4" t="s">
        <v>766</v>
      </c>
      <c r="B225" s="4" t="s">
        <v>767</v>
      </c>
      <c r="C225" s="4" t="s">
        <v>768</v>
      </c>
      <c r="D225" s="4">
        <v>780</v>
      </c>
    </row>
    <row r="226" spans="1:4" ht="15.75" hidden="1" thickBot="1">
      <c r="A226" s="4" t="s">
        <v>769</v>
      </c>
      <c r="B226" s="4" t="s">
        <v>770</v>
      </c>
      <c r="C226" s="4" t="s">
        <v>771</v>
      </c>
      <c r="D226" s="4">
        <v>788</v>
      </c>
    </row>
    <row r="227" spans="1:4" ht="15.75" hidden="1" thickBot="1">
      <c r="A227" s="4" t="s">
        <v>213</v>
      </c>
      <c r="B227" s="4" t="s">
        <v>214</v>
      </c>
      <c r="C227" s="4" t="s">
        <v>772</v>
      </c>
      <c r="D227" s="4">
        <v>792</v>
      </c>
    </row>
    <row r="228" spans="1:4" ht="15.75" hidden="1" thickBot="1">
      <c r="A228" s="4" t="s">
        <v>773</v>
      </c>
      <c r="B228" s="4" t="s">
        <v>774</v>
      </c>
      <c r="C228" s="4" t="s">
        <v>775</v>
      </c>
      <c r="D228" s="4">
        <v>795</v>
      </c>
    </row>
    <row r="229" spans="1:4" ht="30.75" hidden="1" thickBot="1">
      <c r="A229" s="4" t="s">
        <v>776</v>
      </c>
      <c r="B229" s="4" t="s">
        <v>777</v>
      </c>
      <c r="C229" s="4" t="s">
        <v>778</v>
      </c>
      <c r="D229" s="4">
        <v>796</v>
      </c>
    </row>
    <row r="230" spans="1:4" ht="15.75" hidden="1" thickBot="1">
      <c r="A230" s="4" t="s">
        <v>779</v>
      </c>
      <c r="B230" s="4" t="s">
        <v>780</v>
      </c>
      <c r="C230" s="4" t="s">
        <v>781</v>
      </c>
      <c r="D230" s="4">
        <v>798</v>
      </c>
    </row>
    <row r="231" spans="1:4" ht="15.75" hidden="1" thickBot="1">
      <c r="A231" s="4" t="s">
        <v>219</v>
      </c>
      <c r="B231" s="4" t="s">
        <v>220</v>
      </c>
      <c r="C231" s="4" t="s">
        <v>782</v>
      </c>
      <c r="D231" s="4">
        <v>800</v>
      </c>
    </row>
    <row r="232" spans="1:4" ht="15.75" hidden="1" thickBot="1">
      <c r="A232" s="4" t="s">
        <v>217</v>
      </c>
      <c r="B232" s="4" t="s">
        <v>218</v>
      </c>
      <c r="C232" s="4" t="s">
        <v>783</v>
      </c>
      <c r="D232" s="4">
        <v>804</v>
      </c>
    </row>
    <row r="233" spans="1:4" ht="30.75" hidden="1" thickBot="1">
      <c r="A233" s="4" t="s">
        <v>784</v>
      </c>
      <c r="B233" s="4" t="s">
        <v>65</v>
      </c>
      <c r="C233" s="4" t="s">
        <v>785</v>
      </c>
      <c r="D233" s="4">
        <v>784</v>
      </c>
    </row>
    <row r="234" spans="1:4" ht="60.75" hidden="1" thickBot="1">
      <c r="A234" s="4" t="s">
        <v>786</v>
      </c>
      <c r="B234" s="4" t="s">
        <v>120</v>
      </c>
      <c r="C234" s="4" t="s">
        <v>787</v>
      </c>
      <c r="D234" s="4">
        <v>826</v>
      </c>
    </row>
    <row r="235" spans="1:4" ht="45.75" hidden="1" thickBot="1">
      <c r="A235" s="4" t="s">
        <v>788</v>
      </c>
      <c r="B235" s="4" t="s">
        <v>789</v>
      </c>
      <c r="C235" s="4" t="s">
        <v>790</v>
      </c>
      <c r="D235" s="4">
        <v>581</v>
      </c>
    </row>
    <row r="236" spans="1:4" ht="30.75" hidden="1" thickBot="1">
      <c r="A236" s="4" t="s">
        <v>791</v>
      </c>
      <c r="B236" s="4" t="s">
        <v>222</v>
      </c>
      <c r="C236" s="4" t="s">
        <v>221</v>
      </c>
      <c r="D236" s="4">
        <v>840</v>
      </c>
    </row>
    <row r="237" spans="1:4" ht="15.75" hidden="1" thickBot="1">
      <c r="A237" s="4" t="s">
        <v>792</v>
      </c>
      <c r="B237" s="4" t="s">
        <v>793</v>
      </c>
      <c r="C237" s="4" t="s">
        <v>794</v>
      </c>
      <c r="D237" s="4">
        <v>858</v>
      </c>
    </row>
    <row r="238" spans="1:4" ht="15.75" hidden="1" thickBot="1">
      <c r="A238" s="4" t="s">
        <v>795</v>
      </c>
      <c r="B238" s="4" t="s">
        <v>796</v>
      </c>
      <c r="C238" s="4" t="s">
        <v>797</v>
      </c>
      <c r="D238" s="4">
        <v>860</v>
      </c>
    </row>
    <row r="239" spans="1:4" ht="15.75" hidden="1" thickBot="1">
      <c r="A239" s="4" t="s">
        <v>798</v>
      </c>
      <c r="B239" s="4" t="s">
        <v>799</v>
      </c>
      <c r="C239" s="4" t="s">
        <v>800</v>
      </c>
      <c r="D239" s="4">
        <v>548</v>
      </c>
    </row>
    <row r="240" spans="1:4" ht="45.75" hidden="1" thickBot="1">
      <c r="A240" s="4" t="s">
        <v>801</v>
      </c>
      <c r="B240" s="4" t="s">
        <v>802</v>
      </c>
      <c r="C240" s="4" t="s">
        <v>803</v>
      </c>
      <c r="D240" s="4">
        <v>862</v>
      </c>
    </row>
    <row r="241" spans="1:4" ht="15.75" hidden="1" thickBot="1">
      <c r="A241" s="4" t="s">
        <v>804</v>
      </c>
      <c r="B241" s="4" t="s">
        <v>224</v>
      </c>
      <c r="C241" s="4" t="s">
        <v>805</v>
      </c>
      <c r="D241" s="4">
        <v>704</v>
      </c>
    </row>
    <row r="242" spans="1:4" ht="30.75" hidden="1" thickBot="1">
      <c r="A242" s="4" t="s">
        <v>806</v>
      </c>
      <c r="B242" s="4" t="s">
        <v>807</v>
      </c>
      <c r="C242" s="4" t="s">
        <v>808</v>
      </c>
      <c r="D242" s="4">
        <v>92</v>
      </c>
    </row>
    <row r="243" spans="1:4" ht="15.75" hidden="1" thickBot="1">
      <c r="A243" s="4" t="s">
        <v>809</v>
      </c>
      <c r="B243" s="4" t="s">
        <v>810</v>
      </c>
      <c r="C243" s="4" t="s">
        <v>811</v>
      </c>
      <c r="D243" s="4">
        <v>850</v>
      </c>
    </row>
    <row r="244" spans="1:4" ht="15.75" hidden="1" thickBot="1">
      <c r="A244" s="4" t="s">
        <v>812</v>
      </c>
      <c r="B244" s="4" t="s">
        <v>813</v>
      </c>
      <c r="C244" s="4" t="s">
        <v>814</v>
      </c>
      <c r="D244" s="4">
        <v>876</v>
      </c>
    </row>
    <row r="245" spans="1:4" ht="15.75" hidden="1" thickBot="1">
      <c r="A245" s="4" t="s">
        <v>815</v>
      </c>
      <c r="B245" s="4" t="s">
        <v>816</v>
      </c>
      <c r="C245" s="4" t="s">
        <v>817</v>
      </c>
      <c r="D245" s="4">
        <v>732</v>
      </c>
    </row>
    <row r="246" spans="1:4" ht="15.75" hidden="1" thickBot="1">
      <c r="A246" s="4" t="s">
        <v>227</v>
      </c>
      <c r="B246" s="4" t="s">
        <v>228</v>
      </c>
      <c r="C246" s="4" t="s">
        <v>818</v>
      </c>
      <c r="D246" s="4">
        <v>887</v>
      </c>
    </row>
    <row r="247" spans="1:4" ht="15.75" hidden="1" thickBot="1">
      <c r="A247" s="4" t="s">
        <v>819</v>
      </c>
      <c r="B247" s="4" t="s">
        <v>820</v>
      </c>
      <c r="C247" s="4" t="s">
        <v>821</v>
      </c>
      <c r="D247" s="4">
        <v>894</v>
      </c>
    </row>
    <row r="248" spans="1:4" ht="15.75" hidden="1" thickBot="1">
      <c r="A248" s="4" t="s">
        <v>822</v>
      </c>
      <c r="B248" s="4" t="s">
        <v>823</v>
      </c>
      <c r="C248" s="4" t="s">
        <v>824</v>
      </c>
      <c r="D248" s="4">
        <v>716</v>
      </c>
    </row>
    <row r="249" spans="1:4" ht="15.75" hidden="1" thickBot="1">
      <c r="A249" s="4" t="s">
        <v>825</v>
      </c>
      <c r="B249" s="4" t="s">
        <v>826</v>
      </c>
      <c r="C249" s="4" t="s">
        <v>827</v>
      </c>
      <c r="D249" s="4">
        <v>248</v>
      </c>
    </row>
  </sheetData>
  <autoFilter ref="A1:D249" xr:uid="{6A6EDA9D-0B12-47A2-B88A-E4034324267A}">
    <filterColumn colId="0">
      <filters>
        <filter val="Republic of North Macedonia"/>
      </filters>
    </filterColumn>
  </autoFilter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FCE64-F2F3-4E26-8049-7DE2032B0DCB}">
  <sheetPr codeName="Sheet6"/>
  <dimension ref="A1:CB226"/>
  <sheetViews>
    <sheetView topLeftCell="A13" workbookViewId="0">
      <selection activeCell="BI4" sqref="BI4"/>
    </sheetView>
  </sheetViews>
  <sheetFormatPr defaultRowHeight="15"/>
  <cols>
    <col min="1" max="1" width="19.42578125" bestFit="1" customWidth="1"/>
    <col min="2" max="2" width="12.7109375" bestFit="1" customWidth="1"/>
    <col min="3" max="3" width="18.85546875" bestFit="1" customWidth="1"/>
    <col min="4" max="4" width="34.42578125" bestFit="1" customWidth="1"/>
    <col min="5" max="5" width="34.42578125" customWidth="1"/>
    <col min="6" max="6" width="10.7109375" bestFit="1" customWidth="1"/>
    <col min="11" max="11" width="24.42578125" bestFit="1" customWidth="1"/>
    <col min="12" max="12" width="20.85546875" bestFit="1" customWidth="1"/>
    <col min="15" max="15" width="11.5703125" bestFit="1" customWidth="1"/>
    <col min="18" max="18" width="28.7109375" bestFit="1" customWidth="1"/>
    <col min="26" max="26" width="28.7109375" bestFit="1" customWidth="1"/>
    <col min="27" max="27" width="17.28515625" bestFit="1" customWidth="1"/>
    <col min="30" max="30" width="15.85546875" bestFit="1" customWidth="1"/>
    <col min="33" max="33" width="21.42578125" bestFit="1" customWidth="1"/>
    <col min="34" max="34" width="12.140625" bestFit="1" customWidth="1"/>
    <col min="37" max="37" width="20.7109375" bestFit="1" customWidth="1"/>
    <col min="40" max="40" width="13.5703125" bestFit="1" customWidth="1"/>
    <col min="43" max="43" width="18.7109375" bestFit="1" customWidth="1"/>
    <col min="45" max="45" width="14.140625" bestFit="1" customWidth="1"/>
    <col min="47" max="47" width="12" bestFit="1" customWidth="1"/>
    <col min="49" max="49" width="28.28515625" bestFit="1" customWidth="1"/>
    <col min="50" max="50" width="16.5703125" bestFit="1" customWidth="1"/>
    <col min="53" max="53" width="34.42578125" bestFit="1" customWidth="1"/>
    <col min="61" max="61" width="22.28515625" bestFit="1" customWidth="1"/>
    <col min="62" max="62" width="18.5703125" bestFit="1" customWidth="1"/>
    <col min="64" max="64" width="18.7109375" bestFit="1" customWidth="1"/>
    <col min="65" max="65" width="14.28515625" bestFit="1" customWidth="1"/>
    <col min="67" max="67" width="28.28515625" bestFit="1" customWidth="1"/>
    <col min="68" max="68" width="16.5703125" bestFit="1" customWidth="1"/>
    <col min="72" max="72" width="14.5703125" bestFit="1" customWidth="1"/>
    <col min="79" max="79" width="28.7109375" bestFit="1" customWidth="1"/>
    <col min="80" max="80" width="30.7109375" bestFit="1" customWidth="1"/>
  </cols>
  <sheetData>
    <row r="1" spans="1:80" ht="15.75" thickBot="1">
      <c r="R1" t="s">
        <v>830</v>
      </c>
      <c r="V1" t="s">
        <v>831</v>
      </c>
      <c r="Z1" t="s">
        <v>832</v>
      </c>
      <c r="AD1" t="s">
        <v>833</v>
      </c>
      <c r="AG1" t="s">
        <v>834</v>
      </c>
      <c r="AK1" t="s">
        <v>835</v>
      </c>
      <c r="AQ1" t="s">
        <v>836</v>
      </c>
    </row>
    <row r="2" spans="1:80" ht="20.25" thickTop="1">
      <c r="A2" t="s">
        <v>837</v>
      </c>
      <c r="B2" t="s">
        <v>64</v>
      </c>
      <c r="C2" t="s">
        <v>63</v>
      </c>
      <c r="D2" t="s">
        <v>13</v>
      </c>
      <c r="E2" t="s">
        <v>14</v>
      </c>
      <c r="G2" t="s">
        <v>838</v>
      </c>
      <c r="H2" t="s">
        <v>839</v>
      </c>
      <c r="K2" t="s">
        <v>840</v>
      </c>
      <c r="L2" t="s">
        <v>841</v>
      </c>
      <c r="O2" t="s">
        <v>842</v>
      </c>
      <c r="R2" s="25" t="s">
        <v>13</v>
      </c>
      <c r="S2" s="25" t="s">
        <v>843</v>
      </c>
      <c r="V2" s="29" t="s">
        <v>63</v>
      </c>
      <c r="W2" s="29" t="s">
        <v>60</v>
      </c>
      <c r="Z2" s="29" t="s">
        <v>828</v>
      </c>
      <c r="AA2" s="29" t="s">
        <v>844</v>
      </c>
      <c r="AD2" t="s">
        <v>843</v>
      </c>
      <c r="AE2" t="s">
        <v>845</v>
      </c>
      <c r="AG2" t="s">
        <v>60</v>
      </c>
      <c r="AH2" t="s">
        <v>846</v>
      </c>
      <c r="AK2" s="29" t="s">
        <v>844</v>
      </c>
      <c r="AL2" t="s">
        <v>847</v>
      </c>
      <c r="AN2" s="24" t="s">
        <v>848</v>
      </c>
      <c r="AQ2" t="s">
        <v>20</v>
      </c>
      <c r="AS2" t="s">
        <v>21</v>
      </c>
      <c r="AU2" t="s">
        <v>22</v>
      </c>
      <c r="AW2" t="s">
        <v>849</v>
      </c>
      <c r="AX2" t="s">
        <v>24</v>
      </c>
      <c r="BA2" t="s">
        <v>59</v>
      </c>
      <c r="BD2" t="s">
        <v>1490</v>
      </c>
      <c r="BG2" t="s">
        <v>1491</v>
      </c>
      <c r="BI2" t="s">
        <v>1509</v>
      </c>
      <c r="BL2" s="52" t="s">
        <v>1903</v>
      </c>
      <c r="BM2" s="52" t="s">
        <v>1904</v>
      </c>
      <c r="BO2" t="s">
        <v>23</v>
      </c>
      <c r="BR2" t="s">
        <v>1494</v>
      </c>
      <c r="BT2" t="s">
        <v>23</v>
      </c>
      <c r="BV2" t="s">
        <v>1493</v>
      </c>
      <c r="CA2" s="25" t="s">
        <v>13</v>
      </c>
      <c r="CB2" s="25" t="s">
        <v>59</v>
      </c>
    </row>
    <row r="3" spans="1:80" ht="19.5">
      <c r="A3" t="s">
        <v>65</v>
      </c>
      <c r="B3" t="s">
        <v>65</v>
      </c>
      <c r="C3" s="1" t="s">
        <v>36</v>
      </c>
      <c r="D3" t="s">
        <v>850</v>
      </c>
      <c r="E3" t="s">
        <v>851</v>
      </c>
      <c r="F3" s="2">
        <v>43466</v>
      </c>
      <c r="G3">
        <v>1</v>
      </c>
      <c r="H3">
        <v>2010</v>
      </c>
      <c r="I3">
        <v>10</v>
      </c>
      <c r="K3" t="s">
        <v>852</v>
      </c>
      <c r="L3" t="s">
        <v>853</v>
      </c>
      <c r="O3" t="s">
        <v>854</v>
      </c>
      <c r="R3" s="26" t="s">
        <v>850</v>
      </c>
      <c r="S3" s="26" t="s">
        <v>543</v>
      </c>
      <c r="V3" s="30" t="s">
        <v>88</v>
      </c>
      <c r="W3" s="30" t="s">
        <v>222</v>
      </c>
      <c r="Z3" s="30" t="s">
        <v>855</v>
      </c>
      <c r="AA3" s="31" t="s">
        <v>856</v>
      </c>
      <c r="AD3" s="26" t="s">
        <v>543</v>
      </c>
      <c r="AE3" t="s">
        <v>857</v>
      </c>
      <c r="AG3" t="s">
        <v>858</v>
      </c>
      <c r="AH3" t="s">
        <v>859</v>
      </c>
      <c r="AI3" s="32"/>
      <c r="AK3" s="31" t="s">
        <v>860</v>
      </c>
      <c r="AL3" t="s">
        <v>861</v>
      </c>
      <c r="AN3" s="32" t="s">
        <v>862</v>
      </c>
      <c r="AQ3" s="32" t="s">
        <v>59</v>
      </c>
      <c r="AS3" s="32" t="s">
        <v>863</v>
      </c>
      <c r="AU3" s="32" t="s">
        <v>43</v>
      </c>
      <c r="AW3" s="32" t="s">
        <v>44</v>
      </c>
      <c r="AX3" s="32" t="s">
        <v>864</v>
      </c>
      <c r="BA3" t="s">
        <v>1278</v>
      </c>
      <c r="BD3" s="40" t="s">
        <v>1510</v>
      </c>
      <c r="BE3">
        <v>365</v>
      </c>
      <c r="BF3" s="23"/>
      <c r="BG3" t="s">
        <v>1902</v>
      </c>
      <c r="BI3" s="24" t="s">
        <v>2083</v>
      </c>
      <c r="BJ3" s="24" t="s">
        <v>2084</v>
      </c>
      <c r="BL3" t="s">
        <v>1905</v>
      </c>
      <c r="BM3" t="s">
        <v>1906</v>
      </c>
      <c r="BO3" t="s">
        <v>849</v>
      </c>
      <c r="BP3" t="s">
        <v>24</v>
      </c>
      <c r="BR3" t="s">
        <v>2111</v>
      </c>
      <c r="BT3" t="s">
        <v>2115</v>
      </c>
      <c r="BV3" t="s">
        <v>2118</v>
      </c>
      <c r="CA3" s="26" t="s">
        <v>850</v>
      </c>
      <c r="CB3" s="26" t="s">
        <v>1238</v>
      </c>
    </row>
    <row r="4" spans="1:80" ht="19.5">
      <c r="A4" t="s">
        <v>67</v>
      </c>
      <c r="B4" t="s">
        <v>67</v>
      </c>
      <c r="C4" s="1" t="s">
        <v>66</v>
      </c>
      <c r="D4" t="s">
        <v>58</v>
      </c>
      <c r="E4" t="s">
        <v>865</v>
      </c>
      <c r="G4">
        <v>2</v>
      </c>
      <c r="H4">
        <v>2011</v>
      </c>
      <c r="I4">
        <v>11</v>
      </c>
      <c r="K4" t="s">
        <v>866</v>
      </c>
      <c r="L4" t="s">
        <v>867</v>
      </c>
      <c r="O4" t="s">
        <v>868</v>
      </c>
      <c r="R4" s="26" t="s">
        <v>58</v>
      </c>
      <c r="S4" s="26" t="s">
        <v>543</v>
      </c>
      <c r="V4" s="30" t="s">
        <v>119</v>
      </c>
      <c r="W4" s="30" t="s">
        <v>869</v>
      </c>
      <c r="Z4" s="30" t="s">
        <v>870</v>
      </c>
      <c r="AA4" s="31" t="s">
        <v>856</v>
      </c>
      <c r="AD4" s="26" t="s">
        <v>871</v>
      </c>
      <c r="AE4" t="s">
        <v>872</v>
      </c>
      <c r="AG4" t="s">
        <v>49</v>
      </c>
      <c r="AH4" t="s">
        <v>873</v>
      </c>
      <c r="AI4" s="32"/>
      <c r="AK4" s="30" t="s">
        <v>874</v>
      </c>
      <c r="AL4" t="s">
        <v>875</v>
      </c>
      <c r="AN4" s="32" t="s">
        <v>876</v>
      </c>
      <c r="AQ4" s="32" t="s">
        <v>41</v>
      </c>
      <c r="AS4" s="32" t="s">
        <v>42</v>
      </c>
      <c r="AU4" s="32" t="s">
        <v>877</v>
      </c>
      <c r="AW4" s="32" t="s">
        <v>878</v>
      </c>
      <c r="AX4" s="32" t="s">
        <v>879</v>
      </c>
      <c r="BA4" t="s">
        <v>58</v>
      </c>
      <c r="BD4" s="41" t="s">
        <v>1511</v>
      </c>
      <c r="BE4" s="40" t="s">
        <v>1512</v>
      </c>
      <c r="BG4" t="s">
        <v>1900</v>
      </c>
      <c r="BI4" s="53" t="s">
        <v>2085</v>
      </c>
      <c r="BJ4" s="53" t="s">
        <v>2085</v>
      </c>
      <c r="BK4" s="53"/>
      <c r="BL4" t="s">
        <v>1907</v>
      </c>
      <c r="BM4" t="s">
        <v>1908</v>
      </c>
      <c r="BO4" s="32" t="s">
        <v>44</v>
      </c>
      <c r="BP4" s="32" t="s">
        <v>864</v>
      </c>
      <c r="BQ4" s="32"/>
      <c r="BR4" t="s">
        <v>2112</v>
      </c>
      <c r="BT4" t="s">
        <v>1597</v>
      </c>
      <c r="BV4" t="s">
        <v>2119</v>
      </c>
      <c r="CA4" s="26" t="s">
        <v>58</v>
      </c>
      <c r="CB4" s="26" t="s">
        <v>58</v>
      </c>
    </row>
    <row r="5" spans="1:80" ht="19.5">
      <c r="A5" t="s">
        <v>69</v>
      </c>
      <c r="B5" t="s">
        <v>69</v>
      </c>
      <c r="C5" s="1" t="s">
        <v>68</v>
      </c>
      <c r="D5" t="s">
        <v>880</v>
      </c>
      <c r="E5" t="s">
        <v>881</v>
      </c>
      <c r="G5">
        <v>3</v>
      </c>
      <c r="H5">
        <v>2012</v>
      </c>
      <c r="I5">
        <v>12</v>
      </c>
      <c r="K5" t="s">
        <v>882</v>
      </c>
      <c r="L5" t="s">
        <v>883</v>
      </c>
      <c r="O5" t="s">
        <v>884</v>
      </c>
      <c r="R5" s="26" t="s">
        <v>880</v>
      </c>
      <c r="S5" s="26" t="s">
        <v>871</v>
      </c>
      <c r="V5" s="30" t="s">
        <v>103</v>
      </c>
      <c r="W5" s="30" t="s">
        <v>869</v>
      </c>
      <c r="Z5" s="30" t="s">
        <v>885</v>
      </c>
      <c r="AA5" s="31" t="s">
        <v>856</v>
      </c>
      <c r="AD5" s="26" t="s">
        <v>886</v>
      </c>
      <c r="AE5" t="s">
        <v>887</v>
      </c>
      <c r="AG5" t="s">
        <v>888</v>
      </c>
      <c r="AH5" t="s">
        <v>889</v>
      </c>
      <c r="AI5" s="32"/>
      <c r="AK5" s="30" t="s">
        <v>890</v>
      </c>
      <c r="AL5" t="s">
        <v>891</v>
      </c>
      <c r="AN5" s="32" t="s">
        <v>892</v>
      </c>
      <c r="AQ5" s="32" t="s">
        <v>893</v>
      </c>
      <c r="AS5" s="32" t="s">
        <v>894</v>
      </c>
      <c r="AU5" s="32" t="s">
        <v>895</v>
      </c>
      <c r="AW5" s="32" t="s">
        <v>52</v>
      </c>
      <c r="AX5" s="32" t="s">
        <v>896</v>
      </c>
      <c r="BA5" t="s">
        <v>880</v>
      </c>
      <c r="BD5" s="40" t="s">
        <v>1513</v>
      </c>
      <c r="BE5" s="40" t="s">
        <v>1513</v>
      </c>
      <c r="BF5" s="40"/>
      <c r="BG5" t="s">
        <v>1901</v>
      </c>
      <c r="BI5" s="53" t="s">
        <v>2086</v>
      </c>
      <c r="BJ5" s="53" t="s">
        <v>2086</v>
      </c>
      <c r="BK5" s="53"/>
      <c r="BL5" t="s">
        <v>1909</v>
      </c>
      <c r="BM5" t="s">
        <v>1910</v>
      </c>
      <c r="BO5" s="32" t="s">
        <v>878</v>
      </c>
      <c r="BP5" s="32" t="s">
        <v>879</v>
      </c>
      <c r="BQ5" s="32"/>
      <c r="BR5" t="s">
        <v>2113</v>
      </c>
      <c r="BT5" t="s">
        <v>2116</v>
      </c>
      <c r="BV5" t="s">
        <v>2120</v>
      </c>
      <c r="CA5" s="26" t="s">
        <v>880</v>
      </c>
      <c r="CB5" s="26" t="s">
        <v>880</v>
      </c>
    </row>
    <row r="6" spans="1:80" ht="19.5">
      <c r="A6" t="s">
        <v>71</v>
      </c>
      <c r="B6" t="s">
        <v>71</v>
      </c>
      <c r="C6" s="1" t="s">
        <v>70</v>
      </c>
      <c r="D6" t="s">
        <v>897</v>
      </c>
      <c r="E6" t="s">
        <v>898</v>
      </c>
      <c r="G6">
        <v>4</v>
      </c>
      <c r="H6">
        <v>2013</v>
      </c>
      <c r="I6">
        <v>13</v>
      </c>
      <c r="K6" t="s">
        <v>899</v>
      </c>
      <c r="L6" t="s">
        <v>239</v>
      </c>
      <c r="O6" t="s">
        <v>900</v>
      </c>
      <c r="R6" s="26" t="s">
        <v>897</v>
      </c>
      <c r="S6" s="26" t="s">
        <v>871</v>
      </c>
      <c r="V6" s="30" t="s">
        <v>221</v>
      </c>
      <c r="W6" s="30" t="s">
        <v>222</v>
      </c>
      <c r="Z6" s="30" t="s">
        <v>901</v>
      </c>
      <c r="AA6" s="31" t="s">
        <v>856</v>
      </c>
      <c r="AD6" s="26" t="s">
        <v>902</v>
      </c>
      <c r="AE6" t="s">
        <v>903</v>
      </c>
      <c r="AG6" t="s">
        <v>39</v>
      </c>
      <c r="AH6" t="s">
        <v>904</v>
      </c>
      <c r="AI6" s="32"/>
      <c r="AK6" s="30" t="s">
        <v>905</v>
      </c>
      <c r="AL6" t="s">
        <v>906</v>
      </c>
      <c r="AN6" s="32" t="s">
        <v>907</v>
      </c>
      <c r="AQ6" s="34" t="s">
        <v>908</v>
      </c>
      <c r="AS6" s="32" t="s">
        <v>909</v>
      </c>
      <c r="AU6" s="32" t="s">
        <v>910</v>
      </c>
      <c r="AW6" s="32" t="s">
        <v>911</v>
      </c>
      <c r="AX6" s="32" t="s">
        <v>912</v>
      </c>
      <c r="BA6" t="s">
        <v>897</v>
      </c>
      <c r="BD6" s="40" t="s">
        <v>1514</v>
      </c>
      <c r="BE6" s="40" t="s">
        <v>1515</v>
      </c>
      <c r="BF6" s="40"/>
      <c r="BI6" s="53" t="s">
        <v>2087</v>
      </c>
      <c r="BJ6" s="53" t="s">
        <v>2087</v>
      </c>
      <c r="BK6" s="53"/>
      <c r="BL6" t="s">
        <v>1909</v>
      </c>
      <c r="BM6" t="s">
        <v>1911</v>
      </c>
      <c r="BO6" s="32" t="s">
        <v>52</v>
      </c>
      <c r="BP6" s="32" t="s">
        <v>896</v>
      </c>
      <c r="BQ6" s="32"/>
      <c r="BR6" t="s">
        <v>2114</v>
      </c>
      <c r="BT6" t="s">
        <v>2117</v>
      </c>
      <c r="BV6" t="s">
        <v>2121</v>
      </c>
      <c r="CA6" s="26" t="s">
        <v>897</v>
      </c>
      <c r="CB6" s="26" t="s">
        <v>897</v>
      </c>
    </row>
    <row r="7" spans="1:80" ht="19.5">
      <c r="A7" t="s">
        <v>73</v>
      </c>
      <c r="B7" t="s">
        <v>73</v>
      </c>
      <c r="C7" s="1" t="s">
        <v>72</v>
      </c>
      <c r="D7" t="s">
        <v>913</v>
      </c>
      <c r="E7" t="s">
        <v>914</v>
      </c>
      <c r="G7">
        <v>5</v>
      </c>
      <c r="H7">
        <v>2014</v>
      </c>
      <c r="I7">
        <v>14</v>
      </c>
      <c r="K7" t="s">
        <v>915</v>
      </c>
      <c r="L7" t="s">
        <v>916</v>
      </c>
      <c r="O7" t="s">
        <v>917</v>
      </c>
      <c r="R7" s="26" t="s">
        <v>913</v>
      </c>
      <c r="S7" s="26" t="s">
        <v>543</v>
      </c>
      <c r="V7" s="30" t="s">
        <v>46</v>
      </c>
      <c r="W7" s="30" t="s">
        <v>869</v>
      </c>
      <c r="Z7" s="30" t="s">
        <v>918</v>
      </c>
      <c r="AA7" s="31" t="s">
        <v>856</v>
      </c>
      <c r="AD7" s="26" t="s">
        <v>919</v>
      </c>
      <c r="AE7" t="s">
        <v>919</v>
      </c>
      <c r="AG7" t="s">
        <v>920</v>
      </c>
      <c r="AH7" t="s">
        <v>921</v>
      </c>
      <c r="AI7" s="32"/>
      <c r="AK7" s="30" t="s">
        <v>922</v>
      </c>
      <c r="AL7" t="s">
        <v>186</v>
      </c>
      <c r="AN7" s="32" t="s">
        <v>922</v>
      </c>
      <c r="AQ7" s="35"/>
      <c r="AS7" s="32" t="s">
        <v>923</v>
      </c>
      <c r="AU7" s="32" t="s">
        <v>924</v>
      </c>
      <c r="AW7" s="32" t="s">
        <v>925</v>
      </c>
      <c r="AX7" s="32" t="s">
        <v>926</v>
      </c>
      <c r="BA7" t="s">
        <v>913</v>
      </c>
      <c r="BD7" s="40" t="s">
        <v>1516</v>
      </c>
      <c r="BE7" s="40" t="s">
        <v>1517</v>
      </c>
      <c r="BF7" s="40"/>
      <c r="BI7" s="53" t="s">
        <v>2088</v>
      </c>
      <c r="BJ7" s="53" t="s">
        <v>2089</v>
      </c>
      <c r="BK7" s="53"/>
      <c r="BL7" t="s">
        <v>1912</v>
      </c>
      <c r="BM7" t="s">
        <v>1913</v>
      </c>
      <c r="BO7" s="32" t="s">
        <v>911</v>
      </c>
      <c r="BP7" s="32" t="s">
        <v>912</v>
      </c>
      <c r="BQ7" s="32"/>
      <c r="CA7" s="26" t="s">
        <v>913</v>
      </c>
      <c r="CB7" s="26" t="s">
        <v>913</v>
      </c>
    </row>
    <row r="8" spans="1:80" ht="19.5">
      <c r="A8" t="s">
        <v>75</v>
      </c>
      <c r="B8" t="s">
        <v>75</v>
      </c>
      <c r="C8" s="1" t="s">
        <v>74</v>
      </c>
      <c r="D8" t="s">
        <v>927</v>
      </c>
      <c r="E8" t="s">
        <v>928</v>
      </c>
      <c r="G8">
        <v>6</v>
      </c>
      <c r="H8">
        <v>2015</v>
      </c>
      <c r="I8">
        <v>15</v>
      </c>
      <c r="K8" t="s">
        <v>929</v>
      </c>
      <c r="L8" t="s">
        <v>930</v>
      </c>
      <c r="O8" t="s">
        <v>931</v>
      </c>
      <c r="R8" s="26" t="s">
        <v>927</v>
      </c>
      <c r="S8" s="26" t="s">
        <v>543</v>
      </c>
      <c r="V8" s="30" t="s">
        <v>115</v>
      </c>
      <c r="W8" s="30" t="s">
        <v>869</v>
      </c>
      <c r="Z8" s="30" t="s">
        <v>932</v>
      </c>
      <c r="AA8" s="31" t="s">
        <v>856</v>
      </c>
      <c r="AD8" s="28" t="s">
        <v>933</v>
      </c>
      <c r="AE8" t="s">
        <v>934</v>
      </c>
      <c r="AI8" s="32"/>
      <c r="AK8" t="s">
        <v>935</v>
      </c>
      <c r="AL8" t="s">
        <v>936</v>
      </c>
      <c r="AN8" s="32" t="s">
        <v>935</v>
      </c>
      <c r="AQ8" s="35"/>
      <c r="AS8" s="32" t="s">
        <v>51</v>
      </c>
      <c r="AU8" s="32" t="s">
        <v>937</v>
      </c>
      <c r="AW8" s="32" t="s">
        <v>938</v>
      </c>
      <c r="AX8" s="32" t="s">
        <v>939</v>
      </c>
      <c r="BA8" t="s">
        <v>927</v>
      </c>
      <c r="BD8" s="40" t="s">
        <v>1518</v>
      </c>
      <c r="BE8" s="40" t="s">
        <v>1519</v>
      </c>
      <c r="BF8" s="40"/>
      <c r="BI8" s="53" t="s">
        <v>2090</v>
      </c>
      <c r="BJ8" s="53" t="s">
        <v>2091</v>
      </c>
      <c r="BK8" s="53"/>
      <c r="BL8" t="s">
        <v>1914</v>
      </c>
      <c r="BM8" t="s">
        <v>1915</v>
      </c>
      <c r="BO8" s="32" t="s">
        <v>925</v>
      </c>
      <c r="BP8" s="32" t="s">
        <v>926</v>
      </c>
      <c r="BQ8" s="32"/>
      <c r="CA8" s="26" t="s">
        <v>927</v>
      </c>
      <c r="CB8" s="26" t="s">
        <v>927</v>
      </c>
    </row>
    <row r="9" spans="1:80" ht="19.5">
      <c r="A9" t="s">
        <v>77</v>
      </c>
      <c r="B9" t="s">
        <v>77</v>
      </c>
      <c r="C9" s="1" t="s">
        <v>76</v>
      </c>
      <c r="D9" t="s">
        <v>940</v>
      </c>
      <c r="E9" t="s">
        <v>941</v>
      </c>
      <c r="G9">
        <v>7</v>
      </c>
      <c r="H9">
        <v>2016</v>
      </c>
      <c r="I9">
        <v>16</v>
      </c>
      <c r="K9" t="s">
        <v>942</v>
      </c>
      <c r="L9" t="s">
        <v>943</v>
      </c>
      <c r="O9" t="s">
        <v>944</v>
      </c>
      <c r="R9" s="26" t="s">
        <v>940</v>
      </c>
      <c r="S9" s="26" t="s">
        <v>886</v>
      </c>
      <c r="V9" s="30" t="s">
        <v>203</v>
      </c>
      <c r="W9" s="30" t="s">
        <v>869</v>
      </c>
      <c r="Z9" s="30" t="s">
        <v>58</v>
      </c>
      <c r="AA9" s="31" t="s">
        <v>856</v>
      </c>
      <c r="AI9" s="32"/>
      <c r="AK9" t="s">
        <v>55</v>
      </c>
      <c r="AL9" t="s">
        <v>945</v>
      </c>
      <c r="AN9" s="32" t="s">
        <v>946</v>
      </c>
      <c r="AQ9" s="32"/>
      <c r="AS9" s="32" t="s">
        <v>947</v>
      </c>
      <c r="AU9" s="32" t="s">
        <v>948</v>
      </c>
      <c r="AW9" s="32" t="s">
        <v>949</v>
      </c>
      <c r="AX9" s="32" t="s">
        <v>950</v>
      </c>
      <c r="BA9" t="s">
        <v>956</v>
      </c>
      <c r="BD9" s="40" t="s">
        <v>1520</v>
      </c>
      <c r="BE9" s="40" t="s">
        <v>1521</v>
      </c>
      <c r="BF9" s="40"/>
      <c r="BI9" s="53" t="s">
        <v>2092</v>
      </c>
      <c r="BJ9" s="53" t="s">
        <v>2092</v>
      </c>
      <c r="BK9" s="53"/>
      <c r="BL9" t="s">
        <v>1916</v>
      </c>
      <c r="BM9" t="s">
        <v>1917</v>
      </c>
      <c r="BO9" s="32" t="s">
        <v>938</v>
      </c>
      <c r="BP9" s="32" t="s">
        <v>939</v>
      </c>
      <c r="BQ9" s="32"/>
      <c r="CA9" s="26" t="s">
        <v>940</v>
      </c>
      <c r="CB9" s="26" t="s">
        <v>886</v>
      </c>
    </row>
    <row r="10" spans="1:80" ht="19.5">
      <c r="A10" t="s">
        <v>79</v>
      </c>
      <c r="B10" t="s">
        <v>79</v>
      </c>
      <c r="C10" s="1" t="s">
        <v>78</v>
      </c>
      <c r="D10" t="s">
        <v>951</v>
      </c>
      <c r="E10" t="s">
        <v>952</v>
      </c>
      <c r="G10">
        <v>8</v>
      </c>
      <c r="H10">
        <v>2017</v>
      </c>
      <c r="I10">
        <v>17</v>
      </c>
      <c r="K10" t="s">
        <v>953</v>
      </c>
      <c r="L10" t="s">
        <v>954</v>
      </c>
      <c r="O10" t="s">
        <v>955</v>
      </c>
      <c r="R10" s="26" t="s">
        <v>956</v>
      </c>
      <c r="S10" s="26" t="s">
        <v>543</v>
      </c>
      <c r="V10" s="30" t="s">
        <v>136</v>
      </c>
      <c r="W10" s="30" t="s">
        <v>869</v>
      </c>
      <c r="Z10" s="30" t="s">
        <v>957</v>
      </c>
      <c r="AA10" s="31" t="s">
        <v>856</v>
      </c>
      <c r="AK10" t="s">
        <v>40</v>
      </c>
      <c r="AL10" t="s">
        <v>958</v>
      </c>
      <c r="AN10" s="32" t="s">
        <v>959</v>
      </c>
      <c r="AQ10" s="35"/>
      <c r="AS10" s="32" t="s">
        <v>960</v>
      </c>
      <c r="AU10" s="32"/>
      <c r="AW10" s="32" t="s">
        <v>57</v>
      </c>
      <c r="AX10" s="32" t="s">
        <v>961</v>
      </c>
      <c r="BA10" t="s">
        <v>971</v>
      </c>
      <c r="BD10" s="40" t="s">
        <v>1522</v>
      </c>
      <c r="BE10" s="40" t="s">
        <v>1523</v>
      </c>
      <c r="BF10" s="40"/>
      <c r="BI10" s="53" t="s">
        <v>2093</v>
      </c>
      <c r="BJ10" s="53" t="s">
        <v>2094</v>
      </c>
      <c r="BK10" s="53"/>
      <c r="BL10" t="s">
        <v>1918</v>
      </c>
      <c r="BM10" t="s">
        <v>1919</v>
      </c>
      <c r="BO10" s="32" t="s">
        <v>949</v>
      </c>
      <c r="BP10" s="32" t="s">
        <v>950</v>
      </c>
      <c r="BQ10" s="32"/>
      <c r="CA10" s="26" t="s">
        <v>956</v>
      </c>
      <c r="CB10" s="26" t="s">
        <v>956</v>
      </c>
    </row>
    <row r="11" spans="1:80" ht="19.5">
      <c r="A11" t="s">
        <v>81</v>
      </c>
      <c r="B11" t="s">
        <v>81</v>
      </c>
      <c r="C11" s="1" t="s">
        <v>80</v>
      </c>
      <c r="D11" t="s">
        <v>956</v>
      </c>
      <c r="E11" t="s">
        <v>962</v>
      </c>
      <c r="G11">
        <v>9</v>
      </c>
      <c r="H11">
        <v>2018</v>
      </c>
      <c r="I11">
        <v>18</v>
      </c>
      <c r="K11" t="s">
        <v>963</v>
      </c>
      <c r="L11" t="s">
        <v>964</v>
      </c>
      <c r="O11" t="s">
        <v>965</v>
      </c>
      <c r="R11" s="26" t="s">
        <v>966</v>
      </c>
      <c r="S11" s="26" t="s">
        <v>543</v>
      </c>
      <c r="V11" s="30" t="s">
        <v>148</v>
      </c>
      <c r="W11" s="30" t="s">
        <v>967</v>
      </c>
      <c r="Z11" s="30" t="s">
        <v>37</v>
      </c>
      <c r="AA11" s="31" t="s">
        <v>856</v>
      </c>
      <c r="AK11" t="s">
        <v>50</v>
      </c>
      <c r="AL11" t="s">
        <v>447</v>
      </c>
      <c r="AN11" s="32" t="s">
        <v>50</v>
      </c>
      <c r="AQ11" s="35"/>
      <c r="AS11" s="32" t="s">
        <v>968</v>
      </c>
      <c r="AU11" s="32"/>
      <c r="AW11" s="32" t="s">
        <v>969</v>
      </c>
      <c r="AX11" s="32" t="s">
        <v>970</v>
      </c>
      <c r="BA11" t="s">
        <v>966</v>
      </c>
      <c r="BD11" s="40" t="s">
        <v>1524</v>
      </c>
      <c r="BE11" s="40" t="s">
        <v>1525</v>
      </c>
      <c r="BF11" s="40"/>
      <c r="BI11" s="53" t="s">
        <v>2095</v>
      </c>
      <c r="BJ11" s="53" t="s">
        <v>2095</v>
      </c>
      <c r="BK11" s="53"/>
      <c r="BL11" t="s">
        <v>1920</v>
      </c>
      <c r="BM11" t="s">
        <v>1921</v>
      </c>
      <c r="BO11" s="32" t="s">
        <v>57</v>
      </c>
      <c r="BP11" s="32" t="s">
        <v>961</v>
      </c>
      <c r="BQ11" s="32"/>
      <c r="CA11" s="26" t="s">
        <v>966</v>
      </c>
      <c r="CB11" s="26" t="s">
        <v>966</v>
      </c>
    </row>
    <row r="12" spans="1:80" ht="19.5">
      <c r="A12" t="s">
        <v>83</v>
      </c>
      <c r="B12" t="s">
        <v>83</v>
      </c>
      <c r="C12" s="1" t="s">
        <v>82</v>
      </c>
      <c r="D12" t="s">
        <v>971</v>
      </c>
      <c r="E12" t="s">
        <v>972</v>
      </c>
      <c r="G12">
        <v>10</v>
      </c>
      <c r="H12">
        <v>2019</v>
      </c>
      <c r="I12">
        <v>19</v>
      </c>
      <c r="K12" t="s">
        <v>973</v>
      </c>
      <c r="L12" t="s">
        <v>974</v>
      </c>
      <c r="O12" t="s">
        <v>975</v>
      </c>
      <c r="R12" s="26" t="s">
        <v>976</v>
      </c>
      <c r="S12" s="26" t="s">
        <v>886</v>
      </c>
      <c r="V12" s="30" t="s">
        <v>154</v>
      </c>
      <c r="W12" s="30" t="s">
        <v>977</v>
      </c>
      <c r="Z12" s="30" t="s">
        <v>978</v>
      </c>
      <c r="AA12" s="31" t="s">
        <v>856</v>
      </c>
      <c r="AK12" t="s">
        <v>979</v>
      </c>
      <c r="AL12" t="s">
        <v>980</v>
      </c>
      <c r="AN12" s="32" t="s">
        <v>981</v>
      </c>
      <c r="AQ12" s="35"/>
      <c r="AS12" s="32" t="s">
        <v>982</v>
      </c>
      <c r="AU12" s="32"/>
      <c r="AW12" s="32" t="s">
        <v>983</v>
      </c>
      <c r="AX12" s="32" t="s">
        <v>984</v>
      </c>
      <c r="BA12" t="s">
        <v>1506</v>
      </c>
      <c r="BD12" s="40" t="s">
        <v>1526</v>
      </c>
      <c r="BE12" s="40" t="s">
        <v>1527</v>
      </c>
      <c r="BF12" s="40"/>
      <c r="BI12" s="53" t="s">
        <v>2096</v>
      </c>
      <c r="BJ12" s="53" t="s">
        <v>2096</v>
      </c>
      <c r="BK12" s="53"/>
      <c r="BL12" t="s">
        <v>1922</v>
      </c>
      <c r="BM12" t="s">
        <v>1923</v>
      </c>
      <c r="BO12" s="32" t="s">
        <v>969</v>
      </c>
      <c r="BP12" s="32" t="s">
        <v>970</v>
      </c>
      <c r="BQ12" s="32"/>
      <c r="CA12" s="26" t="s">
        <v>976</v>
      </c>
      <c r="CB12" s="26" t="s">
        <v>886</v>
      </c>
    </row>
    <row r="13" spans="1:80" ht="19.5">
      <c r="A13" t="s">
        <v>85</v>
      </c>
      <c r="B13" t="s">
        <v>85</v>
      </c>
      <c r="C13" s="1" t="s">
        <v>84</v>
      </c>
      <c r="D13" t="s">
        <v>966</v>
      </c>
      <c r="E13" t="s">
        <v>985</v>
      </c>
      <c r="G13">
        <v>11</v>
      </c>
      <c r="H13">
        <v>2020</v>
      </c>
      <c r="I13">
        <v>20</v>
      </c>
      <c r="K13" t="s">
        <v>986</v>
      </c>
      <c r="L13" t="s">
        <v>987</v>
      </c>
      <c r="O13" t="s">
        <v>988</v>
      </c>
      <c r="R13" s="26" t="s">
        <v>989</v>
      </c>
      <c r="S13" s="26" t="s">
        <v>543</v>
      </c>
      <c r="V13" s="30" t="s">
        <v>215</v>
      </c>
      <c r="W13" s="30" t="s">
        <v>967</v>
      </c>
      <c r="Z13" s="30" t="s">
        <v>990</v>
      </c>
      <c r="AA13" s="31" t="s">
        <v>856</v>
      </c>
      <c r="AK13" t="s">
        <v>991</v>
      </c>
      <c r="AL13" t="s">
        <v>992</v>
      </c>
      <c r="AN13" s="32" t="s">
        <v>993</v>
      </c>
      <c r="AQ13" s="32"/>
      <c r="AR13" s="32"/>
      <c r="AS13" s="32" t="s">
        <v>994</v>
      </c>
      <c r="AT13" s="32"/>
      <c r="AU13" s="32"/>
      <c r="BA13" t="s">
        <v>1000</v>
      </c>
      <c r="BD13" s="40" t="s">
        <v>1528</v>
      </c>
      <c r="BE13" s="40" t="s">
        <v>1529</v>
      </c>
      <c r="BF13" s="40"/>
      <c r="BI13" s="53" t="s">
        <v>2097</v>
      </c>
      <c r="BJ13" s="53" t="s">
        <v>2098</v>
      </c>
      <c r="BK13" s="53"/>
      <c r="BL13" t="s">
        <v>1924</v>
      </c>
      <c r="BM13" t="s">
        <v>1925</v>
      </c>
      <c r="BO13" s="32" t="s">
        <v>983</v>
      </c>
      <c r="BP13" s="32" t="s">
        <v>984</v>
      </c>
      <c r="BQ13" s="32"/>
      <c r="CA13" s="26" t="s">
        <v>989</v>
      </c>
      <c r="CB13" s="26" t="s">
        <v>1238</v>
      </c>
    </row>
    <row r="14" spans="1:80" ht="19.5">
      <c r="A14" t="s">
        <v>87</v>
      </c>
      <c r="B14" t="s">
        <v>87</v>
      </c>
      <c r="C14" s="1" t="s">
        <v>86</v>
      </c>
      <c r="D14" t="s">
        <v>995</v>
      </c>
      <c r="E14" t="s">
        <v>996</v>
      </c>
      <c r="G14">
        <v>12</v>
      </c>
      <c r="H14">
        <v>2021</v>
      </c>
      <c r="I14">
        <v>21</v>
      </c>
      <c r="K14" t="s">
        <v>997</v>
      </c>
      <c r="L14" t="s">
        <v>998</v>
      </c>
      <c r="O14" t="s">
        <v>999</v>
      </c>
      <c r="R14" s="26" t="s">
        <v>1000</v>
      </c>
      <c r="S14" s="26" t="s">
        <v>543</v>
      </c>
      <c r="V14" s="30" t="s">
        <v>94</v>
      </c>
      <c r="W14" s="30" t="s">
        <v>94</v>
      </c>
      <c r="Z14" s="30" t="s">
        <v>1001</v>
      </c>
      <c r="AA14" s="31" t="s">
        <v>856</v>
      </c>
      <c r="AK14" t="s">
        <v>1002</v>
      </c>
      <c r="AL14" t="s">
        <v>1003</v>
      </c>
      <c r="AN14" s="32" t="s">
        <v>960</v>
      </c>
      <c r="AS14" t="s">
        <v>1004</v>
      </c>
      <c r="BA14" t="s">
        <v>1010</v>
      </c>
      <c r="BD14" s="40" t="s">
        <v>1530</v>
      </c>
      <c r="BE14" s="40" t="s">
        <v>240</v>
      </c>
      <c r="BF14" s="40"/>
      <c r="BI14" s="32" t="s">
        <v>2099</v>
      </c>
      <c r="BJ14" s="53" t="s">
        <v>2100</v>
      </c>
      <c r="BK14" s="53"/>
      <c r="BL14" t="s">
        <v>1926</v>
      </c>
      <c r="BM14" t="s">
        <v>1927</v>
      </c>
      <c r="CA14" s="26" t="s">
        <v>1000</v>
      </c>
      <c r="CB14" s="26" t="s">
        <v>1000</v>
      </c>
    </row>
    <row r="15" spans="1:80" ht="19.5">
      <c r="A15" t="s">
        <v>89</v>
      </c>
      <c r="B15" t="s">
        <v>89</v>
      </c>
      <c r="C15" s="1" t="s">
        <v>88</v>
      </c>
      <c r="D15" t="s">
        <v>1005</v>
      </c>
      <c r="E15" t="s">
        <v>1006</v>
      </c>
      <c r="H15">
        <v>2022</v>
      </c>
      <c r="I15">
        <v>22</v>
      </c>
      <c r="K15" t="s">
        <v>1007</v>
      </c>
      <c r="L15" t="s">
        <v>1008</v>
      </c>
      <c r="O15" t="s">
        <v>1009</v>
      </c>
      <c r="R15" s="26" t="s">
        <v>1010</v>
      </c>
      <c r="S15" s="26" t="s">
        <v>543</v>
      </c>
      <c r="V15" s="30" t="s">
        <v>70</v>
      </c>
      <c r="W15" s="30" t="s">
        <v>869</v>
      </c>
      <c r="Z15" s="30" t="s">
        <v>1011</v>
      </c>
      <c r="AA15" s="31" t="s">
        <v>856</v>
      </c>
      <c r="AN15" s="32" t="s">
        <v>1012</v>
      </c>
      <c r="AS15" t="s">
        <v>56</v>
      </c>
      <c r="BA15" t="s">
        <v>1033</v>
      </c>
      <c r="BD15" s="40" t="s">
        <v>1531</v>
      </c>
      <c r="BE15" s="40" t="s">
        <v>1532</v>
      </c>
      <c r="BF15" s="40"/>
      <c r="BI15" s="32" t="s">
        <v>2101</v>
      </c>
      <c r="BJ15" s="53" t="s">
        <v>2102</v>
      </c>
      <c r="BK15" s="53"/>
      <c r="BL15" t="s">
        <v>1928</v>
      </c>
      <c r="BM15" t="s">
        <v>1929</v>
      </c>
      <c r="CA15" s="26" t="s">
        <v>1010</v>
      </c>
      <c r="CB15" s="26" t="s">
        <v>1010</v>
      </c>
    </row>
    <row r="16" spans="1:80" ht="19.5">
      <c r="A16" t="s">
        <v>91</v>
      </c>
      <c r="B16" t="s">
        <v>91</v>
      </c>
      <c r="C16" s="1" t="s">
        <v>90</v>
      </c>
      <c r="D16" t="s">
        <v>1013</v>
      </c>
      <c r="E16" t="s">
        <v>1014</v>
      </c>
      <c r="H16">
        <v>2023</v>
      </c>
      <c r="I16">
        <v>23</v>
      </c>
      <c r="K16" t="s">
        <v>1015</v>
      </c>
      <c r="L16" t="s">
        <v>1015</v>
      </c>
      <c r="R16" s="26" t="s">
        <v>1016</v>
      </c>
      <c r="S16" s="26" t="s">
        <v>886</v>
      </c>
      <c r="V16" s="30" t="s">
        <v>175</v>
      </c>
      <c r="W16" s="30" t="s">
        <v>869</v>
      </c>
      <c r="Z16" s="30" t="s">
        <v>54</v>
      </c>
      <c r="AA16" s="31" t="s">
        <v>856</v>
      </c>
      <c r="AN16" s="32" t="s">
        <v>1017</v>
      </c>
      <c r="BA16" t="s">
        <v>1039</v>
      </c>
      <c r="BD16" s="40" t="s">
        <v>1533</v>
      </c>
      <c r="BE16" s="40" t="s">
        <v>1534</v>
      </c>
      <c r="BF16" s="40"/>
      <c r="BI16" s="53" t="s">
        <v>2103</v>
      </c>
      <c r="BJ16" s="53" t="s">
        <v>2104</v>
      </c>
      <c r="BK16" s="53"/>
      <c r="BL16" t="s">
        <v>1930</v>
      </c>
      <c r="BM16" t="s">
        <v>1931</v>
      </c>
      <c r="CA16" s="26" t="s">
        <v>1016</v>
      </c>
      <c r="CB16" s="26" t="s">
        <v>886</v>
      </c>
    </row>
    <row r="17" spans="1:80" ht="19.5">
      <c r="A17" t="s">
        <v>93</v>
      </c>
      <c r="B17" t="s">
        <v>93</v>
      </c>
      <c r="C17" s="1" t="s">
        <v>92</v>
      </c>
      <c r="D17" t="s">
        <v>1018</v>
      </c>
      <c r="E17" t="s">
        <v>1019</v>
      </c>
      <c r="H17">
        <v>2024</v>
      </c>
      <c r="I17">
        <v>24</v>
      </c>
      <c r="K17" t="s">
        <v>1020</v>
      </c>
      <c r="L17" t="s">
        <v>108</v>
      </c>
      <c r="R17" s="26" t="s">
        <v>1021</v>
      </c>
      <c r="S17" s="26" t="s">
        <v>886</v>
      </c>
      <c r="V17" s="30" t="s">
        <v>72</v>
      </c>
      <c r="W17" s="30" t="s">
        <v>72</v>
      </c>
      <c r="Z17" s="30" t="s">
        <v>1022</v>
      </c>
      <c r="AA17" s="31" t="s">
        <v>856</v>
      </c>
      <c r="AN17" s="32" t="s">
        <v>1023</v>
      </c>
      <c r="BA17" t="s">
        <v>990</v>
      </c>
      <c r="BD17" s="40" t="s">
        <v>1535</v>
      </c>
      <c r="BE17" s="40" t="s">
        <v>1536</v>
      </c>
      <c r="BF17" s="40"/>
      <c r="BI17" s="53" t="s">
        <v>2105</v>
      </c>
      <c r="BJ17" s="53" t="s">
        <v>2106</v>
      </c>
      <c r="BK17" s="53"/>
      <c r="BL17" t="s">
        <v>1932</v>
      </c>
      <c r="BM17" t="s">
        <v>1933</v>
      </c>
      <c r="CA17" s="26" t="s">
        <v>1021</v>
      </c>
      <c r="CB17" s="26" t="s">
        <v>886</v>
      </c>
    </row>
    <row r="18" spans="1:80" ht="19.5">
      <c r="A18" t="s">
        <v>95</v>
      </c>
      <c r="B18" t="s">
        <v>95</v>
      </c>
      <c r="C18" s="1" t="s">
        <v>94</v>
      </c>
      <c r="D18" t="s">
        <v>885</v>
      </c>
      <c r="E18" t="s">
        <v>1024</v>
      </c>
      <c r="H18">
        <v>2025</v>
      </c>
      <c r="I18">
        <v>25</v>
      </c>
      <c r="K18" t="s">
        <v>1025</v>
      </c>
      <c r="L18" t="s">
        <v>1026</v>
      </c>
      <c r="R18" s="26" t="s">
        <v>1027</v>
      </c>
      <c r="S18" s="26" t="s">
        <v>871</v>
      </c>
      <c r="V18" s="30" t="s">
        <v>169</v>
      </c>
      <c r="W18" s="30" t="s">
        <v>61</v>
      </c>
      <c r="Z18" s="30" t="s">
        <v>1028</v>
      </c>
      <c r="AA18" s="31" t="s">
        <v>856</v>
      </c>
      <c r="AN18" s="32" t="s">
        <v>1029</v>
      </c>
      <c r="BA18" t="s">
        <v>1507</v>
      </c>
      <c r="BD18" s="40" t="s">
        <v>1537</v>
      </c>
      <c r="BE18" s="40" t="s">
        <v>1538</v>
      </c>
      <c r="BF18" s="40"/>
      <c r="BI18" s="53" t="s">
        <v>2107</v>
      </c>
      <c r="BJ18" s="53" t="s">
        <v>2108</v>
      </c>
      <c r="BK18" s="53"/>
      <c r="BL18" t="s">
        <v>1934</v>
      </c>
      <c r="BM18" t="s">
        <v>1935</v>
      </c>
      <c r="CA18" s="26" t="s">
        <v>1027</v>
      </c>
      <c r="CB18" s="26" t="s">
        <v>1496</v>
      </c>
    </row>
    <row r="19" spans="1:80" ht="19.5">
      <c r="A19" t="s">
        <v>97</v>
      </c>
      <c r="B19" t="s">
        <v>97</v>
      </c>
      <c r="C19" s="1" t="s">
        <v>96</v>
      </c>
      <c r="D19" t="s">
        <v>1030</v>
      </c>
      <c r="E19" t="s">
        <v>1031</v>
      </c>
      <c r="H19">
        <v>2026</v>
      </c>
      <c r="I19">
        <v>26</v>
      </c>
      <c r="K19" t="s">
        <v>1032</v>
      </c>
      <c r="L19" t="s">
        <v>465</v>
      </c>
      <c r="R19" s="26" t="s">
        <v>1033</v>
      </c>
      <c r="S19" s="26" t="s">
        <v>871</v>
      </c>
      <c r="V19" s="30" t="s">
        <v>117</v>
      </c>
      <c r="W19" s="30" t="s">
        <v>869</v>
      </c>
      <c r="Z19" s="30" t="s">
        <v>47</v>
      </c>
      <c r="AA19" s="31" t="s">
        <v>856</v>
      </c>
      <c r="AN19" s="32" t="s">
        <v>1034</v>
      </c>
      <c r="BA19" t="s">
        <v>1052</v>
      </c>
      <c r="BD19" s="40" t="s">
        <v>1539</v>
      </c>
      <c r="BE19" s="40" t="s">
        <v>1540</v>
      </c>
      <c r="BF19" s="40"/>
      <c r="BI19" s="32" t="s">
        <v>2109</v>
      </c>
      <c r="BJ19" s="53" t="s">
        <v>2110</v>
      </c>
      <c r="BK19" s="53"/>
      <c r="BL19" t="s">
        <v>1936</v>
      </c>
      <c r="BM19" t="s">
        <v>1937</v>
      </c>
      <c r="CA19" s="26" t="s">
        <v>1033</v>
      </c>
      <c r="CB19" s="26" t="s">
        <v>1033</v>
      </c>
    </row>
    <row r="20" spans="1:80" ht="19.5">
      <c r="A20" t="s">
        <v>99</v>
      </c>
      <c r="B20" t="s">
        <v>99</v>
      </c>
      <c r="C20" s="1" t="s">
        <v>98</v>
      </c>
      <c r="D20" t="s">
        <v>1035</v>
      </c>
      <c r="E20" t="s">
        <v>1036</v>
      </c>
      <c r="H20">
        <v>2027</v>
      </c>
      <c r="I20">
        <v>27</v>
      </c>
      <c r="K20" t="s">
        <v>1037</v>
      </c>
      <c r="L20" t="s">
        <v>1038</v>
      </c>
      <c r="R20" s="26" t="s">
        <v>1039</v>
      </c>
      <c r="S20" s="26" t="s">
        <v>543</v>
      </c>
      <c r="V20" s="30" t="s">
        <v>113</v>
      </c>
      <c r="W20" s="30" t="s">
        <v>869</v>
      </c>
      <c r="Z20" s="30" t="s">
        <v>1040</v>
      </c>
      <c r="AA20" s="31" t="s">
        <v>856</v>
      </c>
      <c r="AN20" s="32" t="s">
        <v>1041</v>
      </c>
      <c r="BA20" t="s">
        <v>1500</v>
      </c>
      <c r="BD20" s="40" t="s">
        <v>1541</v>
      </c>
      <c r="BE20" s="40" t="s">
        <v>1542</v>
      </c>
      <c r="BF20" s="40"/>
      <c r="BL20" t="s">
        <v>1938</v>
      </c>
      <c r="BM20" t="s">
        <v>1939</v>
      </c>
      <c r="CA20" s="26" t="s">
        <v>1039</v>
      </c>
      <c r="CB20" s="26" t="s">
        <v>1039</v>
      </c>
    </row>
    <row r="21" spans="1:80" ht="19.5">
      <c r="A21" t="s">
        <v>101</v>
      </c>
      <c r="B21" t="s">
        <v>101</v>
      </c>
      <c r="C21" s="1" t="s">
        <v>100</v>
      </c>
      <c r="D21" t="s">
        <v>976</v>
      </c>
      <c r="E21" t="s">
        <v>1042</v>
      </c>
      <c r="H21">
        <v>2028</v>
      </c>
      <c r="I21">
        <v>28</v>
      </c>
      <c r="K21" t="s">
        <v>1043</v>
      </c>
      <c r="L21" t="s">
        <v>1044</v>
      </c>
      <c r="R21" s="26" t="s">
        <v>990</v>
      </c>
      <c r="S21" s="26" t="s">
        <v>871</v>
      </c>
      <c r="V21" s="30" t="s">
        <v>187</v>
      </c>
      <c r="W21" s="30" t="s">
        <v>1045</v>
      </c>
      <c r="Z21" s="30" t="s">
        <v>1046</v>
      </c>
      <c r="AA21" s="31" t="s">
        <v>856</v>
      </c>
      <c r="AN21" s="32" t="s">
        <v>1047</v>
      </c>
      <c r="BA21" t="s">
        <v>1112</v>
      </c>
      <c r="BD21" s="40" t="s">
        <v>1543</v>
      </c>
      <c r="BE21" s="40" t="s">
        <v>1544</v>
      </c>
      <c r="BF21" s="40"/>
      <c r="BL21" t="s">
        <v>1940</v>
      </c>
      <c r="BM21" t="s">
        <v>1941</v>
      </c>
      <c r="CA21" s="26" t="s">
        <v>990</v>
      </c>
      <c r="CB21" s="26" t="s">
        <v>990</v>
      </c>
    </row>
    <row r="22" spans="1:80" ht="19.5">
      <c r="A22" t="s">
        <v>102</v>
      </c>
      <c r="B22" t="s">
        <v>102</v>
      </c>
      <c r="C22" s="1" t="s">
        <v>46</v>
      </c>
      <c r="D22" t="s">
        <v>1048</v>
      </c>
      <c r="E22" t="s">
        <v>1049</v>
      </c>
      <c r="H22">
        <v>2029</v>
      </c>
      <c r="I22">
        <v>29</v>
      </c>
      <c r="K22" t="s">
        <v>1050</v>
      </c>
      <c r="L22" t="s">
        <v>1051</v>
      </c>
      <c r="R22" s="26" t="s">
        <v>1052</v>
      </c>
      <c r="S22" s="26" t="s">
        <v>871</v>
      </c>
      <c r="V22" s="30" t="s">
        <v>189</v>
      </c>
      <c r="W22" s="30" t="s">
        <v>61</v>
      </c>
      <c r="Z22" s="30" t="s">
        <v>1053</v>
      </c>
      <c r="AA22" s="31" t="s">
        <v>856</v>
      </c>
      <c r="AN22" s="32" t="s">
        <v>1054</v>
      </c>
      <c r="BA22" t="s">
        <v>1117</v>
      </c>
      <c r="BD22" s="40" t="s">
        <v>1545</v>
      </c>
      <c r="BE22" s="40" t="s">
        <v>1546</v>
      </c>
      <c r="BF22" s="40"/>
      <c r="BL22" t="s">
        <v>1942</v>
      </c>
      <c r="BM22" t="s">
        <v>1943</v>
      </c>
      <c r="CA22" s="26" t="s">
        <v>1052</v>
      </c>
      <c r="CB22" s="26" t="s">
        <v>1052</v>
      </c>
    </row>
    <row r="23" spans="1:80" ht="19.5">
      <c r="A23" t="s">
        <v>104</v>
      </c>
      <c r="B23" t="s">
        <v>104</v>
      </c>
      <c r="C23" s="1" t="s">
        <v>103</v>
      </c>
      <c r="D23" t="s">
        <v>989</v>
      </c>
      <c r="E23" t="s">
        <v>1055</v>
      </c>
      <c r="H23">
        <v>2030</v>
      </c>
      <c r="I23">
        <v>30</v>
      </c>
      <c r="K23" t="s">
        <v>1056</v>
      </c>
      <c r="L23" t="s">
        <v>1057</v>
      </c>
      <c r="R23" s="26" t="s">
        <v>1058</v>
      </c>
      <c r="S23" s="26" t="s">
        <v>902</v>
      </c>
      <c r="V23" s="30" t="s">
        <v>223</v>
      </c>
      <c r="W23" s="30" t="s">
        <v>967</v>
      </c>
      <c r="Z23" s="30" t="s">
        <v>913</v>
      </c>
      <c r="AA23" s="31" t="s">
        <v>856</v>
      </c>
      <c r="AN23" s="32" t="s">
        <v>1059</v>
      </c>
      <c r="BA23" t="s">
        <v>1123</v>
      </c>
      <c r="BD23" s="40" t="s">
        <v>1547</v>
      </c>
      <c r="BE23" s="40" t="s">
        <v>240</v>
      </c>
      <c r="BF23" s="40"/>
      <c r="BL23" t="s">
        <v>1944</v>
      </c>
      <c r="BM23" t="s">
        <v>1945</v>
      </c>
      <c r="CA23" s="26" t="s">
        <v>1058</v>
      </c>
      <c r="CB23" s="26" t="s">
        <v>1058</v>
      </c>
    </row>
    <row r="24" spans="1:80">
      <c r="A24" t="s">
        <v>106</v>
      </c>
      <c r="B24" t="s">
        <v>106</v>
      </c>
      <c r="C24" s="1" t="s">
        <v>105</v>
      </c>
      <c r="D24" t="s">
        <v>1060</v>
      </c>
      <c r="E24" t="s">
        <v>1061</v>
      </c>
      <c r="K24" t="s">
        <v>1062</v>
      </c>
      <c r="L24" t="s">
        <v>1063</v>
      </c>
      <c r="R24" s="26" t="s">
        <v>1064</v>
      </c>
      <c r="S24" s="26" t="s">
        <v>543</v>
      </c>
      <c r="V24" s="30" t="s">
        <v>127</v>
      </c>
      <c r="W24" s="30" t="s">
        <v>977</v>
      </c>
      <c r="Z24" s="30" t="s">
        <v>1013</v>
      </c>
      <c r="AA24" s="31" t="s">
        <v>856</v>
      </c>
      <c r="BA24" t="s">
        <v>1058</v>
      </c>
      <c r="BD24" s="40" t="s">
        <v>1548</v>
      </c>
      <c r="BE24" s="40" t="s">
        <v>1549</v>
      </c>
      <c r="BF24" s="40"/>
      <c r="BL24" t="s">
        <v>1946</v>
      </c>
      <c r="BM24" t="s">
        <v>1947</v>
      </c>
      <c r="CA24" s="26" t="s">
        <v>1064</v>
      </c>
      <c r="CB24" s="26" t="s">
        <v>1064</v>
      </c>
    </row>
    <row r="25" spans="1:80">
      <c r="A25" t="s">
        <v>108</v>
      </c>
      <c r="B25" t="s">
        <v>108</v>
      </c>
      <c r="C25" s="1" t="s">
        <v>107</v>
      </c>
      <c r="D25" t="s">
        <v>1065</v>
      </c>
      <c r="E25" t="s">
        <v>1066</v>
      </c>
      <c r="K25" t="s">
        <v>1067</v>
      </c>
      <c r="L25" t="s">
        <v>1068</v>
      </c>
      <c r="R25" s="26" t="s">
        <v>1069</v>
      </c>
      <c r="S25" s="26" t="s">
        <v>886</v>
      </c>
      <c r="V25" s="30" t="s">
        <v>140</v>
      </c>
      <c r="W25" s="30" t="s">
        <v>140</v>
      </c>
      <c r="Z25" s="30" t="s">
        <v>1070</v>
      </c>
      <c r="AA25" s="31" t="s">
        <v>856</v>
      </c>
      <c r="BA25" t="s">
        <v>1064</v>
      </c>
      <c r="BD25" s="40" t="s">
        <v>1550</v>
      </c>
      <c r="BE25" s="40" t="s">
        <v>1551</v>
      </c>
      <c r="BF25" s="40"/>
      <c r="BL25" t="s">
        <v>1948</v>
      </c>
      <c r="BM25" t="s">
        <v>1949</v>
      </c>
      <c r="CA25" s="26" t="s">
        <v>1069</v>
      </c>
      <c r="CB25" s="26" t="s">
        <v>886</v>
      </c>
    </row>
    <row r="26" spans="1:80">
      <c r="A26" t="s">
        <v>110</v>
      </c>
      <c r="B26" t="s">
        <v>110</v>
      </c>
      <c r="C26" s="1" t="s">
        <v>109</v>
      </c>
      <c r="D26" t="s">
        <v>1000</v>
      </c>
      <c r="E26" t="s">
        <v>1071</v>
      </c>
      <c r="K26" t="s">
        <v>1072</v>
      </c>
      <c r="L26" t="s">
        <v>1073</v>
      </c>
      <c r="R26" s="26" t="s">
        <v>1074</v>
      </c>
      <c r="S26" s="26" t="s">
        <v>543</v>
      </c>
      <c r="V26" s="30" t="s">
        <v>173</v>
      </c>
      <c r="W26" s="30" t="s">
        <v>869</v>
      </c>
      <c r="Z26" s="30" t="s">
        <v>956</v>
      </c>
      <c r="AA26" s="31" t="s">
        <v>856</v>
      </c>
      <c r="BA26" t="s">
        <v>1078</v>
      </c>
      <c r="BD26" s="40" t="s">
        <v>1552</v>
      </c>
      <c r="BE26" s="40" t="s">
        <v>1553</v>
      </c>
      <c r="BF26" s="40"/>
      <c r="BL26" t="s">
        <v>1950</v>
      </c>
      <c r="BM26" t="s">
        <v>1951</v>
      </c>
      <c r="CA26" s="26" t="s">
        <v>1074</v>
      </c>
      <c r="CB26" s="26" t="s">
        <v>913</v>
      </c>
    </row>
    <row r="27" spans="1:80">
      <c r="A27" t="s">
        <v>112</v>
      </c>
      <c r="B27" t="s">
        <v>112</v>
      </c>
      <c r="C27" s="1" t="s">
        <v>111</v>
      </c>
      <c r="D27" t="s">
        <v>1010</v>
      </c>
      <c r="E27" t="s">
        <v>1075</v>
      </c>
      <c r="K27" t="s">
        <v>1076</v>
      </c>
      <c r="L27" t="s">
        <v>1077</v>
      </c>
      <c r="R27" s="26" t="s">
        <v>1078</v>
      </c>
      <c r="S27" s="26" t="s">
        <v>871</v>
      </c>
      <c r="V27" s="30" t="s">
        <v>217</v>
      </c>
      <c r="W27" s="30" t="s">
        <v>199</v>
      </c>
      <c r="Z27" s="30" t="s">
        <v>1079</v>
      </c>
      <c r="AA27" s="31" t="s">
        <v>856</v>
      </c>
      <c r="BA27" t="s">
        <v>1162</v>
      </c>
      <c r="BD27" s="40" t="s">
        <v>1554</v>
      </c>
      <c r="BE27" s="40" t="s">
        <v>1555</v>
      </c>
      <c r="BF27" s="40"/>
      <c r="BL27" t="s">
        <v>1952</v>
      </c>
      <c r="BM27" t="s">
        <v>1953</v>
      </c>
      <c r="CA27" s="26" t="s">
        <v>1078</v>
      </c>
      <c r="CB27" s="26" t="s">
        <v>1078</v>
      </c>
    </row>
    <row r="28" spans="1:80">
      <c r="A28" t="s">
        <v>114</v>
      </c>
      <c r="B28" t="s">
        <v>114</v>
      </c>
      <c r="C28" s="1" t="s">
        <v>113</v>
      </c>
      <c r="D28" t="s">
        <v>1016</v>
      </c>
      <c r="E28" t="s">
        <v>1080</v>
      </c>
      <c r="K28" t="s">
        <v>1081</v>
      </c>
      <c r="L28" t="s">
        <v>575</v>
      </c>
      <c r="R28" s="26" t="s">
        <v>1082</v>
      </c>
      <c r="S28" s="26" t="s">
        <v>543</v>
      </c>
      <c r="V28" s="30" t="s">
        <v>90</v>
      </c>
      <c r="W28" s="30" t="s">
        <v>869</v>
      </c>
      <c r="Z28" s="30" t="s">
        <v>1083</v>
      </c>
      <c r="AA28" s="31" t="s">
        <v>856</v>
      </c>
      <c r="BA28" t="s">
        <v>1497</v>
      </c>
      <c r="BD28" s="40" t="s">
        <v>1556</v>
      </c>
      <c r="BE28" s="40" t="s">
        <v>299</v>
      </c>
      <c r="BF28" s="40"/>
      <c r="BL28" t="s">
        <v>1954</v>
      </c>
      <c r="BM28" t="s">
        <v>1955</v>
      </c>
      <c r="CA28" s="26" t="s">
        <v>1082</v>
      </c>
      <c r="CB28" s="26" t="s">
        <v>1497</v>
      </c>
    </row>
    <row r="29" spans="1:80">
      <c r="A29" t="s">
        <v>116</v>
      </c>
      <c r="B29" t="s">
        <v>116</v>
      </c>
      <c r="C29" s="1" t="s">
        <v>115</v>
      </c>
      <c r="D29" t="s">
        <v>1084</v>
      </c>
      <c r="E29" t="s">
        <v>1085</v>
      </c>
      <c r="K29" t="s">
        <v>1086</v>
      </c>
      <c r="L29" t="s">
        <v>547</v>
      </c>
      <c r="R29" s="26" t="s">
        <v>1087</v>
      </c>
      <c r="S29" s="26" t="s">
        <v>871</v>
      </c>
      <c r="V29" s="30" t="s">
        <v>199</v>
      </c>
      <c r="W29" s="30" t="s">
        <v>199</v>
      </c>
      <c r="Z29" s="30" t="s">
        <v>1088</v>
      </c>
      <c r="AA29" s="31" t="s">
        <v>856</v>
      </c>
      <c r="BA29" t="s">
        <v>1011</v>
      </c>
      <c r="BD29" s="40" t="s">
        <v>1557</v>
      </c>
      <c r="BE29" s="40" t="s">
        <v>1558</v>
      </c>
      <c r="BF29" s="40"/>
      <c r="BL29" t="s">
        <v>1956</v>
      </c>
      <c r="BM29" t="s">
        <v>1957</v>
      </c>
      <c r="CA29" s="26" t="s">
        <v>1087</v>
      </c>
      <c r="CB29" s="26" t="s">
        <v>1137</v>
      </c>
    </row>
    <row r="30" spans="1:80">
      <c r="A30" t="s">
        <v>118</v>
      </c>
      <c r="B30" t="s">
        <v>118</v>
      </c>
      <c r="C30" s="1" t="s">
        <v>117</v>
      </c>
      <c r="D30" t="s">
        <v>1021</v>
      </c>
      <c r="E30" t="s">
        <v>1089</v>
      </c>
      <c r="K30" t="s">
        <v>1090</v>
      </c>
      <c r="L30" t="s">
        <v>602</v>
      </c>
      <c r="R30" s="26" t="s">
        <v>1011</v>
      </c>
      <c r="S30" s="26" t="s">
        <v>902</v>
      </c>
      <c r="V30" s="30" t="s">
        <v>191</v>
      </c>
      <c r="W30" s="30" t="s">
        <v>869</v>
      </c>
      <c r="Z30" s="30" t="s">
        <v>1091</v>
      </c>
      <c r="AA30" s="31" t="s">
        <v>856</v>
      </c>
      <c r="BA30" t="s">
        <v>1498</v>
      </c>
      <c r="BD30" s="40" t="s">
        <v>1559</v>
      </c>
      <c r="BE30" s="40" t="s">
        <v>1560</v>
      </c>
      <c r="BF30" s="40"/>
      <c r="BL30" t="s">
        <v>1958</v>
      </c>
      <c r="BM30" t="s">
        <v>1959</v>
      </c>
      <c r="CA30" s="26" t="s">
        <v>1011</v>
      </c>
      <c r="CB30" s="26" t="s">
        <v>1011</v>
      </c>
    </row>
    <row r="31" spans="1:80">
      <c r="A31" t="s">
        <v>120</v>
      </c>
      <c r="B31" t="s">
        <v>120</v>
      </c>
      <c r="C31" s="1" t="s">
        <v>119</v>
      </c>
      <c r="D31" t="s">
        <v>1027</v>
      </c>
      <c r="E31" t="s">
        <v>1092</v>
      </c>
      <c r="K31" t="s">
        <v>1093</v>
      </c>
      <c r="L31" t="s">
        <v>1094</v>
      </c>
      <c r="R31" s="26" t="s">
        <v>1079</v>
      </c>
      <c r="S31" s="26" t="s">
        <v>543</v>
      </c>
      <c r="V31" s="30" t="s">
        <v>152</v>
      </c>
      <c r="W31" s="30" t="s">
        <v>967</v>
      </c>
      <c r="Z31" s="30" t="s">
        <v>1039</v>
      </c>
      <c r="AA31" s="31" t="s">
        <v>856</v>
      </c>
      <c r="BA31" t="s">
        <v>1102</v>
      </c>
      <c r="BD31" s="40" t="s">
        <v>1561</v>
      </c>
      <c r="BE31" s="40" t="s">
        <v>1562</v>
      </c>
      <c r="BF31" s="40"/>
      <c r="BL31" t="s">
        <v>1960</v>
      </c>
      <c r="BM31" t="s">
        <v>1961</v>
      </c>
      <c r="CA31" s="26" t="s">
        <v>1079</v>
      </c>
      <c r="CB31" s="26" t="s">
        <v>1498</v>
      </c>
    </row>
    <row r="32" spans="1:80">
      <c r="A32" t="s">
        <v>122</v>
      </c>
      <c r="B32" t="s">
        <v>122</v>
      </c>
      <c r="C32" s="1" t="s">
        <v>121</v>
      </c>
      <c r="D32" t="s">
        <v>1033</v>
      </c>
      <c r="E32" t="s">
        <v>1095</v>
      </c>
      <c r="K32" t="s">
        <v>1096</v>
      </c>
      <c r="L32" t="s">
        <v>1097</v>
      </c>
      <c r="R32" s="26" t="s">
        <v>1028</v>
      </c>
      <c r="S32" s="26" t="s">
        <v>543</v>
      </c>
      <c r="V32" s="30" t="s">
        <v>68</v>
      </c>
      <c r="W32" s="30" t="s">
        <v>61</v>
      </c>
      <c r="Z32" s="30" t="s">
        <v>1098</v>
      </c>
      <c r="AA32" s="31" t="s">
        <v>856</v>
      </c>
      <c r="BA32" t="s">
        <v>1496</v>
      </c>
      <c r="BD32" s="40" t="s">
        <v>1563</v>
      </c>
      <c r="BE32" s="40" t="s">
        <v>669</v>
      </c>
      <c r="BF32" s="40"/>
      <c r="BL32" t="s">
        <v>1962</v>
      </c>
      <c r="BM32" t="s">
        <v>1963</v>
      </c>
      <c r="CA32" s="26" t="s">
        <v>1028</v>
      </c>
      <c r="CB32" s="26" t="s">
        <v>1498</v>
      </c>
    </row>
    <row r="33" spans="1:80">
      <c r="A33" t="s">
        <v>124</v>
      </c>
      <c r="B33" t="s">
        <v>124</v>
      </c>
      <c r="C33" s="1" t="s">
        <v>123</v>
      </c>
      <c r="D33" t="s">
        <v>1039</v>
      </c>
      <c r="E33" t="s">
        <v>1099</v>
      </c>
      <c r="K33" t="s">
        <v>1100</v>
      </c>
      <c r="L33" t="s">
        <v>1101</v>
      </c>
      <c r="R33" s="26" t="s">
        <v>1102</v>
      </c>
      <c r="S33" s="26" t="s">
        <v>543</v>
      </c>
      <c r="V33" s="30" t="s">
        <v>211</v>
      </c>
      <c r="W33" s="30" t="s">
        <v>967</v>
      </c>
      <c r="Z33" s="30" t="s">
        <v>995</v>
      </c>
      <c r="AA33" s="31" t="s">
        <v>856</v>
      </c>
      <c r="BA33" t="s">
        <v>1109</v>
      </c>
      <c r="BD33" s="40" t="s">
        <v>1564</v>
      </c>
      <c r="BE33" s="40" t="s">
        <v>1565</v>
      </c>
      <c r="BF33" s="40"/>
      <c r="BL33" t="s">
        <v>1964</v>
      </c>
      <c r="BM33" t="s">
        <v>1965</v>
      </c>
      <c r="CA33" s="26" t="s">
        <v>1102</v>
      </c>
      <c r="CB33" s="26" t="s">
        <v>1102</v>
      </c>
    </row>
    <row r="34" spans="1:80">
      <c r="A34" t="s">
        <v>126</v>
      </c>
      <c r="B34" t="s">
        <v>126</v>
      </c>
      <c r="C34" s="1" t="s">
        <v>125</v>
      </c>
      <c r="D34" t="s">
        <v>990</v>
      </c>
      <c r="E34" t="s">
        <v>1103</v>
      </c>
      <c r="K34" t="s">
        <v>1002</v>
      </c>
      <c r="L34" t="s">
        <v>1003</v>
      </c>
      <c r="R34" s="26" t="s">
        <v>1104</v>
      </c>
      <c r="S34" s="26" t="s">
        <v>871</v>
      </c>
      <c r="V34" s="30" t="s">
        <v>195</v>
      </c>
      <c r="W34" s="30" t="s">
        <v>1045</v>
      </c>
      <c r="Z34" s="30" t="s">
        <v>886</v>
      </c>
      <c r="AA34" s="31" t="s">
        <v>856</v>
      </c>
      <c r="BA34" t="s">
        <v>1499</v>
      </c>
      <c r="BD34" s="40" t="s">
        <v>1566</v>
      </c>
      <c r="BE34" s="40" t="s">
        <v>1567</v>
      </c>
      <c r="BF34" s="40"/>
      <c r="BL34" t="s">
        <v>1966</v>
      </c>
      <c r="BM34" t="s">
        <v>1967</v>
      </c>
      <c r="CA34" s="26" t="s">
        <v>1104</v>
      </c>
      <c r="CB34" s="26" t="s">
        <v>1496</v>
      </c>
    </row>
    <row r="35" spans="1:80">
      <c r="A35" t="s">
        <v>127</v>
      </c>
      <c r="B35" t="s">
        <v>127</v>
      </c>
      <c r="C35" s="1" t="s">
        <v>127</v>
      </c>
      <c r="D35" t="s">
        <v>1105</v>
      </c>
      <c r="E35" t="s">
        <v>1106</v>
      </c>
      <c r="K35" t="s">
        <v>1107</v>
      </c>
      <c r="L35" t="s">
        <v>1108</v>
      </c>
      <c r="R35" s="26" t="s">
        <v>1109</v>
      </c>
      <c r="S35" s="26" t="s">
        <v>902</v>
      </c>
      <c r="V35" s="30" t="s">
        <v>213</v>
      </c>
      <c r="W35" s="30" t="s">
        <v>977</v>
      </c>
      <c r="Z35" s="30" t="s">
        <v>979</v>
      </c>
      <c r="AA35" s="31" t="s">
        <v>856</v>
      </c>
      <c r="BA35" t="s">
        <v>1221</v>
      </c>
      <c r="BD35" s="40" t="s">
        <v>1568</v>
      </c>
      <c r="BE35" s="40" t="s">
        <v>1569</v>
      </c>
      <c r="BF35" s="40"/>
      <c r="BL35" t="s">
        <v>1968</v>
      </c>
      <c r="BM35" t="s">
        <v>1969</v>
      </c>
      <c r="CA35" s="26" t="s">
        <v>1109</v>
      </c>
      <c r="CB35" s="26" t="s">
        <v>1109</v>
      </c>
    </row>
    <row r="36" spans="1:80">
      <c r="A36" t="s">
        <v>129</v>
      </c>
      <c r="B36" t="s">
        <v>129</v>
      </c>
      <c r="C36" s="1" t="s">
        <v>128</v>
      </c>
      <c r="D36" t="s">
        <v>1052</v>
      </c>
      <c r="E36" t="s">
        <v>1110</v>
      </c>
      <c r="K36" t="s">
        <v>1111</v>
      </c>
      <c r="L36" t="s">
        <v>637</v>
      </c>
      <c r="R36" s="26" t="s">
        <v>1083</v>
      </c>
      <c r="S36" s="26" t="s">
        <v>543</v>
      </c>
      <c r="V36" s="30" t="s">
        <v>128</v>
      </c>
      <c r="W36" s="30" t="s">
        <v>94</v>
      </c>
      <c r="Z36" s="30" t="s">
        <v>1005</v>
      </c>
      <c r="AA36" s="31" t="s">
        <v>856</v>
      </c>
      <c r="BA36" t="s">
        <v>1121</v>
      </c>
      <c r="BD36" s="40" t="s">
        <v>1570</v>
      </c>
      <c r="BE36" s="40" t="s">
        <v>1571</v>
      </c>
      <c r="BF36" s="40"/>
      <c r="BL36" t="s">
        <v>1970</v>
      </c>
      <c r="BM36" t="s">
        <v>1971</v>
      </c>
      <c r="CA36" s="26" t="s">
        <v>1083</v>
      </c>
      <c r="CB36" s="26" t="s">
        <v>1499</v>
      </c>
    </row>
    <row r="37" spans="1:80">
      <c r="A37" t="s">
        <v>131</v>
      </c>
      <c r="B37" t="s">
        <v>131</v>
      </c>
      <c r="C37" s="1" t="s">
        <v>130</v>
      </c>
      <c r="D37" t="s">
        <v>1112</v>
      </c>
      <c r="E37" t="s">
        <v>1113</v>
      </c>
      <c r="K37" t="s">
        <v>1114</v>
      </c>
      <c r="L37" t="s">
        <v>1115</v>
      </c>
      <c r="R37" s="26" t="s">
        <v>1116</v>
      </c>
      <c r="S37" s="26" t="s">
        <v>543</v>
      </c>
      <c r="V37" s="30" t="s">
        <v>100</v>
      </c>
      <c r="W37" s="30" t="s">
        <v>1045</v>
      </c>
      <c r="Z37" s="30" t="s">
        <v>1035</v>
      </c>
      <c r="AA37" s="31" t="s">
        <v>856</v>
      </c>
      <c r="BA37" t="s">
        <v>1070</v>
      </c>
      <c r="BD37" s="40" t="s">
        <v>1572</v>
      </c>
      <c r="BE37" s="40" t="s">
        <v>1572</v>
      </c>
      <c r="BF37" s="40"/>
      <c r="BL37" t="s">
        <v>1972</v>
      </c>
      <c r="BM37" t="s">
        <v>1973</v>
      </c>
      <c r="CA37" s="26" t="s">
        <v>1116</v>
      </c>
      <c r="CB37" s="26" t="s">
        <v>1499</v>
      </c>
    </row>
    <row r="38" spans="1:80">
      <c r="A38" t="s">
        <v>133</v>
      </c>
      <c r="B38" t="s">
        <v>133</v>
      </c>
      <c r="C38" s="1" t="s">
        <v>132</v>
      </c>
      <c r="D38" t="s">
        <v>1117</v>
      </c>
      <c r="E38" t="s">
        <v>1118</v>
      </c>
      <c r="K38" t="s">
        <v>1119</v>
      </c>
      <c r="L38" t="s">
        <v>1120</v>
      </c>
      <c r="R38" s="26" t="s">
        <v>1121</v>
      </c>
      <c r="S38" s="26" t="s">
        <v>543</v>
      </c>
      <c r="V38" s="30" t="s">
        <v>209</v>
      </c>
      <c r="W38" s="30" t="s">
        <v>1045</v>
      </c>
      <c r="Z38" s="30" t="s">
        <v>1122</v>
      </c>
      <c r="AA38" s="31" t="s">
        <v>856</v>
      </c>
      <c r="BA38" t="s">
        <v>1142</v>
      </c>
      <c r="BD38" s="40" t="s">
        <v>1573</v>
      </c>
      <c r="BE38" s="40" t="s">
        <v>1574</v>
      </c>
      <c r="BF38" s="40"/>
      <c r="BL38" t="s">
        <v>1972</v>
      </c>
      <c r="BM38" t="s">
        <v>1974</v>
      </c>
      <c r="CA38" s="26" t="s">
        <v>1121</v>
      </c>
      <c r="CB38" s="26" t="s">
        <v>1121</v>
      </c>
    </row>
    <row r="39" spans="1:80">
      <c r="A39" t="s">
        <v>135</v>
      </c>
      <c r="B39" t="s">
        <v>135</v>
      </c>
      <c r="C39" s="1" t="s">
        <v>134</v>
      </c>
      <c r="D39" t="s">
        <v>1123</v>
      </c>
      <c r="E39" t="s">
        <v>1124</v>
      </c>
      <c r="K39" t="s">
        <v>1125</v>
      </c>
      <c r="L39" t="s">
        <v>1126</v>
      </c>
      <c r="R39" s="26" t="s">
        <v>1070</v>
      </c>
      <c r="S39" s="26" t="s">
        <v>886</v>
      </c>
      <c r="V39" s="30" t="s">
        <v>123</v>
      </c>
      <c r="W39" s="30" t="s">
        <v>869</v>
      </c>
      <c r="Z39" s="30" t="s">
        <v>1104</v>
      </c>
      <c r="AA39" s="31" t="s">
        <v>856</v>
      </c>
      <c r="BA39" t="s">
        <v>829</v>
      </c>
      <c r="BD39" s="40" t="s">
        <v>1575</v>
      </c>
      <c r="BE39" s="40" t="s">
        <v>1576</v>
      </c>
      <c r="BF39" s="40"/>
      <c r="BL39" t="s">
        <v>1975</v>
      </c>
      <c r="BM39" t="s">
        <v>1976</v>
      </c>
      <c r="CA39" s="26" t="s">
        <v>1070</v>
      </c>
      <c r="CB39" s="26" t="s">
        <v>1070</v>
      </c>
    </row>
    <row r="40" spans="1:80">
      <c r="A40" t="s">
        <v>137</v>
      </c>
      <c r="B40" t="s">
        <v>137</v>
      </c>
      <c r="C40" s="1" t="s">
        <v>136</v>
      </c>
      <c r="D40" t="s">
        <v>1058</v>
      </c>
      <c r="E40" t="s">
        <v>1127</v>
      </c>
      <c r="K40" t="s">
        <v>1128</v>
      </c>
      <c r="L40" t="s">
        <v>653</v>
      </c>
      <c r="R40" s="26" t="s">
        <v>1129</v>
      </c>
      <c r="S40" s="26" t="s">
        <v>543</v>
      </c>
      <c r="V40" s="30" t="s">
        <v>142</v>
      </c>
      <c r="W40" s="30" t="s">
        <v>977</v>
      </c>
      <c r="Z40" s="30" t="s">
        <v>1130</v>
      </c>
      <c r="AA40" s="31" t="s">
        <v>856</v>
      </c>
      <c r="BA40" t="s">
        <v>1250</v>
      </c>
      <c r="BD40" s="40" t="s">
        <v>1577</v>
      </c>
      <c r="BE40" s="40" t="s">
        <v>1578</v>
      </c>
      <c r="BF40" s="40"/>
      <c r="BL40" t="s">
        <v>1977</v>
      </c>
      <c r="BM40" t="s">
        <v>1978</v>
      </c>
      <c r="CA40" s="26" t="s">
        <v>1129</v>
      </c>
      <c r="CB40" s="26" t="s">
        <v>1499</v>
      </c>
    </row>
    <row r="41" spans="1:80">
      <c r="A41" t="s">
        <v>139</v>
      </c>
      <c r="B41" t="s">
        <v>139</v>
      </c>
      <c r="C41" s="1" t="s">
        <v>138</v>
      </c>
      <c r="D41" t="s">
        <v>1064</v>
      </c>
      <c r="E41" t="s">
        <v>1131</v>
      </c>
      <c r="K41" t="s">
        <v>190</v>
      </c>
      <c r="L41" t="s">
        <v>190</v>
      </c>
      <c r="R41" s="26" t="s">
        <v>1132</v>
      </c>
      <c r="S41" s="26" t="s">
        <v>543</v>
      </c>
      <c r="V41" s="30" t="s">
        <v>146</v>
      </c>
      <c r="W41" s="30" t="s">
        <v>977</v>
      </c>
      <c r="Z41" s="30" t="s">
        <v>1102</v>
      </c>
      <c r="AA41" s="31" t="s">
        <v>856</v>
      </c>
      <c r="BA41" t="s">
        <v>1452</v>
      </c>
      <c r="BD41" s="40" t="s">
        <v>1579</v>
      </c>
      <c r="BE41" s="40" t="s">
        <v>332</v>
      </c>
      <c r="BF41" s="40"/>
      <c r="BL41" t="s">
        <v>1979</v>
      </c>
      <c r="BM41" t="s">
        <v>1980</v>
      </c>
      <c r="CA41" s="26" t="s">
        <v>1132</v>
      </c>
      <c r="CB41" s="26" t="s">
        <v>1499</v>
      </c>
    </row>
    <row r="42" spans="1:80">
      <c r="A42" t="s">
        <v>141</v>
      </c>
      <c r="B42" t="s">
        <v>141</v>
      </c>
      <c r="C42" s="1" t="s">
        <v>140</v>
      </c>
      <c r="D42" t="s">
        <v>1133</v>
      </c>
      <c r="E42" t="s">
        <v>1134</v>
      </c>
      <c r="K42" t="s">
        <v>1135</v>
      </c>
      <c r="L42" t="s">
        <v>1136</v>
      </c>
      <c r="R42" s="26" t="s">
        <v>1091</v>
      </c>
      <c r="S42" s="26" t="s">
        <v>543</v>
      </c>
      <c r="V42" s="30" t="s">
        <v>159</v>
      </c>
      <c r="W42" s="30" t="s">
        <v>977</v>
      </c>
      <c r="Z42" s="30" t="s">
        <v>1137</v>
      </c>
      <c r="AA42" s="30" t="s">
        <v>1138</v>
      </c>
      <c r="BA42" t="s">
        <v>1474</v>
      </c>
      <c r="BD42" s="40" t="s">
        <v>1580</v>
      </c>
      <c r="BE42" s="40" t="s">
        <v>1581</v>
      </c>
      <c r="BF42" s="40"/>
      <c r="BL42" t="s">
        <v>1981</v>
      </c>
      <c r="BM42" t="s">
        <v>1982</v>
      </c>
      <c r="CA42" s="26" t="s">
        <v>1091</v>
      </c>
      <c r="CB42" s="26" t="s">
        <v>1499</v>
      </c>
    </row>
    <row r="43" spans="1:80">
      <c r="A43" t="s">
        <v>143</v>
      </c>
      <c r="B43" t="s">
        <v>143</v>
      </c>
      <c r="C43" s="1" t="s">
        <v>142</v>
      </c>
      <c r="D43" t="s">
        <v>1069</v>
      </c>
      <c r="E43" t="s">
        <v>1139</v>
      </c>
      <c r="K43" t="s">
        <v>1140</v>
      </c>
      <c r="L43" t="s">
        <v>1141</v>
      </c>
      <c r="R43" s="26" t="s">
        <v>1142</v>
      </c>
      <c r="S43" s="26" t="s">
        <v>871</v>
      </c>
      <c r="V43" s="30" t="s">
        <v>185</v>
      </c>
      <c r="W43" s="30" t="s">
        <v>967</v>
      </c>
      <c r="Z43" s="30" t="s">
        <v>1143</v>
      </c>
      <c r="AA43" s="31" t="s">
        <v>856</v>
      </c>
      <c r="BA43" t="s">
        <v>1165</v>
      </c>
      <c r="BD43" s="40" t="s">
        <v>1582</v>
      </c>
      <c r="BE43" s="40" t="s">
        <v>1582</v>
      </c>
      <c r="BF43" s="40"/>
      <c r="BL43" t="s">
        <v>1981</v>
      </c>
      <c r="BM43" t="s">
        <v>1983</v>
      </c>
      <c r="CA43" s="26" t="s">
        <v>1142</v>
      </c>
      <c r="CB43" s="26" t="s">
        <v>1142</v>
      </c>
    </row>
    <row r="44" spans="1:80">
      <c r="A44" t="s">
        <v>145</v>
      </c>
      <c r="B44" t="s">
        <v>145</v>
      </c>
      <c r="C44" s="1" t="s">
        <v>144</v>
      </c>
      <c r="D44" t="s">
        <v>1074</v>
      </c>
      <c r="E44" t="s">
        <v>1144</v>
      </c>
      <c r="K44" t="s">
        <v>1145</v>
      </c>
      <c r="L44" t="s">
        <v>1146</v>
      </c>
      <c r="R44" s="26" t="s">
        <v>47</v>
      </c>
      <c r="S44" s="26" t="s">
        <v>543</v>
      </c>
      <c r="V44" s="30" t="s">
        <v>132</v>
      </c>
      <c r="W44" s="30" t="s">
        <v>1045</v>
      </c>
      <c r="Z44" s="30" t="s">
        <v>1147</v>
      </c>
      <c r="AA44" s="31" t="s">
        <v>856</v>
      </c>
      <c r="BA44" t="s">
        <v>1171</v>
      </c>
      <c r="BD44" s="40" t="s">
        <v>1583</v>
      </c>
      <c r="BE44" s="40" t="s">
        <v>1584</v>
      </c>
      <c r="BF44" s="40"/>
      <c r="BL44" t="s">
        <v>1984</v>
      </c>
      <c r="BM44" t="s">
        <v>1985</v>
      </c>
      <c r="CA44" s="26" t="s">
        <v>47</v>
      </c>
      <c r="CB44" s="26" t="s">
        <v>829</v>
      </c>
    </row>
    <row r="45" spans="1:80">
      <c r="A45" t="s">
        <v>147</v>
      </c>
      <c r="B45" t="s">
        <v>147</v>
      </c>
      <c r="C45" s="1" t="s">
        <v>146</v>
      </c>
      <c r="D45" t="s">
        <v>1078</v>
      </c>
      <c r="E45" t="s">
        <v>1148</v>
      </c>
      <c r="K45" t="s">
        <v>1149</v>
      </c>
      <c r="L45" t="s">
        <v>1150</v>
      </c>
      <c r="R45" s="26" t="s">
        <v>1151</v>
      </c>
      <c r="S45" s="26" t="s">
        <v>543</v>
      </c>
      <c r="V45" s="30" t="s">
        <v>78</v>
      </c>
      <c r="W45" s="30" t="s">
        <v>869</v>
      </c>
      <c r="Z45" s="30" t="s">
        <v>1116</v>
      </c>
      <c r="AA45" s="31" t="s">
        <v>856</v>
      </c>
      <c r="BA45" t="s">
        <v>1190</v>
      </c>
      <c r="BD45" s="42" t="s">
        <v>1585</v>
      </c>
      <c r="BE45" s="40" t="s">
        <v>1586</v>
      </c>
      <c r="BF45" s="40"/>
      <c r="BL45" t="s">
        <v>1986</v>
      </c>
      <c r="BM45" t="s">
        <v>1987</v>
      </c>
      <c r="CA45" s="26" t="s">
        <v>1151</v>
      </c>
      <c r="CB45" s="26" t="s">
        <v>829</v>
      </c>
    </row>
    <row r="46" spans="1:80">
      <c r="A46" t="s">
        <v>149</v>
      </c>
      <c r="B46" t="s">
        <v>149</v>
      </c>
      <c r="C46" s="1" t="s">
        <v>148</v>
      </c>
      <c r="D46" t="s">
        <v>1082</v>
      </c>
      <c r="E46" t="s">
        <v>1152</v>
      </c>
      <c r="K46" t="s">
        <v>1153</v>
      </c>
      <c r="L46" t="s">
        <v>1154</v>
      </c>
      <c r="R46" s="26" t="s">
        <v>1155</v>
      </c>
      <c r="S46" s="26" t="s">
        <v>543</v>
      </c>
      <c r="V46" s="30" t="s">
        <v>92</v>
      </c>
      <c r="W46" s="30" t="s">
        <v>61</v>
      </c>
      <c r="Z46" s="30" t="s">
        <v>1156</v>
      </c>
      <c r="AA46" s="31" t="s">
        <v>856</v>
      </c>
      <c r="BA46" t="s">
        <v>1098</v>
      </c>
      <c r="BD46" s="40" t="s">
        <v>1587</v>
      </c>
      <c r="BE46" s="40" t="s">
        <v>348</v>
      </c>
      <c r="BF46" s="40"/>
      <c r="BL46" t="s">
        <v>1988</v>
      </c>
      <c r="BM46" t="s">
        <v>1989</v>
      </c>
      <c r="CA46" s="26" t="s">
        <v>1155</v>
      </c>
      <c r="CB46" s="26" t="s">
        <v>829</v>
      </c>
    </row>
    <row r="47" spans="1:80">
      <c r="A47" t="s">
        <v>151</v>
      </c>
      <c r="B47" t="s">
        <v>151</v>
      </c>
      <c r="C47" s="1" t="s">
        <v>150</v>
      </c>
      <c r="D47" t="s">
        <v>1157</v>
      </c>
      <c r="E47" t="s">
        <v>1158</v>
      </c>
      <c r="K47" t="s">
        <v>1159</v>
      </c>
      <c r="L47" t="s">
        <v>1160</v>
      </c>
      <c r="R47" s="26" t="s">
        <v>1161</v>
      </c>
      <c r="S47" s="26" t="s">
        <v>543</v>
      </c>
      <c r="V47" s="30" t="s">
        <v>171</v>
      </c>
      <c r="W47" s="30" t="s">
        <v>967</v>
      </c>
      <c r="Z47" s="30" t="s">
        <v>1161</v>
      </c>
      <c r="AA47" s="31" t="s">
        <v>856</v>
      </c>
      <c r="BA47" t="s">
        <v>1204</v>
      </c>
      <c r="BD47" t="s">
        <v>1588</v>
      </c>
      <c r="BE47" s="40" t="s">
        <v>958</v>
      </c>
      <c r="BF47" s="40"/>
      <c r="BL47" t="s">
        <v>1990</v>
      </c>
      <c r="BM47" t="s">
        <v>1991</v>
      </c>
      <c r="CA47" s="26" t="s">
        <v>1161</v>
      </c>
      <c r="CB47" s="26" t="s">
        <v>1102</v>
      </c>
    </row>
    <row r="48" spans="1:80">
      <c r="A48" t="s">
        <v>153</v>
      </c>
      <c r="B48" t="s">
        <v>153</v>
      </c>
      <c r="C48" s="1" t="s">
        <v>152</v>
      </c>
      <c r="D48" t="s">
        <v>1162</v>
      </c>
      <c r="E48" t="s">
        <v>1163</v>
      </c>
      <c r="K48" t="s">
        <v>1164</v>
      </c>
      <c r="L48" t="s">
        <v>198</v>
      </c>
      <c r="R48" s="26" t="s">
        <v>1165</v>
      </c>
      <c r="S48" s="26" t="s">
        <v>543</v>
      </c>
      <c r="V48" s="30" t="s">
        <v>134</v>
      </c>
      <c r="W48" s="30" t="s">
        <v>967</v>
      </c>
      <c r="Z48" s="30" t="s">
        <v>1166</v>
      </c>
      <c r="AA48" s="31" t="s">
        <v>856</v>
      </c>
      <c r="BA48" t="s">
        <v>1501</v>
      </c>
      <c r="BD48" s="40" t="s">
        <v>1589</v>
      </c>
      <c r="BE48" s="40" t="s">
        <v>1590</v>
      </c>
      <c r="BF48" s="40"/>
      <c r="BL48" t="s">
        <v>1992</v>
      </c>
      <c r="BM48" t="s">
        <v>1993</v>
      </c>
      <c r="CA48" s="26" t="s">
        <v>1165</v>
      </c>
      <c r="CB48" s="26" t="s">
        <v>1165</v>
      </c>
    </row>
    <row r="49" spans="1:80">
      <c r="A49" t="s">
        <v>154</v>
      </c>
      <c r="B49" t="s">
        <v>154</v>
      </c>
      <c r="C49" s="1" t="s">
        <v>154</v>
      </c>
      <c r="D49" t="s">
        <v>1167</v>
      </c>
      <c r="E49" t="s">
        <v>1168</v>
      </c>
      <c r="K49" t="s">
        <v>1169</v>
      </c>
      <c r="L49" t="s">
        <v>1170</v>
      </c>
      <c r="R49" s="26" t="s">
        <v>1171</v>
      </c>
      <c r="S49" s="26" t="s">
        <v>871</v>
      </c>
      <c r="V49" s="30" t="s">
        <v>130</v>
      </c>
      <c r="W49" s="30" t="s">
        <v>1045</v>
      </c>
      <c r="Z49" s="30" t="s">
        <v>1172</v>
      </c>
      <c r="AA49" s="31" t="s">
        <v>856</v>
      </c>
      <c r="BA49" t="s">
        <v>979</v>
      </c>
      <c r="BD49" s="40" t="s">
        <v>1591</v>
      </c>
      <c r="BE49" s="40" t="s">
        <v>1591</v>
      </c>
      <c r="BF49" s="40"/>
      <c r="BL49" t="s">
        <v>1994</v>
      </c>
      <c r="BM49" t="s">
        <v>1330</v>
      </c>
      <c r="CA49" s="26" t="s">
        <v>1171</v>
      </c>
      <c r="CB49" s="26" t="s">
        <v>1171</v>
      </c>
    </row>
    <row r="50" spans="1:80">
      <c r="A50" t="s">
        <v>156</v>
      </c>
      <c r="B50" t="s">
        <v>156</v>
      </c>
      <c r="C50" s="1" t="s">
        <v>155</v>
      </c>
      <c r="D50" t="s">
        <v>1087</v>
      </c>
      <c r="E50" t="s">
        <v>1173</v>
      </c>
      <c r="K50" t="s">
        <v>1174</v>
      </c>
      <c r="L50" t="s">
        <v>1175</v>
      </c>
      <c r="R50" s="26" t="s">
        <v>1176</v>
      </c>
      <c r="S50" s="26" t="s">
        <v>543</v>
      </c>
      <c r="V50" s="30" t="s">
        <v>144</v>
      </c>
      <c r="W50" s="30" t="s">
        <v>869</v>
      </c>
      <c r="Z50" s="30" t="s">
        <v>1177</v>
      </c>
      <c r="AA50" s="31" t="s">
        <v>856</v>
      </c>
      <c r="BA50" t="s">
        <v>1219</v>
      </c>
      <c r="BD50" s="40" t="s">
        <v>364</v>
      </c>
      <c r="BE50" s="40" t="s">
        <v>364</v>
      </c>
      <c r="BF50" s="40"/>
      <c r="BL50" t="s">
        <v>1994</v>
      </c>
      <c r="BM50" t="s">
        <v>1330</v>
      </c>
      <c r="CA50" s="26" t="s">
        <v>1176</v>
      </c>
      <c r="CB50" s="26" t="s">
        <v>1102</v>
      </c>
    </row>
    <row r="51" spans="1:80">
      <c r="A51" t="s">
        <v>158</v>
      </c>
      <c r="B51" t="s">
        <v>158</v>
      </c>
      <c r="C51" s="1" t="s">
        <v>157</v>
      </c>
      <c r="D51" t="s">
        <v>1011</v>
      </c>
      <c r="E51" t="s">
        <v>1178</v>
      </c>
      <c r="K51" t="s">
        <v>1179</v>
      </c>
      <c r="L51" t="s">
        <v>196</v>
      </c>
      <c r="R51" s="26" t="s">
        <v>1180</v>
      </c>
      <c r="S51" s="26" t="s">
        <v>543</v>
      </c>
      <c r="V51" s="30" t="s">
        <v>163</v>
      </c>
      <c r="W51" s="30" t="s">
        <v>1045</v>
      </c>
      <c r="Z51" s="30" t="s">
        <v>1181</v>
      </c>
      <c r="AA51" s="31" t="s">
        <v>856</v>
      </c>
      <c r="BA51" t="s">
        <v>1223</v>
      </c>
      <c r="BD51" s="40" t="s">
        <v>1592</v>
      </c>
      <c r="BE51" s="40" t="s">
        <v>1593</v>
      </c>
      <c r="BF51" s="40"/>
      <c r="BL51" t="s">
        <v>1995</v>
      </c>
      <c r="BM51" t="s">
        <v>1996</v>
      </c>
      <c r="CA51" s="26" t="s">
        <v>1180</v>
      </c>
      <c r="CB51" s="26" t="s">
        <v>1102</v>
      </c>
    </row>
    <row r="52" spans="1:80">
      <c r="A52" t="s">
        <v>160</v>
      </c>
      <c r="B52" t="s">
        <v>160</v>
      </c>
      <c r="C52" s="1" t="s">
        <v>159</v>
      </c>
      <c r="D52" t="s">
        <v>1182</v>
      </c>
      <c r="E52" t="s">
        <v>1183</v>
      </c>
      <c r="K52" t="s">
        <v>1184</v>
      </c>
      <c r="L52" t="s">
        <v>1185</v>
      </c>
      <c r="R52" s="26" t="s">
        <v>1186</v>
      </c>
      <c r="S52" s="26" t="s">
        <v>543</v>
      </c>
      <c r="V52" s="30" t="s">
        <v>109</v>
      </c>
      <c r="W52" s="30" t="s">
        <v>1045</v>
      </c>
      <c r="Z52" s="30" t="s">
        <v>1165</v>
      </c>
      <c r="AA52" s="31" t="s">
        <v>856</v>
      </c>
      <c r="BA52" t="s">
        <v>1226</v>
      </c>
      <c r="BD52" s="40" t="s">
        <v>1594</v>
      </c>
      <c r="BE52" s="40" t="s">
        <v>1595</v>
      </c>
      <c r="BF52" s="40"/>
      <c r="BL52" t="s">
        <v>1997</v>
      </c>
      <c r="BM52" t="s">
        <v>1998</v>
      </c>
      <c r="CA52" s="26" t="s">
        <v>1186</v>
      </c>
      <c r="CB52" s="26" t="s">
        <v>1102</v>
      </c>
    </row>
    <row r="53" spans="1:80">
      <c r="A53" t="s">
        <v>162</v>
      </c>
      <c r="B53" t="s">
        <v>162</v>
      </c>
      <c r="C53" s="1" t="s">
        <v>161</v>
      </c>
      <c r="D53" t="s">
        <v>1079</v>
      </c>
      <c r="E53" t="s">
        <v>1187</v>
      </c>
      <c r="K53" t="s">
        <v>1188</v>
      </c>
      <c r="L53" t="s">
        <v>1189</v>
      </c>
      <c r="R53" s="26" t="s">
        <v>1190</v>
      </c>
      <c r="S53" s="26" t="s">
        <v>543</v>
      </c>
      <c r="V53" s="30" t="s">
        <v>161</v>
      </c>
      <c r="W53" s="30" t="s">
        <v>1045</v>
      </c>
      <c r="Z53" s="30" t="s">
        <v>1191</v>
      </c>
      <c r="AA53" s="31" t="s">
        <v>856</v>
      </c>
      <c r="BA53" t="s">
        <v>1046</v>
      </c>
      <c r="BD53" s="40" t="s">
        <v>1596</v>
      </c>
      <c r="BE53" s="40" t="s">
        <v>1596</v>
      </c>
      <c r="BF53" s="40"/>
      <c r="BL53" t="s">
        <v>1999</v>
      </c>
      <c r="BM53" t="s">
        <v>2000</v>
      </c>
      <c r="CA53" s="26" t="s">
        <v>1190</v>
      </c>
      <c r="CB53" s="26" t="s">
        <v>1190</v>
      </c>
    </row>
    <row r="54" spans="1:80">
      <c r="A54" t="s">
        <v>164</v>
      </c>
      <c r="B54" t="s">
        <v>164</v>
      </c>
      <c r="C54" s="1" t="s">
        <v>163</v>
      </c>
      <c r="D54" t="s">
        <v>1028</v>
      </c>
      <c r="E54" t="s">
        <v>1192</v>
      </c>
      <c r="K54" t="s">
        <v>1193</v>
      </c>
      <c r="L54" t="s">
        <v>1193</v>
      </c>
      <c r="R54" s="26" t="s">
        <v>1098</v>
      </c>
      <c r="S54" s="26" t="s">
        <v>871</v>
      </c>
      <c r="V54" s="30" t="s">
        <v>121</v>
      </c>
      <c r="W54" s="30" t="s">
        <v>199</v>
      </c>
      <c r="Z54" s="30" t="s">
        <v>870</v>
      </c>
      <c r="AA54" s="30" t="s">
        <v>1194</v>
      </c>
      <c r="BA54" t="s">
        <v>1237</v>
      </c>
      <c r="BD54" s="40" t="s">
        <v>1597</v>
      </c>
      <c r="BE54" s="40" t="s">
        <v>1598</v>
      </c>
      <c r="BF54" s="40"/>
      <c r="BL54" t="s">
        <v>2001</v>
      </c>
      <c r="BM54" t="s">
        <v>2002</v>
      </c>
      <c r="CA54" s="26" t="s">
        <v>1098</v>
      </c>
      <c r="CB54" s="26" t="s">
        <v>1098</v>
      </c>
    </row>
    <row r="55" spans="1:80">
      <c r="A55" t="s">
        <v>166</v>
      </c>
      <c r="B55" t="s">
        <v>166</v>
      </c>
      <c r="C55" s="1" t="s">
        <v>165</v>
      </c>
      <c r="D55" t="s">
        <v>1102</v>
      </c>
      <c r="E55" t="s">
        <v>1195</v>
      </c>
      <c r="K55" t="s">
        <v>1196</v>
      </c>
      <c r="L55" t="s">
        <v>1197</v>
      </c>
      <c r="R55" s="26" t="s">
        <v>1198</v>
      </c>
      <c r="S55" s="26" t="s">
        <v>543</v>
      </c>
      <c r="V55" s="30" t="s">
        <v>111</v>
      </c>
      <c r="W55" s="30" t="s">
        <v>977</v>
      </c>
      <c r="Z55" s="30" t="s">
        <v>1199</v>
      </c>
      <c r="AA55" s="30" t="s">
        <v>1194</v>
      </c>
      <c r="BA55" t="s">
        <v>1306</v>
      </c>
      <c r="BD55" s="40" t="s">
        <v>1599</v>
      </c>
      <c r="BE55" s="40" t="s">
        <v>1600</v>
      </c>
      <c r="BF55" s="40"/>
      <c r="BL55" t="s">
        <v>2003</v>
      </c>
      <c r="BM55" t="s">
        <v>2004</v>
      </c>
      <c r="CA55" s="26" t="s">
        <v>1198</v>
      </c>
      <c r="CB55" s="26" t="s">
        <v>1500</v>
      </c>
    </row>
    <row r="56" spans="1:80">
      <c r="A56" t="s">
        <v>168</v>
      </c>
      <c r="B56" t="s">
        <v>168</v>
      </c>
      <c r="C56" s="1" t="s">
        <v>167</v>
      </c>
      <c r="D56" t="s">
        <v>1200</v>
      </c>
      <c r="E56" t="s">
        <v>1201</v>
      </c>
      <c r="K56" t="s">
        <v>1202</v>
      </c>
      <c r="L56" t="s">
        <v>1203</v>
      </c>
      <c r="R56" s="26" t="s">
        <v>1204</v>
      </c>
      <c r="S56" s="26" t="s">
        <v>543</v>
      </c>
      <c r="V56" s="30" t="s">
        <v>96</v>
      </c>
      <c r="W56" s="30" t="s">
        <v>61</v>
      </c>
      <c r="Z56" s="30" t="s">
        <v>1171</v>
      </c>
      <c r="AA56" s="31" t="s">
        <v>856</v>
      </c>
      <c r="BA56" t="s">
        <v>919</v>
      </c>
      <c r="BD56" s="40" t="s">
        <v>1601</v>
      </c>
      <c r="BE56" s="40" t="s">
        <v>1601</v>
      </c>
      <c r="BF56" s="40"/>
      <c r="BL56" t="s">
        <v>2005</v>
      </c>
      <c r="BM56" t="s">
        <v>2006</v>
      </c>
      <c r="CA56" s="26" t="s">
        <v>1204</v>
      </c>
      <c r="CB56" s="26" t="s">
        <v>1204</v>
      </c>
    </row>
    <row r="57" spans="1:80">
      <c r="A57" t="s">
        <v>170</v>
      </c>
      <c r="B57" t="s">
        <v>170</v>
      </c>
      <c r="C57" s="1" t="s">
        <v>169</v>
      </c>
      <c r="D57" t="s">
        <v>1205</v>
      </c>
      <c r="E57" t="s">
        <v>1206</v>
      </c>
      <c r="K57" t="s">
        <v>1207</v>
      </c>
      <c r="L57" t="s">
        <v>1208</v>
      </c>
      <c r="R57" s="26" t="s">
        <v>901</v>
      </c>
      <c r="S57" s="26" t="s">
        <v>871</v>
      </c>
      <c r="V57" s="30" t="s">
        <v>157</v>
      </c>
      <c r="W57" s="30" t="s">
        <v>199</v>
      </c>
      <c r="Z57" s="30" t="s">
        <v>1209</v>
      </c>
      <c r="AA57" s="31" t="s">
        <v>856</v>
      </c>
      <c r="BA57" t="s">
        <v>1508</v>
      </c>
      <c r="BD57" s="40" t="s">
        <v>1602</v>
      </c>
      <c r="BE57" s="40" t="s">
        <v>987</v>
      </c>
      <c r="BF57" s="40"/>
      <c r="BL57" t="s">
        <v>2007</v>
      </c>
      <c r="BM57" t="s">
        <v>2008</v>
      </c>
      <c r="CA57" s="26" t="s">
        <v>901</v>
      </c>
      <c r="CB57" s="26" t="s">
        <v>1501</v>
      </c>
    </row>
    <row r="58" spans="1:80">
      <c r="A58" t="s">
        <v>172</v>
      </c>
      <c r="B58" t="s">
        <v>172</v>
      </c>
      <c r="C58" s="1" t="s">
        <v>171</v>
      </c>
      <c r="D58" t="s">
        <v>1104</v>
      </c>
      <c r="E58" t="s">
        <v>1210</v>
      </c>
      <c r="K58" t="s">
        <v>1211</v>
      </c>
      <c r="L58" t="s">
        <v>684</v>
      </c>
      <c r="R58" s="26" t="s">
        <v>1212</v>
      </c>
      <c r="S58" s="26" t="s">
        <v>871</v>
      </c>
      <c r="V58" s="30" t="s">
        <v>74</v>
      </c>
      <c r="W58" s="30" t="s">
        <v>199</v>
      </c>
      <c r="Z58" s="30" t="s">
        <v>1213</v>
      </c>
      <c r="AA58" s="31" t="s">
        <v>856</v>
      </c>
      <c r="BA58" t="s">
        <v>1209</v>
      </c>
      <c r="BD58" s="40" t="s">
        <v>1603</v>
      </c>
      <c r="BE58" s="40" t="s">
        <v>1603</v>
      </c>
      <c r="BF58" s="40"/>
      <c r="BL58" t="s">
        <v>2009</v>
      </c>
      <c r="BM58" t="s">
        <v>2010</v>
      </c>
      <c r="CA58" s="26" t="s">
        <v>1212</v>
      </c>
      <c r="CB58" s="26" t="s">
        <v>1501</v>
      </c>
    </row>
    <row r="59" spans="1:80">
      <c r="A59" t="s">
        <v>174</v>
      </c>
      <c r="B59" t="s">
        <v>174</v>
      </c>
      <c r="C59" s="1" t="s">
        <v>173</v>
      </c>
      <c r="D59" t="s">
        <v>1109</v>
      </c>
      <c r="E59" t="s">
        <v>1214</v>
      </c>
      <c r="K59" t="s">
        <v>1215</v>
      </c>
      <c r="L59" t="s">
        <v>1216</v>
      </c>
      <c r="R59" s="26" t="s">
        <v>918</v>
      </c>
      <c r="S59" s="26" t="s">
        <v>871</v>
      </c>
      <c r="V59" s="30" t="s">
        <v>229</v>
      </c>
      <c r="W59" s="30" t="s">
        <v>977</v>
      </c>
      <c r="Z59" s="30" t="s">
        <v>1132</v>
      </c>
      <c r="AA59" s="31" t="s">
        <v>856</v>
      </c>
      <c r="BA59" t="s">
        <v>1244</v>
      </c>
      <c r="BD59" s="43" t="s">
        <v>1604</v>
      </c>
      <c r="BE59" s="40" t="s">
        <v>1605</v>
      </c>
      <c r="BF59" s="40"/>
      <c r="BL59" t="s">
        <v>2011</v>
      </c>
      <c r="BM59" t="s">
        <v>2012</v>
      </c>
      <c r="CA59" s="26" t="s">
        <v>918</v>
      </c>
      <c r="CB59" s="26" t="s">
        <v>1501</v>
      </c>
    </row>
    <row r="60" spans="1:80">
      <c r="A60" t="s">
        <v>176</v>
      </c>
      <c r="B60" t="s">
        <v>176</v>
      </c>
      <c r="C60" s="1" t="s">
        <v>175</v>
      </c>
      <c r="D60" t="s">
        <v>1083</v>
      </c>
      <c r="E60" t="s">
        <v>1217</v>
      </c>
      <c r="K60" t="s">
        <v>780</v>
      </c>
      <c r="L60" t="s">
        <v>780</v>
      </c>
      <c r="R60" s="26" t="s">
        <v>979</v>
      </c>
      <c r="S60" s="26" t="s">
        <v>543</v>
      </c>
      <c r="V60" s="30" t="s">
        <v>86</v>
      </c>
      <c r="W60" s="30" t="s">
        <v>199</v>
      </c>
      <c r="Z60" s="30" t="s">
        <v>1137</v>
      </c>
      <c r="AA60" s="31" t="s">
        <v>856</v>
      </c>
      <c r="BA60" t="s">
        <v>1502</v>
      </c>
      <c r="BD60" s="40" t="s">
        <v>1606</v>
      </c>
      <c r="BE60" s="40" t="s">
        <v>1607</v>
      </c>
      <c r="BF60" s="40"/>
      <c r="BL60" t="s">
        <v>2013</v>
      </c>
      <c r="BM60" t="s">
        <v>2014</v>
      </c>
      <c r="CA60" s="26" t="s">
        <v>979</v>
      </c>
      <c r="CB60" s="26" t="s">
        <v>979</v>
      </c>
    </row>
    <row r="61" spans="1:80">
      <c r="A61" t="s">
        <v>178</v>
      </c>
      <c r="B61" t="s">
        <v>178</v>
      </c>
      <c r="C61" s="1" t="s">
        <v>177</v>
      </c>
      <c r="D61" t="s">
        <v>1116</v>
      </c>
      <c r="E61" t="s">
        <v>1218</v>
      </c>
      <c r="R61" s="26" t="s">
        <v>1219</v>
      </c>
      <c r="S61" s="26" t="s">
        <v>871</v>
      </c>
      <c r="V61" s="30" t="s">
        <v>177</v>
      </c>
      <c r="W61" s="30" t="s">
        <v>72</v>
      </c>
      <c r="Z61" s="30" t="s">
        <v>1220</v>
      </c>
      <c r="AA61" s="31" t="s">
        <v>856</v>
      </c>
      <c r="BA61" t="s">
        <v>1252</v>
      </c>
      <c r="BD61" s="40" t="s">
        <v>1608</v>
      </c>
      <c r="BE61" s="40" t="s">
        <v>1609</v>
      </c>
      <c r="BF61" s="40"/>
      <c r="BL61" t="s">
        <v>2015</v>
      </c>
      <c r="BM61" t="s">
        <v>2016</v>
      </c>
      <c r="CA61" s="26" t="s">
        <v>1219</v>
      </c>
      <c r="CB61" s="26" t="s">
        <v>1219</v>
      </c>
    </row>
    <row r="62" spans="1:80">
      <c r="A62" t="s">
        <v>180</v>
      </c>
      <c r="B62" t="s">
        <v>180</v>
      </c>
      <c r="C62" s="1" t="s">
        <v>179</v>
      </c>
      <c r="D62" t="s">
        <v>1221</v>
      </c>
      <c r="E62" t="s">
        <v>1222</v>
      </c>
      <c r="R62" s="26" t="s">
        <v>1223</v>
      </c>
      <c r="S62" s="26" t="s">
        <v>871</v>
      </c>
      <c r="V62" s="30" t="s">
        <v>98</v>
      </c>
      <c r="W62" s="30" t="s">
        <v>61</v>
      </c>
      <c r="Z62" s="30" t="s">
        <v>1224</v>
      </c>
      <c r="AA62" s="31" t="s">
        <v>856</v>
      </c>
      <c r="BA62" t="s">
        <v>1337</v>
      </c>
      <c r="BD62" s="40" t="s">
        <v>1610</v>
      </c>
      <c r="BE62" s="40" t="s">
        <v>1611</v>
      </c>
      <c r="BF62" s="40"/>
      <c r="BL62" t="s">
        <v>2017</v>
      </c>
      <c r="BM62" t="s">
        <v>2018</v>
      </c>
      <c r="CA62" s="26" t="s">
        <v>1223</v>
      </c>
      <c r="CB62" s="26" t="s">
        <v>1223</v>
      </c>
    </row>
    <row r="63" spans="1:80">
      <c r="A63" t="s">
        <v>182</v>
      </c>
      <c r="B63" t="s">
        <v>182</v>
      </c>
      <c r="C63" s="1" t="s">
        <v>181</v>
      </c>
      <c r="D63" t="s">
        <v>1121</v>
      </c>
      <c r="E63" t="s">
        <v>1225</v>
      </c>
      <c r="R63" s="26" t="s">
        <v>1226</v>
      </c>
      <c r="S63" s="26" t="s">
        <v>871</v>
      </c>
      <c r="V63" s="30" t="s">
        <v>181</v>
      </c>
      <c r="W63" s="30" t="s">
        <v>61</v>
      </c>
      <c r="Z63" s="30" t="s">
        <v>1227</v>
      </c>
      <c r="AA63" s="31" t="s">
        <v>856</v>
      </c>
      <c r="BA63" t="s">
        <v>1340</v>
      </c>
      <c r="BD63" s="40" t="s">
        <v>1612</v>
      </c>
      <c r="BE63" s="40" t="s">
        <v>1613</v>
      </c>
      <c r="BF63" s="40"/>
      <c r="BL63" t="s">
        <v>2019</v>
      </c>
      <c r="BM63" t="s">
        <v>2020</v>
      </c>
      <c r="CA63" s="26" t="s">
        <v>1226</v>
      </c>
      <c r="CB63" s="26" t="s">
        <v>1226</v>
      </c>
    </row>
    <row r="64" spans="1:80">
      <c r="A64" t="s">
        <v>184</v>
      </c>
      <c r="B64" t="s">
        <v>184</v>
      </c>
      <c r="C64" s="1" t="s">
        <v>183</v>
      </c>
      <c r="D64" t="s">
        <v>1228</v>
      </c>
      <c r="E64" t="s">
        <v>1229</v>
      </c>
      <c r="R64" s="26" t="s">
        <v>1156</v>
      </c>
      <c r="S64" s="26" t="s">
        <v>543</v>
      </c>
      <c r="V64" s="30" t="s">
        <v>76</v>
      </c>
      <c r="W64" s="30" t="s">
        <v>1045</v>
      </c>
      <c r="Z64" s="30" t="s">
        <v>1033</v>
      </c>
      <c r="AA64" s="31" t="s">
        <v>856</v>
      </c>
      <c r="BA64" t="s">
        <v>1254</v>
      </c>
      <c r="BD64" s="40" t="s">
        <v>1614</v>
      </c>
      <c r="BE64" s="40" t="s">
        <v>1614</v>
      </c>
      <c r="BF64" s="40"/>
      <c r="BL64" t="s">
        <v>2021</v>
      </c>
      <c r="BM64" t="s">
        <v>2022</v>
      </c>
      <c r="CA64" s="26" t="s">
        <v>1156</v>
      </c>
      <c r="CB64" s="26" t="s">
        <v>1102</v>
      </c>
    </row>
    <row r="65" spans="1:80">
      <c r="A65" t="s">
        <v>186</v>
      </c>
      <c r="B65" t="s">
        <v>186</v>
      </c>
      <c r="C65" s="1" t="s">
        <v>185</v>
      </c>
      <c r="D65" t="s">
        <v>1070</v>
      </c>
      <c r="E65" t="s">
        <v>1230</v>
      </c>
      <c r="R65" s="26" t="s">
        <v>1046</v>
      </c>
      <c r="S65" s="26" t="s">
        <v>543</v>
      </c>
      <c r="V65" s="30" t="s">
        <v>207</v>
      </c>
      <c r="W65" s="30" t="s">
        <v>1045</v>
      </c>
      <c r="Z65" s="30" t="s">
        <v>1231</v>
      </c>
      <c r="AA65" s="31" t="s">
        <v>856</v>
      </c>
      <c r="BA65" t="s">
        <v>957</v>
      </c>
      <c r="BD65" s="40" t="s">
        <v>1615</v>
      </c>
      <c r="BE65" s="40" t="s">
        <v>1616</v>
      </c>
      <c r="BF65" s="40"/>
      <c r="BL65" t="s">
        <v>2023</v>
      </c>
      <c r="BM65" t="s">
        <v>2024</v>
      </c>
      <c r="CA65" s="26" t="s">
        <v>1046</v>
      </c>
      <c r="CB65" s="26" t="s">
        <v>1046</v>
      </c>
    </row>
    <row r="66" spans="1:80">
      <c r="A66" t="s">
        <v>188</v>
      </c>
      <c r="B66" t="s">
        <v>188</v>
      </c>
      <c r="C66" s="1" t="s">
        <v>187</v>
      </c>
      <c r="D66" t="s">
        <v>1129</v>
      </c>
      <c r="E66" t="s">
        <v>1232</v>
      </c>
      <c r="R66" s="26" t="s">
        <v>1233</v>
      </c>
      <c r="S66" s="26" t="s">
        <v>543</v>
      </c>
      <c r="V66" s="30" t="s">
        <v>138</v>
      </c>
      <c r="W66" s="30" t="s">
        <v>1045</v>
      </c>
      <c r="Z66" s="30" t="s">
        <v>1082</v>
      </c>
      <c r="AA66" s="31" t="s">
        <v>856</v>
      </c>
      <c r="BA66" t="s">
        <v>1147</v>
      </c>
      <c r="BD66" s="40" t="s">
        <v>1617</v>
      </c>
      <c r="BE66" s="40" t="s">
        <v>1618</v>
      </c>
      <c r="BF66" s="40"/>
      <c r="BL66" t="s">
        <v>2025</v>
      </c>
      <c r="BM66" t="s">
        <v>2026</v>
      </c>
      <c r="CA66" s="26" t="s">
        <v>1233</v>
      </c>
      <c r="CB66" s="26" t="s">
        <v>1046</v>
      </c>
    </row>
    <row r="67" spans="1:80">
      <c r="A67" t="s">
        <v>190</v>
      </c>
      <c r="B67" t="s">
        <v>190</v>
      </c>
      <c r="C67" s="1" t="s">
        <v>189</v>
      </c>
      <c r="D67" t="s">
        <v>1132</v>
      </c>
      <c r="E67" t="s">
        <v>1234</v>
      </c>
      <c r="R67" s="26" t="s">
        <v>1235</v>
      </c>
      <c r="S67" s="26" t="s">
        <v>871</v>
      </c>
      <c r="V67" s="30" t="s">
        <v>125</v>
      </c>
      <c r="W67" s="30" t="s">
        <v>61</v>
      </c>
      <c r="Z67" s="30" t="s">
        <v>1155</v>
      </c>
      <c r="AA67" s="31" t="s">
        <v>856</v>
      </c>
      <c r="BA67" t="s">
        <v>1363</v>
      </c>
      <c r="BD67" s="40" t="s">
        <v>1619</v>
      </c>
      <c r="BE67" s="40" t="s">
        <v>1620</v>
      </c>
      <c r="BF67" s="40"/>
      <c r="BL67" t="s">
        <v>2027</v>
      </c>
      <c r="BM67" t="s">
        <v>2028</v>
      </c>
      <c r="CA67" s="26" t="s">
        <v>1235</v>
      </c>
      <c r="CB67" s="26" t="s">
        <v>37</v>
      </c>
    </row>
    <row r="68" spans="1:80">
      <c r="A68" t="s">
        <v>192</v>
      </c>
      <c r="B68" t="s">
        <v>192</v>
      </c>
      <c r="C68" s="1" t="s">
        <v>191</v>
      </c>
      <c r="D68" t="s">
        <v>1091</v>
      </c>
      <c r="E68" t="s">
        <v>1236</v>
      </c>
      <c r="R68" s="26" t="s">
        <v>1237</v>
      </c>
      <c r="S68" s="26" t="s">
        <v>902</v>
      </c>
      <c r="V68" s="30" t="s">
        <v>105</v>
      </c>
      <c r="W68" s="30" t="s">
        <v>61</v>
      </c>
      <c r="Z68" s="30" t="s">
        <v>1238</v>
      </c>
      <c r="AA68" s="31" t="s">
        <v>856</v>
      </c>
      <c r="BA68" t="s">
        <v>1504</v>
      </c>
      <c r="BD68" s="40" t="s">
        <v>1621</v>
      </c>
      <c r="BE68" s="40" t="s">
        <v>1622</v>
      </c>
      <c r="BF68" s="40"/>
      <c r="BL68" t="s">
        <v>2029</v>
      </c>
      <c r="BM68" t="s">
        <v>2030</v>
      </c>
      <c r="CA68" s="26" t="s">
        <v>1237</v>
      </c>
      <c r="CB68" s="26" t="s">
        <v>1237</v>
      </c>
    </row>
    <row r="69" spans="1:80">
      <c r="A69" t="s">
        <v>194</v>
      </c>
      <c r="B69" t="s">
        <v>194</v>
      </c>
      <c r="C69" s="1" t="s">
        <v>193</v>
      </c>
      <c r="D69" t="s">
        <v>1142</v>
      </c>
      <c r="E69" t="s">
        <v>1239</v>
      </c>
      <c r="R69" s="26" t="s">
        <v>1209</v>
      </c>
      <c r="S69" s="26" t="s">
        <v>871</v>
      </c>
      <c r="V69" s="30" t="s">
        <v>197</v>
      </c>
      <c r="W69" s="30" t="s">
        <v>1045</v>
      </c>
      <c r="Z69" s="30" t="s">
        <v>966</v>
      </c>
      <c r="AA69" s="31" t="s">
        <v>856</v>
      </c>
      <c r="BA69" t="s">
        <v>1267</v>
      </c>
      <c r="BD69" s="40" t="s">
        <v>1623</v>
      </c>
      <c r="BE69" s="40" t="s">
        <v>410</v>
      </c>
      <c r="BF69" s="40"/>
      <c r="BL69" t="s">
        <v>2031</v>
      </c>
      <c r="BM69" t="s">
        <v>2032</v>
      </c>
      <c r="CA69" s="26" t="s">
        <v>1209</v>
      </c>
      <c r="CB69" s="26" t="s">
        <v>1209</v>
      </c>
    </row>
    <row r="70" spans="1:80">
      <c r="A70" t="s">
        <v>196</v>
      </c>
      <c r="B70" t="s">
        <v>196</v>
      </c>
      <c r="C70" s="1" t="s">
        <v>195</v>
      </c>
      <c r="D70" t="s">
        <v>47</v>
      </c>
      <c r="E70" t="s">
        <v>1240</v>
      </c>
      <c r="R70" s="26" t="s">
        <v>1241</v>
      </c>
      <c r="S70" s="26" t="s">
        <v>871</v>
      </c>
      <c r="V70" s="30" t="s">
        <v>165</v>
      </c>
      <c r="W70" s="30" t="s">
        <v>1045</v>
      </c>
      <c r="Z70" s="30" t="s">
        <v>1242</v>
      </c>
      <c r="AA70" s="31" t="s">
        <v>856</v>
      </c>
      <c r="BA70" t="s">
        <v>1242</v>
      </c>
      <c r="BD70" s="40" t="s">
        <v>1624</v>
      </c>
      <c r="BE70" s="40" t="s">
        <v>1625</v>
      </c>
      <c r="BF70" s="40"/>
      <c r="BL70" t="s">
        <v>2033</v>
      </c>
      <c r="BM70" t="s">
        <v>2034</v>
      </c>
      <c r="CA70" s="26" t="s">
        <v>1241</v>
      </c>
      <c r="CB70" s="26" t="s">
        <v>1320</v>
      </c>
    </row>
    <row r="71" spans="1:80">
      <c r="A71" t="s">
        <v>198</v>
      </c>
      <c r="B71" t="s">
        <v>198</v>
      </c>
      <c r="C71" s="1" t="s">
        <v>197</v>
      </c>
      <c r="D71" t="s">
        <v>1151</v>
      </c>
      <c r="E71" t="s">
        <v>1243</v>
      </c>
      <c r="R71" s="26" t="s">
        <v>1244</v>
      </c>
      <c r="S71" s="26" t="s">
        <v>543</v>
      </c>
      <c r="V71" s="30" t="s">
        <v>66</v>
      </c>
      <c r="W71" s="30" t="s">
        <v>1045</v>
      </c>
      <c r="Z71" s="30" t="s">
        <v>1244</v>
      </c>
      <c r="AA71" s="31" t="s">
        <v>856</v>
      </c>
      <c r="BA71" t="s">
        <v>1284</v>
      </c>
      <c r="BD71" s="40" t="s">
        <v>1626</v>
      </c>
      <c r="BE71" s="40" t="s">
        <v>1627</v>
      </c>
      <c r="BF71" s="40"/>
      <c r="BL71" t="s">
        <v>2035</v>
      </c>
      <c r="BM71" t="s">
        <v>2036</v>
      </c>
      <c r="CA71" s="26" t="s">
        <v>1244</v>
      </c>
      <c r="CB71" s="26" t="s">
        <v>1244</v>
      </c>
    </row>
    <row r="72" spans="1:80">
      <c r="A72" t="s">
        <v>200</v>
      </c>
      <c r="B72" t="s">
        <v>200</v>
      </c>
      <c r="C72" s="1" t="s">
        <v>199</v>
      </c>
      <c r="D72" t="s">
        <v>1155</v>
      </c>
      <c r="E72" t="s">
        <v>1245</v>
      </c>
      <c r="R72" s="26" t="s">
        <v>1246</v>
      </c>
      <c r="S72" s="26" t="s">
        <v>543</v>
      </c>
      <c r="V72" s="30" t="s">
        <v>167</v>
      </c>
      <c r="W72" s="30" t="s">
        <v>1045</v>
      </c>
      <c r="Z72" s="30" t="s">
        <v>1247</v>
      </c>
      <c r="AA72" s="31" t="s">
        <v>856</v>
      </c>
      <c r="BA72" t="s">
        <v>1238</v>
      </c>
      <c r="BD72" s="40" t="s">
        <v>1628</v>
      </c>
      <c r="BE72" s="40" t="s">
        <v>1629</v>
      </c>
      <c r="BF72" s="40"/>
      <c r="BL72" t="s">
        <v>2037</v>
      </c>
      <c r="BM72" t="s">
        <v>2038</v>
      </c>
      <c r="CA72" s="26" t="s">
        <v>1246</v>
      </c>
      <c r="CB72" s="26" t="s">
        <v>1502</v>
      </c>
    </row>
    <row r="73" spans="1:80">
      <c r="A73" t="s">
        <v>202</v>
      </c>
      <c r="B73" t="s">
        <v>202</v>
      </c>
      <c r="C73" s="1" t="s">
        <v>201</v>
      </c>
      <c r="D73" t="s">
        <v>1161</v>
      </c>
      <c r="E73" t="s">
        <v>1248</v>
      </c>
      <c r="R73" s="26" t="s">
        <v>1088</v>
      </c>
      <c r="S73" s="26" t="s">
        <v>543</v>
      </c>
      <c r="V73" s="30" t="s">
        <v>225</v>
      </c>
      <c r="W73" s="30" t="s">
        <v>1045</v>
      </c>
      <c r="Z73" s="30" t="s">
        <v>1249</v>
      </c>
      <c r="AA73" s="31" t="s">
        <v>856</v>
      </c>
      <c r="BA73" t="s">
        <v>1290</v>
      </c>
      <c r="BD73" s="43" t="s">
        <v>1630</v>
      </c>
      <c r="BE73" s="40" t="s">
        <v>1630</v>
      </c>
      <c r="BF73" s="40"/>
      <c r="BL73" t="s">
        <v>2039</v>
      </c>
      <c r="BM73" t="s">
        <v>2040</v>
      </c>
      <c r="CA73" s="26" t="s">
        <v>1088</v>
      </c>
      <c r="CB73" s="26" t="s">
        <v>1502</v>
      </c>
    </row>
    <row r="74" spans="1:80">
      <c r="A74" t="s">
        <v>204</v>
      </c>
      <c r="B74" t="s">
        <v>204</v>
      </c>
      <c r="C74" s="1" t="s">
        <v>203</v>
      </c>
      <c r="D74" t="s">
        <v>1250</v>
      </c>
      <c r="E74" t="s">
        <v>1251</v>
      </c>
      <c r="R74" s="26" t="s">
        <v>1252</v>
      </c>
      <c r="S74" s="26" t="s">
        <v>543</v>
      </c>
      <c r="V74" s="30" t="s">
        <v>84</v>
      </c>
      <c r="W74" s="30" t="s">
        <v>61</v>
      </c>
      <c r="Z74" s="30" t="s">
        <v>1001</v>
      </c>
      <c r="AA74" s="30" t="s">
        <v>1194</v>
      </c>
      <c r="BA74" t="s">
        <v>1292</v>
      </c>
      <c r="BD74" s="40" t="s">
        <v>1631</v>
      </c>
      <c r="BE74" s="40" t="s">
        <v>1632</v>
      </c>
      <c r="BF74" s="40"/>
      <c r="BL74" t="s">
        <v>2041</v>
      </c>
      <c r="BM74" t="s">
        <v>2042</v>
      </c>
      <c r="CA74" s="26" t="s">
        <v>1252</v>
      </c>
      <c r="CB74" s="26" t="s">
        <v>1252</v>
      </c>
    </row>
    <row r="75" spans="1:80">
      <c r="A75" t="s">
        <v>206</v>
      </c>
      <c r="B75" t="s">
        <v>206</v>
      </c>
      <c r="C75" s="1" t="s">
        <v>205</v>
      </c>
      <c r="D75" t="s">
        <v>1165</v>
      </c>
      <c r="E75" t="s">
        <v>1253</v>
      </c>
      <c r="R75" s="26" t="s">
        <v>1254</v>
      </c>
      <c r="S75" s="26" t="s">
        <v>543</v>
      </c>
      <c r="V75" s="30" t="s">
        <v>150</v>
      </c>
      <c r="W75" s="30" t="s">
        <v>977</v>
      </c>
      <c r="Z75" s="30" t="s">
        <v>1255</v>
      </c>
      <c r="AA75" s="31" t="s">
        <v>856</v>
      </c>
      <c r="BA75" t="s">
        <v>1503</v>
      </c>
      <c r="BD75" s="40" t="s">
        <v>1633</v>
      </c>
      <c r="BE75" s="40" t="s">
        <v>1634</v>
      </c>
      <c r="BF75" s="40"/>
      <c r="BL75" t="s">
        <v>2043</v>
      </c>
      <c r="BM75" t="s">
        <v>2044</v>
      </c>
      <c r="CA75" s="26" t="s">
        <v>1254</v>
      </c>
      <c r="CB75" s="26" t="s">
        <v>1254</v>
      </c>
    </row>
    <row r="76" spans="1:80" ht="30">
      <c r="A76" t="s">
        <v>208</v>
      </c>
      <c r="B76" t="s">
        <v>208</v>
      </c>
      <c r="C76" s="1" t="s">
        <v>207</v>
      </c>
      <c r="D76" t="s">
        <v>1171</v>
      </c>
      <c r="E76" t="s">
        <v>1256</v>
      </c>
      <c r="R76" s="26" t="s">
        <v>957</v>
      </c>
      <c r="S76" s="26" t="s">
        <v>543</v>
      </c>
      <c r="V76" s="30" t="s">
        <v>80</v>
      </c>
      <c r="W76" s="30" t="s">
        <v>1045</v>
      </c>
      <c r="Z76" s="30" t="s">
        <v>855</v>
      </c>
      <c r="AA76" s="30" t="s">
        <v>1257</v>
      </c>
      <c r="BA76" t="s">
        <v>1053</v>
      </c>
      <c r="BD76" s="44" t="s">
        <v>1635</v>
      </c>
      <c r="BE76" s="45" t="s">
        <v>1636</v>
      </c>
      <c r="BF76" s="40"/>
      <c r="BL76" t="s">
        <v>2045</v>
      </c>
      <c r="BM76" t="s">
        <v>2046</v>
      </c>
      <c r="CA76" s="26" t="s">
        <v>957</v>
      </c>
      <c r="CB76" s="26" t="s">
        <v>957</v>
      </c>
    </row>
    <row r="77" spans="1:80">
      <c r="A77" t="s">
        <v>210</v>
      </c>
      <c r="B77" t="s">
        <v>210</v>
      </c>
      <c r="C77" t="s">
        <v>209</v>
      </c>
      <c r="D77" t="s">
        <v>1176</v>
      </c>
      <c r="E77" t="s">
        <v>1258</v>
      </c>
      <c r="R77" s="26" t="s">
        <v>1259</v>
      </c>
      <c r="S77" s="26" t="s">
        <v>871</v>
      </c>
      <c r="V77" s="30" t="s">
        <v>219</v>
      </c>
      <c r="W77" s="30" t="s">
        <v>977</v>
      </c>
      <c r="Z77" s="30" t="s">
        <v>1142</v>
      </c>
      <c r="AA77" s="31" t="s">
        <v>856</v>
      </c>
      <c r="BA77" t="s">
        <v>1295</v>
      </c>
      <c r="BD77" s="40" t="s">
        <v>1637</v>
      </c>
      <c r="BE77" s="40" t="s">
        <v>1638</v>
      </c>
      <c r="BF77" s="45"/>
      <c r="BL77" t="s">
        <v>2047</v>
      </c>
      <c r="BM77" t="s">
        <v>2048</v>
      </c>
      <c r="CA77" s="26" t="s">
        <v>1259</v>
      </c>
      <c r="CB77" s="26" t="s">
        <v>2122</v>
      </c>
    </row>
    <row r="78" spans="1:80">
      <c r="A78" t="s">
        <v>212</v>
      </c>
      <c r="B78" t="s">
        <v>212</v>
      </c>
      <c r="C78" t="s">
        <v>211</v>
      </c>
      <c r="D78" t="s">
        <v>1180</v>
      </c>
      <c r="E78" t="s">
        <v>1260</v>
      </c>
      <c r="R78" s="26" t="s">
        <v>1261</v>
      </c>
      <c r="S78" s="26" t="s">
        <v>543</v>
      </c>
      <c r="V78" s="30" t="s">
        <v>205</v>
      </c>
      <c r="W78" s="30" t="s">
        <v>967</v>
      </c>
      <c r="Z78" s="30" t="s">
        <v>1262</v>
      </c>
      <c r="AA78" s="31" t="s">
        <v>856</v>
      </c>
      <c r="BA78" t="s">
        <v>1505</v>
      </c>
      <c r="BD78" s="40" t="s">
        <v>1639</v>
      </c>
      <c r="BE78" s="40" t="s">
        <v>1640</v>
      </c>
      <c r="BF78" s="40"/>
      <c r="BL78" t="s">
        <v>2049</v>
      </c>
      <c r="BM78" t="s">
        <v>2050</v>
      </c>
      <c r="CA78" s="26" t="s">
        <v>1261</v>
      </c>
      <c r="CB78" s="26" t="s">
        <v>1147</v>
      </c>
    </row>
    <row r="79" spans="1:80">
      <c r="A79" t="s">
        <v>214</v>
      </c>
      <c r="B79" t="s">
        <v>214</v>
      </c>
      <c r="C79" t="s">
        <v>213</v>
      </c>
      <c r="D79" t="s">
        <v>1263</v>
      </c>
      <c r="E79" t="s">
        <v>1264</v>
      </c>
      <c r="R79" s="26" t="s">
        <v>1147</v>
      </c>
      <c r="S79" s="26" t="s">
        <v>543</v>
      </c>
      <c r="V79" s="30" t="s">
        <v>36</v>
      </c>
      <c r="W79" s="30" t="s">
        <v>977</v>
      </c>
      <c r="Z79" s="30" t="s">
        <v>1122</v>
      </c>
      <c r="AA79" s="30" t="s">
        <v>1194</v>
      </c>
      <c r="BA79" t="s">
        <v>1122</v>
      </c>
      <c r="BD79" s="40" t="s">
        <v>1641</v>
      </c>
      <c r="BE79" s="40" t="s">
        <v>1642</v>
      </c>
      <c r="BF79" s="40"/>
      <c r="BL79" t="s">
        <v>2051</v>
      </c>
      <c r="BM79" t="s">
        <v>2052</v>
      </c>
      <c r="CA79" s="26" t="s">
        <v>1147</v>
      </c>
      <c r="CB79" s="26" t="s">
        <v>1147</v>
      </c>
    </row>
    <row r="80" spans="1:80">
      <c r="A80" t="s">
        <v>216</v>
      </c>
      <c r="B80" t="s">
        <v>216</v>
      </c>
      <c r="C80" t="s">
        <v>215</v>
      </c>
      <c r="D80" t="s">
        <v>1186</v>
      </c>
      <c r="E80" t="s">
        <v>1265</v>
      </c>
      <c r="R80" s="26" t="s">
        <v>932</v>
      </c>
      <c r="S80" s="26" t="s">
        <v>543</v>
      </c>
      <c r="V80" s="30" t="s">
        <v>107</v>
      </c>
      <c r="W80" s="30" t="s">
        <v>61</v>
      </c>
      <c r="Z80" s="30" t="s">
        <v>1027</v>
      </c>
      <c r="AA80" s="31" t="s">
        <v>856</v>
      </c>
      <c r="BA80" t="s">
        <v>1213</v>
      </c>
      <c r="BD80" s="40" t="s">
        <v>1643</v>
      </c>
      <c r="BE80" s="40" t="s">
        <v>1644</v>
      </c>
      <c r="BF80" s="40"/>
      <c r="BL80" t="s">
        <v>2053</v>
      </c>
      <c r="BM80" t="s">
        <v>2054</v>
      </c>
      <c r="CA80" s="26" t="s">
        <v>932</v>
      </c>
      <c r="CB80" s="26" t="s">
        <v>1504</v>
      </c>
    </row>
    <row r="81" spans="1:80">
      <c r="A81" t="s">
        <v>218</v>
      </c>
      <c r="B81" t="s">
        <v>218</v>
      </c>
      <c r="C81" t="s">
        <v>217</v>
      </c>
      <c r="D81" t="s">
        <v>1190</v>
      </c>
      <c r="E81" t="s">
        <v>1266</v>
      </c>
      <c r="R81" s="26" t="s">
        <v>1267</v>
      </c>
      <c r="S81" s="26" t="s">
        <v>902</v>
      </c>
      <c r="V81" s="30" t="s">
        <v>183</v>
      </c>
      <c r="W81" s="30" t="s">
        <v>61</v>
      </c>
      <c r="Z81" s="30" t="s">
        <v>1247</v>
      </c>
      <c r="AA81" s="30" t="s">
        <v>1138</v>
      </c>
      <c r="BA81" t="s">
        <v>1400</v>
      </c>
      <c r="BD81" s="40" t="s">
        <v>1645</v>
      </c>
      <c r="BE81" s="40" t="s">
        <v>1646</v>
      </c>
      <c r="BF81" s="40"/>
      <c r="BL81" t="s">
        <v>2055</v>
      </c>
      <c r="BM81" t="s">
        <v>2056</v>
      </c>
      <c r="CA81" s="26" t="s">
        <v>1267</v>
      </c>
      <c r="CB81" s="26" t="s">
        <v>1267</v>
      </c>
    </row>
    <row r="82" spans="1:80">
      <c r="A82" t="s">
        <v>220</v>
      </c>
      <c r="B82" t="s">
        <v>220</v>
      </c>
      <c r="C82" t="s">
        <v>219</v>
      </c>
      <c r="D82" t="s">
        <v>1098</v>
      </c>
      <c r="E82" t="s">
        <v>1268</v>
      </c>
      <c r="R82" s="26" t="s">
        <v>1269</v>
      </c>
      <c r="S82" s="26" t="s">
        <v>902</v>
      </c>
      <c r="V82" s="30" t="s">
        <v>795</v>
      </c>
      <c r="W82" s="30" t="s">
        <v>199</v>
      </c>
      <c r="Z82" s="30" t="s">
        <v>1235</v>
      </c>
      <c r="AA82" s="30" t="s">
        <v>1138</v>
      </c>
      <c r="BA82" t="s">
        <v>1407</v>
      </c>
      <c r="BD82" s="40" t="s">
        <v>1647</v>
      </c>
      <c r="BE82" s="40" t="s">
        <v>1648</v>
      </c>
      <c r="BF82" s="40"/>
      <c r="BL82" t="s">
        <v>2057</v>
      </c>
      <c r="BM82" t="s">
        <v>2058</v>
      </c>
      <c r="CA82" s="26" t="s">
        <v>1269</v>
      </c>
      <c r="CB82" s="26" t="s">
        <v>1267</v>
      </c>
    </row>
    <row r="83" spans="1:80">
      <c r="A83" t="s">
        <v>222</v>
      </c>
      <c r="B83" t="s">
        <v>222</v>
      </c>
      <c r="C83" t="s">
        <v>221</v>
      </c>
      <c r="D83" t="s">
        <v>1270</v>
      </c>
      <c r="E83" t="s">
        <v>1271</v>
      </c>
      <c r="R83" s="26" t="s">
        <v>1272</v>
      </c>
      <c r="S83" s="26" t="s">
        <v>902</v>
      </c>
      <c r="V83" s="30" t="s">
        <v>792</v>
      </c>
      <c r="W83" s="30" t="s">
        <v>61</v>
      </c>
      <c r="Z83" s="30" t="s">
        <v>1241</v>
      </c>
      <c r="AA83" s="31" t="s">
        <v>856</v>
      </c>
      <c r="BA83" t="s">
        <v>1403</v>
      </c>
      <c r="BD83" s="40" t="s">
        <v>1649</v>
      </c>
      <c r="BE83" s="40" t="s">
        <v>1649</v>
      </c>
      <c r="BF83" s="40"/>
      <c r="BL83" t="s">
        <v>2059</v>
      </c>
      <c r="BM83" t="s">
        <v>2060</v>
      </c>
      <c r="CA83" s="26" t="s">
        <v>1272</v>
      </c>
      <c r="CB83" s="26" t="s">
        <v>1267</v>
      </c>
    </row>
    <row r="84" spans="1:80">
      <c r="A84" t="s">
        <v>224</v>
      </c>
      <c r="B84" t="s">
        <v>224</v>
      </c>
      <c r="C84" t="s">
        <v>223</v>
      </c>
      <c r="D84" t="s">
        <v>1198</v>
      </c>
      <c r="E84" t="s">
        <v>1273</v>
      </c>
      <c r="R84" s="26" t="s">
        <v>1274</v>
      </c>
      <c r="S84" s="26" t="s">
        <v>871</v>
      </c>
      <c r="Z84" s="30" t="s">
        <v>1226</v>
      </c>
      <c r="AA84" s="30" t="s">
        <v>1275</v>
      </c>
      <c r="BA84" t="s">
        <v>1413</v>
      </c>
      <c r="BD84" s="40" t="s">
        <v>1650</v>
      </c>
      <c r="BE84" s="40" t="s">
        <v>1651</v>
      </c>
      <c r="BF84" s="40"/>
      <c r="BL84" t="s">
        <v>2061</v>
      </c>
      <c r="BM84" t="s">
        <v>2062</v>
      </c>
      <c r="CA84" s="26" t="s">
        <v>1274</v>
      </c>
      <c r="CB84" s="26" t="s">
        <v>1137</v>
      </c>
    </row>
    <row r="85" spans="1:80">
      <c r="A85" t="s">
        <v>226</v>
      </c>
      <c r="B85" t="s">
        <v>226</v>
      </c>
      <c r="C85" t="s">
        <v>225</v>
      </c>
      <c r="D85" t="s">
        <v>1276</v>
      </c>
      <c r="E85" t="s">
        <v>1277</v>
      </c>
      <c r="R85" s="26" t="s">
        <v>1172</v>
      </c>
      <c r="S85" s="26" t="s">
        <v>543</v>
      </c>
      <c r="Z85" s="30" t="s">
        <v>1278</v>
      </c>
      <c r="AA85" s="31" t="s">
        <v>856</v>
      </c>
      <c r="BA85" t="s">
        <v>631</v>
      </c>
      <c r="BD85" s="43" t="s">
        <v>1652</v>
      </c>
      <c r="BE85" s="40" t="s">
        <v>1653</v>
      </c>
      <c r="BF85" s="40"/>
      <c r="BL85" t="s">
        <v>2063</v>
      </c>
      <c r="BM85" t="s">
        <v>2064</v>
      </c>
      <c r="CA85" s="26" t="s">
        <v>1172</v>
      </c>
      <c r="CB85" s="26" t="s">
        <v>1504</v>
      </c>
    </row>
    <row r="86" spans="1:80">
      <c r="A86" t="s">
        <v>228</v>
      </c>
      <c r="B86" t="s">
        <v>228</v>
      </c>
      <c r="C86" t="s">
        <v>227</v>
      </c>
      <c r="D86" t="s">
        <v>1279</v>
      </c>
      <c r="E86" t="s">
        <v>1280</v>
      </c>
      <c r="R86" s="26" t="s">
        <v>1281</v>
      </c>
      <c r="S86" s="26" t="s">
        <v>543</v>
      </c>
      <c r="Z86" s="30" t="s">
        <v>880</v>
      </c>
      <c r="AA86" s="31" t="s">
        <v>856</v>
      </c>
      <c r="BA86" t="s">
        <v>1332</v>
      </c>
      <c r="BD86" s="40" t="s">
        <v>1654</v>
      </c>
      <c r="BE86" s="40" t="s">
        <v>1655</v>
      </c>
      <c r="BF86" s="40"/>
      <c r="BL86" t="s">
        <v>2065</v>
      </c>
      <c r="BM86" t="s">
        <v>2066</v>
      </c>
      <c r="CA86" s="26" t="s">
        <v>1281</v>
      </c>
      <c r="CB86" s="26" t="s">
        <v>1102</v>
      </c>
    </row>
    <row r="87" spans="1:80">
      <c r="A87" t="s">
        <v>230</v>
      </c>
      <c r="B87" t="s">
        <v>230</v>
      </c>
      <c r="C87" t="s">
        <v>229</v>
      </c>
      <c r="D87" t="s">
        <v>1204</v>
      </c>
      <c r="E87" t="s">
        <v>1282</v>
      </c>
      <c r="R87" s="26" t="s">
        <v>1242</v>
      </c>
      <c r="S87" s="26" t="s">
        <v>902</v>
      </c>
      <c r="Z87" s="30" t="s">
        <v>37</v>
      </c>
      <c r="AA87" s="30" t="s">
        <v>1138</v>
      </c>
      <c r="BA87" t="s">
        <v>1334</v>
      </c>
      <c r="BD87" s="40" t="s">
        <v>1656</v>
      </c>
      <c r="BE87" s="40" t="s">
        <v>1657</v>
      </c>
      <c r="BF87" s="40"/>
      <c r="BL87" t="s">
        <v>2067</v>
      </c>
      <c r="BM87" t="s">
        <v>2068</v>
      </c>
      <c r="CA87" s="26" t="s">
        <v>1242</v>
      </c>
      <c r="CB87" s="26" t="s">
        <v>1242</v>
      </c>
    </row>
    <row r="88" spans="1:80">
      <c r="D88" t="s">
        <v>901</v>
      </c>
      <c r="E88" t="s">
        <v>1283</v>
      </c>
      <c r="R88" s="26" t="s">
        <v>1284</v>
      </c>
      <c r="S88" s="26" t="s">
        <v>871</v>
      </c>
      <c r="Z88" s="30" t="s">
        <v>1285</v>
      </c>
      <c r="AA88" s="31" t="s">
        <v>856</v>
      </c>
      <c r="BA88" t="s">
        <v>1336</v>
      </c>
      <c r="BD88" s="43" t="s">
        <v>1658</v>
      </c>
      <c r="BE88" s="40" t="s">
        <v>1659</v>
      </c>
      <c r="BF88" s="40"/>
      <c r="BL88" t="s">
        <v>2069</v>
      </c>
      <c r="BM88" t="s">
        <v>2070</v>
      </c>
      <c r="CA88" s="26" t="s">
        <v>1284</v>
      </c>
      <c r="CB88" s="26" t="s">
        <v>1284</v>
      </c>
    </row>
    <row r="89" spans="1:80">
      <c r="D89" t="s">
        <v>1212</v>
      </c>
      <c r="E89" t="s">
        <v>1286</v>
      </c>
      <c r="R89" s="26" t="s">
        <v>1238</v>
      </c>
      <c r="S89" s="26" t="s">
        <v>543</v>
      </c>
      <c r="Z89" s="30" t="s">
        <v>1274</v>
      </c>
      <c r="AA89" s="31" t="s">
        <v>856</v>
      </c>
      <c r="BA89" t="s">
        <v>886</v>
      </c>
      <c r="BD89" s="40" t="s">
        <v>1660</v>
      </c>
      <c r="BE89" s="40" t="s">
        <v>1657</v>
      </c>
      <c r="BF89" s="40"/>
      <c r="BL89" t="s">
        <v>2071</v>
      </c>
      <c r="BM89" t="s">
        <v>2072</v>
      </c>
      <c r="CA89" s="26" t="s">
        <v>1238</v>
      </c>
      <c r="CB89" s="26" t="s">
        <v>1238</v>
      </c>
    </row>
    <row r="90" spans="1:80">
      <c r="D90" t="s">
        <v>918</v>
      </c>
      <c r="E90" t="s">
        <v>1287</v>
      </c>
      <c r="R90" s="26" t="s">
        <v>1288</v>
      </c>
      <c r="S90" s="26" t="s">
        <v>871</v>
      </c>
      <c r="Z90" s="30" t="s">
        <v>1254</v>
      </c>
      <c r="AA90" s="31" t="s">
        <v>856</v>
      </c>
      <c r="BA90" t="s">
        <v>1480</v>
      </c>
      <c r="BD90" s="40" t="s">
        <v>1661</v>
      </c>
      <c r="BE90" s="40" t="s">
        <v>450</v>
      </c>
      <c r="BF90" s="40"/>
      <c r="BL90" t="s">
        <v>2073</v>
      </c>
      <c r="BM90" t="s">
        <v>2074</v>
      </c>
      <c r="CA90" s="26" t="s">
        <v>1288</v>
      </c>
      <c r="CB90" s="26" t="s">
        <v>990</v>
      </c>
    </row>
    <row r="91" spans="1:80">
      <c r="D91" t="s">
        <v>979</v>
      </c>
      <c r="E91" t="s">
        <v>1289</v>
      </c>
      <c r="R91" s="26" t="s">
        <v>1290</v>
      </c>
      <c r="S91" s="26" t="s">
        <v>871</v>
      </c>
      <c r="Z91" s="30" t="s">
        <v>1190</v>
      </c>
      <c r="AA91" s="31" t="s">
        <v>856</v>
      </c>
      <c r="BA91" t="s">
        <v>1328</v>
      </c>
      <c r="BD91" s="40" t="s">
        <v>1662</v>
      </c>
      <c r="BE91" s="40" t="s">
        <v>465</v>
      </c>
      <c r="BF91" s="40"/>
      <c r="BL91" t="s">
        <v>2075</v>
      </c>
      <c r="BM91" t="s">
        <v>2076</v>
      </c>
      <c r="CA91" s="26" t="s">
        <v>1290</v>
      </c>
      <c r="CB91" s="26" t="s">
        <v>1290</v>
      </c>
    </row>
    <row r="92" spans="1:80">
      <c r="D92" t="s">
        <v>1219</v>
      </c>
      <c r="E92" t="s">
        <v>1291</v>
      </c>
      <c r="R92" s="26" t="s">
        <v>1292</v>
      </c>
      <c r="S92" s="26" t="s">
        <v>871</v>
      </c>
      <c r="Z92" s="30" t="s">
        <v>1010</v>
      </c>
      <c r="AA92" s="31" t="s">
        <v>856</v>
      </c>
      <c r="BA92" t="s">
        <v>1303</v>
      </c>
      <c r="BD92" s="40" t="s">
        <v>1663</v>
      </c>
      <c r="BE92" s="40" t="s">
        <v>1664</v>
      </c>
      <c r="BF92" s="40"/>
      <c r="BL92" t="s">
        <v>2077</v>
      </c>
      <c r="BM92" t="s">
        <v>2078</v>
      </c>
      <c r="CA92" s="26" t="s">
        <v>1292</v>
      </c>
      <c r="CB92" s="26" t="s">
        <v>1292</v>
      </c>
    </row>
    <row r="93" spans="1:80">
      <c r="D93" t="s">
        <v>1223</v>
      </c>
      <c r="E93" t="s">
        <v>1293</v>
      </c>
      <c r="R93" s="26" t="s">
        <v>1053</v>
      </c>
      <c r="S93" s="26" t="s">
        <v>871</v>
      </c>
      <c r="Z93" s="30" t="s">
        <v>1219</v>
      </c>
      <c r="AA93" s="31" t="s">
        <v>856</v>
      </c>
      <c r="BA93" t="s">
        <v>1326</v>
      </c>
      <c r="BD93" s="40" t="s">
        <v>1665</v>
      </c>
      <c r="BE93" s="40" t="s">
        <v>1666</v>
      </c>
      <c r="BF93" s="40"/>
      <c r="BL93" t="s">
        <v>2079</v>
      </c>
      <c r="BM93" t="s">
        <v>2080</v>
      </c>
      <c r="CA93" s="26" t="s">
        <v>1053</v>
      </c>
      <c r="CB93" s="26" t="s">
        <v>1053</v>
      </c>
    </row>
    <row r="94" spans="1:80">
      <c r="D94" t="s">
        <v>1226</v>
      </c>
      <c r="E94" t="s">
        <v>1294</v>
      </c>
      <c r="R94" s="26" t="s">
        <v>1295</v>
      </c>
      <c r="S94" s="26" t="s">
        <v>871</v>
      </c>
      <c r="Z94" s="30" t="s">
        <v>1296</v>
      </c>
      <c r="AA94" s="31" t="s">
        <v>856</v>
      </c>
      <c r="BA94" t="s">
        <v>1348</v>
      </c>
      <c r="BD94" t="s">
        <v>1667</v>
      </c>
      <c r="BE94" s="40" t="s">
        <v>1668</v>
      </c>
      <c r="BF94" s="40"/>
      <c r="BL94" t="s">
        <v>2081</v>
      </c>
      <c r="BM94" t="s">
        <v>2082</v>
      </c>
      <c r="CA94" s="26" t="s">
        <v>1295</v>
      </c>
      <c r="CB94" s="26" t="s">
        <v>1295</v>
      </c>
    </row>
    <row r="95" spans="1:80">
      <c r="D95" t="s">
        <v>1156</v>
      </c>
      <c r="E95" t="s">
        <v>1297</v>
      </c>
      <c r="R95" s="26" t="s">
        <v>1231</v>
      </c>
      <c r="S95" s="26" t="s">
        <v>543</v>
      </c>
      <c r="Z95" s="30" t="s">
        <v>1098</v>
      </c>
      <c r="AA95" s="30" t="s">
        <v>1275</v>
      </c>
      <c r="BA95" t="s">
        <v>1137</v>
      </c>
      <c r="BD95" s="40" t="s">
        <v>1669</v>
      </c>
      <c r="BE95" s="40" t="s">
        <v>1670</v>
      </c>
      <c r="BF95" s="40"/>
      <c r="CA95" s="26" t="s">
        <v>1231</v>
      </c>
      <c r="CB95" s="26" t="s">
        <v>1505</v>
      </c>
    </row>
    <row r="96" spans="1:80">
      <c r="D96" t="s">
        <v>1046</v>
      </c>
      <c r="E96" t="s">
        <v>1298</v>
      </c>
      <c r="R96" s="26" t="s">
        <v>1255</v>
      </c>
      <c r="S96" s="26" t="s">
        <v>543</v>
      </c>
      <c r="Z96" s="30" t="s">
        <v>1288</v>
      </c>
      <c r="AA96" s="31" t="s">
        <v>856</v>
      </c>
      <c r="BA96" t="s">
        <v>1022</v>
      </c>
      <c r="BD96" s="40" t="s">
        <v>1671</v>
      </c>
      <c r="BE96" s="40" t="s">
        <v>1672</v>
      </c>
      <c r="BF96" s="40"/>
      <c r="CA96" s="26" t="s">
        <v>1255</v>
      </c>
      <c r="CB96" s="26" t="s">
        <v>1505</v>
      </c>
    </row>
    <row r="97" spans="4:80">
      <c r="D97" t="s">
        <v>1233</v>
      </c>
      <c r="E97" t="s">
        <v>1299</v>
      </c>
      <c r="R97" s="26" t="s">
        <v>1143</v>
      </c>
      <c r="S97" s="26" t="s">
        <v>543</v>
      </c>
      <c r="Z97" s="30" t="s">
        <v>1087</v>
      </c>
      <c r="AA97" s="31" t="s">
        <v>856</v>
      </c>
      <c r="BA97" t="s">
        <v>1181</v>
      </c>
      <c r="BD97" s="40" t="s">
        <v>1673</v>
      </c>
      <c r="BE97" s="40" t="s">
        <v>1673</v>
      </c>
      <c r="BF97" s="40"/>
      <c r="CA97" s="26" t="s">
        <v>1143</v>
      </c>
      <c r="CB97" s="26" t="s">
        <v>1505</v>
      </c>
    </row>
    <row r="98" spans="4:80">
      <c r="D98" t="s">
        <v>1220</v>
      </c>
      <c r="E98" t="s">
        <v>1300</v>
      </c>
      <c r="R98" s="26" t="s">
        <v>1301</v>
      </c>
      <c r="S98" s="26" t="s">
        <v>543</v>
      </c>
      <c r="Z98" s="30" t="s">
        <v>1295</v>
      </c>
      <c r="AA98" s="31" t="s">
        <v>856</v>
      </c>
      <c r="BA98" t="s">
        <v>54</v>
      </c>
      <c r="BD98" s="40" t="s">
        <v>1674</v>
      </c>
      <c r="BE98" s="40" t="s">
        <v>1675</v>
      </c>
      <c r="BF98" s="40"/>
      <c r="CA98" s="26" t="s">
        <v>1301</v>
      </c>
      <c r="CB98" s="26" t="s">
        <v>1505</v>
      </c>
    </row>
    <row r="99" spans="4:80">
      <c r="D99" t="s">
        <v>1235</v>
      </c>
      <c r="E99" t="s">
        <v>1302</v>
      </c>
      <c r="R99" s="26" t="s">
        <v>1296</v>
      </c>
      <c r="S99" s="26" t="s">
        <v>543</v>
      </c>
      <c r="Z99" s="30" t="s">
        <v>1303</v>
      </c>
      <c r="AA99" s="31" t="s">
        <v>856</v>
      </c>
      <c r="BA99" t="s">
        <v>1177</v>
      </c>
      <c r="BD99" s="40" t="s">
        <v>1676</v>
      </c>
      <c r="BE99" s="40" t="s">
        <v>1676</v>
      </c>
      <c r="BF99" s="40"/>
      <c r="CA99" s="26" t="s">
        <v>1296</v>
      </c>
      <c r="CB99" s="26" t="s">
        <v>1505</v>
      </c>
    </row>
    <row r="100" spans="4:80">
      <c r="D100" t="s">
        <v>1237</v>
      </c>
      <c r="E100" t="s">
        <v>1304</v>
      </c>
      <c r="R100" s="26" t="s">
        <v>1305</v>
      </c>
      <c r="S100" s="26" t="s">
        <v>543</v>
      </c>
      <c r="Z100" s="30" t="s">
        <v>897</v>
      </c>
      <c r="AA100" s="31" t="s">
        <v>856</v>
      </c>
      <c r="BA100" t="s">
        <v>1323</v>
      </c>
      <c r="BD100" s="40" t="s">
        <v>1677</v>
      </c>
      <c r="BE100" s="40" t="s">
        <v>1678</v>
      </c>
      <c r="BF100" s="40"/>
      <c r="CA100" s="26" t="s">
        <v>1305</v>
      </c>
      <c r="CB100" s="26" t="s">
        <v>1505</v>
      </c>
    </row>
    <row r="101" spans="4:80">
      <c r="D101" t="s">
        <v>1306</v>
      </c>
      <c r="E101" t="s">
        <v>1307</v>
      </c>
      <c r="R101" s="26" t="s">
        <v>1220</v>
      </c>
      <c r="S101" s="26" t="s">
        <v>871</v>
      </c>
      <c r="Z101" s="30" t="s">
        <v>1199</v>
      </c>
      <c r="AA101" s="31" t="s">
        <v>856</v>
      </c>
      <c r="BA101" t="s">
        <v>1227</v>
      </c>
      <c r="BD101" s="40" t="s">
        <v>1679</v>
      </c>
      <c r="BE101" s="40" t="s">
        <v>478</v>
      </c>
      <c r="BF101" s="40"/>
      <c r="CA101" s="26" t="s">
        <v>1220</v>
      </c>
      <c r="CB101" s="26" t="s">
        <v>1122</v>
      </c>
    </row>
    <row r="102" spans="4:80">
      <c r="D102" t="s">
        <v>1308</v>
      </c>
      <c r="E102" t="s">
        <v>1309</v>
      </c>
      <c r="R102" s="26" t="s">
        <v>1310</v>
      </c>
      <c r="S102" s="26" t="s">
        <v>871</v>
      </c>
      <c r="Z102" s="30" t="s">
        <v>1027</v>
      </c>
      <c r="AA102" s="30" t="s">
        <v>1257</v>
      </c>
      <c r="BA102" t="s">
        <v>1393</v>
      </c>
      <c r="BD102" s="40" t="s">
        <v>1680</v>
      </c>
      <c r="BE102" s="40" t="s">
        <v>1681</v>
      </c>
      <c r="BF102" s="40"/>
      <c r="CA102" s="26" t="s">
        <v>1310</v>
      </c>
      <c r="CB102" s="26" t="s">
        <v>1122</v>
      </c>
    </row>
    <row r="103" spans="4:80">
      <c r="D103" t="s">
        <v>1311</v>
      </c>
      <c r="E103" t="s">
        <v>1312</v>
      </c>
      <c r="R103" s="26" t="s">
        <v>870</v>
      </c>
      <c r="S103" s="26" t="s">
        <v>871</v>
      </c>
      <c r="Z103" s="30" t="s">
        <v>1104</v>
      </c>
      <c r="AA103" s="30" t="s">
        <v>1257</v>
      </c>
      <c r="BA103" t="s">
        <v>1372</v>
      </c>
      <c r="BD103" s="40" t="s">
        <v>1682</v>
      </c>
      <c r="BE103" s="40" t="s">
        <v>1683</v>
      </c>
      <c r="BF103" s="40"/>
      <c r="CA103" s="26" t="s">
        <v>870</v>
      </c>
      <c r="CB103" s="26" t="s">
        <v>1122</v>
      </c>
    </row>
    <row r="104" spans="4:80" ht="30">
      <c r="D104" t="s">
        <v>1313</v>
      </c>
      <c r="E104" t="s">
        <v>1314</v>
      </c>
      <c r="R104" s="26" t="s">
        <v>1199</v>
      </c>
      <c r="S104" s="26" t="s">
        <v>871</v>
      </c>
      <c r="Z104" s="30" t="s">
        <v>1213</v>
      </c>
      <c r="AA104" s="30" t="s">
        <v>1275</v>
      </c>
      <c r="BA104" t="s">
        <v>1441</v>
      </c>
      <c r="BD104" s="45" t="s">
        <v>1684</v>
      </c>
      <c r="BE104" s="40" t="s">
        <v>1685</v>
      </c>
      <c r="BF104" s="40"/>
      <c r="CA104" s="26" t="s">
        <v>1199</v>
      </c>
      <c r="CB104" s="26" t="s">
        <v>1122</v>
      </c>
    </row>
    <row r="105" spans="4:80">
      <c r="D105" t="s">
        <v>1315</v>
      </c>
      <c r="E105" t="s">
        <v>1316</v>
      </c>
      <c r="R105" s="26" t="s">
        <v>1122</v>
      </c>
      <c r="S105" s="26" t="s">
        <v>871</v>
      </c>
      <c r="Z105" s="30" t="s">
        <v>1058</v>
      </c>
      <c r="AA105" s="31" t="s">
        <v>856</v>
      </c>
      <c r="BA105" t="s">
        <v>1397</v>
      </c>
      <c r="BD105" s="40" t="s">
        <v>1686</v>
      </c>
      <c r="BE105" s="40" t="s">
        <v>1686</v>
      </c>
      <c r="BF105" s="40"/>
      <c r="CA105" s="26" t="s">
        <v>1122</v>
      </c>
      <c r="CB105" s="26" t="s">
        <v>1122</v>
      </c>
    </row>
    <row r="106" spans="4:80">
      <c r="D106" t="s">
        <v>1317</v>
      </c>
      <c r="E106" t="s">
        <v>1318</v>
      </c>
      <c r="R106" s="26" t="s">
        <v>1319</v>
      </c>
      <c r="S106" s="26" t="s">
        <v>871</v>
      </c>
      <c r="Z106" s="30" t="s">
        <v>1320</v>
      </c>
      <c r="AA106" s="30" t="s">
        <v>1138</v>
      </c>
      <c r="BA106" t="s">
        <v>1040</v>
      </c>
      <c r="BD106" s="40" t="s">
        <v>1687</v>
      </c>
      <c r="BE106" s="40" t="s">
        <v>1688</v>
      </c>
      <c r="BF106" s="40"/>
      <c r="CA106" s="26" t="s">
        <v>1319</v>
      </c>
      <c r="CB106" s="26" t="s">
        <v>1122</v>
      </c>
    </row>
    <row r="107" spans="4:80">
      <c r="D107" t="s">
        <v>1321</v>
      </c>
      <c r="E107" t="s">
        <v>1322</v>
      </c>
      <c r="R107" s="26" t="s">
        <v>1001</v>
      </c>
      <c r="S107" s="26" t="s">
        <v>871</v>
      </c>
      <c r="Z107" s="30" t="s">
        <v>1323</v>
      </c>
      <c r="AA107" s="31" t="s">
        <v>856</v>
      </c>
      <c r="BA107" t="s">
        <v>1375</v>
      </c>
      <c r="BD107" t="s">
        <v>1689</v>
      </c>
      <c r="BE107" s="40" t="s">
        <v>524</v>
      </c>
      <c r="BF107" s="40"/>
      <c r="CA107" s="26" t="s">
        <v>1001</v>
      </c>
      <c r="CB107" s="26" t="s">
        <v>1122</v>
      </c>
    </row>
    <row r="108" spans="4:80">
      <c r="D108" t="s">
        <v>1324</v>
      </c>
      <c r="E108" t="s">
        <v>1325</v>
      </c>
      <c r="R108" s="26" t="s">
        <v>1249</v>
      </c>
      <c r="S108" s="26" t="s">
        <v>871</v>
      </c>
      <c r="Z108" s="30" t="s">
        <v>1326</v>
      </c>
      <c r="AA108" s="31" t="s">
        <v>856</v>
      </c>
      <c r="BA108" t="s">
        <v>37</v>
      </c>
      <c r="BD108" s="45" t="s">
        <v>1690</v>
      </c>
      <c r="BE108" s="40" t="s">
        <v>1691</v>
      </c>
      <c r="BF108" s="40"/>
      <c r="CA108" s="26" t="s">
        <v>1249</v>
      </c>
      <c r="CB108" s="26" t="s">
        <v>1122</v>
      </c>
    </row>
    <row r="109" spans="4:80">
      <c r="D109" t="s">
        <v>1209</v>
      </c>
      <c r="E109" t="s">
        <v>1327</v>
      </c>
      <c r="R109" s="26" t="s">
        <v>1285</v>
      </c>
      <c r="S109" s="26" t="s">
        <v>871</v>
      </c>
      <c r="Z109" s="30" t="s">
        <v>1328</v>
      </c>
      <c r="AA109" s="31" t="s">
        <v>856</v>
      </c>
      <c r="BA109" t="s">
        <v>1191</v>
      </c>
      <c r="BD109" s="40" t="s">
        <v>1692</v>
      </c>
      <c r="BE109" s="40" t="s">
        <v>1693</v>
      </c>
      <c r="BF109" s="40"/>
      <c r="CA109" s="26" t="s">
        <v>1285</v>
      </c>
      <c r="CB109" s="26" t="s">
        <v>1122</v>
      </c>
    </row>
    <row r="110" spans="4:80">
      <c r="D110" t="s">
        <v>1241</v>
      </c>
      <c r="E110" t="s">
        <v>1329</v>
      </c>
      <c r="R110" s="26" t="s">
        <v>1213</v>
      </c>
      <c r="S110" s="26" t="s">
        <v>871</v>
      </c>
      <c r="Z110" s="30" t="s">
        <v>1209</v>
      </c>
      <c r="AA110" s="30" t="s">
        <v>1138</v>
      </c>
      <c r="BA110" t="s">
        <v>1390</v>
      </c>
      <c r="BD110" s="40" t="s">
        <v>1694</v>
      </c>
      <c r="BE110" s="40" t="s">
        <v>1695</v>
      </c>
      <c r="BF110" s="40"/>
      <c r="CA110" s="26" t="s">
        <v>1213</v>
      </c>
      <c r="CB110" s="26" t="s">
        <v>1213</v>
      </c>
    </row>
    <row r="111" spans="4:80">
      <c r="D111" t="s">
        <v>1244</v>
      </c>
      <c r="E111" t="s">
        <v>1330</v>
      </c>
      <c r="R111" s="26" t="s">
        <v>631</v>
      </c>
      <c r="S111" s="26" t="s">
        <v>543</v>
      </c>
      <c r="Z111" s="30" t="s">
        <v>1219</v>
      </c>
      <c r="AA111" s="30" t="s">
        <v>1194</v>
      </c>
      <c r="BA111" t="s">
        <v>1415</v>
      </c>
      <c r="BD111" s="40" t="s">
        <v>1696</v>
      </c>
      <c r="BE111" s="40" t="s">
        <v>1697</v>
      </c>
      <c r="BF111" s="40"/>
      <c r="CA111" s="26" t="s">
        <v>631</v>
      </c>
      <c r="CB111" s="26" t="s">
        <v>631</v>
      </c>
    </row>
    <row r="112" spans="4:80">
      <c r="D112" t="s">
        <v>1246</v>
      </c>
      <c r="E112" t="s">
        <v>1331</v>
      </c>
      <c r="R112" s="26" t="s">
        <v>1332</v>
      </c>
      <c r="S112" s="26" t="s">
        <v>543</v>
      </c>
      <c r="Z112" s="30" t="s">
        <v>1087</v>
      </c>
      <c r="AA112" s="30" t="s">
        <v>1138</v>
      </c>
      <c r="BA112" t="s">
        <v>1428</v>
      </c>
      <c r="BD112" s="40" t="s">
        <v>1698</v>
      </c>
      <c r="BE112" s="40" t="s">
        <v>556</v>
      </c>
      <c r="BF112" s="40"/>
      <c r="CA112" s="26" t="s">
        <v>1332</v>
      </c>
      <c r="CB112" s="26" t="s">
        <v>1332</v>
      </c>
    </row>
    <row r="113" spans="4:80">
      <c r="D113" t="s">
        <v>1088</v>
      </c>
      <c r="E113" t="s">
        <v>1333</v>
      </c>
      <c r="R113" s="26" t="s">
        <v>1334</v>
      </c>
      <c r="S113" s="26" t="s">
        <v>871</v>
      </c>
      <c r="Z113" s="30" t="s">
        <v>1288</v>
      </c>
      <c r="AA113" s="30" t="s">
        <v>1194</v>
      </c>
      <c r="BA113" t="s">
        <v>1482</v>
      </c>
      <c r="BD113" s="46" t="s">
        <v>1699</v>
      </c>
      <c r="BE113" s="45" t="s">
        <v>1700</v>
      </c>
      <c r="BF113" s="40"/>
      <c r="CA113" s="26" t="s">
        <v>1334</v>
      </c>
      <c r="CB113" s="26" t="s">
        <v>1334</v>
      </c>
    </row>
    <row r="114" spans="4:80">
      <c r="D114" t="s">
        <v>1252</v>
      </c>
      <c r="E114" t="s">
        <v>1335</v>
      </c>
      <c r="R114" s="26" t="s">
        <v>1336</v>
      </c>
      <c r="S114" s="26" t="s">
        <v>543</v>
      </c>
      <c r="Z114" s="30" t="s">
        <v>1267</v>
      </c>
      <c r="AA114" s="31" t="s">
        <v>856</v>
      </c>
      <c r="BA114" t="s">
        <v>1320</v>
      </c>
      <c r="BD114" s="40" t="s">
        <v>1701</v>
      </c>
      <c r="BE114" s="40" t="s">
        <v>1702</v>
      </c>
      <c r="BF114" s="45"/>
      <c r="CA114" s="26" t="s">
        <v>1336</v>
      </c>
      <c r="CB114" s="26" t="s">
        <v>1336</v>
      </c>
    </row>
    <row r="115" spans="4:80">
      <c r="D115" t="s">
        <v>1337</v>
      </c>
      <c r="E115" t="s">
        <v>1338</v>
      </c>
      <c r="R115" s="26" t="s">
        <v>1339</v>
      </c>
      <c r="S115" s="26" t="s">
        <v>543</v>
      </c>
      <c r="Z115" s="30" t="s">
        <v>1151</v>
      </c>
      <c r="AA115" s="31" t="s">
        <v>856</v>
      </c>
      <c r="BD115" s="40" t="s">
        <v>1703</v>
      </c>
      <c r="BE115" s="40" t="s">
        <v>1704</v>
      </c>
      <c r="BF115" s="40"/>
      <c r="CA115" s="26" t="s">
        <v>1339</v>
      </c>
      <c r="CB115" s="26" t="s">
        <v>1102</v>
      </c>
    </row>
    <row r="116" spans="4:80">
      <c r="D116" t="s">
        <v>1340</v>
      </c>
      <c r="E116" t="s">
        <v>1341</v>
      </c>
      <c r="R116" s="26" t="s">
        <v>886</v>
      </c>
      <c r="S116" s="26" t="s">
        <v>886</v>
      </c>
      <c r="Z116" s="30" t="s">
        <v>1261</v>
      </c>
      <c r="AA116" s="31" t="s">
        <v>856</v>
      </c>
      <c r="BD116" s="40" t="s">
        <v>1705</v>
      </c>
      <c r="BE116" s="40" t="s">
        <v>1706</v>
      </c>
      <c r="BF116" s="40"/>
      <c r="CA116" s="26" t="s">
        <v>886</v>
      </c>
      <c r="CB116" s="26" t="s">
        <v>886</v>
      </c>
    </row>
    <row r="117" spans="4:80">
      <c r="D117" t="s">
        <v>1254</v>
      </c>
      <c r="E117" t="s">
        <v>1342</v>
      </c>
      <c r="R117" s="26" t="s">
        <v>1328</v>
      </c>
      <c r="S117" s="26" t="s">
        <v>902</v>
      </c>
      <c r="Z117" s="30" t="s">
        <v>1186</v>
      </c>
      <c r="AA117" s="31" t="s">
        <v>856</v>
      </c>
      <c r="BD117" s="40" t="s">
        <v>1707</v>
      </c>
      <c r="BE117" s="40" t="s">
        <v>1708</v>
      </c>
      <c r="BF117" s="40"/>
      <c r="CA117" s="26" t="s">
        <v>1328</v>
      </c>
      <c r="CB117" s="26" t="s">
        <v>1328</v>
      </c>
    </row>
    <row r="118" spans="4:80">
      <c r="D118" t="s">
        <v>1343</v>
      </c>
      <c r="E118" t="s">
        <v>1344</v>
      </c>
      <c r="R118" s="26" t="s">
        <v>1303</v>
      </c>
      <c r="S118" s="26" t="s">
        <v>871</v>
      </c>
      <c r="Z118" s="30" t="s">
        <v>990</v>
      </c>
      <c r="AA118" s="30" t="s">
        <v>1194</v>
      </c>
      <c r="BD118" s="43" t="s">
        <v>1709</v>
      </c>
      <c r="BE118" s="40" t="s">
        <v>1709</v>
      </c>
      <c r="BF118" s="40"/>
      <c r="CA118" s="26" t="s">
        <v>1303</v>
      </c>
      <c r="CB118" s="26" t="s">
        <v>1303</v>
      </c>
    </row>
    <row r="119" spans="4:80">
      <c r="D119" t="s">
        <v>1345</v>
      </c>
      <c r="E119" t="s">
        <v>1346</v>
      </c>
      <c r="R119" s="26" t="s">
        <v>1326</v>
      </c>
      <c r="S119" s="26" t="s">
        <v>543</v>
      </c>
      <c r="Z119" s="30" t="s">
        <v>1191</v>
      </c>
      <c r="AA119" s="30" t="s">
        <v>1138</v>
      </c>
      <c r="BD119" s="40" t="s">
        <v>1710</v>
      </c>
      <c r="BE119" s="40" t="s">
        <v>1711</v>
      </c>
      <c r="BF119" s="40"/>
      <c r="CA119" s="26" t="s">
        <v>1326</v>
      </c>
      <c r="CB119" s="26" t="s">
        <v>1326</v>
      </c>
    </row>
    <row r="120" spans="4:80">
      <c r="D120" t="s">
        <v>957</v>
      </c>
      <c r="E120" t="s">
        <v>1347</v>
      </c>
      <c r="R120" s="26" t="s">
        <v>1348</v>
      </c>
      <c r="S120" s="26" t="s">
        <v>902</v>
      </c>
      <c r="Z120" s="30" t="s">
        <v>1334</v>
      </c>
      <c r="AA120" s="30" t="s">
        <v>1194</v>
      </c>
      <c r="BD120" s="40" t="s">
        <v>1712</v>
      </c>
      <c r="BE120" s="40" t="s">
        <v>1712</v>
      </c>
      <c r="BF120" s="40"/>
      <c r="CA120" s="26" t="s">
        <v>1348</v>
      </c>
      <c r="CB120" s="26" t="s">
        <v>1348</v>
      </c>
    </row>
    <row r="121" spans="4:80">
      <c r="D121" t="s">
        <v>1349</v>
      </c>
      <c r="E121" t="s">
        <v>1350</v>
      </c>
      <c r="R121" s="26" t="s">
        <v>1137</v>
      </c>
      <c r="S121" s="26" t="s">
        <v>871</v>
      </c>
      <c r="Z121" s="30" t="s">
        <v>1109</v>
      </c>
      <c r="AA121" s="31" t="s">
        <v>856</v>
      </c>
      <c r="BD121" s="43" t="s">
        <v>1713</v>
      </c>
      <c r="BE121" s="40" t="s">
        <v>1714</v>
      </c>
      <c r="BF121" s="40"/>
      <c r="CA121" s="26" t="s">
        <v>1137</v>
      </c>
      <c r="CB121" s="26" t="s">
        <v>1137</v>
      </c>
    </row>
    <row r="122" spans="4:80">
      <c r="D122" t="s">
        <v>1351</v>
      </c>
      <c r="E122" t="s">
        <v>1352</v>
      </c>
      <c r="R122" s="26" t="s">
        <v>1022</v>
      </c>
      <c r="S122" s="26" t="s">
        <v>543</v>
      </c>
      <c r="Z122" s="30" t="s">
        <v>989</v>
      </c>
      <c r="AA122" s="31" t="s">
        <v>856</v>
      </c>
      <c r="BD122" s="40" t="s">
        <v>1715</v>
      </c>
      <c r="BE122" s="40" t="s">
        <v>1716</v>
      </c>
      <c r="BF122" s="40"/>
      <c r="CA122" s="26" t="s">
        <v>1022</v>
      </c>
      <c r="CB122" s="26" t="s">
        <v>1022</v>
      </c>
    </row>
    <row r="123" spans="4:80">
      <c r="D123" t="s">
        <v>1353</v>
      </c>
      <c r="E123" t="s">
        <v>1354</v>
      </c>
      <c r="R123" s="26" t="s">
        <v>1181</v>
      </c>
      <c r="S123" s="26" t="s">
        <v>543</v>
      </c>
      <c r="Z123" s="30" t="s">
        <v>1305</v>
      </c>
      <c r="AA123" s="31" t="s">
        <v>856</v>
      </c>
      <c r="BD123" s="47" t="s">
        <v>1717</v>
      </c>
      <c r="BE123" s="40" t="s">
        <v>1718</v>
      </c>
      <c r="BF123" s="40"/>
      <c r="CA123" s="26" t="s">
        <v>1181</v>
      </c>
      <c r="CB123" s="26" t="s">
        <v>1181</v>
      </c>
    </row>
    <row r="124" spans="4:80" ht="30">
      <c r="D124" t="s">
        <v>1261</v>
      </c>
      <c r="E124" t="s">
        <v>1355</v>
      </c>
      <c r="R124" s="26" t="s">
        <v>54</v>
      </c>
      <c r="S124" s="26" t="s">
        <v>543</v>
      </c>
      <c r="Z124" s="30" t="s">
        <v>1064</v>
      </c>
      <c r="AA124" s="31" t="s">
        <v>856</v>
      </c>
      <c r="BD124" s="46" t="s">
        <v>1719</v>
      </c>
      <c r="BE124" s="45" t="s">
        <v>1720</v>
      </c>
      <c r="BF124" s="40"/>
      <c r="CA124" s="26" t="s">
        <v>54</v>
      </c>
      <c r="CB124" s="26" t="s">
        <v>54</v>
      </c>
    </row>
    <row r="125" spans="4:80">
      <c r="D125" t="s">
        <v>1147</v>
      </c>
      <c r="E125" t="s">
        <v>1356</v>
      </c>
      <c r="R125" s="26" t="s">
        <v>1166</v>
      </c>
      <c r="S125" s="26" t="s">
        <v>543</v>
      </c>
      <c r="Z125" s="30" t="s">
        <v>897</v>
      </c>
      <c r="AA125" s="30" t="s">
        <v>1275</v>
      </c>
      <c r="BD125" s="40" t="s">
        <v>1721</v>
      </c>
      <c r="BE125" s="40" t="s">
        <v>1722</v>
      </c>
      <c r="BF125" s="45"/>
      <c r="CA125" s="26" t="s">
        <v>1166</v>
      </c>
      <c r="CB125" s="26" t="s">
        <v>54</v>
      </c>
    </row>
    <row r="126" spans="4:80" ht="30">
      <c r="D126" t="s">
        <v>1357</v>
      </c>
      <c r="E126" t="s">
        <v>1358</v>
      </c>
      <c r="R126" s="26" t="s">
        <v>1177</v>
      </c>
      <c r="S126" s="26" t="s">
        <v>543</v>
      </c>
      <c r="Z126" s="30" t="s">
        <v>1359</v>
      </c>
      <c r="AA126" s="31" t="s">
        <v>856</v>
      </c>
      <c r="BD126" s="45" t="s">
        <v>1723</v>
      </c>
      <c r="BE126" s="40" t="s">
        <v>1724</v>
      </c>
      <c r="BF126" s="40"/>
      <c r="CA126" s="26" t="s">
        <v>1177</v>
      </c>
      <c r="CB126" s="26" t="s">
        <v>1177</v>
      </c>
    </row>
    <row r="127" spans="4:80">
      <c r="D127" t="s">
        <v>1310</v>
      </c>
      <c r="E127" t="s">
        <v>1360</v>
      </c>
      <c r="R127" s="26" t="s">
        <v>1361</v>
      </c>
      <c r="S127" s="26" t="s">
        <v>543</v>
      </c>
      <c r="Z127" s="30" t="s">
        <v>1053</v>
      </c>
      <c r="AA127" s="30" t="s">
        <v>1275</v>
      </c>
      <c r="BD127" s="40" t="s">
        <v>1725</v>
      </c>
      <c r="BE127" s="40" t="s">
        <v>1726</v>
      </c>
      <c r="BF127" s="40"/>
      <c r="CA127" s="26" t="s">
        <v>1361</v>
      </c>
      <c r="CB127" s="26" t="s">
        <v>1177</v>
      </c>
    </row>
    <row r="128" spans="4:80">
      <c r="D128" t="s">
        <v>932</v>
      </c>
      <c r="E128" t="s">
        <v>1362</v>
      </c>
      <c r="R128" s="26" t="s">
        <v>1130</v>
      </c>
      <c r="S128" s="26" t="s">
        <v>543</v>
      </c>
      <c r="Z128" s="30" t="s">
        <v>1249</v>
      </c>
      <c r="AA128" s="30" t="s">
        <v>1194</v>
      </c>
      <c r="BD128" s="40" t="s">
        <v>1727</v>
      </c>
      <c r="BE128" s="40" t="s">
        <v>569</v>
      </c>
      <c r="BF128" s="40"/>
      <c r="CA128" s="26" t="s">
        <v>1130</v>
      </c>
      <c r="CB128" s="26" t="s">
        <v>1238</v>
      </c>
    </row>
    <row r="129" spans="4:80">
      <c r="D129" t="s">
        <v>1363</v>
      </c>
      <c r="E129" t="s">
        <v>1364</v>
      </c>
      <c r="R129" s="26" t="s">
        <v>1323</v>
      </c>
      <c r="S129" s="26" t="s">
        <v>543</v>
      </c>
      <c r="Z129" s="30" t="s">
        <v>1078</v>
      </c>
      <c r="AA129" s="30" t="s">
        <v>1275</v>
      </c>
      <c r="BD129" s="43" t="s">
        <v>1728</v>
      </c>
      <c r="BE129" s="40" t="s">
        <v>1729</v>
      </c>
      <c r="BF129" s="40"/>
      <c r="CA129" s="26" t="s">
        <v>1323</v>
      </c>
      <c r="CB129" s="26" t="s">
        <v>1323</v>
      </c>
    </row>
    <row r="130" spans="4:80">
      <c r="D130" t="s">
        <v>1267</v>
      </c>
      <c r="E130" t="s">
        <v>1365</v>
      </c>
      <c r="R130" s="26" t="s">
        <v>1227</v>
      </c>
      <c r="S130" s="26" t="s">
        <v>902</v>
      </c>
      <c r="Z130" s="30" t="s">
        <v>1348</v>
      </c>
      <c r="AA130" s="31" t="s">
        <v>856</v>
      </c>
      <c r="BD130" s="40" t="s">
        <v>1730</v>
      </c>
      <c r="BE130" s="40" t="s">
        <v>1729</v>
      </c>
      <c r="BF130" s="40"/>
      <c r="CA130" s="26" t="s">
        <v>1227</v>
      </c>
      <c r="CB130" s="26" t="s">
        <v>1227</v>
      </c>
    </row>
    <row r="131" spans="4:80">
      <c r="D131" t="s">
        <v>1269</v>
      </c>
      <c r="E131" t="s">
        <v>1366</v>
      </c>
      <c r="R131" s="26" t="s">
        <v>1367</v>
      </c>
      <c r="S131" s="26" t="s">
        <v>886</v>
      </c>
      <c r="Z131" s="30" t="s">
        <v>927</v>
      </c>
      <c r="AA131" s="31" t="s">
        <v>856</v>
      </c>
      <c r="BD131" s="40" t="s">
        <v>1731</v>
      </c>
      <c r="BE131" s="40" t="s">
        <v>1732</v>
      </c>
      <c r="BF131" s="40"/>
      <c r="CA131" s="26" t="s">
        <v>1367</v>
      </c>
      <c r="CB131" s="26" t="s">
        <v>886</v>
      </c>
    </row>
    <row r="132" spans="4:80">
      <c r="D132" t="s">
        <v>1272</v>
      </c>
      <c r="E132" t="s">
        <v>1368</v>
      </c>
      <c r="R132" s="26" t="s">
        <v>855</v>
      </c>
      <c r="S132" s="26" t="s">
        <v>871</v>
      </c>
      <c r="Z132" s="30" t="s">
        <v>1121</v>
      </c>
      <c r="AA132" s="31" t="s">
        <v>856</v>
      </c>
      <c r="BD132" s="48" t="s">
        <v>1733</v>
      </c>
      <c r="BE132" s="40" t="s">
        <v>1734</v>
      </c>
      <c r="BF132" s="40"/>
      <c r="CA132" s="26" t="s">
        <v>855</v>
      </c>
      <c r="CB132" s="26" t="s">
        <v>1496</v>
      </c>
    </row>
    <row r="133" spans="4:80">
      <c r="D133" t="s">
        <v>1274</v>
      </c>
      <c r="E133" t="s">
        <v>1369</v>
      </c>
      <c r="R133" s="26" t="s">
        <v>1370</v>
      </c>
      <c r="S133" s="26" t="s">
        <v>543</v>
      </c>
      <c r="Z133" s="30" t="s">
        <v>901</v>
      </c>
      <c r="AA133" s="30" t="s">
        <v>1275</v>
      </c>
      <c r="BD133" s="40" t="s">
        <v>1735</v>
      </c>
      <c r="BE133" s="40" t="s">
        <v>1735</v>
      </c>
      <c r="BF133" s="40"/>
      <c r="CA133" s="26" t="s">
        <v>1370</v>
      </c>
      <c r="CB133" s="26" t="s">
        <v>1278</v>
      </c>
    </row>
    <row r="134" spans="4:80">
      <c r="D134" t="s">
        <v>1172</v>
      </c>
      <c r="E134" t="s">
        <v>1371</v>
      </c>
      <c r="R134" s="26" t="s">
        <v>1372</v>
      </c>
      <c r="S134" s="26" t="s">
        <v>871</v>
      </c>
      <c r="Z134" s="30" t="s">
        <v>1359</v>
      </c>
      <c r="AA134" s="30" t="s">
        <v>1275</v>
      </c>
      <c r="BD134" s="41" t="s">
        <v>1736</v>
      </c>
      <c r="BE134" s="40" t="s">
        <v>1737</v>
      </c>
      <c r="BF134" s="40"/>
      <c r="CA134" s="26" t="s">
        <v>1372</v>
      </c>
      <c r="CB134" s="26" t="s">
        <v>1372</v>
      </c>
    </row>
    <row r="135" spans="4:80">
      <c r="D135" t="s">
        <v>1281</v>
      </c>
      <c r="E135" t="s">
        <v>1373</v>
      </c>
      <c r="R135" s="26" t="s">
        <v>1040</v>
      </c>
      <c r="S135" s="26" t="s">
        <v>543</v>
      </c>
      <c r="Z135" s="30" t="s">
        <v>978</v>
      </c>
      <c r="AA135" s="30" t="s">
        <v>1138</v>
      </c>
      <c r="BD135" s="40" t="s">
        <v>1738</v>
      </c>
      <c r="BE135" s="40" t="s">
        <v>1738</v>
      </c>
      <c r="BF135" s="40"/>
      <c r="CA135" s="26" t="s">
        <v>1040</v>
      </c>
      <c r="CB135" s="26" t="s">
        <v>1040</v>
      </c>
    </row>
    <row r="136" spans="4:80">
      <c r="D136" t="s">
        <v>1242</v>
      </c>
      <c r="E136" t="s">
        <v>1374</v>
      </c>
      <c r="R136" s="26" t="s">
        <v>1375</v>
      </c>
      <c r="S136" s="26" t="s">
        <v>871</v>
      </c>
      <c r="Z136" s="30" t="s">
        <v>976</v>
      </c>
      <c r="AA136" s="31" t="s">
        <v>856</v>
      </c>
      <c r="BD136" t="s">
        <v>1739</v>
      </c>
      <c r="BE136" s="40" t="s">
        <v>1740</v>
      </c>
      <c r="BF136" s="40"/>
      <c r="CA136" s="26" t="s">
        <v>1375</v>
      </c>
      <c r="CB136" s="26" t="s">
        <v>1375</v>
      </c>
    </row>
    <row r="137" spans="4:80">
      <c r="D137" t="s">
        <v>1284</v>
      </c>
      <c r="E137" t="s">
        <v>1376</v>
      </c>
      <c r="R137" s="26" t="s">
        <v>995</v>
      </c>
      <c r="S137" s="26" t="s">
        <v>902</v>
      </c>
      <c r="Z137" s="30" t="s">
        <v>1016</v>
      </c>
      <c r="AA137" s="31" t="s">
        <v>856</v>
      </c>
      <c r="BD137" s="40" t="s">
        <v>1741</v>
      </c>
      <c r="BE137" s="40" t="s">
        <v>607</v>
      </c>
      <c r="BF137" s="40"/>
      <c r="CA137" s="26" t="s">
        <v>995</v>
      </c>
      <c r="CB137" s="26" t="s">
        <v>1506</v>
      </c>
    </row>
    <row r="138" spans="4:80">
      <c r="D138" t="s">
        <v>1238</v>
      </c>
      <c r="E138" t="s">
        <v>1377</v>
      </c>
      <c r="R138" s="26" t="s">
        <v>1378</v>
      </c>
      <c r="S138" s="26" t="s">
        <v>902</v>
      </c>
      <c r="Z138" s="30" t="s">
        <v>918</v>
      </c>
      <c r="AA138" s="30" t="s">
        <v>1275</v>
      </c>
      <c r="BD138" s="40" t="s">
        <v>1742</v>
      </c>
      <c r="BE138" s="40" t="s">
        <v>1743</v>
      </c>
      <c r="BF138" s="40"/>
      <c r="CA138" s="26" t="s">
        <v>1378</v>
      </c>
      <c r="CB138" s="26" t="s">
        <v>1506</v>
      </c>
    </row>
    <row r="139" spans="4:80">
      <c r="D139" t="s">
        <v>1288</v>
      </c>
      <c r="E139" t="s">
        <v>1379</v>
      </c>
      <c r="R139" s="26" t="s">
        <v>1013</v>
      </c>
      <c r="S139" s="26" t="s">
        <v>902</v>
      </c>
      <c r="Z139" s="30" t="s">
        <v>1269</v>
      </c>
      <c r="AA139" s="31" t="s">
        <v>856</v>
      </c>
      <c r="BD139" s="40" t="s">
        <v>1744</v>
      </c>
      <c r="BE139" s="40" t="s">
        <v>1744</v>
      </c>
      <c r="BF139" s="40"/>
      <c r="CA139" s="26" t="s">
        <v>1013</v>
      </c>
      <c r="CB139" s="26" t="s">
        <v>1506</v>
      </c>
    </row>
    <row r="140" spans="4:80">
      <c r="D140" t="s">
        <v>1290</v>
      </c>
      <c r="E140" t="s">
        <v>1380</v>
      </c>
      <c r="R140" s="26" t="s">
        <v>1018</v>
      </c>
      <c r="S140" s="26" t="s">
        <v>902</v>
      </c>
      <c r="Z140" s="30" t="s">
        <v>1274</v>
      </c>
      <c r="AA140" s="30" t="s">
        <v>1138</v>
      </c>
      <c r="BD140" s="40" t="s">
        <v>1745</v>
      </c>
      <c r="BE140" s="40" t="s">
        <v>1745</v>
      </c>
      <c r="BF140" s="40"/>
      <c r="CA140" s="26" t="s">
        <v>1018</v>
      </c>
      <c r="CB140" s="26" t="s">
        <v>1506</v>
      </c>
    </row>
    <row r="141" spans="4:80">
      <c r="D141" t="s">
        <v>1292</v>
      </c>
      <c r="E141" t="s">
        <v>1381</v>
      </c>
      <c r="R141" s="26" t="s">
        <v>885</v>
      </c>
      <c r="S141" s="26" t="s">
        <v>902</v>
      </c>
      <c r="Z141" s="30" t="s">
        <v>1033</v>
      </c>
      <c r="AA141" s="30" t="s">
        <v>1138</v>
      </c>
      <c r="BD141" s="40" t="s">
        <v>1746</v>
      </c>
      <c r="BE141" s="40" t="s">
        <v>1747</v>
      </c>
      <c r="BF141" s="40"/>
      <c r="CA141" s="26" t="s">
        <v>885</v>
      </c>
      <c r="CB141" s="26" t="s">
        <v>1506</v>
      </c>
    </row>
    <row r="142" spans="4:80">
      <c r="D142" t="s">
        <v>1259</v>
      </c>
      <c r="E142" t="s">
        <v>1382</v>
      </c>
      <c r="R142" s="26" t="s">
        <v>1030</v>
      </c>
      <c r="S142" s="26" t="s">
        <v>902</v>
      </c>
      <c r="Z142" s="30" t="s">
        <v>1180</v>
      </c>
      <c r="AA142" s="31" t="s">
        <v>856</v>
      </c>
      <c r="BD142" s="40" t="s">
        <v>1748</v>
      </c>
      <c r="BE142" s="40" t="s">
        <v>1749</v>
      </c>
      <c r="BF142" s="40"/>
      <c r="CA142" s="26" t="s">
        <v>1030</v>
      </c>
      <c r="CB142" s="26" t="s">
        <v>1506</v>
      </c>
    </row>
    <row r="143" spans="4:80">
      <c r="D143" t="s">
        <v>1053</v>
      </c>
      <c r="E143" t="s">
        <v>1383</v>
      </c>
      <c r="R143" s="26" t="s">
        <v>1384</v>
      </c>
      <c r="S143" s="26" t="s">
        <v>902</v>
      </c>
      <c r="Z143" s="30" t="s">
        <v>1295</v>
      </c>
      <c r="AA143" s="30" t="s">
        <v>1275</v>
      </c>
      <c r="BD143" s="40" t="s">
        <v>1750</v>
      </c>
      <c r="BE143" s="40" t="s">
        <v>1751</v>
      </c>
      <c r="BF143" s="40"/>
      <c r="CA143" s="26" t="s">
        <v>1384</v>
      </c>
      <c r="CB143" s="26" t="s">
        <v>1506</v>
      </c>
    </row>
    <row r="144" spans="4:80">
      <c r="D144" t="s">
        <v>1295</v>
      </c>
      <c r="E144" t="s">
        <v>1385</v>
      </c>
      <c r="R144" s="26" t="s">
        <v>37</v>
      </c>
      <c r="S144" s="26" t="s">
        <v>871</v>
      </c>
      <c r="Z144" s="30" t="s">
        <v>1303</v>
      </c>
      <c r="AA144" s="30" t="s">
        <v>1194</v>
      </c>
      <c r="BD144" s="40" t="s">
        <v>1752</v>
      </c>
      <c r="BE144" s="40" t="s">
        <v>1752</v>
      </c>
      <c r="BF144" s="40"/>
      <c r="CA144" s="26" t="s">
        <v>37</v>
      </c>
      <c r="CB144" s="26" t="s">
        <v>37</v>
      </c>
    </row>
    <row r="145" spans="4:80">
      <c r="D145" t="s">
        <v>870</v>
      </c>
      <c r="E145" t="s">
        <v>1386</v>
      </c>
      <c r="R145" s="26" t="s">
        <v>1191</v>
      </c>
      <c r="S145" s="26" t="s">
        <v>871</v>
      </c>
      <c r="Z145" s="30" t="s">
        <v>1021</v>
      </c>
      <c r="AA145" s="31" t="s">
        <v>856</v>
      </c>
      <c r="BD145" s="40" t="s">
        <v>1753</v>
      </c>
      <c r="BE145" s="40" t="s">
        <v>1754</v>
      </c>
      <c r="BF145" s="40"/>
      <c r="CA145" s="26" t="s">
        <v>1191</v>
      </c>
      <c r="CB145" s="26" t="s">
        <v>1191</v>
      </c>
    </row>
    <row r="146" spans="4:80">
      <c r="D146" t="s">
        <v>1231</v>
      </c>
      <c r="E146" t="s">
        <v>1387</v>
      </c>
      <c r="R146" s="26" t="s">
        <v>1247</v>
      </c>
      <c r="S146" s="26" t="s">
        <v>871</v>
      </c>
      <c r="Z146" s="30" t="s">
        <v>1069</v>
      </c>
      <c r="AA146" s="31" t="s">
        <v>856</v>
      </c>
      <c r="BD146" s="40" t="s">
        <v>1002</v>
      </c>
      <c r="BE146" s="40" t="s">
        <v>1002</v>
      </c>
      <c r="BF146" s="40"/>
      <c r="CA146" s="26" t="s">
        <v>1247</v>
      </c>
      <c r="CB146" s="26" t="s">
        <v>37</v>
      </c>
    </row>
    <row r="147" spans="4:80">
      <c r="D147" t="s">
        <v>1255</v>
      </c>
      <c r="E147" t="s">
        <v>1388</v>
      </c>
      <c r="R147" s="26" t="s">
        <v>978</v>
      </c>
      <c r="S147" s="26" t="s">
        <v>871</v>
      </c>
      <c r="Z147" s="30" t="s">
        <v>1204</v>
      </c>
      <c r="AA147" s="31" t="s">
        <v>856</v>
      </c>
      <c r="BD147" s="40" t="s">
        <v>1755</v>
      </c>
      <c r="BE147" s="40" t="s">
        <v>639</v>
      </c>
      <c r="BF147" s="40"/>
      <c r="CA147" s="26" t="s">
        <v>978</v>
      </c>
      <c r="CB147" s="26" t="s">
        <v>37</v>
      </c>
    </row>
    <row r="148" spans="4:80">
      <c r="D148" t="s">
        <v>1143</v>
      </c>
      <c r="E148" t="s">
        <v>1389</v>
      </c>
      <c r="R148" s="26" t="s">
        <v>1390</v>
      </c>
      <c r="S148" s="26" t="s">
        <v>543</v>
      </c>
      <c r="Z148" s="30" t="s">
        <v>1212</v>
      </c>
      <c r="AA148" s="30" t="s">
        <v>1275</v>
      </c>
      <c r="BD148" s="40" t="s">
        <v>1756</v>
      </c>
      <c r="BE148" s="40" t="s">
        <v>1757</v>
      </c>
      <c r="BF148" s="40"/>
      <c r="CA148" s="26" t="s">
        <v>1390</v>
      </c>
      <c r="CB148" s="26" t="s">
        <v>1390</v>
      </c>
    </row>
    <row r="149" spans="4:80">
      <c r="D149" t="s">
        <v>1301</v>
      </c>
      <c r="E149" t="s">
        <v>1391</v>
      </c>
      <c r="R149" s="26" t="s">
        <v>1320</v>
      </c>
      <c r="S149" s="26" t="s">
        <v>871</v>
      </c>
      <c r="Z149" s="30" t="s">
        <v>940</v>
      </c>
      <c r="AA149" s="31" t="s">
        <v>856</v>
      </c>
      <c r="BD149" s="40" t="s">
        <v>1758</v>
      </c>
      <c r="BE149" s="40" t="s">
        <v>1759</v>
      </c>
      <c r="BF149" s="40"/>
      <c r="CA149" s="26" t="s">
        <v>1320</v>
      </c>
      <c r="CB149" s="26" t="s">
        <v>1320</v>
      </c>
    </row>
    <row r="150" spans="4:80">
      <c r="D150" t="s">
        <v>1296</v>
      </c>
      <c r="E150" t="s">
        <v>1392</v>
      </c>
      <c r="R150" s="26" t="s">
        <v>1393</v>
      </c>
      <c r="S150" s="26" t="s">
        <v>902</v>
      </c>
      <c r="Z150" s="30" t="s">
        <v>1393</v>
      </c>
      <c r="AA150" s="31" t="s">
        <v>856</v>
      </c>
      <c r="BD150" s="40" t="s">
        <v>1760</v>
      </c>
      <c r="BE150" s="40" t="s">
        <v>1761</v>
      </c>
      <c r="BF150" s="40"/>
      <c r="CA150" s="26" t="s">
        <v>1393</v>
      </c>
      <c r="CB150" s="26" t="s">
        <v>1393</v>
      </c>
    </row>
    <row r="151" spans="4:80">
      <c r="D151" t="s">
        <v>1305</v>
      </c>
      <c r="E151" t="s">
        <v>1394</v>
      </c>
      <c r="R151" s="26" t="s">
        <v>1133</v>
      </c>
      <c r="S151" s="26" t="s">
        <v>543</v>
      </c>
      <c r="Z151" s="30" t="s">
        <v>1176</v>
      </c>
      <c r="AA151" s="31" t="s">
        <v>856</v>
      </c>
      <c r="BD151" s="40" t="s">
        <v>1762</v>
      </c>
      <c r="BE151" s="40" t="s">
        <v>1763</v>
      </c>
      <c r="BF151" s="40"/>
      <c r="CA151" s="26" t="s">
        <v>1133</v>
      </c>
      <c r="CB151" s="26" t="s">
        <v>1397</v>
      </c>
    </row>
    <row r="152" spans="4:80">
      <c r="D152" t="s">
        <v>1395</v>
      </c>
      <c r="E152" t="s">
        <v>1396</v>
      </c>
      <c r="R152" s="27" t="s">
        <v>1397</v>
      </c>
      <c r="S152" s="27" t="s">
        <v>543</v>
      </c>
      <c r="Z152" s="30" t="s">
        <v>1311</v>
      </c>
      <c r="AA152" s="31" t="s">
        <v>856</v>
      </c>
      <c r="BD152" s="40" t="s">
        <v>1764</v>
      </c>
      <c r="BE152" s="40" t="s">
        <v>1765</v>
      </c>
      <c r="BF152" s="40"/>
      <c r="CA152" s="27" t="s">
        <v>1397</v>
      </c>
      <c r="CB152" s="27" t="s">
        <v>1397</v>
      </c>
    </row>
    <row r="153" spans="4:80">
      <c r="D153" t="s">
        <v>1398</v>
      </c>
      <c r="E153" t="s">
        <v>1399</v>
      </c>
      <c r="R153" s="26" t="s">
        <v>1048</v>
      </c>
      <c r="S153" s="26" t="s">
        <v>871</v>
      </c>
      <c r="Z153" s="30" t="s">
        <v>1400</v>
      </c>
      <c r="AA153" s="31" t="s">
        <v>856</v>
      </c>
      <c r="BD153" s="49" t="s">
        <v>1766</v>
      </c>
      <c r="BE153" s="40" t="s">
        <v>1767</v>
      </c>
      <c r="BF153" s="40"/>
      <c r="CA153" s="26" t="s">
        <v>1048</v>
      </c>
      <c r="CB153" s="26" t="s">
        <v>1122</v>
      </c>
    </row>
    <row r="154" spans="4:80">
      <c r="D154" t="s">
        <v>1122</v>
      </c>
      <c r="E154" t="s">
        <v>1401</v>
      </c>
      <c r="R154" s="26" t="s">
        <v>1311</v>
      </c>
      <c r="S154" s="26" t="s">
        <v>919</v>
      </c>
      <c r="Z154" s="30" t="s">
        <v>1133</v>
      </c>
      <c r="AA154" s="31" t="s">
        <v>856</v>
      </c>
      <c r="BD154" s="40" t="s">
        <v>1768</v>
      </c>
      <c r="BE154" s="40" t="s">
        <v>1769</v>
      </c>
      <c r="BF154" s="40"/>
      <c r="CA154" s="26" t="s">
        <v>1311</v>
      </c>
      <c r="CB154" s="26" t="s">
        <v>919</v>
      </c>
    </row>
    <row r="155" spans="4:80">
      <c r="D155" t="s">
        <v>1319</v>
      </c>
      <c r="E155" t="s">
        <v>1402</v>
      </c>
      <c r="R155" s="26" t="s">
        <v>1308</v>
      </c>
      <c r="S155" s="26" t="s">
        <v>919</v>
      </c>
      <c r="Z155" s="30" t="s">
        <v>1403</v>
      </c>
      <c r="AA155" s="31" t="s">
        <v>856</v>
      </c>
      <c r="BD155" s="40" t="s">
        <v>1770</v>
      </c>
      <c r="BE155" s="40" t="s">
        <v>1771</v>
      </c>
      <c r="BF155" s="40"/>
      <c r="CA155" s="26" t="s">
        <v>1308</v>
      </c>
      <c r="CB155" s="26" t="s">
        <v>919</v>
      </c>
    </row>
    <row r="156" spans="4:80">
      <c r="D156" t="s">
        <v>1001</v>
      </c>
      <c r="E156" t="s">
        <v>1404</v>
      </c>
      <c r="R156" s="26" t="s">
        <v>971</v>
      </c>
      <c r="S156" s="26" t="s">
        <v>543</v>
      </c>
      <c r="Z156" s="30" t="s">
        <v>1117</v>
      </c>
      <c r="AA156" s="31" t="s">
        <v>856</v>
      </c>
      <c r="BD156" s="40" t="s">
        <v>1772</v>
      </c>
      <c r="BE156" s="40" t="s">
        <v>1773</v>
      </c>
      <c r="BF156" s="40"/>
      <c r="CA156" s="26" t="s">
        <v>971</v>
      </c>
      <c r="CB156" s="26" t="s">
        <v>971</v>
      </c>
    </row>
    <row r="157" spans="4:80">
      <c r="D157" t="s">
        <v>1405</v>
      </c>
      <c r="E157" t="s">
        <v>1406</v>
      </c>
      <c r="R157" s="26" t="s">
        <v>1407</v>
      </c>
      <c r="S157" s="26" t="s">
        <v>871</v>
      </c>
      <c r="Z157" s="30" t="s">
        <v>1220</v>
      </c>
      <c r="AA157" s="30" t="s">
        <v>1194</v>
      </c>
      <c r="BD157" s="50" t="s">
        <v>1774</v>
      </c>
      <c r="BE157" s="40" t="s">
        <v>1767</v>
      </c>
      <c r="BF157" s="40"/>
      <c r="CA157" s="26" t="s">
        <v>1407</v>
      </c>
      <c r="CB157" s="26" t="s">
        <v>1407</v>
      </c>
    </row>
    <row r="158" spans="4:80">
      <c r="D158" t="s">
        <v>1249</v>
      </c>
      <c r="E158" t="s">
        <v>1408</v>
      </c>
      <c r="R158" s="26" t="s">
        <v>1162</v>
      </c>
      <c r="S158" s="26" t="s">
        <v>933</v>
      </c>
      <c r="Z158" s="30" t="s">
        <v>1105</v>
      </c>
      <c r="AA158" s="30" t="s">
        <v>1194</v>
      </c>
      <c r="BD158" s="40" t="s">
        <v>1775</v>
      </c>
      <c r="BE158" s="40" t="s">
        <v>1776</v>
      </c>
      <c r="BF158" s="40"/>
      <c r="CA158" s="26" t="s">
        <v>1162</v>
      </c>
      <c r="CB158" s="26" t="s">
        <v>1162</v>
      </c>
    </row>
    <row r="159" spans="4:80">
      <c r="D159" t="s">
        <v>1213</v>
      </c>
      <c r="E159" t="s">
        <v>1409</v>
      </c>
      <c r="R159" s="26" t="s">
        <v>1363</v>
      </c>
      <c r="S159" s="26" t="s">
        <v>933</v>
      </c>
      <c r="Z159" s="30" t="s">
        <v>1367</v>
      </c>
      <c r="AA159" s="31" t="s">
        <v>856</v>
      </c>
      <c r="BD159" s="40" t="s">
        <v>1777</v>
      </c>
      <c r="BE159" s="40" t="s">
        <v>654</v>
      </c>
      <c r="BF159" s="40"/>
      <c r="CA159" s="26" t="s">
        <v>1363</v>
      </c>
      <c r="CB159" s="26" t="s">
        <v>1363</v>
      </c>
    </row>
    <row r="160" spans="4:80">
      <c r="D160" t="s">
        <v>1400</v>
      </c>
      <c r="E160" t="s">
        <v>1410</v>
      </c>
      <c r="R160" s="26" t="s">
        <v>1112</v>
      </c>
      <c r="S160" s="26" t="s">
        <v>543</v>
      </c>
      <c r="Z160" s="30" t="s">
        <v>1052</v>
      </c>
      <c r="AA160" s="30" t="s">
        <v>1194</v>
      </c>
      <c r="BD160" s="40" t="s">
        <v>1778</v>
      </c>
      <c r="BE160" s="40" t="s">
        <v>1779</v>
      </c>
      <c r="BF160" s="40"/>
      <c r="CA160" s="26" t="s">
        <v>1112</v>
      </c>
      <c r="CB160" s="26" t="s">
        <v>1112</v>
      </c>
    </row>
    <row r="161" spans="4:80">
      <c r="D161" t="s">
        <v>1407</v>
      </c>
      <c r="E161" t="s">
        <v>1411</v>
      </c>
      <c r="R161" s="26" t="s">
        <v>1250</v>
      </c>
      <c r="S161" s="26" t="s">
        <v>902</v>
      </c>
      <c r="Z161" s="30" t="s">
        <v>1337</v>
      </c>
      <c r="AA161" s="31" t="s">
        <v>856</v>
      </c>
      <c r="BD161" s="40" t="s">
        <v>1780</v>
      </c>
      <c r="BE161" s="40" t="s">
        <v>1781</v>
      </c>
      <c r="BF161" s="40"/>
      <c r="CA161" s="26" t="s">
        <v>1250</v>
      </c>
      <c r="CB161" s="26" t="s">
        <v>1250</v>
      </c>
    </row>
    <row r="162" spans="4:80">
      <c r="D162" t="s">
        <v>1403</v>
      </c>
      <c r="E162" t="s">
        <v>1412</v>
      </c>
      <c r="R162" s="26" t="s">
        <v>1400</v>
      </c>
      <c r="S162" s="26" t="s">
        <v>871</v>
      </c>
      <c r="Z162" s="30" t="s">
        <v>1375</v>
      </c>
      <c r="AA162" s="30" t="s">
        <v>1275</v>
      </c>
      <c r="BD162" s="40" t="s">
        <v>1782</v>
      </c>
      <c r="BE162" s="40" t="s">
        <v>1783</v>
      </c>
      <c r="BF162" s="40"/>
      <c r="CA162" s="26" t="s">
        <v>1400</v>
      </c>
      <c r="CB162" s="26" t="s">
        <v>1400</v>
      </c>
    </row>
    <row r="163" spans="4:80">
      <c r="D163" t="s">
        <v>1413</v>
      </c>
      <c r="E163" t="s">
        <v>1414</v>
      </c>
      <c r="R163" s="26" t="s">
        <v>1415</v>
      </c>
      <c r="S163" s="26" t="s">
        <v>543</v>
      </c>
      <c r="Z163" s="30" t="s">
        <v>1308</v>
      </c>
      <c r="AA163" s="31" t="s">
        <v>856</v>
      </c>
      <c r="BD163" s="40" t="s">
        <v>1784</v>
      </c>
      <c r="BE163" s="40" t="s">
        <v>1785</v>
      </c>
      <c r="BF163" s="40"/>
      <c r="CA163" s="26" t="s">
        <v>1415</v>
      </c>
      <c r="CB163" s="26" t="s">
        <v>1415</v>
      </c>
    </row>
    <row r="164" spans="4:80">
      <c r="D164" t="s">
        <v>631</v>
      </c>
      <c r="E164" t="s">
        <v>1416</v>
      </c>
      <c r="R164" s="26" t="s">
        <v>1313</v>
      </c>
      <c r="S164" s="26" t="s">
        <v>919</v>
      </c>
      <c r="Z164" s="30" t="s">
        <v>1315</v>
      </c>
      <c r="AA164" s="31" t="s">
        <v>856</v>
      </c>
      <c r="BD164" s="40" t="s">
        <v>1786</v>
      </c>
      <c r="BE164" s="40" t="s">
        <v>1787</v>
      </c>
      <c r="BF164" s="40"/>
      <c r="CA164" s="26" t="s">
        <v>1313</v>
      </c>
      <c r="CB164" s="26" t="s">
        <v>919</v>
      </c>
    </row>
    <row r="165" spans="4:80">
      <c r="D165" t="s">
        <v>1332</v>
      </c>
      <c r="E165" t="s">
        <v>1417</v>
      </c>
      <c r="R165" s="26" t="s">
        <v>1324</v>
      </c>
      <c r="S165" s="26" t="s">
        <v>919</v>
      </c>
      <c r="Z165" s="30" t="s">
        <v>1048</v>
      </c>
      <c r="AA165" s="30" t="s">
        <v>1194</v>
      </c>
      <c r="BD165" s="40" t="s">
        <v>1788</v>
      </c>
      <c r="BE165" s="40" t="s">
        <v>1789</v>
      </c>
      <c r="BF165" s="40"/>
      <c r="CA165" s="26" t="s">
        <v>1324</v>
      </c>
      <c r="CB165" s="26" t="s">
        <v>919</v>
      </c>
    </row>
    <row r="166" spans="4:80">
      <c r="D166" t="s">
        <v>1199</v>
      </c>
      <c r="E166" t="s">
        <v>1418</v>
      </c>
      <c r="R166" s="26" t="s">
        <v>1315</v>
      </c>
      <c r="S166" s="26" t="s">
        <v>919</v>
      </c>
      <c r="Z166" s="30" t="s">
        <v>631</v>
      </c>
      <c r="AA166" s="31" t="s">
        <v>856</v>
      </c>
      <c r="BD166" s="40" t="s">
        <v>1790</v>
      </c>
      <c r="BE166" s="40" t="s">
        <v>1791</v>
      </c>
      <c r="BF166" s="40"/>
      <c r="CA166" s="26" t="s">
        <v>1315</v>
      </c>
      <c r="CB166" s="26" t="s">
        <v>919</v>
      </c>
    </row>
    <row r="167" spans="4:80">
      <c r="D167" t="s">
        <v>1334</v>
      </c>
      <c r="E167" t="s">
        <v>1419</v>
      </c>
      <c r="R167" s="26" t="s">
        <v>1340</v>
      </c>
      <c r="S167" s="26" t="s">
        <v>871</v>
      </c>
      <c r="Z167" s="30" t="s">
        <v>1397</v>
      </c>
      <c r="AA167" s="31" t="s">
        <v>856</v>
      </c>
      <c r="BD167" s="40" t="s">
        <v>1792</v>
      </c>
      <c r="BE167" s="40" t="s">
        <v>1793</v>
      </c>
      <c r="BF167" s="40"/>
      <c r="CA167" s="26" t="s">
        <v>1340</v>
      </c>
      <c r="CB167" s="26" t="s">
        <v>1340</v>
      </c>
    </row>
    <row r="168" spans="4:80">
      <c r="D168" t="s">
        <v>1336</v>
      </c>
      <c r="E168" t="s">
        <v>1420</v>
      </c>
      <c r="R168" s="26" t="s">
        <v>1084</v>
      </c>
      <c r="S168" s="26" t="s">
        <v>919</v>
      </c>
      <c r="Z168" s="30" t="s">
        <v>1413</v>
      </c>
      <c r="AA168" s="31" t="s">
        <v>856</v>
      </c>
      <c r="BD168" s="40" t="s">
        <v>1794</v>
      </c>
      <c r="BE168" s="40" t="s">
        <v>1795</v>
      </c>
      <c r="BF168" s="40"/>
      <c r="CA168" s="26" t="s">
        <v>1084</v>
      </c>
      <c r="CB168" s="26" t="s">
        <v>919</v>
      </c>
    </row>
    <row r="169" spans="4:80">
      <c r="D169" t="s">
        <v>1339</v>
      </c>
      <c r="E169" t="s">
        <v>1421</v>
      </c>
      <c r="R169" s="26" t="s">
        <v>1398</v>
      </c>
      <c r="S169" s="26" t="s">
        <v>919</v>
      </c>
      <c r="Z169" s="30" t="s">
        <v>1123</v>
      </c>
      <c r="AA169" s="31" t="s">
        <v>856</v>
      </c>
      <c r="BD169" s="40" t="s">
        <v>1796</v>
      </c>
      <c r="BE169" s="40" t="s">
        <v>1797</v>
      </c>
      <c r="BF169" s="40"/>
      <c r="CA169" s="26" t="s">
        <v>1398</v>
      </c>
      <c r="CB169" s="26" t="s">
        <v>919</v>
      </c>
    </row>
    <row r="170" spans="4:80">
      <c r="D170" t="s">
        <v>886</v>
      </c>
      <c r="E170" t="s">
        <v>1422</v>
      </c>
      <c r="R170" s="26" t="s">
        <v>1167</v>
      </c>
      <c r="S170" s="26" t="s">
        <v>919</v>
      </c>
      <c r="Z170" s="30" t="s">
        <v>1142</v>
      </c>
      <c r="AA170" s="30" t="s">
        <v>1138</v>
      </c>
      <c r="BD170" s="40" t="s">
        <v>1798</v>
      </c>
      <c r="BE170" s="40" t="s">
        <v>1798</v>
      </c>
      <c r="BF170" s="40"/>
      <c r="CA170" s="26" t="s">
        <v>1167</v>
      </c>
      <c r="CB170" s="26" t="s">
        <v>919</v>
      </c>
    </row>
    <row r="171" spans="4:80">
      <c r="D171" t="s">
        <v>1328</v>
      </c>
      <c r="E171" t="s">
        <v>1423</v>
      </c>
      <c r="R171" s="26" t="s">
        <v>1353</v>
      </c>
      <c r="S171" s="26" t="s">
        <v>919</v>
      </c>
      <c r="Z171" s="31"/>
      <c r="AA171" s="31" t="s">
        <v>856</v>
      </c>
      <c r="BD171" s="40" t="s">
        <v>1799</v>
      </c>
      <c r="BE171" s="40" t="s">
        <v>1800</v>
      </c>
      <c r="BF171" s="40"/>
      <c r="CA171" s="26" t="s">
        <v>1353</v>
      </c>
      <c r="CB171" s="26" t="s">
        <v>919</v>
      </c>
    </row>
    <row r="172" spans="4:80">
      <c r="D172" t="s">
        <v>1303</v>
      </c>
      <c r="E172" t="s">
        <v>1424</v>
      </c>
      <c r="R172" s="26" t="s">
        <v>1357</v>
      </c>
      <c r="S172" s="26" t="s">
        <v>919</v>
      </c>
      <c r="Z172" s="30" t="s">
        <v>1306</v>
      </c>
      <c r="AA172" s="30" t="s">
        <v>1194</v>
      </c>
      <c r="BD172" s="40" t="s">
        <v>1801</v>
      </c>
      <c r="BE172" s="40" t="s">
        <v>1802</v>
      </c>
      <c r="BF172" s="40"/>
      <c r="CA172" s="26" t="s">
        <v>1357</v>
      </c>
      <c r="CB172" s="26" t="s">
        <v>919</v>
      </c>
    </row>
    <row r="173" spans="4:80">
      <c r="D173" t="s">
        <v>1326</v>
      </c>
      <c r="E173" t="s">
        <v>1425</v>
      </c>
      <c r="R173" s="26" t="s">
        <v>951</v>
      </c>
      <c r="S173" s="26" t="s">
        <v>919</v>
      </c>
      <c r="Z173" s="30" t="s">
        <v>1324</v>
      </c>
      <c r="AA173" s="31" t="s">
        <v>856</v>
      </c>
      <c r="BD173" s="40" t="s">
        <v>1803</v>
      </c>
      <c r="BE173" s="40" t="s">
        <v>1804</v>
      </c>
      <c r="BF173" s="40"/>
      <c r="CA173" s="26" t="s">
        <v>951</v>
      </c>
      <c r="CB173" s="26" t="s">
        <v>919</v>
      </c>
    </row>
    <row r="174" spans="4:80">
      <c r="D174" t="s">
        <v>1348</v>
      </c>
      <c r="E174" t="s">
        <v>1054</v>
      </c>
      <c r="R174" s="26" t="s">
        <v>1065</v>
      </c>
      <c r="S174" s="26" t="s">
        <v>919</v>
      </c>
      <c r="Z174" s="30" t="s">
        <v>1319</v>
      </c>
      <c r="AA174" s="30" t="s">
        <v>1194</v>
      </c>
      <c r="BD174" s="40" t="s">
        <v>693</v>
      </c>
      <c r="BE174" s="40" t="s">
        <v>693</v>
      </c>
      <c r="BF174" s="40"/>
      <c r="CA174" s="26" t="s">
        <v>1065</v>
      </c>
      <c r="CB174" s="26" t="s">
        <v>919</v>
      </c>
    </row>
    <row r="175" spans="4:80">
      <c r="D175" t="s">
        <v>1137</v>
      </c>
      <c r="E175" t="s">
        <v>1426</v>
      </c>
      <c r="R175" s="26" t="s">
        <v>1279</v>
      </c>
      <c r="S175" s="26" t="s">
        <v>919</v>
      </c>
      <c r="Z175" s="30" t="s">
        <v>880</v>
      </c>
      <c r="AA175" s="30" t="s">
        <v>1194</v>
      </c>
      <c r="BD175" s="40" t="s">
        <v>1805</v>
      </c>
      <c r="BE175" s="40" t="s">
        <v>1806</v>
      </c>
      <c r="BF175" s="40"/>
      <c r="CA175" s="26" t="s">
        <v>1279</v>
      </c>
      <c r="CB175" s="26" t="s">
        <v>919</v>
      </c>
    </row>
    <row r="176" spans="4:80">
      <c r="D176" t="s">
        <v>1022</v>
      </c>
      <c r="E176" t="s">
        <v>1427</v>
      </c>
      <c r="R176" s="26" t="s">
        <v>1060</v>
      </c>
      <c r="S176" s="26" t="s">
        <v>919</v>
      </c>
      <c r="Z176" s="30" t="s">
        <v>1428</v>
      </c>
      <c r="AA176" s="31" t="s">
        <v>856</v>
      </c>
      <c r="BD176" s="40" t="s">
        <v>1807</v>
      </c>
      <c r="BE176" s="40" t="s">
        <v>1808</v>
      </c>
      <c r="BF176" s="40"/>
      <c r="CA176" s="26" t="s">
        <v>1060</v>
      </c>
      <c r="CB176" s="26" t="s">
        <v>919</v>
      </c>
    </row>
    <row r="177" spans="4:80">
      <c r="D177" t="s">
        <v>1429</v>
      </c>
      <c r="E177" t="s">
        <v>1430</v>
      </c>
      <c r="R177" s="26" t="s">
        <v>1276</v>
      </c>
      <c r="S177" s="26" t="s">
        <v>919</v>
      </c>
      <c r="Z177" s="30" t="s">
        <v>1431</v>
      </c>
      <c r="AA177" s="30" t="s">
        <v>1194</v>
      </c>
      <c r="BD177" s="43" t="s">
        <v>1809</v>
      </c>
      <c r="BE177" s="40" t="s">
        <v>1810</v>
      </c>
      <c r="BF177" s="40"/>
      <c r="CA177" s="26" t="s">
        <v>1276</v>
      </c>
      <c r="CB177" s="26" t="s">
        <v>919</v>
      </c>
    </row>
    <row r="178" spans="4:80">
      <c r="D178" t="s">
        <v>1432</v>
      </c>
      <c r="E178" t="s">
        <v>1433</v>
      </c>
      <c r="R178" s="26" t="s">
        <v>1395</v>
      </c>
      <c r="S178" s="26" t="s">
        <v>919</v>
      </c>
      <c r="Z178" s="30" t="s">
        <v>1212</v>
      </c>
      <c r="AA178" s="31" t="s">
        <v>856</v>
      </c>
      <c r="BD178" s="40" t="s">
        <v>1811</v>
      </c>
      <c r="BE178" s="40" t="s">
        <v>1812</v>
      </c>
      <c r="BF178" s="40"/>
      <c r="CA178" s="26" t="s">
        <v>1395</v>
      </c>
      <c r="CB178" s="26" t="s">
        <v>919</v>
      </c>
    </row>
    <row r="179" spans="4:80">
      <c r="D179" t="s">
        <v>1181</v>
      </c>
      <c r="E179" t="s">
        <v>1434</v>
      </c>
      <c r="R179" s="26" t="s">
        <v>1182</v>
      </c>
      <c r="S179" s="26" t="s">
        <v>919</v>
      </c>
      <c r="Z179" s="33" t="s">
        <v>850</v>
      </c>
      <c r="AA179" s="31" t="s">
        <v>856</v>
      </c>
      <c r="BD179" s="44" t="s">
        <v>1813</v>
      </c>
      <c r="BE179" s="40" t="s">
        <v>1814</v>
      </c>
      <c r="BF179" s="40"/>
      <c r="CA179" s="26" t="s">
        <v>1182</v>
      </c>
      <c r="CB179" s="26" t="s">
        <v>919</v>
      </c>
    </row>
    <row r="180" spans="4:80">
      <c r="D180" t="s">
        <v>54</v>
      </c>
      <c r="E180" t="s">
        <v>1435</v>
      </c>
      <c r="R180" s="26" t="s">
        <v>1157</v>
      </c>
      <c r="S180" s="26" t="s">
        <v>919</v>
      </c>
      <c r="BD180" s="40" t="s">
        <v>1815</v>
      </c>
      <c r="BE180" s="40" t="s">
        <v>1816</v>
      </c>
      <c r="BF180" s="40"/>
      <c r="CA180" s="26" t="s">
        <v>1157</v>
      </c>
      <c r="CB180" s="26" t="s">
        <v>919</v>
      </c>
    </row>
    <row r="181" spans="4:80">
      <c r="D181" t="s">
        <v>1436</v>
      </c>
      <c r="E181" t="s">
        <v>1437</v>
      </c>
      <c r="R181" s="26" t="s">
        <v>1438</v>
      </c>
      <c r="S181" s="26" t="s">
        <v>919</v>
      </c>
      <c r="BD181" s="40" t="s">
        <v>1817</v>
      </c>
      <c r="BE181" s="40" t="s">
        <v>1818</v>
      </c>
      <c r="BF181" s="40"/>
      <c r="CA181" s="26" t="s">
        <v>1438</v>
      </c>
      <c r="CB181" s="26" t="s">
        <v>919</v>
      </c>
    </row>
    <row r="182" spans="4:80">
      <c r="D182" t="s">
        <v>1439</v>
      </c>
      <c r="E182" t="s">
        <v>1440</v>
      </c>
      <c r="R182" s="26" t="s">
        <v>1441</v>
      </c>
      <c r="S182" s="26" t="s">
        <v>543</v>
      </c>
      <c r="BD182" s="40" t="s">
        <v>1819</v>
      </c>
      <c r="BE182" s="40" t="s">
        <v>1820</v>
      </c>
      <c r="BF182" s="40"/>
      <c r="CA182" s="26" t="s">
        <v>1441</v>
      </c>
      <c r="CB182" s="26" t="s">
        <v>1441</v>
      </c>
    </row>
    <row r="183" spans="4:80">
      <c r="D183" t="s">
        <v>1166</v>
      </c>
      <c r="E183" t="s">
        <v>1442</v>
      </c>
      <c r="R183" s="26" t="s">
        <v>1443</v>
      </c>
      <c r="S183" s="26" t="s">
        <v>871</v>
      </c>
      <c r="BD183" s="40" t="s">
        <v>1821</v>
      </c>
      <c r="BE183" s="40" t="s">
        <v>1822</v>
      </c>
      <c r="BF183" s="40"/>
      <c r="CA183" s="26" t="s">
        <v>1443</v>
      </c>
      <c r="CB183" s="26" t="s">
        <v>1122</v>
      </c>
    </row>
    <row r="184" spans="4:80">
      <c r="D184" t="s">
        <v>1444</v>
      </c>
      <c r="E184" t="s">
        <v>1445</v>
      </c>
      <c r="R184" s="26" t="s">
        <v>1349</v>
      </c>
      <c r="S184" s="26" t="s">
        <v>543</v>
      </c>
      <c r="BD184" s="40" t="s">
        <v>1823</v>
      </c>
      <c r="BE184" s="40" t="s">
        <v>1824</v>
      </c>
      <c r="BF184" s="40"/>
      <c r="CA184" s="26" t="s">
        <v>1349</v>
      </c>
      <c r="CB184" s="26" t="s">
        <v>957</v>
      </c>
    </row>
    <row r="185" spans="4:80">
      <c r="D185" t="s">
        <v>1177</v>
      </c>
      <c r="E185" t="s">
        <v>1446</v>
      </c>
      <c r="R185" s="26" t="s">
        <v>1117</v>
      </c>
      <c r="S185" s="26" t="s">
        <v>543</v>
      </c>
      <c r="BD185" s="40" t="s">
        <v>1825</v>
      </c>
      <c r="BE185" s="40" t="s">
        <v>1826</v>
      </c>
      <c r="BF185" s="40"/>
      <c r="CA185" s="26" t="s">
        <v>1117</v>
      </c>
      <c r="CB185" s="26" t="s">
        <v>1117</v>
      </c>
    </row>
    <row r="186" spans="4:80">
      <c r="D186" t="s">
        <v>1447</v>
      </c>
      <c r="E186" t="s">
        <v>1448</v>
      </c>
      <c r="R186" s="26" t="s">
        <v>1428</v>
      </c>
      <c r="S186" s="26" t="s">
        <v>543</v>
      </c>
      <c r="BD186" s="40" t="s">
        <v>1827</v>
      </c>
      <c r="BE186" s="40" t="s">
        <v>1828</v>
      </c>
      <c r="BF186" s="40"/>
      <c r="CA186" s="26" t="s">
        <v>1428</v>
      </c>
      <c r="CB186" s="26" t="s">
        <v>1428</v>
      </c>
    </row>
    <row r="187" spans="4:80">
      <c r="D187" t="s">
        <v>1361</v>
      </c>
      <c r="E187" t="s">
        <v>1449</v>
      </c>
      <c r="R187" s="26" t="s">
        <v>1403</v>
      </c>
      <c r="S187" s="26" t="s">
        <v>871</v>
      </c>
      <c r="BD187" s="40" t="s">
        <v>1829</v>
      </c>
      <c r="BE187" s="40" t="s">
        <v>1830</v>
      </c>
      <c r="BF187" s="40"/>
      <c r="CA187" s="26" t="s">
        <v>1403</v>
      </c>
      <c r="CB187" s="26" t="s">
        <v>1403</v>
      </c>
    </row>
    <row r="188" spans="4:80">
      <c r="D188" t="s">
        <v>1450</v>
      </c>
      <c r="E188" t="s">
        <v>1451</v>
      </c>
      <c r="R188" s="26" t="s">
        <v>1452</v>
      </c>
      <c r="S188" s="26" t="s">
        <v>902</v>
      </c>
      <c r="BD188" s="40" t="s">
        <v>1831</v>
      </c>
      <c r="BE188" s="40" t="s">
        <v>1832</v>
      </c>
      <c r="BF188" s="40"/>
      <c r="CA188" s="26" t="s">
        <v>1452</v>
      </c>
      <c r="CB188" s="26" t="s">
        <v>1452</v>
      </c>
    </row>
    <row r="189" spans="4:80">
      <c r="D189" t="s">
        <v>1130</v>
      </c>
      <c r="E189" t="s">
        <v>1453</v>
      </c>
      <c r="R189" s="26" t="s">
        <v>1105</v>
      </c>
      <c r="S189" s="26" t="s">
        <v>871</v>
      </c>
      <c r="BD189" s="40" t="s">
        <v>1833</v>
      </c>
      <c r="BE189" s="40" t="s">
        <v>1834</v>
      </c>
      <c r="BF189" s="40"/>
      <c r="CA189" s="26" t="s">
        <v>1105</v>
      </c>
      <c r="CB189" s="26" t="s">
        <v>1507</v>
      </c>
    </row>
    <row r="190" spans="4:80">
      <c r="D190" t="s">
        <v>1323</v>
      </c>
      <c r="E190" t="s">
        <v>1454</v>
      </c>
      <c r="R190" s="26" t="s">
        <v>1306</v>
      </c>
      <c r="S190" s="26" t="s">
        <v>871</v>
      </c>
      <c r="BD190" s="40" t="s">
        <v>1835</v>
      </c>
      <c r="BE190" s="40" t="s">
        <v>1836</v>
      </c>
      <c r="BF190" s="40"/>
      <c r="CA190" s="26" t="s">
        <v>1306</v>
      </c>
      <c r="CB190" s="26" t="s">
        <v>1306</v>
      </c>
    </row>
    <row r="191" spans="4:80">
      <c r="D191" t="s">
        <v>1227</v>
      </c>
      <c r="E191" t="s">
        <v>1455</v>
      </c>
      <c r="R191" s="26" t="s">
        <v>1337</v>
      </c>
      <c r="S191" s="26" t="s">
        <v>543</v>
      </c>
      <c r="BD191" s="40" t="s">
        <v>1837</v>
      </c>
      <c r="BE191" s="40" t="s">
        <v>1838</v>
      </c>
      <c r="BF191" s="40"/>
      <c r="CA191" s="26" t="s">
        <v>1337</v>
      </c>
      <c r="CB191" s="26" t="s">
        <v>1337</v>
      </c>
    </row>
    <row r="192" spans="4:80">
      <c r="D192" t="s">
        <v>1367</v>
      </c>
      <c r="E192" t="s">
        <v>1456</v>
      </c>
      <c r="R192" s="26" t="s">
        <v>1317</v>
      </c>
      <c r="S192" s="26" t="s">
        <v>919</v>
      </c>
      <c r="BD192" s="40" t="s">
        <v>1839</v>
      </c>
      <c r="BE192" s="40" t="s">
        <v>1840</v>
      </c>
      <c r="BF192" s="40"/>
      <c r="CA192" s="26" t="s">
        <v>1317</v>
      </c>
      <c r="CB192" s="26" t="s">
        <v>919</v>
      </c>
    </row>
    <row r="193" spans="4:80">
      <c r="D193" t="s">
        <v>1393</v>
      </c>
      <c r="E193" t="s">
        <v>1457</v>
      </c>
      <c r="R193" s="26" t="s">
        <v>1321</v>
      </c>
      <c r="S193" s="26" t="s">
        <v>919</v>
      </c>
      <c r="BD193" s="40" t="s">
        <v>1841</v>
      </c>
      <c r="BE193" s="40" t="s">
        <v>772</v>
      </c>
      <c r="BF193" s="40"/>
      <c r="CA193" s="26" t="s">
        <v>1321</v>
      </c>
      <c r="CB193" s="26" t="s">
        <v>919</v>
      </c>
    </row>
    <row r="194" spans="4:80">
      <c r="D194" t="s">
        <v>855</v>
      </c>
      <c r="E194" t="s">
        <v>1458</v>
      </c>
      <c r="R194" s="26" t="s">
        <v>1459</v>
      </c>
      <c r="S194" s="26" t="s">
        <v>543</v>
      </c>
      <c r="BD194" s="40" t="s">
        <v>1842</v>
      </c>
      <c r="BE194" s="40" t="s">
        <v>1843</v>
      </c>
      <c r="BF194" s="40"/>
      <c r="CA194" s="26" t="s">
        <v>1459</v>
      </c>
      <c r="CB194" s="26" t="s">
        <v>957</v>
      </c>
    </row>
    <row r="195" spans="4:80">
      <c r="D195" t="s">
        <v>1370</v>
      </c>
      <c r="E195" t="s">
        <v>1460</v>
      </c>
      <c r="R195" s="26" t="s">
        <v>1461</v>
      </c>
      <c r="S195" s="26" t="s">
        <v>543</v>
      </c>
      <c r="BD195" s="51" t="s">
        <v>1844</v>
      </c>
      <c r="BE195" s="40" t="s">
        <v>1844</v>
      </c>
      <c r="BF195" s="40"/>
      <c r="CA195" s="26" t="s">
        <v>1461</v>
      </c>
      <c r="CB195" s="26" t="s">
        <v>957</v>
      </c>
    </row>
    <row r="196" spans="4:80">
      <c r="D196" t="s">
        <v>1438</v>
      </c>
      <c r="E196" t="s">
        <v>1462</v>
      </c>
      <c r="R196" s="26" t="s">
        <v>1463</v>
      </c>
      <c r="S196" s="26" t="s">
        <v>543</v>
      </c>
      <c r="BD196" s="40" t="s">
        <v>1845</v>
      </c>
      <c r="BE196" s="40" t="s">
        <v>1846</v>
      </c>
      <c r="BF196" s="40"/>
      <c r="CA196" s="26" t="s">
        <v>1463</v>
      </c>
      <c r="CB196" s="26" t="s">
        <v>1040</v>
      </c>
    </row>
    <row r="197" spans="4:80">
      <c r="D197" t="s">
        <v>1372</v>
      </c>
      <c r="E197" t="s">
        <v>1464</v>
      </c>
      <c r="R197" s="26" t="s">
        <v>1465</v>
      </c>
      <c r="S197" s="26" t="s">
        <v>543</v>
      </c>
      <c r="BD197" t="s">
        <v>1847</v>
      </c>
      <c r="BE197" s="40" t="s">
        <v>1848</v>
      </c>
      <c r="BF197" s="40"/>
      <c r="CA197" s="26" t="s">
        <v>1465</v>
      </c>
      <c r="CB197" s="26" t="s">
        <v>1040</v>
      </c>
    </row>
    <row r="198" spans="4:80">
      <c r="D198" t="s">
        <v>1441</v>
      </c>
      <c r="E198" t="s">
        <v>1466</v>
      </c>
      <c r="R198" s="26" t="s">
        <v>1444</v>
      </c>
      <c r="S198" s="26" t="s">
        <v>543</v>
      </c>
      <c r="BD198" s="40" t="s">
        <v>1849</v>
      </c>
      <c r="BE198" s="40" t="s">
        <v>1850</v>
      </c>
      <c r="BF198" s="40"/>
      <c r="CA198" s="26" t="s">
        <v>1444</v>
      </c>
      <c r="CB198" s="26" t="s">
        <v>54</v>
      </c>
    </row>
    <row r="199" spans="4:80">
      <c r="D199" t="s">
        <v>1397</v>
      </c>
      <c r="E199" t="s">
        <v>1467</v>
      </c>
      <c r="R199" s="26" t="s">
        <v>1205</v>
      </c>
      <c r="S199" s="26" t="s">
        <v>543</v>
      </c>
      <c r="BD199" s="40" t="s">
        <v>1851</v>
      </c>
      <c r="BE199" s="40" t="s">
        <v>1852</v>
      </c>
      <c r="BF199" s="40"/>
      <c r="CA199" s="26" t="s">
        <v>1205</v>
      </c>
      <c r="CB199" s="26" t="s">
        <v>1102</v>
      </c>
    </row>
    <row r="200" spans="4:80">
      <c r="D200" t="s">
        <v>1040</v>
      </c>
      <c r="E200" t="s">
        <v>1468</v>
      </c>
      <c r="R200" s="28" t="s">
        <v>1469</v>
      </c>
      <c r="S200" s="28" t="s">
        <v>871</v>
      </c>
      <c r="BD200" s="40" t="s">
        <v>1853</v>
      </c>
      <c r="BE200" s="40" t="s">
        <v>1854</v>
      </c>
      <c r="BF200" s="40"/>
      <c r="CA200" s="54" t="s">
        <v>1469</v>
      </c>
      <c r="CB200" s="54" t="s">
        <v>1221</v>
      </c>
    </row>
    <row r="201" spans="4:80">
      <c r="D201" t="s">
        <v>1470</v>
      </c>
      <c r="E201" t="s">
        <v>1471</v>
      </c>
      <c r="R201" s="28" t="s">
        <v>1123</v>
      </c>
      <c r="S201" s="28" t="s">
        <v>543</v>
      </c>
      <c r="BD201" s="40" t="s">
        <v>1855</v>
      </c>
      <c r="BE201" s="40" t="s">
        <v>1856</v>
      </c>
      <c r="BF201" s="40"/>
      <c r="CA201" s="54" t="s">
        <v>1123</v>
      </c>
      <c r="CB201" s="54" t="s">
        <v>1123</v>
      </c>
    </row>
    <row r="202" spans="4:80">
      <c r="D202" t="s">
        <v>1472</v>
      </c>
      <c r="E202" t="s">
        <v>1473</v>
      </c>
      <c r="R202" s="28" t="s">
        <v>1474</v>
      </c>
      <c r="S202" s="28" t="s">
        <v>902</v>
      </c>
      <c r="BD202" s="40" t="s">
        <v>1857</v>
      </c>
      <c r="BE202" s="40" t="s">
        <v>1858</v>
      </c>
      <c r="BF202" s="40"/>
      <c r="CA202" s="54" t="s">
        <v>1474</v>
      </c>
      <c r="CB202" s="54" t="s">
        <v>1474</v>
      </c>
    </row>
    <row r="203" spans="4:80">
      <c r="D203" t="s">
        <v>1375</v>
      </c>
      <c r="E203" t="s">
        <v>1475</v>
      </c>
      <c r="R203" s="28" t="s">
        <v>1476</v>
      </c>
      <c r="S203" s="28" t="s">
        <v>1477</v>
      </c>
      <c r="BD203" s="40" t="s">
        <v>1859</v>
      </c>
      <c r="BE203" s="40" t="s">
        <v>1860</v>
      </c>
      <c r="BF203" s="40"/>
      <c r="CA203" s="54" t="s">
        <v>1476</v>
      </c>
      <c r="CB203" s="54" t="s">
        <v>1476</v>
      </c>
    </row>
    <row r="204" spans="4:80">
      <c r="D204" t="s">
        <v>1285</v>
      </c>
      <c r="E204" t="s">
        <v>1478</v>
      </c>
      <c r="R204" s="28" t="s">
        <v>1413</v>
      </c>
      <c r="S204" s="28" t="s">
        <v>871</v>
      </c>
      <c r="BD204" s="40" t="s">
        <v>1861</v>
      </c>
      <c r="BE204" s="40" t="s">
        <v>1861</v>
      </c>
      <c r="BF204" s="40"/>
      <c r="CA204" s="54" t="s">
        <v>1413</v>
      </c>
      <c r="CB204" s="54" t="s">
        <v>1413</v>
      </c>
    </row>
    <row r="205" spans="4:80">
      <c r="D205" t="s">
        <v>37</v>
      </c>
      <c r="E205" t="s">
        <v>1479</v>
      </c>
      <c r="R205" s="28" t="s">
        <v>1480</v>
      </c>
      <c r="S205" s="28" t="s">
        <v>886</v>
      </c>
      <c r="BD205" s="40" t="s">
        <v>1862</v>
      </c>
      <c r="BE205" s="40" t="s">
        <v>1863</v>
      </c>
      <c r="BF205" s="40"/>
      <c r="CA205" s="54" t="s">
        <v>1480</v>
      </c>
      <c r="CB205" s="54" t="s">
        <v>1480</v>
      </c>
    </row>
    <row r="206" spans="4:80">
      <c r="D206" t="s">
        <v>1191</v>
      </c>
      <c r="E206" t="s">
        <v>1481</v>
      </c>
      <c r="R206" s="28" t="s">
        <v>1482</v>
      </c>
      <c r="S206" s="28" t="s">
        <v>933</v>
      </c>
      <c r="BD206" s="43" t="s">
        <v>1864</v>
      </c>
      <c r="BE206" s="40" t="s">
        <v>1865</v>
      </c>
      <c r="BF206" s="40"/>
      <c r="CA206" s="54" t="s">
        <v>1482</v>
      </c>
      <c r="CB206" s="54" t="s">
        <v>933</v>
      </c>
    </row>
    <row r="207" spans="4:80">
      <c r="D207" t="s">
        <v>1247</v>
      </c>
      <c r="E207" t="s">
        <v>1483</v>
      </c>
      <c r="R207" s="26" t="s">
        <v>1431</v>
      </c>
      <c r="S207" s="26" t="s">
        <v>871</v>
      </c>
      <c r="BD207" s="40" t="s">
        <v>810</v>
      </c>
      <c r="BE207" s="40" t="s">
        <v>810</v>
      </c>
      <c r="BF207" s="40"/>
      <c r="CA207" s="55" t="s">
        <v>1431</v>
      </c>
      <c r="CB207" s="55" t="s">
        <v>1122</v>
      </c>
    </row>
    <row r="208" spans="4:80">
      <c r="D208" t="s">
        <v>978</v>
      </c>
      <c r="E208" t="s">
        <v>1484</v>
      </c>
      <c r="R208" t="s">
        <v>1403</v>
      </c>
      <c r="S208" s="28" t="s">
        <v>871</v>
      </c>
      <c r="BD208" s="40" t="s">
        <v>1866</v>
      </c>
      <c r="BE208" s="40" t="s">
        <v>1867</v>
      </c>
      <c r="BF208" s="40"/>
      <c r="CA208" s="56" t="s">
        <v>2123</v>
      </c>
      <c r="CB208" s="56" t="s">
        <v>1506</v>
      </c>
    </row>
    <row r="209" spans="4:80">
      <c r="D209" t="s">
        <v>1390</v>
      </c>
      <c r="E209" t="s">
        <v>1485</v>
      </c>
      <c r="R209" t="s">
        <v>1117</v>
      </c>
      <c r="S209" s="28" t="s">
        <v>55</v>
      </c>
      <c r="BD209" s="40" t="s">
        <v>1868</v>
      </c>
      <c r="BE209" s="40" t="s">
        <v>1869</v>
      </c>
      <c r="BF209" s="40"/>
      <c r="CA209" s="56" t="s">
        <v>1270</v>
      </c>
      <c r="CB209" s="56" t="s">
        <v>1098</v>
      </c>
    </row>
    <row r="210" spans="4:80">
      <c r="D210" t="s">
        <v>1415</v>
      </c>
      <c r="E210" t="s">
        <v>1486</v>
      </c>
      <c r="R210" t="s">
        <v>1413</v>
      </c>
      <c r="S210" s="39" t="s">
        <v>871</v>
      </c>
      <c r="BD210" s="40" t="s">
        <v>1870</v>
      </c>
      <c r="BE210" s="40" t="s">
        <v>1870</v>
      </c>
      <c r="BF210" s="40"/>
      <c r="CA210" s="57"/>
      <c r="CB210" s="57"/>
    </row>
    <row r="211" spans="4:80">
      <c r="D211" t="s">
        <v>1428</v>
      </c>
      <c r="E211" t="s">
        <v>1487</v>
      </c>
      <c r="R211" t="s">
        <v>1123</v>
      </c>
      <c r="S211" s="39" t="s">
        <v>543</v>
      </c>
      <c r="BD211" s="43" t="s">
        <v>1871</v>
      </c>
      <c r="BE211" s="40" t="s">
        <v>1871</v>
      </c>
      <c r="BF211" s="40"/>
    </row>
    <row r="212" spans="4:80">
      <c r="D212" t="s">
        <v>1320</v>
      </c>
      <c r="E212" t="s">
        <v>1488</v>
      </c>
      <c r="R212" t="s">
        <v>1428</v>
      </c>
      <c r="S212" s="39" t="s">
        <v>543</v>
      </c>
      <c r="BD212" s="40" t="s">
        <v>1872</v>
      </c>
      <c r="BE212" s="40" t="s">
        <v>1873</v>
      </c>
      <c r="BF212" s="40"/>
    </row>
    <row r="213" spans="4:80">
      <c r="R213" t="s">
        <v>1405</v>
      </c>
      <c r="S213" s="39" t="s">
        <v>871</v>
      </c>
      <c r="BD213" s="40" t="s">
        <v>1874</v>
      </c>
      <c r="BE213" s="40" t="s">
        <v>1875</v>
      </c>
      <c r="BF213" s="40"/>
    </row>
    <row r="214" spans="4:80">
      <c r="R214" t="s">
        <v>1270</v>
      </c>
      <c r="S214" s="39" t="s">
        <v>871</v>
      </c>
      <c r="BD214" s="40" t="s">
        <v>1876</v>
      </c>
      <c r="BE214" s="40" t="s">
        <v>1877</v>
      </c>
      <c r="BF214" s="40"/>
    </row>
    <row r="215" spans="4:80">
      <c r="BD215" s="40" t="s">
        <v>1878</v>
      </c>
      <c r="BE215" s="40" t="s">
        <v>1879</v>
      </c>
      <c r="BF215" s="40"/>
    </row>
    <row r="216" spans="4:80">
      <c r="BD216" s="40" t="s">
        <v>1880</v>
      </c>
      <c r="BE216" s="40" t="s">
        <v>1880</v>
      </c>
      <c r="BF216" s="40"/>
    </row>
    <row r="217" spans="4:80">
      <c r="BD217" s="40" t="s">
        <v>1881</v>
      </c>
      <c r="BE217" s="40" t="s">
        <v>1882</v>
      </c>
      <c r="BF217" s="40"/>
    </row>
    <row r="218" spans="4:80">
      <c r="BD218" s="45" t="s">
        <v>1883</v>
      </c>
      <c r="BE218" s="40" t="s">
        <v>1884</v>
      </c>
      <c r="BF218" s="40"/>
    </row>
    <row r="219" spans="4:80">
      <c r="BD219" s="40" t="s">
        <v>1885</v>
      </c>
      <c r="BE219" s="40" t="s">
        <v>1886</v>
      </c>
      <c r="BF219" s="40"/>
    </row>
    <row r="220" spans="4:80">
      <c r="BD220" s="40" t="s">
        <v>1887</v>
      </c>
      <c r="BE220" s="40" t="s">
        <v>1888</v>
      </c>
      <c r="BF220" s="40"/>
    </row>
    <row r="221" spans="4:80">
      <c r="BD221" s="40" t="s">
        <v>1889</v>
      </c>
      <c r="BE221" s="40" t="s">
        <v>1890</v>
      </c>
      <c r="BF221" s="40"/>
    </row>
    <row r="222" spans="4:80">
      <c r="BD222" t="s">
        <v>1891</v>
      </c>
      <c r="BE222" t="s">
        <v>1892</v>
      </c>
      <c r="BF222" s="40"/>
    </row>
    <row r="223" spans="4:80">
      <c r="BD223" t="s">
        <v>1893</v>
      </c>
      <c r="BE223" t="s">
        <v>1894</v>
      </c>
    </row>
    <row r="224" spans="4:80">
      <c r="BD224" t="s">
        <v>1895</v>
      </c>
      <c r="BE224" t="s">
        <v>1896</v>
      </c>
    </row>
    <row r="225" spans="56:57">
      <c r="BD225" t="s">
        <v>1897</v>
      </c>
      <c r="BE225" t="s">
        <v>568</v>
      </c>
    </row>
    <row r="226" spans="56:57">
      <c r="BD226" t="s">
        <v>1898</v>
      </c>
      <c r="BE226" t="s">
        <v>1899</v>
      </c>
    </row>
  </sheetData>
  <sheetProtection algorithmName="SHA-512" hashValue="6+krsPo7j2fgO5mU9EoJvMmDyawD1lVgmK00aaIJGjurn7Sq0WpEYPNq/lESyGmeszOQlUqi2XVem3aAzP4fpQ==" saltValue="fPOxH2HdNoD2GSiSTFtiqQ==" spinCount="100000" sheet="1" objects="1" scenarios="1"/>
  <autoFilter ref="BA2:BA114" xr:uid="{AEEFCE64-F2F3-4E26-8049-7DE2032B0DCB}">
    <sortState xmlns:xlrd2="http://schemas.microsoft.com/office/spreadsheetml/2017/richdata2" ref="BA3:BA114">
      <sortCondition ref="BA2:BA114"/>
    </sortState>
  </autoFilter>
  <phoneticPr fontId="5" type="noConversion"/>
  <conditionalFormatting sqref="L1:L1048576">
    <cfRule type="duplicateValues" dxfId="2" priority="4"/>
  </conditionalFormatting>
  <conditionalFormatting sqref="BD212 BD214 BD220:BD226">
    <cfRule type="duplicateValues" dxfId="1" priority="3"/>
  </conditionalFormatting>
  <conditionalFormatting sqref="BD204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5e17d599-2558-480c-a093-3f7153a2aab6">
      <UserInfo>
        <DisplayName>Benthe Roesing</DisplayName>
        <AccountId>1275</AccountId>
        <AccountType/>
      </UserInfo>
      <UserInfo>
        <DisplayName>Ryan Davey</DisplayName>
        <AccountId>117</AccountId>
        <AccountType/>
      </UserInfo>
      <UserInfo>
        <DisplayName>Arpan Priyamvada</DisplayName>
        <AccountId>11</AccountId>
        <AccountType/>
      </UserInfo>
      <UserInfo>
        <DisplayName>Stephan Bauer</DisplayName>
        <AccountId>1540</AccountId>
        <AccountType/>
      </UserInfo>
      <UserInfo>
        <DisplayName>Saskia Duexmann</DisplayName>
        <AccountId>85</AccountId>
        <AccountType/>
      </UserInfo>
      <UserInfo>
        <DisplayName>Erol Goekler</DisplayName>
        <AccountId>114</AccountId>
        <AccountType/>
      </UserInfo>
      <UserInfo>
        <DisplayName>Sabrina Fauszt</DisplayName>
        <AccountId>134</AccountId>
        <AccountType/>
      </UserInfo>
      <UserInfo>
        <DisplayName>Cara Kronenberg</DisplayName>
        <AccountId>1274</AccountId>
        <AccountType/>
      </UserInfo>
      <UserInfo>
        <DisplayName>Monika Buhler</DisplayName>
        <AccountId>1273</AccountId>
        <AccountType/>
      </UserInfo>
      <UserInfo>
        <DisplayName>Nagoi Rhennou</DisplayName>
        <AccountId>1797</AccountId>
        <AccountType/>
      </UserInfo>
      <UserInfo>
        <DisplayName>Vivien Kovacs</DisplayName>
        <AccountId>1796</AccountId>
        <AccountType/>
      </UserInfo>
      <UserInfo>
        <DisplayName>Shirin Janssen</DisplayName>
        <AccountId>2040</AccountId>
        <AccountType/>
      </UserInfo>
      <UserInfo>
        <DisplayName>Alina Schubert</DisplayName>
        <AccountId>1795</AccountId>
        <AccountType/>
      </UserInfo>
      <UserInfo>
        <DisplayName>Angela Nunez Uria</DisplayName>
        <AccountId>1816</AccountId>
        <AccountType/>
      </UserInfo>
      <UserInfo>
        <DisplayName>Xenia Schwitzgebel</DisplayName>
        <AccountId>2041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10D8689B31B8B4B96874533B95D8B77" ma:contentTypeVersion="13" ma:contentTypeDescription="Create a new document." ma:contentTypeScope="" ma:versionID="1c08fcf3e6db4ef4f1af194f8085dd0e">
  <xsd:schema xmlns:xsd="http://www.w3.org/2001/XMLSchema" xmlns:xs="http://www.w3.org/2001/XMLSchema" xmlns:p="http://schemas.microsoft.com/office/2006/metadata/properties" xmlns:ns2="b184fd8c-feb0-44a2-8b5a-31cbef26b624" xmlns:ns3="5e17d599-2558-480c-a093-3f7153a2aab6" targetNamespace="http://schemas.microsoft.com/office/2006/metadata/properties" ma:root="true" ma:fieldsID="b1193c929575188f1c7aa06c0f5e6e8e" ns2:_="" ns3:_="">
    <xsd:import namespace="b184fd8c-feb0-44a2-8b5a-31cbef26b624"/>
    <xsd:import namespace="5e17d599-2558-480c-a093-3f7153a2aa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AutoKeyPoints" minOccurs="0"/>
                <xsd:element ref="ns2:MediaServiceKeyPoint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84fd8c-feb0-44a2-8b5a-31cbef26b6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17d599-2558-480c-a093-3f7153a2aab6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99C5F38-D50F-4C7A-A5D7-4021F6CE893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29728F9-BA8A-44BE-BDFD-0274D41C6252}">
  <ds:schemaRefs>
    <ds:schemaRef ds:uri="http://schemas.microsoft.com/office/2006/documentManagement/types"/>
    <ds:schemaRef ds:uri="http://purl.org/dc/dcmitype/"/>
    <ds:schemaRef ds:uri="b184fd8c-feb0-44a2-8b5a-31cbef26b624"/>
    <ds:schemaRef ds:uri="http://schemas.microsoft.com/office/2006/metadata/properties"/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5e17d599-2558-480c-a093-3f7153a2aab6"/>
  </ds:schemaRefs>
</ds:datastoreItem>
</file>

<file path=customXml/itemProps3.xml><?xml version="1.0" encoding="utf-8"?>
<ds:datastoreItem xmlns:ds="http://schemas.openxmlformats.org/officeDocument/2006/customXml" ds:itemID="{2DD31FF3-92B0-4D74-BADB-1B175275D0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184fd8c-feb0-44a2-8b5a-31cbef26b624"/>
    <ds:schemaRef ds:uri="5e17d599-2558-480c-a093-3f7153a2aa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How To Use</vt:lpstr>
      <vt:lpstr>Campaign Name Generator</vt:lpstr>
      <vt:lpstr>Alpha-2 Reference Sheet</vt:lpstr>
      <vt:lpstr>COUNTRY CODES</vt:lpstr>
      <vt:lpstr>DV 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Ryan Davey</dc:creator>
  <cp:keywords/>
  <dc:description/>
  <cp:lastModifiedBy>Ryan Davey</cp:lastModifiedBy>
  <cp:revision/>
  <dcterms:created xsi:type="dcterms:W3CDTF">2019-07-03T08:53:40Z</dcterms:created>
  <dcterms:modified xsi:type="dcterms:W3CDTF">2022-12-20T15:36:55Z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0x010100810D8689B31B8B4B96874533B95D8B77</vt:lpwstr>
  </property>
</Properties>
</file>