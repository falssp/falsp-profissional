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elipe_lima_essencemediacom_com/Documents/Clientes/Mars/2022 Mars Inc Naming Convention/"/>
    </mc:Choice>
  </mc:AlternateContent>
  <xr:revisionPtr revIDLastSave="381" documentId="13_ncr:1_{F25ED853-EF17-4163-9D9E-FAF5EBCCE362}" xr6:coauthVersionLast="47" xr6:coauthVersionMax="47" xr10:uidLastSave="{28B640FA-DEFB-462C-8D25-3F7966DBE26D}"/>
  <bookViews>
    <workbookView xWindow="28680" yWindow="-120" windowWidth="29040" windowHeight="16440" xr2:uid="{4C9836B0-3BE3-4A4B-A5C5-59EB62399A64}"/>
  </bookViews>
  <sheets>
    <sheet name="Placement Name Generator" sheetId="1" r:id="rId1"/>
    <sheet name="Glossary" sheetId="20" r:id="rId2"/>
    <sheet name="Essence DV Lookups" sheetId="17" state="hidden" r:id="rId3"/>
    <sheet name="Change Log" sheetId="19" state="hidden" r:id="rId4"/>
    <sheet name="Campaign DV Lookups (2)" sheetId="15" state="hidden" r:id="rId5"/>
    <sheet name="Alpha-2 Reference Sheet" sheetId="16" state="hidden" r:id="rId6"/>
    <sheet name="Data Validations" sheetId="2" state="hidden" r:id="rId7"/>
    <sheet name="DB Entry Sheet (Engineers Only)" sheetId="14" state="hidden" r:id="rId8"/>
  </sheets>
  <definedNames>
    <definedName name="_xlnm._FilterDatabase" localSheetId="4" hidden="1">'Campaign DV Lookups (2)'!$R$2:$S$207</definedName>
    <definedName name="_xlnm._FilterDatabase" localSheetId="6" hidden="1">'Data Validations'!$R$1:$S$222</definedName>
    <definedName name="Costing_Model_Code">'Data Validations'!$Y$2:$Y$24</definedName>
    <definedName name="Detailed_Targeting">'Data Validations'!$AE$2:$AE$153</definedName>
    <definedName name="Detailed_Targeting_Code">'Data Validations'!$AF$2:$AF$153</definedName>
    <definedName name="Format">'Data Validations'!$O$2:$O$135</definedName>
    <definedName name="Formatandcode">'Data Validations'!$O$2:$P$135</definedName>
    <definedName name="From">#REF!</definedName>
    <definedName name="Influencer">'Data Validations'!$O$47:$O$50</definedName>
    <definedName name="KPI">'Data Validations'!$H$2:$H$41</definedName>
    <definedName name="KPI_Codes">'Data Validations'!$I$2:$I$41</definedName>
    <definedName name="KPIAndCodes">'Data Validations'!$H$2:$I$40</definedName>
    <definedName name="Native">'Data Validations'!$O$53:$O$135</definedName>
    <definedName name="Objectiveandcodes">'Data Validations'!$D$2:$E$4</definedName>
    <definedName name="Objectives">'Data Validations'!$D$2:$D$4</definedName>
    <definedName name="Partnerandcode">'Data Validations'!$R$3:$S$205</definedName>
    <definedName name="Partnertypeandcode">'Data Validations'!$U$2:$V$23</definedName>
    <definedName name="Primary_Targeting_Segment">'Data Validations'!$AA$2:$AA$141</definedName>
    <definedName name="Primary_Targeting_Segment_Code">'Data Validations'!$AB$2:$AB$141</definedName>
    <definedName name="Products">'Data Validations'!$A$2:$A$195</definedName>
    <definedName name="Productsandcodes">'Data Validations'!$A$2:$B$195</definedName>
    <definedName name="Reach">'Data Validations'!$H$2:$H$9</definedName>
    <definedName name="Reaction">'Data Validations'!$H$20:$H$29</definedName>
    <definedName name="Relevance">'Data Validations'!$H$10:$H$19</definedName>
    <definedName name="Search">'Data Validations'!$O$63:$O$65</definedName>
    <definedName name="Size">#REF!</definedName>
    <definedName name="SocialDisplay">'Data Validations'!$O$66:$O$67</definedName>
    <definedName name="SocialVideo">'Data Validations'!$O$68:$O$72</definedName>
    <definedName name="Tacticsandcode">'Data Validations'!$AA$2:$AB$93</definedName>
    <definedName name="To">#REF!</definedName>
    <definedName name="Video">'Data Validations'!$O$76:$O$79</definedName>
    <definedName name="Yea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C9" i="1"/>
  <c r="W9" i="1"/>
  <c r="W8" i="1"/>
  <c r="O9" i="1"/>
  <c r="Q9" i="1"/>
  <c r="Q8" i="1"/>
  <c r="M9" i="1"/>
  <c r="M8" i="1"/>
  <c r="O8" i="1" l="1"/>
  <c r="AA9" i="1"/>
  <c r="AA8" i="1"/>
  <c r="U9" i="1" l="1"/>
  <c r="U8" i="1"/>
  <c r="S9" i="1"/>
  <c r="S8" i="1"/>
  <c r="K9" i="1"/>
  <c r="K8" i="1"/>
  <c r="H9" i="1"/>
  <c r="H8" i="1"/>
  <c r="E8" i="1"/>
  <c r="C8" i="1"/>
  <c r="AI9" i="1" l="1"/>
  <c r="AJ9" i="1" s="1"/>
  <c r="AK9" i="1" s="1"/>
  <c r="AL9" i="1" s="1"/>
  <c r="AI8" i="1"/>
  <c r="AJ8" i="1" s="1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12" i="14"/>
  <c r="B113" i="14"/>
  <c r="B114" i="14"/>
  <c r="B115" i="14"/>
  <c r="B116" i="14"/>
  <c r="B117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2" i="14"/>
  <c r="A2" i="14"/>
  <c r="AK8" i="1" l="1"/>
  <c r="AL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tc={FD5AA5DC-612F-4D9A-8C35-3F31E4705C28}</author>
  </authors>
  <commentList>
    <comment ref="AJ14" authorId="0" shapeId="0" xr:uid="{FD5AA5DC-612F-4D9A-8C35-3F31E4705C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stories/news feed?
other options?</t>
      </text>
    </comment>
  </commentList>
</comments>
</file>

<file path=xl/sharedStrings.xml><?xml version="1.0" encoding="utf-8"?>
<sst xmlns="http://schemas.openxmlformats.org/spreadsheetml/2006/main" count="6956" uniqueCount="3465">
  <si>
    <t>Platform</t>
  </si>
  <si>
    <t>Level</t>
  </si>
  <si>
    <t>DV360</t>
  </si>
  <si>
    <t>Line Item (If audiences or format are not split at line item, use 'na' option)</t>
  </si>
  <si>
    <t>Ad Group</t>
  </si>
  <si>
    <t>Social</t>
  </si>
  <si>
    <t>Ad Set</t>
  </si>
  <si>
    <t>Market</t>
  </si>
  <si>
    <t>Market Code</t>
  </si>
  <si>
    <t>Sub-Product</t>
  </si>
  <si>
    <t>Sub-Product Code</t>
  </si>
  <si>
    <t>Campaign Name Label</t>
  </si>
  <si>
    <t>Language</t>
  </si>
  <si>
    <t>Language Code</t>
  </si>
  <si>
    <t>Business Strategy</t>
  </si>
  <si>
    <t>Platform Code</t>
  </si>
  <si>
    <t>Priority Partner</t>
  </si>
  <si>
    <t>Priority Partner Code</t>
  </si>
  <si>
    <t>Buy Type</t>
  </si>
  <si>
    <t>buy type code</t>
  </si>
  <si>
    <t>Costing model</t>
  </si>
  <si>
    <t>Costing Model Code</t>
  </si>
  <si>
    <t>Campaign Type</t>
  </si>
  <si>
    <t>Addressable Code</t>
  </si>
  <si>
    <t>Audience type</t>
  </si>
  <si>
    <t>audience type code</t>
  </si>
  <si>
    <t>Audience Name</t>
  </si>
  <si>
    <t>Audience Name Code</t>
  </si>
  <si>
    <t>Data type</t>
  </si>
  <si>
    <t>Objective</t>
  </si>
  <si>
    <t>Optimisation</t>
  </si>
  <si>
    <t>opt code</t>
  </si>
  <si>
    <t>Placement Type</t>
  </si>
  <si>
    <t>Format</t>
  </si>
  <si>
    <t>Device</t>
  </si>
  <si>
    <t>Ad Tag Size</t>
  </si>
  <si>
    <t>Dimensions/length</t>
  </si>
  <si>
    <t>Free Form</t>
  </si>
  <si>
    <t>Unique Code (EG Placement ID)</t>
  </si>
  <si>
    <t>Concatenation</t>
  </si>
  <si>
    <t>Hyphen</t>
  </si>
  <si>
    <t>TAG - DO NOT MAKE MANUAL EDITS</t>
  </si>
  <si>
    <t>Character Count (Max Recommended = 256)</t>
  </si>
  <si>
    <t>EXAMPLE ►</t>
  </si>
  <si>
    <t>United Kingdom</t>
  </si>
  <si>
    <t>Extra Gum</t>
  </si>
  <si>
    <t>p1-2023-w&amp;s</t>
  </si>
  <si>
    <t>English</t>
  </si>
  <si>
    <t>NA</t>
  </si>
  <si>
    <t>Amazon</t>
  </si>
  <si>
    <t>auction</t>
  </si>
  <si>
    <t>Cost Per Thousand</t>
  </si>
  <si>
    <t>biddable-data driven audience</t>
  </si>
  <si>
    <t>interest</t>
  </si>
  <si>
    <t>professionals</t>
  </si>
  <si>
    <t>2pd</t>
  </si>
  <si>
    <t>Awareness</t>
  </si>
  <si>
    <t>Reach</t>
  </si>
  <si>
    <t>bumpers</t>
  </si>
  <si>
    <t>video</t>
  </si>
  <si>
    <t>Cross Device</t>
  </si>
  <si>
    <t>na</t>
  </si>
  <si>
    <t>6s</t>
  </si>
  <si>
    <t>Nervous Energized-Business Size - 51+ employees - Lifestyle-work</t>
  </si>
  <si>
    <t>UAE</t>
  </si>
  <si>
    <t>1 in 6</t>
  </si>
  <si>
    <t>p1-vnp</t>
  </si>
  <si>
    <t>Portuguese</t>
  </si>
  <si>
    <t>meta</t>
  </si>
  <si>
    <t>Facebook &amp; Instagram</t>
  </si>
  <si>
    <t>Other</t>
  </si>
  <si>
    <t>Cost Per Click</t>
  </si>
  <si>
    <t>Music</t>
  </si>
  <si>
    <t>Views</t>
  </si>
  <si>
    <t>hybrid</t>
  </si>
  <si>
    <t>Field Name</t>
  </si>
  <si>
    <t>Question</t>
  </si>
  <si>
    <t>Answer</t>
  </si>
  <si>
    <t>SUB-PRODUCT</t>
  </si>
  <si>
    <t>When should I select the sub-product vs overall parent product?</t>
  </si>
  <si>
    <t>The overall parent product is available as an option when the campaign is due to feature multiple products – for example, a D2C campaign that features multiple sub-products</t>
  </si>
  <si>
    <t>STRATEGY</t>
  </si>
  <si>
    <t>What does SEE/THINK/DO/CARE apply to?</t>
  </si>
  <si>
    <t>The overall campaign/business strategy for Pet Nutrition:
see = awareness
think = consideration
do = conversion
care = retention</t>
  </si>
  <si>
    <t>BUYING TYPE</t>
  </si>
  <si>
    <t>I’m buying via Reach &amp; Frequency on social – what does that fall under?</t>
  </si>
  <si>
    <t>Reserved</t>
  </si>
  <si>
    <t>AUDIENCE TYPE</t>
  </si>
  <si>
    <t>I’m using “x” or “y” targeting type – what should I choose?</t>
  </si>
  <si>
    <t>Interest – this will be your standard ‘detailed’ targeting on Meta, or affinity targeting on YouTube
Keyword – using specific terms, e.g for use on Twitter, Pinterest, Tik Tok
Demo-only – this is when no additional targeting is overlaid to age/gender
Behavioural – data categorised by specific actions, like being in-market for a product/purchase behaviour
Retargeting – Targeting previously exposed audiences (from a previous campaign, or our websites)
Lookalikes – Prospecting audiences built off existing data/remarketing pools (e.g video viewers of a previous campaign). AKA Similar Audiences on Google
Contextual – Targeting specific publishers/pages/videos for our ads instead of using data e.g YouTube Select Lineups
Life Events – (Or Detailed Demographic) e.g married, parent, retirement
Location – when only location data is used to target a user
There are also hybrid combinations when needed</t>
  </si>
  <si>
    <t>When should I use the age brackets (A16-24) vs the generation name (e.g Gen Z)</t>
  </si>
  <si>
    <t xml:space="preserve">Generation names/labels should be used when additional data is used to identify them. </t>
  </si>
  <si>
    <t>DATA TYPE</t>
  </si>
  <si>
    <t>What should I choose for “x” or “y” scenario</t>
  </si>
  <si>
    <r>
      <t xml:space="preserve">The overall campaign strategy:
1PD – any audience that is directly targeting or using Mars’ owned data, e.g website audiences, MAIDs, video viewers, shopify audiences
2PD – everything platform-based, e.g interests, keywords, affinity etc
3PD – data provided from an external party not native to the platform, e.g liveramp
NA - for media buys that use </t>
    </r>
    <r>
      <rPr>
        <b/>
        <sz val="9"/>
        <color theme="1"/>
        <rFont val="Poppins"/>
      </rPr>
      <t>no audience data only</t>
    </r>
  </si>
  <si>
    <t>OBJECTIVE</t>
  </si>
  <si>
    <t>What should I choose here?</t>
  </si>
  <si>
    <t xml:space="preserve">What is selected in-platform, e.g conversions - despite what you are optimizing/buying on </t>
  </si>
  <si>
    <t>PLACEMENT</t>
  </si>
  <si>
    <t>The placements selected in the campaign – if we are running multiple placements in one ad set on meta, then hybrid should be selected</t>
  </si>
  <si>
    <t>DIMENSIONS/LENGTH &amp; AD TAG SIZE</t>
  </si>
  <si>
    <t>What should I choose here at ad set/line item level?</t>
  </si>
  <si>
    <t>There is an n/a value to select here when building for biddable platforms</t>
  </si>
  <si>
    <t>CREATIVE NAME</t>
  </si>
  <si>
    <t>The creative name field is where you would place the file name of the asset received from creative teams – e.g ‘fruityflavour-shuffleboard’</t>
  </si>
  <si>
    <t>CAMPAIGN TYPE</t>
  </si>
  <si>
    <t>What are the differences between the options?</t>
  </si>
  <si>
    <t>Data Driven Audiences &amp; Moments
leveraging data for audience creation (e.g Facebook Interests)
Non-Addressable
Broad audiences without leveraging data (e.g demo-only, 18+)
Addressable
Data Driven HVC and/or Moments, with audience-based creative</t>
  </si>
  <si>
    <t>Strategy</t>
  </si>
  <si>
    <t>buy type</t>
  </si>
  <si>
    <t>Addressable</t>
  </si>
  <si>
    <t>Audience Type</t>
  </si>
  <si>
    <t>Data Type</t>
  </si>
  <si>
    <t>Optimization</t>
  </si>
  <si>
    <t>(DCM only)dimensions/length</t>
  </si>
  <si>
    <t>data type</t>
  </si>
  <si>
    <t>placement type</t>
  </si>
  <si>
    <t>language</t>
  </si>
  <si>
    <t>language code</t>
  </si>
  <si>
    <t>strategy</t>
  </si>
  <si>
    <t>platform</t>
  </si>
  <si>
    <t>addressable</t>
  </si>
  <si>
    <t>addressable code</t>
  </si>
  <si>
    <t>1pd</t>
  </si>
  <si>
    <t>reach</t>
  </si>
  <si>
    <t>format</t>
  </si>
  <si>
    <t>device</t>
  </si>
  <si>
    <t>(Afan) Oromo</t>
  </si>
  <si>
    <t>om</t>
  </si>
  <si>
    <t>see</t>
  </si>
  <si>
    <t>dv36o</t>
  </si>
  <si>
    <t>biddable-addressable</t>
  </si>
  <si>
    <t>bid-adr</t>
  </si>
  <si>
    <t>demo-only</t>
  </si>
  <si>
    <t>13-17</t>
  </si>
  <si>
    <t>Ad Recall</t>
  </si>
  <si>
    <t>ad-recall</t>
  </si>
  <si>
    <t>preroll</t>
  </si>
  <si>
    <t>animated banner</t>
  </si>
  <si>
    <t>Mobile</t>
  </si>
  <si>
    <t>Afrikaans</t>
  </si>
  <si>
    <t>af</t>
  </si>
  <si>
    <t>think</t>
  </si>
  <si>
    <t>MT</t>
  </si>
  <si>
    <t>reserved</t>
  </si>
  <si>
    <t>bid-dda</t>
  </si>
  <si>
    <t>13-24</t>
  </si>
  <si>
    <t>3pd</t>
  </si>
  <si>
    <t>Engagement</t>
  </si>
  <si>
    <t>views</t>
  </si>
  <si>
    <t>trueview</t>
  </si>
  <si>
    <t>skins</t>
  </si>
  <si>
    <t>Desktop</t>
  </si>
  <si>
    <t>0x0</t>
  </si>
  <si>
    <t>Albanian</t>
  </si>
  <si>
    <t>al</t>
  </si>
  <si>
    <t>do</t>
  </si>
  <si>
    <t>snap</t>
  </si>
  <si>
    <t>SN</t>
  </si>
  <si>
    <t>programmatic guaranteed</t>
  </si>
  <si>
    <t>pg</t>
  </si>
  <si>
    <t>biddable-non addressable</t>
  </si>
  <si>
    <t>bid-nadr</t>
  </si>
  <si>
    <t>behavioural</t>
  </si>
  <si>
    <t>13-34</t>
  </si>
  <si>
    <t>Traffic</t>
  </si>
  <si>
    <t>eng</t>
  </si>
  <si>
    <t>newsfeed</t>
  </si>
  <si>
    <t>text ad</t>
  </si>
  <si>
    <t>1024x66</t>
  </si>
  <si>
    <t>7s</t>
  </si>
  <si>
    <t>sq</t>
  </si>
  <si>
    <t>care</t>
  </si>
  <si>
    <t>AM</t>
  </si>
  <si>
    <t>private marketplace</t>
  </si>
  <si>
    <t>pmp</t>
  </si>
  <si>
    <t>biddable - icj</t>
  </si>
  <si>
    <t>bid-icj</t>
  </si>
  <si>
    <t>life events</t>
  </si>
  <si>
    <t>life-event</t>
  </si>
  <si>
    <t>13-44</t>
  </si>
  <si>
    <t>Leads</t>
  </si>
  <si>
    <t>Outbound Clicks</t>
  </si>
  <si>
    <t>clicks</t>
  </si>
  <si>
    <t>non-skip</t>
  </si>
  <si>
    <t>audio</t>
  </si>
  <si>
    <t>Connected TV</t>
  </si>
  <si>
    <t>1024x768</t>
  </si>
  <si>
    <t>10s</t>
  </si>
  <si>
    <t>Amharic</t>
  </si>
  <si>
    <t>am</t>
  </si>
  <si>
    <t>Pinterest</t>
  </si>
  <si>
    <t>PT</t>
  </si>
  <si>
    <t>open exchange</t>
  </si>
  <si>
    <t>ox</t>
  </si>
  <si>
    <t>biddable-addressable-icj</t>
  </si>
  <si>
    <t>bid-adr-icj</t>
  </si>
  <si>
    <t>retargeting</t>
  </si>
  <si>
    <t>rtg</t>
  </si>
  <si>
    <t>13-54</t>
  </si>
  <si>
    <t>App Install</t>
  </si>
  <si>
    <t>Landing Page Views</t>
  </si>
  <si>
    <t>lpv</t>
  </si>
  <si>
    <t>stories</t>
  </si>
  <si>
    <t>Digital OOH</t>
  </si>
  <si>
    <t>1024x90</t>
  </si>
  <si>
    <t>12s</t>
  </si>
  <si>
    <t>Arabic</t>
  </si>
  <si>
    <t>ar</t>
  </si>
  <si>
    <t>Tiktok</t>
  </si>
  <si>
    <t>TT</t>
  </si>
  <si>
    <t>oth</t>
  </si>
  <si>
    <t>direct-addressable</t>
  </si>
  <si>
    <t>dir-adr</t>
  </si>
  <si>
    <t>contextual</t>
  </si>
  <si>
    <t>13plus</t>
  </si>
  <si>
    <t>Conversions</t>
  </si>
  <si>
    <t>Add To Cart</t>
  </si>
  <si>
    <t>atc</t>
  </si>
  <si>
    <t>feed</t>
  </si>
  <si>
    <t xml:space="preserve">static </t>
  </si>
  <si>
    <t>E-mails</t>
  </si>
  <si>
    <t>120x20</t>
  </si>
  <si>
    <t>14s</t>
  </si>
  <si>
    <t>Armenian</t>
  </si>
  <si>
    <t>hy</t>
  </si>
  <si>
    <t>bing</t>
  </si>
  <si>
    <t>BN</t>
  </si>
  <si>
    <t>direct-data driven audience</t>
  </si>
  <si>
    <t>dir-dda</t>
  </si>
  <si>
    <t>lookalikes</t>
  </si>
  <si>
    <t>lal</t>
  </si>
  <si>
    <t>15-17</t>
  </si>
  <si>
    <t>Purchases</t>
  </si>
  <si>
    <t>purchases</t>
  </si>
  <si>
    <t>post</t>
  </si>
  <si>
    <t>carousel</t>
  </si>
  <si>
    <t>Gaming Console</t>
  </si>
  <si>
    <t>120x240</t>
  </si>
  <si>
    <t>15s</t>
  </si>
  <si>
    <t>Assamese</t>
  </si>
  <si>
    <t>as</t>
  </si>
  <si>
    <t>google ads</t>
  </si>
  <si>
    <t>GA</t>
  </si>
  <si>
    <t>direct-non addressable</t>
  </si>
  <si>
    <t>dir-nadr</t>
  </si>
  <si>
    <t>keyword</t>
  </si>
  <si>
    <t>15-24</t>
  </si>
  <si>
    <t>leads</t>
  </si>
  <si>
    <t>instream</t>
  </si>
  <si>
    <t>dynamic</t>
  </si>
  <si>
    <t>120x60</t>
  </si>
  <si>
    <t>20s</t>
  </si>
  <si>
    <t>Azerbaijani</t>
  </si>
  <si>
    <t>az</t>
  </si>
  <si>
    <t>twitter</t>
  </si>
  <si>
    <t>TW</t>
  </si>
  <si>
    <t>direct-icj</t>
  </si>
  <si>
    <t>dir-icj</t>
  </si>
  <si>
    <t>weather</t>
  </si>
  <si>
    <t>15-34</t>
  </si>
  <si>
    <t>Catalog Sales</t>
  </si>
  <si>
    <t>catalog</t>
  </si>
  <si>
    <t>reels</t>
  </si>
  <si>
    <t>Mobile in app</t>
  </si>
  <si>
    <t>120x600</t>
  </si>
  <si>
    <t>40s</t>
  </si>
  <si>
    <t>Basque</t>
  </si>
  <si>
    <t>eu</t>
  </si>
  <si>
    <t>reddit</t>
  </si>
  <si>
    <t>RD</t>
  </si>
  <si>
    <t>direct-addressable-icj</t>
  </si>
  <si>
    <t>dir-adr-icj</t>
  </si>
  <si>
    <t>location-specific</t>
  </si>
  <si>
    <t>location</t>
  </si>
  <si>
    <t>15-44</t>
  </si>
  <si>
    <t>Return on Ad Spend</t>
  </si>
  <si>
    <t>roas</t>
  </si>
  <si>
    <t>Mobile Web</t>
  </si>
  <si>
    <t>120x90</t>
  </si>
  <si>
    <t>30splus</t>
  </si>
  <si>
    <t>Bengali; Bangla</t>
  </si>
  <si>
    <t>bn</t>
  </si>
  <si>
    <t>beeswax</t>
  </si>
  <si>
    <t>BW</t>
  </si>
  <si>
    <t>interest &amp; behavioural</t>
  </si>
  <si>
    <t>int-behav</t>
  </si>
  <si>
    <t>15-54</t>
  </si>
  <si>
    <t>commercials</t>
  </si>
  <si>
    <t>Multiplatform</t>
  </si>
  <si>
    <t>1248x702</t>
  </si>
  <si>
    <t>Bulgarian</t>
  </si>
  <si>
    <t>bg</t>
  </si>
  <si>
    <t>linkedin</t>
  </si>
  <si>
    <t>LI</t>
  </si>
  <si>
    <t>interest &amp; keywords</t>
  </si>
  <si>
    <t>int-kws</t>
  </si>
  <si>
    <t>15plus</t>
  </si>
  <si>
    <t>camera</t>
  </si>
  <si>
    <t>Tablet</t>
  </si>
  <si>
    <t>125x125</t>
  </si>
  <si>
    <t>160x600</t>
  </si>
  <si>
    <t>Byelorussian</t>
  </si>
  <si>
    <t>be</t>
  </si>
  <si>
    <t>tradedesk</t>
  </si>
  <si>
    <t>TD</t>
  </si>
  <si>
    <t>interest &amp; life events</t>
  </si>
  <si>
    <t>int-life</t>
  </si>
  <si>
    <t>18-24</t>
  </si>
  <si>
    <t>shopping</t>
  </si>
  <si>
    <t>Tablet in app</t>
  </si>
  <si>
    <t>1280x100</t>
  </si>
  <si>
    <t>300x250</t>
  </si>
  <si>
    <t>Cambodian</t>
  </si>
  <si>
    <t>km</t>
  </si>
  <si>
    <t>direct</t>
  </si>
  <si>
    <t>DI</t>
  </si>
  <si>
    <t>behavioural &amp; keywords</t>
  </si>
  <si>
    <t>behav-kws</t>
  </si>
  <si>
    <t>18-34</t>
  </si>
  <si>
    <t>text ads</t>
  </si>
  <si>
    <t>Tablet Web</t>
  </si>
  <si>
    <t>1280x720</t>
  </si>
  <si>
    <t>728x90</t>
  </si>
  <si>
    <t>Catalan</t>
  </si>
  <si>
    <t>ca</t>
  </si>
  <si>
    <t>OT</t>
  </si>
  <si>
    <t>behavioural &amp; life events</t>
  </si>
  <si>
    <t>behav-life</t>
  </si>
  <si>
    <t>18-44</t>
  </si>
  <si>
    <t>discovery</t>
  </si>
  <si>
    <t>Wearables</t>
  </si>
  <si>
    <t>1280x970</t>
  </si>
  <si>
    <t>1x1</t>
  </si>
  <si>
    <t>Chinese</t>
  </si>
  <si>
    <t>zh</t>
  </si>
  <si>
    <t>location &amp; behavioural</t>
  </si>
  <si>
    <t>behav-location</t>
  </si>
  <si>
    <t>18-54</t>
  </si>
  <si>
    <t>pmax</t>
  </si>
  <si>
    <t>1290x680</t>
  </si>
  <si>
    <t>88x31</t>
  </si>
  <si>
    <t>cornish</t>
  </si>
  <si>
    <t>kw</t>
  </si>
  <si>
    <t>18plus</t>
  </si>
  <si>
    <t>other</t>
  </si>
  <si>
    <t>1600x320</t>
  </si>
  <si>
    <t>Croatian</t>
  </si>
  <si>
    <t>hr</t>
  </si>
  <si>
    <t>25-34</t>
  </si>
  <si>
    <t>sponsored-product</t>
  </si>
  <si>
    <t>1608x850</t>
  </si>
  <si>
    <t>Czech</t>
  </si>
  <si>
    <t>cs</t>
  </si>
  <si>
    <t>24-44</t>
  </si>
  <si>
    <t>sponsored-brand</t>
  </si>
  <si>
    <t>Danish</t>
  </si>
  <si>
    <t>da</t>
  </si>
  <si>
    <t>25-54</t>
  </si>
  <si>
    <t>sponsored-display</t>
  </si>
  <si>
    <t>168x28</t>
  </si>
  <si>
    <t>Dutch</t>
  </si>
  <si>
    <t>nl</t>
  </si>
  <si>
    <t>25-65plus</t>
  </si>
  <si>
    <t>1712x136</t>
  </si>
  <si>
    <t>en</t>
  </si>
  <si>
    <t>35-44</t>
  </si>
  <si>
    <t>180x150</t>
  </si>
  <si>
    <t>Estonian</t>
  </si>
  <si>
    <t>et</t>
  </si>
  <si>
    <t>35-54</t>
  </si>
  <si>
    <t>180x180</t>
  </si>
  <si>
    <t>Faeroese</t>
  </si>
  <si>
    <t>fo</t>
  </si>
  <si>
    <t>35plus</t>
  </si>
  <si>
    <t>1920x1080</t>
  </si>
  <si>
    <t>Finnish</t>
  </si>
  <si>
    <t>fi</t>
  </si>
  <si>
    <t>54plus</t>
  </si>
  <si>
    <t>216x36</t>
  </si>
  <si>
    <t>French</t>
  </si>
  <si>
    <t>fr</t>
  </si>
  <si>
    <t>65plus</t>
  </si>
  <si>
    <t>210x185</t>
  </si>
  <si>
    <t>234x60</t>
  </si>
  <si>
    <t>Galician</t>
  </si>
  <si>
    <t>gl</t>
  </si>
  <si>
    <t>m13-17</t>
  </si>
  <si>
    <t>240x400</t>
  </si>
  <si>
    <t>Georgian</t>
  </si>
  <si>
    <t>ka</t>
  </si>
  <si>
    <t>m13-24</t>
  </si>
  <si>
    <t>250x250</t>
  </si>
  <si>
    <t>German</t>
  </si>
  <si>
    <t>de</t>
  </si>
  <si>
    <t>m13-34</t>
  </si>
  <si>
    <t>300x50</t>
  </si>
  <si>
    <t>Greek</t>
  </si>
  <si>
    <t>el</t>
  </si>
  <si>
    <t>m13-44</t>
  </si>
  <si>
    <t>250x200</t>
  </si>
  <si>
    <t>300x100</t>
  </si>
  <si>
    <t>Greenlandic</t>
  </si>
  <si>
    <t>kl</t>
  </si>
  <si>
    <t>m13-54</t>
  </si>
  <si>
    <t>300x600</t>
  </si>
  <si>
    <t>Gujarati</t>
  </si>
  <si>
    <t>gu</t>
  </si>
  <si>
    <t>m13plus</t>
  </si>
  <si>
    <t>250x50</t>
  </si>
  <si>
    <t>300x1050</t>
  </si>
  <si>
    <t>Hausa</t>
  </si>
  <si>
    <t>ha</t>
  </si>
  <si>
    <t>m15-17</t>
  </si>
  <si>
    <t>2560x2560</t>
  </si>
  <si>
    <t>320x50</t>
  </si>
  <si>
    <t>Hawaiian</t>
  </si>
  <si>
    <t>haw</t>
  </si>
  <si>
    <t>m15-24</t>
  </si>
  <si>
    <t>320x240</t>
  </si>
  <si>
    <t>Hebrew</t>
  </si>
  <si>
    <t>he</t>
  </si>
  <si>
    <t>m15-34</t>
  </si>
  <si>
    <t>336x280</t>
  </si>
  <si>
    <t>iw</t>
  </si>
  <si>
    <t>m15-44</t>
  </si>
  <si>
    <t>300x115</t>
  </si>
  <si>
    <t>468x60</t>
  </si>
  <si>
    <t>Hindi</t>
  </si>
  <si>
    <t>hi</t>
  </si>
  <si>
    <t>m15-54</t>
  </si>
  <si>
    <t>300x125</t>
  </si>
  <si>
    <t>550x480</t>
  </si>
  <si>
    <t>Hungarian</t>
  </si>
  <si>
    <t>hu</t>
  </si>
  <si>
    <t>m15plus</t>
  </si>
  <si>
    <t>640x480</t>
  </si>
  <si>
    <t>Icelandic</t>
  </si>
  <si>
    <t>is</t>
  </si>
  <si>
    <t>m18-24</t>
  </si>
  <si>
    <t>720x300</t>
  </si>
  <si>
    <t>Indonesian</t>
  </si>
  <si>
    <t>id</t>
  </si>
  <si>
    <t>m18-34</t>
  </si>
  <si>
    <t>970x90</t>
  </si>
  <si>
    <t>in</t>
  </si>
  <si>
    <t>m18-44</t>
  </si>
  <si>
    <t>320x100</t>
  </si>
  <si>
    <t>970x250</t>
  </si>
  <si>
    <t>Irish</t>
  </si>
  <si>
    <t>ga</t>
  </si>
  <si>
    <t>m18-54</t>
  </si>
  <si>
    <t>Italian</t>
  </si>
  <si>
    <t>it</t>
  </si>
  <si>
    <t>m18plus</t>
  </si>
  <si>
    <t>320x480</t>
  </si>
  <si>
    <t>Japanese</t>
  </si>
  <si>
    <t>ja</t>
  </si>
  <si>
    <t>m25-34</t>
  </si>
  <si>
    <t>Kannada</t>
  </si>
  <si>
    <t>kn</t>
  </si>
  <si>
    <t>m24-44</t>
  </si>
  <si>
    <t>82x82</t>
  </si>
  <si>
    <t>Kazakh</t>
  </si>
  <si>
    <t>kk</t>
  </si>
  <si>
    <t>m25-54</t>
  </si>
  <si>
    <t>375x200</t>
  </si>
  <si>
    <t>Konkani</t>
  </si>
  <si>
    <t>kok</t>
  </si>
  <si>
    <t>m25-65plus</t>
  </si>
  <si>
    <t>402x596</t>
  </si>
  <si>
    <t>m35-44</t>
  </si>
  <si>
    <t>414x125</t>
  </si>
  <si>
    <t>Korean</t>
  </si>
  <si>
    <t>ko</t>
  </si>
  <si>
    <t>m35-54</t>
  </si>
  <si>
    <t>Latvian</t>
  </si>
  <si>
    <t>lv</t>
  </si>
  <si>
    <t>m35plus</t>
  </si>
  <si>
    <t>480x320</t>
  </si>
  <si>
    <t>580x80</t>
  </si>
  <si>
    <t>Lithuanian</t>
  </si>
  <si>
    <t>lt</t>
  </si>
  <si>
    <t>m54plus</t>
  </si>
  <si>
    <t>600x380</t>
  </si>
  <si>
    <t>Macedonian</t>
  </si>
  <si>
    <t>mk</t>
  </si>
  <si>
    <t>m65plus</t>
  </si>
  <si>
    <t>960x600</t>
  </si>
  <si>
    <t>Malay</t>
  </si>
  <si>
    <t>ms</t>
  </si>
  <si>
    <t>f13-17</t>
  </si>
  <si>
    <t>700x90</t>
  </si>
  <si>
    <t>Malayalam</t>
  </si>
  <si>
    <t>ml</t>
  </si>
  <si>
    <t>f13-24</t>
  </si>
  <si>
    <t>600x90</t>
  </si>
  <si>
    <t>970x66</t>
  </si>
  <si>
    <t>Maltese</t>
  </si>
  <si>
    <t>mt</t>
  </si>
  <si>
    <t>f13-34</t>
  </si>
  <si>
    <t>630x920</t>
  </si>
  <si>
    <t>985x60</t>
  </si>
  <si>
    <t>Manx</t>
  </si>
  <si>
    <t>gv</t>
  </si>
  <si>
    <t>f13-44</t>
  </si>
  <si>
    <t>640x100</t>
  </si>
  <si>
    <t>Marathi</t>
  </si>
  <si>
    <t>mr</t>
  </si>
  <si>
    <t>f13-54</t>
  </si>
  <si>
    <t>640x360</t>
  </si>
  <si>
    <t>Nepali</t>
  </si>
  <si>
    <t>ne</t>
  </si>
  <si>
    <t>f13plus</t>
  </si>
  <si>
    <t>Norwegian</t>
  </si>
  <si>
    <t>no</t>
  </si>
  <si>
    <t>f15-17</t>
  </si>
  <si>
    <t>640x640</t>
  </si>
  <si>
    <t>976x66</t>
  </si>
  <si>
    <t>Norwegian Bokmål</t>
  </si>
  <si>
    <t>nb</t>
  </si>
  <si>
    <t>f15-24</t>
  </si>
  <si>
    <t>750x1174</t>
  </si>
  <si>
    <t>Norwegian Nynorsk</t>
  </si>
  <si>
    <t>nn</t>
  </si>
  <si>
    <t>f15-34</t>
  </si>
  <si>
    <t>Oriya</t>
  </si>
  <si>
    <t>or</t>
  </si>
  <si>
    <t>f15-44</t>
  </si>
  <si>
    <t>Pashto, Pushto</t>
  </si>
  <si>
    <t>ps</t>
  </si>
  <si>
    <t>f15-54</t>
  </si>
  <si>
    <t>Persian</t>
  </si>
  <si>
    <t>fa</t>
  </si>
  <si>
    <t>f15plus</t>
  </si>
  <si>
    <t>768x1024</t>
  </si>
  <si>
    <t>Polish</t>
  </si>
  <si>
    <t>pl</t>
  </si>
  <si>
    <t>f18-24</t>
  </si>
  <si>
    <t>768x66</t>
  </si>
  <si>
    <t>pt</t>
  </si>
  <si>
    <t>f18-34</t>
  </si>
  <si>
    <t>800x435</t>
  </si>
  <si>
    <t>Punjabi</t>
  </si>
  <si>
    <t>pa</t>
  </si>
  <si>
    <t>f18-44</t>
  </si>
  <si>
    <t>Romanian</t>
  </si>
  <si>
    <t>ro</t>
  </si>
  <si>
    <t>f18-54</t>
  </si>
  <si>
    <t>Russian</t>
  </si>
  <si>
    <t>ru</t>
  </si>
  <si>
    <t>f18plus</t>
  </si>
  <si>
    <t>Serbian</t>
  </si>
  <si>
    <t>sr</t>
  </si>
  <si>
    <t>f25-34</t>
  </si>
  <si>
    <t>Serbo-Croatian</t>
  </si>
  <si>
    <t>sh</t>
  </si>
  <si>
    <t>f24-44</t>
  </si>
  <si>
    <t>Sichuan Yi</t>
  </si>
  <si>
    <t>ii</t>
  </si>
  <si>
    <t>f25-54</t>
  </si>
  <si>
    <t>Singhalese</t>
  </si>
  <si>
    <t>si</t>
  </si>
  <si>
    <t>f25-65plus</t>
  </si>
  <si>
    <t>Slovak</t>
  </si>
  <si>
    <t>sk</t>
  </si>
  <si>
    <t>f35-44</t>
  </si>
  <si>
    <t>Slovenian</t>
  </si>
  <si>
    <t>sl</t>
  </si>
  <si>
    <t>f35-54</t>
  </si>
  <si>
    <t>Somali</t>
  </si>
  <si>
    <t>so</t>
  </si>
  <si>
    <t>f35plus</t>
  </si>
  <si>
    <t>Spanish</t>
  </si>
  <si>
    <t>es</t>
  </si>
  <si>
    <t>f54plus</t>
  </si>
  <si>
    <t>Swahili</t>
  </si>
  <si>
    <t>sw</t>
  </si>
  <si>
    <t>f65plus</t>
  </si>
  <si>
    <t>Swedish</t>
  </si>
  <si>
    <t>sv</t>
  </si>
  <si>
    <t>website-pageviewers</t>
  </si>
  <si>
    <t>web-view</t>
  </si>
  <si>
    <t>Swiss German</t>
  </si>
  <si>
    <t>gsw</t>
  </si>
  <si>
    <t>website-purchasers</t>
  </si>
  <si>
    <t>web-purch</t>
  </si>
  <si>
    <t>Tamil</t>
  </si>
  <si>
    <t>ta</t>
  </si>
  <si>
    <t>website- adds-to-cart</t>
  </si>
  <si>
    <t>web-atc</t>
  </si>
  <si>
    <t>Tegulu</t>
  </si>
  <si>
    <t>te</t>
  </si>
  <si>
    <t>website-combined</t>
  </si>
  <si>
    <t>web-com</t>
  </si>
  <si>
    <t>Thai</t>
  </si>
  <si>
    <t>th</t>
  </si>
  <si>
    <t>website-pageviewers-cat</t>
  </si>
  <si>
    <t>web-cat</t>
  </si>
  <si>
    <t>Tibetan</t>
  </si>
  <si>
    <t>bo</t>
  </si>
  <si>
    <t>website-pageviewers-dog</t>
  </si>
  <si>
    <t>web-dog</t>
  </si>
  <si>
    <t>Tigrinya</t>
  </si>
  <si>
    <t>ti</t>
  </si>
  <si>
    <t>website-pageviewers-cat-lookalikes</t>
  </si>
  <si>
    <t>web-cat-lal</t>
  </si>
  <si>
    <t>Turkish</t>
  </si>
  <si>
    <t>tr</t>
  </si>
  <si>
    <t>website-pageviewers-dog-lookalikes</t>
  </si>
  <si>
    <t>web-dog-lal</t>
  </si>
  <si>
    <t>Ukrainian</t>
  </si>
  <si>
    <t>uk</t>
  </si>
  <si>
    <t>website-pageviewers-lookalikes</t>
  </si>
  <si>
    <t>web-lal</t>
  </si>
  <si>
    <t>Urdu</t>
  </si>
  <si>
    <t>ur</t>
  </si>
  <si>
    <t>crm</t>
  </si>
  <si>
    <t>Uzbek</t>
  </si>
  <si>
    <t>uz</t>
  </si>
  <si>
    <t>shopify</t>
  </si>
  <si>
    <t>shp</t>
  </si>
  <si>
    <t>Vietnamese</t>
  </si>
  <si>
    <t>vi</t>
  </si>
  <si>
    <t>platform video-viewers</t>
  </si>
  <si>
    <t>pla-vid</t>
  </si>
  <si>
    <t>Welsh</t>
  </si>
  <si>
    <t>cy</t>
  </si>
  <si>
    <t>platform engagers</t>
  </si>
  <si>
    <t>pla-eng</t>
  </si>
  <si>
    <t>Zulu</t>
  </si>
  <si>
    <t>zu</t>
  </si>
  <si>
    <t>platform combined remarketing</t>
  </si>
  <si>
    <t>pla-com</t>
  </si>
  <si>
    <t>maids-dog</t>
  </si>
  <si>
    <t>mds-dog</t>
  </si>
  <si>
    <t>maids-cat</t>
  </si>
  <si>
    <t>mds-cat</t>
  </si>
  <si>
    <t>maids-combined</t>
  </si>
  <si>
    <t>mds-com</t>
  </si>
  <si>
    <t>maids-dog-lookalikes</t>
  </si>
  <si>
    <t>mds-d-lal</t>
  </si>
  <si>
    <t>maids-cat-lookalikes</t>
  </si>
  <si>
    <t>mds-c-lal</t>
  </si>
  <si>
    <t>maids-combined-lookalikes</t>
  </si>
  <si>
    <t>mds-dc-lal</t>
  </si>
  <si>
    <t>parents</t>
  </si>
  <si>
    <t>par</t>
  </si>
  <si>
    <t>pro</t>
  </si>
  <si>
    <t>students</t>
  </si>
  <si>
    <t>stu</t>
  </si>
  <si>
    <t>gen-z</t>
  </si>
  <si>
    <t>gnz</t>
  </si>
  <si>
    <t>millenials</t>
  </si>
  <si>
    <t>mil</t>
  </si>
  <si>
    <t>primary shopper</t>
  </si>
  <si>
    <t>pms</t>
  </si>
  <si>
    <t>households with kids</t>
  </si>
  <si>
    <t>hho-kids</t>
  </si>
  <si>
    <t>households without kids</t>
  </si>
  <si>
    <t>hho-nokids</t>
  </si>
  <si>
    <t>latin</t>
  </si>
  <si>
    <t>lat</t>
  </si>
  <si>
    <t>lfe</t>
  </si>
  <si>
    <t>women</t>
  </si>
  <si>
    <t>wom</t>
  </si>
  <si>
    <t>dating</t>
  </si>
  <si>
    <t>dat</t>
  </si>
  <si>
    <t>gaming</t>
  </si>
  <si>
    <t>gam</t>
  </si>
  <si>
    <t>baking</t>
  </si>
  <si>
    <t>bak</t>
  </si>
  <si>
    <t>seasonal/occasion</t>
  </si>
  <si>
    <t>sea</t>
  </si>
  <si>
    <t>music</t>
  </si>
  <si>
    <t>mus</t>
  </si>
  <si>
    <t>sport</t>
  </si>
  <si>
    <t>spo</t>
  </si>
  <si>
    <t>screentime</t>
  </si>
  <si>
    <t>scr</t>
  </si>
  <si>
    <t>health &amp; fitness</t>
  </si>
  <si>
    <t>haf</t>
  </si>
  <si>
    <t>restore mental focus</t>
  </si>
  <si>
    <t>rmf</t>
  </si>
  <si>
    <t>commute</t>
  </si>
  <si>
    <t>com</t>
  </si>
  <si>
    <t>oral care</t>
  </si>
  <si>
    <t>ora</t>
  </si>
  <si>
    <t>styling up</t>
  </si>
  <si>
    <t>sty</t>
  </si>
  <si>
    <t>keep me going mid-morning</t>
  </si>
  <si>
    <t>kmg</t>
  </si>
  <si>
    <t>reward for self</t>
  </si>
  <si>
    <t>rfs</t>
  </si>
  <si>
    <t>treat my loved ones</t>
  </si>
  <si>
    <t>tlo</t>
  </si>
  <si>
    <t>gifting</t>
  </si>
  <si>
    <t>gif</t>
  </si>
  <si>
    <t>food delivery</t>
  </si>
  <si>
    <t>fod</t>
  </si>
  <si>
    <t>dietary trends</t>
  </si>
  <si>
    <t>dtr</t>
  </si>
  <si>
    <t>hvc</t>
  </si>
  <si>
    <t>sport-nfl-fans</t>
  </si>
  <si>
    <t>spo-nfl</t>
  </si>
  <si>
    <t>sport-superbowl</t>
  </si>
  <si>
    <t>spo-sup</t>
  </si>
  <si>
    <t>partying &amp; outings</t>
  </si>
  <si>
    <t>par-out</t>
  </si>
  <si>
    <t>music-latin-playlist</t>
  </si>
  <si>
    <t>mus-lat</t>
  </si>
  <si>
    <t>healthfitness-healthy-eating</t>
  </si>
  <si>
    <t>haf-he</t>
  </si>
  <si>
    <t>healthfitness-flexitarian</t>
  </si>
  <si>
    <t>haf-flex</t>
  </si>
  <si>
    <t>healthfitness-plantbased</t>
  </si>
  <si>
    <t>hf-pla</t>
  </si>
  <si>
    <t>recipes</t>
  </si>
  <si>
    <t>rec</t>
  </si>
  <si>
    <t>wth</t>
  </si>
  <si>
    <t>snicker nb - dorothy: brownie equity</t>
  </si>
  <si>
    <t>SNBDBE</t>
  </si>
  <si>
    <t>snicker nb - dorothy: soul-sucking work</t>
  </si>
  <si>
    <t>SNBDSSW</t>
  </si>
  <si>
    <t>snicker nb - modern day dorothy (broad)</t>
  </si>
  <si>
    <t>SNBMDDB</t>
  </si>
  <si>
    <t>snickers core gaming</t>
  </si>
  <si>
    <t>SCC</t>
  </si>
  <si>
    <t>snickers core heartland (broad)</t>
  </si>
  <si>
    <t>SCHB</t>
  </si>
  <si>
    <t>snickers core heartland equity</t>
  </si>
  <si>
    <t>SCHE</t>
  </si>
  <si>
    <t>snickers core heartland outdoor life</t>
  </si>
  <si>
    <t>SCHOL</t>
  </si>
  <si>
    <t>snickers core heartland work/road life</t>
  </si>
  <si>
    <t>SCHWRL</t>
  </si>
  <si>
    <t>snickers core student life</t>
  </si>
  <si>
    <t>SCSL</t>
  </si>
  <si>
    <t>snickers core youth (broad)</t>
  </si>
  <si>
    <t>SCYB</t>
  </si>
  <si>
    <t>snickers core youth equity</t>
  </si>
  <si>
    <t>SCYE</t>
  </si>
  <si>
    <t>youth - equity</t>
  </si>
  <si>
    <t>yeq</t>
  </si>
  <si>
    <t>youth - gaming</t>
  </si>
  <si>
    <t>yga</t>
  </si>
  <si>
    <t>youth - student life</t>
  </si>
  <si>
    <t>ysl</t>
  </si>
  <si>
    <t>brownie equity</t>
  </si>
  <si>
    <t>beq</t>
  </si>
  <si>
    <t>chocolate interests</t>
  </si>
  <si>
    <t>cin</t>
  </si>
  <si>
    <t>connections targeting</t>
  </si>
  <si>
    <t>cnt</t>
  </si>
  <si>
    <t>food keywords</t>
  </si>
  <si>
    <t>fdk</t>
  </si>
  <si>
    <t>nutrition</t>
  </si>
  <si>
    <t>ntr</t>
  </si>
  <si>
    <t>fathers-day</t>
  </si>
  <si>
    <t>sea-fdy</t>
  </si>
  <si>
    <t>mothers-day</t>
  </si>
  <si>
    <t>sea-mdy</t>
  </si>
  <si>
    <t>valentines-day</t>
  </si>
  <si>
    <t>sea-vdy</t>
  </si>
  <si>
    <t>pride</t>
  </si>
  <si>
    <t>sea-pri</t>
  </si>
  <si>
    <t>3p walmart proximity + kind portfolio buyers</t>
  </si>
  <si>
    <t>wpkpb</t>
  </si>
  <si>
    <t>3p walmart visitors + interests</t>
  </si>
  <si>
    <t>wvi</t>
  </si>
  <si>
    <t>existing brand buyers</t>
  </si>
  <si>
    <t>ebb</t>
  </si>
  <si>
    <t>lapsed buyers</t>
  </si>
  <si>
    <t>lpb</t>
  </si>
  <si>
    <t>competitor buyers</t>
  </si>
  <si>
    <t>cmp</t>
  </si>
  <si>
    <t>category buyers</t>
  </si>
  <si>
    <t>ctb</t>
  </si>
  <si>
    <t>premium buyers</t>
  </si>
  <si>
    <t>pmb</t>
  </si>
  <si>
    <t>complementray purchase/adjacent category</t>
  </si>
  <si>
    <t>adj</t>
  </si>
  <si>
    <t>adopted a cat/looking to adopt a cat</t>
  </si>
  <si>
    <t>ACLAC</t>
  </si>
  <si>
    <t>big dog owners</t>
  </si>
  <si>
    <t>BDO</t>
  </si>
  <si>
    <t>cat affinity</t>
  </si>
  <si>
    <t>CA</t>
  </si>
  <si>
    <t>cat brand food buyers</t>
  </si>
  <si>
    <t>CBFB</t>
  </si>
  <si>
    <t>cat brand treats buyers</t>
  </si>
  <si>
    <t>CBTB</t>
  </si>
  <si>
    <t>cat category food buyers</t>
  </si>
  <si>
    <t>CCFB</t>
  </si>
  <si>
    <t>cat category treats buyers</t>
  </si>
  <si>
    <t>CCTB</t>
  </si>
  <si>
    <t>cat channels</t>
  </si>
  <si>
    <t>CC</t>
  </si>
  <si>
    <t>cat interests</t>
  </si>
  <si>
    <t>CI</t>
  </si>
  <si>
    <t>cat interests and keywords</t>
  </si>
  <si>
    <t>CIAK</t>
  </si>
  <si>
    <t>cat keywords</t>
  </si>
  <si>
    <t>CK</t>
  </si>
  <si>
    <t>cat lovers, new cat owners, future cat owners</t>
  </si>
  <si>
    <t>CLNCOFCO</t>
  </si>
  <si>
    <t>cat owners</t>
  </si>
  <si>
    <t>CO</t>
  </si>
  <si>
    <t>cat + dog interest</t>
  </si>
  <si>
    <t>CDI</t>
  </si>
  <si>
    <t>dog affinity</t>
  </si>
  <si>
    <t>DA</t>
  </si>
  <si>
    <t>dog brand dry food buyers</t>
  </si>
  <si>
    <t>DBDFB</t>
  </si>
  <si>
    <t>dog brand food buyers</t>
  </si>
  <si>
    <t>DBFB</t>
  </si>
  <si>
    <t>dog brand treats buyers</t>
  </si>
  <si>
    <t>DBTB</t>
  </si>
  <si>
    <t>dog brand wet food buyers</t>
  </si>
  <si>
    <t>DBWFB</t>
  </si>
  <si>
    <t>dog category dry food buyers</t>
  </si>
  <si>
    <t>DCDFB</t>
  </si>
  <si>
    <t>dog category food buyers</t>
  </si>
  <si>
    <t>DCFB</t>
  </si>
  <si>
    <t>dog category keywords</t>
  </si>
  <si>
    <t>DCK</t>
  </si>
  <si>
    <t>dog category treats buyers</t>
  </si>
  <si>
    <t>DCTB</t>
  </si>
  <si>
    <t>dog category wet food buyers</t>
  </si>
  <si>
    <t>DCWFB</t>
  </si>
  <si>
    <t>dog interests</t>
  </si>
  <si>
    <t>dog interests and keywords</t>
  </si>
  <si>
    <t>DIAK</t>
  </si>
  <si>
    <t>dog keywords</t>
  </si>
  <si>
    <t>DK</t>
  </si>
  <si>
    <t>dog lovers, new dog owners, future dog owners</t>
  </si>
  <si>
    <t>DLNDOFDO</t>
  </si>
  <si>
    <t>dog owners</t>
  </si>
  <si>
    <t>DO</t>
  </si>
  <si>
    <t>dog premium shopper</t>
  </si>
  <si>
    <t>dps</t>
  </si>
  <si>
    <t>dog heavy shopper</t>
  </si>
  <si>
    <t>dhs</t>
  </si>
  <si>
    <t>dog research</t>
  </si>
  <si>
    <t>dr</t>
  </si>
  <si>
    <t>dog prospective adopters</t>
  </si>
  <si>
    <t>dpa</t>
  </si>
  <si>
    <t>dog - adding to household soon</t>
  </si>
  <si>
    <t>daths</t>
  </si>
  <si>
    <t>dog food research</t>
  </si>
  <si>
    <t>dfr</t>
  </si>
  <si>
    <t>dog training</t>
  </si>
  <si>
    <t>dt</t>
  </si>
  <si>
    <t>dog vets</t>
  </si>
  <si>
    <t>dv</t>
  </si>
  <si>
    <t>kitten interests</t>
  </si>
  <si>
    <t>KIT</t>
  </si>
  <si>
    <t>pet interest</t>
  </si>
  <si>
    <t>PI</t>
  </si>
  <si>
    <t>puppy interests</t>
  </si>
  <si>
    <t>PUI</t>
  </si>
  <si>
    <t>puppy + kitten interests</t>
  </si>
  <si>
    <t>PKI</t>
  </si>
  <si>
    <t>puppy owners</t>
  </si>
  <si>
    <t>PO</t>
  </si>
  <si>
    <t>small dog owners</t>
  </si>
  <si>
    <t>SDO</t>
  </si>
  <si>
    <t>sporting dog interests</t>
  </si>
  <si>
    <t>SDI</t>
  </si>
  <si>
    <t>sporting dog puppy interests</t>
  </si>
  <si>
    <t>SDPI</t>
  </si>
  <si>
    <t>vet professionals</t>
  </si>
  <si>
    <t>VP</t>
  </si>
  <si>
    <t>hunting interests</t>
  </si>
  <si>
    <t>HI</t>
  </si>
  <si>
    <t>hvcs</t>
  </si>
  <si>
    <t>Goog-Dog-Getting a Puppy / New Dog</t>
  </si>
  <si>
    <t>gdacq01</t>
  </si>
  <si>
    <t>FB-Cat-Cat Affinity + Hygiene affinity</t>
  </si>
  <si>
    <t>fccbt01</t>
  </si>
  <si>
    <t>FB-Cat-Cat Affinity Online Shopper + Hygiene affinity</t>
  </si>
  <si>
    <t>fccbt02</t>
  </si>
  <si>
    <t>FB-Cat-Cat affinity with online shopping affinity + cat play/toy affinity</t>
  </si>
  <si>
    <t>fccbt03</t>
  </si>
  <si>
    <t>FB-Cat-Cat affinity with SPT affinity + cat play/toy affinity</t>
  </si>
  <si>
    <t>fccbt04</t>
  </si>
  <si>
    <t>FB-Cat-18-35 Cat Affinity with cat play/toy affinity</t>
  </si>
  <si>
    <t>fccbt05</t>
  </si>
  <si>
    <t>FB-Cat-18-35 Cat Affinity with cat play/bond/quality time</t>
  </si>
  <si>
    <t>fccbt06</t>
  </si>
  <si>
    <t>FB-Cat-50+ Cat Affinity with cat play/bond/quality time</t>
  </si>
  <si>
    <t>fccbt07</t>
  </si>
  <si>
    <t>FB-Cat-30-50 Cat Affinity with cat play/bond/quality time</t>
  </si>
  <si>
    <t>fccbt08</t>
  </si>
  <si>
    <t>FB-Cat-Cat Affinity + Gaming Affinity + cat play/bond/quality time affinity</t>
  </si>
  <si>
    <t>fccbt09</t>
  </si>
  <si>
    <t>FB-Cat-Cat Affinity + Online Shopping Affinity + cat play/bond/quality time affinity</t>
  </si>
  <si>
    <t>fccbt10</t>
  </si>
  <si>
    <t>FB-Cat-50+ Cat Affinity Engaged Shoppers + cat play/toy affinity</t>
  </si>
  <si>
    <t>fccbt11</t>
  </si>
  <si>
    <t>FB-Cat-35-49 Cat Affinity + cat play/toy affinity</t>
  </si>
  <si>
    <t>fccbt12</t>
  </si>
  <si>
    <t>FB-Cat-50-64 Cat Affinity + Engaged Shoppers + cat play/toy affinity</t>
  </si>
  <si>
    <t>fccbt13</t>
  </si>
  <si>
    <t>FB-Cat-65+ Cat Affinity + Engaged Shoppers + cat play/toy affinity</t>
  </si>
  <si>
    <t>fccbt14</t>
  </si>
  <si>
    <t>FB-Cat-Family with Cat + cat play/toy affinity</t>
  </si>
  <si>
    <t>fccbt15</t>
  </si>
  <si>
    <t>FB-Cat-18-40 Cat Affinity + cat play/toy affinity</t>
  </si>
  <si>
    <t>fccbt16</t>
  </si>
  <si>
    <t>FB-Dog-Dog affinity with online shopping affinity + behavioral understanding</t>
  </si>
  <si>
    <t>fdcbt01</t>
  </si>
  <si>
    <t>FB-Dog-Dog affinity with SPT affinity + behavioral understanding</t>
  </si>
  <si>
    <t>fdcbt02</t>
  </si>
  <si>
    <t>FB-Dog-18-38 Dog Affinity + behavioral understanding</t>
  </si>
  <si>
    <t>fdcbt03</t>
  </si>
  <si>
    <t>FB-Dog-25-49 Dog affinity + behavioral understanding</t>
  </si>
  <si>
    <t>fdcbt04</t>
  </si>
  <si>
    <t>FB-Dog-50-65+ Dog affinity + behavioral understanding</t>
  </si>
  <si>
    <t>fdcbt05</t>
  </si>
  <si>
    <t>Pin-Cat-Cat Affinity + healthy hygiene/relationship KWs</t>
  </si>
  <si>
    <t>pccbt01</t>
  </si>
  <si>
    <t>Pin-Cat-Cat Affinity + behave/play/bond KWs</t>
  </si>
  <si>
    <t>pccbt02</t>
  </si>
  <si>
    <t>Pin-Cat-18-34 Cat Affinity + behave/play/bond KWs</t>
  </si>
  <si>
    <t>pccbt03</t>
  </si>
  <si>
    <t>Pin-Cat-45+ Cat Affinity + behave/play/bond KWs</t>
  </si>
  <si>
    <t>pccbt04</t>
  </si>
  <si>
    <t>Pin-Cat-35-54 Cat Affinity + behave/play/bond KWs</t>
  </si>
  <si>
    <t>pccbt05</t>
  </si>
  <si>
    <t>Pin-Dog-Dog Affinity + beauty routine KWs</t>
  </si>
  <si>
    <t>pdcbt06</t>
  </si>
  <si>
    <t>Pin-Dog-25-44 Dog Affinity + beauty routine KWs</t>
  </si>
  <si>
    <t>pdcbt07</t>
  </si>
  <si>
    <t>Pin-Dog-25-44 Dog Affinity + train/bond KWs</t>
  </si>
  <si>
    <t>pdcbt08</t>
  </si>
  <si>
    <t>Pin-Dog-45+ Dog Affinity + beauty routine KWs</t>
  </si>
  <si>
    <t>pdcbt09</t>
  </si>
  <si>
    <t>Pin-Dog-45+ Dog Affinity + train/bond KWs</t>
  </si>
  <si>
    <t>pdcbt10</t>
  </si>
  <si>
    <t>Pin-Cat-45-64 Cat Affinity + behave/play/bond KWs</t>
  </si>
  <si>
    <t>pccbt11</t>
  </si>
  <si>
    <t>Pin-Cat-65+ Cat Affinity + behave/play/bond KWs</t>
  </si>
  <si>
    <t>pccbt12</t>
  </si>
  <si>
    <t>Pin-Cat-18-44 Cat Affinity + behave/play/bond KWs</t>
  </si>
  <si>
    <t>pccbt13</t>
  </si>
  <si>
    <t>Cat affinity with natural affinity + recent life change</t>
  </si>
  <si>
    <t>fcchg01</t>
  </si>
  <si>
    <t>FB-Cat-Cat affinity with SPT affinity + recent life change</t>
  </si>
  <si>
    <t>fcchg02</t>
  </si>
  <si>
    <t>FB-Cat-18-35 Cat Affinity with recent life change</t>
  </si>
  <si>
    <t>fcchg03</t>
  </si>
  <si>
    <t>FB-Cat-18-45 Cat Affinity Online Shoppers + recent life change</t>
  </si>
  <si>
    <t>fcchg04</t>
  </si>
  <si>
    <t>FB-Cat-45-65+ Cat Affinity Online shoppers + recent life change</t>
  </si>
  <si>
    <t>fcchg05</t>
  </si>
  <si>
    <t>Pin-Cat-Cat Affinity + change lifestage/diet KWs</t>
  </si>
  <si>
    <t>pcchg01</t>
  </si>
  <si>
    <t>Pin-Cat-35-54 Cat Affinity + celebrate KWs</t>
  </si>
  <si>
    <t>pcchg02</t>
  </si>
  <si>
    <t>Pin-Dog-18-54 Dog Affinity + change lifestage KWs</t>
  </si>
  <si>
    <t>pdchg03</t>
  </si>
  <si>
    <t>Pin-Dog-25-54 Dog Affinity + change lifestage KWs</t>
  </si>
  <si>
    <t>pdchg04</t>
  </si>
  <si>
    <t>Pin-Dog-Dog Affinity + change lifestage KWs</t>
  </si>
  <si>
    <t>pdchg05</t>
  </si>
  <si>
    <t>Pin-Cat-25-44 Cat Affinity + change lifestage/diet KWs</t>
  </si>
  <si>
    <t>pcchg06</t>
  </si>
  <si>
    <t>Pin-Cat-18-44 Cat Affinity + change lifestage/diet KWs</t>
  </si>
  <si>
    <t>pcchg07</t>
  </si>
  <si>
    <t>Pin-Cat-45+ Cat Affinity + change lifestage/diet KWs</t>
  </si>
  <si>
    <t>pcchg08</t>
  </si>
  <si>
    <t>Pin-Cat-18-55 Cat Affinity + change lifestage/diet KWs</t>
  </si>
  <si>
    <t>pcchg09</t>
  </si>
  <si>
    <t>Goog-Dog-Learning about life with dog Deciding on the right type of dog</t>
  </si>
  <si>
    <t>gdcon01</t>
  </si>
  <si>
    <t>FB-Dog-Dog Affinity + quality time affinity</t>
  </si>
  <si>
    <t>fdenj01</t>
  </si>
  <si>
    <t>FB-Cat-18-35 Cat Affinity with celebration affinity</t>
  </si>
  <si>
    <t>fcenj01</t>
  </si>
  <si>
    <t>FB-Cat-50+ Cat Affinity with celebration affinity</t>
  </si>
  <si>
    <t>fcenj02</t>
  </si>
  <si>
    <t>FB-Cat-30-50 Cat Affinity with celebration affinity</t>
  </si>
  <si>
    <t>fcenj03</t>
  </si>
  <si>
    <t>FB-Cat-18-35 Cat Affinity + culinary affinity</t>
  </si>
  <si>
    <t>fcenj04</t>
  </si>
  <si>
    <t>FB-Cat-35-49 Cat Affinity + culinary affinity</t>
  </si>
  <si>
    <t>fcenj05</t>
  </si>
  <si>
    <t>Pin-Cat-35+ Cat Affinity + celebrate KWs</t>
  </si>
  <si>
    <t>pcenj01</t>
  </si>
  <si>
    <t>Pin-Cat-45+ Cat Affinity + celebrate KWs</t>
  </si>
  <si>
    <t>pcenj02</t>
  </si>
  <si>
    <t>Pin-Cat-Cat Affinity + celebrate KWs</t>
  </si>
  <si>
    <t>pcenj03</t>
  </si>
  <si>
    <t>Goog-Dog-Nutrition, Health</t>
  </si>
  <si>
    <t>gdeow01</t>
  </si>
  <si>
    <t>Goog-Dog-Help dogs feel welcome</t>
  </si>
  <si>
    <t>gdeow02</t>
  </si>
  <si>
    <t>Goog-Cat-Estabilishing a hygiene routine &amp; getting the cat / kitten used to litter</t>
  </si>
  <si>
    <t>gceow01</t>
  </si>
  <si>
    <t>Goog-Cat-Preparing home and welcoming the cat / kitten for the first time</t>
  </si>
  <si>
    <t>gceow02</t>
  </si>
  <si>
    <t xml:space="preserve">Goog-Cat-Learning about new cat/kitten health needs, Purchasing their first food, Feeding their kitten/cat for the first time
</t>
  </si>
  <si>
    <t>gceow03</t>
  </si>
  <si>
    <t>Goog-Cat-New cat parents moment</t>
  </si>
  <si>
    <t>gceow04</t>
  </si>
  <si>
    <t>Goog-Dog-Inspiring &amp; celebrating dog ownership</t>
  </si>
  <si>
    <t>gdevd01</t>
  </si>
  <si>
    <t>Goog-Dog-Establishing / Following a hygiene &amp; health routine (incl. supplements)</t>
  </si>
  <si>
    <t>gdevd02</t>
  </si>
  <si>
    <t>Goog-Dog-Training their Puppy/Dog</t>
  </si>
  <si>
    <t>gdevd03</t>
  </si>
  <si>
    <t>Goog-Dog-Showcase Quality &amp; enjoyment</t>
  </si>
  <si>
    <t>gdevd04</t>
  </si>
  <si>
    <t>Goog-Dog-Changes in Lifestage</t>
  </si>
  <si>
    <t>gdevd05</t>
  </si>
  <si>
    <t>Goog-Cat-Maintaining pleasant cleanliness routine that nurtures relationship between cat &amp; human</t>
  </si>
  <si>
    <t>gcevd01</t>
  </si>
  <si>
    <t>Goog-Cat-Oberserving their cat's discomfort, trying and finding alternatives to help their cat.</t>
  </si>
  <si>
    <t>gcevd02</t>
  </si>
  <si>
    <t>Goog-Cat-Behavioural Understanding</t>
  </si>
  <si>
    <t>gcevd03</t>
  </si>
  <si>
    <t>Goog-Cat-Considering Treats</t>
  </si>
  <si>
    <t>gcevd04</t>
  </si>
  <si>
    <t>Goog-Cat-Purchasing Treats</t>
  </si>
  <si>
    <t>gcevd05</t>
  </si>
  <si>
    <t>Goog-Cat-Celebrating Holidays &amp; special occasions</t>
  </si>
  <si>
    <t>gcevd06</t>
  </si>
  <si>
    <t>Goog-Cat-Health Concerns</t>
  </si>
  <si>
    <t>gcevd07</t>
  </si>
  <si>
    <t>Goog-Cat-Playing &amp; bonding with cat</t>
  </si>
  <si>
    <t>gcevd08</t>
  </si>
  <si>
    <t>Goog-Dog-Feeding</t>
  </si>
  <si>
    <t>gdevd06</t>
  </si>
  <si>
    <t>Goog-Cat-Support owners through the transition across everyday life challenges</t>
  </si>
  <si>
    <t>gcevd09</t>
  </si>
  <si>
    <t>Goog-Cat-45+-Sharing Moments, Show Love &amp; Bonding</t>
  </si>
  <si>
    <t>gcevd10</t>
  </si>
  <si>
    <t>Goog-Cat-18-34-Purchasing cat food, change in diet</t>
  </si>
  <si>
    <t>gcevd11</t>
  </si>
  <si>
    <t>Goog-Cat-18-34-Sharing Moments, Show Love &amp; Bonding</t>
  </si>
  <si>
    <t>gcevd12</t>
  </si>
  <si>
    <t>Goog-Cat-35-54-Purchasing cat food, change in diet</t>
  </si>
  <si>
    <t>gcevd13</t>
  </si>
  <si>
    <t>Goog-Cat-Sharing Moments, Show Love &amp; Bonding</t>
  </si>
  <si>
    <t>gcevd14</t>
  </si>
  <si>
    <t>Goog-Cat-Guiding cat behaviour</t>
  </si>
  <si>
    <t>gcevd15</t>
  </si>
  <si>
    <t>Goog-Cat-Change Diet</t>
  </si>
  <si>
    <t>gcevd16</t>
  </si>
  <si>
    <t>Goog-Cat-Change Diet-Category Buyer</t>
  </si>
  <si>
    <t>gcevd17</t>
  </si>
  <si>
    <t>FB-Dog-Millennial Families with dog affinity</t>
  </si>
  <si>
    <t>fdfam01</t>
  </si>
  <si>
    <t>FB-Dog-Millennial Families with dog + quality affinity</t>
  </si>
  <si>
    <t>fdfam02</t>
  </si>
  <si>
    <t>FB-Cat-Family with Cat</t>
  </si>
  <si>
    <t>fcfam01</t>
  </si>
  <si>
    <t>Goog-Dog-Millennial Families with dog affinity (culinary element)</t>
  </si>
  <si>
    <t>gdfam01</t>
  </si>
  <si>
    <t>Goog-Dog-Millennial Families with dog affinity</t>
  </si>
  <si>
    <t>gdfam02</t>
  </si>
  <si>
    <t>Goog-Cat-Family with Cat</t>
  </si>
  <si>
    <t>gcfam01</t>
  </si>
  <si>
    <t>Pin-Dog-Dog Affinity + treat KWs</t>
  </si>
  <si>
    <t>pdftr01</t>
  </si>
  <si>
    <t>Pin-Dog-Dog Affinity + feeding KWs</t>
  </si>
  <si>
    <t>pdftr02</t>
  </si>
  <si>
    <t>Pin-Cat-18-34 Cat Affinity + treat KWs</t>
  </si>
  <si>
    <t>pcftr03</t>
  </si>
  <si>
    <t>Pin-Cat-45+ Cat Affinity + treat KWs</t>
  </si>
  <si>
    <t>pcftr04</t>
  </si>
  <si>
    <t>Pin-Cat-35-54 Cat Affinity + treat KWs</t>
  </si>
  <si>
    <t>pcftr05</t>
  </si>
  <si>
    <t>Pin-Cat-Cat Affinity + treat KWs</t>
  </si>
  <si>
    <t>pcftr06</t>
  </si>
  <si>
    <t>Pin-Dog-25-44 Dog Affinity + feeding KWs</t>
  </si>
  <si>
    <t>pdftr07</t>
  </si>
  <si>
    <t>Pin-Dog-45+ Dog Affinity + feeding KWs</t>
  </si>
  <si>
    <t>pdftr08</t>
  </si>
  <si>
    <t>Pin-Cat-45+ Cat Affinity + feeding KWs</t>
  </si>
  <si>
    <t>pcftr09</t>
  </si>
  <si>
    <t>Pin-Cat-18-34 Cat Affinity + feeding KWs</t>
  </si>
  <si>
    <t>pcftr10</t>
  </si>
  <si>
    <t>Pin-Cat-35-54 Cat Affinity + feeding KWs</t>
  </si>
  <si>
    <t>pcftr11</t>
  </si>
  <si>
    <t>Pin-Cat-45-64 Cat Affinity + feeding KWs</t>
  </si>
  <si>
    <t>pcftr12</t>
  </si>
  <si>
    <t>Pin-Cat-65+ Cat Affinity + feeding KWs</t>
  </si>
  <si>
    <t>pcftr13</t>
  </si>
  <si>
    <t>Pin-Cat-Cat Affinity + feeding KWs</t>
  </si>
  <si>
    <t>pcftr14</t>
  </si>
  <si>
    <t>Pin-Cat-18-44 Cat Affinity + feeding KWs</t>
  </si>
  <si>
    <t>pcftr15</t>
  </si>
  <si>
    <t>FB-Cat-Cat Affinity + Gaming Affinity + celebration affinity</t>
  </si>
  <si>
    <t>fcgam01</t>
  </si>
  <si>
    <t>FB-Cat-18-65+-Cat Affinity + Gaming Affinity</t>
  </si>
  <si>
    <t>fcgam02</t>
  </si>
  <si>
    <t>FB-Cat-18-50-Cat Affinity + Gaming Affinity</t>
  </si>
  <si>
    <t>fcgam03</t>
  </si>
  <si>
    <t>Goog-Cat-Gamers with cat affinity</t>
  </si>
  <si>
    <t>gcgam01</t>
  </si>
  <si>
    <t>FB-Cat-Cat Affinity + supplement/alternative feeding affinity</t>
  </si>
  <si>
    <t>fchea01</t>
  </si>
  <si>
    <t>FB-Cat-Cat Affinity Online Shopper + supplement/alternative feeding affinity</t>
  </si>
  <si>
    <t>fchea02</t>
  </si>
  <si>
    <t>FB-Cat-Cat affinity with health affinity + cat play/toy affinity</t>
  </si>
  <si>
    <t>fchea03</t>
  </si>
  <si>
    <t>FB-Dog-Dog affinity with health affinity + behavioral understanding</t>
  </si>
  <si>
    <t>fdhea01</t>
  </si>
  <si>
    <t>FB-Dog-Dog affinity with health affinity</t>
  </si>
  <si>
    <t>fdhea02</t>
  </si>
  <si>
    <t>FB-Dog-Dog affinity with health affinity + supplement/alternative feeding affinity</t>
  </si>
  <si>
    <t>fdhea03</t>
  </si>
  <si>
    <t>FB-Dog-Dog affinity with online shopping affinity + supplement/alternative feeding affinity</t>
  </si>
  <si>
    <t>fdhea04</t>
  </si>
  <si>
    <t>FB-Dog-Dog affinity with SPT affinity + supplement/alternative feeding affinity</t>
  </si>
  <si>
    <t>fdhea05</t>
  </si>
  <si>
    <t>FB-Dog-18-38 Dog Affinity with supplement/alternative feeding affinity</t>
  </si>
  <si>
    <t>fdhea06</t>
  </si>
  <si>
    <t>FB-Cat-18-35 Cat Affinity with health affinity</t>
  </si>
  <si>
    <t>fchea04</t>
  </si>
  <si>
    <t>FB-Cat-50+ Cat Affinity with health affinity</t>
  </si>
  <si>
    <t>fchea05</t>
  </si>
  <si>
    <t>FB-Cat-30-50 Cat Affinity with health affinity</t>
  </si>
  <si>
    <t>fchea06</t>
  </si>
  <si>
    <t>FB-Cat-Cat Affinity + Gaming Affinity + health/supplement/alternative feeding affinity</t>
  </si>
  <si>
    <t>fchea07</t>
  </si>
  <si>
    <t>FB-Cat-Cat Affinity + Online Shopping Affinity + health/supplement/alternative feeding affinity</t>
  </si>
  <si>
    <t>fchea08</t>
  </si>
  <si>
    <t>FB-Cat-18-49 Cat Affinity + health/supplement/alternative feeding affinity</t>
  </si>
  <si>
    <t>fchea09</t>
  </si>
  <si>
    <t>FB-Cat-25-49 Cat Affinity + Online Shopper + health/supplement/alternative feeding affinity</t>
  </si>
  <si>
    <t>fchea10</t>
  </si>
  <si>
    <t>FB-Dog-18-49 Dog Affinity + health/supplement/alternative feeding affinity</t>
  </si>
  <si>
    <t>fdhea07</t>
  </si>
  <si>
    <t>FB-Dog-18-49 Dog Affinity + supplement/alternative feeding affinity</t>
  </si>
  <si>
    <t>fdhea08</t>
  </si>
  <si>
    <t>FB-Dog-25-49 Dog Affinity + Online Shopper + health/supplement/alternative feeding affinity</t>
  </si>
  <si>
    <t>fdhea09</t>
  </si>
  <si>
    <t>FB-Dog-25-49 Dog Affinity + Online Shopper + supplement/alternative feeding affinity</t>
  </si>
  <si>
    <t>fdhea10</t>
  </si>
  <si>
    <t>FB-Dog-Meaty/Natural affinity + dog beauty &amp; health care affinity</t>
  </si>
  <si>
    <t>fdhea11</t>
  </si>
  <si>
    <t>FB-Dog-25-49 Dog affinity + dog beauty &amp; health care affinity</t>
  </si>
  <si>
    <t>fdhea12</t>
  </si>
  <si>
    <t>FB-Dog-Online shoppers with dog beauty &amp; health care affinity</t>
  </si>
  <si>
    <t>fdhea13</t>
  </si>
  <si>
    <t>FB-Dog-50-65+ Dog affinity + dog beauty &amp; health care affinity</t>
  </si>
  <si>
    <t>fdhea14</t>
  </si>
  <si>
    <t>FB-Cat-Cat Affinity + Health affinity + recent life change</t>
  </si>
  <si>
    <t>fchea11</t>
  </si>
  <si>
    <t>FB-Cat-Cat Affinity + Health affinity + supplement/alternative feeding affinity</t>
  </si>
  <si>
    <t>fchea12</t>
  </si>
  <si>
    <t>FB-Cat-Cat Affinity + Health affinity</t>
  </si>
  <si>
    <t>fchea13</t>
  </si>
  <si>
    <t>FB-Cat-25-49 Cat Affinity + Health affinity + recent life change</t>
  </si>
  <si>
    <t>fchea14</t>
  </si>
  <si>
    <t>FB-Cat-25-49 Cat Affinity + Health affinity + supplement/alternative feeding affinity</t>
  </si>
  <si>
    <t>fchea15</t>
  </si>
  <si>
    <t>FB-Cat-18-45 Cat Affinity Online Shoppers + supplement/alternative feeding affinity</t>
  </si>
  <si>
    <t>fchea16</t>
  </si>
  <si>
    <t>FB-Cat-45-65+ Cat Affinity Online shoppers + supplement/alternative feeding affinity</t>
  </si>
  <si>
    <t>fchea17</t>
  </si>
  <si>
    <t>FB-Dog-Dog Affinity + health + supplement/alternative feeding affinity</t>
  </si>
  <si>
    <t>fdhea15</t>
  </si>
  <si>
    <t>FB-Dog-25-49 Dog affinity + supplement/alternative feeding affinity</t>
  </si>
  <si>
    <t>fdhea16</t>
  </si>
  <si>
    <t>FB-Dog-18-45 Dog affinity Online Shoppers + supplement/alternative feeding affinity</t>
  </si>
  <si>
    <t>fdhea17</t>
  </si>
  <si>
    <t>FB-Dog-45-65+ Dog affinity Online Shoppers + supplement/alternative feeding affinity</t>
  </si>
  <si>
    <t>fdhea18</t>
  </si>
  <si>
    <t>FB-Dog-25-65+ Dog affinity + dog beauty &amp; health care affinity</t>
  </si>
  <si>
    <t>fdhea19</t>
  </si>
  <si>
    <t>Pin-Cat-Cat Affinity + health KWs</t>
  </si>
  <si>
    <t>pchea01</t>
  </si>
  <si>
    <t>Pin-Dog-Dog Affinity + health KWs</t>
  </si>
  <si>
    <t>pdhea02</t>
  </si>
  <si>
    <t>Pin-Cat-18-34 Cat Affinity + health KWs</t>
  </si>
  <si>
    <t>pchea03</t>
  </si>
  <si>
    <t>Pin-Cat-45+ Cat Affinity + health KWs</t>
  </si>
  <si>
    <t>pchea04</t>
  </si>
  <si>
    <t>Pin-Cat-35-54 Cat Affinity + health KWs</t>
  </si>
  <si>
    <t>pchea05</t>
  </si>
  <si>
    <t>Pin-Cat-18-54 Cat Affinity + health KWs</t>
  </si>
  <si>
    <t>pchea06</t>
  </si>
  <si>
    <t>Pin-Cat-25-54 Cat Affinity + health KWs</t>
  </si>
  <si>
    <t>pchea07</t>
  </si>
  <si>
    <t>Pin-Dog-18-54 Dog Affinity + health KWs</t>
  </si>
  <si>
    <t>pdhea08</t>
  </si>
  <si>
    <t>Pin-Dog-25-54 Dog Affinity + health KWs</t>
  </si>
  <si>
    <t>pdhea09</t>
  </si>
  <si>
    <t>Pin-Cat-25-44 Cat Affinity + health KWs</t>
  </si>
  <si>
    <t>pchea10</t>
  </si>
  <si>
    <t>Pin-Cat-18-44 Cat Affinity + health KWs</t>
  </si>
  <si>
    <t>pchea11</t>
  </si>
  <si>
    <t>Pin-Cat-18-55 Cat Affinity + health KWs</t>
  </si>
  <si>
    <t>pchea12</t>
  </si>
  <si>
    <t>Pin-Dog-25-44 Dog Affinity + health KWs</t>
  </si>
  <si>
    <t>pdhea13</t>
  </si>
  <si>
    <t>Pin-Dog-18-44 Dog Affinity + health KWs</t>
  </si>
  <si>
    <t>pdhea14</t>
  </si>
  <si>
    <t>Pin-Dog-45+ Dog Affinity + health KWs</t>
  </si>
  <si>
    <t>pdhea15</t>
  </si>
  <si>
    <t>Pin-Dog-18-55 Dog Affinity + health KWs</t>
  </si>
  <si>
    <t>pdhea16</t>
  </si>
  <si>
    <t>Pin-Cat-45+ Cat Affinity + healthy hygiene/relationship KWs</t>
  </si>
  <si>
    <t>pchea17</t>
  </si>
  <si>
    <t>Pin-Cat-18-34 Cat Affinity + healthy hygiene/relationship KWs</t>
  </si>
  <si>
    <t>pchea18</t>
  </si>
  <si>
    <t>Pin-Cat-35-54 Cat Affinity + healthy hygiene/relationship KWs</t>
  </si>
  <si>
    <t>pchea19</t>
  </si>
  <si>
    <t>Goog-Dog-Millennial Families with Dog Affinity or new dog/puppy</t>
  </si>
  <si>
    <t>gdfam03</t>
  </si>
  <si>
    <t>Goog-Dog-Millennial Families with Dog Affinity or new dog/puppy (culinary element)</t>
  </si>
  <si>
    <t>gdfam04</t>
  </si>
  <si>
    <t>Goog-Dog-Custom: Health-Conscious/Natural Consumers</t>
  </si>
  <si>
    <t>gdhea01</t>
  </si>
  <si>
    <t>Goog-Cat-Health &amp; Fitness affinity with cat affinity</t>
  </si>
  <si>
    <t>gchea01</t>
  </si>
  <si>
    <t>FB-Cat-Kitten Affinity excl. litter affinity</t>
  </si>
  <si>
    <t>fckit01</t>
  </si>
  <si>
    <t>FB-Cat-Kitten Affinity Online Shopper</t>
  </si>
  <si>
    <t>fckit02</t>
  </si>
  <si>
    <t>FB-Cat-Kitten Affinity Luxury Shopper</t>
  </si>
  <si>
    <t>fckit03</t>
  </si>
  <si>
    <t>FB-Cat-Kitten Affinity + sustainability affinity</t>
  </si>
  <si>
    <t>fckit04</t>
  </si>
  <si>
    <t>FB-Cat-18-35 Kitten Affinity</t>
  </si>
  <si>
    <t>fckit05</t>
  </si>
  <si>
    <t>FB-Cat-50+ Kitten Affinity</t>
  </si>
  <si>
    <t>fckit06</t>
  </si>
  <si>
    <t>FB-Cat-35-50 Kitten Affinity</t>
  </si>
  <si>
    <t>fckit07</t>
  </si>
  <si>
    <t>FB-Cat-Cat/Kitten Affinity + Gaming Affinity</t>
  </si>
  <si>
    <t>fckit08</t>
  </si>
  <si>
    <t>FB-Cat-Kitten Affinity + Health affinity</t>
  </si>
  <si>
    <t>fckit09</t>
  </si>
  <si>
    <t>FB-Cat-25-49 Kitten Affinity</t>
  </si>
  <si>
    <t>fckit10</t>
  </si>
  <si>
    <t>FB-Cat-45-65+ Cat Affinity Online shoppers with Kitten affinity</t>
  </si>
  <si>
    <t>fckit11</t>
  </si>
  <si>
    <t>FB-Cat-18-45 Kitten affinity Online Shoppers</t>
  </si>
  <si>
    <t>fckit12</t>
  </si>
  <si>
    <t>FB-Cat-50-64 Kitten Affinity + Engaged Shoppers</t>
  </si>
  <si>
    <t>fckit13</t>
  </si>
  <si>
    <t>FB-Cat-65+ Kitten Affinity + Engaged Shoppers</t>
  </si>
  <si>
    <t>fckit14</t>
  </si>
  <si>
    <t>FB-Cat-Family with Kitten</t>
  </si>
  <si>
    <t>fckit15</t>
  </si>
  <si>
    <t>FB-Cat-18-40 Kitten Affinity</t>
  </si>
  <si>
    <t>fckit16</t>
  </si>
  <si>
    <t>FB-Cat-Kitten Affinity</t>
  </si>
  <si>
    <t>fckit17</t>
  </si>
  <si>
    <t>Pin-Cat-Cat Affinity + kitten KWs</t>
  </si>
  <si>
    <t>pckit01</t>
  </si>
  <si>
    <t>Pin-Cat-35+ Cat Affinity + kitten KWs</t>
  </si>
  <si>
    <t>pckit02</t>
  </si>
  <si>
    <t>Pin-Cat-45+ Cat Affinity + kitten KWs</t>
  </si>
  <si>
    <t>pckit03</t>
  </si>
  <si>
    <t>Pin-Cat-35-54 Cat Affinity + kitten KWs</t>
  </si>
  <si>
    <t>pckit04</t>
  </si>
  <si>
    <t>Pin-Cat-25-44 Cat Affinity + kitten KWs</t>
  </si>
  <si>
    <t>pckit05</t>
  </si>
  <si>
    <t>Pin-Cat-18-44 Cat Affinity + kitten KWs</t>
  </si>
  <si>
    <t>pckit06</t>
  </si>
  <si>
    <t>Pin-Cat-18-55 Cat Affinity + kitten KWs</t>
  </si>
  <si>
    <t>pckit07</t>
  </si>
  <si>
    <t>Pin-Cat-45-64 Cat Affinity + kitten KWs</t>
  </si>
  <si>
    <t>pckit08</t>
  </si>
  <si>
    <t>Pin-Cat-65+ Cat Affinity + kitten KWs</t>
  </si>
  <si>
    <t>pckit09</t>
  </si>
  <si>
    <t>Goog-Cat-Custom: Non-Litter-buying Kitten Owners</t>
  </si>
  <si>
    <t>gckit01</t>
  </si>
  <si>
    <t>Goog-Cat-Affinity Luxury Shoppers with Kitten</t>
  </si>
  <si>
    <t>gckit02</t>
  </si>
  <si>
    <t>Goog-Cat-Sustainable Shoppers with new cat/kitten</t>
  </si>
  <si>
    <t>gckit03</t>
  </si>
  <si>
    <t>Goog-Cat-35+ new cat/kitten</t>
  </si>
  <si>
    <t>gckit04</t>
  </si>
  <si>
    <t>Goog-Cat-45+ new cat/kitten</t>
  </si>
  <si>
    <t>gckit05</t>
  </si>
  <si>
    <t>Goog-Cat-35-54 new cat/kitten</t>
  </si>
  <si>
    <t>gckit06</t>
  </si>
  <si>
    <t>Goog-Cat-Gamers with new cat/kitten</t>
  </si>
  <si>
    <t>gckit07</t>
  </si>
  <si>
    <t>Goog-Cat-Health &amp; Fitness affinity with new cat/kitten</t>
  </si>
  <si>
    <t>gckit08</t>
  </si>
  <si>
    <t>Goog-Cat-Affinity (online) Shoppers 18-44 with new cat/kitten</t>
  </si>
  <si>
    <t>gckit09</t>
  </si>
  <si>
    <t>Goog-Cat-Affinity (online) Shoppers with new cat/kitten</t>
  </si>
  <si>
    <t>gckit10</t>
  </si>
  <si>
    <t>Goog-Cat-Heavy (45-64) Buyers with Kitten</t>
  </si>
  <si>
    <t>gckit11</t>
  </si>
  <si>
    <t>Goog-Cat-Heavy (65+) Buyers with Kitten</t>
  </si>
  <si>
    <t>gckit12</t>
  </si>
  <si>
    <t>Goog-Cat-Family with Kitten</t>
  </si>
  <si>
    <t>gckit13</t>
  </si>
  <si>
    <t>FB-Cat-Cat Affinity excl. litter affinity</t>
  </si>
  <si>
    <t>fclit01</t>
  </si>
  <si>
    <t>FB-Cat-Cat Affinity Online Shopper + Litter Affinity</t>
  </si>
  <si>
    <t>fclit02</t>
  </si>
  <si>
    <t>FB-Cat-Cat Affinity + litter Affinity</t>
  </si>
  <si>
    <t>fclit03</t>
  </si>
  <si>
    <t>Pin-Cat-Cat Affinity + litter KWs</t>
  </si>
  <si>
    <t>pclit01</t>
  </si>
  <si>
    <t>FB-Cat-Cat Affinity Luxury Shopper + Litter Affinity</t>
  </si>
  <si>
    <t>fclux01</t>
  </si>
  <si>
    <t>FB-Cat-Cat Affinity Luxury Shopper + Hygiene affinity</t>
  </si>
  <si>
    <t>fclux02</t>
  </si>
  <si>
    <t>FB-Cat-Cat Affinity Luxury Shopper + supplement/alternative feeding affinity</t>
  </si>
  <si>
    <t>fclux03</t>
  </si>
  <si>
    <t>FB-Cat-Cat Affinity Luxury Shopper + supplement/alternative feeding affinity + Litter affinity</t>
  </si>
  <si>
    <t>fclux04</t>
  </si>
  <si>
    <t>FB-Dog-Dog affinity with luxury affinity + behavioral understanding</t>
  </si>
  <si>
    <t>fdlux01</t>
  </si>
  <si>
    <t>FB-Dog-Dog affinity with luxury affinity</t>
  </si>
  <si>
    <t>fdlux02</t>
  </si>
  <si>
    <t>FB-Dog-Dog affinity with luxury affinity + supplement/alternative feeding affinity</t>
  </si>
  <si>
    <t>fdlux03</t>
  </si>
  <si>
    <t>FB-Dog-Dog affinity Super Premium shoppers + health/supplement/alternative feeding affinity</t>
  </si>
  <si>
    <t>fdlux04</t>
  </si>
  <si>
    <t>FB-Cat-Cat affinity with luxury affinity + cat play/toy affinity</t>
  </si>
  <si>
    <t>fclux05</t>
  </si>
  <si>
    <t>FB-Cat-Cat affinity with luxury affinity + recent life change</t>
  </si>
  <si>
    <t>fclux06</t>
  </si>
  <si>
    <t>FB-Cat-Cat Affinity Super Premium shoppers</t>
  </si>
  <si>
    <t>fclux07</t>
  </si>
  <si>
    <t>Goog-Dog-Health &amp; Fitness affinity with dog affinity</t>
  </si>
  <si>
    <t>gdhea02</t>
  </si>
  <si>
    <t>Goog-Dog-Oberserving their dog's discomfort and investigating the problem with their dog</t>
  </si>
  <si>
    <t>gdhea03</t>
  </si>
  <si>
    <t>Goog-Cat-Affinity Luxury Shoppers with Cat Affinity</t>
  </si>
  <si>
    <t>gclux01</t>
  </si>
  <si>
    <t>Goog-Cat-Custom: Premium Litter Buyers</t>
  </si>
  <si>
    <t>gclux02</t>
  </si>
  <si>
    <t>Goog-Cat-Super-Premium Buyers with cat affinity</t>
  </si>
  <si>
    <t>gclux03</t>
  </si>
  <si>
    <t>FB-Dog-Dog Affinity</t>
  </si>
  <si>
    <t>fdown01</t>
  </si>
  <si>
    <t>FB-Dog-18-38 Dog Affinity</t>
  </si>
  <si>
    <t>fdown02</t>
  </si>
  <si>
    <t>FB-Cat-18-35 Cat Affinity</t>
  </si>
  <si>
    <t>fcown01</t>
  </si>
  <si>
    <t>FB-Dog-18-49 Dog Affinity</t>
  </si>
  <si>
    <t>fdown03</t>
  </si>
  <si>
    <t>FB-Dog-25-49 Dog affinity</t>
  </si>
  <si>
    <t>fdown04</t>
  </si>
  <si>
    <t>FB-Dog-50-65+ Dog affinity</t>
  </si>
  <si>
    <t>fdown05</t>
  </si>
  <si>
    <t>FB-Cat-50+ Cat Affinity</t>
  </si>
  <si>
    <t>fcown02</t>
  </si>
  <si>
    <t>FB-Cat-35-50 Cat Affinity</t>
  </si>
  <si>
    <t>fcown03</t>
  </si>
  <si>
    <t>FB-Cat-25-49 Cat Affinity</t>
  </si>
  <si>
    <t>fcown04</t>
  </si>
  <si>
    <t>FB-Cat-18-40 Cat Affinity</t>
  </si>
  <si>
    <t>fcown05</t>
  </si>
  <si>
    <t>Pin-Dog-25-44 Dog Affinity</t>
  </si>
  <si>
    <t>pdown01</t>
  </si>
  <si>
    <t>Pin-Dog-Dog Affinity</t>
  </si>
  <si>
    <t>pdown02</t>
  </si>
  <si>
    <t>Pin-Cat-18-34 Cat Affinity</t>
  </si>
  <si>
    <t>pcown03</t>
  </si>
  <si>
    <t>Goog-Dog-Custom: Super Premium Wet Shopper (culinary element)</t>
  </si>
  <si>
    <t>gdlux01</t>
  </si>
  <si>
    <t>Goog-Dog-Custom: Super Premium Wet Shopper</t>
  </si>
  <si>
    <t>gdlux02</t>
  </si>
  <si>
    <t>Goog-Dog-Super-Premium Buyers with Dog Affinity</t>
  </si>
  <si>
    <t>gdlux03</t>
  </si>
  <si>
    <t>Goog-Cat-18-34 Cat Affinity</t>
  </si>
  <si>
    <t>gcown01</t>
  </si>
  <si>
    <t>Goog-Cat-45+ Cat affinity</t>
  </si>
  <si>
    <t>gcown02</t>
  </si>
  <si>
    <t>Goog-Cat-35-54 Cat affinity</t>
  </si>
  <si>
    <t>gcown03</t>
  </si>
  <si>
    <t>Goog-Cat-35+ Cat affinity</t>
  </si>
  <si>
    <t>gcown04</t>
  </si>
  <si>
    <t>Goog-Cat-18-54 Cat affinity</t>
  </si>
  <si>
    <t>gcown05</t>
  </si>
  <si>
    <t>Goog-Cat-25-44 Cat Affinity</t>
  </si>
  <si>
    <t>gcown06</t>
  </si>
  <si>
    <t>Goog-Cat-The desire to give their cat the best food solution for their specific needs</t>
  </si>
  <si>
    <t>gcper01</t>
  </si>
  <si>
    <t>Goog-Cat-45+-The desire to give their cat the best food solution for their specific needs</t>
  </si>
  <si>
    <t>gcper02</t>
  </si>
  <si>
    <t>FB-Dog-18-49 Puppy Affinity</t>
  </si>
  <si>
    <t>fdpup01</t>
  </si>
  <si>
    <t>FB-Dog-25-49 Puppy Affinity + Online Shopper</t>
  </si>
  <si>
    <t>fdpup02</t>
  </si>
  <si>
    <t>FB-Dog-Super Premium + Puppy affinity</t>
  </si>
  <si>
    <t>fdpup03</t>
  </si>
  <si>
    <t>Pin-Dog-25-44 Dog Affinity + welcome dog/puppy KWs</t>
  </si>
  <si>
    <t>pdpup01</t>
  </si>
  <si>
    <t>Pin-Dog-Dog Affinity + welcome dog/puppy KWs</t>
  </si>
  <si>
    <t>pdpup02</t>
  </si>
  <si>
    <t>Pin-Dog-18-54 Dog Affinity + welcome dog/puppy KWs</t>
  </si>
  <si>
    <t>pdpup03</t>
  </si>
  <si>
    <t>Pin-Dog-25-54 Dog Affinity + welcome dog/puppy KWs</t>
  </si>
  <si>
    <t>pdpup04</t>
  </si>
  <si>
    <t>Pin-Dog-45+ Dog Affinity + welcome dog/puppy KWs</t>
  </si>
  <si>
    <t>pdpup05</t>
  </si>
  <si>
    <t>Goog-Dog-18-54 Dog affinity</t>
  </si>
  <si>
    <t>gdown01</t>
  </si>
  <si>
    <t>Goog-Dog-25-44 Dog Affinity</t>
  </si>
  <si>
    <t>gdown02</t>
  </si>
  <si>
    <t>Goog-Dog-25-44 Dog Affinity or new dog/puppy</t>
  </si>
  <si>
    <t>gdown06</t>
  </si>
  <si>
    <t>Goog-Dog-18-54 new dog/puppy</t>
  </si>
  <si>
    <t>gdpup03</t>
  </si>
  <si>
    <t>Goog-Dog-Affinity (online) Shoppers 25-54 with new dog/puppy</t>
  </si>
  <si>
    <t>gdpup04</t>
  </si>
  <si>
    <t>Goog-Dog-Super-Premium Buyers with new dog/puppy</t>
  </si>
  <si>
    <t>gdpup05</t>
  </si>
  <si>
    <t>Goog-Dog-25-44 New dog/puppy</t>
  </si>
  <si>
    <t>gdpup07</t>
  </si>
  <si>
    <t>Goog-Dog-Affinity (online) Shoppers with new puppy</t>
  </si>
  <si>
    <t>gdpup08</t>
  </si>
  <si>
    <t>Goog-Dog-Affinity Shoppers 45+, Mid-Affluency, new dog/puppy</t>
  </si>
  <si>
    <t>gdpup10</t>
  </si>
  <si>
    <t>Goog-Dog-Affinity (online) Shoppers with Dog Affinity</t>
  </si>
  <si>
    <t>gdaff01</t>
  </si>
  <si>
    <t>Goog-Dog-Custom: Solus Dry Buyers</t>
  </si>
  <si>
    <t>gdaff02</t>
  </si>
  <si>
    <t>FB-Dog-Affinity (online) Shoppers with Dog Affinity</t>
  </si>
  <si>
    <t>fdaff01</t>
  </si>
  <si>
    <t>FB-Dog-Affinity (online) Shoppers with Dog Affinity + quality time affinity</t>
  </si>
  <si>
    <t>fdaff02</t>
  </si>
  <si>
    <t>FB-Dog-Dog affinity with SPT affinity</t>
  </si>
  <si>
    <t>fdaff03</t>
  </si>
  <si>
    <t>FB-Dog-25-49 Dog Affinity + Online Shopper</t>
  </si>
  <si>
    <t>fdaff04</t>
  </si>
  <si>
    <t>FB-Dog-Dog Meaty/Natural affinity</t>
  </si>
  <si>
    <t>fdaff05</t>
  </si>
  <si>
    <t>FB-Cat-Cat affinity + online shopping affinity</t>
  </si>
  <si>
    <t>fcaff01</t>
  </si>
  <si>
    <t>FB-Cat-Cat Affinity + Online Shopping Affinity + celebration affinity</t>
  </si>
  <si>
    <t>fcaff02</t>
  </si>
  <si>
    <t>FB-Cat-18-45 Cat Affinity Online Shoppers</t>
  </si>
  <si>
    <t>fcaff03</t>
  </si>
  <si>
    <t>FB-Cat-45-65+ Cat Affinity Online shoppers</t>
  </si>
  <si>
    <t>fcaff04</t>
  </si>
  <si>
    <t>FB-Cat-50+ Cat Affinity Engaged Shoppers + culinary affinity</t>
  </si>
  <si>
    <t>fcaff05</t>
  </si>
  <si>
    <t>FB-Cat-50-64 Cat Affinity + Engaged Shoppers</t>
  </si>
  <si>
    <t>fcaff06</t>
  </si>
  <si>
    <t>FB-Cat-65+ Cat Affinity + Engaged Shoppers</t>
  </si>
  <si>
    <t>fcaff07</t>
  </si>
  <si>
    <t>Goog-Cat-Custom: Occasional Catsan buyer</t>
  </si>
  <si>
    <t>gcaff01</t>
  </si>
  <si>
    <t>Goog-Cat-New Cat Owner with (online) Shopping Affinity</t>
  </si>
  <si>
    <t>gcaff02</t>
  </si>
  <si>
    <t>Goog-Cat-Affinity Shoppers with Cat Affinity</t>
  </si>
  <si>
    <t>gcaff03</t>
  </si>
  <si>
    <t>Goog-Cat-Affinity (online) Shoppers 25-54 with cat affinity</t>
  </si>
  <si>
    <t>gcaff04</t>
  </si>
  <si>
    <t>Goog-Cat-Affinity (online) Shoppers 18-44 with Cat Affinity</t>
  </si>
  <si>
    <t>gcaff05</t>
  </si>
  <si>
    <t>Goog-Cat-Affinity (online) Shoppers 45+ with Cat Affinity</t>
  </si>
  <si>
    <t>gcaff06</t>
  </si>
  <si>
    <t>Goog-Cat-Light (18-34) Buyers with Cat Affinity</t>
  </si>
  <si>
    <t>gcaff07</t>
  </si>
  <si>
    <t>Goog-Cat-Medium (35-54) Buyers with Cat Affinity</t>
  </si>
  <si>
    <t>gcaff08</t>
  </si>
  <si>
    <t>Goog-Cat-Heavy (45-64) Buyers with Cat Affinity</t>
  </si>
  <si>
    <t>gcaff09</t>
  </si>
  <si>
    <t>Goog-Cat-Heavy (65+) Buyers with Cat Affinity</t>
  </si>
  <si>
    <t>gcaff10</t>
  </si>
  <si>
    <t>Goog-Dog-Custom: SPT Shoppers</t>
  </si>
  <si>
    <t>gdaff03</t>
  </si>
  <si>
    <t>Goog-Dog-Affinity (online) Shoppers 25-54 with dog affinity</t>
  </si>
  <si>
    <t>gdaff04</t>
  </si>
  <si>
    <t>Goog-Dog-Custom: Meaty/Natural Product Buyers</t>
  </si>
  <si>
    <t>gdaff05</t>
  </si>
  <si>
    <t>Goog-Dog-Affinity Shoppers 45+, Mid-Affluency, Dog affinity</t>
  </si>
  <si>
    <t>gdaff06</t>
  </si>
  <si>
    <t>Goog-Dog-Affinity (online) Shoppers 18-44 with Dog Affinity</t>
  </si>
  <si>
    <t>gdaff07</t>
  </si>
  <si>
    <t>Goog-Dog-Affinity (online) Shoppers &gt;45 with Dog Affinity</t>
  </si>
  <si>
    <t>gdaff08</t>
  </si>
  <si>
    <t>Goog-Dog-Affinity Shoppers 45+, Mid-Affluency, Dog affinity or new dog/puppy</t>
  </si>
  <si>
    <t>gdaff09</t>
  </si>
  <si>
    <t>Goog-Dog-Affinity (online) Shoppers with new dog</t>
  </si>
  <si>
    <t>gdaff10</t>
  </si>
  <si>
    <t>Goog-Dog-Affinity (online) Shoppers with Dog Affinity (culinary element)</t>
  </si>
  <si>
    <t>gdaff11</t>
  </si>
  <si>
    <t>Goog-Dog-Custom: Solus Dry Buyers (culinary element)</t>
  </si>
  <si>
    <t>gdaff12</t>
  </si>
  <si>
    <t>FB-Cat-Cat Affinity + sustainability affinity + litter affinity</t>
  </si>
  <si>
    <t>fcsus01</t>
  </si>
  <si>
    <t>FB-Cat-Cat Affinity + sustainability affinity + Hygiene affinity</t>
  </si>
  <si>
    <t>fcsus02</t>
  </si>
  <si>
    <t>Goog-Cat-Sustainable Shoppers with cat affinity</t>
  </si>
  <si>
    <t>gcsus01</t>
  </si>
  <si>
    <t>FB-Cat-Cat Affinity + sustainability affinity + supplement/alternative feeding affinity</t>
  </si>
  <si>
    <t>fcsus03</t>
  </si>
  <si>
    <t>FB-Cat-18-35 Cat Affinity + sustainability affinity</t>
  </si>
  <si>
    <t>fcsus04</t>
  </si>
  <si>
    <t>FB-Dog-Dog Affinity with Health, Oral Care &amp; Supplement affinity</t>
  </si>
  <si>
    <t>FB-Dog-UK_EMAIDs_PuppyOwner_Seed</t>
  </si>
  <si>
    <t>fdukc01</t>
  </si>
  <si>
    <t>FB-Dog-DE_MAIDs_DogParents_LAL_5</t>
  </si>
  <si>
    <t>fddec01</t>
  </si>
  <si>
    <t>FB-Dog-UK_Pixel_DogVisitors180days_LAL_4</t>
  </si>
  <si>
    <t>fdukc02</t>
  </si>
  <si>
    <t>FB-Dog-UK_3sv_JWBad_RTG</t>
  </si>
  <si>
    <t>fdukc</t>
  </si>
  <si>
    <t>Goog-Dog-18-44 Preventative Care Advice Seekers</t>
  </si>
  <si>
    <t>gdhea04</t>
  </si>
  <si>
    <t>Goog-Dog-Affinity Shoppers: 45+ Meaty Buyers / Quality Seekers</t>
  </si>
  <si>
    <t>gdaff13</t>
  </si>
  <si>
    <t>Goog-Cat-Heavy (45+) Cat Food Buyers with Culinary Affinity</t>
  </si>
  <si>
    <t>gcaff11</t>
  </si>
  <si>
    <t>Goog-Cat-Light (18-34) Cat Food Buyers with Culinary Affinity</t>
  </si>
  <si>
    <t>gcaff12</t>
  </si>
  <si>
    <t>Goog-Cat-Medium (35-54) Cat Food Buyers with Culinary Affinity</t>
  </si>
  <si>
    <t>gcaff13</t>
  </si>
  <si>
    <t>Goog-Dog-Custom setup: Considering dog adoption</t>
  </si>
  <si>
    <t>gdado01</t>
  </si>
  <si>
    <t>Goog-Dog-Dog Lovers with charitable affinity (potential adopters)</t>
  </si>
  <si>
    <t>gdado02</t>
  </si>
  <si>
    <t>FB-Dog-Dog Lovers with adoption afffinity</t>
  </si>
  <si>
    <t>fdado01</t>
  </si>
  <si>
    <t>Goog-Cat-Heavy (65+) Buyers with Cat Affinity OR Feeding Moment</t>
  </si>
  <si>
    <t>gcaff14</t>
  </si>
  <si>
    <t>Goog-Cat-Affinity (online) Shoppers 18-44 with Cat Affinity OR Feeding Moment</t>
  </si>
  <si>
    <t>gcaff15</t>
  </si>
  <si>
    <t>Goog-Cat-Heavy (45-64) Buyers with Cat Affinity OR Feeding Moment</t>
  </si>
  <si>
    <t>gcaff16</t>
  </si>
  <si>
    <t>Goog-Dog-45+ Establishing / Following a hygiene &amp; health routine (incl. supplements)</t>
  </si>
  <si>
    <t>gdevd07</t>
  </si>
  <si>
    <t>Change Log</t>
  </si>
  <si>
    <t>Date</t>
  </si>
  <si>
    <t>Amends</t>
  </si>
  <si>
    <t>Added N/A options for audience name for flexbility with Youtube activations via DV360</t>
  </si>
  <si>
    <t>Added TVP publisher</t>
  </si>
  <si>
    <t>Removed blank options from Device</t>
  </si>
  <si>
    <t>Added N/A to Data Type for non-data driven audiences</t>
  </si>
  <si>
    <t>Cleaned up Hidden Tabs</t>
  </si>
  <si>
    <t>Removed spaces between values for dimension/asset length fields</t>
  </si>
  <si>
    <t>Removed hybrid as an option for device (cross-device to be used instead)</t>
  </si>
  <si>
    <t>Sub Product to Segment</t>
  </si>
  <si>
    <t>Country to Region</t>
  </si>
  <si>
    <t>Sub-Product to  Portfolio</t>
  </si>
  <si>
    <t>Segment Lookup</t>
  </si>
  <si>
    <t>Region to Region Code</t>
  </si>
  <si>
    <t>Portfolio to Code LU</t>
  </si>
  <si>
    <t>Essence DV Options</t>
  </si>
  <si>
    <t>Country code Values</t>
  </si>
  <si>
    <t>Country code</t>
  </si>
  <si>
    <t>Country</t>
  </si>
  <si>
    <t>Month</t>
  </si>
  <si>
    <t>Year</t>
  </si>
  <si>
    <t>Media Types</t>
  </si>
  <si>
    <t>Media Type Lookup</t>
  </si>
  <si>
    <t>Mars Period</t>
  </si>
  <si>
    <t>Segment</t>
  </si>
  <si>
    <t>Region</t>
  </si>
  <si>
    <t>Product</t>
  </si>
  <si>
    <t>Pet Portfolio</t>
  </si>
  <si>
    <t>Segment Code</t>
  </si>
  <si>
    <t>Region Code</t>
  </si>
  <si>
    <t>Portfolio Code</t>
  </si>
  <si>
    <t>portfolio code</t>
  </si>
  <si>
    <t>business channel</t>
  </si>
  <si>
    <t>media channel</t>
  </si>
  <si>
    <t>objective</t>
  </si>
  <si>
    <t>AE</t>
  </si>
  <si>
    <t>OIS</t>
  </si>
  <si>
    <t>Added Value</t>
  </si>
  <si>
    <t>AV</t>
  </si>
  <si>
    <t>P1</t>
  </si>
  <si>
    <t>MW</t>
  </si>
  <si>
    <t>Canada</t>
  </si>
  <si>
    <t>US</t>
  </si>
  <si>
    <t>Temptations</t>
  </si>
  <si>
    <t>Not Petcare</t>
  </si>
  <si>
    <t>mw</t>
  </si>
  <si>
    <t>NP</t>
  </si>
  <si>
    <t>care-treat</t>
  </si>
  <si>
    <t>Brand</t>
  </si>
  <si>
    <t>social</t>
  </si>
  <si>
    <t>AL</t>
  </si>
  <si>
    <t>Albania</t>
  </si>
  <si>
    <t>5 Gum</t>
  </si>
  <si>
    <t>GM5</t>
  </si>
  <si>
    <t>Advanced/Connected TV</t>
  </si>
  <si>
    <t>CTV</t>
  </si>
  <si>
    <t>P2</t>
  </si>
  <si>
    <t>Europe 1</t>
  </si>
  <si>
    <t>Oral Care</t>
  </si>
  <si>
    <t>Petcare</t>
  </si>
  <si>
    <t>pn</t>
  </si>
  <si>
    <t>EUR1</t>
  </si>
  <si>
    <t>Cat Portfolio</t>
  </si>
  <si>
    <t>CP</t>
  </si>
  <si>
    <t>dog-mm</t>
  </si>
  <si>
    <t>D2C</t>
  </si>
  <si>
    <t>olv</t>
  </si>
  <si>
    <t>AR</t>
  </si>
  <si>
    <t>Argentina</t>
  </si>
  <si>
    <t>Adoption</t>
  </si>
  <si>
    <t>ADP</t>
  </si>
  <si>
    <t>Amplification</t>
  </si>
  <si>
    <t>AMP</t>
  </si>
  <si>
    <t>P3</t>
  </si>
  <si>
    <t>Denmark</t>
  </si>
  <si>
    <t>Ben’s Original RTH</t>
  </si>
  <si>
    <t>Royal Canin</t>
  </si>
  <si>
    <t>rc</t>
  </si>
  <si>
    <t>Asia</t>
  </si>
  <si>
    <t>ASIA</t>
  </si>
  <si>
    <t>Dog Portfolio</t>
  </si>
  <si>
    <t>DP</t>
  </si>
  <si>
    <t>cat-mml</t>
  </si>
  <si>
    <t>DCOM</t>
  </si>
  <si>
    <t>display</t>
  </si>
  <si>
    <t>engagement</t>
  </si>
  <si>
    <t>AT</t>
  </si>
  <si>
    <t>Austria</t>
  </si>
  <si>
    <t>Advance</t>
  </si>
  <si>
    <t>ADV</t>
  </si>
  <si>
    <t>Audio Streaming</t>
  </si>
  <si>
    <t>AS</t>
  </si>
  <si>
    <t>P4</t>
  </si>
  <si>
    <t>USA</t>
  </si>
  <si>
    <t>Iams Cat</t>
  </si>
  <si>
    <t>Food</t>
  </si>
  <si>
    <t>food</t>
  </si>
  <si>
    <t>META</t>
  </si>
  <si>
    <t>Care &amp; Treats</t>
  </si>
  <si>
    <t>CT</t>
  </si>
  <si>
    <t>sph</t>
  </si>
  <si>
    <t>Sales</t>
  </si>
  <si>
    <t>ppc</t>
  </si>
  <si>
    <t>traffic</t>
  </si>
  <si>
    <t>AU</t>
  </si>
  <si>
    <t>Australia</t>
  </si>
  <si>
    <t>Airwaves</t>
  </si>
  <si>
    <t>WAV</t>
  </si>
  <si>
    <t>Broadcaster VoD</t>
  </si>
  <si>
    <t>BVO</t>
  </si>
  <si>
    <t>P5</t>
  </si>
  <si>
    <t>Germany</t>
  </si>
  <si>
    <t>Iams Dog</t>
  </si>
  <si>
    <t>Kind</t>
  </si>
  <si>
    <t>China</t>
  </si>
  <si>
    <t>CHINA</t>
  </si>
  <si>
    <t>Premium and Health</t>
  </si>
  <si>
    <t>PH</t>
  </si>
  <si>
    <t>Ferret</t>
  </si>
  <si>
    <t>ecom</t>
  </si>
  <si>
    <t>AZ</t>
  </si>
  <si>
    <t>Azerbaijan</t>
  </si>
  <si>
    <t>Alert</t>
  </si>
  <si>
    <t>ALR</t>
  </si>
  <si>
    <t>Bus</t>
  </si>
  <si>
    <t>BUS</t>
  </si>
  <si>
    <t>P6</t>
  </si>
  <si>
    <t>Finland</t>
  </si>
  <si>
    <t>Mars</t>
  </si>
  <si>
    <t>Mars, Inc.</t>
  </si>
  <si>
    <t>inc</t>
  </si>
  <si>
    <t>AUS</t>
  </si>
  <si>
    <t>Fish</t>
  </si>
  <si>
    <t>influencer</t>
  </si>
  <si>
    <t>app install</t>
  </si>
  <si>
    <t>BA</t>
  </si>
  <si>
    <t>Bosnia</t>
  </si>
  <si>
    <t>All Themes</t>
  </si>
  <si>
    <t>ALL</t>
  </si>
  <si>
    <t>Cinema</t>
  </si>
  <si>
    <t>CNM</t>
  </si>
  <si>
    <t>P7</t>
  </si>
  <si>
    <t>Sweden</t>
  </si>
  <si>
    <t>LATAM</t>
  </si>
  <si>
    <t>choc</t>
  </si>
  <si>
    <t>conversions</t>
  </si>
  <si>
    <t>BE</t>
  </si>
  <si>
    <t>Belgium</t>
  </si>
  <si>
    <t>Almond and coconut</t>
  </si>
  <si>
    <t>ANC</t>
  </si>
  <si>
    <t>Contracts</t>
  </si>
  <si>
    <t>CTS</t>
  </si>
  <si>
    <t>P8</t>
  </si>
  <si>
    <t>Altoids</t>
  </si>
  <si>
    <t>Ireland</t>
  </si>
  <si>
    <t>M&amp;Ms</t>
  </si>
  <si>
    <t>Europe 2</t>
  </si>
  <si>
    <t>EUR2</t>
  </si>
  <si>
    <t>conf</t>
  </si>
  <si>
    <t>BG</t>
  </si>
  <si>
    <t>Bulgaria</t>
  </si>
  <si>
    <t>ALT</t>
  </si>
  <si>
    <t>Couponing</t>
  </si>
  <si>
    <t>CPN</t>
  </si>
  <si>
    <t>P9</t>
  </si>
  <si>
    <t>Balisto</t>
  </si>
  <si>
    <t>Japan</t>
  </si>
  <si>
    <t>Whiskas</t>
  </si>
  <si>
    <t>India</t>
  </si>
  <si>
    <t>INDIA</t>
  </si>
  <si>
    <t>Gum</t>
  </si>
  <si>
    <t>BH</t>
  </si>
  <si>
    <t>Bahrain</t>
  </si>
  <si>
    <t>American Heritage</t>
  </si>
  <si>
    <t>AMH</t>
  </si>
  <si>
    <t>Digital</t>
  </si>
  <si>
    <t>DGT</t>
  </si>
  <si>
    <t>P10</t>
  </si>
  <si>
    <t>Birth and Growth</t>
  </si>
  <si>
    <t>KSA</t>
  </si>
  <si>
    <t>Whiskas Wet</t>
  </si>
  <si>
    <t>Russia</t>
  </si>
  <si>
    <t>RUS</t>
  </si>
  <si>
    <t>ice-cream</t>
  </si>
  <si>
    <t>BR</t>
  </si>
  <si>
    <t>Brazil</t>
  </si>
  <si>
    <t>BAL</t>
  </si>
  <si>
    <t>Digital Display</t>
  </si>
  <si>
    <t>DD</t>
  </si>
  <si>
    <t>P11</t>
  </si>
  <si>
    <t>Bites</t>
  </si>
  <si>
    <t>Taiwan</t>
  </si>
  <si>
    <t>Cesar</t>
  </si>
  <si>
    <t>mints</t>
  </si>
  <si>
    <t>BY</t>
  </si>
  <si>
    <t>Belarus</t>
  </si>
  <si>
    <t>Ben’s Original</t>
  </si>
  <si>
    <t>UBN</t>
  </si>
  <si>
    <t>Digital Partnership</t>
  </si>
  <si>
    <t>P12</t>
  </si>
  <si>
    <t>Boomer</t>
  </si>
  <si>
    <t>Pedigree Dry</t>
  </si>
  <si>
    <t>Ben’s Original Beginner’s</t>
  </si>
  <si>
    <t>UBB</t>
  </si>
  <si>
    <t>Digital VOD</t>
  </si>
  <si>
    <t>DVO</t>
  </si>
  <si>
    <t>P13</t>
  </si>
  <si>
    <t>Bounty</t>
  </si>
  <si>
    <t>Dolmio</t>
  </si>
  <si>
    <t>sub-snacks</t>
  </si>
  <si>
    <t>CH</t>
  </si>
  <si>
    <t>Switzerland</t>
  </si>
  <si>
    <t>Ben’s Original BIB</t>
  </si>
  <si>
    <t>UBI</t>
  </si>
  <si>
    <t>DVD</t>
  </si>
  <si>
    <t>Breed</t>
  </si>
  <si>
    <t>Norway</t>
  </si>
  <si>
    <t>Snickers</t>
  </si>
  <si>
    <t>rth</t>
  </si>
  <si>
    <t>CL</t>
  </si>
  <si>
    <t>Chile</t>
  </si>
  <si>
    <t>Ben’s Original Hero Meals</t>
  </si>
  <si>
    <t>UBH</t>
  </si>
  <si>
    <t>E-Commerce</t>
  </si>
  <si>
    <t>EC</t>
  </si>
  <si>
    <t>Care &amp; Sensitivities</t>
  </si>
  <si>
    <t>Skittles</t>
  </si>
  <si>
    <t>mf-hs</t>
  </si>
  <si>
    <t>CN</t>
  </si>
  <si>
    <t>UBR</t>
  </si>
  <si>
    <t>Hispanic Digital OOH</t>
  </si>
  <si>
    <t>HDO</t>
  </si>
  <si>
    <t>Catisfactions</t>
  </si>
  <si>
    <t>Mexico</t>
  </si>
  <si>
    <t>DoubleMint Mints</t>
  </si>
  <si>
    <t>mf-fs</t>
  </si>
  <si>
    <t>Colombia</t>
  </si>
  <si>
    <t>Ben’s Original Sauces</t>
  </si>
  <si>
    <t>UBS</t>
  </si>
  <si>
    <t>Hispanic Magazines</t>
  </si>
  <si>
    <t>HM</t>
  </si>
  <si>
    <t>Catsan</t>
  </si>
  <si>
    <t>France</t>
  </si>
  <si>
    <t>dolmio</t>
  </si>
  <si>
    <t>CR</t>
  </si>
  <si>
    <t>Costa Rica</t>
  </si>
  <si>
    <t>Ben’s Original Twinpot</t>
  </si>
  <si>
    <t>UBT</t>
  </si>
  <si>
    <t>Hispanic Online Video</t>
  </si>
  <si>
    <t>HOV</t>
  </si>
  <si>
    <t>Celebrations</t>
  </si>
  <si>
    <t>Spain</t>
  </si>
  <si>
    <t>Twix</t>
  </si>
  <si>
    <t>tb</t>
  </si>
  <si>
    <t>CZ</t>
  </si>
  <si>
    <t>Czech Republic</t>
  </si>
  <si>
    <t>BAG</t>
  </si>
  <si>
    <t>Hispanic OOH</t>
  </si>
  <si>
    <t>HOH</t>
  </si>
  <si>
    <t>Poland</t>
  </si>
  <si>
    <t>Juicy Fruit</t>
  </si>
  <si>
    <t>tb-fs</t>
  </si>
  <si>
    <t>DE</t>
  </si>
  <si>
    <t>Biscrok</t>
  </si>
  <si>
    <t>BIS</t>
  </si>
  <si>
    <t>Hispanic Paid Social Video</t>
  </si>
  <si>
    <t>HSV</t>
  </si>
  <si>
    <t>Chappi</t>
  </si>
  <si>
    <t>Puerto Rico</t>
  </si>
  <si>
    <t>Nutro</t>
  </si>
  <si>
    <t>soc</t>
  </si>
  <si>
    <t>BIT</t>
  </si>
  <si>
    <t>Hispanic Spot Radio</t>
  </si>
  <si>
    <t>HSR</t>
  </si>
  <si>
    <t>CocoaVia</t>
  </si>
  <si>
    <t>Vietnam</t>
  </si>
  <si>
    <t>dry</t>
  </si>
  <si>
    <t>Dominican Republic</t>
  </si>
  <si>
    <t>Blueberry almond</t>
  </si>
  <si>
    <t>BLA</t>
  </si>
  <si>
    <t>Hispanic TV</t>
  </si>
  <si>
    <t>HTV</t>
  </si>
  <si>
    <t>Combos</t>
  </si>
  <si>
    <t>Gulf</t>
  </si>
  <si>
    <t>Ecuador</t>
  </si>
  <si>
    <t>Blueberry vanilla and cashew</t>
  </si>
  <si>
    <t>BVC</t>
  </si>
  <si>
    <t>Magazines</t>
  </si>
  <si>
    <t>M</t>
  </si>
  <si>
    <t>Consideration</t>
  </si>
  <si>
    <t>Eukanuba</t>
  </si>
  <si>
    <t>EE</t>
  </si>
  <si>
    <t>Estonia</t>
  </si>
  <si>
    <t>BOM</t>
  </si>
  <si>
    <t>Magazines + Newspapers</t>
  </si>
  <si>
    <t>MNN</t>
  </si>
  <si>
    <t>Cool Air</t>
  </si>
  <si>
    <t>Netherlands</t>
  </si>
  <si>
    <t>EG</t>
  </si>
  <si>
    <t>Egypt</t>
  </si>
  <si>
    <t>BOU</t>
  </si>
  <si>
    <t>Malls</t>
  </si>
  <si>
    <t>MAL</t>
  </si>
  <si>
    <t>Crave</t>
  </si>
  <si>
    <t>Ukraine</t>
  </si>
  <si>
    <t>DoubleMint Gum</t>
  </si>
  <si>
    <t>ES</t>
  </si>
  <si>
    <t>BRE</t>
  </si>
  <si>
    <t>Mobile Display</t>
  </si>
  <si>
    <t>MD</t>
  </si>
  <si>
    <t>Crispy</t>
  </si>
  <si>
    <t>Eclipse Gum</t>
  </si>
  <si>
    <t>FI</t>
  </si>
  <si>
    <t>Caramel almond and sea salt</t>
  </si>
  <si>
    <t>CSS</t>
  </si>
  <si>
    <t>Mobile Video</t>
  </si>
  <si>
    <t>MV</t>
  </si>
  <si>
    <t>Dine</t>
  </si>
  <si>
    <t>LifeSaver Mints</t>
  </si>
  <si>
    <t>FR</t>
  </si>
  <si>
    <t>CAS</t>
  </si>
  <si>
    <t>Newspapers</t>
  </si>
  <si>
    <t>Portugal</t>
  </si>
  <si>
    <t>Excel Mints</t>
  </si>
  <si>
    <t>GB</t>
  </si>
  <si>
    <t>CAF</t>
  </si>
  <si>
    <t>Non Measured TV</t>
  </si>
  <si>
    <t>NMT</t>
  </si>
  <si>
    <t>Korea</t>
  </si>
  <si>
    <t>GE</t>
  </si>
  <si>
    <t>Georgia</t>
  </si>
  <si>
    <t>CAT</t>
  </si>
  <si>
    <t>Online Video</t>
  </si>
  <si>
    <t>OV</t>
  </si>
  <si>
    <t>Greenies</t>
  </si>
  <si>
    <t>GR</t>
  </si>
  <si>
    <t>Greece</t>
  </si>
  <si>
    <t>CEL</t>
  </si>
  <si>
    <t>OOH Video</t>
  </si>
  <si>
    <t>OHV</t>
  </si>
  <si>
    <t>Dove / Galaxy</t>
  </si>
  <si>
    <t>Thailand</t>
  </si>
  <si>
    <t>GT</t>
  </si>
  <si>
    <t>Guatemala</t>
  </si>
  <si>
    <t>CES</t>
  </si>
  <si>
    <t>OTH</t>
  </si>
  <si>
    <t>Dreamies</t>
  </si>
  <si>
    <t>Romania</t>
  </si>
  <si>
    <t>Champ Dry</t>
  </si>
  <si>
    <t>CHD</t>
  </si>
  <si>
    <t>Other (OOH)</t>
  </si>
  <si>
    <t>OOH</t>
  </si>
  <si>
    <t>Ebly</t>
  </si>
  <si>
    <t>Turkey</t>
  </si>
  <si>
    <t>Ice Cream</t>
  </si>
  <si>
    <t>HK</t>
  </si>
  <si>
    <t>Hong Kong</t>
  </si>
  <si>
    <t>CHA</t>
  </si>
  <si>
    <t>Paid Search</t>
  </si>
  <si>
    <t>PS</t>
  </si>
  <si>
    <t>HR</t>
  </si>
  <si>
    <t>Croatia</t>
  </si>
  <si>
    <t>Chocolate Digital Pot</t>
  </si>
  <si>
    <t>CDP</t>
  </si>
  <si>
    <t>Paid Social Display</t>
  </si>
  <si>
    <t>PSD</t>
  </si>
  <si>
    <t>Eclipse Mints</t>
  </si>
  <si>
    <t>HU</t>
  </si>
  <si>
    <t>Hungary</t>
  </si>
  <si>
    <t>CCV</t>
  </si>
  <si>
    <t>Paid Social Video</t>
  </si>
  <si>
    <t>PSV</t>
  </si>
  <si>
    <t>Enterprise</t>
  </si>
  <si>
    <t>Slovakia</t>
  </si>
  <si>
    <t>Pedigree</t>
  </si>
  <si>
    <t>ID</t>
  </si>
  <si>
    <t>Indonesia</t>
  </si>
  <si>
    <t>COM</t>
  </si>
  <si>
    <t>Paid TV</t>
  </si>
  <si>
    <t>PTV</t>
  </si>
  <si>
    <t>IE</t>
  </si>
  <si>
    <t>Conejos</t>
  </si>
  <si>
    <t>COJ</t>
  </si>
  <si>
    <t>Partnership</t>
  </si>
  <si>
    <t>PRT</t>
  </si>
  <si>
    <t>Excel Drops</t>
  </si>
  <si>
    <t>Levant-Iraq</t>
  </si>
  <si>
    <t>Sticks</t>
  </si>
  <si>
    <t>IL</t>
  </si>
  <si>
    <t>Israel</t>
  </si>
  <si>
    <t>COD</t>
  </si>
  <si>
    <t>PR</t>
  </si>
  <si>
    <t>Excel Gum</t>
  </si>
  <si>
    <t>Levant-Jordan</t>
  </si>
  <si>
    <t>IN</t>
  </si>
  <si>
    <t>COA</t>
  </si>
  <si>
    <t>Premium Online Display</t>
  </si>
  <si>
    <t>POD</t>
  </si>
  <si>
    <t>Levant-Lebanon</t>
  </si>
  <si>
    <t>Sheba</t>
  </si>
  <si>
    <t>IQ</t>
  </si>
  <si>
    <t>CRV</t>
  </si>
  <si>
    <t>Premium Online Video</t>
  </si>
  <si>
    <t>POV</t>
  </si>
  <si>
    <t>Exelcat</t>
  </si>
  <si>
    <t>Philippines</t>
  </si>
  <si>
    <t>Orbit Gum</t>
  </si>
  <si>
    <t>IT</t>
  </si>
  <si>
    <t>Italy</t>
  </si>
  <si>
    <t>CRI</t>
  </si>
  <si>
    <t>Press Partnership</t>
  </si>
  <si>
    <t>PP</t>
  </si>
  <si>
    <t>Maltesers</t>
  </si>
  <si>
    <t>JO</t>
  </si>
  <si>
    <t>Crunchy peanut butter</t>
  </si>
  <si>
    <t>CPB</t>
  </si>
  <si>
    <t>Production</t>
  </si>
  <si>
    <t>PRD</t>
  </si>
  <si>
    <t>Extra Mints</t>
  </si>
  <si>
    <t>JP</t>
  </si>
  <si>
    <t>CSR Initiative</t>
  </si>
  <si>
    <t>CSR</t>
  </si>
  <si>
    <t>Radio Airtime</t>
  </si>
  <si>
    <t>RA</t>
  </si>
  <si>
    <t>Extra Prof</t>
  </si>
  <si>
    <t>Jewels</t>
  </si>
  <si>
    <t>KE</t>
  </si>
  <si>
    <t>Kenya</t>
  </si>
  <si>
    <t>Dark chocolate nuts and sea salt</t>
  </si>
  <si>
    <t>DCS</t>
  </si>
  <si>
    <t>Radio Promotion</t>
  </si>
  <si>
    <t>RP</t>
  </si>
  <si>
    <t>Flutes</t>
  </si>
  <si>
    <t>Malaysia</t>
  </si>
  <si>
    <t>KR</t>
  </si>
  <si>
    <t>DIN</t>
  </si>
  <si>
    <t>Radio Sponsorship</t>
  </si>
  <si>
    <t>RS</t>
  </si>
  <si>
    <t>Freedent</t>
  </si>
  <si>
    <t>Snickers Miniatures</t>
  </si>
  <si>
    <t>DOL</t>
  </si>
  <si>
    <t>Rail</t>
  </si>
  <si>
    <t>RAL</t>
  </si>
  <si>
    <t>Frolic</t>
  </si>
  <si>
    <t>Milky way</t>
  </si>
  <si>
    <t>KW</t>
  </si>
  <si>
    <t>Kuwait</t>
  </si>
  <si>
    <t>Double dark chocolate</t>
  </si>
  <si>
    <t>DDC</t>
  </si>
  <si>
    <t>Research</t>
  </si>
  <si>
    <t>RSC</t>
  </si>
  <si>
    <t>Galaxy/Dove Fruit</t>
  </si>
  <si>
    <t>Starburst</t>
  </si>
  <si>
    <t>KZ</t>
  </si>
  <si>
    <t>Kazakhstan</t>
  </si>
  <si>
    <t>DMG</t>
  </si>
  <si>
    <t>Reserve Other</t>
  </si>
  <si>
    <t>RO</t>
  </si>
  <si>
    <t>Gifting</t>
  </si>
  <si>
    <t>Latvia</t>
  </si>
  <si>
    <t>Skwinkles</t>
  </si>
  <si>
    <t>LB</t>
  </si>
  <si>
    <t>DMM</t>
  </si>
  <si>
    <t>Roadside</t>
  </si>
  <si>
    <t>ROS</t>
  </si>
  <si>
    <t>Golden Eggs</t>
  </si>
  <si>
    <t>LT</t>
  </si>
  <si>
    <t>Lithuania</t>
  </si>
  <si>
    <t>DSG</t>
  </si>
  <si>
    <t>Sampling</t>
  </si>
  <si>
    <t>SAM</t>
  </si>
  <si>
    <t>Goodness Knows</t>
  </si>
  <si>
    <t>Whiskas C&amp;T</t>
  </si>
  <si>
    <t>LV</t>
  </si>
  <si>
    <t>Dove / Galaxy Ice Cream</t>
  </si>
  <si>
    <t>DGIC</t>
  </si>
  <si>
    <t>SEO</t>
  </si>
  <si>
    <t>ME</t>
  </si>
  <si>
    <t>Montenegro</t>
  </si>
  <si>
    <t>Dove High Cacao</t>
  </si>
  <si>
    <t>DHC</t>
  </si>
  <si>
    <t>Sponsorship (Other)</t>
  </si>
  <si>
    <t>SPO</t>
  </si>
  <si>
    <t>Gum Disposal Awareness</t>
  </si>
  <si>
    <t>Positive Treats</t>
  </si>
  <si>
    <t>MK</t>
  </si>
  <si>
    <t>Macedonia</t>
  </si>
  <si>
    <t>DRE</t>
  </si>
  <si>
    <t>Sponsorship (Video)</t>
  </si>
  <si>
    <t>SPV</t>
  </si>
  <si>
    <t>Hubba Bubba</t>
  </si>
  <si>
    <t>MX</t>
  </si>
  <si>
    <t>EBL</t>
  </si>
  <si>
    <t>Spot TV</t>
  </si>
  <si>
    <t>STV</t>
  </si>
  <si>
    <t>Kitekat</t>
  </si>
  <si>
    <t>MY</t>
  </si>
  <si>
    <t>EGM</t>
  </si>
  <si>
    <t>Supermarket</t>
  </si>
  <si>
    <t>SPM</t>
  </si>
  <si>
    <t>Iams Cat and Dog</t>
  </si>
  <si>
    <t>Perfect Fit</t>
  </si>
  <si>
    <t>NL</t>
  </si>
  <si>
    <t>EMT</t>
  </si>
  <si>
    <t>Trade Print</t>
  </si>
  <si>
    <t>TP</t>
  </si>
  <si>
    <t>South Africa</t>
  </si>
  <si>
    <t>NO</t>
  </si>
  <si>
    <t>Eliott</t>
  </si>
  <si>
    <t>ELL</t>
  </si>
  <si>
    <t>TV</t>
  </si>
  <si>
    <t>NZ</t>
  </si>
  <si>
    <t>New Zealand</t>
  </si>
  <si>
    <t>ENT</t>
  </si>
  <si>
    <t>Institutional</t>
  </si>
  <si>
    <t>Jumbone</t>
  </si>
  <si>
    <t>OM</t>
  </si>
  <si>
    <t>Oman</t>
  </si>
  <si>
    <t>Ethel M</t>
  </si>
  <si>
    <t>ETM</t>
  </si>
  <si>
    <t>IWOM</t>
  </si>
  <si>
    <t>COOL AIR</t>
  </si>
  <si>
    <t>PA</t>
  </si>
  <si>
    <t>Panama</t>
  </si>
  <si>
    <t>EUK</t>
  </si>
  <si>
    <t>James Wellbeloved</t>
  </si>
  <si>
    <t>Suzi Wan</t>
  </si>
  <si>
    <t>PE</t>
  </si>
  <si>
    <t>Peru</t>
  </si>
  <si>
    <t>ECD</t>
  </si>
  <si>
    <t>ECG</t>
  </si>
  <si>
    <t>Slovenia</t>
  </si>
  <si>
    <t>Orbit Base</t>
  </si>
  <si>
    <t>PL</t>
  </si>
  <si>
    <t>ECM</t>
  </si>
  <si>
    <t>Juicy Fruit + Starburst Flavours</t>
  </si>
  <si>
    <t>EXE</t>
  </si>
  <si>
    <t>Kalkan</t>
  </si>
  <si>
    <t>EXG</t>
  </si>
  <si>
    <t>Kan Tong</t>
  </si>
  <si>
    <t>Multibrand</t>
  </si>
  <si>
    <t>QA</t>
  </si>
  <si>
    <t>Qatar</t>
  </si>
  <si>
    <t>EXM</t>
  </si>
  <si>
    <t>Serbia</t>
  </si>
  <si>
    <t>EXP</t>
  </si>
  <si>
    <t>KiteKat, Perfect Fit, Frolic, Natusan</t>
  </si>
  <si>
    <t>Miracoli</t>
  </si>
  <si>
    <t>FLU</t>
  </si>
  <si>
    <t>Korkunov</t>
  </si>
  <si>
    <t>RU</t>
  </si>
  <si>
    <t>Food Digital Pot</t>
  </si>
  <si>
    <t>FDP</t>
  </si>
  <si>
    <t>LifeSaver Gummies</t>
  </si>
  <si>
    <t>Whiskas Pouch</t>
  </si>
  <si>
    <t>SA</t>
  </si>
  <si>
    <t>Saudi Arabia</t>
  </si>
  <si>
    <t>FRE</t>
  </si>
  <si>
    <t>Kosovo</t>
  </si>
  <si>
    <t>Pedigree Wet</t>
  </si>
  <si>
    <t>SE</t>
  </si>
  <si>
    <t>FRO</t>
  </si>
  <si>
    <t>Lockets</t>
  </si>
  <si>
    <t>SG</t>
  </si>
  <si>
    <t>Singapore</t>
  </si>
  <si>
    <t>GAL</t>
  </si>
  <si>
    <t>Lucas</t>
  </si>
  <si>
    <t>Orbit Bottle</t>
  </si>
  <si>
    <t>SI</t>
  </si>
  <si>
    <t>GIT</t>
  </si>
  <si>
    <t>SK</t>
  </si>
  <si>
    <t>Goldbach</t>
  </si>
  <si>
    <t>GBC</t>
  </si>
  <si>
    <t>Nature’s Table Main Meal</t>
  </si>
  <si>
    <t>Uganda</t>
  </si>
  <si>
    <t>TH</t>
  </si>
  <si>
    <t>MaltEaster</t>
  </si>
  <si>
    <t>BOOMER</t>
  </si>
  <si>
    <t>TR</t>
  </si>
  <si>
    <t>GOL</t>
  </si>
  <si>
    <t>GKS</t>
  </si>
  <si>
    <t>UA</t>
  </si>
  <si>
    <t>GRN</t>
  </si>
  <si>
    <t>MasterFoods</t>
  </si>
  <si>
    <t>UG</t>
  </si>
  <si>
    <t>GDA</t>
  </si>
  <si>
    <t>Masterfoods Brand</t>
  </si>
  <si>
    <t>Uzbekistan</t>
  </si>
  <si>
    <t>Honey oat</t>
  </si>
  <si>
    <t>HOO</t>
  </si>
  <si>
    <t>Masterfoods Functional</t>
  </si>
  <si>
    <t>Uruguay</t>
  </si>
  <si>
    <t>VN</t>
  </si>
  <si>
    <t>Honey roasted nuts and sea salt</t>
  </si>
  <si>
    <t>HRS</t>
  </si>
  <si>
    <t>Meaty Treats</t>
  </si>
  <si>
    <t>XK</t>
  </si>
  <si>
    <t>HUB</t>
  </si>
  <si>
    <t>3Musketeers</t>
  </si>
  <si>
    <t>YE</t>
  </si>
  <si>
    <t>Yemen</t>
  </si>
  <si>
    <t>ICT</t>
  </si>
  <si>
    <t>Minstrels</t>
  </si>
  <si>
    <t>ZA</t>
  </si>
  <si>
    <t>ICD</t>
  </si>
  <si>
    <t>IDG</t>
  </si>
  <si>
    <t>Misfits</t>
  </si>
  <si>
    <t>Vital Protection</t>
  </si>
  <si>
    <t>ICE</t>
  </si>
  <si>
    <t>INT</t>
  </si>
  <si>
    <t>My Dog</t>
  </si>
  <si>
    <t>IWO</t>
  </si>
  <si>
    <t>Natural Choice</t>
  </si>
  <si>
    <t>JWB</t>
  </si>
  <si>
    <t>Natural Defense</t>
  </si>
  <si>
    <t>JEW</t>
  </si>
  <si>
    <t>JFT</t>
  </si>
  <si>
    <t>Optimum</t>
  </si>
  <si>
    <t>Orbit Oral Health Care</t>
  </si>
  <si>
    <t>JFS</t>
  </si>
  <si>
    <t>JUM</t>
  </si>
  <si>
    <t>KAL</t>
  </si>
  <si>
    <t>KAN</t>
  </si>
  <si>
    <t>Orbit Mints</t>
  </si>
  <si>
    <t>Karma</t>
  </si>
  <si>
    <t>KAR</t>
  </si>
  <si>
    <t>Schmackos</t>
  </si>
  <si>
    <t>Kind Bark</t>
  </si>
  <si>
    <t>KBK</t>
  </si>
  <si>
    <t>Orbit Professional</t>
  </si>
  <si>
    <t>Kind Bars</t>
  </si>
  <si>
    <t>KBS</t>
  </si>
  <si>
    <t>Kind Breakfast Bars</t>
  </si>
  <si>
    <t>KBB</t>
  </si>
  <si>
    <t>Marrobone</t>
  </si>
  <si>
    <t>Kind Frozen</t>
  </si>
  <si>
    <t>KFZ</t>
  </si>
  <si>
    <t>Kind Frozen Bars</t>
  </si>
  <si>
    <t>KFB</t>
  </si>
  <si>
    <t>Kind Frozen Pints</t>
  </si>
  <si>
    <t>KFP</t>
  </si>
  <si>
    <t>Kind Protein Bars</t>
  </si>
  <si>
    <t>KPB</t>
  </si>
  <si>
    <t>Pedigree Adoption Drive</t>
  </si>
  <si>
    <t>X-Brand</t>
  </si>
  <si>
    <t>Sugus</t>
  </si>
  <si>
    <t>KPF</t>
  </si>
  <si>
    <t>Seasonal</t>
  </si>
  <si>
    <t>KOK</t>
  </si>
  <si>
    <t>Royco</t>
  </si>
  <si>
    <t>LIG</t>
  </si>
  <si>
    <t>LIM</t>
  </si>
  <si>
    <t>PK</t>
  </si>
  <si>
    <t>LOC</t>
  </si>
  <si>
    <t>PODs</t>
  </si>
  <si>
    <t>Loose</t>
  </si>
  <si>
    <t>ProManage</t>
  </si>
  <si>
    <t>LOO</t>
  </si>
  <si>
    <t>Raising The Bar</t>
  </si>
  <si>
    <t>Lubimchik</t>
  </si>
  <si>
    <t>LUB</t>
  </si>
  <si>
    <t>Ripple</t>
  </si>
  <si>
    <t>LUC</t>
  </si>
  <si>
    <t>M&amp;M’S Minis</t>
  </si>
  <si>
    <t>MMM</t>
  </si>
  <si>
    <t>M&amp;M’S Mix</t>
  </si>
  <si>
    <t>MMX</t>
  </si>
  <si>
    <t>MMS</t>
  </si>
  <si>
    <t>M&amp;Ms Fudge Brownies</t>
  </si>
  <si>
    <t>MFB</t>
  </si>
  <si>
    <t>Seeds of Change</t>
  </si>
  <si>
    <t>M&amp;Ms Seasonal</t>
  </si>
  <si>
    <t>MMSS</t>
  </si>
  <si>
    <t>Madagascar vanilla almond</t>
  </si>
  <si>
    <t>MVA</t>
  </si>
  <si>
    <t>MAE</t>
  </si>
  <si>
    <t>Maple glazed pecan and sea salt</t>
  </si>
  <si>
    <t>MGS</t>
  </si>
  <si>
    <t>MAB</t>
  </si>
  <si>
    <t>Main Meal</t>
  </si>
  <si>
    <t>MAR</t>
  </si>
  <si>
    <t>Starburst Minis</t>
  </si>
  <si>
    <t>Mars Careers</t>
  </si>
  <si>
    <t>MAC</t>
  </si>
  <si>
    <t>MFD</t>
  </si>
  <si>
    <t>MSF</t>
  </si>
  <si>
    <t>MFF</t>
  </si>
  <si>
    <t>Tailored Nutrition</t>
  </si>
  <si>
    <t>MET</t>
  </si>
  <si>
    <t>MYW</t>
  </si>
  <si>
    <t>Three Musketeers</t>
  </si>
  <si>
    <t>MIL</t>
  </si>
  <si>
    <t>Transv. (animO)</t>
  </si>
  <si>
    <t>MIR</t>
  </si>
  <si>
    <t>MIS</t>
  </si>
  <si>
    <t>Ultra</t>
  </si>
  <si>
    <t>MUB</t>
  </si>
  <si>
    <t>MDG</t>
  </si>
  <si>
    <t>Ben’s Original Beginner's</t>
  </si>
  <si>
    <t>NTC</t>
  </si>
  <si>
    <t>NTD</t>
  </si>
  <si>
    <t>NTM</t>
  </si>
  <si>
    <t>NUT</t>
  </si>
  <si>
    <t>OPT</t>
  </si>
  <si>
    <t>Ben’s Original Twinpots</t>
  </si>
  <si>
    <t>OCE</t>
  </si>
  <si>
    <t>ORA</t>
  </si>
  <si>
    <t>ORO</t>
  </si>
  <si>
    <t>ORG</t>
  </si>
  <si>
    <t>ORM</t>
  </si>
  <si>
    <t>Winterfresh</t>
  </si>
  <si>
    <t>ORC</t>
  </si>
  <si>
    <t>ORP</t>
  </si>
  <si>
    <t>Tasty Bite</t>
  </si>
  <si>
    <t>Peanut butter</t>
  </si>
  <si>
    <t>PBT</t>
  </si>
  <si>
    <t>Peanut butter dark chocolate</t>
  </si>
  <si>
    <t>PBD</t>
  </si>
  <si>
    <t>Turin</t>
  </si>
  <si>
    <t>PDG</t>
  </si>
  <si>
    <t>Petcare Digital Pot</t>
  </si>
  <si>
    <t>PDA</t>
  </si>
  <si>
    <t>PDD</t>
  </si>
  <si>
    <t>Petcare Multi-brand</t>
  </si>
  <si>
    <t>PDW</t>
  </si>
  <si>
    <t>Chocolate Multi-brand</t>
  </si>
  <si>
    <t>PFF</t>
  </si>
  <si>
    <t>Petcare Masterbrand</t>
  </si>
  <si>
    <t>PDP</t>
  </si>
  <si>
    <t>PEM</t>
  </si>
  <si>
    <t>CPK</t>
  </si>
  <si>
    <t>POT</t>
  </si>
  <si>
    <t>PRM</t>
  </si>
  <si>
    <t>Wrigley Digital Pot</t>
  </si>
  <si>
    <t>RTB</t>
  </si>
  <si>
    <t>RIP</t>
  </si>
  <si>
    <t>RYC</t>
  </si>
  <si>
    <t>ROY</t>
  </si>
  <si>
    <t>SCH</t>
  </si>
  <si>
    <t>Petcare Shopper</t>
  </si>
  <si>
    <t>SEA</t>
  </si>
  <si>
    <t>Chocolate Shopper</t>
  </si>
  <si>
    <t>SOC</t>
  </si>
  <si>
    <t>SHE</t>
  </si>
  <si>
    <t>SKT</t>
  </si>
  <si>
    <t>Skittles Gummies</t>
  </si>
  <si>
    <t>SKG</t>
  </si>
  <si>
    <t>Skittles Halloween</t>
  </si>
  <si>
    <t>SKH</t>
  </si>
  <si>
    <t>SKW</t>
  </si>
  <si>
    <t>SNI</t>
  </si>
  <si>
    <t>Wrigley Multi-brand</t>
  </si>
  <si>
    <t>Snickers Ice Cream Core</t>
  </si>
  <si>
    <t>SICC</t>
  </si>
  <si>
    <t>For Paws</t>
  </si>
  <si>
    <t>Snickers Ice Cream Peanut Brownie</t>
  </si>
  <si>
    <t>SICPB</t>
  </si>
  <si>
    <t>SNM</t>
  </si>
  <si>
    <t>Snickers Nut Brownie</t>
  </si>
  <si>
    <t>SNB</t>
  </si>
  <si>
    <t>STB</t>
  </si>
  <si>
    <t>Toasted caramel nut</t>
  </si>
  <si>
    <t>Starburst Gummies</t>
  </si>
  <si>
    <t>STG</t>
  </si>
  <si>
    <t>Treat Town</t>
  </si>
  <si>
    <t>STM</t>
  </si>
  <si>
    <t>Dentastix</t>
  </si>
  <si>
    <t>Starburst Seasonal</t>
  </si>
  <si>
    <t>SBS</t>
  </si>
  <si>
    <t>STC</t>
  </si>
  <si>
    <t>SUG</t>
  </si>
  <si>
    <t>SUW</t>
  </si>
  <si>
    <t>TAN</t>
  </si>
  <si>
    <t>Food Multi-brand</t>
  </si>
  <si>
    <t>TAB</t>
  </si>
  <si>
    <t>TEM</t>
  </si>
  <si>
    <t>MU3</t>
  </si>
  <si>
    <t>TCN</t>
  </si>
  <si>
    <t>TRN</t>
  </si>
  <si>
    <t>TRT</t>
  </si>
  <si>
    <t>M&amp;Ms Mix</t>
  </si>
  <si>
    <t>TUR</t>
  </si>
  <si>
    <t>M&amp;Ms Minis</t>
  </si>
  <si>
    <t>TWX</t>
  </si>
  <si>
    <t>Twix Seasonal</t>
  </si>
  <si>
    <t xml:space="preserve">Twix Cookies and Crème </t>
  </si>
  <si>
    <t>TCC</t>
  </si>
  <si>
    <t>Twix Cookies and Crème</t>
  </si>
  <si>
    <t xml:space="preserve">Twix Seasonal </t>
  </si>
  <si>
    <t>TWS</t>
  </si>
  <si>
    <t>ULT</t>
  </si>
  <si>
    <t>VPT</t>
  </si>
  <si>
    <t>Eliotte</t>
  </si>
  <si>
    <t>WHI</t>
  </si>
  <si>
    <t>WHC</t>
  </si>
  <si>
    <t>Food Shopper</t>
  </si>
  <si>
    <t>WHP</t>
  </si>
  <si>
    <t>KIND Shopper</t>
  </si>
  <si>
    <t>KIND</t>
  </si>
  <si>
    <t>WHW</t>
  </si>
  <si>
    <t>WIN</t>
  </si>
  <si>
    <t>Royal Canin Shopper</t>
  </si>
  <si>
    <t>WDP</t>
  </si>
  <si>
    <t>Wrigley Shopper</t>
  </si>
  <si>
    <t>XBR</t>
  </si>
  <si>
    <t>KPI</t>
  </si>
  <si>
    <t>KPI Code</t>
  </si>
  <si>
    <t>Channel</t>
  </si>
  <si>
    <t>Channel Code</t>
  </si>
  <si>
    <t>Format Code</t>
  </si>
  <si>
    <t>Partner Code</t>
  </si>
  <si>
    <t>Partner Type</t>
  </si>
  <si>
    <t>Partner Type Code</t>
  </si>
  <si>
    <t>Costing model Code</t>
  </si>
  <si>
    <t>Primary Targeting Segment</t>
  </si>
  <si>
    <t>Primary Targeting Segment Code</t>
  </si>
  <si>
    <t>Detailed Targeting</t>
  </si>
  <si>
    <t>Detailed Targeting Code</t>
  </si>
  <si>
    <t>REC</t>
  </si>
  <si>
    <t>Relevance</t>
  </si>
  <si>
    <t>Bounce Rate</t>
  </si>
  <si>
    <t>Audio</t>
  </si>
  <si>
    <t>AUD</t>
  </si>
  <si>
    <t>Not Applicable</t>
  </si>
  <si>
    <t>Content Syndication</t>
  </si>
  <si>
    <t>CON</t>
  </si>
  <si>
    <t>13+</t>
  </si>
  <si>
    <t>13-49</t>
  </si>
  <si>
    <t>18+, Demo Only</t>
  </si>
  <si>
    <t>18+DO</t>
  </si>
  <si>
    <t>Reaction</t>
  </si>
  <si>
    <t>REA</t>
  </si>
  <si>
    <t>Brand Awareness</t>
  </si>
  <si>
    <t>Display</t>
  </si>
  <si>
    <t>DIS</t>
  </si>
  <si>
    <t>1024x1280</t>
  </si>
  <si>
    <t>365 Scores</t>
  </si>
  <si>
    <t>Coupon</t>
  </si>
  <si>
    <t>Cost Per Acquisition</t>
  </si>
  <si>
    <t>CPA</t>
  </si>
  <si>
    <t xml:space="preserve">1P CRM </t>
  </si>
  <si>
    <t>1PCRM</t>
  </si>
  <si>
    <t>REL</t>
  </si>
  <si>
    <t>Click Through Rate</t>
  </si>
  <si>
    <t>CTR</t>
  </si>
  <si>
    <t>eCommerce</t>
  </si>
  <si>
    <t>ECO</t>
  </si>
  <si>
    <t>9Honey</t>
  </si>
  <si>
    <t>9HO</t>
  </si>
  <si>
    <t>Entertainment</t>
  </si>
  <si>
    <t>CPC</t>
  </si>
  <si>
    <t>13-35</t>
  </si>
  <si>
    <t>1P Mars Cat</t>
  </si>
  <si>
    <t>1PMC</t>
  </si>
  <si>
    <t>Clicks</t>
  </si>
  <si>
    <t>CLC</t>
  </si>
  <si>
    <t>Email</t>
  </si>
  <si>
    <t>EMA</t>
  </si>
  <si>
    <t>1064x1536</t>
  </si>
  <si>
    <t>ABC</t>
  </si>
  <si>
    <t>Gaming</t>
  </si>
  <si>
    <t>GAM</t>
  </si>
  <si>
    <t>Cost Per Completed View</t>
  </si>
  <si>
    <t>CPCV</t>
  </si>
  <si>
    <t>1P Mars Dog</t>
  </si>
  <si>
    <t>1PMD</t>
  </si>
  <si>
    <t>Conversion</t>
  </si>
  <si>
    <t>CVN</t>
  </si>
  <si>
    <t>Influencer</t>
  </si>
  <si>
    <t>INF</t>
  </si>
  <si>
    <t>1080x1080</t>
  </si>
  <si>
    <t>Acast</t>
  </si>
  <si>
    <t>ACA</t>
  </si>
  <si>
    <t xml:space="preserve">Keyword </t>
  </si>
  <si>
    <t>KWD</t>
  </si>
  <si>
    <t>Cost Per Engagement</t>
  </si>
  <si>
    <t>CPE</t>
  </si>
  <si>
    <t>1P Mars Pet</t>
  </si>
  <si>
    <t>1PMP</t>
  </si>
  <si>
    <t>Conversion Rate</t>
  </si>
  <si>
    <t>CVR</t>
  </si>
  <si>
    <t>Native</t>
  </si>
  <si>
    <t>NAT</t>
  </si>
  <si>
    <t>1080x1920</t>
  </si>
  <si>
    <t>Adaptive Media</t>
  </si>
  <si>
    <t>AMG</t>
  </si>
  <si>
    <t>Lead Gen</t>
  </si>
  <si>
    <t>LGN</t>
  </si>
  <si>
    <t>Cost Per Games Session</t>
  </si>
  <si>
    <t>CPGS</t>
  </si>
  <si>
    <t>13-55</t>
  </si>
  <si>
    <t>13-65+</t>
  </si>
  <si>
    <t>2nd Party Data/Native Platform Targeting</t>
  </si>
  <si>
    <t>2PD/NPT</t>
  </si>
  <si>
    <t>Search</t>
  </si>
  <si>
    <t>1200x400</t>
  </si>
  <si>
    <t>AdColony</t>
  </si>
  <si>
    <t>ADC</t>
  </si>
  <si>
    <t>Lifestyle</t>
  </si>
  <si>
    <t>LIFE</t>
  </si>
  <si>
    <t>Cost Per Install</t>
  </si>
  <si>
    <t>CPI</t>
  </si>
  <si>
    <t>3P Cat Product Purchaser</t>
  </si>
  <si>
    <t>3PCPP</t>
  </si>
  <si>
    <t xml:space="preserve">Cost Per Add to Cart </t>
  </si>
  <si>
    <t>CPATC</t>
  </si>
  <si>
    <t>SocialDisplay</t>
  </si>
  <si>
    <t>SPD</t>
  </si>
  <si>
    <t>Adelphic</t>
  </si>
  <si>
    <t>ADL</t>
  </si>
  <si>
    <t>MUS</t>
  </si>
  <si>
    <t>Cost Per Lead</t>
  </si>
  <si>
    <t>CPL</t>
  </si>
  <si>
    <t>14-35</t>
  </si>
  <si>
    <t>3P Dog Product Purchaser</t>
  </si>
  <si>
    <t>3PDPP</t>
  </si>
  <si>
    <t>SocialVideo</t>
  </si>
  <si>
    <t>Admixer</t>
  </si>
  <si>
    <t>ADM</t>
  </si>
  <si>
    <t>Network</t>
  </si>
  <si>
    <t>NET</t>
  </si>
  <si>
    <t>CPM</t>
  </si>
  <si>
    <t>14-50</t>
  </si>
  <si>
    <t>3P Walmart Proximity + Kind Portfolio Buyers</t>
  </si>
  <si>
    <t>3PWPKPB</t>
  </si>
  <si>
    <t>Video</t>
  </si>
  <si>
    <t>VID</t>
  </si>
  <si>
    <t>Adot</t>
  </si>
  <si>
    <t>ADT</t>
  </si>
  <si>
    <t>News</t>
  </si>
  <si>
    <t>NEW</t>
  </si>
  <si>
    <t>Cost Per Reach Point</t>
  </si>
  <si>
    <t>CPRP</t>
  </si>
  <si>
    <t>14-51</t>
  </si>
  <si>
    <t>3P Walmart Visitors + Interests</t>
  </si>
  <si>
    <t>3PWVI</t>
  </si>
  <si>
    <t>Cost Per Landing Page View</t>
  </si>
  <si>
    <t>CPLPV</t>
  </si>
  <si>
    <t>Adpartner</t>
  </si>
  <si>
    <t>ADPA</t>
  </si>
  <si>
    <t>OverTheTopMedia</t>
  </si>
  <si>
    <t>OTT</t>
  </si>
  <si>
    <t>Cost Per Unit</t>
  </si>
  <si>
    <t>CPU</t>
  </si>
  <si>
    <t>14-59</t>
  </si>
  <si>
    <t>3rd Party Audience</t>
  </si>
  <si>
    <t>3PA</t>
  </si>
  <si>
    <t>ADpick</t>
  </si>
  <si>
    <t>ADPI</t>
  </si>
  <si>
    <t>Parenting</t>
  </si>
  <si>
    <t>PAR</t>
  </si>
  <si>
    <t>Cost Per Unique View</t>
  </si>
  <si>
    <t>CPUL</t>
  </si>
  <si>
    <t>Active/Exercise Interests</t>
  </si>
  <si>
    <t>A/EI</t>
  </si>
  <si>
    <t>Adult Swim</t>
  </si>
  <si>
    <t>ASM</t>
  </si>
  <si>
    <t>Portal</t>
  </si>
  <si>
    <t>POR</t>
  </si>
  <si>
    <t>Cost Per View</t>
  </si>
  <si>
    <t>CPV</t>
  </si>
  <si>
    <t>15-25</t>
  </si>
  <si>
    <t>Adjacent Interests</t>
  </si>
  <si>
    <t>AI</t>
  </si>
  <si>
    <t>Aftonbladet</t>
  </si>
  <si>
    <t>AFB</t>
  </si>
  <si>
    <t>Programmatic</t>
  </si>
  <si>
    <t>PRO</t>
  </si>
  <si>
    <t>Dynamic Cost Per Click</t>
  </si>
  <si>
    <t>DCPC</t>
  </si>
  <si>
    <t>Adopted a Cat/Looking to adopt a Cat</t>
  </si>
  <si>
    <t>1400x400</t>
  </si>
  <si>
    <t>Aki</t>
  </si>
  <si>
    <t>AKI</t>
  </si>
  <si>
    <t>Programmatic – PG</t>
  </si>
  <si>
    <t>PRG</t>
  </si>
  <si>
    <t>Dynamic Cost Per Thousand</t>
  </si>
  <si>
    <t>DCPM</t>
  </si>
  <si>
    <t>15-35</t>
  </si>
  <si>
    <t>Affinity/Behavior Targeting</t>
  </si>
  <si>
    <t>A/BT</t>
  </si>
  <si>
    <t>1400x500</t>
  </si>
  <si>
    <t>Allegro</t>
  </si>
  <si>
    <t>ALG</t>
  </si>
  <si>
    <t>Programmatic – PMP</t>
  </si>
  <si>
    <t>PMP</t>
  </si>
  <si>
    <t>Dynamic Cost Per Incremental Visitor</t>
  </si>
  <si>
    <t>dCPIV</t>
  </si>
  <si>
    <t>15-39</t>
  </si>
  <si>
    <t>ANC Past Video Viewers</t>
  </si>
  <si>
    <t>ANCPVV</t>
  </si>
  <si>
    <t>Detail Page View Rate</t>
  </si>
  <si>
    <t>DPVR</t>
  </si>
  <si>
    <t>1440x600</t>
  </si>
  <si>
    <t>AMZ</t>
  </si>
  <si>
    <t>Retail</t>
  </si>
  <si>
    <t>RET</t>
  </si>
  <si>
    <t>Dynamic Cost Per Completed View</t>
  </si>
  <si>
    <t>dCPCV</t>
  </si>
  <si>
    <t>Audio Everywhere - Holiday Shoppers Gift Givers Home Entertainers</t>
  </si>
  <si>
    <t>AEHSGGHE</t>
  </si>
  <si>
    <t>Engagement Rate</t>
  </si>
  <si>
    <t>ENR</t>
  </si>
  <si>
    <t>1600x400</t>
  </si>
  <si>
    <t>Anghami</t>
  </si>
  <si>
    <t>ANG</t>
  </si>
  <si>
    <t>Social Media</t>
  </si>
  <si>
    <t>Dynamic Cost Per View</t>
  </si>
  <si>
    <t>DCPV</t>
  </si>
  <si>
    <t>15-45</t>
  </si>
  <si>
    <t>Big Dog Owners</t>
  </si>
  <si>
    <t>Fee</t>
  </si>
  <si>
    <t>160x160</t>
  </si>
  <si>
    <t>AstraOne</t>
  </si>
  <si>
    <t>ASO</t>
  </si>
  <si>
    <t>Sports</t>
  </si>
  <si>
    <t>FEE</t>
  </si>
  <si>
    <t>15-49</t>
  </si>
  <si>
    <t>Brand Buyer</t>
  </si>
  <si>
    <t>BB</t>
  </si>
  <si>
    <t>Impression Share</t>
  </si>
  <si>
    <t>IS</t>
  </si>
  <si>
    <t>160x60</t>
  </si>
  <si>
    <t>AtMedia</t>
  </si>
  <si>
    <t>ATM</t>
  </si>
  <si>
    <t>Flat</t>
  </si>
  <si>
    <t>Broad, Demo Only</t>
  </si>
  <si>
    <t>BRDO</t>
  </si>
  <si>
    <t>Impressions</t>
  </si>
  <si>
    <t>IMP</t>
  </si>
  <si>
    <t>Avito</t>
  </si>
  <si>
    <t>AVT</t>
  </si>
  <si>
    <t>Utility</t>
  </si>
  <si>
    <t>UTL</t>
  </si>
  <si>
    <t>15-55</t>
  </si>
  <si>
    <t>Brownie Equity</t>
  </si>
  <si>
    <t>Installs</t>
  </si>
  <si>
    <t>INS</t>
  </si>
  <si>
    <t>163x32</t>
  </si>
  <si>
    <t>Axel Springer Media</t>
  </si>
  <si>
    <t>Pet site</t>
  </si>
  <si>
    <t>PET</t>
  </si>
  <si>
    <t>Cost Per Viewable Thousand</t>
  </si>
  <si>
    <t>VCPM</t>
  </si>
  <si>
    <t>15-59</t>
  </si>
  <si>
    <t>Candy Interests</t>
  </si>
  <si>
    <t>CANI</t>
  </si>
  <si>
    <t>Open Rate</t>
  </si>
  <si>
    <t>OPR</t>
  </si>
  <si>
    <t>B Media</t>
  </si>
  <si>
    <t>BME</t>
  </si>
  <si>
    <t>View Through Cost Per Thousand</t>
  </si>
  <si>
    <t>VtCPM</t>
  </si>
  <si>
    <t>15-60</t>
  </si>
  <si>
    <t>Cat + Dog interest</t>
  </si>
  <si>
    <t>Position</t>
  </si>
  <si>
    <t>POS</t>
  </si>
  <si>
    <t>Baofeng</t>
  </si>
  <si>
    <t>BAO</t>
  </si>
  <si>
    <t>15-64</t>
  </si>
  <si>
    <t>Cat Affinity</t>
  </si>
  <si>
    <t>Quality Score</t>
  </si>
  <si>
    <t>QUS</t>
  </si>
  <si>
    <t>1920x1084</t>
  </si>
  <si>
    <t>Bauer Media</t>
  </si>
  <si>
    <t>BAU</t>
  </si>
  <si>
    <t>16-25</t>
  </si>
  <si>
    <t>Cat Brand Food Buyers</t>
  </si>
  <si>
    <t>1920x1085</t>
  </si>
  <si>
    <t>Bazaar Voice</t>
  </si>
  <si>
    <t>BAV</t>
  </si>
  <si>
    <t>16-49</t>
  </si>
  <si>
    <t>Cat Brand Treats Buyers</t>
  </si>
  <si>
    <t>1920x1086</t>
  </si>
  <si>
    <t>Beeswax</t>
  </si>
  <si>
    <t>16-50</t>
  </si>
  <si>
    <t>Cat Category Food Buyers</t>
  </si>
  <si>
    <t>ROAS</t>
  </si>
  <si>
    <t>1920x1087</t>
  </si>
  <si>
    <t>Betoota Advocate</t>
  </si>
  <si>
    <t>BTO</t>
  </si>
  <si>
    <t>16-54</t>
  </si>
  <si>
    <t>Cat Category Treats Buyers</t>
  </si>
  <si>
    <t>SAL</t>
  </si>
  <si>
    <t>Bing</t>
  </si>
  <si>
    <t>BIN</t>
  </si>
  <si>
    <t>16-55</t>
  </si>
  <si>
    <t>Cat channels</t>
  </si>
  <si>
    <t>Samples</t>
  </si>
  <si>
    <t>SMP</t>
  </si>
  <si>
    <t>Blis</t>
  </si>
  <si>
    <t>BLS</t>
  </si>
  <si>
    <t>16-56</t>
  </si>
  <si>
    <t>Cat interests</t>
  </si>
  <si>
    <t>Subscribers</t>
  </si>
  <si>
    <t>SUB</t>
  </si>
  <si>
    <t>2400x200</t>
  </si>
  <si>
    <t>Blis Miroma</t>
  </si>
  <si>
    <t>BLM</t>
  </si>
  <si>
    <t>Cat interests and keywords</t>
  </si>
  <si>
    <t>Total Reach</t>
  </si>
  <si>
    <t>TOR</t>
  </si>
  <si>
    <t>Blix</t>
  </si>
  <si>
    <t>BLX</t>
  </si>
  <si>
    <t>Cat keywords</t>
  </si>
  <si>
    <t>TRA</t>
  </si>
  <si>
    <t>Brat</t>
  </si>
  <si>
    <t>BRT</t>
  </si>
  <si>
    <t>18-35</t>
  </si>
  <si>
    <t>Cat Lovers, New Cat Owners, Future Cat Owners</t>
  </si>
  <si>
    <t>Unique Views</t>
  </si>
  <si>
    <t>UQV</t>
  </si>
  <si>
    <t>Broadsheet</t>
  </si>
  <si>
    <t>BRS</t>
  </si>
  <si>
    <t>18-36</t>
  </si>
  <si>
    <t>Cat Owners</t>
  </si>
  <si>
    <t>Video Completes</t>
  </si>
  <si>
    <t>VC</t>
  </si>
  <si>
    <t>Buzzfeed</t>
  </si>
  <si>
    <t>BUZ</t>
  </si>
  <si>
    <t>18-39</t>
  </si>
  <si>
    <t>Category Buyer</t>
  </si>
  <si>
    <t>CB</t>
  </si>
  <si>
    <t>Video Completion Rate</t>
  </si>
  <si>
    <t>VCR</t>
  </si>
  <si>
    <t>CBS</t>
  </si>
  <si>
    <t>18-40</t>
  </si>
  <si>
    <t>Chocolate interests</t>
  </si>
  <si>
    <t>CHOI</t>
  </si>
  <si>
    <t>Viewability</t>
  </si>
  <si>
    <t>VIW</t>
  </si>
  <si>
    <t>CBS All Access</t>
  </si>
  <si>
    <t>CBA</t>
  </si>
  <si>
    <t>Connections Targeting</t>
  </si>
  <si>
    <t>Viewable CPM</t>
  </si>
  <si>
    <t>CBS Sports</t>
  </si>
  <si>
    <t>CSP</t>
  </si>
  <si>
    <t>18-45</t>
  </si>
  <si>
    <t>D2C (Direct to consumer)</t>
  </si>
  <si>
    <t>VWS</t>
  </si>
  <si>
    <t>Central Media Sales</t>
  </si>
  <si>
    <t>CMS</t>
  </si>
  <si>
    <t>18-45+</t>
  </si>
  <si>
    <t>Dates</t>
  </si>
  <si>
    <t>DAT</t>
  </si>
  <si>
    <t>View-Through CPM</t>
  </si>
  <si>
    <t>Channel Factory</t>
  </si>
  <si>
    <t>CF</t>
  </si>
  <si>
    <t>18-49</t>
  </si>
  <si>
    <t>Dog Affinity</t>
  </si>
  <si>
    <t>View-Through Rate</t>
  </si>
  <si>
    <t>VTR</t>
  </si>
  <si>
    <t>3840x1080</t>
  </si>
  <si>
    <t>Cinema Premium</t>
  </si>
  <si>
    <t>CIP</t>
  </si>
  <si>
    <t>Dog Brand Dry Food Buyers</t>
  </si>
  <si>
    <t>CMT</t>
  </si>
  <si>
    <t>18-54+</t>
  </si>
  <si>
    <t>Dog Brand Food Buyers</t>
  </si>
  <si>
    <t>444x250</t>
  </si>
  <si>
    <t>Collective</t>
  </si>
  <si>
    <t>CLL</t>
  </si>
  <si>
    <t>18-55</t>
  </si>
  <si>
    <t>Dog Brand Treats Buyers</t>
  </si>
  <si>
    <t>450X350</t>
  </si>
  <si>
    <t>Collective Miroma</t>
  </si>
  <si>
    <t>CLM</t>
  </si>
  <si>
    <t>18-60</t>
  </si>
  <si>
    <t>Dog Brand Wet Food Buyers</t>
  </si>
  <si>
    <t>Complex</t>
  </si>
  <si>
    <t>18-65+</t>
  </si>
  <si>
    <t>Dog Category Dry Food Buyers</t>
  </si>
  <si>
    <t>600x150</t>
  </si>
  <si>
    <t>Convenience Store</t>
  </si>
  <si>
    <t>18-85</t>
  </si>
  <si>
    <t>Dog Category Food Buyers</t>
  </si>
  <si>
    <t>600x600</t>
  </si>
  <si>
    <t>Criteo</t>
  </si>
  <si>
    <t>CRIT</t>
  </si>
  <si>
    <t>1P Mix</t>
  </si>
  <si>
    <t>Dog Category Keywords</t>
  </si>
  <si>
    <t>627x627</t>
  </si>
  <si>
    <t>CTC</t>
  </si>
  <si>
    <t>20+</t>
  </si>
  <si>
    <t>Dog Category Treats Buyers</t>
  </si>
  <si>
    <t>CW</t>
  </si>
  <si>
    <t>20-49</t>
  </si>
  <si>
    <t>20-65+</t>
  </si>
  <si>
    <t>Dog Category Wet Food Buyers</t>
  </si>
  <si>
    <t>640x500</t>
  </si>
  <si>
    <t>Dailymotion</t>
  </si>
  <si>
    <t>DLM</t>
  </si>
  <si>
    <t>Dog interests</t>
  </si>
  <si>
    <t>Digital Venture</t>
  </si>
  <si>
    <t>DV</t>
  </si>
  <si>
    <t>21-54</t>
  </si>
  <si>
    <t>Dog interests and keywords</t>
  </si>
  <si>
    <t>700x40</t>
  </si>
  <si>
    <t>DIO</t>
  </si>
  <si>
    <t>Dog keywords</t>
  </si>
  <si>
    <t>720x186</t>
  </si>
  <si>
    <t>Discovery</t>
  </si>
  <si>
    <t>25-44</t>
  </si>
  <si>
    <t>Dog Lovers, New Dog Owners, Future Dog Owners</t>
  </si>
  <si>
    <t>Disney</t>
  </si>
  <si>
    <t>DSN</t>
  </si>
  <si>
    <t>Dog Owners</t>
  </si>
  <si>
    <t>760x760</t>
  </si>
  <si>
    <t>DMS</t>
  </si>
  <si>
    <t>2P</t>
  </si>
  <si>
    <t>E Sport Content</t>
  </si>
  <si>
    <t>ESCT</t>
  </si>
  <si>
    <t>840x400</t>
  </si>
  <si>
    <t>Dot Dash</t>
  </si>
  <si>
    <t>2PD</t>
  </si>
  <si>
    <t xml:space="preserve">Everyday Treating </t>
  </si>
  <si>
    <t>ET</t>
  </si>
  <si>
    <t>3P</t>
  </si>
  <si>
    <t>Fathers Day</t>
  </si>
  <si>
    <t>FD</t>
  </si>
  <si>
    <t>EA Sports</t>
  </si>
  <si>
    <t>EAS</t>
  </si>
  <si>
    <t>3PD</t>
  </si>
  <si>
    <t>Food Keywords</t>
  </si>
  <si>
    <t>FK</t>
  </si>
  <si>
    <t>ebay</t>
  </si>
  <si>
    <t>EBA</t>
  </si>
  <si>
    <t>GM</t>
  </si>
  <si>
    <t>E-contenta</t>
  </si>
  <si>
    <t>Genre</t>
  </si>
  <si>
    <t>Edadeal</t>
  </si>
  <si>
    <t>EDAD</t>
  </si>
  <si>
    <t>45-54</t>
  </si>
  <si>
    <t>Healthy Eating Interests</t>
  </si>
  <si>
    <t>HEI</t>
  </si>
  <si>
    <t>9x16</t>
  </si>
  <si>
    <t>Edelman</t>
  </si>
  <si>
    <t>EDAM</t>
  </si>
  <si>
    <t>A12-39</t>
  </si>
  <si>
    <t>Heartland - Equity</t>
  </si>
  <si>
    <t>HE</t>
  </si>
  <si>
    <t>ESPN</t>
  </si>
  <si>
    <t>A13-25</t>
  </si>
  <si>
    <t>Heartland - Outdoor Life</t>
  </si>
  <si>
    <t>HOL</t>
  </si>
  <si>
    <t>Bumper</t>
  </si>
  <si>
    <t>BPR</t>
  </si>
  <si>
    <t>ETtoday</t>
  </si>
  <si>
    <t>ETT</t>
  </si>
  <si>
    <t>A13-35</t>
  </si>
  <si>
    <t>Heartland - Work/Road Life</t>
  </si>
  <si>
    <t>HWRL</t>
  </si>
  <si>
    <t>Canvas</t>
  </si>
  <si>
    <t>CAN</t>
  </si>
  <si>
    <t>Facebook</t>
  </si>
  <si>
    <t>FCB</t>
  </si>
  <si>
    <t>A13-49</t>
  </si>
  <si>
    <t>Hispanic</t>
  </si>
  <si>
    <t>HSP</t>
  </si>
  <si>
    <t>Carousel</t>
  </si>
  <si>
    <t>CAR</t>
  </si>
  <si>
    <t>FBI</t>
  </si>
  <si>
    <t>A13-49 Spanish Language</t>
  </si>
  <si>
    <t>A13-49SL</t>
  </si>
  <si>
    <t xml:space="preserve">Holiday Cultural Relevance </t>
  </si>
  <si>
    <t>HCR</t>
  </si>
  <si>
    <t>Fandom</t>
  </si>
  <si>
    <t>FND</t>
  </si>
  <si>
    <t>A15+</t>
  </si>
  <si>
    <t>Hunting Interests</t>
  </si>
  <si>
    <t>Carousel with Video</t>
  </si>
  <si>
    <t>Finecast</t>
  </si>
  <si>
    <t>FIN</t>
  </si>
  <si>
    <t>A18+</t>
  </si>
  <si>
    <t>Interest Targeting</t>
  </si>
  <si>
    <t>Collection Ad</t>
  </si>
  <si>
    <t>Fitatu</t>
  </si>
  <si>
    <t>FIT</t>
  </si>
  <si>
    <t>A18+ LAL of EthelM Purchasers</t>
  </si>
  <si>
    <t>A18+LALOEMP</t>
  </si>
  <si>
    <t>Kitten Interests</t>
  </si>
  <si>
    <t>Collection and Carousel Ad</t>
  </si>
  <si>
    <t>Flaire</t>
  </si>
  <si>
    <t>FLA</t>
  </si>
  <si>
    <t>A18+ Previous EthelM Purchasers+Previous EthelM Engagers+EthelM Site Retargeting</t>
  </si>
  <si>
    <t>A18+PEMPPEMEEMSR</t>
  </si>
  <si>
    <t>Latin</t>
  </si>
  <si>
    <t>DISP</t>
  </si>
  <si>
    <t>FourSquare </t>
  </si>
  <si>
    <t>fsq</t>
  </si>
  <si>
    <t>A18-44</t>
  </si>
  <si>
    <t>A18-49</t>
  </si>
  <si>
    <t>Latin Playlist</t>
  </si>
  <si>
    <t>LTPLY</t>
  </si>
  <si>
    <t>FOX</t>
  </si>
  <si>
    <t>Latinx Affinity</t>
  </si>
  <si>
    <t>LATXAF</t>
  </si>
  <si>
    <t>DOOH</t>
  </si>
  <si>
    <t>Funny or Die</t>
  </si>
  <si>
    <t>FOD</t>
  </si>
  <si>
    <t>A18-49 Candy Interests</t>
  </si>
  <si>
    <t>A18-49CI</t>
  </si>
  <si>
    <t>Life Event/Demographic Targeting</t>
  </si>
  <si>
    <t>LE/DT</t>
  </si>
  <si>
    <t>eCommerce Display</t>
  </si>
  <si>
    <t>Globmobi</t>
  </si>
  <si>
    <t>GLO</t>
  </si>
  <si>
    <t>A18-49 Snacking Interests</t>
  </si>
  <si>
    <t>A18-49SI</t>
  </si>
  <si>
    <t>Local</t>
  </si>
  <si>
    <t>LCL</t>
  </si>
  <si>
    <t>eCommerce Text</t>
  </si>
  <si>
    <t>TXT</t>
  </si>
  <si>
    <t>Goal.com</t>
  </si>
  <si>
    <t>GOA</t>
  </si>
  <si>
    <t>A18-49 Spanish Language</t>
  </si>
  <si>
    <t>A18-49SL</t>
  </si>
  <si>
    <t>Lookalikes</t>
  </si>
  <si>
    <t>LAL</t>
  </si>
  <si>
    <t>Goldbach Audience Austria GmbH</t>
  </si>
  <si>
    <t>GAAG</t>
  </si>
  <si>
    <t>A18-60</t>
  </si>
  <si>
    <t>Lunes Perrito</t>
  </si>
  <si>
    <t>LUNPER</t>
  </si>
  <si>
    <t>Email Logo</t>
  </si>
  <si>
    <t>LOG</t>
  </si>
  <si>
    <t>Go-Media</t>
  </si>
  <si>
    <t>GOM</t>
  </si>
  <si>
    <t>A18-65+</t>
  </si>
  <si>
    <t>Moving</t>
  </si>
  <si>
    <t>MOV</t>
  </si>
  <si>
    <t>Email Text</t>
  </si>
  <si>
    <t>Google</t>
  </si>
  <si>
    <t>GOG</t>
  </si>
  <si>
    <t>A25+</t>
  </si>
  <si>
    <t>Music Enthusiast</t>
  </si>
  <si>
    <t>Hyper Link</t>
  </si>
  <si>
    <t>HPL</t>
  </si>
  <si>
    <t>Google + Yandex</t>
  </si>
  <si>
    <t>GYA</t>
  </si>
  <si>
    <t>A25-49</t>
  </si>
  <si>
    <t>Image</t>
  </si>
  <si>
    <t>IMG</t>
  </si>
  <si>
    <t>Google Display Network</t>
  </si>
  <si>
    <t>GDN</t>
  </si>
  <si>
    <t>A25-54</t>
  </si>
  <si>
    <t>A25-54GIRMLRI</t>
  </si>
  <si>
    <t>National</t>
  </si>
  <si>
    <t>NTL</t>
  </si>
  <si>
    <t>In-feed</t>
  </si>
  <si>
    <t>GoPuff</t>
  </si>
  <si>
    <t>GOP</t>
  </si>
  <si>
    <t>A25-54 - Geotargeted-In relationship/Married-Love/Romance Interests</t>
  </si>
  <si>
    <t>A25-54LAG</t>
  </si>
  <si>
    <t>NFL Fans</t>
  </si>
  <si>
    <t>NFL</t>
  </si>
  <si>
    <t>Influencer Display</t>
  </si>
  <si>
    <t>GPMD</t>
  </si>
  <si>
    <t>A25-54 - LA Geotargeted</t>
  </si>
  <si>
    <t>A35+</t>
  </si>
  <si>
    <t>Nutrition</t>
  </si>
  <si>
    <t>Influencer Text</t>
  </si>
  <si>
    <t>Gree Lifestyle</t>
  </si>
  <si>
    <t>GRE</t>
  </si>
  <si>
    <t xml:space="preserve">Oral Care </t>
  </si>
  <si>
    <t>OC</t>
  </si>
  <si>
    <t>Influencer Video</t>
  </si>
  <si>
    <t>Grocery Magnet</t>
  </si>
  <si>
    <t>GRM</t>
  </si>
  <si>
    <t>Adoption interests</t>
  </si>
  <si>
    <t>P2+</t>
  </si>
  <si>
    <t>Instream</t>
  </si>
  <si>
    <t>Groundtruth</t>
  </si>
  <si>
    <t>grd</t>
  </si>
  <si>
    <t>Affinity Targeting</t>
  </si>
  <si>
    <t>AFT</t>
  </si>
  <si>
    <t>Parents</t>
  </si>
  <si>
    <t>Interstitial</t>
  </si>
  <si>
    <t>Group Nine</t>
  </si>
  <si>
    <t>all15-49</t>
  </si>
  <si>
    <t>BET</t>
  </si>
  <si>
    <t>Past FB/IG Engagers</t>
  </si>
  <si>
    <t>PFB/IGE</t>
  </si>
  <si>
    <t>Link Ad</t>
  </si>
  <si>
    <t>LA</t>
  </si>
  <si>
    <t>GroupM</t>
  </si>
  <si>
    <t>GRPM</t>
  </si>
  <si>
    <t>Behavioral</t>
  </si>
  <si>
    <t>Past FB/IG Engagers LAL</t>
  </si>
  <si>
    <t>PFB/IGELAL</t>
  </si>
  <si>
    <t>Listing</t>
  </si>
  <si>
    <t>LIST</t>
  </si>
  <si>
    <t>GroupNine</t>
  </si>
  <si>
    <t>Cat + Dog interests</t>
  </si>
  <si>
    <t>Past Video Viewers</t>
  </si>
  <si>
    <t>PVV</t>
  </si>
  <si>
    <t>Native Display</t>
  </si>
  <si>
    <t>GumGum</t>
  </si>
  <si>
    <t>GG</t>
  </si>
  <si>
    <t>Cat + Dog Owners</t>
  </si>
  <si>
    <t>CE</t>
  </si>
  <si>
    <t>Pet Interest</t>
  </si>
  <si>
    <t>Native Logo</t>
  </si>
  <si>
    <t>Hallmark</t>
  </si>
  <si>
    <t>Cat Enthusiasts</t>
  </si>
  <si>
    <t>PGS - Seasonal</t>
  </si>
  <si>
    <t>PGSS</t>
  </si>
  <si>
    <t>Native Text</t>
  </si>
  <si>
    <t>Holler</t>
  </si>
  <si>
    <t>Cat lovers</t>
  </si>
  <si>
    <t>Pixel Targeting/Custom Audiences</t>
  </si>
  <si>
    <t>PT/CA</t>
  </si>
  <si>
    <t>Native Video</t>
  </si>
  <si>
    <t>HOTStar</t>
  </si>
  <si>
    <t>HOT</t>
  </si>
  <si>
    <t>Placement</t>
  </si>
  <si>
    <t>PLA</t>
  </si>
  <si>
    <t>News Feed and Stories</t>
  </si>
  <si>
    <t>NFAS</t>
  </si>
  <si>
    <t>Hulu</t>
  </si>
  <si>
    <t>HULU</t>
  </si>
  <si>
    <t>Competitive Conquesting</t>
  </si>
  <si>
    <t>COT</t>
  </si>
  <si>
    <t>Playlist</t>
  </si>
  <si>
    <t>PLY</t>
  </si>
  <si>
    <t>Non-Skippable Video</t>
  </si>
  <si>
    <t>NVID</t>
  </si>
  <si>
    <t>Hybrid</t>
  </si>
  <si>
    <t>HYB</t>
  </si>
  <si>
    <t>Contextual</t>
  </si>
  <si>
    <t>CRT</t>
  </si>
  <si>
    <t>Pride</t>
  </si>
  <si>
    <t>PRI</t>
  </si>
  <si>
    <t>iHeart</t>
  </si>
  <si>
    <t>IHR</t>
  </si>
  <si>
    <t>Creative Retargeting</t>
  </si>
  <si>
    <t>CSA</t>
  </si>
  <si>
    <t>Primary Grocery Shopper</t>
  </si>
  <si>
    <t>PGS</t>
  </si>
  <si>
    <t>Outstream</t>
  </si>
  <si>
    <t>OUT</t>
  </si>
  <si>
    <t>imdb</t>
  </si>
  <si>
    <t>Custom Affinity</t>
  </si>
  <si>
    <t>CIT</t>
  </si>
  <si>
    <t>Professionals</t>
  </si>
  <si>
    <t>Package</t>
  </si>
  <si>
    <t>PAC</t>
  </si>
  <si>
    <t>Imgur</t>
  </si>
  <si>
    <t>Custom Intent</t>
  </si>
  <si>
    <t>CSM</t>
  </si>
  <si>
    <t>Protein</t>
  </si>
  <si>
    <t>PTN</t>
  </si>
  <si>
    <t>Photo Ad</t>
  </si>
  <si>
    <t>IMHO</t>
  </si>
  <si>
    <t>Custom Segment Targeting</t>
  </si>
  <si>
    <t>DYP</t>
  </si>
  <si>
    <t>Puppy + Kitten Interests</t>
  </si>
  <si>
    <t>Preroll</t>
  </si>
  <si>
    <t>Inca</t>
  </si>
  <si>
    <t>INCA</t>
  </si>
  <si>
    <t>Day Parting</t>
  </si>
  <si>
    <t>Puppy Interests</t>
  </si>
  <si>
    <t>Product Listing</t>
  </si>
  <si>
    <t>PRL</t>
  </si>
  <si>
    <t>Indamedia</t>
  </si>
  <si>
    <t>IND</t>
  </si>
  <si>
    <t>Demo Superfans</t>
  </si>
  <si>
    <t>DEM</t>
  </si>
  <si>
    <t>Puppy Owners</t>
  </si>
  <si>
    <t>Promopost with Video + In-stream</t>
  </si>
  <si>
    <t>Inmobi</t>
  </si>
  <si>
    <t>INM</t>
  </si>
  <si>
    <t>Demographic</t>
  </si>
  <si>
    <t>DRT</t>
  </si>
  <si>
    <t>Purchase-Based Targeting/3rd Party Data</t>
  </si>
  <si>
    <t>PBT/3PD</t>
  </si>
  <si>
    <t>Push Ad</t>
  </si>
  <si>
    <t>Instagram</t>
  </si>
  <si>
    <t>IG</t>
  </si>
  <si>
    <t>Display Retargeting</t>
  </si>
  <si>
    <t>Recipes</t>
  </si>
  <si>
    <t>Search Text</t>
  </si>
  <si>
    <t>Jun Group</t>
  </si>
  <si>
    <t>JG</t>
  </si>
  <si>
    <t>Dog Enthusiasts</t>
  </si>
  <si>
    <t>Restaurants</t>
  </si>
  <si>
    <t>RST</t>
  </si>
  <si>
    <t>Shopping Ad</t>
  </si>
  <si>
    <t>KOL</t>
  </si>
  <si>
    <t>Dog lovers</t>
  </si>
  <si>
    <t>Retargeting</t>
  </si>
  <si>
    <t>RT</t>
  </si>
  <si>
    <t>Skippable Video</t>
  </si>
  <si>
    <t>SVID</t>
  </si>
  <si>
    <t>KVT Poland</t>
  </si>
  <si>
    <t>KVT</t>
  </si>
  <si>
    <t>GZ</t>
  </si>
  <si>
    <t>SL</t>
  </si>
  <si>
    <t>Social Multi</t>
  </si>
  <si>
    <t>SM</t>
  </si>
  <si>
    <t>LADbible</t>
  </si>
  <si>
    <t>LAD</t>
  </si>
  <si>
    <t>F16-29</t>
  </si>
  <si>
    <t>Site Retargeting</t>
  </si>
  <si>
    <t>SR</t>
  </si>
  <si>
    <t>Social Non-Skippable Video</t>
  </si>
  <si>
    <t>SNVID</t>
  </si>
  <si>
    <t>Light Reaction</t>
  </si>
  <si>
    <t>LR</t>
  </si>
  <si>
    <t>Generation Z</t>
  </si>
  <si>
    <t xml:space="preserve">Site Visitor LAL </t>
  </si>
  <si>
    <t>SVLAL</t>
  </si>
  <si>
    <t>Social Skippable Video</t>
  </si>
  <si>
    <t>SSVID</t>
  </si>
  <si>
    <t>LinkedIn</t>
  </si>
  <si>
    <t>LKI</t>
  </si>
  <si>
    <t>GEO</t>
  </si>
  <si>
    <t>Small Dog Owners</t>
  </si>
  <si>
    <t>Social Video auto-play sound off Non-Skippable</t>
  </si>
  <si>
    <t>VIDCTPSOF</t>
  </si>
  <si>
    <t>Listonic</t>
  </si>
  <si>
    <t>LIS</t>
  </si>
  <si>
    <t>Geographic</t>
  </si>
  <si>
    <t>HH18-39</t>
  </si>
  <si>
    <t xml:space="preserve">Snicker NB - FB/IG Dorothy: Brownie Equity </t>
  </si>
  <si>
    <t>SNBFBIGDBE</t>
  </si>
  <si>
    <t>Social Video auto-play sound off Skippable</t>
  </si>
  <si>
    <t>VIDCTPSON</t>
  </si>
  <si>
    <t>Livewire</t>
  </si>
  <si>
    <t>LIV</t>
  </si>
  <si>
    <t>HH 18-39</t>
  </si>
  <si>
    <t>Snicker NB - FB/IG Dorothy: Soul-sucking Work</t>
  </si>
  <si>
    <t>SNBFBIGDSW</t>
  </si>
  <si>
    <t>Social Video auto-play sound on Non-Skippable</t>
  </si>
  <si>
    <t>VIDAPSOF</t>
  </si>
  <si>
    <t>LoopMe</t>
  </si>
  <si>
    <t>LM</t>
  </si>
  <si>
    <t>HVC</t>
  </si>
  <si>
    <t>Snicker NB - FB/IG Modern Day Dorothy (Broad)</t>
  </si>
  <si>
    <t>SNBFBIGMDDB</t>
  </si>
  <si>
    <t>Social Video auto-play sound on Skippable</t>
  </si>
  <si>
    <t>VIDAPSON</t>
  </si>
  <si>
    <t>Madhouse</t>
  </si>
  <si>
    <t>MH</t>
  </si>
  <si>
    <t>Keyword</t>
  </si>
  <si>
    <t>KCT</t>
  </si>
  <si>
    <t>Snicker NB - Snap Dorothy: Brownie Equity - Native PBT + Interest</t>
  </si>
  <si>
    <t>SNBSDBENPBTI</t>
  </si>
  <si>
    <t>Social Video click-to-play sound off Non-Skippable</t>
  </si>
  <si>
    <t>Mango</t>
  </si>
  <si>
    <t>MAN</t>
  </si>
  <si>
    <t>Keyword Contextual</t>
  </si>
  <si>
    <t>LG</t>
  </si>
  <si>
    <t>Snicker NB - Snap Dorothy: Soul-sucking Work - Native PBT + Interest</t>
  </si>
  <si>
    <t>SNBSDSWNPBTI</t>
  </si>
  <si>
    <t>Social Video click-to-play sound off Skippable</t>
  </si>
  <si>
    <t>Marvel</t>
  </si>
  <si>
    <t>MRV</t>
  </si>
  <si>
    <t>Snicker NB - Snapchat Modern Day Dorothy (Broad) - Native PBT + Interest</t>
  </si>
  <si>
    <t>SNBSMDDBNPBTI</t>
  </si>
  <si>
    <t>Social Video click-to-play sound on Non-Skippable</t>
  </si>
  <si>
    <t>VIDNONSKIPP</t>
  </si>
  <si>
    <t>Match Group</t>
  </si>
  <si>
    <t>MAG</t>
  </si>
  <si>
    <t>Lookalike Modeling</t>
  </si>
  <si>
    <t xml:space="preserve">Snicker NB - TW Dorothy: Brownie Equity </t>
  </si>
  <si>
    <t>SNBTWDBE</t>
  </si>
  <si>
    <t>Social Video click-to-play sound on Skippable</t>
  </si>
  <si>
    <t>VIDSKIPP</t>
  </si>
  <si>
    <t>Matrix</t>
  </si>
  <si>
    <t>MAT</t>
  </si>
  <si>
    <t>M 18-45</t>
  </si>
  <si>
    <t>Snicker NB - TW Dorothy: Soul-sucking Work</t>
  </si>
  <si>
    <t>SNBTWDSW</t>
  </si>
  <si>
    <t>Sponsorship</t>
  </si>
  <si>
    <t>Maxima</t>
  </si>
  <si>
    <t>MAX</t>
  </si>
  <si>
    <t>m15-49</t>
  </si>
  <si>
    <t>MAIDS</t>
  </si>
  <si>
    <t>Snicker NB - TW Modern Day Dorothy (Broad)</t>
  </si>
  <si>
    <t>SNBTWMDDB</t>
  </si>
  <si>
    <t>Static Promopost</t>
  </si>
  <si>
    <t>MBA</t>
  </si>
  <si>
    <t>Mars 1PD MAIDS</t>
  </si>
  <si>
    <t>M1PME</t>
  </si>
  <si>
    <t>Snickers Core - FB/IG Gaming</t>
  </si>
  <si>
    <t>SCFBIGG</t>
  </si>
  <si>
    <t>Static Stories</t>
  </si>
  <si>
    <t>Meredith</t>
  </si>
  <si>
    <t>MER</t>
  </si>
  <si>
    <t>Mars 1PD Media</t>
  </si>
  <si>
    <t>Snickers Core - FB/IG Heartland (Broad)</t>
  </si>
  <si>
    <t>SCFBIGHB</t>
  </si>
  <si>
    <t>Stories</t>
  </si>
  <si>
    <t>MIQ</t>
  </si>
  <si>
    <t>P1M</t>
  </si>
  <si>
    <t>Snickers Core - FB/IG Heartland Equity</t>
  </si>
  <si>
    <t>SCFBIGHE</t>
  </si>
  <si>
    <t>Stories Carousel</t>
  </si>
  <si>
    <t>MIQ Miroma</t>
  </si>
  <si>
    <t>MIM</t>
  </si>
  <si>
    <t>P1 Market</t>
  </si>
  <si>
    <t>P2M</t>
  </si>
  <si>
    <t>Snickers Core - FB/IG Heartland Outdoor Life</t>
  </si>
  <si>
    <t>SCFBIGHOL</t>
  </si>
  <si>
    <t>Stories Carousel with Video</t>
  </si>
  <si>
    <t>Mix</t>
  </si>
  <si>
    <t>MIX</t>
  </si>
  <si>
    <t>P2 Market</t>
  </si>
  <si>
    <t>Snickers Core - FB/IG Heartland Work/Road Life</t>
  </si>
  <si>
    <t>SCFBIGHWRL</t>
  </si>
  <si>
    <t>True View</t>
  </si>
  <si>
    <t>Mobsta</t>
  </si>
  <si>
    <t>MOB</t>
  </si>
  <si>
    <t>Pet Owners</t>
  </si>
  <si>
    <t>Snickers Core - FB/IG Student Life</t>
  </si>
  <si>
    <t>SCFBIGSL</t>
  </si>
  <si>
    <t>True View for Action</t>
  </si>
  <si>
    <t>TVA</t>
  </si>
  <si>
    <t>Mobsta Miroma</t>
  </si>
  <si>
    <t>MOM</t>
  </si>
  <si>
    <t>Purchase Based Targeting</t>
  </si>
  <si>
    <t>Snickers Core - FB/IG Youth (Broad)</t>
  </si>
  <si>
    <t>SCFBIGYB</t>
  </si>
  <si>
    <t>True View for Reach</t>
  </si>
  <si>
    <t>TVR</t>
  </si>
  <si>
    <t>mocity</t>
  </si>
  <si>
    <t>MOC</t>
  </si>
  <si>
    <t>ROC</t>
  </si>
  <si>
    <t>Snickers Core - FB/IG Youth Equity</t>
  </si>
  <si>
    <t>SCFBIGYE</t>
  </si>
  <si>
    <t>Mumsnet</t>
  </si>
  <si>
    <t>MUM</t>
  </si>
  <si>
    <t>Run of Channel</t>
  </si>
  <si>
    <t>RON</t>
  </si>
  <si>
    <t>Snickers Core - Snap Gaming - PBT + Interest</t>
  </si>
  <si>
    <t>SCSGPBTI</t>
  </si>
  <si>
    <t>Video auto-play sound off Non-Skippable</t>
  </si>
  <si>
    <t>Mxplayer</t>
  </si>
  <si>
    <t>MXP</t>
  </si>
  <si>
    <t>Run of Network</t>
  </si>
  <si>
    <t>Snickers Core - Snap Heartland (Broad)  - Native PBT + Interest</t>
  </si>
  <si>
    <t>SCSHBNPBTI</t>
  </si>
  <si>
    <t>Video auto-play sound off Skippable</t>
  </si>
  <si>
    <t>VIDAPSOS</t>
  </si>
  <si>
    <t>MyTarget</t>
  </si>
  <si>
    <t>MYT</t>
  </si>
  <si>
    <t>Run of Site</t>
  </si>
  <si>
    <t>SRT</t>
  </si>
  <si>
    <t>Snickers Core - Snap Heartland Equity - Native PBT + Interest</t>
  </si>
  <si>
    <t>SCSHENPBTI</t>
  </si>
  <si>
    <t>Video auto-play sound on Non-Skippable</t>
  </si>
  <si>
    <t>Nabd</t>
  </si>
  <si>
    <t>NABD</t>
  </si>
  <si>
    <t>Search Remessaging</t>
  </si>
  <si>
    <t>SRET</t>
  </si>
  <si>
    <t>Snickers Core - Snap Heartland Outdoor Life  - Native PBT + Interest</t>
  </si>
  <si>
    <t>SCSHOLNPBTI</t>
  </si>
  <si>
    <t>Video auto-play sound on Skippable</t>
  </si>
  <si>
    <t>NASCAR</t>
  </si>
  <si>
    <t>Snickers Core - Snap Heartland Work/Road Life - Native PBT + Interest</t>
  </si>
  <si>
    <t>SCSHWRLNPBTI</t>
  </si>
  <si>
    <t>Video Carousel</t>
  </si>
  <si>
    <t>Naver</t>
  </si>
  <si>
    <t>NAV</t>
  </si>
  <si>
    <t>Study</t>
  </si>
  <si>
    <t>Snickers Core - Snap Student Life - PBT + Interest</t>
  </si>
  <si>
    <t>SCSSLPBTI</t>
  </si>
  <si>
    <t>Video click-to-play sound off Non-Skippable</t>
  </si>
  <si>
    <t>VCN</t>
  </si>
  <si>
    <t>NBA 2K League</t>
  </si>
  <si>
    <t>N2KL</t>
  </si>
  <si>
    <t>TheBachelor</t>
  </si>
  <si>
    <t>TVT</t>
  </si>
  <si>
    <t>Snickers Core - Snap Youth (Broad) - PBT + Interest</t>
  </si>
  <si>
    <t>SCSYBPBTI</t>
  </si>
  <si>
    <t>Video click-to-play sound off Skippable</t>
  </si>
  <si>
    <t>VCS</t>
  </si>
  <si>
    <t>NBC</t>
  </si>
  <si>
    <t>TV Targeting</t>
  </si>
  <si>
    <t>VRET</t>
  </si>
  <si>
    <t>Snickers Core - Snap Youth Equity - PBT + Interest</t>
  </si>
  <si>
    <t>SCSYEPBTI</t>
  </si>
  <si>
    <t>Video click-to-play sound on Non-Skippable</t>
  </si>
  <si>
    <t>VCSN</t>
  </si>
  <si>
    <t>NBCSPORTS</t>
  </si>
  <si>
    <t>NBS</t>
  </si>
  <si>
    <t>Video Retargeting</t>
  </si>
  <si>
    <t>Snickers Core - TW Gaming</t>
  </si>
  <si>
    <t>SCTWG</t>
  </si>
  <si>
    <t>Video click-to-play sound on Skippable</t>
  </si>
  <si>
    <t>VCSS</t>
  </si>
  <si>
    <t>NCM</t>
  </si>
  <si>
    <t>W 18-45</t>
  </si>
  <si>
    <t>Snickers Core - TW Heartland (Broad)</t>
  </si>
  <si>
    <t>SCTWHB</t>
  </si>
  <si>
    <t>Video In Banner</t>
  </si>
  <si>
    <t>VIB</t>
  </si>
  <si>
    <t>Network10</t>
  </si>
  <si>
    <t>NW10</t>
  </si>
  <si>
    <t>w15-49</t>
  </si>
  <si>
    <t>W16-49</t>
  </si>
  <si>
    <t>Snickers Core - TW Heartland Equity</t>
  </si>
  <si>
    <t>SCTWHE</t>
  </si>
  <si>
    <t>Video Promopost</t>
  </si>
  <si>
    <t>NewsCorp</t>
  </si>
  <si>
    <t>NC</t>
  </si>
  <si>
    <t>W18-49</t>
  </si>
  <si>
    <t>Snickers Core - TW Heartland Outdoor Life</t>
  </si>
  <si>
    <t>SCTWHOL</t>
  </si>
  <si>
    <t>Video Stories</t>
  </si>
  <si>
    <t>Nextdoor</t>
  </si>
  <si>
    <t>NXD</t>
  </si>
  <si>
    <t>W18-49SL</t>
  </si>
  <si>
    <t>Snickers Core - TW Heartland Work/Road Life</t>
  </si>
  <si>
    <t>SCTWHWRL</t>
  </si>
  <si>
    <t>W18-49 Spanish Language</t>
  </si>
  <si>
    <t>W25-49</t>
  </si>
  <si>
    <t>Snickers Core - TW Student Life</t>
  </si>
  <si>
    <t>SCTWSL</t>
  </si>
  <si>
    <t>NRA</t>
  </si>
  <si>
    <t>W25-59SL</t>
  </si>
  <si>
    <t>Snickers Core - TW Youth (Broad)</t>
  </si>
  <si>
    <t>SCTWYB</t>
  </si>
  <si>
    <t>Oath</t>
  </si>
  <si>
    <t>OAT</t>
  </si>
  <si>
    <t>W25-59 Spanish Language</t>
  </si>
  <si>
    <t>WET</t>
  </si>
  <si>
    <t>Snickers Core - TW Youth Equity</t>
  </si>
  <si>
    <t>SCTWYE</t>
  </si>
  <si>
    <t>Ogury</t>
  </si>
  <si>
    <t>OGR</t>
  </si>
  <si>
    <t>Weather Trigger</t>
  </si>
  <si>
    <t>YTC</t>
  </si>
  <si>
    <t>Soul-Sucking Work</t>
  </si>
  <si>
    <t>SSW</t>
  </si>
  <si>
    <t>OK.ru</t>
  </si>
  <si>
    <t>OKR</t>
  </si>
  <si>
    <t>YouTube channel</t>
  </si>
  <si>
    <t>Sport</t>
  </si>
  <si>
    <t>SPT</t>
  </si>
  <si>
    <t>OLX</t>
  </si>
  <si>
    <t>Sporting Dog Interests</t>
  </si>
  <si>
    <t>Openslate</t>
  </si>
  <si>
    <t>OPE</t>
  </si>
  <si>
    <t>Sporting Dog Puppy Interests</t>
  </si>
  <si>
    <t>Sporting Dog Puppy Retargeting</t>
  </si>
  <si>
    <t>SDPR</t>
  </si>
  <si>
    <t>Pandora</t>
  </si>
  <si>
    <t>PAN</t>
  </si>
  <si>
    <t>Sterilize</t>
  </si>
  <si>
    <t>STZ</t>
  </si>
  <si>
    <t>Pedestrian</t>
  </si>
  <si>
    <t>PED</t>
  </si>
  <si>
    <t>Students</t>
  </si>
  <si>
    <t>STU</t>
  </si>
  <si>
    <t>Penetration Trade Desk</t>
  </si>
  <si>
    <t>PTD</t>
  </si>
  <si>
    <t>Superbowl Stadium</t>
  </si>
  <si>
    <t>SS</t>
  </si>
  <si>
    <t>PetPet</t>
  </si>
  <si>
    <t>Top 25 Game Titles</t>
  </si>
  <si>
    <t>T25GT</t>
  </si>
  <si>
    <t>Phaistos</t>
  </si>
  <si>
    <t>PHA</t>
  </si>
  <si>
    <t>Topics</t>
  </si>
  <si>
    <t>TO</t>
  </si>
  <si>
    <t>PIN</t>
  </si>
  <si>
    <t>Plista</t>
  </si>
  <si>
    <t>PLS</t>
  </si>
  <si>
    <t>Vet Professionals</t>
  </si>
  <si>
    <t>Pluto</t>
  </si>
  <si>
    <t>PLT</t>
  </si>
  <si>
    <t>Victory Outcome</t>
  </si>
  <si>
    <t>VO</t>
  </si>
  <si>
    <t>Podcast</t>
  </si>
  <si>
    <t>PDC</t>
  </si>
  <si>
    <t>Weather</t>
  </si>
  <si>
    <t>WTH</t>
  </si>
  <si>
    <t>Pokkt</t>
  </si>
  <si>
    <t>PKT</t>
  </si>
  <si>
    <t>Website Audiences</t>
  </si>
  <si>
    <t>WA</t>
  </si>
  <si>
    <t>Polsat Media</t>
  </si>
  <si>
    <t>Weddings</t>
  </si>
  <si>
    <t>WED</t>
  </si>
  <si>
    <t>POPSUGAR</t>
  </si>
  <si>
    <t>PPS</t>
  </si>
  <si>
    <t>Women</t>
  </si>
  <si>
    <t>Wm</t>
  </si>
  <si>
    <t>Privalia</t>
  </si>
  <si>
    <t>Youth - Equity</t>
  </si>
  <si>
    <t>Promofix</t>
  </si>
  <si>
    <t>PRF</t>
  </si>
  <si>
    <t>Youth - Gaming</t>
  </si>
  <si>
    <t>YG</t>
  </si>
  <si>
    <t>Qiyi</t>
  </si>
  <si>
    <t>QIY</t>
  </si>
  <si>
    <t>Youth - Student Life</t>
  </si>
  <si>
    <t>YSL</t>
  </si>
  <si>
    <t>Quotient</t>
  </si>
  <si>
    <t>qut</t>
  </si>
  <si>
    <t>Reddit</t>
  </si>
  <si>
    <t>RDT</t>
  </si>
  <si>
    <t>Rezonence</t>
  </si>
  <si>
    <t>RZN</t>
  </si>
  <si>
    <t>Ricardo</t>
  </si>
  <si>
    <t>RCD</t>
  </si>
  <si>
    <t>Rick and Morty</t>
  </si>
  <si>
    <t>RNM</t>
  </si>
  <si>
    <t>Roku</t>
  </si>
  <si>
    <t>ROKU</t>
  </si>
  <si>
    <t>Rtime</t>
  </si>
  <si>
    <t>RTI</t>
  </si>
  <si>
    <t>SAPO Teads</t>
  </si>
  <si>
    <t>SAP</t>
  </si>
  <si>
    <t>Segmento</t>
  </si>
  <si>
    <t>SEG</t>
  </si>
  <si>
    <t>Seven</t>
  </si>
  <si>
    <t>SEV</t>
  </si>
  <si>
    <t>Shahid</t>
  </si>
  <si>
    <t>SHD</t>
  </si>
  <si>
    <t>SMR</t>
  </si>
  <si>
    <t>Snapchat</t>
  </si>
  <si>
    <t>SNA</t>
  </si>
  <si>
    <t>Social ID</t>
  </si>
  <si>
    <t>SID</t>
  </si>
  <si>
    <t>Socials MRG</t>
  </si>
  <si>
    <t>SMRG</t>
  </si>
  <si>
    <t>Spotify</t>
  </si>
  <si>
    <t>SPF</t>
  </si>
  <si>
    <t>Tabmo</t>
  </si>
  <si>
    <t>TBMO</t>
  </si>
  <si>
    <t>Target</t>
  </si>
  <si>
    <t>TGT</t>
  </si>
  <si>
    <t>Test Opption</t>
  </si>
  <si>
    <t>TOP</t>
  </si>
  <si>
    <t>Tastemade</t>
  </si>
  <si>
    <t>TST</t>
  </si>
  <si>
    <t>Teads</t>
  </si>
  <si>
    <t>TEA</t>
  </si>
  <si>
    <t>Team CoCo</t>
  </si>
  <si>
    <t>Ten</t>
  </si>
  <si>
    <t>TNE</t>
  </si>
  <si>
    <t>Tencent</t>
  </si>
  <si>
    <t>TEN</t>
  </si>
  <si>
    <t>The Dodo</t>
  </si>
  <si>
    <t>DOD</t>
  </si>
  <si>
    <t>The Trade Desk</t>
  </si>
  <si>
    <t>TTD</t>
  </si>
  <si>
    <t>Thrillist</t>
  </si>
  <si>
    <t>THRL</t>
  </si>
  <si>
    <t>TikTok</t>
  </si>
  <si>
    <t>TIK</t>
  </si>
  <si>
    <t>Tportal</t>
  </si>
  <si>
    <t>TPT</t>
  </si>
  <si>
    <t>TreSensa</t>
  </si>
  <si>
    <t>TRE</t>
  </si>
  <si>
    <t>TubiTV</t>
  </si>
  <si>
    <t>TUB</t>
  </si>
  <si>
    <t>Turner</t>
  </si>
  <si>
    <t>TV Extend</t>
  </si>
  <si>
    <t>TVE</t>
  </si>
  <si>
    <t>TVN</t>
  </si>
  <si>
    <t>Twitch</t>
  </si>
  <si>
    <t>TWT</t>
  </si>
  <si>
    <t>Twitter</t>
  </si>
  <si>
    <t>TWI</t>
  </si>
  <si>
    <t>UnderTone</t>
  </si>
  <si>
    <t>und</t>
  </si>
  <si>
    <t>Unisound</t>
  </si>
  <si>
    <t>UNS</t>
  </si>
  <si>
    <t>Univision</t>
  </si>
  <si>
    <t>UNI</t>
  </si>
  <si>
    <t>Unruly</t>
  </si>
  <si>
    <t>UNR</t>
  </si>
  <si>
    <t>Val Morgan</t>
  </si>
  <si>
    <t>VM</t>
  </si>
  <si>
    <t>Valassis</t>
  </si>
  <si>
    <t>val</t>
  </si>
  <si>
    <t>VDX</t>
  </si>
  <si>
    <t>Verizon</t>
  </si>
  <si>
    <t>VZN</t>
  </si>
  <si>
    <t>Wafer</t>
  </si>
  <si>
    <t>WAF</t>
  </si>
  <si>
    <t>Vevo</t>
  </si>
  <si>
    <t>VEV</t>
  </si>
  <si>
    <t>VI</t>
  </si>
  <si>
    <t>Viacom</t>
  </si>
  <si>
    <t>VIZ</t>
  </si>
  <si>
    <t>Viant</t>
  </si>
  <si>
    <t>VNT</t>
  </si>
  <si>
    <t>VIU</t>
  </si>
  <si>
    <t>VK</t>
  </si>
  <si>
    <t>Voot</t>
  </si>
  <si>
    <t>VOOT</t>
  </si>
  <si>
    <t>Vpon</t>
  </si>
  <si>
    <t>VPO</t>
  </si>
  <si>
    <t>Walmart Media Group</t>
  </si>
  <si>
    <t>wmg</t>
  </si>
  <si>
    <t>Weyyak</t>
  </si>
  <si>
    <t>WYK</t>
  </si>
  <si>
    <t>WWE</t>
  </si>
  <si>
    <t>Xaxis</t>
  </si>
  <si>
    <t>XAX</t>
  </si>
  <si>
    <t>Xiaomi</t>
  </si>
  <si>
    <t>XIA</t>
  </si>
  <si>
    <t>Xplay</t>
  </si>
  <si>
    <t>XPL</t>
  </si>
  <si>
    <t>Xplay Audio</t>
  </si>
  <si>
    <t>XPA</t>
  </si>
  <si>
    <t>Yahoo</t>
  </si>
  <si>
    <t>YAH</t>
  </si>
  <si>
    <t>Yandex</t>
  </si>
  <si>
    <t>YAN</t>
  </si>
  <si>
    <t>Yazle</t>
  </si>
  <si>
    <t>YZL</t>
  </si>
  <si>
    <t>Youku</t>
  </si>
  <si>
    <t>YOU</t>
  </si>
  <si>
    <t>YouTube</t>
  </si>
  <si>
    <t>YT</t>
  </si>
  <si>
    <t>Zee5</t>
  </si>
  <si>
    <t>Z5</t>
  </si>
  <si>
    <t>NCKPI</t>
  </si>
  <si>
    <t>NCFormat</t>
  </si>
  <si>
    <t>Comma</t>
  </si>
  <si>
    <t>Quote</t>
  </si>
  <si>
    <t>B_Open</t>
  </si>
  <si>
    <t>B_Close</t>
  </si>
  <si>
    <t xml:space="preserve">, </t>
  </si>
  <si>
    <t>'</t>
  </si>
  <si>
    <t>(</t>
  </si>
  <si>
    <t>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</si>
</sst>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</font>
    <font>
      <sz val="9"/>
      <color theme="1"/>
      <name val="Poppins"/>
    </font>
    <font>
      <sz val="9"/>
      <color rgb="FFFF0000"/>
      <name val="Poppins"/>
    </font>
    <font>
      <sz val="9"/>
      <name val="Poppins"/>
    </font>
    <font>
      <b/>
      <sz val="9"/>
      <color theme="0"/>
      <name val="Poppins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9"/>
      <color rgb="FF000000"/>
      <name val="Poppins"/>
    </font>
    <font>
      <sz val="9"/>
      <color rgb="FF000000"/>
      <name val="Century"/>
      <family val="1"/>
    </font>
    <font>
      <sz val="11"/>
      <color theme="1"/>
      <name val="Poppins"/>
    </font>
    <font>
      <b/>
      <sz val="9"/>
      <color theme="1"/>
      <name val="Poppins"/>
    </font>
    <font>
      <i/>
      <sz val="9"/>
      <color theme="1"/>
      <name val="Poppins"/>
    </font>
  </fonts>
  <fills count="2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E1F2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indexed="8"/>
      </diagonal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11" fillId="0" borderId="5"/>
    <xf numFmtId="0" fontId="16" fillId="17" borderId="0">
      <alignment horizontal="center" vertical="center"/>
    </xf>
  </cellStyleXfs>
  <cellXfs count="6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4" borderId="4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5" borderId="3" xfId="0" applyFill="1" applyBorder="1"/>
    <xf numFmtId="0" fontId="0" fillId="6" borderId="3" xfId="0" applyFill="1" applyBorder="1"/>
    <xf numFmtId="0" fontId="0" fillId="0" borderId="3" xfId="0" applyBorder="1"/>
    <xf numFmtId="0" fontId="0" fillId="3" borderId="3" xfId="0" applyFill="1" applyBorder="1" applyAlignment="1">
      <alignment horizontal="center"/>
    </xf>
    <xf numFmtId="0" fontId="0" fillId="8" borderId="0" xfId="0" applyFill="1"/>
    <xf numFmtId="0" fontId="0" fillId="9" borderId="0" xfId="0" applyFill="1"/>
    <xf numFmtId="0" fontId="6" fillId="0" borderId="0" xfId="0" applyFont="1"/>
    <xf numFmtId="0" fontId="7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7" fillId="10" borderId="0" xfId="0" applyFont="1" applyFill="1" applyAlignment="1">
      <alignment wrapText="1"/>
    </xf>
    <xf numFmtId="0" fontId="0" fillId="3" borderId="0" xfId="0" applyFill="1"/>
    <xf numFmtId="0" fontId="7" fillId="0" borderId="0" xfId="0" applyFont="1"/>
    <xf numFmtId="0" fontId="7" fillId="11" borderId="0" xfId="0" applyFont="1" applyFill="1"/>
    <xf numFmtId="0" fontId="7" fillId="10" borderId="0" xfId="0" applyFont="1" applyFill="1"/>
    <xf numFmtId="0" fontId="7" fillId="12" borderId="0" xfId="0" applyFont="1" applyFill="1" applyAlignment="1">
      <alignment wrapText="1"/>
    </xf>
    <xf numFmtId="0" fontId="7" fillId="13" borderId="0" xfId="0" applyFont="1" applyFill="1"/>
    <xf numFmtId="0" fontId="7" fillId="14" borderId="0" xfId="0" applyFont="1" applyFill="1"/>
    <xf numFmtId="0" fontId="7" fillId="12" borderId="0" xfId="0" applyFont="1" applyFill="1"/>
    <xf numFmtId="0" fontId="0" fillId="5" borderId="0" xfId="0" applyFill="1"/>
    <xf numFmtId="0" fontId="0" fillId="0" borderId="0" xfId="0" quotePrefix="1"/>
    <xf numFmtId="0" fontId="8" fillId="0" borderId="0" xfId="0" applyFont="1"/>
    <xf numFmtId="0" fontId="9" fillId="15" borderId="0" xfId="0" applyFont="1" applyFill="1"/>
    <xf numFmtId="0" fontId="10" fillId="16" borderId="0" xfId="0" applyFont="1" applyFill="1"/>
    <xf numFmtId="0" fontId="11" fillId="0" borderId="6" xfId="1" applyBorder="1"/>
    <xf numFmtId="49" fontId="11" fillId="0" borderId="7" xfId="1" applyNumberFormat="1" applyBorder="1"/>
    <xf numFmtId="49" fontId="11" fillId="0" borderId="6" xfId="1" applyNumberFormat="1" applyBorder="1"/>
    <xf numFmtId="0" fontId="9" fillId="12" borderId="0" xfId="0" applyFont="1" applyFill="1"/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4" fontId="0" fillId="0" borderId="0" xfId="0" applyNumberFormat="1"/>
    <xf numFmtId="0" fontId="15" fillId="2" borderId="0" xfId="0" applyFont="1" applyFill="1"/>
    <xf numFmtId="49" fontId="16" fillId="17" borderId="8" xfId="2" applyNumberFormat="1" applyBorder="1">
      <alignment horizontal="center" vertical="center"/>
    </xf>
    <xf numFmtId="0" fontId="1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5" fillId="18" borderId="0" xfId="0" applyFont="1" applyFill="1"/>
    <xf numFmtId="0" fontId="18" fillId="0" borderId="0" xfId="0" applyFont="1"/>
    <xf numFmtId="0" fontId="18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9" fillId="19" borderId="0" xfId="0" applyFont="1" applyFill="1"/>
    <xf numFmtId="0" fontId="20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5" fillId="2" borderId="0" xfId="0" applyFont="1" applyFill="1" applyAlignment="1">
      <alignment vertical="top"/>
    </xf>
    <xf numFmtId="0" fontId="21" fillId="0" borderId="9" xfId="0" applyFont="1" applyBorder="1" applyAlignment="1">
      <alignment vertical="top"/>
    </xf>
    <xf numFmtId="0" fontId="21" fillId="0" borderId="0" xfId="0" applyFont="1"/>
    <xf numFmtId="14" fontId="12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left" vertical="top" wrapText="1"/>
    </xf>
    <xf numFmtId="0" fontId="0" fillId="0" borderId="13" xfId="0" applyBorder="1"/>
    <xf numFmtId="0" fontId="0" fillId="0" borderId="0" xfId="0" applyAlignment="1">
      <alignment wrapText="1"/>
    </xf>
    <xf numFmtId="164" fontId="22" fillId="0" borderId="9" xfId="0" applyNumberFormat="1" applyFont="1" applyBorder="1" applyAlignment="1">
      <alignment vertical="top" wrapText="1"/>
    </xf>
    <xf numFmtId="164" fontId="12" fillId="0" borderId="9" xfId="0" applyNumberFormat="1" applyFont="1" applyBorder="1" applyAlignment="1">
      <alignment vertical="top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</cellXfs>
  <cellStyles count="3">
    <cellStyle name="Border_Inside_Style" xfId="1" xr:uid="{B1124FE5-00C8-45A8-9B54-51603EBA222C}"/>
    <cellStyle name="Normal" xfId="0" builtinId="0"/>
    <cellStyle name="TH" xfId="2" xr:uid="{422A93EB-A4C1-4BF8-BC6D-C661CF0F6AFD}"/>
  </cellStyles>
  <dxfs count="11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BDDF0"/>
      <color rgb="FFFAD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mie.Sowter-Essence" id="{239A0DE5-C674-46ED-9BE1-7E81C8507517}" userId="S::jamie.sowter@essenceglobal.com::5256c1c2-92ff-4b24-aaea-18b547564c2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B46796-CE13-4B36-AB9B-43883F41B3AD}" name="Table22" displayName="Table22" ref="K2:L60" totalsRowShown="0">
  <autoFilter ref="K2:L60" xr:uid="{961201BF-0E2C-42F1-B818-7548D591B0B2}"/>
  <sortState xmlns:xlrd2="http://schemas.microsoft.com/office/spreadsheetml/2017/richdata2" ref="K3:K61">
    <sortCondition ref="K2:K61"/>
  </sortState>
  <tableColumns count="2">
    <tableColumn id="1" xr3:uid="{8AB26E41-F887-45EF-A60E-780C8394BDFC}" name="Media Types"/>
    <tableColumn id="2" xr3:uid="{2B92E53C-C1E5-4FB3-B367-073464D4EC8B}" name="Media Type Lookup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6F7D11-8004-4C88-9C40-CF3B29FDC8B7}" name="Table37" displayName="Table37" ref="A1:B86" totalsRowShown="0">
  <autoFilter ref="A1:B86" xr:uid="{38807EB0-B6E1-4D47-B093-B8BD39512C9C}"/>
  <sortState xmlns:xlrd2="http://schemas.microsoft.com/office/spreadsheetml/2017/richdata2" ref="A2:B86">
    <sortCondition ref="B1:B86"/>
  </sortState>
  <tableColumns count="2">
    <tableColumn id="1" xr3:uid="{88900CBE-9BFE-4238-BE50-108B676C0C41}" name="Country"/>
    <tableColumn id="2" xr3:uid="{92AA9727-C257-4E92-BCC6-ECB8E326B923}" name="Country cod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14" dT="2022-06-10T08:45:20.08" personId="{239A0DE5-C674-46ED-9BE1-7E81C8507517}" id="{FD5AA5DC-612F-4D9A-8C35-3F31E4705C28}">
    <text>stories/news feed?
other options?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5E90-D825-4C49-96F5-153B8AF3C117}">
  <sheetPr>
    <tabColor theme="5"/>
  </sheetPr>
  <dimension ref="A1:AL13"/>
  <sheetViews>
    <sheetView showGridLines="0" tabSelected="1" zoomScale="90" zoomScaleNormal="90" workbookViewId="0">
      <pane xSplit="1" ySplit="7" topLeftCell="B8" activePane="bottomRight" state="frozen"/>
      <selection pane="topRight" activeCell="B1" sqref="B1"/>
      <selection pane="bottomLeft" activeCell="A3" sqref="A3"/>
      <selection pane="bottomRight" activeCell="L7" sqref="L7"/>
    </sheetView>
  </sheetViews>
  <sheetFormatPr defaultColWidth="22.453125" defaultRowHeight="14.5" x14ac:dyDescent="0.35"/>
  <cols>
    <col min="1" max="1" width="14.54296875" bestFit="1" customWidth="1"/>
    <col min="2" max="2" width="14.54296875" customWidth="1"/>
    <col min="3" max="3" width="18" customWidth="1"/>
    <col min="4" max="5" width="30.54296875" customWidth="1"/>
    <col min="6" max="7" width="22.453125" customWidth="1"/>
    <col min="8" max="8" width="22.453125" hidden="1" customWidth="1"/>
    <col min="9" max="10" width="22.453125" customWidth="1"/>
    <col min="11" max="11" width="22.453125" hidden="1" customWidth="1"/>
    <col min="12" max="12" width="14.1796875" bestFit="1" customWidth="1"/>
    <col min="13" max="13" width="19.08984375" bestFit="1" customWidth="1"/>
    <col min="14" max="14" width="28.7265625" customWidth="1"/>
    <col min="15" max="15" width="28.7265625" hidden="1" customWidth="1"/>
    <col min="16" max="16" width="19.54296875" bestFit="1" customWidth="1"/>
    <col min="17" max="17" width="23.453125" hidden="1" customWidth="1"/>
    <col min="18" max="18" width="28.7265625" customWidth="1"/>
    <col min="19" max="19" width="28.7265625" hidden="1" customWidth="1"/>
    <col min="20" max="20" width="28.7265625" customWidth="1"/>
    <col min="21" max="21" width="28.7265625" hidden="1" customWidth="1"/>
    <col min="22" max="22" width="28.7265625" customWidth="1"/>
    <col min="23" max="23" width="25.26953125" hidden="1" customWidth="1"/>
    <col min="24" max="26" width="28.7265625" customWidth="1"/>
    <col min="27" max="27" width="28.7265625" hidden="1" customWidth="1"/>
    <col min="28" max="31" width="28.7265625" customWidth="1"/>
    <col min="32" max="32" width="39.1796875" bestFit="1" customWidth="1"/>
    <col min="33" max="34" width="28.7265625" customWidth="1"/>
    <col min="35" max="36" width="152.453125" hidden="1" customWidth="1"/>
    <col min="37" max="37" width="152.453125" customWidth="1"/>
    <col min="38" max="38" width="38.453125" bestFit="1" customWidth="1"/>
  </cols>
  <sheetData>
    <row r="1" spans="1:38" ht="14.5" customHeight="1" x14ac:dyDescent="0.35"/>
    <row r="2" spans="1:38" ht="14.5" customHeight="1" x14ac:dyDescent="0.35">
      <c r="B2" s="1" t="s">
        <v>0</v>
      </c>
      <c r="C2" s="1"/>
      <c r="D2" s="1" t="s">
        <v>1</v>
      </c>
    </row>
    <row r="3" spans="1:38" ht="14.5" customHeight="1" x14ac:dyDescent="0.35">
      <c r="B3" t="s">
        <v>2</v>
      </c>
      <c r="D3" t="s">
        <v>3</v>
      </c>
    </row>
    <row r="4" spans="1:38" ht="14.5" customHeight="1" x14ac:dyDescent="0.35">
      <c r="B4" t="s">
        <v>2</v>
      </c>
      <c r="D4" t="s">
        <v>4</v>
      </c>
    </row>
    <row r="5" spans="1:38" ht="14.5" customHeight="1" x14ac:dyDescent="0.35">
      <c r="B5" t="s">
        <v>5</v>
      </c>
      <c r="D5" t="s">
        <v>6</v>
      </c>
    </row>
    <row r="6" spans="1:38" ht="14.5" customHeight="1" thickBot="1" x14ac:dyDescent="0.4">
      <c r="D6" s="14"/>
      <c r="E6" s="14"/>
    </row>
    <row r="7" spans="1:38" s="9" customFormat="1" ht="58.5" customHeight="1" thickBot="1" x14ac:dyDescent="0.4">
      <c r="B7" s="5" t="s">
        <v>7</v>
      </c>
      <c r="C7" s="5" t="s">
        <v>8</v>
      </c>
      <c r="D7" s="5" t="s">
        <v>9</v>
      </c>
      <c r="E7" s="5" t="s">
        <v>10</v>
      </c>
      <c r="F7" s="6" t="s">
        <v>11</v>
      </c>
      <c r="G7" s="45" t="s">
        <v>12</v>
      </c>
      <c r="H7" s="45" t="s">
        <v>13</v>
      </c>
      <c r="I7" s="45" t="s">
        <v>14</v>
      </c>
      <c r="J7" s="45" t="s">
        <v>0</v>
      </c>
      <c r="K7" s="4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4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  <c r="Y7" s="5" t="s">
        <v>29</v>
      </c>
      <c r="Z7" s="5" t="s">
        <v>30</v>
      </c>
      <c r="AA7" s="5" t="s">
        <v>31</v>
      </c>
      <c r="AB7" s="5" t="s">
        <v>32</v>
      </c>
      <c r="AC7" s="5" t="s">
        <v>33</v>
      </c>
      <c r="AD7" s="5" t="s">
        <v>34</v>
      </c>
      <c r="AE7" s="5" t="s">
        <v>35</v>
      </c>
      <c r="AF7" s="5" t="s">
        <v>36</v>
      </c>
      <c r="AG7" s="5" t="s">
        <v>37</v>
      </c>
      <c r="AH7" s="5" t="s">
        <v>38</v>
      </c>
      <c r="AI7" s="7" t="s">
        <v>39</v>
      </c>
      <c r="AJ7" s="7" t="s">
        <v>40</v>
      </c>
      <c r="AK7" s="7" t="s">
        <v>41</v>
      </c>
      <c r="AL7" s="6" t="s">
        <v>42</v>
      </c>
    </row>
    <row r="8" spans="1:38" ht="14.5" customHeight="1" x14ac:dyDescent="0.35">
      <c r="A8" s="3" t="s">
        <v>43</v>
      </c>
      <c r="B8" s="10" t="s">
        <v>44</v>
      </c>
      <c r="C8" s="10" t="str">
        <f>IFERROR(VLOOKUP(B8,Table37[#All],2,FALSE),"")</f>
        <v>GB</v>
      </c>
      <c r="D8" s="10" t="s">
        <v>45</v>
      </c>
      <c r="E8" s="10" t="str">
        <f>IFERROR(VLOOKUP(D8,'Campaign DV Lookups (2)'!$D$2:$E$207,2,FALSE),"")</f>
        <v>EXG</v>
      </c>
      <c r="F8" s="11" t="s">
        <v>46</v>
      </c>
      <c r="G8" s="11" t="s">
        <v>47</v>
      </c>
      <c r="H8" s="11" t="str">
        <f>IFERROR(VLOOKUP(G8,'Essence DV Lookups'!$A$3:$B$95,2,FALSE),"")</f>
        <v>en</v>
      </c>
      <c r="I8" s="11" t="s">
        <v>48</v>
      </c>
      <c r="J8" s="11" t="s">
        <v>49</v>
      </c>
      <c r="K8" s="11" t="str">
        <f>IFERROR(VLOOKUP(J8,'Essence DV Lookups'!$H$3:$I$18,2,FALSE),"")</f>
        <v>AM</v>
      </c>
      <c r="L8" s="10" t="s">
        <v>49</v>
      </c>
      <c r="M8" s="10" t="str">
        <f>IFERROR(VLOOKUP(L8,'Data Validations'!$R$1:$S$227,2,FALSE),"")</f>
        <v>AMZ</v>
      </c>
      <c r="N8" s="10" t="s">
        <v>50</v>
      </c>
      <c r="O8" s="10" t="str">
        <f>VLOOKUP(N8,'Essence DV Lookups'!L4:$M$9,2,FALSE)</f>
        <v>auction</v>
      </c>
      <c r="P8" s="10" t="s">
        <v>51</v>
      </c>
      <c r="Q8" s="10" t="str">
        <f>VLOOKUP(P8,'Data Validations'!$X$2:$Y$24,2,FALSE)</f>
        <v>CPM</v>
      </c>
      <c r="R8" s="10" t="s">
        <v>52</v>
      </c>
      <c r="S8" s="10" t="str">
        <f>IFERROR(VLOOKUP(R8,'Essence DV Lookups'!$P$4:$Q$15,2,FALSE),"")</f>
        <v>bid-dda</v>
      </c>
      <c r="T8" s="10" t="s">
        <v>53</v>
      </c>
      <c r="U8" s="10" t="str">
        <f>IFERROR(VLOOKUP(T8,'Essence DV Lookups'!$U$3:$V$21,2,FALSE),"")</f>
        <v>interest</v>
      </c>
      <c r="V8" s="10" t="s">
        <v>54</v>
      </c>
      <c r="W8" s="10" t="str">
        <f>VLOOKUP(V8,'Essence DV Lookups'!$Y$3:$Z$435,2,FALSE)</f>
        <v>pro</v>
      </c>
      <c r="X8" s="10" t="s">
        <v>55</v>
      </c>
      <c r="Y8" s="10" t="s">
        <v>56</v>
      </c>
      <c r="Z8" s="10" t="s">
        <v>57</v>
      </c>
      <c r="AA8" s="10" t="str">
        <f>VLOOKUP(Z8,'Essence DV Lookups'!$AF$3:$AG$13,2,FALSE)</f>
        <v>reach</v>
      </c>
      <c r="AB8" s="10" t="s">
        <v>58</v>
      </c>
      <c r="AC8" s="10" t="s">
        <v>59</v>
      </c>
      <c r="AD8" s="10" t="s">
        <v>60</v>
      </c>
      <c r="AE8" s="10" t="s">
        <v>61</v>
      </c>
      <c r="AF8" s="10" t="s">
        <v>62</v>
      </c>
      <c r="AG8" s="10" t="s">
        <v>63</v>
      </c>
      <c r="AH8" s="10" t="s">
        <v>61</v>
      </c>
      <c r="AI8" s="12" t="str">
        <f>IF(COUNTIF(B8:AH8,"")&gt;0,"Not Valid",_xlfn.CONCAT(C8,"_",E8,"_",F8,"_",H8,"_",I8,"_",K8,"_",M8,"_",O8,"_",Q8,"_",S8,"_",U8,"_",W8,"_",X8,"_",Y8,"_",AA8,"_",AB8,"_",AC8,"_",AD8,"_",AE8,"_",AF8,"_",AG8,"_",AH8))</f>
        <v>GB_EXG_p1-2023-w&amp;s_en_NA_AM_AMZ_auction_CPM_bid-dda_interest_pro_2pd_Awareness_reach_bumpers_video_Cross Device_na_6s_Nervous Energized-Business Size - 51+ employees - Lifestyle-work_na</v>
      </c>
      <c r="AJ8" s="12" t="str">
        <f>SUBSTITUTE(AI8," ","-")</f>
        <v>GB_EXG_p1-2023-w&amp;s_en_NA_AM_AMZ_auction_CPM_bid-dda_interest_pro_2pd_Awareness_reach_bumpers_video_Cross-Device_na_6s_Nervous-Energized-Business-Size---51+-employees---Lifestyle-work_na</v>
      </c>
      <c r="AK8" s="12" t="str">
        <f>LOWER(AJ8)</f>
        <v>gb_exg_p1-2023-w&amp;s_en_na_am_amz_auction_cpm_bid-dda_interest_pro_2pd_awareness_reach_bumpers_video_cross-device_na_6s_nervous-energized-business-size---51+-employees---lifestyle-work_na</v>
      </c>
      <c r="AL8" s="13">
        <f>LEN(AK8)</f>
        <v>185</v>
      </c>
    </row>
    <row r="9" spans="1:38" ht="15" customHeight="1" x14ac:dyDescent="0.35">
      <c r="A9" s="3" t="s">
        <v>43</v>
      </c>
      <c r="B9" s="10" t="s">
        <v>64</v>
      </c>
      <c r="C9" s="10" t="str">
        <f>IFERROR(VLOOKUP(B9,Table37[#All],2,FALSE),"")</f>
        <v>AE</v>
      </c>
      <c r="D9" s="10" t="s">
        <v>3415</v>
      </c>
      <c r="E9" s="10" t="str">
        <f>IFERROR(VLOOKUP(D9,'Campaign DV Lookups (2)'!$D$2:$E$208,2,FALSE),"")</f>
        <v>WAF</v>
      </c>
      <c r="F9" s="60" t="s">
        <v>66</v>
      </c>
      <c r="G9" s="11" t="s">
        <v>67</v>
      </c>
      <c r="H9" s="11" t="str">
        <f>IFERROR(VLOOKUP(G9,'Essence DV Lookups'!$A$3:$B$95,2,FALSE),"")</f>
        <v>pt</v>
      </c>
      <c r="I9" s="11" t="s">
        <v>48</v>
      </c>
      <c r="J9" s="11" t="s">
        <v>68</v>
      </c>
      <c r="K9" s="11" t="str">
        <f>IFERROR(VLOOKUP(J9,'Essence DV Lookups'!$H$3:$I$18,2,FALSE),"")</f>
        <v>MT</v>
      </c>
      <c r="L9" s="10" t="s">
        <v>191</v>
      </c>
      <c r="M9" s="10" t="str">
        <f>IFERROR(VLOOKUP(L9,'Data Validations'!$R$1:$S$227,2,FALSE),"")</f>
        <v>PIN</v>
      </c>
      <c r="N9" s="10" t="s">
        <v>70</v>
      </c>
      <c r="O9" s="10" t="str">
        <f>VLOOKUP(N9,'Essence DV Lookups'!L4:$M$9,2,FALSE)</f>
        <v>oth</v>
      </c>
      <c r="P9" s="10" t="s">
        <v>71</v>
      </c>
      <c r="Q9" s="10" t="str">
        <f>VLOOKUP(P9,'Data Validations'!$X$2:$Y$24,2,FALSE)</f>
        <v>CPC</v>
      </c>
      <c r="R9" s="10" t="s">
        <v>52</v>
      </c>
      <c r="S9" s="10" t="str">
        <f>IFERROR(VLOOKUP(R9,'Essence DV Lookups'!$P$4:$Q$15,2,FALSE),"")</f>
        <v>bid-dda</v>
      </c>
      <c r="T9" s="10" t="s">
        <v>53</v>
      </c>
      <c r="U9" s="10" t="str">
        <f>IFERROR(VLOOKUP(T9,'Essence DV Lookups'!$U$3:$V$21,2,FALSE),"")</f>
        <v>interest</v>
      </c>
      <c r="V9" s="10" t="s">
        <v>72</v>
      </c>
      <c r="W9" s="10" t="str">
        <f>VLOOKUP(V9,'Essence DV Lookups'!$Y$3:$Z$435,2,FALSE)</f>
        <v>mus</v>
      </c>
      <c r="X9" s="10" t="s">
        <v>48</v>
      </c>
      <c r="Y9" s="10" t="s">
        <v>56</v>
      </c>
      <c r="Z9" s="10" t="s">
        <v>73</v>
      </c>
      <c r="AA9" s="10" t="str">
        <f>VLOOKUP(Z9,'Essence DV Lookups'!$AF$3:$AG$13,2,FALSE)</f>
        <v>views</v>
      </c>
      <c r="AB9" s="10" t="s">
        <v>74</v>
      </c>
      <c r="AC9" s="10" t="s">
        <v>74</v>
      </c>
      <c r="AD9" s="10" t="s">
        <v>60</v>
      </c>
      <c r="AE9" s="10" t="s">
        <v>61</v>
      </c>
      <c r="AF9" s="10" t="s">
        <v>61</v>
      </c>
      <c r="AG9" s="10" t="s">
        <v>61</v>
      </c>
      <c r="AH9" s="10" t="s">
        <v>61</v>
      </c>
      <c r="AI9" s="12" t="str">
        <f>IF(COUNTIF(B9:AH9,"")&gt;0,"Not Valid",_xlfn.CONCAT(C9,"_",E9,"_",F9,"_",H9,"_",I9,"_",K9,"_",M9,"_",O9,"_",Q9,"_",S9,"_",U9,"_",W9,"_",X9,"_",Y9,"_",AA9,"_",AB9,"_",AC9,"_",AD9,"_",AE9,"_",AF9,"_",AG9,"_",AH9))</f>
        <v>AE_WAF_p1-vnp_pt_NA_MT_PIN_oth_CPC_bid-dda_interest_mus_NA_Awareness_views_hybrid_hybrid_Cross Device_na_na_na_na</v>
      </c>
      <c r="AJ9" s="12" t="str">
        <f>SUBSTITUTE(AI9," ","-")</f>
        <v>AE_WAF_p1-vnp_pt_NA_MT_PIN_oth_CPC_bid-dda_interest_mus_NA_Awareness_views_hybrid_hybrid_Cross-Device_na_na_na_na</v>
      </c>
      <c r="AK9" s="12" t="str">
        <f>LOWER(AJ9)</f>
        <v>ae_waf_p1-vnp_pt_na_mt_pin_oth_cpc_bid-dda_interest_mus_na_awareness_views_hybrid_hybrid_cross-device_na_na_na_na</v>
      </c>
      <c r="AL9" s="13">
        <f>LEN(AK9)</f>
        <v>113</v>
      </c>
    </row>
    <row r="13" spans="1:38" x14ac:dyDescent="0.35">
      <c r="AI13" s="29"/>
      <c r="AJ13" s="29"/>
      <c r="AK13" s="29"/>
    </row>
  </sheetData>
  <conditionalFormatting sqref="B8:AH9">
    <cfRule type="containsBlanks" dxfId="10" priority="1">
      <formula>LEN(TRIM(B8))=0</formula>
    </cfRule>
    <cfRule type="containsBlanks" dxfId="9" priority="2">
      <formula>LEN(TRIM(B8))=0</formula>
    </cfRule>
  </conditionalFormatting>
  <dataValidations count="2">
    <dataValidation type="textLength" operator="equal" allowBlank="1" showInputMessage="1" showErrorMessage="1" error="Please keep this blank" sqref="D6:J6 L6:AH6" xr:uid="{0F40A4F3-5B84-472C-9201-31FC953E23A0}">
      <formula1>0</formula1>
    </dataValidation>
    <dataValidation type="textLength" allowBlank="1" showInputMessage="1" showErrorMessage="1" sqref="F9" xr:uid="{4805FC0C-5852-4D74-B7AF-92C2788CEBAF}">
      <formula1>0</formula1>
      <formula2>16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8C4188C3-2559-4D96-9249-0184CF9ABB6F}">
          <x14:formula1>
            <xm:f>'Data Validations'!$X$2:$X$24</xm:f>
          </x14:formula1>
          <xm:sqref>P8:P9</xm:sqref>
        </x14:dataValidation>
        <x14:dataValidation type="list" allowBlank="1" showInputMessage="1" xr:uid="{E86BA5E6-B413-43F4-ADD7-9867CAFE6E66}">
          <x14:formula1>
            <xm:f>'Data Validations'!$X$2:$X$14</xm:f>
          </x14:formula1>
          <xm:sqref>Q8:Q9</xm:sqref>
        </x14:dataValidation>
        <x14:dataValidation type="list" allowBlank="1" showInputMessage="1" showErrorMessage="1" xr:uid="{509D5580-1853-4273-BB04-4095136B2E1D}">
          <x14:formula1>
            <xm:f>'Data Validations'!$A$2:$A$207</xm:f>
          </x14:formula1>
          <xm:sqref>D8:D9</xm:sqref>
        </x14:dataValidation>
        <x14:dataValidation type="list" allowBlank="1" showInputMessage="1" showErrorMessage="1" xr:uid="{3A35E864-AD1E-42C6-BA56-6EE1546728E5}">
          <x14:formula1>
            <xm:f>'Alpha-2 Reference Sheet'!$A$1:$A$86</xm:f>
          </x14:formula1>
          <xm:sqref>B8:B9</xm:sqref>
        </x14:dataValidation>
        <x14:dataValidation type="list" allowBlank="1" showInputMessage="1" showErrorMessage="1" xr:uid="{3C1C6389-B943-4B53-BEEA-EA542120302B}">
          <x14:formula1>
            <xm:f>'Essence DV Lookups'!$A$4:$A$95</xm:f>
          </x14:formula1>
          <xm:sqref>G8:G9</xm:sqref>
        </x14:dataValidation>
        <x14:dataValidation type="list" allowBlank="1" showInputMessage="1" showErrorMessage="1" xr:uid="{7B3B514D-FBE2-4DDF-BB54-26AE732BC963}">
          <x14:formula1>
            <xm:f>'Essence DV Lookups'!$E$4:$E$8</xm:f>
          </x14:formula1>
          <xm:sqref>I8:I9</xm:sqref>
        </x14:dataValidation>
        <x14:dataValidation type="list" allowBlank="1" showInputMessage="1" showErrorMessage="1" xr:uid="{633C90E4-D38B-4D29-9DD0-337236350D35}">
          <x14:formula1>
            <xm:f>'Essence DV Lookups'!$L$4:$L$9</xm:f>
          </x14:formula1>
          <xm:sqref>P8:Q9 N8:N9</xm:sqref>
        </x14:dataValidation>
        <x14:dataValidation type="list" allowBlank="1" showInputMessage="1" showErrorMessage="1" xr:uid="{04266569-7F3F-4233-B8E1-73C7050A9B38}">
          <x14:formula1>
            <xm:f>'Essence DV Lookups'!$P$3:$P$13</xm:f>
          </x14:formula1>
          <xm:sqref>R8:R9</xm:sqref>
        </x14:dataValidation>
        <x14:dataValidation type="list" allowBlank="1" showInputMessage="1" showErrorMessage="1" xr:uid="{08E2087F-723E-4168-8292-655F973FD549}">
          <x14:formula1>
            <xm:f>'Essence DV Lookups'!$U$4:$U$19</xm:f>
          </x14:formula1>
          <xm:sqref>T8:T9</xm:sqref>
        </x14:dataValidation>
        <x14:dataValidation type="list" allowBlank="1" showInputMessage="1" showErrorMessage="1" xr:uid="{6FBA9820-877C-4673-972D-ABA2AD94CA3F}">
          <x14:formula1>
            <xm:f>'Essence DV Lookups'!$AD$3:$AD$9</xm:f>
          </x14:formula1>
          <xm:sqref>Y8:Y9</xm:sqref>
        </x14:dataValidation>
        <x14:dataValidation type="list" allowBlank="1" showInputMessage="1" showErrorMessage="1" xr:uid="{231FD9C9-889A-4BA4-BEE1-9EB0DB40D9EF}">
          <x14:formula1>
            <xm:f>'Essence DV Lookups'!$AF$3:$AF$13</xm:f>
          </x14:formula1>
          <xm:sqref>Z8:Z9</xm:sqref>
        </x14:dataValidation>
        <x14:dataValidation type="list" allowBlank="1" showInputMessage="1" showErrorMessage="1" xr:uid="{FED3D92C-ABE1-49BA-88B2-24F7712291B1}">
          <x14:formula1>
            <xm:f>'Essence DV Lookups'!$AR$4:$AR$87</xm:f>
          </x14:formula1>
          <xm:sqref>AF8:AF9</xm:sqref>
        </x14:dataValidation>
        <x14:dataValidation type="list" allowBlank="1" showInputMessage="1" showErrorMessage="1" xr:uid="{B0EB838D-5C44-43F8-855F-8D6C9D926A2C}">
          <x14:formula1>
            <xm:f>'Essence DV Lookups'!$H$4:$H$18</xm:f>
          </x14:formula1>
          <xm:sqref>J8:J9</xm:sqref>
        </x14:dataValidation>
        <x14:dataValidation type="list" allowBlank="1" showInputMessage="1" showErrorMessage="1" xr:uid="{9075C90A-125B-477D-9B45-CB6F9B1E1370}">
          <x14:formula1>
            <xm:f>'Essence DV Lookups'!$AP$4:$AP$112</xm:f>
          </x14:formula1>
          <xm:sqref>AE8:AE9</xm:sqref>
        </x14:dataValidation>
        <x14:dataValidation type="list" allowBlank="1" showInputMessage="1" showErrorMessage="1" xr:uid="{A7F5BEA3-5B26-4421-9324-CDDC7DBB381E}">
          <x14:formula1>
            <xm:f>'Essence DV Lookups'!$AJ$3:$AJ$23</xm:f>
          </x14:formula1>
          <xm:sqref>AB8:AB9</xm:sqref>
        </x14:dataValidation>
        <x14:dataValidation type="list" allowBlank="1" showInputMessage="1" showErrorMessage="1" xr:uid="{E4319D36-0424-405F-90CC-F9796F548D25}">
          <x14:formula1>
            <xm:f>'Essence DV Lookups'!$AN$4:$AN$18</xm:f>
          </x14:formula1>
          <xm:sqref>AD8:AD9</xm:sqref>
        </x14:dataValidation>
        <x14:dataValidation type="list" allowBlank="1" showInputMessage="1" showErrorMessage="1" xr:uid="{16B9C274-1677-4DA5-BA3E-99BE7E64C7A6}">
          <x14:formula1>
            <xm:f>'Essence DV Lookups'!$AL$4:$AL$12</xm:f>
          </x14:formula1>
          <xm:sqref>AC8:AC9</xm:sqref>
        </x14:dataValidation>
        <x14:dataValidation type="list" allowBlank="1" showInputMessage="1" showErrorMessage="1" xr:uid="{967D4540-76B0-4F7A-B913-C0180D8FE40A}">
          <x14:formula1>
            <xm:f>'Data Validations'!$R$3:$R$222</xm:f>
          </x14:formula1>
          <xm:sqref>P8:Q9</xm:sqref>
        </x14:dataValidation>
        <x14:dataValidation type="list" allowBlank="1" showInputMessage="1" showErrorMessage="1" xr:uid="{EDEF6E86-2624-4958-A1E7-C3315FFA0C50}">
          <x14:formula1>
            <xm:f>'Data Validations'!$R$2:$R$227</xm:f>
          </x14:formula1>
          <xm:sqref>L8:L9</xm:sqref>
        </x14:dataValidation>
        <x14:dataValidation type="list" allowBlank="1" showInputMessage="1" showErrorMessage="1" xr:uid="{2646793E-9D2C-477B-996A-FA256D90066B}">
          <x14:formula1>
            <xm:f>'Essence DV Lookups'!$AB$3:$AB$6</xm:f>
          </x14:formula1>
          <xm:sqref>X8:X9</xm:sqref>
        </x14:dataValidation>
        <x14:dataValidation type="list" allowBlank="1" showInputMessage="1" showErrorMessage="1" xr:uid="{13C33F82-2978-4729-9ABE-7C33928ADB2A}">
          <x14:formula1>
            <xm:f>'Essence DV Lookups'!$Y$3:$Y$435</xm:f>
          </x14:formula1>
          <xm:sqref>V8:V9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CB57-733C-4705-9FBF-642BE17632C3}">
  <dimension ref="B3:D14"/>
  <sheetViews>
    <sheetView showGridLines="0" workbookViewId="0">
      <selection activeCell="C6" sqref="C6"/>
    </sheetView>
  </sheetViews>
  <sheetFormatPr defaultColWidth="9.1796875" defaultRowHeight="17" x14ac:dyDescent="0.7"/>
  <cols>
    <col min="1" max="1" width="9.1796875" style="38"/>
    <col min="2" max="2" width="34.453125" style="38" bestFit="1" customWidth="1"/>
    <col min="3" max="3" width="61" style="38" bestFit="1" customWidth="1"/>
    <col min="4" max="4" width="123.1796875" style="38" customWidth="1"/>
    <col min="5" max="16384" width="9.1796875" style="38"/>
  </cols>
  <sheetData>
    <row r="3" spans="2:4" x14ac:dyDescent="0.7">
      <c r="B3" s="55" t="s">
        <v>75</v>
      </c>
      <c r="C3" s="55" t="s">
        <v>76</v>
      </c>
      <c r="D3" s="55" t="s">
        <v>77</v>
      </c>
    </row>
    <row r="4" spans="2:4" ht="34" x14ac:dyDescent="0.7">
      <c r="B4" s="56" t="s">
        <v>78</v>
      </c>
      <c r="C4" s="62" t="s">
        <v>79</v>
      </c>
      <c r="D4" s="63" t="s">
        <v>80</v>
      </c>
    </row>
    <row r="5" spans="2:4" ht="85" x14ac:dyDescent="0.7">
      <c r="B5" s="56" t="s">
        <v>81</v>
      </c>
      <c r="C5" s="63" t="s">
        <v>82</v>
      </c>
      <c r="D5" s="63" t="s">
        <v>83</v>
      </c>
    </row>
    <row r="6" spans="2:4" x14ac:dyDescent="0.7">
      <c r="B6" s="56" t="s">
        <v>84</v>
      </c>
      <c r="C6" s="63" t="s">
        <v>85</v>
      </c>
      <c r="D6" s="63" t="s">
        <v>86</v>
      </c>
    </row>
    <row r="7" spans="2:4" ht="187" x14ac:dyDescent="0.7">
      <c r="B7" s="56" t="s">
        <v>87</v>
      </c>
      <c r="C7" s="63" t="s">
        <v>88</v>
      </c>
      <c r="D7" s="63" t="s">
        <v>89</v>
      </c>
    </row>
    <row r="8" spans="2:4" ht="34" x14ac:dyDescent="0.7">
      <c r="B8" s="56" t="s">
        <v>26</v>
      </c>
      <c r="C8" s="63" t="s">
        <v>90</v>
      </c>
      <c r="D8" s="63" t="s">
        <v>91</v>
      </c>
    </row>
    <row r="9" spans="2:4" ht="85" x14ac:dyDescent="0.7">
      <c r="B9" s="56" t="s">
        <v>92</v>
      </c>
      <c r="C9" s="63" t="s">
        <v>93</v>
      </c>
      <c r="D9" s="63" t="s">
        <v>94</v>
      </c>
    </row>
    <row r="10" spans="2:4" x14ac:dyDescent="0.7">
      <c r="B10" s="56" t="s">
        <v>95</v>
      </c>
      <c r="C10" s="63" t="s">
        <v>96</v>
      </c>
      <c r="D10" s="63" t="s">
        <v>97</v>
      </c>
    </row>
    <row r="11" spans="2:4" x14ac:dyDescent="0.7">
      <c r="B11" s="56" t="s">
        <v>98</v>
      </c>
      <c r="C11" s="63" t="s">
        <v>96</v>
      </c>
      <c r="D11" s="63" t="s">
        <v>99</v>
      </c>
    </row>
    <row r="12" spans="2:4" x14ac:dyDescent="0.7">
      <c r="B12" s="56" t="s">
        <v>100</v>
      </c>
      <c r="C12" s="63" t="s">
        <v>101</v>
      </c>
      <c r="D12" s="63" t="s">
        <v>102</v>
      </c>
    </row>
    <row r="13" spans="2:4" x14ac:dyDescent="0.7">
      <c r="B13" s="56" t="s">
        <v>103</v>
      </c>
      <c r="C13" s="63" t="s">
        <v>96</v>
      </c>
      <c r="D13" s="63" t="s">
        <v>104</v>
      </c>
    </row>
    <row r="14" spans="2:4" ht="102" x14ac:dyDescent="0.7">
      <c r="B14" s="56" t="s">
        <v>105</v>
      </c>
      <c r="C14" s="63" t="s">
        <v>106</v>
      </c>
      <c r="D14" s="63" t="s">
        <v>107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7675-A565-4F00-9583-FEC7996ECA87}">
  <dimension ref="A1:AR547"/>
  <sheetViews>
    <sheetView workbookViewId="0">
      <selection activeCell="U27" sqref="U27"/>
    </sheetView>
  </sheetViews>
  <sheetFormatPr defaultRowHeight="14.5" x14ac:dyDescent="0.35"/>
  <cols>
    <col min="12" max="12" width="24.1796875" bestFit="1" customWidth="1"/>
    <col min="13" max="13" width="13.7265625" bestFit="1" customWidth="1"/>
    <col min="16" max="16" width="28.26953125" bestFit="1" customWidth="1"/>
    <col min="21" max="21" width="22.26953125" bestFit="1" customWidth="1"/>
    <col min="22" max="22" width="18.54296875" bestFit="1" customWidth="1"/>
    <col min="25" max="25" width="86.7265625" bestFit="1" customWidth="1"/>
    <col min="26" max="26" width="20.81640625" customWidth="1"/>
    <col min="28" max="28" width="9.7265625" bestFit="1" customWidth="1"/>
    <col min="30" max="30" width="12" bestFit="1" customWidth="1"/>
    <col min="36" max="36" width="18" bestFit="1" customWidth="1"/>
    <col min="38" max="38" width="16.81640625" customWidth="1"/>
    <col min="40" max="40" width="16.453125" customWidth="1"/>
    <col min="42" max="42" width="11.54296875" bestFit="1" customWidth="1"/>
  </cols>
  <sheetData>
    <row r="1" spans="1:44" x14ac:dyDescent="0.35">
      <c r="A1" t="s">
        <v>12</v>
      </c>
      <c r="E1" t="s">
        <v>108</v>
      </c>
      <c r="H1" t="s">
        <v>0</v>
      </c>
      <c r="L1" t="s">
        <v>109</v>
      </c>
      <c r="P1" t="s">
        <v>110</v>
      </c>
      <c r="U1" t="s">
        <v>111</v>
      </c>
      <c r="Y1" t="s">
        <v>26</v>
      </c>
      <c r="AB1" t="s">
        <v>112</v>
      </c>
      <c r="AD1" t="s">
        <v>29</v>
      </c>
      <c r="AF1" t="s">
        <v>113</v>
      </c>
      <c r="AJ1" t="s">
        <v>32</v>
      </c>
      <c r="AL1" t="s">
        <v>33</v>
      </c>
      <c r="AN1" t="s">
        <v>34</v>
      </c>
      <c r="AP1" t="s">
        <v>35</v>
      </c>
      <c r="AR1" t="s">
        <v>114</v>
      </c>
    </row>
    <row r="2" spans="1:44" ht="18" x14ac:dyDescent="0.7">
      <c r="Y2" t="s">
        <v>26</v>
      </c>
      <c r="Z2" t="s">
        <v>27</v>
      </c>
      <c r="AB2" s="42" t="s">
        <v>115</v>
      </c>
      <c r="AD2" s="42" t="s">
        <v>29</v>
      </c>
      <c r="AF2" s="42" t="s">
        <v>30</v>
      </c>
      <c r="AG2" s="42" t="s">
        <v>31</v>
      </c>
      <c r="AJ2" s="42" t="s">
        <v>116</v>
      </c>
    </row>
    <row r="3" spans="1:44" ht="18" x14ac:dyDescent="0.7">
      <c r="A3" s="46" t="s">
        <v>117</v>
      </c>
      <c r="B3" s="46" t="s">
        <v>118</v>
      </c>
      <c r="E3" s="46" t="s">
        <v>119</v>
      </c>
      <c r="H3" s="42" t="s">
        <v>120</v>
      </c>
      <c r="I3" s="42" t="s">
        <v>15</v>
      </c>
      <c r="L3" s="42" t="s">
        <v>18</v>
      </c>
      <c r="M3" s="42" t="s">
        <v>19</v>
      </c>
      <c r="P3" s="46" t="s">
        <v>121</v>
      </c>
      <c r="Q3" s="46" t="s">
        <v>122</v>
      </c>
      <c r="U3" s="42" t="s">
        <v>24</v>
      </c>
      <c r="V3" s="42" t="s">
        <v>25</v>
      </c>
      <c r="Y3" t="s">
        <v>61</v>
      </c>
      <c r="Z3" t="s">
        <v>61</v>
      </c>
      <c r="AB3" s="47" t="s">
        <v>123</v>
      </c>
      <c r="AD3" s="38" t="s">
        <v>56</v>
      </c>
      <c r="AF3" s="47" t="s">
        <v>57</v>
      </c>
      <c r="AG3" s="47" t="s">
        <v>124</v>
      </c>
      <c r="AJ3" s="47" t="s">
        <v>58</v>
      </c>
      <c r="AL3" s="42" t="s">
        <v>125</v>
      </c>
      <c r="AN3" s="42" t="s">
        <v>126</v>
      </c>
      <c r="AP3" s="46" t="s">
        <v>35</v>
      </c>
      <c r="AR3" s="42" t="s">
        <v>114</v>
      </c>
    </row>
    <row r="4" spans="1:44" ht="18" x14ac:dyDescent="0.7">
      <c r="A4" t="s">
        <v>127</v>
      </c>
      <c r="B4" t="s">
        <v>128</v>
      </c>
      <c r="E4" t="s">
        <v>129</v>
      </c>
      <c r="H4" s="47" t="s">
        <v>130</v>
      </c>
      <c r="I4" t="s">
        <v>2</v>
      </c>
      <c r="L4" s="47" t="s">
        <v>50</v>
      </c>
      <c r="M4" s="47" t="s">
        <v>50</v>
      </c>
      <c r="P4" s="38" t="s">
        <v>131</v>
      </c>
      <c r="Q4" s="38" t="s">
        <v>132</v>
      </c>
      <c r="U4" s="47" t="s">
        <v>133</v>
      </c>
      <c r="V4" s="47" t="s">
        <v>133</v>
      </c>
      <c r="Y4" t="s">
        <v>134</v>
      </c>
      <c r="Z4" t="s">
        <v>134</v>
      </c>
      <c r="AB4" s="47" t="s">
        <v>55</v>
      </c>
      <c r="AD4" s="38" t="s">
        <v>73</v>
      </c>
      <c r="AF4" s="38" t="s">
        <v>135</v>
      </c>
      <c r="AG4" s="38" t="s">
        <v>136</v>
      </c>
      <c r="AJ4" s="47" t="s">
        <v>137</v>
      </c>
      <c r="AL4" s="47" t="s">
        <v>138</v>
      </c>
      <c r="AN4" s="47" t="s">
        <v>139</v>
      </c>
      <c r="AP4" s="49" t="s">
        <v>61</v>
      </c>
      <c r="AR4" s="48" t="s">
        <v>61</v>
      </c>
    </row>
    <row r="5" spans="1:44" ht="18" x14ac:dyDescent="0.7">
      <c r="A5" t="s">
        <v>140</v>
      </c>
      <c r="B5" t="s">
        <v>141</v>
      </c>
      <c r="E5" t="s">
        <v>142</v>
      </c>
      <c r="H5" s="47" t="s">
        <v>68</v>
      </c>
      <c r="I5" t="s">
        <v>143</v>
      </c>
      <c r="L5" s="47" t="s">
        <v>144</v>
      </c>
      <c r="M5" s="47" t="s">
        <v>144</v>
      </c>
      <c r="P5" s="38" t="s">
        <v>52</v>
      </c>
      <c r="Q5" s="38" t="s">
        <v>145</v>
      </c>
      <c r="U5" s="47" t="s">
        <v>53</v>
      </c>
      <c r="V5" s="47" t="s">
        <v>53</v>
      </c>
      <c r="Y5" t="s">
        <v>146</v>
      </c>
      <c r="Z5" t="s">
        <v>146</v>
      </c>
      <c r="AB5" s="47" t="s">
        <v>147</v>
      </c>
      <c r="AD5" s="38" t="s">
        <v>148</v>
      </c>
      <c r="AF5" s="47" t="s">
        <v>73</v>
      </c>
      <c r="AG5" s="47" t="s">
        <v>149</v>
      </c>
      <c r="AJ5" s="47" t="s">
        <v>150</v>
      </c>
      <c r="AL5" s="47" t="s">
        <v>151</v>
      </c>
      <c r="AN5" s="47" t="s">
        <v>152</v>
      </c>
      <c r="AP5" s="48" t="s">
        <v>153</v>
      </c>
      <c r="AR5" s="49" t="s">
        <v>62</v>
      </c>
    </row>
    <row r="6" spans="1:44" ht="18" x14ac:dyDescent="0.7">
      <c r="A6" t="s">
        <v>154</v>
      </c>
      <c r="B6" t="s">
        <v>155</v>
      </c>
      <c r="E6" t="s">
        <v>156</v>
      </c>
      <c r="H6" s="47" t="s">
        <v>157</v>
      </c>
      <c r="I6" t="s">
        <v>158</v>
      </c>
      <c r="L6" s="47" t="s">
        <v>159</v>
      </c>
      <c r="M6" s="47" t="s">
        <v>160</v>
      </c>
      <c r="P6" s="38" t="s">
        <v>161</v>
      </c>
      <c r="Q6" s="38" t="s">
        <v>162</v>
      </c>
      <c r="U6" s="47" t="s">
        <v>163</v>
      </c>
      <c r="V6" s="47" t="s">
        <v>163</v>
      </c>
      <c r="Y6" t="s">
        <v>164</v>
      </c>
      <c r="Z6" t="s">
        <v>164</v>
      </c>
      <c r="AB6" s="47" t="s">
        <v>48</v>
      </c>
      <c r="AD6" s="38" t="s">
        <v>165</v>
      </c>
      <c r="AF6" s="47" t="s">
        <v>148</v>
      </c>
      <c r="AG6" s="47" t="s">
        <v>166</v>
      </c>
      <c r="AJ6" s="47" t="s">
        <v>167</v>
      </c>
      <c r="AL6" s="47" t="s">
        <v>168</v>
      </c>
      <c r="AN6" s="47" t="s">
        <v>60</v>
      </c>
      <c r="AP6" s="48" t="s">
        <v>169</v>
      </c>
      <c r="AR6" s="49" t="s">
        <v>170</v>
      </c>
    </row>
    <row r="7" spans="1:44" ht="18" x14ac:dyDescent="0.7">
      <c r="A7" t="s">
        <v>154</v>
      </c>
      <c r="B7" t="s">
        <v>171</v>
      </c>
      <c r="E7" t="s">
        <v>172</v>
      </c>
      <c r="H7" s="47" t="s">
        <v>49</v>
      </c>
      <c r="I7" t="s">
        <v>173</v>
      </c>
      <c r="L7" s="47" t="s">
        <v>174</v>
      </c>
      <c r="M7" s="47" t="s">
        <v>175</v>
      </c>
      <c r="P7" s="38" t="s">
        <v>176</v>
      </c>
      <c r="Q7" s="38" t="s">
        <v>177</v>
      </c>
      <c r="U7" s="47" t="s">
        <v>178</v>
      </c>
      <c r="V7" s="47" t="s">
        <v>179</v>
      </c>
      <c r="Y7" t="s">
        <v>180</v>
      </c>
      <c r="Z7" t="s">
        <v>180</v>
      </c>
      <c r="AD7" s="38" t="s">
        <v>181</v>
      </c>
      <c r="AF7" s="47" t="s">
        <v>182</v>
      </c>
      <c r="AG7" s="47" t="s">
        <v>183</v>
      </c>
      <c r="AJ7" s="47" t="s">
        <v>184</v>
      </c>
      <c r="AL7" s="47" t="s">
        <v>185</v>
      </c>
      <c r="AN7" s="47" t="s">
        <v>186</v>
      </c>
      <c r="AP7" s="50" t="s">
        <v>187</v>
      </c>
      <c r="AR7" s="49" t="s">
        <v>188</v>
      </c>
    </row>
    <row r="8" spans="1:44" ht="18" x14ac:dyDescent="0.7">
      <c r="A8" t="s">
        <v>189</v>
      </c>
      <c r="B8" t="s">
        <v>190</v>
      </c>
      <c r="E8" t="s">
        <v>48</v>
      </c>
      <c r="H8" s="47" t="s">
        <v>191</v>
      </c>
      <c r="I8" t="s">
        <v>192</v>
      </c>
      <c r="L8" s="47" t="s">
        <v>193</v>
      </c>
      <c r="M8" s="47" t="s">
        <v>194</v>
      </c>
      <c r="P8" s="38" t="s">
        <v>195</v>
      </c>
      <c r="Q8" s="38" t="s">
        <v>196</v>
      </c>
      <c r="U8" s="47" t="s">
        <v>197</v>
      </c>
      <c r="V8" s="47" t="s">
        <v>198</v>
      </c>
      <c r="Y8" t="s">
        <v>199</v>
      </c>
      <c r="Z8" t="s">
        <v>199</v>
      </c>
      <c r="AD8" s="38" t="s">
        <v>200</v>
      </c>
      <c r="AF8" s="47" t="s">
        <v>201</v>
      </c>
      <c r="AG8" s="47" t="s">
        <v>202</v>
      </c>
      <c r="AJ8" s="47" t="s">
        <v>203</v>
      </c>
      <c r="AL8" s="47" t="s">
        <v>59</v>
      </c>
      <c r="AN8" s="47" t="s">
        <v>204</v>
      </c>
      <c r="AP8" s="48" t="s">
        <v>205</v>
      </c>
      <c r="AR8" s="49" t="s">
        <v>206</v>
      </c>
    </row>
    <row r="9" spans="1:44" ht="18" x14ac:dyDescent="0.7">
      <c r="A9" t="s">
        <v>207</v>
      </c>
      <c r="B9" t="s">
        <v>208</v>
      </c>
      <c r="H9" s="47" t="s">
        <v>209</v>
      </c>
      <c r="I9" t="s">
        <v>210</v>
      </c>
      <c r="L9" s="47" t="s">
        <v>70</v>
      </c>
      <c r="M9" s="47" t="s">
        <v>211</v>
      </c>
      <c r="P9" s="38" t="s">
        <v>212</v>
      </c>
      <c r="Q9" s="38" t="s">
        <v>213</v>
      </c>
      <c r="U9" s="47" t="s">
        <v>214</v>
      </c>
      <c r="V9" s="47" t="s">
        <v>214</v>
      </c>
      <c r="Y9" t="s">
        <v>215</v>
      </c>
      <c r="Z9" t="s">
        <v>215</v>
      </c>
      <c r="AD9" s="38" t="s">
        <v>216</v>
      </c>
      <c r="AF9" s="47" t="s">
        <v>217</v>
      </c>
      <c r="AG9" s="47" t="s">
        <v>218</v>
      </c>
      <c r="AJ9" s="47" t="s">
        <v>219</v>
      </c>
      <c r="AL9" s="47" t="s">
        <v>220</v>
      </c>
      <c r="AN9" s="47" t="s">
        <v>221</v>
      </c>
      <c r="AP9" s="49" t="s">
        <v>222</v>
      </c>
      <c r="AR9" s="49" t="s">
        <v>223</v>
      </c>
    </row>
    <row r="10" spans="1:44" ht="18" x14ac:dyDescent="0.7">
      <c r="A10" t="s">
        <v>224</v>
      </c>
      <c r="B10" t="s">
        <v>225</v>
      </c>
      <c r="H10" s="47" t="s">
        <v>226</v>
      </c>
      <c r="I10" t="s">
        <v>227</v>
      </c>
      <c r="P10" s="38" t="s">
        <v>228</v>
      </c>
      <c r="Q10" s="38" t="s">
        <v>229</v>
      </c>
      <c r="U10" s="47" t="s">
        <v>230</v>
      </c>
      <c r="V10" s="47" t="s">
        <v>231</v>
      </c>
      <c r="Y10" t="s">
        <v>232</v>
      </c>
      <c r="Z10" t="s">
        <v>232</v>
      </c>
      <c r="AF10" s="47" t="s">
        <v>233</v>
      </c>
      <c r="AG10" s="47" t="s">
        <v>234</v>
      </c>
      <c r="AJ10" s="47" t="s">
        <v>235</v>
      </c>
      <c r="AL10" s="47" t="s">
        <v>236</v>
      </c>
      <c r="AN10" s="47" t="s">
        <v>237</v>
      </c>
      <c r="AP10" s="49" t="s">
        <v>238</v>
      </c>
      <c r="AR10" s="49" t="s">
        <v>239</v>
      </c>
    </row>
    <row r="11" spans="1:44" ht="18" x14ac:dyDescent="0.7">
      <c r="A11" t="s">
        <v>240</v>
      </c>
      <c r="B11" t="s">
        <v>241</v>
      </c>
      <c r="H11" s="47" t="s">
        <v>242</v>
      </c>
      <c r="I11" t="s">
        <v>243</v>
      </c>
      <c r="P11" s="38" t="s">
        <v>244</v>
      </c>
      <c r="Q11" s="38" t="s">
        <v>245</v>
      </c>
      <c r="U11" s="47" t="s">
        <v>246</v>
      </c>
      <c r="V11" s="47" t="s">
        <v>246</v>
      </c>
      <c r="Y11" t="s">
        <v>247</v>
      </c>
      <c r="Z11" t="s">
        <v>247</v>
      </c>
      <c r="AF11" s="47" t="s">
        <v>181</v>
      </c>
      <c r="AG11" s="47" t="s">
        <v>248</v>
      </c>
      <c r="AJ11" s="47" t="s">
        <v>249</v>
      </c>
      <c r="AL11" s="47" t="s">
        <v>250</v>
      </c>
      <c r="AN11" s="47" t="s">
        <v>139</v>
      </c>
      <c r="AP11" s="49" t="s">
        <v>251</v>
      </c>
      <c r="AR11" s="49" t="s">
        <v>252</v>
      </c>
    </row>
    <row r="12" spans="1:44" ht="18" x14ac:dyDescent="0.7">
      <c r="A12" t="s">
        <v>253</v>
      </c>
      <c r="B12" t="s">
        <v>254</v>
      </c>
      <c r="H12" s="47" t="s">
        <v>255</v>
      </c>
      <c r="I12" t="s">
        <v>256</v>
      </c>
      <c r="P12" s="38" t="s">
        <v>257</v>
      </c>
      <c r="Q12" s="38" t="s">
        <v>258</v>
      </c>
      <c r="U12" s="47" t="s">
        <v>259</v>
      </c>
      <c r="V12" s="47" t="s">
        <v>259</v>
      </c>
      <c r="Y12" t="s">
        <v>260</v>
      </c>
      <c r="Z12" t="s">
        <v>260</v>
      </c>
      <c r="AF12" s="47" t="s">
        <v>261</v>
      </c>
      <c r="AG12" s="47" t="s">
        <v>262</v>
      </c>
      <c r="AJ12" s="47" t="s">
        <v>263</v>
      </c>
      <c r="AL12" s="47" t="s">
        <v>74</v>
      </c>
      <c r="AN12" s="47" t="s">
        <v>264</v>
      </c>
      <c r="AP12" s="49" t="s">
        <v>265</v>
      </c>
      <c r="AR12" s="49" t="s">
        <v>266</v>
      </c>
    </row>
    <row r="13" spans="1:44" ht="18" x14ac:dyDescent="0.7">
      <c r="A13" t="s">
        <v>267</v>
      </c>
      <c r="B13" t="s">
        <v>268</v>
      </c>
      <c r="H13" s="47" t="s">
        <v>269</v>
      </c>
      <c r="I13" t="s">
        <v>270</v>
      </c>
      <c r="P13" s="38" t="s">
        <v>271</v>
      </c>
      <c r="Q13" s="38" t="s">
        <v>272</v>
      </c>
      <c r="U13" s="47" t="s">
        <v>273</v>
      </c>
      <c r="V13" s="47" t="s">
        <v>274</v>
      </c>
      <c r="Y13" t="s">
        <v>275</v>
      </c>
      <c r="Z13" t="s">
        <v>275</v>
      </c>
      <c r="AF13" s="47" t="s">
        <v>276</v>
      </c>
      <c r="AG13" s="47" t="s">
        <v>277</v>
      </c>
      <c r="AJ13" s="47" t="s">
        <v>74</v>
      </c>
      <c r="AN13" s="47" t="s">
        <v>278</v>
      </c>
      <c r="AP13" s="49" t="s">
        <v>279</v>
      </c>
      <c r="AR13" s="49" t="s">
        <v>280</v>
      </c>
    </row>
    <row r="14" spans="1:44" ht="18" x14ac:dyDescent="0.7">
      <c r="A14" t="s">
        <v>281</v>
      </c>
      <c r="B14" t="s">
        <v>282</v>
      </c>
      <c r="H14" s="47" t="s">
        <v>283</v>
      </c>
      <c r="I14" t="s">
        <v>284</v>
      </c>
      <c r="P14" s="38"/>
      <c r="Q14" s="38"/>
      <c r="U14" s="38" t="s">
        <v>285</v>
      </c>
      <c r="V14" s="47" t="s">
        <v>286</v>
      </c>
      <c r="Y14" t="s">
        <v>287</v>
      </c>
      <c r="Z14" t="s">
        <v>287</v>
      </c>
      <c r="AJ14" s="47" t="s">
        <v>288</v>
      </c>
      <c r="AN14" s="47" t="s">
        <v>289</v>
      </c>
      <c r="AP14" s="50" t="s">
        <v>290</v>
      </c>
      <c r="AR14" s="49" t="s">
        <v>61</v>
      </c>
    </row>
    <row r="15" spans="1:44" ht="18" x14ac:dyDescent="0.7">
      <c r="A15" t="s">
        <v>291</v>
      </c>
      <c r="B15" t="s">
        <v>292</v>
      </c>
      <c r="H15" s="47" t="s">
        <v>293</v>
      </c>
      <c r="I15" t="s">
        <v>294</v>
      </c>
      <c r="P15" s="38"/>
      <c r="Q15" s="38"/>
      <c r="U15" s="38" t="s">
        <v>295</v>
      </c>
      <c r="V15" s="47" t="s">
        <v>296</v>
      </c>
      <c r="Y15" t="s">
        <v>297</v>
      </c>
      <c r="Z15" t="s">
        <v>297</v>
      </c>
      <c r="AJ15" s="47" t="s">
        <v>298</v>
      </c>
      <c r="AN15" s="47" t="s">
        <v>299</v>
      </c>
      <c r="AP15" s="49" t="s">
        <v>300</v>
      </c>
      <c r="AR15" s="49" t="s">
        <v>301</v>
      </c>
    </row>
    <row r="16" spans="1:44" ht="18" x14ac:dyDescent="0.7">
      <c r="A16" t="s">
        <v>302</v>
      </c>
      <c r="B16" t="s">
        <v>303</v>
      </c>
      <c r="H16" s="47" t="s">
        <v>304</v>
      </c>
      <c r="I16" t="s">
        <v>305</v>
      </c>
      <c r="U16" s="47" t="s">
        <v>306</v>
      </c>
      <c r="V16" s="47" t="s">
        <v>307</v>
      </c>
      <c r="Y16" t="s">
        <v>308</v>
      </c>
      <c r="Z16" t="s">
        <v>308</v>
      </c>
      <c r="AJ16" s="47" t="s">
        <v>309</v>
      </c>
      <c r="AN16" s="47" t="s">
        <v>310</v>
      </c>
      <c r="AP16" s="48" t="s">
        <v>311</v>
      </c>
      <c r="AR16" s="49" t="s">
        <v>312</v>
      </c>
    </row>
    <row r="17" spans="1:44" ht="18" x14ac:dyDescent="0.7">
      <c r="A17" t="s">
        <v>313</v>
      </c>
      <c r="B17" t="s">
        <v>314</v>
      </c>
      <c r="H17" s="47" t="s">
        <v>315</v>
      </c>
      <c r="I17" t="s">
        <v>316</v>
      </c>
      <c r="U17" s="47" t="s">
        <v>317</v>
      </c>
      <c r="V17" s="47" t="s">
        <v>318</v>
      </c>
      <c r="Y17" t="s">
        <v>319</v>
      </c>
      <c r="Z17" t="s">
        <v>319</v>
      </c>
      <c r="AJ17" s="47" t="s">
        <v>320</v>
      </c>
      <c r="AN17" s="47" t="s">
        <v>321</v>
      </c>
      <c r="AP17" s="50" t="s">
        <v>322</v>
      </c>
      <c r="AR17" s="49" t="s">
        <v>323</v>
      </c>
    </row>
    <row r="18" spans="1:44" ht="18" x14ac:dyDescent="0.7">
      <c r="A18" t="s">
        <v>324</v>
      </c>
      <c r="B18" t="s">
        <v>325</v>
      </c>
      <c r="H18" s="38" t="s">
        <v>70</v>
      </c>
      <c r="I18" t="s">
        <v>326</v>
      </c>
      <c r="U18" s="47" t="s">
        <v>327</v>
      </c>
      <c r="V18" s="47" t="s">
        <v>328</v>
      </c>
      <c r="Y18" t="s">
        <v>329</v>
      </c>
      <c r="Z18" t="s">
        <v>329</v>
      </c>
      <c r="AJ18" s="47" t="s">
        <v>330</v>
      </c>
      <c r="AN18" s="47" t="s">
        <v>331</v>
      </c>
      <c r="AP18" s="50" t="s">
        <v>332</v>
      </c>
      <c r="AR18" s="49" t="s">
        <v>333</v>
      </c>
    </row>
    <row r="19" spans="1:44" ht="18" x14ac:dyDescent="0.7">
      <c r="A19" t="s">
        <v>334</v>
      </c>
      <c r="B19" t="s">
        <v>335</v>
      </c>
      <c r="U19" s="38" t="s">
        <v>336</v>
      </c>
      <c r="V19" s="47" t="s">
        <v>337</v>
      </c>
      <c r="Y19" t="s">
        <v>338</v>
      </c>
      <c r="Z19" t="s">
        <v>338</v>
      </c>
      <c r="AJ19" s="47" t="s">
        <v>339</v>
      </c>
      <c r="AP19" s="48" t="s">
        <v>340</v>
      </c>
      <c r="AR19" s="49" t="s">
        <v>341</v>
      </c>
    </row>
    <row r="20" spans="1:44" ht="19.5" customHeight="1" x14ac:dyDescent="0.7">
      <c r="A20" t="s">
        <v>342</v>
      </c>
      <c r="B20" t="s">
        <v>343</v>
      </c>
      <c r="U20" s="47"/>
      <c r="V20" s="47"/>
      <c r="Y20" t="s">
        <v>344</v>
      </c>
      <c r="Z20" t="s">
        <v>344</v>
      </c>
      <c r="AJ20" s="47" t="s">
        <v>345</v>
      </c>
      <c r="AP20" s="48" t="s">
        <v>346</v>
      </c>
      <c r="AR20" s="49" t="s">
        <v>222</v>
      </c>
    </row>
    <row r="21" spans="1:44" ht="19.5" customHeight="1" x14ac:dyDescent="0.7">
      <c r="A21" t="s">
        <v>347</v>
      </c>
      <c r="B21" t="s">
        <v>348</v>
      </c>
      <c r="U21" s="47"/>
      <c r="V21" s="47"/>
      <c r="Y21" t="s">
        <v>349</v>
      </c>
      <c r="Z21" t="s">
        <v>349</v>
      </c>
      <c r="AJ21" s="47" t="s">
        <v>350</v>
      </c>
      <c r="AP21" s="50" t="s">
        <v>351</v>
      </c>
      <c r="AR21" s="49" t="s">
        <v>251</v>
      </c>
    </row>
    <row r="22" spans="1:44" ht="19.5" customHeight="1" x14ac:dyDescent="0.7">
      <c r="A22" t="s">
        <v>352</v>
      </c>
      <c r="B22" t="s">
        <v>353</v>
      </c>
      <c r="H22" s="47"/>
      <c r="Y22" t="s">
        <v>354</v>
      </c>
      <c r="Z22" t="s">
        <v>354</v>
      </c>
      <c r="AJ22" s="47" t="s">
        <v>355</v>
      </c>
      <c r="AP22" s="49" t="s">
        <v>301</v>
      </c>
      <c r="AR22" s="49" t="s">
        <v>279</v>
      </c>
    </row>
    <row r="23" spans="1:44" ht="19.5" customHeight="1" x14ac:dyDescent="0.7">
      <c r="A23" t="s">
        <v>356</v>
      </c>
      <c r="B23" t="s">
        <v>357</v>
      </c>
      <c r="H23" s="47"/>
      <c r="Y23" t="s">
        <v>358</v>
      </c>
      <c r="Z23" t="s">
        <v>358</v>
      </c>
      <c r="AJ23" s="47" t="s">
        <v>359</v>
      </c>
      <c r="AP23" s="49" t="s">
        <v>360</v>
      </c>
      <c r="AR23" s="49" t="s">
        <v>238</v>
      </c>
    </row>
    <row r="24" spans="1:44" ht="19.5" customHeight="1" x14ac:dyDescent="0.7">
      <c r="A24" t="s">
        <v>361</v>
      </c>
      <c r="B24" t="s">
        <v>362</v>
      </c>
      <c r="H24" s="47"/>
      <c r="Y24" t="s">
        <v>363</v>
      </c>
      <c r="Z24" t="s">
        <v>363</v>
      </c>
      <c r="AP24" s="48" t="s">
        <v>364</v>
      </c>
      <c r="AR24" s="49" t="s">
        <v>265</v>
      </c>
    </row>
    <row r="25" spans="1:44" ht="19.5" customHeight="1" x14ac:dyDescent="0.7">
      <c r="A25" t="s">
        <v>47</v>
      </c>
      <c r="B25" t="s">
        <v>365</v>
      </c>
      <c r="H25" s="47"/>
      <c r="Y25" t="s">
        <v>366</v>
      </c>
      <c r="Z25" t="s">
        <v>366</v>
      </c>
      <c r="AP25" s="49" t="s">
        <v>367</v>
      </c>
      <c r="AR25" s="49" t="s">
        <v>300</v>
      </c>
    </row>
    <row r="26" spans="1:44" ht="19.5" customHeight="1" x14ac:dyDescent="0.7">
      <c r="A26" t="s">
        <v>368</v>
      </c>
      <c r="B26" t="s">
        <v>369</v>
      </c>
      <c r="H26" s="47"/>
      <c r="Y26" t="s">
        <v>370</v>
      </c>
      <c r="Z26" t="s">
        <v>370</v>
      </c>
      <c r="AP26" s="48" t="s">
        <v>371</v>
      </c>
      <c r="AR26" s="49" t="s">
        <v>360</v>
      </c>
    </row>
    <row r="27" spans="1:44" ht="19.5" customHeight="1" x14ac:dyDescent="0.7">
      <c r="A27" t="s">
        <v>372</v>
      </c>
      <c r="B27" t="s">
        <v>373</v>
      </c>
      <c r="H27" s="47"/>
      <c r="Y27" t="s">
        <v>374</v>
      </c>
      <c r="Z27" t="s">
        <v>374</v>
      </c>
      <c r="AP27" s="48" t="s">
        <v>375</v>
      </c>
      <c r="AR27" s="49" t="s">
        <v>367</v>
      </c>
    </row>
    <row r="28" spans="1:44" ht="19.5" customHeight="1" x14ac:dyDescent="0.7">
      <c r="A28" t="s">
        <v>376</v>
      </c>
      <c r="B28" t="s">
        <v>377</v>
      </c>
      <c r="H28" s="47"/>
      <c r="Y28" t="s">
        <v>378</v>
      </c>
      <c r="Z28" t="s">
        <v>378</v>
      </c>
      <c r="AP28" s="49" t="s">
        <v>333</v>
      </c>
      <c r="AR28" s="49" t="s">
        <v>379</v>
      </c>
    </row>
    <row r="29" spans="1:44" ht="19.5" customHeight="1" x14ac:dyDescent="0.7">
      <c r="A29" t="s">
        <v>380</v>
      </c>
      <c r="B29" t="s">
        <v>381</v>
      </c>
      <c r="H29" s="47"/>
      <c r="Y29" t="s">
        <v>382</v>
      </c>
      <c r="Z29" t="s">
        <v>382</v>
      </c>
      <c r="AP29" s="48" t="s">
        <v>383</v>
      </c>
      <c r="AR29" s="49" t="s">
        <v>384</v>
      </c>
    </row>
    <row r="30" spans="1:44" ht="19.5" customHeight="1" x14ac:dyDescent="0.7">
      <c r="A30" t="s">
        <v>385</v>
      </c>
      <c r="B30" t="s">
        <v>386</v>
      </c>
      <c r="H30" s="47"/>
      <c r="Y30" t="s">
        <v>387</v>
      </c>
      <c r="Z30" t="s">
        <v>387</v>
      </c>
      <c r="AP30" s="49" t="s">
        <v>379</v>
      </c>
      <c r="AR30" s="49" t="s">
        <v>388</v>
      </c>
    </row>
    <row r="31" spans="1:44" ht="19.5" customHeight="1" x14ac:dyDescent="0.7">
      <c r="A31" t="s">
        <v>389</v>
      </c>
      <c r="B31" t="s">
        <v>390</v>
      </c>
      <c r="H31" s="47"/>
      <c r="Y31" t="s">
        <v>391</v>
      </c>
      <c r="Z31" t="s">
        <v>391</v>
      </c>
      <c r="AP31" s="49" t="s">
        <v>384</v>
      </c>
      <c r="AR31" s="49" t="s">
        <v>392</v>
      </c>
    </row>
    <row r="32" spans="1:44" ht="19.5" customHeight="1" x14ac:dyDescent="0.7">
      <c r="A32" t="s">
        <v>393</v>
      </c>
      <c r="B32" t="s">
        <v>394</v>
      </c>
      <c r="H32" s="47"/>
      <c r="Y32" t="s">
        <v>395</v>
      </c>
      <c r="Z32" t="s">
        <v>395</v>
      </c>
      <c r="AP32" s="49" t="s">
        <v>388</v>
      </c>
      <c r="AR32" s="49" t="s">
        <v>396</v>
      </c>
    </row>
    <row r="33" spans="1:44" ht="19.5" customHeight="1" x14ac:dyDescent="0.7">
      <c r="A33" t="s">
        <v>397</v>
      </c>
      <c r="B33" t="s">
        <v>398</v>
      </c>
      <c r="H33" s="47"/>
      <c r="Y33" t="s">
        <v>399</v>
      </c>
      <c r="Z33" t="s">
        <v>399</v>
      </c>
      <c r="AP33" s="48" t="s">
        <v>400</v>
      </c>
      <c r="AR33" s="49" t="s">
        <v>401</v>
      </c>
    </row>
    <row r="34" spans="1:44" ht="19.5" customHeight="1" x14ac:dyDescent="0.7">
      <c r="A34" t="s">
        <v>402</v>
      </c>
      <c r="B34" t="s">
        <v>403</v>
      </c>
      <c r="H34" s="47"/>
      <c r="Y34" t="s">
        <v>404</v>
      </c>
      <c r="Z34" t="s">
        <v>404</v>
      </c>
      <c r="AP34" s="49" t="s">
        <v>392</v>
      </c>
      <c r="AR34" s="48" t="s">
        <v>405</v>
      </c>
    </row>
    <row r="35" spans="1:44" ht="19.5" customHeight="1" x14ac:dyDescent="0.7">
      <c r="A35" t="s">
        <v>406</v>
      </c>
      <c r="B35" t="s">
        <v>407</v>
      </c>
      <c r="H35" s="47"/>
      <c r="Y35" t="s">
        <v>408</v>
      </c>
      <c r="Z35" t="s">
        <v>408</v>
      </c>
      <c r="AP35" s="48" t="s">
        <v>409</v>
      </c>
      <c r="AR35" s="48" t="s">
        <v>410</v>
      </c>
    </row>
    <row r="36" spans="1:44" ht="19.5" customHeight="1" x14ac:dyDescent="0.7">
      <c r="A36" t="s">
        <v>411</v>
      </c>
      <c r="B36" t="s">
        <v>412</v>
      </c>
      <c r="H36" s="47"/>
      <c r="Y36" t="s">
        <v>413</v>
      </c>
      <c r="Z36" t="s">
        <v>413</v>
      </c>
      <c r="AP36" s="50" t="s">
        <v>414</v>
      </c>
      <c r="AR36" s="48" t="s">
        <v>415</v>
      </c>
    </row>
    <row r="37" spans="1:44" ht="19.5" customHeight="1" x14ac:dyDescent="0.7">
      <c r="A37" t="s">
        <v>416</v>
      </c>
      <c r="B37" t="s">
        <v>417</v>
      </c>
      <c r="H37" s="47"/>
      <c r="Y37" t="s">
        <v>418</v>
      </c>
      <c r="Z37" t="s">
        <v>418</v>
      </c>
      <c r="AP37" s="49" t="s">
        <v>401</v>
      </c>
      <c r="AR37" s="48" t="s">
        <v>419</v>
      </c>
    </row>
    <row r="38" spans="1:44" ht="19.5" customHeight="1" x14ac:dyDescent="0.7">
      <c r="A38" t="s">
        <v>420</v>
      </c>
      <c r="B38" t="s">
        <v>421</v>
      </c>
      <c r="H38" s="47"/>
      <c r="Y38" t="s">
        <v>422</v>
      </c>
      <c r="Z38" t="s">
        <v>422</v>
      </c>
      <c r="AP38" s="48" t="s">
        <v>410</v>
      </c>
      <c r="AR38" s="48" t="s">
        <v>423</v>
      </c>
    </row>
    <row r="39" spans="1:44" ht="19.5" customHeight="1" x14ac:dyDescent="0.7">
      <c r="A39" t="s">
        <v>420</v>
      </c>
      <c r="B39" t="s">
        <v>424</v>
      </c>
      <c r="H39" s="47"/>
      <c r="Y39" t="s">
        <v>425</v>
      </c>
      <c r="Z39" t="s">
        <v>425</v>
      </c>
      <c r="AP39" s="50" t="s">
        <v>426</v>
      </c>
      <c r="AR39" s="48" t="s">
        <v>427</v>
      </c>
    </row>
    <row r="40" spans="1:44" ht="19.5" customHeight="1" x14ac:dyDescent="0.7">
      <c r="A40" t="s">
        <v>428</v>
      </c>
      <c r="B40" t="s">
        <v>429</v>
      </c>
      <c r="H40" s="47"/>
      <c r="Y40" t="s">
        <v>430</v>
      </c>
      <c r="Z40" t="s">
        <v>430</v>
      </c>
      <c r="AP40" s="50" t="s">
        <v>431</v>
      </c>
      <c r="AR40" s="48" t="s">
        <v>432</v>
      </c>
    </row>
    <row r="41" spans="1:44" ht="19.5" customHeight="1" x14ac:dyDescent="0.7">
      <c r="A41" t="s">
        <v>433</v>
      </c>
      <c r="B41" t="s">
        <v>434</v>
      </c>
      <c r="H41" s="47"/>
      <c r="Y41" t="s">
        <v>435</v>
      </c>
      <c r="Z41" t="s">
        <v>435</v>
      </c>
      <c r="AP41" s="49" t="s">
        <v>312</v>
      </c>
      <c r="AR41" s="48" t="s">
        <v>436</v>
      </c>
    </row>
    <row r="42" spans="1:44" ht="19.5" customHeight="1" x14ac:dyDescent="0.7">
      <c r="A42" t="s">
        <v>437</v>
      </c>
      <c r="B42" t="s">
        <v>438</v>
      </c>
      <c r="H42" s="47"/>
      <c r="Y42" t="s">
        <v>439</v>
      </c>
      <c r="Z42" t="s">
        <v>439</v>
      </c>
      <c r="AP42" s="49" t="s">
        <v>396</v>
      </c>
      <c r="AR42" s="48" t="s">
        <v>440</v>
      </c>
    </row>
    <row r="43" spans="1:44" ht="18" x14ac:dyDescent="0.7">
      <c r="A43" t="s">
        <v>441</v>
      </c>
      <c r="B43" t="s">
        <v>442</v>
      </c>
      <c r="H43" s="47"/>
      <c r="Y43" t="s">
        <v>443</v>
      </c>
      <c r="Z43" t="s">
        <v>443</v>
      </c>
      <c r="AP43" s="48" t="s">
        <v>405</v>
      </c>
      <c r="AR43" s="48" t="s">
        <v>444</v>
      </c>
    </row>
    <row r="44" spans="1:44" ht="18" x14ac:dyDescent="0.7">
      <c r="A44" t="s">
        <v>441</v>
      </c>
      <c r="B44" t="s">
        <v>445</v>
      </c>
      <c r="H44" s="47"/>
      <c r="Y44" t="s">
        <v>446</v>
      </c>
      <c r="Z44" t="s">
        <v>446</v>
      </c>
      <c r="AP44" s="50" t="s">
        <v>447</v>
      </c>
      <c r="AR44" s="48" t="s">
        <v>448</v>
      </c>
    </row>
    <row r="45" spans="1:44" ht="18" x14ac:dyDescent="0.7">
      <c r="A45" t="s">
        <v>449</v>
      </c>
      <c r="B45" t="s">
        <v>450</v>
      </c>
      <c r="H45" s="47"/>
      <c r="Y45" t="s">
        <v>451</v>
      </c>
      <c r="Z45" t="s">
        <v>451</v>
      </c>
      <c r="AP45" s="48" t="s">
        <v>419</v>
      </c>
      <c r="AR45" s="48" t="s">
        <v>375</v>
      </c>
    </row>
    <row r="46" spans="1:44" ht="18" x14ac:dyDescent="0.7">
      <c r="A46" t="s">
        <v>452</v>
      </c>
      <c r="B46" t="s">
        <v>453</v>
      </c>
      <c r="H46" s="47"/>
      <c r="Y46" t="s">
        <v>454</v>
      </c>
      <c r="Z46" t="s">
        <v>454</v>
      </c>
      <c r="AP46" s="48" t="s">
        <v>455</v>
      </c>
      <c r="AR46" s="48" t="s">
        <v>153</v>
      </c>
    </row>
    <row r="47" spans="1:44" ht="18" x14ac:dyDescent="0.7">
      <c r="A47" t="s">
        <v>456</v>
      </c>
      <c r="B47" t="s">
        <v>457</v>
      </c>
      <c r="H47" s="47"/>
      <c r="Y47" t="s">
        <v>458</v>
      </c>
      <c r="Z47" t="s">
        <v>458</v>
      </c>
      <c r="AP47" s="48" t="s">
        <v>415</v>
      </c>
      <c r="AR47" s="48" t="s">
        <v>371</v>
      </c>
    </row>
    <row r="48" spans="1:44" ht="18" x14ac:dyDescent="0.7">
      <c r="A48" t="s">
        <v>459</v>
      </c>
      <c r="B48" t="s">
        <v>460</v>
      </c>
      <c r="H48" s="47"/>
      <c r="Y48" t="s">
        <v>461</v>
      </c>
      <c r="Z48" t="s">
        <v>461</v>
      </c>
      <c r="AP48" s="48" t="s">
        <v>423</v>
      </c>
      <c r="AR48" s="48" t="s">
        <v>462</v>
      </c>
    </row>
    <row r="49" spans="1:44" ht="18" x14ac:dyDescent="0.7">
      <c r="A49" t="s">
        <v>463</v>
      </c>
      <c r="B49" t="s">
        <v>464</v>
      </c>
      <c r="H49" s="47"/>
      <c r="Y49" t="s">
        <v>465</v>
      </c>
      <c r="Z49" t="s">
        <v>465</v>
      </c>
      <c r="AP49" s="48" t="s">
        <v>466</v>
      </c>
      <c r="AR49" s="48" t="s">
        <v>383</v>
      </c>
    </row>
    <row r="50" spans="1:44" ht="18" x14ac:dyDescent="0.7">
      <c r="A50" t="s">
        <v>467</v>
      </c>
      <c r="B50" t="s">
        <v>468</v>
      </c>
      <c r="H50" s="47"/>
      <c r="Y50" t="s">
        <v>469</v>
      </c>
      <c r="Z50" t="s">
        <v>469</v>
      </c>
      <c r="AP50" s="50" t="s">
        <v>470</v>
      </c>
      <c r="AR50" s="48" t="s">
        <v>400</v>
      </c>
    </row>
    <row r="51" spans="1:44" ht="18" x14ac:dyDescent="0.7">
      <c r="A51" t="s">
        <v>467</v>
      </c>
      <c r="B51" t="s">
        <v>468</v>
      </c>
      <c r="H51" s="47"/>
      <c r="Y51" t="s">
        <v>471</v>
      </c>
      <c r="Z51" t="s">
        <v>471</v>
      </c>
      <c r="AP51" s="48" t="s">
        <v>472</v>
      </c>
      <c r="AR51" s="48" t="s">
        <v>409</v>
      </c>
    </row>
    <row r="52" spans="1:44" ht="18" x14ac:dyDescent="0.7">
      <c r="A52" t="s">
        <v>473</v>
      </c>
      <c r="B52" t="s">
        <v>474</v>
      </c>
      <c r="H52" s="47"/>
      <c r="Y52" t="s">
        <v>475</v>
      </c>
      <c r="Z52" t="s">
        <v>475</v>
      </c>
      <c r="AP52" s="48" t="s">
        <v>427</v>
      </c>
      <c r="AR52" s="48" t="s">
        <v>455</v>
      </c>
    </row>
    <row r="53" spans="1:44" ht="18" x14ac:dyDescent="0.7">
      <c r="A53" t="s">
        <v>476</v>
      </c>
      <c r="B53" t="s">
        <v>477</v>
      </c>
      <c r="H53" s="47"/>
      <c r="Y53" t="s">
        <v>478</v>
      </c>
      <c r="Z53" t="s">
        <v>478</v>
      </c>
      <c r="AP53" s="50" t="s">
        <v>479</v>
      </c>
      <c r="AR53" s="48" t="s">
        <v>480</v>
      </c>
    </row>
    <row r="54" spans="1:44" ht="18" x14ac:dyDescent="0.7">
      <c r="A54" t="s">
        <v>481</v>
      </c>
      <c r="B54" t="s">
        <v>482</v>
      </c>
      <c r="H54" s="47"/>
      <c r="Y54" t="s">
        <v>483</v>
      </c>
      <c r="Z54" t="s">
        <v>483</v>
      </c>
      <c r="AP54" s="48" t="s">
        <v>432</v>
      </c>
      <c r="AR54" s="48" t="s">
        <v>484</v>
      </c>
    </row>
    <row r="55" spans="1:44" ht="18" x14ac:dyDescent="0.7">
      <c r="A55" t="s">
        <v>485</v>
      </c>
      <c r="B55" t="s">
        <v>486</v>
      </c>
      <c r="H55" s="47"/>
      <c r="Y55" t="s">
        <v>487</v>
      </c>
      <c r="Z55" t="s">
        <v>487</v>
      </c>
      <c r="AP55" s="48" t="s">
        <v>480</v>
      </c>
      <c r="AR55" s="48" t="s">
        <v>488</v>
      </c>
    </row>
    <row r="56" spans="1:44" ht="18" x14ac:dyDescent="0.7">
      <c r="A56" t="s">
        <v>489</v>
      </c>
      <c r="B56" t="s">
        <v>490</v>
      </c>
      <c r="H56" s="47"/>
      <c r="Y56" t="s">
        <v>491</v>
      </c>
      <c r="Z56" t="s">
        <v>491</v>
      </c>
      <c r="AP56" s="48" t="s">
        <v>484</v>
      </c>
      <c r="AR56" s="48" t="s">
        <v>492</v>
      </c>
    </row>
    <row r="57" spans="1:44" ht="18" x14ac:dyDescent="0.7">
      <c r="A57" t="s">
        <v>493</v>
      </c>
      <c r="B57" t="s">
        <v>494</v>
      </c>
      <c r="H57" s="47"/>
      <c r="Y57" t="s">
        <v>495</v>
      </c>
      <c r="Z57" t="s">
        <v>495</v>
      </c>
      <c r="AP57" s="50" t="s">
        <v>496</v>
      </c>
      <c r="AR57" s="48" t="s">
        <v>497</v>
      </c>
    </row>
    <row r="58" spans="1:44" ht="18" x14ac:dyDescent="0.7">
      <c r="A58" t="s">
        <v>498</v>
      </c>
      <c r="B58" t="s">
        <v>499</v>
      </c>
      <c r="H58" s="47"/>
      <c r="Y58" t="s">
        <v>500</v>
      </c>
      <c r="Z58" t="s">
        <v>500</v>
      </c>
      <c r="AP58" s="50" t="s">
        <v>501</v>
      </c>
      <c r="AR58" s="48" t="s">
        <v>502</v>
      </c>
    </row>
    <row r="59" spans="1:44" ht="18" x14ac:dyDescent="0.7">
      <c r="A59" t="s">
        <v>503</v>
      </c>
      <c r="B59" t="s">
        <v>504</v>
      </c>
      <c r="H59" s="47"/>
      <c r="Y59" t="s">
        <v>505</v>
      </c>
      <c r="Z59" t="s">
        <v>505</v>
      </c>
      <c r="AP59" s="50" t="s">
        <v>506</v>
      </c>
      <c r="AR59" s="48" t="s">
        <v>169</v>
      </c>
    </row>
    <row r="60" spans="1:44" ht="18" x14ac:dyDescent="0.7">
      <c r="A60" t="s">
        <v>507</v>
      </c>
      <c r="B60" t="s">
        <v>508</v>
      </c>
      <c r="H60" s="47"/>
      <c r="Y60" t="s">
        <v>509</v>
      </c>
      <c r="Z60" t="s">
        <v>509</v>
      </c>
      <c r="AP60" s="50" t="s">
        <v>510</v>
      </c>
      <c r="AR60" s="48" t="s">
        <v>205</v>
      </c>
    </row>
    <row r="61" spans="1:44" ht="18" x14ac:dyDescent="0.7">
      <c r="A61" t="s">
        <v>511</v>
      </c>
      <c r="B61" t="s">
        <v>512</v>
      </c>
      <c r="H61" s="47"/>
      <c r="Y61" t="s">
        <v>513</v>
      </c>
      <c r="Z61" t="s">
        <v>513</v>
      </c>
      <c r="AP61" s="48" t="s">
        <v>436</v>
      </c>
      <c r="AR61" s="48" t="s">
        <v>311</v>
      </c>
    </row>
    <row r="62" spans="1:44" ht="18" x14ac:dyDescent="0.7">
      <c r="A62" t="s">
        <v>514</v>
      </c>
      <c r="B62" t="s">
        <v>515</v>
      </c>
      <c r="H62" s="47"/>
      <c r="Y62" t="s">
        <v>516</v>
      </c>
      <c r="Z62" t="s">
        <v>516</v>
      </c>
      <c r="AP62" s="50" t="s">
        <v>517</v>
      </c>
      <c r="AR62" s="48" t="s">
        <v>518</v>
      </c>
    </row>
    <row r="63" spans="1:44" ht="18" x14ac:dyDescent="0.7">
      <c r="A63" t="s">
        <v>519</v>
      </c>
      <c r="B63" t="s">
        <v>520</v>
      </c>
      <c r="H63" s="47"/>
      <c r="Y63" t="s">
        <v>521</v>
      </c>
      <c r="Z63" t="s">
        <v>521</v>
      </c>
      <c r="AP63" s="48" t="s">
        <v>492</v>
      </c>
      <c r="AR63" s="48" t="s">
        <v>522</v>
      </c>
    </row>
    <row r="64" spans="1:44" ht="18" x14ac:dyDescent="0.7">
      <c r="A64" t="s">
        <v>523</v>
      </c>
      <c r="B64" t="s">
        <v>524</v>
      </c>
      <c r="H64" s="47"/>
      <c r="Y64" t="s">
        <v>525</v>
      </c>
      <c r="Z64" t="s">
        <v>525</v>
      </c>
      <c r="AP64" s="48" t="s">
        <v>440</v>
      </c>
      <c r="AR64" s="48" t="s">
        <v>346</v>
      </c>
    </row>
    <row r="65" spans="1:44" ht="18" x14ac:dyDescent="0.7">
      <c r="A65" t="s">
        <v>526</v>
      </c>
      <c r="B65" t="s">
        <v>527</v>
      </c>
      <c r="H65" s="47"/>
      <c r="Y65" t="s">
        <v>528</v>
      </c>
      <c r="Z65" t="s">
        <v>528</v>
      </c>
      <c r="AP65" s="49" t="s">
        <v>323</v>
      </c>
      <c r="AR65" s="48" t="s">
        <v>466</v>
      </c>
    </row>
    <row r="66" spans="1:44" ht="18" x14ac:dyDescent="0.7">
      <c r="A66" t="s">
        <v>529</v>
      </c>
      <c r="B66" t="s">
        <v>530</v>
      </c>
      <c r="H66" s="47"/>
      <c r="Y66" t="s">
        <v>531</v>
      </c>
      <c r="Z66" t="s">
        <v>531</v>
      </c>
      <c r="AP66" s="48" t="s">
        <v>522</v>
      </c>
      <c r="AR66" s="48" t="s">
        <v>340</v>
      </c>
    </row>
    <row r="67" spans="1:44" ht="18" x14ac:dyDescent="0.7">
      <c r="A67" t="s">
        <v>532</v>
      </c>
      <c r="B67" t="s">
        <v>533</v>
      </c>
      <c r="H67" s="47"/>
      <c r="Y67" t="s">
        <v>534</v>
      </c>
      <c r="Z67" t="s">
        <v>534</v>
      </c>
      <c r="AP67" s="50" t="s">
        <v>535</v>
      </c>
      <c r="AR67" s="48" t="s">
        <v>472</v>
      </c>
    </row>
    <row r="68" spans="1:44" ht="18" x14ac:dyDescent="0.7">
      <c r="A68" t="s">
        <v>536</v>
      </c>
      <c r="B68" t="s">
        <v>537</v>
      </c>
      <c r="H68" s="47"/>
      <c r="Y68" t="s">
        <v>538</v>
      </c>
      <c r="Z68" t="s">
        <v>538</v>
      </c>
      <c r="AP68" s="50" t="s">
        <v>539</v>
      </c>
      <c r="AR68" s="48" t="s">
        <v>364</v>
      </c>
    </row>
    <row r="69" spans="1:44" ht="18" x14ac:dyDescent="0.7">
      <c r="A69" t="s">
        <v>67</v>
      </c>
      <c r="B69" t="s">
        <v>540</v>
      </c>
      <c r="H69" s="47"/>
      <c r="Y69" t="s">
        <v>541</v>
      </c>
      <c r="Z69" t="s">
        <v>541</v>
      </c>
      <c r="AP69" s="50" t="s">
        <v>542</v>
      </c>
      <c r="AR69" s="50" t="s">
        <v>447</v>
      </c>
    </row>
    <row r="70" spans="1:44" ht="18" x14ac:dyDescent="0.7">
      <c r="A70" t="s">
        <v>543</v>
      </c>
      <c r="B70" t="s">
        <v>544</v>
      </c>
      <c r="Y70" t="s">
        <v>545</v>
      </c>
      <c r="Z70" t="s">
        <v>545</v>
      </c>
      <c r="AP70" s="48" t="s">
        <v>462</v>
      </c>
      <c r="AR70" s="50" t="s">
        <v>539</v>
      </c>
    </row>
    <row r="71" spans="1:44" ht="18" x14ac:dyDescent="0.7">
      <c r="A71" t="s">
        <v>546</v>
      </c>
      <c r="B71" t="s">
        <v>547</v>
      </c>
      <c r="Y71" t="s">
        <v>548</v>
      </c>
      <c r="Z71" t="s">
        <v>548</v>
      </c>
      <c r="AP71" s="49" t="s">
        <v>341</v>
      </c>
      <c r="AR71" s="50" t="s">
        <v>290</v>
      </c>
    </row>
    <row r="72" spans="1:44" ht="18" x14ac:dyDescent="0.7">
      <c r="A72" t="s">
        <v>549</v>
      </c>
      <c r="B72" t="s">
        <v>550</v>
      </c>
      <c r="Y72" t="s">
        <v>551</v>
      </c>
      <c r="Z72" t="s">
        <v>551</v>
      </c>
      <c r="AP72" s="48" t="s">
        <v>488</v>
      </c>
      <c r="AR72" s="50" t="s">
        <v>351</v>
      </c>
    </row>
    <row r="73" spans="1:44" ht="18" x14ac:dyDescent="0.7">
      <c r="A73" t="s">
        <v>552</v>
      </c>
      <c r="B73" t="s">
        <v>553</v>
      </c>
      <c r="Y73" t="s">
        <v>554</v>
      </c>
      <c r="Z73" t="s">
        <v>554</v>
      </c>
      <c r="AP73" s="48" t="s">
        <v>448</v>
      </c>
      <c r="AR73" s="50" t="s">
        <v>414</v>
      </c>
    </row>
    <row r="74" spans="1:44" ht="18" x14ac:dyDescent="0.7">
      <c r="A74" t="s">
        <v>555</v>
      </c>
      <c r="B74" t="s">
        <v>556</v>
      </c>
      <c r="Y74" t="s">
        <v>557</v>
      </c>
      <c r="Z74" t="s">
        <v>557</v>
      </c>
      <c r="AP74" s="48" t="s">
        <v>497</v>
      </c>
      <c r="AR74" s="50" t="s">
        <v>426</v>
      </c>
    </row>
    <row r="75" spans="1:44" ht="18" x14ac:dyDescent="0.7">
      <c r="A75" t="s">
        <v>558</v>
      </c>
      <c r="B75" t="s">
        <v>559</v>
      </c>
      <c r="Y75" t="s">
        <v>560</v>
      </c>
      <c r="Z75" t="s">
        <v>560</v>
      </c>
      <c r="AP75" s="48" t="s">
        <v>444</v>
      </c>
      <c r="AR75" s="50" t="s">
        <v>431</v>
      </c>
    </row>
    <row r="76" spans="1:44" ht="18" x14ac:dyDescent="0.7">
      <c r="A76" t="s">
        <v>561</v>
      </c>
      <c r="B76" t="s">
        <v>562</v>
      </c>
      <c r="Y76" t="s">
        <v>563</v>
      </c>
      <c r="Z76" t="s">
        <v>563</v>
      </c>
      <c r="AP76" s="48" t="s">
        <v>518</v>
      </c>
      <c r="AR76" s="50" t="s">
        <v>470</v>
      </c>
    </row>
    <row r="77" spans="1:44" ht="18" x14ac:dyDescent="0.7">
      <c r="A77" t="s">
        <v>564</v>
      </c>
      <c r="B77" t="s">
        <v>565</v>
      </c>
      <c r="Y77" t="s">
        <v>566</v>
      </c>
      <c r="Z77" t="s">
        <v>566</v>
      </c>
      <c r="AP77" s="48" t="s">
        <v>502</v>
      </c>
      <c r="AR77" s="50" t="s">
        <v>496</v>
      </c>
    </row>
    <row r="78" spans="1:44" ht="18" x14ac:dyDescent="0.7">
      <c r="A78" t="s">
        <v>567</v>
      </c>
      <c r="B78" t="s">
        <v>568</v>
      </c>
      <c r="Y78" t="s">
        <v>569</v>
      </c>
      <c r="Z78" t="s">
        <v>569</v>
      </c>
      <c r="AR78" s="50" t="s">
        <v>479</v>
      </c>
    </row>
    <row r="79" spans="1:44" ht="18" x14ac:dyDescent="0.7">
      <c r="A79" t="s">
        <v>570</v>
      </c>
      <c r="B79" t="s">
        <v>571</v>
      </c>
      <c r="Y79" t="s">
        <v>572</v>
      </c>
      <c r="Z79" t="s">
        <v>572</v>
      </c>
      <c r="AR79" s="50" t="s">
        <v>332</v>
      </c>
    </row>
    <row r="80" spans="1:44" ht="18" x14ac:dyDescent="0.7">
      <c r="A80" t="s">
        <v>573</v>
      </c>
      <c r="B80" t="s">
        <v>574</v>
      </c>
      <c r="Y80" t="s">
        <v>575</v>
      </c>
      <c r="Z80" t="s">
        <v>575</v>
      </c>
      <c r="AR80" s="50" t="s">
        <v>510</v>
      </c>
    </row>
    <row r="81" spans="1:44" ht="18" x14ac:dyDescent="0.7">
      <c r="A81" t="s">
        <v>576</v>
      </c>
      <c r="B81" t="s">
        <v>577</v>
      </c>
      <c r="Y81" t="s">
        <v>578</v>
      </c>
      <c r="Z81" t="s">
        <v>578</v>
      </c>
      <c r="AR81" s="50" t="s">
        <v>322</v>
      </c>
    </row>
    <row r="82" spans="1:44" ht="18" x14ac:dyDescent="0.7">
      <c r="A82" t="s">
        <v>579</v>
      </c>
      <c r="B82" t="s">
        <v>580</v>
      </c>
      <c r="Y82" t="s">
        <v>581</v>
      </c>
      <c r="Z82" t="s">
        <v>582</v>
      </c>
      <c r="AR82" s="50" t="s">
        <v>506</v>
      </c>
    </row>
    <row r="83" spans="1:44" ht="18" x14ac:dyDescent="0.7">
      <c r="A83" t="s">
        <v>583</v>
      </c>
      <c r="B83" t="s">
        <v>584</v>
      </c>
      <c r="Y83" t="s">
        <v>585</v>
      </c>
      <c r="Z83" t="s">
        <v>586</v>
      </c>
      <c r="AR83" s="50" t="s">
        <v>187</v>
      </c>
    </row>
    <row r="84" spans="1:44" ht="18" x14ac:dyDescent="0.7">
      <c r="A84" t="s">
        <v>587</v>
      </c>
      <c r="B84" t="s">
        <v>588</v>
      </c>
      <c r="Y84" t="s">
        <v>589</v>
      </c>
      <c r="Z84" t="s">
        <v>590</v>
      </c>
      <c r="AR84" s="50" t="s">
        <v>535</v>
      </c>
    </row>
    <row r="85" spans="1:44" ht="18" x14ac:dyDescent="0.7">
      <c r="A85" t="s">
        <v>591</v>
      </c>
      <c r="B85" t="s">
        <v>592</v>
      </c>
      <c r="Y85" t="s">
        <v>593</v>
      </c>
      <c r="Z85" t="s">
        <v>594</v>
      </c>
      <c r="AR85" s="50" t="s">
        <v>517</v>
      </c>
    </row>
    <row r="86" spans="1:44" ht="18" x14ac:dyDescent="0.7">
      <c r="A86" t="s">
        <v>595</v>
      </c>
      <c r="B86" t="s">
        <v>596</v>
      </c>
      <c r="Y86" t="s">
        <v>597</v>
      </c>
      <c r="Z86" t="s">
        <v>598</v>
      </c>
      <c r="AR86" s="50" t="s">
        <v>501</v>
      </c>
    </row>
    <row r="87" spans="1:44" ht="18" x14ac:dyDescent="0.7">
      <c r="A87" t="s">
        <v>599</v>
      </c>
      <c r="B87" t="s">
        <v>600</v>
      </c>
      <c r="Y87" t="s">
        <v>601</v>
      </c>
      <c r="Z87" t="s">
        <v>602</v>
      </c>
      <c r="AR87" s="50" t="s">
        <v>542</v>
      </c>
    </row>
    <row r="88" spans="1:44" x14ac:dyDescent="0.35">
      <c r="A88" t="s">
        <v>603</v>
      </c>
      <c r="B88" t="s">
        <v>604</v>
      </c>
      <c r="Y88" t="s">
        <v>605</v>
      </c>
      <c r="Z88" t="s">
        <v>606</v>
      </c>
    </row>
    <row r="89" spans="1:44" x14ac:dyDescent="0.35">
      <c r="A89" t="s">
        <v>607</v>
      </c>
      <c r="B89" t="s">
        <v>608</v>
      </c>
      <c r="Y89" t="s">
        <v>609</v>
      </c>
      <c r="Z89" t="s">
        <v>610</v>
      </c>
    </row>
    <row r="90" spans="1:44" x14ac:dyDescent="0.35">
      <c r="A90" t="s">
        <v>611</v>
      </c>
      <c r="B90" t="s">
        <v>612</v>
      </c>
      <c r="Y90" t="s">
        <v>613</v>
      </c>
      <c r="Z90" t="s">
        <v>614</v>
      </c>
    </row>
    <row r="91" spans="1:44" x14ac:dyDescent="0.35">
      <c r="A91" t="s">
        <v>615</v>
      </c>
      <c r="B91" t="s">
        <v>616</v>
      </c>
      <c r="Y91" t="s">
        <v>617</v>
      </c>
      <c r="Z91" t="s">
        <v>617</v>
      </c>
    </row>
    <row r="92" spans="1:44" x14ac:dyDescent="0.35">
      <c r="A92" t="s">
        <v>618</v>
      </c>
      <c r="B92" t="s">
        <v>619</v>
      </c>
      <c r="Y92" t="s">
        <v>620</v>
      </c>
      <c r="Z92" t="s">
        <v>621</v>
      </c>
    </row>
    <row r="93" spans="1:44" x14ac:dyDescent="0.35">
      <c r="A93" t="s">
        <v>622</v>
      </c>
      <c r="B93" t="s">
        <v>623</v>
      </c>
      <c r="Y93" t="s">
        <v>624</v>
      </c>
      <c r="Z93" t="s">
        <v>625</v>
      </c>
    </row>
    <row r="94" spans="1:44" x14ac:dyDescent="0.35">
      <c r="A94" t="s">
        <v>626</v>
      </c>
      <c r="B94" t="s">
        <v>627</v>
      </c>
      <c r="Y94" t="s">
        <v>628</v>
      </c>
      <c r="Z94" t="s">
        <v>629</v>
      </c>
    </row>
    <row r="95" spans="1:44" x14ac:dyDescent="0.35">
      <c r="A95" t="s">
        <v>630</v>
      </c>
      <c r="B95" t="s">
        <v>631</v>
      </c>
      <c r="Y95" t="s">
        <v>632</v>
      </c>
      <c r="Z95" t="s">
        <v>633</v>
      </c>
    </row>
    <row r="96" spans="1:44" x14ac:dyDescent="0.35">
      <c r="Y96" t="s">
        <v>634</v>
      </c>
      <c r="Z96" t="s">
        <v>635</v>
      </c>
    </row>
    <row r="97" spans="25:26" x14ac:dyDescent="0.35">
      <c r="Y97" t="s">
        <v>636</v>
      </c>
      <c r="Z97" t="s">
        <v>637</v>
      </c>
    </row>
    <row r="98" spans="25:26" x14ac:dyDescent="0.35">
      <c r="Y98" t="s">
        <v>638</v>
      </c>
      <c r="Z98" t="s">
        <v>639</v>
      </c>
    </row>
    <row r="99" spans="25:26" x14ac:dyDescent="0.35">
      <c r="Y99" t="s">
        <v>640</v>
      </c>
      <c r="Z99" t="s">
        <v>641</v>
      </c>
    </row>
    <row r="100" spans="25:26" x14ac:dyDescent="0.35">
      <c r="Y100" t="s">
        <v>642</v>
      </c>
      <c r="Z100" t="s">
        <v>643</v>
      </c>
    </row>
    <row r="101" spans="25:26" x14ac:dyDescent="0.35">
      <c r="Y101" t="s">
        <v>644</v>
      </c>
      <c r="Z101" t="s">
        <v>645</v>
      </c>
    </row>
    <row r="102" spans="25:26" x14ac:dyDescent="0.35">
      <c r="Y102" t="s">
        <v>646</v>
      </c>
      <c r="Z102" t="s">
        <v>647</v>
      </c>
    </row>
    <row r="103" spans="25:26" x14ac:dyDescent="0.35">
      <c r="Y103" t="s">
        <v>54</v>
      </c>
      <c r="Z103" t="s">
        <v>648</v>
      </c>
    </row>
    <row r="104" spans="25:26" x14ac:dyDescent="0.35">
      <c r="Y104" t="s">
        <v>649</v>
      </c>
      <c r="Z104" t="s">
        <v>650</v>
      </c>
    </row>
    <row r="105" spans="25:26" x14ac:dyDescent="0.35">
      <c r="Y105" t="s">
        <v>651</v>
      </c>
      <c r="Z105" t="s">
        <v>652</v>
      </c>
    </row>
    <row r="106" spans="25:26" x14ac:dyDescent="0.35">
      <c r="Y106" t="s">
        <v>653</v>
      </c>
      <c r="Z106" t="s">
        <v>654</v>
      </c>
    </row>
    <row r="107" spans="25:26" x14ac:dyDescent="0.35">
      <c r="Y107" t="s">
        <v>655</v>
      </c>
      <c r="Z107" t="s">
        <v>656</v>
      </c>
    </row>
    <row r="108" spans="25:26" x14ac:dyDescent="0.35">
      <c r="Y108" t="s">
        <v>657</v>
      </c>
      <c r="Z108" t="s">
        <v>658</v>
      </c>
    </row>
    <row r="109" spans="25:26" x14ac:dyDescent="0.35">
      <c r="Y109" t="s">
        <v>659</v>
      </c>
      <c r="Z109" t="s">
        <v>660</v>
      </c>
    </row>
    <row r="110" spans="25:26" x14ac:dyDescent="0.35">
      <c r="Y110" t="s">
        <v>661</v>
      </c>
      <c r="Z110" t="s">
        <v>662</v>
      </c>
    </row>
    <row r="111" spans="25:26" x14ac:dyDescent="0.35">
      <c r="Y111" t="s">
        <v>179</v>
      </c>
      <c r="Z111" t="s">
        <v>663</v>
      </c>
    </row>
    <row r="112" spans="25:26" x14ac:dyDescent="0.35">
      <c r="Y112" t="s">
        <v>664</v>
      </c>
      <c r="Z112" t="s">
        <v>665</v>
      </c>
    </row>
    <row r="113" spans="25:26" x14ac:dyDescent="0.35">
      <c r="Y113" t="s">
        <v>666</v>
      </c>
      <c r="Z113" t="s">
        <v>667</v>
      </c>
    </row>
    <row r="114" spans="25:26" x14ac:dyDescent="0.35">
      <c r="Y114" t="s">
        <v>668</v>
      </c>
      <c r="Z114" t="s">
        <v>669</v>
      </c>
    </row>
    <row r="115" spans="25:26" x14ac:dyDescent="0.35">
      <c r="Y115" t="s">
        <v>670</v>
      </c>
      <c r="Z115" t="s">
        <v>671</v>
      </c>
    </row>
    <row r="116" spans="25:26" x14ac:dyDescent="0.35">
      <c r="Y116" t="s">
        <v>672</v>
      </c>
      <c r="Z116" t="s">
        <v>673</v>
      </c>
    </row>
    <row r="117" spans="25:26" x14ac:dyDescent="0.35">
      <c r="Y117" t="s">
        <v>674</v>
      </c>
      <c r="Z117" t="s">
        <v>675</v>
      </c>
    </row>
    <row r="118" spans="25:26" x14ac:dyDescent="0.35">
      <c r="Y118" t="s">
        <v>676</v>
      </c>
      <c r="Z118" t="s">
        <v>677</v>
      </c>
    </row>
    <row r="119" spans="25:26" x14ac:dyDescent="0.35">
      <c r="Y119" t="s">
        <v>678</v>
      </c>
      <c r="Z119" t="s">
        <v>679</v>
      </c>
    </row>
    <row r="120" spans="25:26" x14ac:dyDescent="0.35">
      <c r="Y120" t="s">
        <v>680</v>
      </c>
      <c r="Z120" t="s">
        <v>681</v>
      </c>
    </row>
    <row r="121" spans="25:26" x14ac:dyDescent="0.35">
      <c r="Y121" t="s">
        <v>682</v>
      </c>
      <c r="Z121" t="s">
        <v>683</v>
      </c>
    </row>
    <row r="122" spans="25:26" x14ac:dyDescent="0.35">
      <c r="Y122" t="s">
        <v>684</v>
      </c>
      <c r="Z122" t="s">
        <v>685</v>
      </c>
    </row>
    <row r="123" spans="25:26" x14ac:dyDescent="0.35">
      <c r="Y123" t="s">
        <v>686</v>
      </c>
      <c r="Z123" t="s">
        <v>687</v>
      </c>
    </row>
    <row r="124" spans="25:26" x14ac:dyDescent="0.35">
      <c r="Y124" t="s">
        <v>688</v>
      </c>
      <c r="Z124" t="s">
        <v>689</v>
      </c>
    </row>
    <row r="125" spans="25:26" x14ac:dyDescent="0.35">
      <c r="Y125" t="s">
        <v>690</v>
      </c>
      <c r="Z125" t="s">
        <v>691</v>
      </c>
    </row>
    <row r="126" spans="25:26" x14ac:dyDescent="0.35">
      <c r="Y126" t="s">
        <v>692</v>
      </c>
      <c r="Z126" t="s">
        <v>693</v>
      </c>
    </row>
    <row r="127" spans="25:26" x14ac:dyDescent="0.35">
      <c r="Y127" t="s">
        <v>694</v>
      </c>
      <c r="Z127" t="s">
        <v>695</v>
      </c>
    </row>
    <row r="128" spans="25:26" x14ac:dyDescent="0.35">
      <c r="Y128" t="s">
        <v>696</v>
      </c>
      <c r="Z128" t="s">
        <v>697</v>
      </c>
    </row>
    <row r="129" spans="25:26" x14ac:dyDescent="0.35">
      <c r="Y129" t="s">
        <v>698</v>
      </c>
      <c r="Z129" t="s">
        <v>699</v>
      </c>
    </row>
    <row r="130" spans="25:26" x14ac:dyDescent="0.35">
      <c r="Y130" t="s">
        <v>700</v>
      </c>
      <c r="Z130" t="s">
        <v>701</v>
      </c>
    </row>
    <row r="131" spans="25:26" x14ac:dyDescent="0.35">
      <c r="Y131" t="s">
        <v>702</v>
      </c>
      <c r="Z131" t="s">
        <v>702</v>
      </c>
    </row>
    <row r="132" spans="25:26" x14ac:dyDescent="0.35">
      <c r="Y132" t="s">
        <v>703</v>
      </c>
      <c r="Z132" t="s">
        <v>704</v>
      </c>
    </row>
    <row r="133" spans="25:26" x14ac:dyDescent="0.35">
      <c r="Y133" t="s">
        <v>705</v>
      </c>
      <c r="Z133" t="s">
        <v>706</v>
      </c>
    </row>
    <row r="134" spans="25:26" x14ac:dyDescent="0.35">
      <c r="Y134" t="s">
        <v>707</v>
      </c>
      <c r="Z134" t="s">
        <v>708</v>
      </c>
    </row>
    <row r="135" spans="25:26" x14ac:dyDescent="0.35">
      <c r="Y135" t="s">
        <v>709</v>
      </c>
      <c r="Z135" t="s">
        <v>710</v>
      </c>
    </row>
    <row r="136" spans="25:26" x14ac:dyDescent="0.35">
      <c r="Y136" t="s">
        <v>711</v>
      </c>
      <c r="Z136" t="s">
        <v>712</v>
      </c>
    </row>
    <row r="137" spans="25:26" x14ac:dyDescent="0.35">
      <c r="Y137" t="s">
        <v>713</v>
      </c>
      <c r="Z137" t="s">
        <v>714</v>
      </c>
    </row>
    <row r="138" spans="25:26" x14ac:dyDescent="0.35">
      <c r="Y138" t="s">
        <v>715</v>
      </c>
      <c r="Z138" t="s">
        <v>716</v>
      </c>
    </row>
    <row r="139" spans="25:26" x14ac:dyDescent="0.35">
      <c r="Y139" t="s">
        <v>717</v>
      </c>
      <c r="Z139" t="s">
        <v>718</v>
      </c>
    </row>
    <row r="140" spans="25:26" x14ac:dyDescent="0.35">
      <c r="Y140" t="s">
        <v>259</v>
      </c>
      <c r="Z140" t="s">
        <v>719</v>
      </c>
    </row>
    <row r="141" spans="25:26" x14ac:dyDescent="0.35">
      <c r="Y141" t="s">
        <v>720</v>
      </c>
      <c r="Z141" t="s">
        <v>721</v>
      </c>
    </row>
    <row r="142" spans="25:26" x14ac:dyDescent="0.35">
      <c r="Y142" t="s">
        <v>722</v>
      </c>
      <c r="Z142" t="s">
        <v>723</v>
      </c>
    </row>
    <row r="143" spans="25:26" x14ac:dyDescent="0.35">
      <c r="Y143" t="s">
        <v>724</v>
      </c>
      <c r="Z143" t="s">
        <v>725</v>
      </c>
    </row>
    <row r="144" spans="25:26" x14ac:dyDescent="0.35">
      <c r="Y144" t="s">
        <v>726</v>
      </c>
      <c r="Z144" t="s">
        <v>727</v>
      </c>
    </row>
    <row r="145" spans="25:26" x14ac:dyDescent="0.35">
      <c r="Y145" t="s">
        <v>728</v>
      </c>
      <c r="Z145" t="s">
        <v>729</v>
      </c>
    </row>
    <row r="146" spans="25:26" x14ac:dyDescent="0.35">
      <c r="Y146" t="s">
        <v>730</v>
      </c>
      <c r="Z146" t="s">
        <v>731</v>
      </c>
    </row>
    <row r="147" spans="25:26" x14ac:dyDescent="0.35">
      <c r="Y147" t="s">
        <v>732</v>
      </c>
      <c r="Z147" t="s">
        <v>733</v>
      </c>
    </row>
    <row r="148" spans="25:26" x14ac:dyDescent="0.35">
      <c r="Y148" t="s">
        <v>734</v>
      </c>
      <c r="Z148" t="s">
        <v>735</v>
      </c>
    </row>
    <row r="149" spans="25:26" x14ac:dyDescent="0.35">
      <c r="Y149" t="s">
        <v>736</v>
      </c>
      <c r="Z149" t="s">
        <v>737</v>
      </c>
    </row>
    <row r="150" spans="25:26" x14ac:dyDescent="0.35">
      <c r="Y150" t="s">
        <v>738</v>
      </c>
      <c r="Z150" t="s">
        <v>739</v>
      </c>
    </row>
    <row r="151" spans="25:26" x14ac:dyDescent="0.35">
      <c r="Y151" t="s">
        <v>740</v>
      </c>
      <c r="Z151" t="s">
        <v>741</v>
      </c>
    </row>
    <row r="152" spans="25:26" x14ac:dyDescent="0.35">
      <c r="Y152" t="s">
        <v>742</v>
      </c>
      <c r="Z152" t="s">
        <v>743</v>
      </c>
    </row>
    <row r="153" spans="25:26" x14ac:dyDescent="0.35">
      <c r="Y153" t="s">
        <v>744</v>
      </c>
      <c r="Z153" t="s">
        <v>745</v>
      </c>
    </row>
    <row r="154" spans="25:26" x14ac:dyDescent="0.35">
      <c r="Y154" t="s">
        <v>746</v>
      </c>
      <c r="Z154" t="s">
        <v>747</v>
      </c>
    </row>
    <row r="155" spans="25:26" x14ac:dyDescent="0.35">
      <c r="Y155" t="s">
        <v>748</v>
      </c>
      <c r="Z155" t="s">
        <v>749</v>
      </c>
    </row>
    <row r="156" spans="25:26" x14ac:dyDescent="0.35">
      <c r="Y156" t="s">
        <v>750</v>
      </c>
      <c r="Z156" t="s">
        <v>751</v>
      </c>
    </row>
    <row r="157" spans="25:26" x14ac:dyDescent="0.35">
      <c r="Y157" t="s">
        <v>752</v>
      </c>
      <c r="Z157" t="s">
        <v>753</v>
      </c>
    </row>
    <row r="158" spans="25:26" x14ac:dyDescent="0.35">
      <c r="Y158" t="s">
        <v>754</v>
      </c>
      <c r="Z158" t="s">
        <v>755</v>
      </c>
    </row>
    <row r="159" spans="25:26" x14ac:dyDescent="0.35">
      <c r="Y159" t="s">
        <v>756</v>
      </c>
      <c r="Z159" t="s">
        <v>757</v>
      </c>
    </row>
    <row r="160" spans="25:26" x14ac:dyDescent="0.35">
      <c r="Y160" t="s">
        <v>758</v>
      </c>
      <c r="Z160" t="s">
        <v>759</v>
      </c>
    </row>
    <row r="161" spans="25:26" x14ac:dyDescent="0.35">
      <c r="Y161" t="s">
        <v>760</v>
      </c>
      <c r="Z161" t="s">
        <v>761</v>
      </c>
    </row>
    <row r="162" spans="25:26" x14ac:dyDescent="0.35">
      <c r="Y162" t="s">
        <v>762</v>
      </c>
      <c r="Z162" t="s">
        <v>763</v>
      </c>
    </row>
    <row r="163" spans="25:26" x14ac:dyDescent="0.35">
      <c r="Y163" t="s">
        <v>764</v>
      </c>
      <c r="Z163" t="s">
        <v>765</v>
      </c>
    </row>
    <row r="164" spans="25:26" x14ac:dyDescent="0.35">
      <c r="Y164" t="s">
        <v>766</v>
      </c>
      <c r="Z164" t="s">
        <v>767</v>
      </c>
    </row>
    <row r="165" spans="25:26" x14ac:dyDescent="0.35">
      <c r="Y165" t="s">
        <v>768</v>
      </c>
      <c r="Z165" t="s">
        <v>769</v>
      </c>
    </row>
    <row r="166" spans="25:26" x14ac:dyDescent="0.35">
      <c r="Y166" t="s">
        <v>770</v>
      </c>
      <c r="Z166" t="s">
        <v>771</v>
      </c>
    </row>
    <row r="167" spans="25:26" x14ac:dyDescent="0.35">
      <c r="Y167" t="s">
        <v>772</v>
      </c>
      <c r="Z167" t="s">
        <v>773</v>
      </c>
    </row>
    <row r="168" spans="25:26" x14ac:dyDescent="0.35">
      <c r="Y168" t="s">
        <v>774</v>
      </c>
      <c r="Z168" t="s">
        <v>775</v>
      </c>
    </row>
    <row r="169" spans="25:26" x14ac:dyDescent="0.35">
      <c r="Y169" t="s">
        <v>776</v>
      </c>
      <c r="Z169" t="s">
        <v>777</v>
      </c>
    </row>
    <row r="170" spans="25:26" x14ac:dyDescent="0.35">
      <c r="Y170" t="s">
        <v>778</v>
      </c>
      <c r="Z170" t="s">
        <v>779</v>
      </c>
    </row>
    <row r="171" spans="25:26" x14ac:dyDescent="0.35">
      <c r="Y171" t="s">
        <v>780</v>
      </c>
      <c r="Z171" t="s">
        <v>781</v>
      </c>
    </row>
    <row r="172" spans="25:26" x14ac:dyDescent="0.35">
      <c r="Y172" t="s">
        <v>782</v>
      </c>
      <c r="Z172" t="s">
        <v>783</v>
      </c>
    </row>
    <row r="173" spans="25:26" x14ac:dyDescent="0.35">
      <c r="Y173" t="s">
        <v>784</v>
      </c>
      <c r="Z173" t="s">
        <v>785</v>
      </c>
    </row>
    <row r="174" spans="25:26" x14ac:dyDescent="0.35">
      <c r="Y174" t="s">
        <v>786</v>
      </c>
      <c r="Z174" t="s">
        <v>787</v>
      </c>
    </row>
    <row r="175" spans="25:26" x14ac:dyDescent="0.35">
      <c r="Y175" t="s">
        <v>788</v>
      </c>
      <c r="Z175" t="s">
        <v>789</v>
      </c>
    </row>
    <row r="176" spans="25:26" x14ac:dyDescent="0.35">
      <c r="Y176" t="s">
        <v>790</v>
      </c>
      <c r="Z176" t="s">
        <v>791</v>
      </c>
    </row>
    <row r="177" spans="25:26" x14ac:dyDescent="0.35">
      <c r="Y177" t="s">
        <v>792</v>
      </c>
      <c r="Z177" t="s">
        <v>793</v>
      </c>
    </row>
    <row r="178" spans="25:26" x14ac:dyDescent="0.35">
      <c r="Y178" t="s">
        <v>794</v>
      </c>
      <c r="Z178" t="s">
        <v>795</v>
      </c>
    </row>
    <row r="179" spans="25:26" x14ac:dyDescent="0.35">
      <c r="Y179" t="s">
        <v>796</v>
      </c>
      <c r="Z179" t="s">
        <v>797</v>
      </c>
    </row>
    <row r="180" spans="25:26" x14ac:dyDescent="0.35">
      <c r="Y180" t="s">
        <v>798</v>
      </c>
      <c r="Z180" t="s">
        <v>799</v>
      </c>
    </row>
    <row r="181" spans="25:26" x14ac:dyDescent="0.35">
      <c r="Y181" t="s">
        <v>800</v>
      </c>
      <c r="Z181" t="s">
        <v>801</v>
      </c>
    </row>
    <row r="182" spans="25:26" x14ac:dyDescent="0.35">
      <c r="Y182" t="s">
        <v>802</v>
      </c>
      <c r="Z182" t="s">
        <v>803</v>
      </c>
    </row>
    <row r="183" spans="25:26" x14ac:dyDescent="0.35">
      <c r="Y183" t="s">
        <v>804</v>
      </c>
      <c r="Z183" t="s">
        <v>805</v>
      </c>
    </row>
    <row r="184" spans="25:26" x14ac:dyDescent="0.35">
      <c r="Y184" t="s">
        <v>806</v>
      </c>
      <c r="Z184" t="s">
        <v>807</v>
      </c>
    </row>
    <row r="185" spans="25:26" x14ac:dyDescent="0.35">
      <c r="Y185" t="s">
        <v>808</v>
      </c>
      <c r="Z185" t="s">
        <v>809</v>
      </c>
    </row>
    <row r="186" spans="25:26" x14ac:dyDescent="0.35">
      <c r="Y186" t="s">
        <v>810</v>
      </c>
      <c r="Z186" t="s">
        <v>811</v>
      </c>
    </row>
    <row r="187" spans="25:26" x14ac:dyDescent="0.35">
      <c r="Y187" t="s">
        <v>812</v>
      </c>
      <c r="Z187" t="s">
        <v>813</v>
      </c>
    </row>
    <row r="188" spans="25:26" x14ac:dyDescent="0.35">
      <c r="Y188" t="s">
        <v>814</v>
      </c>
      <c r="Z188" t="s">
        <v>815</v>
      </c>
    </row>
    <row r="189" spans="25:26" x14ac:dyDescent="0.35">
      <c r="Y189" t="s">
        <v>816</v>
      </c>
      <c r="Z189" t="s">
        <v>817</v>
      </c>
    </row>
    <row r="190" spans="25:26" x14ac:dyDescent="0.35">
      <c r="Y190" t="s">
        <v>818</v>
      </c>
      <c r="Z190" t="s">
        <v>819</v>
      </c>
    </row>
    <row r="191" spans="25:26" x14ac:dyDescent="0.35">
      <c r="Y191" t="s">
        <v>820</v>
      </c>
      <c r="Z191" t="s">
        <v>821</v>
      </c>
    </row>
    <row r="192" spans="25:26" x14ac:dyDescent="0.35">
      <c r="Y192" t="s">
        <v>822</v>
      </c>
      <c r="Z192" t="s">
        <v>823</v>
      </c>
    </row>
    <row r="193" spans="25:26" x14ac:dyDescent="0.35">
      <c r="Y193" t="s">
        <v>824</v>
      </c>
      <c r="Z193" t="s">
        <v>825</v>
      </c>
    </row>
    <row r="194" spans="25:26" x14ac:dyDescent="0.35">
      <c r="Y194" t="s">
        <v>826</v>
      </c>
      <c r="Z194" t="s">
        <v>827</v>
      </c>
    </row>
    <row r="195" spans="25:26" x14ac:dyDescent="0.35">
      <c r="Y195" t="s">
        <v>828</v>
      </c>
      <c r="Z195" t="s">
        <v>829</v>
      </c>
    </row>
    <row r="196" spans="25:26" x14ac:dyDescent="0.35">
      <c r="Y196" t="s">
        <v>830</v>
      </c>
      <c r="Z196" t="s">
        <v>316</v>
      </c>
    </row>
    <row r="197" spans="25:26" x14ac:dyDescent="0.35">
      <c r="Y197" t="s">
        <v>831</v>
      </c>
      <c r="Z197" t="s">
        <v>832</v>
      </c>
    </row>
    <row r="198" spans="25:26" x14ac:dyDescent="0.35">
      <c r="Y198" t="s">
        <v>833</v>
      </c>
      <c r="Z198" t="s">
        <v>834</v>
      </c>
    </row>
    <row r="199" spans="25:26" x14ac:dyDescent="0.35">
      <c r="Y199" t="s">
        <v>835</v>
      </c>
      <c r="Z199" t="s">
        <v>836</v>
      </c>
    </row>
    <row r="200" spans="25:26" x14ac:dyDescent="0.35">
      <c r="Y200" t="s">
        <v>837</v>
      </c>
      <c r="Z200" t="s">
        <v>838</v>
      </c>
    </row>
    <row r="201" spans="25:26" x14ac:dyDescent="0.35">
      <c r="Y201" t="s">
        <v>839</v>
      </c>
      <c r="Z201" t="s">
        <v>840</v>
      </c>
    </row>
    <row r="202" spans="25:26" x14ac:dyDescent="0.35">
      <c r="Y202" t="s">
        <v>841</v>
      </c>
      <c r="Z202" t="s">
        <v>842</v>
      </c>
    </row>
    <row r="203" spans="25:26" x14ac:dyDescent="0.35">
      <c r="Y203" t="s">
        <v>843</v>
      </c>
      <c r="Z203" t="s">
        <v>844</v>
      </c>
    </row>
    <row r="204" spans="25:26" x14ac:dyDescent="0.35">
      <c r="Y204" t="s">
        <v>845</v>
      </c>
      <c r="Z204" t="s">
        <v>846</v>
      </c>
    </row>
    <row r="205" spans="25:26" x14ac:dyDescent="0.35">
      <c r="Y205" t="s">
        <v>847</v>
      </c>
      <c r="Z205" t="s">
        <v>848</v>
      </c>
    </row>
    <row r="206" spans="25:26" x14ac:dyDescent="0.35">
      <c r="Y206" t="s">
        <v>849</v>
      </c>
      <c r="Z206" t="s">
        <v>850</v>
      </c>
    </row>
    <row r="207" spans="25:26" x14ac:dyDescent="0.35">
      <c r="Y207" t="s">
        <v>851</v>
      </c>
      <c r="Z207" t="s">
        <v>852</v>
      </c>
    </row>
    <row r="208" spans="25:26" x14ac:dyDescent="0.35">
      <c r="Y208" t="s">
        <v>853</v>
      </c>
      <c r="Z208" t="s">
        <v>854</v>
      </c>
    </row>
    <row r="209" spans="25:26" x14ac:dyDescent="0.35">
      <c r="Y209" t="s">
        <v>855</v>
      </c>
      <c r="Z209" t="s">
        <v>856</v>
      </c>
    </row>
    <row r="210" spans="25:26" x14ac:dyDescent="0.35">
      <c r="Y210" t="s">
        <v>857</v>
      </c>
      <c r="Z210" t="s">
        <v>858</v>
      </c>
    </row>
    <row r="211" spans="25:26" x14ac:dyDescent="0.35">
      <c r="Y211" t="s">
        <v>859</v>
      </c>
      <c r="Z211" t="s">
        <v>860</v>
      </c>
    </row>
    <row r="212" spans="25:26" x14ac:dyDescent="0.35">
      <c r="Y212" t="s">
        <v>861</v>
      </c>
      <c r="Z212" t="s">
        <v>862</v>
      </c>
    </row>
    <row r="213" spans="25:26" x14ac:dyDescent="0.35">
      <c r="Y213" t="s">
        <v>863</v>
      </c>
      <c r="Z213" t="s">
        <v>864</v>
      </c>
    </row>
    <row r="214" spans="25:26" x14ac:dyDescent="0.35">
      <c r="Y214" t="s">
        <v>865</v>
      </c>
      <c r="Z214" t="s">
        <v>866</v>
      </c>
    </row>
    <row r="215" spans="25:26" x14ac:dyDescent="0.35">
      <c r="Y215" t="s">
        <v>867</v>
      </c>
      <c r="Z215" t="s">
        <v>868</v>
      </c>
    </row>
    <row r="216" spans="25:26" x14ac:dyDescent="0.35">
      <c r="Y216" t="s">
        <v>869</v>
      </c>
      <c r="Z216" t="s">
        <v>870</v>
      </c>
    </row>
    <row r="217" spans="25:26" x14ac:dyDescent="0.35">
      <c r="Y217" t="s">
        <v>871</v>
      </c>
      <c r="Z217" t="s">
        <v>872</v>
      </c>
    </row>
    <row r="218" spans="25:26" x14ac:dyDescent="0.35">
      <c r="Y218" t="s">
        <v>873</v>
      </c>
      <c r="Z218" t="s">
        <v>874</v>
      </c>
    </row>
    <row r="219" spans="25:26" x14ac:dyDescent="0.35">
      <c r="Y219" t="s">
        <v>875</v>
      </c>
      <c r="Z219" t="s">
        <v>702</v>
      </c>
    </row>
    <row r="220" spans="25:26" x14ac:dyDescent="0.35">
      <c r="Y220" t="s">
        <v>876</v>
      </c>
      <c r="Z220" t="s">
        <v>877</v>
      </c>
    </row>
    <row r="221" spans="25:26" x14ac:dyDescent="0.35">
      <c r="Y221" t="s">
        <v>878</v>
      </c>
      <c r="Z221" t="s">
        <v>879</v>
      </c>
    </row>
    <row r="222" spans="25:26" x14ac:dyDescent="0.35">
      <c r="Y222" t="s">
        <v>880</v>
      </c>
      <c r="Z222" t="s">
        <v>881</v>
      </c>
    </row>
    <row r="223" spans="25:26" x14ac:dyDescent="0.35">
      <c r="Y223" t="s">
        <v>882</v>
      </c>
      <c r="Z223" t="s">
        <v>883</v>
      </c>
    </row>
    <row r="224" spans="25:26" x14ac:dyDescent="0.35">
      <c r="Y224" t="s">
        <v>884</v>
      </c>
      <c r="Z224" t="s">
        <v>885</v>
      </c>
    </row>
    <row r="225" spans="25:26" x14ac:dyDescent="0.35">
      <c r="Y225" t="s">
        <v>886</v>
      </c>
      <c r="Z225" t="s">
        <v>887</v>
      </c>
    </row>
    <row r="226" spans="25:26" x14ac:dyDescent="0.35">
      <c r="Y226" t="s">
        <v>888</v>
      </c>
      <c r="Z226" t="s">
        <v>889</v>
      </c>
    </row>
    <row r="227" spans="25:26" x14ac:dyDescent="0.35">
      <c r="Y227" t="s">
        <v>890</v>
      </c>
      <c r="Z227" t="s">
        <v>891</v>
      </c>
    </row>
    <row r="228" spans="25:26" x14ac:dyDescent="0.35">
      <c r="Y228" t="s">
        <v>892</v>
      </c>
      <c r="Z228" t="s">
        <v>893</v>
      </c>
    </row>
    <row r="229" spans="25:26" x14ac:dyDescent="0.35">
      <c r="Y229" t="s">
        <v>894</v>
      </c>
      <c r="Z229" t="s">
        <v>895</v>
      </c>
    </row>
    <row r="230" spans="25:26" x14ac:dyDescent="0.35">
      <c r="Y230" t="s">
        <v>896</v>
      </c>
      <c r="Z230" t="s">
        <v>897</v>
      </c>
    </row>
    <row r="231" spans="25:26" x14ac:dyDescent="0.35">
      <c r="Y231" t="s">
        <v>898</v>
      </c>
      <c r="Z231" t="s">
        <v>899</v>
      </c>
    </row>
    <row r="232" spans="25:26" x14ac:dyDescent="0.35">
      <c r="Y232" t="s">
        <v>900</v>
      </c>
      <c r="Z232" t="s">
        <v>901</v>
      </c>
    </row>
    <row r="233" spans="25:26" x14ac:dyDescent="0.35">
      <c r="Y233" t="s">
        <v>902</v>
      </c>
      <c r="Z233" t="s">
        <v>903</v>
      </c>
    </row>
    <row r="234" spans="25:26" x14ac:dyDescent="0.35">
      <c r="Y234" t="s">
        <v>904</v>
      </c>
      <c r="Z234" t="s">
        <v>905</v>
      </c>
    </row>
    <row r="235" spans="25:26" x14ac:dyDescent="0.35">
      <c r="Y235" t="s">
        <v>906</v>
      </c>
      <c r="Z235" t="s">
        <v>907</v>
      </c>
    </row>
    <row r="236" spans="25:26" x14ac:dyDescent="0.35">
      <c r="Y236" t="s">
        <v>908</v>
      </c>
      <c r="Z236" t="s">
        <v>909</v>
      </c>
    </row>
    <row r="237" spans="25:26" x14ac:dyDescent="0.35">
      <c r="Y237" t="s">
        <v>910</v>
      </c>
      <c r="Z237" t="s">
        <v>911</v>
      </c>
    </row>
    <row r="238" spans="25:26" x14ac:dyDescent="0.35">
      <c r="Y238" t="s">
        <v>912</v>
      </c>
      <c r="Z238" t="s">
        <v>913</v>
      </c>
    </row>
    <row r="239" spans="25:26" x14ac:dyDescent="0.35">
      <c r="Y239" t="s">
        <v>914</v>
      </c>
      <c r="Z239" t="s">
        <v>915</v>
      </c>
    </row>
    <row r="240" spans="25:26" x14ac:dyDescent="0.35">
      <c r="Y240" t="s">
        <v>916</v>
      </c>
      <c r="Z240" t="s">
        <v>917</v>
      </c>
    </row>
    <row r="241" spans="25:26" x14ac:dyDescent="0.35">
      <c r="Y241" t="s">
        <v>918</v>
      </c>
      <c r="Z241" t="s">
        <v>919</v>
      </c>
    </row>
    <row r="242" spans="25:26" x14ac:dyDescent="0.35">
      <c r="Y242" t="s">
        <v>920</v>
      </c>
      <c r="Z242" t="s">
        <v>921</v>
      </c>
    </row>
    <row r="243" spans="25:26" x14ac:dyDescent="0.35">
      <c r="Y243" t="s">
        <v>922</v>
      </c>
      <c r="Z243" t="s">
        <v>923</v>
      </c>
    </row>
    <row r="244" spans="25:26" x14ac:dyDescent="0.35">
      <c r="Y244" t="s">
        <v>924</v>
      </c>
      <c r="Z244" t="s">
        <v>925</v>
      </c>
    </row>
    <row r="245" spans="25:26" x14ac:dyDescent="0.35">
      <c r="Y245" t="s">
        <v>926</v>
      </c>
      <c r="Z245" t="s">
        <v>927</v>
      </c>
    </row>
    <row r="246" spans="25:26" x14ac:dyDescent="0.35">
      <c r="Y246" t="s">
        <v>928</v>
      </c>
      <c r="Z246" t="s">
        <v>929</v>
      </c>
    </row>
    <row r="247" spans="25:26" x14ac:dyDescent="0.35">
      <c r="Y247" t="s">
        <v>930</v>
      </c>
      <c r="Z247" t="s">
        <v>931</v>
      </c>
    </row>
    <row r="248" spans="25:26" x14ac:dyDescent="0.35">
      <c r="Y248" t="s">
        <v>932</v>
      </c>
      <c r="Z248" t="s">
        <v>933</v>
      </c>
    </row>
    <row r="249" spans="25:26" x14ac:dyDescent="0.35">
      <c r="Y249" t="s">
        <v>934</v>
      </c>
      <c r="Z249" t="s">
        <v>935</v>
      </c>
    </row>
    <row r="250" spans="25:26" x14ac:dyDescent="0.35">
      <c r="Y250" t="s">
        <v>936</v>
      </c>
      <c r="Z250" t="s">
        <v>937</v>
      </c>
    </row>
    <row r="251" spans="25:26" x14ac:dyDescent="0.35">
      <c r="Y251" t="s">
        <v>938</v>
      </c>
      <c r="Z251" t="s">
        <v>939</v>
      </c>
    </row>
    <row r="252" spans="25:26" x14ac:dyDescent="0.35">
      <c r="Y252" t="s">
        <v>940</v>
      </c>
      <c r="Z252" t="s">
        <v>941</v>
      </c>
    </row>
    <row r="253" spans="25:26" x14ac:dyDescent="0.35">
      <c r="Y253" t="s">
        <v>942</v>
      </c>
      <c r="Z253" t="s">
        <v>943</v>
      </c>
    </row>
    <row r="254" spans="25:26" x14ac:dyDescent="0.35">
      <c r="Y254" t="s">
        <v>944</v>
      </c>
      <c r="Z254" t="s">
        <v>945</v>
      </c>
    </row>
    <row r="255" spans="25:26" x14ac:dyDescent="0.35">
      <c r="Y255" t="s">
        <v>946</v>
      </c>
      <c r="Z255" t="s">
        <v>947</v>
      </c>
    </row>
    <row r="256" spans="25:26" x14ac:dyDescent="0.35">
      <c r="Y256" t="s">
        <v>948</v>
      </c>
      <c r="Z256" t="s">
        <v>949</v>
      </c>
    </row>
    <row r="257" spans="25:26" x14ac:dyDescent="0.35">
      <c r="Y257" t="s">
        <v>950</v>
      </c>
      <c r="Z257" t="s">
        <v>951</v>
      </c>
    </row>
    <row r="258" spans="25:26" x14ac:dyDescent="0.35">
      <c r="Y258" t="s">
        <v>952</v>
      </c>
      <c r="Z258" t="s">
        <v>953</v>
      </c>
    </row>
    <row r="259" spans="25:26" x14ac:dyDescent="0.35">
      <c r="Y259" t="s">
        <v>954</v>
      </c>
      <c r="Z259" t="s">
        <v>955</v>
      </c>
    </row>
    <row r="260" spans="25:26" x14ac:dyDescent="0.35">
      <c r="Y260" t="s">
        <v>956</v>
      </c>
      <c r="Z260" t="s">
        <v>957</v>
      </c>
    </row>
    <row r="261" spans="25:26" x14ac:dyDescent="0.35">
      <c r="Y261" t="s">
        <v>958</v>
      </c>
      <c r="Z261" t="s">
        <v>959</v>
      </c>
    </row>
    <row r="262" spans="25:26" x14ac:dyDescent="0.35">
      <c r="Y262" t="s">
        <v>960</v>
      </c>
      <c r="Z262" t="s">
        <v>961</v>
      </c>
    </row>
    <row r="263" spans="25:26" x14ac:dyDescent="0.35">
      <c r="Y263" t="s">
        <v>962</v>
      </c>
      <c r="Z263" t="s">
        <v>963</v>
      </c>
    </row>
    <row r="264" spans="25:26" x14ac:dyDescent="0.35">
      <c r="Y264" t="s">
        <v>964</v>
      </c>
      <c r="Z264" t="s">
        <v>965</v>
      </c>
    </row>
    <row r="265" spans="25:26" x14ac:dyDescent="0.35">
      <c r="Y265" t="s">
        <v>966</v>
      </c>
      <c r="Z265" t="s">
        <v>967</v>
      </c>
    </row>
    <row r="266" spans="25:26" x14ac:dyDescent="0.35">
      <c r="Y266" t="s">
        <v>968</v>
      </c>
      <c r="Z266" t="s">
        <v>969</v>
      </c>
    </row>
    <row r="267" spans="25:26" x14ac:dyDescent="0.35">
      <c r="Y267" t="s">
        <v>970</v>
      </c>
      <c r="Z267" t="s">
        <v>971</v>
      </c>
    </row>
    <row r="268" spans="25:26" x14ac:dyDescent="0.35">
      <c r="Y268" t="s">
        <v>972</v>
      </c>
      <c r="Z268" t="s">
        <v>973</v>
      </c>
    </row>
    <row r="269" spans="25:26" x14ac:dyDescent="0.35">
      <c r="Y269" t="s">
        <v>974</v>
      </c>
      <c r="Z269" t="s">
        <v>975</v>
      </c>
    </row>
    <row r="270" spans="25:26" x14ac:dyDescent="0.35">
      <c r="Y270" t="s">
        <v>976</v>
      </c>
      <c r="Z270" t="s">
        <v>977</v>
      </c>
    </row>
    <row r="271" spans="25:26" x14ac:dyDescent="0.35">
      <c r="Y271" t="s">
        <v>978</v>
      </c>
      <c r="Z271" t="s">
        <v>979</v>
      </c>
    </row>
    <row r="272" spans="25:26" x14ac:dyDescent="0.35">
      <c r="Y272" t="s">
        <v>980</v>
      </c>
      <c r="Z272" t="s">
        <v>981</v>
      </c>
    </row>
    <row r="273" spans="25:26" x14ac:dyDescent="0.35">
      <c r="Y273" t="s">
        <v>982</v>
      </c>
      <c r="Z273" t="s">
        <v>983</v>
      </c>
    </row>
    <row r="274" spans="25:26" x14ac:dyDescent="0.35">
      <c r="Y274" t="s">
        <v>984</v>
      </c>
      <c r="Z274" t="s">
        <v>985</v>
      </c>
    </row>
    <row r="275" spans="25:26" x14ac:dyDescent="0.35">
      <c r="Y275" t="s">
        <v>986</v>
      </c>
      <c r="Z275" t="s">
        <v>987</v>
      </c>
    </row>
    <row r="276" spans="25:26" x14ac:dyDescent="0.35">
      <c r="Y276" t="s">
        <v>988</v>
      </c>
      <c r="Z276" t="s">
        <v>989</v>
      </c>
    </row>
    <row r="277" spans="25:26" x14ac:dyDescent="0.35">
      <c r="Y277" t="s">
        <v>990</v>
      </c>
      <c r="Z277" t="s">
        <v>991</v>
      </c>
    </row>
    <row r="278" spans="25:26" x14ac:dyDescent="0.35">
      <c r="Y278" t="s">
        <v>992</v>
      </c>
      <c r="Z278" t="s">
        <v>993</v>
      </c>
    </row>
    <row r="279" spans="25:26" x14ac:dyDescent="0.35">
      <c r="Y279" t="s">
        <v>994</v>
      </c>
      <c r="Z279" t="s">
        <v>995</v>
      </c>
    </row>
    <row r="280" spans="25:26" x14ac:dyDescent="0.35">
      <c r="Y280" t="s">
        <v>996</v>
      </c>
      <c r="Z280" t="s">
        <v>997</v>
      </c>
    </row>
    <row r="281" spans="25:26" x14ac:dyDescent="0.35">
      <c r="Y281" t="s">
        <v>998</v>
      </c>
      <c r="Z281" t="s">
        <v>999</v>
      </c>
    </row>
    <row r="282" spans="25:26" x14ac:dyDescent="0.35">
      <c r="Y282" t="s">
        <v>1000</v>
      </c>
      <c r="Z282" t="s">
        <v>1001</v>
      </c>
    </row>
    <row r="283" spans="25:26" ht="43.5" x14ac:dyDescent="0.35">
      <c r="Y283" s="61" t="s">
        <v>1002</v>
      </c>
      <c r="Z283" t="s">
        <v>1003</v>
      </c>
    </row>
    <row r="284" spans="25:26" x14ac:dyDescent="0.35">
      <c r="Y284" t="s">
        <v>1004</v>
      </c>
      <c r="Z284" t="s">
        <v>1005</v>
      </c>
    </row>
    <row r="285" spans="25:26" x14ac:dyDescent="0.35">
      <c r="Y285" t="s">
        <v>1006</v>
      </c>
      <c r="Z285" t="s">
        <v>1007</v>
      </c>
    </row>
    <row r="286" spans="25:26" x14ac:dyDescent="0.35">
      <c r="Y286" t="s">
        <v>1008</v>
      </c>
      <c r="Z286" t="s">
        <v>1009</v>
      </c>
    </row>
    <row r="287" spans="25:26" x14ac:dyDescent="0.35">
      <c r="Y287" t="s">
        <v>1010</v>
      </c>
      <c r="Z287" t="s">
        <v>1011</v>
      </c>
    </row>
    <row r="288" spans="25:26" x14ac:dyDescent="0.35">
      <c r="Y288" t="s">
        <v>1012</v>
      </c>
      <c r="Z288" t="s">
        <v>1013</v>
      </c>
    </row>
    <row r="289" spans="25:26" x14ac:dyDescent="0.35">
      <c r="Y289" t="s">
        <v>1014</v>
      </c>
      <c r="Z289" t="s">
        <v>1015</v>
      </c>
    </row>
    <row r="290" spans="25:26" x14ac:dyDescent="0.35">
      <c r="Y290" t="s">
        <v>1016</v>
      </c>
      <c r="Z290" t="s">
        <v>1017</v>
      </c>
    </row>
    <row r="291" spans="25:26" x14ac:dyDescent="0.35">
      <c r="Y291" t="s">
        <v>1018</v>
      </c>
      <c r="Z291" t="s">
        <v>1019</v>
      </c>
    </row>
    <row r="292" spans="25:26" x14ac:dyDescent="0.35">
      <c r="Y292" t="s">
        <v>1020</v>
      </c>
      <c r="Z292" t="s">
        <v>1021</v>
      </c>
    </row>
    <row r="293" spans="25:26" x14ac:dyDescent="0.35">
      <c r="Y293" t="s">
        <v>1022</v>
      </c>
      <c r="Z293" t="s">
        <v>1023</v>
      </c>
    </row>
    <row r="294" spans="25:26" x14ac:dyDescent="0.35">
      <c r="Y294" t="s">
        <v>1024</v>
      </c>
      <c r="Z294" t="s">
        <v>1025</v>
      </c>
    </row>
    <row r="295" spans="25:26" x14ac:dyDescent="0.35">
      <c r="Y295" t="s">
        <v>1026</v>
      </c>
      <c r="Z295" t="s">
        <v>1027</v>
      </c>
    </row>
    <row r="296" spans="25:26" x14ac:dyDescent="0.35">
      <c r="Y296" t="s">
        <v>1028</v>
      </c>
      <c r="Z296" t="s">
        <v>1029</v>
      </c>
    </row>
    <row r="297" spans="25:26" x14ac:dyDescent="0.35">
      <c r="Y297" t="s">
        <v>1030</v>
      </c>
      <c r="Z297" t="s">
        <v>1031</v>
      </c>
    </row>
    <row r="298" spans="25:26" x14ac:dyDescent="0.35">
      <c r="Y298" t="s">
        <v>1032</v>
      </c>
      <c r="Z298" t="s">
        <v>1033</v>
      </c>
    </row>
    <row r="299" spans="25:26" x14ac:dyDescent="0.35">
      <c r="Y299" t="s">
        <v>1034</v>
      </c>
      <c r="Z299" t="s">
        <v>1035</v>
      </c>
    </row>
    <row r="300" spans="25:26" x14ac:dyDescent="0.35">
      <c r="Y300" t="s">
        <v>1036</v>
      </c>
      <c r="Z300" t="s">
        <v>1037</v>
      </c>
    </row>
    <row r="301" spans="25:26" x14ac:dyDescent="0.35">
      <c r="Y301" t="s">
        <v>1038</v>
      </c>
      <c r="Z301" t="s">
        <v>1039</v>
      </c>
    </row>
    <row r="302" spans="25:26" x14ac:dyDescent="0.35">
      <c r="Y302" t="s">
        <v>1040</v>
      </c>
      <c r="Z302" t="s">
        <v>1041</v>
      </c>
    </row>
    <row r="303" spans="25:26" x14ac:dyDescent="0.35">
      <c r="Y303" t="s">
        <v>1042</v>
      </c>
      <c r="Z303" t="s">
        <v>1043</v>
      </c>
    </row>
    <row r="304" spans="25:26" x14ac:dyDescent="0.35">
      <c r="Y304" t="s">
        <v>1044</v>
      </c>
      <c r="Z304" t="s">
        <v>1045</v>
      </c>
    </row>
    <row r="305" spans="25:26" x14ac:dyDescent="0.35">
      <c r="Y305" t="s">
        <v>1046</v>
      </c>
      <c r="Z305" t="s">
        <v>1047</v>
      </c>
    </row>
    <row r="306" spans="25:26" x14ac:dyDescent="0.35">
      <c r="Y306" t="s">
        <v>1048</v>
      </c>
      <c r="Z306" t="s">
        <v>1049</v>
      </c>
    </row>
    <row r="307" spans="25:26" x14ac:dyDescent="0.35">
      <c r="Y307" t="s">
        <v>1050</v>
      </c>
      <c r="Z307" t="s">
        <v>1051</v>
      </c>
    </row>
    <row r="308" spans="25:26" x14ac:dyDescent="0.35">
      <c r="Y308" t="s">
        <v>1052</v>
      </c>
      <c r="Z308" t="s">
        <v>1053</v>
      </c>
    </row>
    <row r="309" spans="25:26" x14ac:dyDescent="0.35">
      <c r="Y309" t="s">
        <v>1054</v>
      </c>
      <c r="Z309" t="s">
        <v>1055</v>
      </c>
    </row>
    <row r="310" spans="25:26" x14ac:dyDescent="0.35">
      <c r="Y310" t="s">
        <v>1056</v>
      </c>
      <c r="Z310" t="s">
        <v>1057</v>
      </c>
    </row>
    <row r="311" spans="25:26" x14ac:dyDescent="0.35">
      <c r="Y311" t="s">
        <v>1058</v>
      </c>
      <c r="Z311" t="s">
        <v>1059</v>
      </c>
    </row>
    <row r="312" spans="25:26" x14ac:dyDescent="0.35">
      <c r="Y312" t="s">
        <v>1060</v>
      </c>
      <c r="Z312" t="s">
        <v>1061</v>
      </c>
    </row>
    <row r="313" spans="25:26" x14ac:dyDescent="0.35">
      <c r="Y313" t="s">
        <v>1062</v>
      </c>
      <c r="Z313" t="s">
        <v>1063</v>
      </c>
    </row>
    <row r="314" spans="25:26" x14ac:dyDescent="0.35">
      <c r="Y314" t="s">
        <v>1064</v>
      </c>
      <c r="Z314" t="s">
        <v>1065</v>
      </c>
    </row>
    <row r="315" spans="25:26" x14ac:dyDescent="0.35">
      <c r="Y315" t="s">
        <v>1066</v>
      </c>
      <c r="Z315" t="s">
        <v>1067</v>
      </c>
    </row>
    <row r="316" spans="25:26" x14ac:dyDescent="0.35">
      <c r="Y316" t="s">
        <v>1068</v>
      </c>
      <c r="Z316" t="s">
        <v>1069</v>
      </c>
    </row>
    <row r="317" spans="25:26" x14ac:dyDescent="0.35">
      <c r="Y317" t="s">
        <v>1070</v>
      </c>
      <c r="Z317" t="s">
        <v>1071</v>
      </c>
    </row>
    <row r="318" spans="25:26" x14ac:dyDescent="0.35">
      <c r="Y318" t="s">
        <v>1072</v>
      </c>
      <c r="Z318" t="s">
        <v>1073</v>
      </c>
    </row>
    <row r="319" spans="25:26" x14ac:dyDescent="0.35">
      <c r="Y319" t="s">
        <v>1074</v>
      </c>
      <c r="Z319" t="s">
        <v>1075</v>
      </c>
    </row>
    <row r="320" spans="25:26" x14ac:dyDescent="0.35">
      <c r="Y320" t="s">
        <v>1076</v>
      </c>
      <c r="Z320" t="s">
        <v>1077</v>
      </c>
    </row>
    <row r="321" spans="25:26" x14ac:dyDescent="0.35">
      <c r="Y321" t="s">
        <v>1078</v>
      </c>
      <c r="Z321" t="s">
        <v>1079</v>
      </c>
    </row>
    <row r="322" spans="25:26" x14ac:dyDescent="0.35">
      <c r="Y322" t="s">
        <v>1080</v>
      </c>
      <c r="Z322" t="s">
        <v>1081</v>
      </c>
    </row>
    <row r="323" spans="25:26" x14ac:dyDescent="0.35">
      <c r="Y323" t="s">
        <v>1082</v>
      </c>
      <c r="Z323" t="s">
        <v>1083</v>
      </c>
    </row>
    <row r="324" spans="25:26" x14ac:dyDescent="0.35">
      <c r="Y324" t="s">
        <v>1084</v>
      </c>
      <c r="Z324" t="s">
        <v>1085</v>
      </c>
    </row>
    <row r="325" spans="25:26" x14ac:dyDescent="0.35">
      <c r="Y325" t="s">
        <v>1086</v>
      </c>
      <c r="Z325" t="s">
        <v>1087</v>
      </c>
    </row>
    <row r="326" spans="25:26" x14ac:dyDescent="0.35">
      <c r="Y326" t="s">
        <v>1088</v>
      </c>
      <c r="Z326" t="s">
        <v>1089</v>
      </c>
    </row>
    <row r="327" spans="25:26" x14ac:dyDescent="0.35">
      <c r="Y327" t="s">
        <v>1090</v>
      </c>
      <c r="Z327" t="s">
        <v>1091</v>
      </c>
    </row>
    <row r="328" spans="25:26" x14ac:dyDescent="0.35">
      <c r="Y328" t="s">
        <v>1092</v>
      </c>
      <c r="Z328" t="s">
        <v>1093</v>
      </c>
    </row>
    <row r="329" spans="25:26" x14ac:dyDescent="0.35">
      <c r="Y329" t="s">
        <v>1094</v>
      </c>
      <c r="Z329" t="s">
        <v>1095</v>
      </c>
    </row>
    <row r="330" spans="25:26" x14ac:dyDescent="0.35">
      <c r="Y330" t="s">
        <v>1096</v>
      </c>
      <c r="Z330" t="s">
        <v>1097</v>
      </c>
    </row>
    <row r="331" spans="25:26" x14ac:dyDescent="0.35">
      <c r="Y331" t="s">
        <v>1098</v>
      </c>
      <c r="Z331" t="s">
        <v>1099</v>
      </c>
    </row>
    <row r="332" spans="25:26" x14ac:dyDescent="0.35">
      <c r="Y332" t="s">
        <v>1100</v>
      </c>
      <c r="Z332" t="s">
        <v>1101</v>
      </c>
    </row>
    <row r="333" spans="25:26" x14ac:dyDescent="0.35">
      <c r="Y333" t="s">
        <v>1102</v>
      </c>
      <c r="Z333" t="s">
        <v>1103</v>
      </c>
    </row>
    <row r="334" spans="25:26" x14ac:dyDescent="0.35">
      <c r="Y334" t="s">
        <v>1104</v>
      </c>
      <c r="Z334" t="s">
        <v>1105</v>
      </c>
    </row>
    <row r="335" spans="25:26" x14ac:dyDescent="0.35">
      <c r="Y335" t="s">
        <v>1106</v>
      </c>
      <c r="Z335" t="s">
        <v>1107</v>
      </c>
    </row>
    <row r="336" spans="25:26" x14ac:dyDescent="0.35">
      <c r="Y336" t="s">
        <v>1108</v>
      </c>
      <c r="Z336" t="s">
        <v>1109</v>
      </c>
    </row>
    <row r="337" spans="25:26" x14ac:dyDescent="0.35">
      <c r="Y337" t="s">
        <v>1110</v>
      </c>
      <c r="Z337" t="s">
        <v>1111</v>
      </c>
    </row>
    <row r="338" spans="25:26" x14ac:dyDescent="0.35">
      <c r="Y338" t="s">
        <v>1112</v>
      </c>
      <c r="Z338" t="s">
        <v>1113</v>
      </c>
    </row>
    <row r="339" spans="25:26" x14ac:dyDescent="0.35">
      <c r="Y339" t="s">
        <v>1114</v>
      </c>
      <c r="Z339" t="s">
        <v>1115</v>
      </c>
    </row>
    <row r="340" spans="25:26" x14ac:dyDescent="0.35">
      <c r="Y340" t="s">
        <v>1116</v>
      </c>
      <c r="Z340" t="s">
        <v>1117</v>
      </c>
    </row>
    <row r="341" spans="25:26" x14ac:dyDescent="0.35">
      <c r="Y341" t="s">
        <v>1118</v>
      </c>
      <c r="Z341" t="s">
        <v>1119</v>
      </c>
    </row>
    <row r="342" spans="25:26" x14ac:dyDescent="0.35">
      <c r="Y342" t="s">
        <v>1120</v>
      </c>
      <c r="Z342" t="s">
        <v>1121</v>
      </c>
    </row>
    <row r="343" spans="25:26" x14ac:dyDescent="0.35">
      <c r="Y343" t="s">
        <v>1122</v>
      </c>
      <c r="Z343" t="s">
        <v>1123</v>
      </c>
    </row>
    <row r="344" spans="25:26" x14ac:dyDescent="0.35">
      <c r="Y344" t="s">
        <v>1124</v>
      </c>
      <c r="Z344" t="s">
        <v>1125</v>
      </c>
    </row>
    <row r="345" spans="25:26" x14ac:dyDescent="0.35">
      <c r="Y345" t="s">
        <v>1126</v>
      </c>
      <c r="Z345" t="s">
        <v>1127</v>
      </c>
    </row>
    <row r="346" spans="25:26" x14ac:dyDescent="0.35">
      <c r="Y346" t="s">
        <v>1128</v>
      </c>
      <c r="Z346" t="s">
        <v>1129</v>
      </c>
    </row>
    <row r="347" spans="25:26" x14ac:dyDescent="0.35">
      <c r="Y347" t="s">
        <v>1130</v>
      </c>
      <c r="Z347" t="s">
        <v>1131</v>
      </c>
    </row>
    <row r="348" spans="25:26" x14ac:dyDescent="0.35">
      <c r="Y348" t="s">
        <v>1132</v>
      </c>
      <c r="Z348" t="s">
        <v>1133</v>
      </c>
    </row>
    <row r="349" spans="25:26" x14ac:dyDescent="0.35">
      <c r="Y349" t="s">
        <v>1134</v>
      </c>
      <c r="Z349" t="s">
        <v>1135</v>
      </c>
    </row>
    <row r="350" spans="25:26" x14ac:dyDescent="0.35">
      <c r="Y350" t="s">
        <v>1136</v>
      </c>
      <c r="Z350" t="s">
        <v>1137</v>
      </c>
    </row>
    <row r="351" spans="25:26" x14ac:dyDescent="0.35">
      <c r="Y351" t="s">
        <v>1138</v>
      </c>
      <c r="Z351" t="s">
        <v>1139</v>
      </c>
    </row>
    <row r="352" spans="25:26" x14ac:dyDescent="0.35">
      <c r="Y352" t="s">
        <v>1140</v>
      </c>
      <c r="Z352" t="s">
        <v>1141</v>
      </c>
    </row>
    <row r="353" spans="25:26" x14ac:dyDescent="0.35">
      <c r="Y353" t="s">
        <v>1142</v>
      </c>
      <c r="Z353" t="s">
        <v>1143</v>
      </c>
    </row>
    <row r="354" spans="25:26" x14ac:dyDescent="0.35">
      <c r="Y354" t="s">
        <v>1144</v>
      </c>
      <c r="Z354" t="s">
        <v>1145</v>
      </c>
    </row>
    <row r="355" spans="25:26" x14ac:dyDescent="0.35">
      <c r="Y355" t="s">
        <v>1146</v>
      </c>
      <c r="Z355" t="s">
        <v>1147</v>
      </c>
    </row>
    <row r="356" spans="25:26" x14ac:dyDescent="0.35">
      <c r="Y356" t="s">
        <v>1148</v>
      </c>
      <c r="Z356" t="s">
        <v>1149</v>
      </c>
    </row>
    <row r="357" spans="25:26" x14ac:dyDescent="0.35">
      <c r="Y357" t="s">
        <v>1150</v>
      </c>
      <c r="Z357" t="s">
        <v>1151</v>
      </c>
    </row>
    <row r="358" spans="25:26" x14ac:dyDescent="0.35">
      <c r="Y358" t="s">
        <v>1152</v>
      </c>
      <c r="Z358" t="s">
        <v>1153</v>
      </c>
    </row>
    <row r="359" spans="25:26" x14ac:dyDescent="0.35">
      <c r="Y359" t="s">
        <v>1154</v>
      </c>
      <c r="Z359" t="s">
        <v>1155</v>
      </c>
    </row>
    <row r="360" spans="25:26" x14ac:dyDescent="0.35">
      <c r="Y360" t="s">
        <v>1156</v>
      </c>
      <c r="Z360" t="s">
        <v>1157</v>
      </c>
    </row>
    <row r="361" spans="25:26" x14ac:dyDescent="0.35">
      <c r="Y361" t="s">
        <v>1158</v>
      </c>
      <c r="Z361" t="s">
        <v>1159</v>
      </c>
    </row>
    <row r="362" spans="25:26" x14ac:dyDescent="0.35">
      <c r="Y362" t="s">
        <v>1160</v>
      </c>
      <c r="Z362" t="s">
        <v>1161</v>
      </c>
    </row>
    <row r="363" spans="25:26" x14ac:dyDescent="0.35">
      <c r="Y363" t="s">
        <v>1162</v>
      </c>
      <c r="Z363" t="s">
        <v>1163</v>
      </c>
    </row>
    <row r="364" spans="25:26" x14ac:dyDescent="0.35">
      <c r="Y364" t="s">
        <v>1164</v>
      </c>
      <c r="Z364" t="s">
        <v>1165</v>
      </c>
    </row>
    <row r="365" spans="25:26" x14ac:dyDescent="0.35">
      <c r="Y365" t="s">
        <v>1166</v>
      </c>
      <c r="Z365" t="s">
        <v>1167</v>
      </c>
    </row>
    <row r="366" spans="25:26" x14ac:dyDescent="0.35">
      <c r="Y366" t="s">
        <v>1168</v>
      </c>
      <c r="Z366" t="s">
        <v>1169</v>
      </c>
    </row>
    <row r="367" spans="25:26" x14ac:dyDescent="0.35">
      <c r="Y367" t="s">
        <v>1170</v>
      </c>
      <c r="Z367" t="s">
        <v>1171</v>
      </c>
    </row>
    <row r="368" spans="25:26" x14ac:dyDescent="0.35">
      <c r="Y368" t="s">
        <v>1172</v>
      </c>
      <c r="Z368" t="s">
        <v>1173</v>
      </c>
    </row>
    <row r="369" spans="25:26" x14ac:dyDescent="0.35">
      <c r="Y369" t="s">
        <v>1174</v>
      </c>
      <c r="Z369" t="s">
        <v>1175</v>
      </c>
    </row>
    <row r="370" spans="25:26" x14ac:dyDescent="0.35">
      <c r="Y370" t="s">
        <v>1176</v>
      </c>
      <c r="Z370" t="s">
        <v>1177</v>
      </c>
    </row>
    <row r="371" spans="25:26" x14ac:dyDescent="0.35">
      <c r="Y371" t="s">
        <v>1178</v>
      </c>
      <c r="Z371" t="s">
        <v>1179</v>
      </c>
    </row>
    <row r="372" spans="25:26" x14ac:dyDescent="0.35">
      <c r="Y372" t="s">
        <v>1180</v>
      </c>
      <c r="Z372" t="s">
        <v>1181</v>
      </c>
    </row>
    <row r="373" spans="25:26" x14ac:dyDescent="0.35">
      <c r="Y373" t="s">
        <v>1182</v>
      </c>
      <c r="Z373" t="s">
        <v>1183</v>
      </c>
    </row>
    <row r="374" spans="25:26" x14ac:dyDescent="0.35">
      <c r="Y374" t="s">
        <v>1184</v>
      </c>
      <c r="Z374" t="s">
        <v>1185</v>
      </c>
    </row>
    <row r="375" spans="25:26" x14ac:dyDescent="0.35">
      <c r="Y375" t="s">
        <v>1186</v>
      </c>
      <c r="Z375" t="s">
        <v>1187</v>
      </c>
    </row>
    <row r="376" spans="25:26" x14ac:dyDescent="0.35">
      <c r="Y376" t="s">
        <v>1188</v>
      </c>
      <c r="Z376" t="s">
        <v>1189</v>
      </c>
    </row>
    <row r="377" spans="25:26" x14ac:dyDescent="0.35">
      <c r="Y377" t="s">
        <v>1190</v>
      </c>
      <c r="Z377" t="s">
        <v>1191</v>
      </c>
    </row>
    <row r="378" spans="25:26" x14ac:dyDescent="0.35">
      <c r="Y378" t="s">
        <v>1192</v>
      </c>
      <c r="Z378" t="s">
        <v>1193</v>
      </c>
    </row>
    <row r="379" spans="25:26" x14ac:dyDescent="0.35">
      <c r="Y379" t="s">
        <v>1194</v>
      </c>
      <c r="Z379" t="s">
        <v>1195</v>
      </c>
    </row>
    <row r="380" spans="25:26" x14ac:dyDescent="0.35">
      <c r="Y380" t="s">
        <v>1196</v>
      </c>
      <c r="Z380" t="s">
        <v>1197</v>
      </c>
    </row>
    <row r="381" spans="25:26" x14ac:dyDescent="0.35">
      <c r="Y381" t="s">
        <v>1198</v>
      </c>
      <c r="Z381" t="s">
        <v>1199</v>
      </c>
    </row>
    <row r="382" spans="25:26" x14ac:dyDescent="0.35">
      <c r="Y382" t="s">
        <v>1200</v>
      </c>
      <c r="Z382" t="s">
        <v>1201</v>
      </c>
    </row>
    <row r="383" spans="25:26" x14ac:dyDescent="0.35">
      <c r="Y383" t="s">
        <v>1202</v>
      </c>
      <c r="Z383" t="s">
        <v>1203</v>
      </c>
    </row>
    <row r="384" spans="25:26" x14ac:dyDescent="0.35">
      <c r="Y384" t="s">
        <v>1204</v>
      </c>
      <c r="Z384" t="s">
        <v>1205</v>
      </c>
    </row>
    <row r="385" spans="25:26" x14ac:dyDescent="0.35">
      <c r="Y385" t="s">
        <v>1206</v>
      </c>
      <c r="Z385" t="s">
        <v>1207</v>
      </c>
    </row>
    <row r="386" spans="25:26" x14ac:dyDescent="0.35">
      <c r="Y386" t="s">
        <v>1208</v>
      </c>
      <c r="Z386" t="s">
        <v>1209</v>
      </c>
    </row>
    <row r="387" spans="25:26" x14ac:dyDescent="0.35">
      <c r="Y387" t="s">
        <v>1210</v>
      </c>
      <c r="Z387" t="s">
        <v>1211</v>
      </c>
    </row>
    <row r="388" spans="25:26" x14ac:dyDescent="0.35">
      <c r="Y388" t="s">
        <v>1212</v>
      </c>
      <c r="Z388" t="s">
        <v>1213</v>
      </c>
    </row>
    <row r="389" spans="25:26" x14ac:dyDescent="0.35">
      <c r="Y389" t="s">
        <v>1214</v>
      </c>
      <c r="Z389" t="s">
        <v>1215</v>
      </c>
    </row>
    <row r="390" spans="25:26" x14ac:dyDescent="0.35">
      <c r="Y390" t="s">
        <v>1216</v>
      </c>
      <c r="Z390" t="s">
        <v>1217</v>
      </c>
    </row>
    <row r="391" spans="25:26" x14ac:dyDescent="0.35">
      <c r="Y391" t="s">
        <v>1218</v>
      </c>
      <c r="Z391" t="s">
        <v>1219</v>
      </c>
    </row>
    <row r="392" spans="25:26" x14ac:dyDescent="0.35">
      <c r="Y392" s="51" t="s">
        <v>1220</v>
      </c>
      <c r="Z392" s="51" t="s">
        <v>1221</v>
      </c>
    </row>
    <row r="393" spans="25:26" x14ac:dyDescent="0.35">
      <c r="Y393" s="51" t="s">
        <v>1222</v>
      </c>
      <c r="Z393" s="51" t="s">
        <v>1223</v>
      </c>
    </row>
    <row r="394" spans="25:26" x14ac:dyDescent="0.35">
      <c r="Y394" s="51" t="s">
        <v>1224</v>
      </c>
      <c r="Z394" s="51" t="s">
        <v>1225</v>
      </c>
    </row>
    <row r="395" spans="25:26" x14ac:dyDescent="0.35">
      <c r="Y395" s="51" t="s">
        <v>1226</v>
      </c>
      <c r="Z395" s="51" t="s">
        <v>1227</v>
      </c>
    </row>
    <row r="396" spans="25:26" x14ac:dyDescent="0.35">
      <c r="Y396" s="51" t="s">
        <v>1228</v>
      </c>
      <c r="Z396" s="51" t="s">
        <v>1229</v>
      </c>
    </row>
    <row r="397" spans="25:26" x14ac:dyDescent="0.35">
      <c r="Y397" s="51" t="s">
        <v>1230</v>
      </c>
      <c r="Z397" s="51" t="s">
        <v>1231</v>
      </c>
    </row>
    <row r="398" spans="25:26" x14ac:dyDescent="0.35">
      <c r="Y398" s="51" t="s">
        <v>1232</v>
      </c>
      <c r="Z398" s="51" t="s">
        <v>1233</v>
      </c>
    </row>
    <row r="399" spans="25:26" x14ac:dyDescent="0.35">
      <c r="Y399" s="51" t="s">
        <v>1234</v>
      </c>
      <c r="Z399" s="51" t="s">
        <v>1235</v>
      </c>
    </row>
    <row r="400" spans="25:26" x14ac:dyDescent="0.35">
      <c r="Y400" s="51" t="s">
        <v>1236</v>
      </c>
      <c r="Z400" s="51" t="s">
        <v>1237</v>
      </c>
    </row>
    <row r="401" spans="25:26" x14ac:dyDescent="0.35">
      <c r="Y401" s="51" t="s">
        <v>1238</v>
      </c>
      <c r="Z401" s="51" t="s">
        <v>1239</v>
      </c>
    </row>
    <row r="402" spans="25:26" x14ac:dyDescent="0.35">
      <c r="Y402" s="51" t="s">
        <v>1240</v>
      </c>
      <c r="Z402" s="51" t="s">
        <v>1241</v>
      </c>
    </row>
    <row r="403" spans="25:26" x14ac:dyDescent="0.35">
      <c r="Y403" s="51" t="s">
        <v>1242</v>
      </c>
      <c r="Z403" s="51" t="s">
        <v>1243</v>
      </c>
    </row>
    <row r="404" spans="25:26" x14ac:dyDescent="0.35">
      <c r="Y404" s="51" t="s">
        <v>1244</v>
      </c>
      <c r="Z404" s="51" t="s">
        <v>1245</v>
      </c>
    </row>
    <row r="405" spans="25:26" x14ac:dyDescent="0.35">
      <c r="Y405" s="51" t="s">
        <v>1246</v>
      </c>
      <c r="Z405" s="51" t="s">
        <v>1247</v>
      </c>
    </row>
    <row r="406" spans="25:26" x14ac:dyDescent="0.35">
      <c r="Y406" s="51" t="s">
        <v>1248</v>
      </c>
      <c r="Z406" s="51" t="s">
        <v>1249</v>
      </c>
    </row>
    <row r="407" spans="25:26" x14ac:dyDescent="0.35">
      <c r="Y407" s="51" t="s">
        <v>1250</v>
      </c>
      <c r="Z407" s="51" t="s">
        <v>1251</v>
      </c>
    </row>
    <row r="408" spans="25:26" x14ac:dyDescent="0.35">
      <c r="Y408" s="51" t="s">
        <v>1252</v>
      </c>
      <c r="Z408" s="51" t="s">
        <v>1253</v>
      </c>
    </row>
    <row r="409" spans="25:26" x14ac:dyDescent="0.35">
      <c r="Y409" s="51" t="s">
        <v>1254</v>
      </c>
      <c r="Z409" s="51" t="s">
        <v>1255</v>
      </c>
    </row>
    <row r="410" spans="25:26" x14ac:dyDescent="0.35">
      <c r="Y410" s="51" t="s">
        <v>1256</v>
      </c>
      <c r="Z410" s="51" t="s">
        <v>1257</v>
      </c>
    </row>
    <row r="411" spans="25:26" x14ac:dyDescent="0.35">
      <c r="Y411" s="51" t="s">
        <v>1258</v>
      </c>
      <c r="Z411" s="51" t="s">
        <v>1259</v>
      </c>
    </row>
    <row r="412" spans="25:26" x14ac:dyDescent="0.35">
      <c r="Y412" s="51" t="s">
        <v>1260</v>
      </c>
      <c r="Z412" s="51" t="s">
        <v>1261</v>
      </c>
    </row>
    <row r="413" spans="25:26" x14ac:dyDescent="0.35">
      <c r="Y413" s="51" t="s">
        <v>1262</v>
      </c>
      <c r="Z413" s="51" t="s">
        <v>1263</v>
      </c>
    </row>
    <row r="414" spans="25:26" x14ac:dyDescent="0.35">
      <c r="Y414" s="51" t="s">
        <v>1264</v>
      </c>
      <c r="Z414" s="51" t="s">
        <v>1265</v>
      </c>
    </row>
    <row r="415" spans="25:26" x14ac:dyDescent="0.35">
      <c r="Y415" s="51" t="s">
        <v>1266</v>
      </c>
      <c r="Z415" s="51" t="s">
        <v>1267</v>
      </c>
    </row>
    <row r="416" spans="25:26" x14ac:dyDescent="0.35">
      <c r="Y416" s="51" t="s">
        <v>1268</v>
      </c>
      <c r="Z416" s="51" t="s">
        <v>1269</v>
      </c>
    </row>
    <row r="417" spans="25:26" x14ac:dyDescent="0.35">
      <c r="Y417" s="51" t="s">
        <v>1270</v>
      </c>
      <c r="Z417" s="51" t="s">
        <v>1271</v>
      </c>
    </row>
    <row r="418" spans="25:26" x14ac:dyDescent="0.35">
      <c r="Y418" s="51" t="s">
        <v>1272</v>
      </c>
      <c r="Z418" s="51" t="s">
        <v>1273</v>
      </c>
    </row>
    <row r="419" spans="25:26" x14ac:dyDescent="0.35">
      <c r="Y419" s="51" t="s">
        <v>1274</v>
      </c>
      <c r="Z419" s="51" t="s">
        <v>1275</v>
      </c>
    </row>
    <row r="420" spans="25:26" x14ac:dyDescent="0.35">
      <c r="Y420" s="51" t="s">
        <v>1276</v>
      </c>
      <c r="Z420" s="51" t="s">
        <v>1277</v>
      </c>
    </row>
    <row r="421" spans="25:26" x14ac:dyDescent="0.35">
      <c r="Y421" s="51" t="s">
        <v>1278</v>
      </c>
      <c r="Z421" s="51" t="s">
        <v>1279</v>
      </c>
    </row>
    <row r="422" spans="25:26" x14ac:dyDescent="0.35">
      <c r="Y422" s="51" t="s">
        <v>1280</v>
      </c>
      <c r="Z422" s="51" t="s">
        <v>1281</v>
      </c>
    </row>
    <row r="423" spans="25:26" x14ac:dyDescent="0.35">
      <c r="Y423" s="51" t="s">
        <v>1282</v>
      </c>
      <c r="Z423" s="51" t="s">
        <v>1283</v>
      </c>
    </row>
    <row r="424" spans="25:26" x14ac:dyDescent="0.35">
      <c r="Y424" s="51" t="s">
        <v>1284</v>
      </c>
      <c r="Z424" s="51" t="s">
        <v>1285</v>
      </c>
    </row>
    <row r="425" spans="25:26" x14ac:dyDescent="0.35">
      <c r="Y425" s="51" t="s">
        <v>1286</v>
      </c>
      <c r="Z425" s="51" t="s">
        <v>1287</v>
      </c>
    </row>
    <row r="426" spans="25:26" x14ac:dyDescent="0.35">
      <c r="Y426" s="51" t="s">
        <v>1288</v>
      </c>
      <c r="Z426" s="51" t="s">
        <v>1289</v>
      </c>
    </row>
    <row r="427" spans="25:26" x14ac:dyDescent="0.35">
      <c r="Y427" s="51" t="s">
        <v>1290</v>
      </c>
      <c r="Z427" s="51" t="s">
        <v>1291</v>
      </c>
    </row>
    <row r="428" spans="25:26" x14ac:dyDescent="0.35">
      <c r="Y428" s="51" t="s">
        <v>1292</v>
      </c>
      <c r="Z428" s="51" t="s">
        <v>1293</v>
      </c>
    </row>
    <row r="429" spans="25:26" x14ac:dyDescent="0.35">
      <c r="Y429" s="51" t="s">
        <v>1294</v>
      </c>
      <c r="Z429" s="51" t="s">
        <v>1295</v>
      </c>
    </row>
    <row r="430" spans="25:26" x14ac:dyDescent="0.35">
      <c r="Y430" s="51" t="s">
        <v>1296</v>
      </c>
      <c r="Z430" s="51" t="s">
        <v>1297</v>
      </c>
    </row>
    <row r="431" spans="25:26" x14ac:dyDescent="0.35">
      <c r="Y431" s="51" t="s">
        <v>1298</v>
      </c>
      <c r="Z431" s="51" t="s">
        <v>1299</v>
      </c>
    </row>
    <row r="432" spans="25:26" x14ac:dyDescent="0.35">
      <c r="Y432" s="51" t="s">
        <v>1300</v>
      </c>
      <c r="Z432" s="51" t="s">
        <v>1301</v>
      </c>
    </row>
    <row r="433" spans="25:26" x14ac:dyDescent="0.35">
      <c r="Y433" s="51" t="s">
        <v>1302</v>
      </c>
      <c r="Z433" s="51" t="s">
        <v>1303</v>
      </c>
    </row>
    <row r="434" spans="25:26" x14ac:dyDescent="0.35">
      <c r="Y434" s="51" t="s">
        <v>1304</v>
      </c>
      <c r="Z434" s="51" t="s">
        <v>1305</v>
      </c>
    </row>
    <row r="435" spans="25:26" x14ac:dyDescent="0.35">
      <c r="Y435" s="51" t="s">
        <v>1306</v>
      </c>
      <c r="Z435" s="51" t="s">
        <v>1307</v>
      </c>
    </row>
    <row r="436" spans="25:26" x14ac:dyDescent="0.35">
      <c r="Y436" t="s">
        <v>1308</v>
      </c>
      <c r="Z436" t="s">
        <v>1309</v>
      </c>
    </row>
    <row r="437" spans="25:26" x14ac:dyDescent="0.35">
      <c r="Y437" t="s">
        <v>1310</v>
      </c>
      <c r="Z437" t="s">
        <v>1311</v>
      </c>
    </row>
    <row r="438" spans="25:26" x14ac:dyDescent="0.35">
      <c r="Y438" t="s">
        <v>1312</v>
      </c>
      <c r="Z438" t="s">
        <v>1313</v>
      </c>
    </row>
    <row r="439" spans="25:26" x14ac:dyDescent="0.35">
      <c r="Y439" t="s">
        <v>1314</v>
      </c>
      <c r="Z439" t="s">
        <v>1315</v>
      </c>
    </row>
    <row r="440" spans="25:26" x14ac:dyDescent="0.35">
      <c r="Y440" t="s">
        <v>1316</v>
      </c>
      <c r="Z440" t="s">
        <v>1317</v>
      </c>
    </row>
    <row r="441" spans="25:26" x14ac:dyDescent="0.35">
      <c r="Y441" t="s">
        <v>1318</v>
      </c>
      <c r="Z441" t="s">
        <v>1319</v>
      </c>
    </row>
    <row r="442" spans="25:26" x14ac:dyDescent="0.35">
      <c r="Y442" t="s">
        <v>1320</v>
      </c>
      <c r="Z442" t="s">
        <v>1321</v>
      </c>
    </row>
    <row r="443" spans="25:26" x14ac:dyDescent="0.35">
      <c r="Y443" t="s">
        <v>1322</v>
      </c>
      <c r="Z443" t="s">
        <v>1323</v>
      </c>
    </row>
    <row r="444" spans="25:26" x14ac:dyDescent="0.35">
      <c r="Y444" t="s">
        <v>1324</v>
      </c>
      <c r="Z444" t="s">
        <v>1325</v>
      </c>
    </row>
    <row r="445" spans="25:26" x14ac:dyDescent="0.35">
      <c r="Y445" t="s">
        <v>1326</v>
      </c>
      <c r="Z445" t="s">
        <v>1327</v>
      </c>
    </row>
    <row r="446" spans="25:26" x14ac:dyDescent="0.35">
      <c r="Y446" t="s">
        <v>1328</v>
      </c>
      <c r="Z446" t="s">
        <v>1329</v>
      </c>
    </row>
    <row r="447" spans="25:26" x14ac:dyDescent="0.35">
      <c r="Y447" t="s">
        <v>1330</v>
      </c>
      <c r="Z447" t="s">
        <v>1331</v>
      </c>
    </row>
    <row r="448" spans="25:26" x14ac:dyDescent="0.35">
      <c r="Y448" t="s">
        <v>1332</v>
      </c>
      <c r="Z448" t="s">
        <v>1333</v>
      </c>
    </row>
    <row r="449" spans="25:26" x14ac:dyDescent="0.35">
      <c r="Y449" t="s">
        <v>1334</v>
      </c>
      <c r="Z449" t="s">
        <v>1335</v>
      </c>
    </row>
    <row r="450" spans="25:26" x14ac:dyDescent="0.35">
      <c r="Y450" t="s">
        <v>1336</v>
      </c>
      <c r="Z450" t="s">
        <v>1337</v>
      </c>
    </row>
    <row r="451" spans="25:26" x14ac:dyDescent="0.35">
      <c r="Y451" t="s">
        <v>1338</v>
      </c>
      <c r="Z451" t="s">
        <v>1339</v>
      </c>
    </row>
    <row r="452" spans="25:26" x14ac:dyDescent="0.35">
      <c r="Y452" t="s">
        <v>1340</v>
      </c>
      <c r="Z452" t="s">
        <v>1341</v>
      </c>
    </row>
    <row r="453" spans="25:26" x14ac:dyDescent="0.35">
      <c r="Y453" t="s">
        <v>1342</v>
      </c>
      <c r="Z453" t="s">
        <v>1343</v>
      </c>
    </row>
    <row r="454" spans="25:26" x14ac:dyDescent="0.35">
      <c r="Y454" t="s">
        <v>1344</v>
      </c>
      <c r="Z454" t="s">
        <v>1345</v>
      </c>
    </row>
    <row r="455" spans="25:26" x14ac:dyDescent="0.35">
      <c r="Y455" t="s">
        <v>1346</v>
      </c>
      <c r="Z455" t="s">
        <v>1347</v>
      </c>
    </row>
    <row r="456" spans="25:26" x14ac:dyDescent="0.35">
      <c r="Y456" t="s">
        <v>1348</v>
      </c>
      <c r="Z456" t="s">
        <v>1349</v>
      </c>
    </row>
    <row r="457" spans="25:26" x14ac:dyDescent="0.35">
      <c r="Y457" t="s">
        <v>1350</v>
      </c>
      <c r="Z457" t="s">
        <v>1351</v>
      </c>
    </row>
    <row r="458" spans="25:26" x14ac:dyDescent="0.35">
      <c r="Y458" t="s">
        <v>1352</v>
      </c>
      <c r="Z458" t="s">
        <v>1353</v>
      </c>
    </row>
    <row r="459" spans="25:26" x14ac:dyDescent="0.35">
      <c r="Y459" t="s">
        <v>1354</v>
      </c>
      <c r="Z459" t="s">
        <v>1355</v>
      </c>
    </row>
    <row r="460" spans="25:26" x14ac:dyDescent="0.35">
      <c r="Y460" t="s">
        <v>1356</v>
      </c>
      <c r="Z460" t="s">
        <v>1357</v>
      </c>
    </row>
    <row r="461" spans="25:26" x14ac:dyDescent="0.35">
      <c r="Y461" t="s">
        <v>1358</v>
      </c>
      <c r="Z461" t="s">
        <v>1359</v>
      </c>
    </row>
    <row r="462" spans="25:26" x14ac:dyDescent="0.35">
      <c r="Y462" t="s">
        <v>1360</v>
      </c>
      <c r="Z462" t="s">
        <v>1361</v>
      </c>
    </row>
    <row r="463" spans="25:26" x14ac:dyDescent="0.35">
      <c r="Y463" t="s">
        <v>1362</v>
      </c>
      <c r="Z463" t="s">
        <v>1363</v>
      </c>
    </row>
    <row r="464" spans="25:26" x14ac:dyDescent="0.35">
      <c r="Y464" t="s">
        <v>1364</v>
      </c>
      <c r="Z464" t="s">
        <v>1365</v>
      </c>
    </row>
    <row r="465" spans="25:26" x14ac:dyDescent="0.35">
      <c r="Y465" t="s">
        <v>1366</v>
      </c>
      <c r="Z465" t="s">
        <v>1367</v>
      </c>
    </row>
    <row r="466" spans="25:26" x14ac:dyDescent="0.35">
      <c r="Y466" t="s">
        <v>1368</v>
      </c>
      <c r="Z466" t="s">
        <v>1369</v>
      </c>
    </row>
    <row r="467" spans="25:26" x14ac:dyDescent="0.35">
      <c r="Y467" t="s">
        <v>1370</v>
      </c>
      <c r="Z467" t="s">
        <v>1371</v>
      </c>
    </row>
    <row r="468" spans="25:26" x14ac:dyDescent="0.35">
      <c r="Y468" t="s">
        <v>1372</v>
      </c>
      <c r="Z468" t="s">
        <v>1373</v>
      </c>
    </row>
    <row r="469" spans="25:26" x14ac:dyDescent="0.35">
      <c r="Y469" t="s">
        <v>1374</v>
      </c>
      <c r="Z469" t="s">
        <v>1375</v>
      </c>
    </row>
    <row r="470" spans="25:26" x14ac:dyDescent="0.35">
      <c r="Y470" t="s">
        <v>1376</v>
      </c>
      <c r="Z470" t="s">
        <v>1377</v>
      </c>
    </row>
    <row r="471" spans="25:26" x14ac:dyDescent="0.35">
      <c r="Y471" t="s">
        <v>1378</v>
      </c>
      <c r="Z471" t="s">
        <v>1379</v>
      </c>
    </row>
    <row r="472" spans="25:26" x14ac:dyDescent="0.35">
      <c r="Y472" t="s">
        <v>1380</v>
      </c>
      <c r="Z472" t="s">
        <v>1381</v>
      </c>
    </row>
    <row r="473" spans="25:26" x14ac:dyDescent="0.35">
      <c r="Y473" t="s">
        <v>1382</v>
      </c>
      <c r="Z473" t="s">
        <v>1383</v>
      </c>
    </row>
    <row r="474" spans="25:26" x14ac:dyDescent="0.35">
      <c r="Y474" t="s">
        <v>1384</v>
      </c>
      <c r="Z474" t="s">
        <v>1385</v>
      </c>
    </row>
    <row r="475" spans="25:26" x14ac:dyDescent="0.35">
      <c r="Y475" t="s">
        <v>1386</v>
      </c>
      <c r="Z475" t="s">
        <v>1387</v>
      </c>
    </row>
    <row r="476" spans="25:26" x14ac:dyDescent="0.35">
      <c r="Y476" t="s">
        <v>1388</v>
      </c>
      <c r="Z476" t="s">
        <v>1389</v>
      </c>
    </row>
    <row r="477" spans="25:26" x14ac:dyDescent="0.35">
      <c r="Y477" t="s">
        <v>1390</v>
      </c>
      <c r="Z477" t="s">
        <v>1391</v>
      </c>
    </row>
    <row r="478" spans="25:26" x14ac:dyDescent="0.35">
      <c r="Y478" t="s">
        <v>1392</v>
      </c>
      <c r="Z478" t="s">
        <v>1393</v>
      </c>
    </row>
    <row r="479" spans="25:26" x14ac:dyDescent="0.35">
      <c r="Y479" t="s">
        <v>1394</v>
      </c>
      <c r="Z479" t="s">
        <v>1395</v>
      </c>
    </row>
    <row r="480" spans="25:26" x14ac:dyDescent="0.35">
      <c r="Y480" t="s">
        <v>1396</v>
      </c>
      <c r="Z480" t="s">
        <v>1397</v>
      </c>
    </row>
    <row r="481" spans="25:26" x14ac:dyDescent="0.35">
      <c r="Y481" t="s">
        <v>1398</v>
      </c>
      <c r="Z481" t="s">
        <v>1399</v>
      </c>
    </row>
    <row r="482" spans="25:26" x14ac:dyDescent="0.35">
      <c r="Y482" t="s">
        <v>1400</v>
      </c>
      <c r="Z482" t="s">
        <v>1401</v>
      </c>
    </row>
    <row r="483" spans="25:26" x14ac:dyDescent="0.35">
      <c r="Y483" t="s">
        <v>1402</v>
      </c>
      <c r="Z483" t="s">
        <v>1403</v>
      </c>
    </row>
    <row r="484" spans="25:26" x14ac:dyDescent="0.35">
      <c r="Y484" t="s">
        <v>1404</v>
      </c>
      <c r="Z484" t="s">
        <v>1405</v>
      </c>
    </row>
    <row r="485" spans="25:26" x14ac:dyDescent="0.35">
      <c r="Y485" t="s">
        <v>1406</v>
      </c>
      <c r="Z485" t="s">
        <v>1407</v>
      </c>
    </row>
    <row r="486" spans="25:26" x14ac:dyDescent="0.35">
      <c r="Y486" t="s">
        <v>1408</v>
      </c>
      <c r="Z486" t="s">
        <v>1409</v>
      </c>
    </row>
    <row r="487" spans="25:26" x14ac:dyDescent="0.35">
      <c r="Y487" t="s">
        <v>1410</v>
      </c>
      <c r="Z487" t="s">
        <v>1411</v>
      </c>
    </row>
    <row r="488" spans="25:26" x14ac:dyDescent="0.35">
      <c r="Y488" t="s">
        <v>1412</v>
      </c>
      <c r="Z488" t="s">
        <v>1413</v>
      </c>
    </row>
    <row r="489" spans="25:26" x14ac:dyDescent="0.35">
      <c r="Y489" t="s">
        <v>1414</v>
      </c>
      <c r="Z489" t="s">
        <v>1415</v>
      </c>
    </row>
    <row r="490" spans="25:26" x14ac:dyDescent="0.35">
      <c r="Y490" t="s">
        <v>1416</v>
      </c>
      <c r="Z490" t="s">
        <v>1417</v>
      </c>
    </row>
    <row r="491" spans="25:26" x14ac:dyDescent="0.35">
      <c r="Y491" t="s">
        <v>1418</v>
      </c>
      <c r="Z491" t="s">
        <v>1419</v>
      </c>
    </row>
    <row r="492" spans="25:26" x14ac:dyDescent="0.35">
      <c r="Y492" t="s">
        <v>1420</v>
      </c>
      <c r="Z492" t="s">
        <v>1421</v>
      </c>
    </row>
    <row r="493" spans="25:26" x14ac:dyDescent="0.35">
      <c r="Y493" t="s">
        <v>1422</v>
      </c>
      <c r="Z493" t="s">
        <v>1423</v>
      </c>
    </row>
    <row r="494" spans="25:26" x14ac:dyDescent="0.35">
      <c r="Y494" t="s">
        <v>1424</v>
      </c>
      <c r="Z494" t="s">
        <v>1425</v>
      </c>
    </row>
    <row r="495" spans="25:26" x14ac:dyDescent="0.35">
      <c r="Y495" t="s">
        <v>1426</v>
      </c>
      <c r="Z495" t="s">
        <v>1427</v>
      </c>
    </row>
    <row r="496" spans="25:26" x14ac:dyDescent="0.35">
      <c r="Y496" t="s">
        <v>1428</v>
      </c>
      <c r="Z496" t="s">
        <v>1429</v>
      </c>
    </row>
    <row r="497" spans="25:26" x14ac:dyDescent="0.35">
      <c r="Y497" t="s">
        <v>1430</v>
      </c>
      <c r="Z497" t="s">
        <v>1431</v>
      </c>
    </row>
    <row r="498" spans="25:26" x14ac:dyDescent="0.35">
      <c r="Y498" t="s">
        <v>1432</v>
      </c>
      <c r="Z498" t="s">
        <v>1433</v>
      </c>
    </row>
    <row r="499" spans="25:26" x14ac:dyDescent="0.35">
      <c r="Y499" t="s">
        <v>1434</v>
      </c>
      <c r="Z499" t="s">
        <v>1435</v>
      </c>
    </row>
    <row r="500" spans="25:26" x14ac:dyDescent="0.35">
      <c r="Y500" t="s">
        <v>1436</v>
      </c>
      <c r="Z500" t="s">
        <v>1437</v>
      </c>
    </row>
    <row r="501" spans="25:26" x14ac:dyDescent="0.35">
      <c r="Y501" t="s">
        <v>1438</v>
      </c>
      <c r="Z501" t="s">
        <v>1439</v>
      </c>
    </row>
    <row r="502" spans="25:26" x14ac:dyDescent="0.35">
      <c r="Y502" t="s">
        <v>1440</v>
      </c>
      <c r="Z502" t="s">
        <v>1441</v>
      </c>
    </row>
    <row r="503" spans="25:26" x14ac:dyDescent="0.35">
      <c r="Y503" t="s">
        <v>1442</v>
      </c>
      <c r="Z503" t="s">
        <v>1443</v>
      </c>
    </row>
    <row r="504" spans="25:26" x14ac:dyDescent="0.35">
      <c r="Y504" t="s">
        <v>1444</v>
      </c>
      <c r="Z504" t="s">
        <v>1445</v>
      </c>
    </row>
    <row r="505" spans="25:26" x14ac:dyDescent="0.35">
      <c r="Y505" t="s">
        <v>1446</v>
      </c>
      <c r="Z505" t="s">
        <v>1447</v>
      </c>
    </row>
    <row r="506" spans="25:26" x14ac:dyDescent="0.35">
      <c r="Y506" t="s">
        <v>1448</v>
      </c>
      <c r="Z506" t="s">
        <v>1449</v>
      </c>
    </row>
    <row r="507" spans="25:26" x14ac:dyDescent="0.35">
      <c r="Y507" t="s">
        <v>1450</v>
      </c>
      <c r="Z507" t="s">
        <v>1451</v>
      </c>
    </row>
    <row r="508" spans="25:26" x14ac:dyDescent="0.35">
      <c r="Y508" t="s">
        <v>1452</v>
      </c>
      <c r="Z508" t="s">
        <v>1453</v>
      </c>
    </row>
    <row r="509" spans="25:26" x14ac:dyDescent="0.35">
      <c r="Y509" t="s">
        <v>1454</v>
      </c>
      <c r="Z509" t="s">
        <v>1455</v>
      </c>
    </row>
    <row r="510" spans="25:26" x14ac:dyDescent="0.35">
      <c r="Y510" t="s">
        <v>1456</v>
      </c>
      <c r="Z510" t="s">
        <v>1457</v>
      </c>
    </row>
    <row r="511" spans="25:26" x14ac:dyDescent="0.35">
      <c r="Y511" t="s">
        <v>1458</v>
      </c>
      <c r="Z511" t="s">
        <v>1459</v>
      </c>
    </row>
    <row r="512" spans="25:26" x14ac:dyDescent="0.35">
      <c r="Y512" t="s">
        <v>1460</v>
      </c>
      <c r="Z512" t="s">
        <v>1461</v>
      </c>
    </row>
    <row r="513" spans="25:26" x14ac:dyDescent="0.35">
      <c r="Y513" t="s">
        <v>1462</v>
      </c>
      <c r="Z513" t="s">
        <v>1463</v>
      </c>
    </row>
    <row r="514" spans="25:26" x14ac:dyDescent="0.35">
      <c r="Y514" t="s">
        <v>1464</v>
      </c>
      <c r="Z514" t="s">
        <v>1465</v>
      </c>
    </row>
    <row r="515" spans="25:26" x14ac:dyDescent="0.35">
      <c r="Y515" t="s">
        <v>1466</v>
      </c>
      <c r="Z515" t="s">
        <v>1467</v>
      </c>
    </row>
    <row r="516" spans="25:26" x14ac:dyDescent="0.35">
      <c r="Y516" t="s">
        <v>1468</v>
      </c>
      <c r="Z516" t="s">
        <v>1469</v>
      </c>
    </row>
    <row r="517" spans="25:26" x14ac:dyDescent="0.35">
      <c r="Y517" t="s">
        <v>1470</v>
      </c>
      <c r="Z517" t="s">
        <v>1471</v>
      </c>
    </row>
    <row r="518" spans="25:26" x14ac:dyDescent="0.35">
      <c r="Y518" t="s">
        <v>1472</v>
      </c>
      <c r="Z518" t="s">
        <v>1473</v>
      </c>
    </row>
    <row r="519" spans="25:26" x14ac:dyDescent="0.35">
      <c r="Y519" t="s">
        <v>1474</v>
      </c>
      <c r="Z519" t="s">
        <v>1475</v>
      </c>
    </row>
    <row r="520" spans="25:26" x14ac:dyDescent="0.35">
      <c r="Y520" t="s">
        <v>1476</v>
      </c>
      <c r="Z520" t="s">
        <v>1477</v>
      </c>
    </row>
    <row r="521" spans="25:26" x14ac:dyDescent="0.35">
      <c r="Y521" t="s">
        <v>1478</v>
      </c>
      <c r="Z521" t="s">
        <v>1479</v>
      </c>
    </row>
    <row r="522" spans="25:26" x14ac:dyDescent="0.35">
      <c r="Y522" t="s">
        <v>1480</v>
      </c>
      <c r="Z522" t="s">
        <v>1481</v>
      </c>
    </row>
    <row r="523" spans="25:26" x14ac:dyDescent="0.35">
      <c r="Y523" t="s">
        <v>1482</v>
      </c>
      <c r="Z523" t="s">
        <v>1483</v>
      </c>
    </row>
    <row r="524" spans="25:26" x14ac:dyDescent="0.35">
      <c r="Y524" t="s">
        <v>1484</v>
      </c>
      <c r="Z524" t="s">
        <v>1485</v>
      </c>
    </row>
    <row r="525" spans="25:26" x14ac:dyDescent="0.35">
      <c r="Y525" t="s">
        <v>1486</v>
      </c>
      <c r="Z525" t="s">
        <v>1487</v>
      </c>
    </row>
    <row r="526" spans="25:26" x14ac:dyDescent="0.35">
      <c r="Y526" t="s">
        <v>1488</v>
      </c>
      <c r="Z526" t="s">
        <v>1489</v>
      </c>
    </row>
    <row r="527" spans="25:26" x14ac:dyDescent="0.35">
      <c r="Y527" t="s">
        <v>1490</v>
      </c>
      <c r="Z527" t="s">
        <v>1491</v>
      </c>
    </row>
    <row r="528" spans="25:26" x14ac:dyDescent="0.35">
      <c r="Y528" t="s">
        <v>1492</v>
      </c>
      <c r="Z528" t="s">
        <v>1493</v>
      </c>
    </row>
    <row r="529" spans="25:26" x14ac:dyDescent="0.35">
      <c r="Y529" t="s">
        <v>1494</v>
      </c>
      <c r="Z529" t="s">
        <v>1495</v>
      </c>
    </row>
    <row r="530" spans="25:26" x14ac:dyDescent="0.35">
      <c r="Y530" t="s">
        <v>1496</v>
      </c>
      <c r="Z530" t="s">
        <v>1497</v>
      </c>
    </row>
    <row r="531" spans="25:26" x14ac:dyDescent="0.35">
      <c r="Y531" t="s">
        <v>1498</v>
      </c>
      <c r="Z531" t="s">
        <v>1173</v>
      </c>
    </row>
    <row r="532" spans="25:26" x14ac:dyDescent="0.35">
      <c r="Y532" t="s">
        <v>1499</v>
      </c>
      <c r="Z532" t="s">
        <v>1500</v>
      </c>
    </row>
    <row r="533" spans="25:26" x14ac:dyDescent="0.35">
      <c r="Y533" t="s">
        <v>1501</v>
      </c>
      <c r="Z533" t="s">
        <v>1502</v>
      </c>
    </row>
    <row r="534" spans="25:26" x14ac:dyDescent="0.35">
      <c r="Y534" t="s">
        <v>1503</v>
      </c>
      <c r="Z534" t="s">
        <v>1504</v>
      </c>
    </row>
    <row r="535" spans="25:26" x14ac:dyDescent="0.35">
      <c r="Y535" t="s">
        <v>1505</v>
      </c>
      <c r="Z535" t="s">
        <v>1506</v>
      </c>
    </row>
    <row r="536" spans="25:26" x14ac:dyDescent="0.35">
      <c r="Y536" t="s">
        <v>1507</v>
      </c>
      <c r="Z536" t="s">
        <v>1508</v>
      </c>
    </row>
    <row r="537" spans="25:26" x14ac:dyDescent="0.35">
      <c r="Y537" t="s">
        <v>1509</v>
      </c>
      <c r="Z537" t="s">
        <v>1510</v>
      </c>
    </row>
    <row r="538" spans="25:26" x14ac:dyDescent="0.35">
      <c r="Y538" t="s">
        <v>1511</v>
      </c>
      <c r="Z538" t="s">
        <v>1512</v>
      </c>
    </row>
    <row r="539" spans="25:26" x14ac:dyDescent="0.35">
      <c r="Y539" t="s">
        <v>1513</v>
      </c>
      <c r="Z539" t="s">
        <v>1514</v>
      </c>
    </row>
    <row r="540" spans="25:26" x14ac:dyDescent="0.35">
      <c r="Y540" t="s">
        <v>1515</v>
      </c>
      <c r="Z540" t="s">
        <v>1516</v>
      </c>
    </row>
    <row r="541" spans="25:26" x14ac:dyDescent="0.35">
      <c r="Y541" t="s">
        <v>1517</v>
      </c>
      <c r="Z541" t="s">
        <v>1518</v>
      </c>
    </row>
    <row r="542" spans="25:26" x14ac:dyDescent="0.35">
      <c r="Y542" t="s">
        <v>1519</v>
      </c>
      <c r="Z542" t="s">
        <v>1520</v>
      </c>
    </row>
    <row r="543" spans="25:26" x14ac:dyDescent="0.35">
      <c r="Y543" t="s">
        <v>1521</v>
      </c>
      <c r="Z543" t="s">
        <v>1522</v>
      </c>
    </row>
    <row r="544" spans="25:26" x14ac:dyDescent="0.35">
      <c r="Y544" t="s">
        <v>1523</v>
      </c>
      <c r="Z544" t="s">
        <v>1524</v>
      </c>
    </row>
    <row r="545" spans="25:26" x14ac:dyDescent="0.35">
      <c r="Y545" t="s">
        <v>1525</v>
      </c>
      <c r="Z545" t="s">
        <v>1526</v>
      </c>
    </row>
    <row r="546" spans="25:26" x14ac:dyDescent="0.35">
      <c r="Y546" t="s">
        <v>1527</v>
      </c>
      <c r="Z546" t="s">
        <v>1528</v>
      </c>
    </row>
    <row r="547" spans="25:26" x14ac:dyDescent="0.35">
      <c r="Y547" t="s">
        <v>1529</v>
      </c>
      <c r="Z547" t="s">
        <v>1530</v>
      </c>
    </row>
  </sheetData>
  <sheetProtection algorithmName="SHA-512" hashValue="z8DXHbMnQTIwo3wtWe0KFqj95q5c+L6bQi8bU11p7VvH4coC+PGJUm6NTjO0GPj/HzWOmHP6DtuaMc1NWGo6eQ==" saltValue="7gHefwcBU4h9FSwbhJfPIg==" spinCount="100000" sheet="1" objects="1" scenarios="1"/>
  <sortState xmlns:xlrd2="http://schemas.microsoft.com/office/spreadsheetml/2017/richdata2" ref="AP5:AP77">
    <sortCondition ref="AP5:AP77"/>
  </sortState>
  <conditionalFormatting sqref="Y3:Y547">
    <cfRule type="duplicateValues" dxfId="8" priority="155"/>
  </conditionalFormatting>
  <conditionalFormatting sqref="Z3:Z163">
    <cfRule type="duplicateValues" dxfId="7" priority="154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6FB3-E84A-4D98-9985-AEC87AC731AE}">
  <dimension ref="B2:E33"/>
  <sheetViews>
    <sheetView showGridLines="0" workbookViewId="0">
      <selection activeCell="D6" sqref="D6"/>
    </sheetView>
  </sheetViews>
  <sheetFormatPr defaultColWidth="9.1796875" defaultRowHeight="21.5" x14ac:dyDescent="0.9"/>
  <cols>
    <col min="1" max="1" width="9.1796875" style="52"/>
    <col min="2" max="2" width="12.453125" style="52" customWidth="1"/>
    <col min="3" max="3" width="79.1796875" style="52" customWidth="1"/>
    <col min="4" max="4" width="46.453125" style="52" customWidth="1"/>
    <col min="5" max="5" width="22.1796875" style="52" customWidth="1"/>
    <col min="6" max="16384" width="9.1796875" style="52"/>
  </cols>
  <sheetData>
    <row r="2" spans="2:5" x14ac:dyDescent="0.9">
      <c r="B2" s="57" t="s">
        <v>1531</v>
      </c>
      <c r="C2" s="38"/>
    </row>
    <row r="3" spans="2:5" x14ac:dyDescent="0.9">
      <c r="B3" s="67" t="s">
        <v>1532</v>
      </c>
      <c r="C3" s="67"/>
      <c r="D3" s="67"/>
    </row>
    <row r="4" spans="2:5" x14ac:dyDescent="0.9">
      <c r="B4" s="64" t="s">
        <v>1533</v>
      </c>
      <c r="C4" s="58">
        <v>44897</v>
      </c>
      <c r="D4" s="58">
        <v>44900</v>
      </c>
      <c r="E4" s="58">
        <v>44904</v>
      </c>
    </row>
    <row r="5" spans="2:5" ht="34" x14ac:dyDescent="0.9">
      <c r="B5" s="65"/>
      <c r="C5" s="59" t="s">
        <v>1534</v>
      </c>
      <c r="D5" s="59" t="s">
        <v>1535</v>
      </c>
      <c r="E5" s="59" t="s">
        <v>1536</v>
      </c>
    </row>
    <row r="6" spans="2:5" x14ac:dyDescent="0.9">
      <c r="B6" s="65"/>
      <c r="C6" s="59" t="s">
        <v>1537</v>
      </c>
      <c r="D6" s="59"/>
      <c r="E6" s="59" t="s">
        <v>1538</v>
      </c>
    </row>
    <row r="7" spans="2:5" x14ac:dyDescent="0.9">
      <c r="B7" s="65"/>
      <c r="C7" s="59" t="s">
        <v>1539</v>
      </c>
      <c r="D7" s="59"/>
      <c r="E7" s="59"/>
    </row>
    <row r="8" spans="2:5" x14ac:dyDescent="0.9">
      <c r="B8" s="65"/>
      <c r="C8" s="59" t="s">
        <v>1540</v>
      </c>
      <c r="D8" s="59"/>
      <c r="E8" s="59"/>
    </row>
    <row r="9" spans="2:5" x14ac:dyDescent="0.9">
      <c r="B9" s="65"/>
      <c r="C9" s="59"/>
      <c r="D9" s="59"/>
      <c r="E9" s="59"/>
    </row>
    <row r="10" spans="2:5" x14ac:dyDescent="0.9">
      <c r="B10" s="65"/>
      <c r="C10" s="59"/>
      <c r="D10" s="59"/>
      <c r="E10" s="59"/>
    </row>
    <row r="11" spans="2:5" x14ac:dyDescent="0.9">
      <c r="B11" s="65"/>
      <c r="C11" s="59"/>
      <c r="D11" s="59"/>
      <c r="E11" s="59"/>
    </row>
    <row r="12" spans="2:5" x14ac:dyDescent="0.9">
      <c r="B12" s="65"/>
      <c r="C12" s="59"/>
      <c r="D12" s="59"/>
      <c r="E12" s="59"/>
    </row>
    <row r="13" spans="2:5" x14ac:dyDescent="0.9">
      <c r="B13" s="66"/>
      <c r="C13" s="59"/>
      <c r="D13" s="59"/>
      <c r="E13" s="59"/>
    </row>
    <row r="14" spans="2:5" x14ac:dyDescent="0.9">
      <c r="C14" s="54"/>
    </row>
    <row r="15" spans="2:5" x14ac:dyDescent="0.9">
      <c r="C15" s="54"/>
    </row>
    <row r="16" spans="2:5" x14ac:dyDescent="0.9">
      <c r="C16" s="54"/>
    </row>
    <row r="17" spans="3:3" x14ac:dyDescent="0.9">
      <c r="C17" s="54"/>
    </row>
    <row r="18" spans="3:3" x14ac:dyDescent="0.9">
      <c r="C18" s="53"/>
    </row>
    <row r="19" spans="3:3" x14ac:dyDescent="0.9">
      <c r="C19" s="53"/>
    </row>
    <row r="20" spans="3:3" x14ac:dyDescent="0.9">
      <c r="C20" s="53"/>
    </row>
    <row r="21" spans="3:3" x14ac:dyDescent="0.9">
      <c r="C21" s="53"/>
    </row>
    <row r="22" spans="3:3" x14ac:dyDescent="0.9">
      <c r="C22" s="53"/>
    </row>
    <row r="23" spans="3:3" x14ac:dyDescent="0.9">
      <c r="C23" s="53"/>
    </row>
    <row r="24" spans="3:3" x14ac:dyDescent="0.9">
      <c r="C24" s="53"/>
    </row>
    <row r="25" spans="3:3" x14ac:dyDescent="0.9">
      <c r="C25" s="53"/>
    </row>
    <row r="26" spans="3:3" x14ac:dyDescent="0.9">
      <c r="C26" s="53"/>
    </row>
    <row r="27" spans="3:3" x14ac:dyDescent="0.9">
      <c r="C27" s="53"/>
    </row>
    <row r="28" spans="3:3" x14ac:dyDescent="0.9">
      <c r="C28" s="38"/>
    </row>
    <row r="29" spans="3:3" x14ac:dyDescent="0.9">
      <c r="C29" s="38"/>
    </row>
    <row r="30" spans="3:3" x14ac:dyDescent="0.9">
      <c r="C30" s="38"/>
    </row>
    <row r="31" spans="3:3" x14ac:dyDescent="0.9">
      <c r="C31" s="38"/>
    </row>
    <row r="32" spans="3:3" x14ac:dyDescent="0.9">
      <c r="C32" s="38"/>
    </row>
    <row r="33" spans="3:3" x14ac:dyDescent="0.9">
      <c r="C33" s="38"/>
    </row>
  </sheetData>
  <sheetProtection algorithmName="SHA-512" hashValue="rLDAK78f26C6Ad/QGU9lh8/mD0Wox6jnx79L1Bxnu19kty3oOd3mkVUt6s5XXRWu9K65CFT2fQQo8DMVOJFWqw==" saltValue="xBWkMzRXTe0o9yMYPAowcw==" spinCount="100000" sheet="1" objects="1" scenarios="1"/>
  <mergeCells count="2">
    <mergeCell ref="B4:B13"/>
    <mergeCell ref="B3:D3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7105-BA43-4CA5-B144-DF0A20AEC7B2}">
  <dimension ref="A1:AX208"/>
  <sheetViews>
    <sheetView workbookViewId="0"/>
  </sheetViews>
  <sheetFormatPr defaultRowHeight="14.5" x14ac:dyDescent="0.35"/>
  <cols>
    <col min="1" max="1" width="19.453125" bestFit="1" customWidth="1"/>
    <col min="2" max="2" width="12.7265625" bestFit="1" customWidth="1"/>
    <col min="3" max="3" width="18.81640625" bestFit="1" customWidth="1"/>
    <col min="4" max="4" width="34.453125" bestFit="1" customWidth="1"/>
    <col min="5" max="5" width="34.453125" customWidth="1"/>
    <col min="6" max="6" width="10.7265625" bestFit="1" customWidth="1"/>
    <col min="11" max="11" width="24.453125" bestFit="1" customWidth="1"/>
    <col min="12" max="12" width="20.81640625" bestFit="1" customWidth="1"/>
    <col min="15" max="15" width="11.54296875" bestFit="1" customWidth="1"/>
    <col min="18" max="18" width="28.7265625" bestFit="1" customWidth="1"/>
    <col min="30" max="30" width="15.81640625" bestFit="1" customWidth="1"/>
    <col min="33" max="33" width="21.453125" bestFit="1" customWidth="1"/>
    <col min="34" max="34" width="12.1796875" bestFit="1" customWidth="1"/>
    <col min="37" max="37" width="17.26953125" bestFit="1" customWidth="1"/>
    <col min="40" max="40" width="13.54296875" bestFit="1" customWidth="1"/>
    <col min="43" max="43" width="18.7265625" bestFit="1" customWidth="1"/>
    <col min="45" max="45" width="14.1796875" bestFit="1" customWidth="1"/>
    <col min="47" max="47" width="12" bestFit="1" customWidth="1"/>
    <col min="49" max="49" width="28.26953125" bestFit="1" customWidth="1"/>
    <col min="50" max="50" width="16.54296875" bestFit="1" customWidth="1"/>
  </cols>
  <sheetData>
    <row r="1" spans="1:50" ht="15" thickBot="1" x14ac:dyDescent="0.4">
      <c r="R1" t="s">
        <v>1541</v>
      </c>
      <c r="V1" t="s">
        <v>1542</v>
      </c>
      <c r="Z1" t="s">
        <v>1543</v>
      </c>
      <c r="AD1" t="s">
        <v>1544</v>
      </c>
      <c r="AG1" t="s">
        <v>1545</v>
      </c>
      <c r="AK1" t="s">
        <v>1546</v>
      </c>
      <c r="AQ1" t="s">
        <v>1547</v>
      </c>
    </row>
    <row r="2" spans="1:50" ht="18.5" thickTop="1" x14ac:dyDescent="0.7">
      <c r="A2" t="s">
        <v>1548</v>
      </c>
      <c r="B2" t="s">
        <v>1549</v>
      </c>
      <c r="C2" t="s">
        <v>1550</v>
      </c>
      <c r="D2" t="s">
        <v>9</v>
      </c>
      <c r="E2" t="s">
        <v>10</v>
      </c>
      <c r="G2" t="s">
        <v>1551</v>
      </c>
      <c r="H2" t="s">
        <v>1552</v>
      </c>
      <c r="K2" t="s">
        <v>1553</v>
      </c>
      <c r="L2" t="s">
        <v>1554</v>
      </c>
      <c r="O2" t="s">
        <v>1555</v>
      </c>
      <c r="R2" s="44" t="s">
        <v>9</v>
      </c>
      <c r="S2" s="44" t="s">
        <v>1556</v>
      </c>
      <c r="V2" s="43" t="s">
        <v>1550</v>
      </c>
      <c r="W2" s="43" t="s">
        <v>1557</v>
      </c>
      <c r="Z2" s="43" t="s">
        <v>1558</v>
      </c>
      <c r="AA2" s="43" t="s">
        <v>1559</v>
      </c>
      <c r="AD2" t="s">
        <v>1556</v>
      </c>
      <c r="AE2" t="s">
        <v>1560</v>
      </c>
      <c r="AG2" t="s">
        <v>1557</v>
      </c>
      <c r="AH2" t="s">
        <v>1561</v>
      </c>
      <c r="AK2" s="43" t="s">
        <v>1559</v>
      </c>
      <c r="AL2" t="s">
        <v>1562</v>
      </c>
      <c r="AN2" s="42" t="s">
        <v>1563</v>
      </c>
      <c r="AQ2" t="s">
        <v>1564</v>
      </c>
      <c r="AS2" t="s">
        <v>1565</v>
      </c>
      <c r="AU2" t="s">
        <v>1566</v>
      </c>
      <c r="AW2" t="s">
        <v>121</v>
      </c>
      <c r="AX2" t="s">
        <v>122</v>
      </c>
    </row>
    <row r="3" spans="1:50" ht="18" x14ac:dyDescent="0.7">
      <c r="A3" t="s">
        <v>1567</v>
      </c>
      <c r="B3" t="s">
        <v>1567</v>
      </c>
      <c r="C3" s="37" t="s">
        <v>64</v>
      </c>
      <c r="D3" t="s">
        <v>65</v>
      </c>
      <c r="E3" t="s">
        <v>1568</v>
      </c>
      <c r="F3" s="41">
        <v>43466</v>
      </c>
      <c r="G3">
        <v>1</v>
      </c>
      <c r="H3">
        <v>2010</v>
      </c>
      <c r="I3">
        <v>10</v>
      </c>
      <c r="K3" t="s">
        <v>1569</v>
      </c>
      <c r="L3" t="s">
        <v>1570</v>
      </c>
      <c r="O3" t="s">
        <v>1571</v>
      </c>
      <c r="R3" s="31" t="s">
        <v>65</v>
      </c>
      <c r="S3" s="31" t="s">
        <v>1572</v>
      </c>
      <c r="V3" s="35" t="s">
        <v>1573</v>
      </c>
      <c r="W3" s="35" t="s">
        <v>1574</v>
      </c>
      <c r="Z3" s="35" t="s">
        <v>1575</v>
      </c>
      <c r="AA3" s="33" t="s">
        <v>1576</v>
      </c>
      <c r="AD3" s="31" t="s">
        <v>1572</v>
      </c>
      <c r="AE3" t="s">
        <v>1577</v>
      </c>
      <c r="AG3" t="s">
        <v>1574</v>
      </c>
      <c r="AH3" t="s">
        <v>1574</v>
      </c>
      <c r="AI3" s="38"/>
      <c r="AK3" s="33" t="s">
        <v>1576</v>
      </c>
      <c r="AL3" t="s">
        <v>1578</v>
      </c>
      <c r="AN3" s="38" t="s">
        <v>1579</v>
      </c>
      <c r="AQ3" s="38" t="s">
        <v>1580</v>
      </c>
      <c r="AS3" s="38" t="s">
        <v>1581</v>
      </c>
      <c r="AU3" s="38" t="s">
        <v>124</v>
      </c>
      <c r="AW3" s="38" t="s">
        <v>131</v>
      </c>
      <c r="AX3" s="38" t="s">
        <v>132</v>
      </c>
    </row>
    <row r="4" spans="1:50" ht="18" x14ac:dyDescent="0.7">
      <c r="A4" t="s">
        <v>1582</v>
      </c>
      <c r="B4" t="s">
        <v>1582</v>
      </c>
      <c r="C4" s="37" t="s">
        <v>1583</v>
      </c>
      <c r="D4" t="s">
        <v>1584</v>
      </c>
      <c r="E4" t="s">
        <v>1585</v>
      </c>
      <c r="G4">
        <v>2</v>
      </c>
      <c r="H4">
        <v>2011</v>
      </c>
      <c r="I4">
        <v>11</v>
      </c>
      <c r="K4" t="s">
        <v>1586</v>
      </c>
      <c r="L4" t="s">
        <v>1587</v>
      </c>
      <c r="O4" t="s">
        <v>1588</v>
      </c>
      <c r="R4" s="31" t="s">
        <v>1584</v>
      </c>
      <c r="S4" s="31" t="s">
        <v>1572</v>
      </c>
      <c r="V4" s="35" t="s">
        <v>44</v>
      </c>
      <c r="W4" s="35" t="s">
        <v>1589</v>
      </c>
      <c r="Z4" s="35" t="s">
        <v>1590</v>
      </c>
      <c r="AA4" s="33" t="s">
        <v>1576</v>
      </c>
      <c r="AD4" s="31" t="s">
        <v>1591</v>
      </c>
      <c r="AE4" t="s">
        <v>1592</v>
      </c>
      <c r="AG4" t="s">
        <v>1589</v>
      </c>
      <c r="AH4" t="s">
        <v>1593</v>
      </c>
      <c r="AI4" s="38"/>
      <c r="AK4" s="35" t="s">
        <v>1594</v>
      </c>
      <c r="AL4" t="s">
        <v>1595</v>
      </c>
      <c r="AN4" s="38" t="s">
        <v>1596</v>
      </c>
      <c r="AQ4" s="38" t="s">
        <v>1597</v>
      </c>
      <c r="AS4" s="38" t="s">
        <v>1598</v>
      </c>
      <c r="AU4" s="38" t="s">
        <v>149</v>
      </c>
      <c r="AW4" s="38" t="s">
        <v>52</v>
      </c>
      <c r="AX4" s="38" t="s">
        <v>145</v>
      </c>
    </row>
    <row r="5" spans="1:50" ht="18" x14ac:dyDescent="0.7">
      <c r="A5" t="s">
        <v>1599</v>
      </c>
      <c r="B5" t="s">
        <v>1599</v>
      </c>
      <c r="C5" s="37" t="s">
        <v>1600</v>
      </c>
      <c r="D5" t="s">
        <v>1601</v>
      </c>
      <c r="E5" t="s">
        <v>1602</v>
      </c>
      <c r="G5">
        <v>3</v>
      </c>
      <c r="H5">
        <v>2012</v>
      </c>
      <c r="I5">
        <v>12</v>
      </c>
      <c r="K5" t="s">
        <v>1603</v>
      </c>
      <c r="L5" t="s">
        <v>1604</v>
      </c>
      <c r="O5" t="s">
        <v>1605</v>
      </c>
      <c r="R5" s="31" t="s">
        <v>1601</v>
      </c>
      <c r="S5" s="31" t="s">
        <v>1591</v>
      </c>
      <c r="V5" s="35" t="s">
        <v>1606</v>
      </c>
      <c r="W5" s="35" t="s">
        <v>1589</v>
      </c>
      <c r="Z5" s="35" t="s">
        <v>1607</v>
      </c>
      <c r="AA5" s="33" t="s">
        <v>1576</v>
      </c>
      <c r="AD5" s="31" t="s">
        <v>1608</v>
      </c>
      <c r="AE5" t="s">
        <v>1609</v>
      </c>
      <c r="AG5" t="s">
        <v>1610</v>
      </c>
      <c r="AH5" t="s">
        <v>1611</v>
      </c>
      <c r="AI5" s="38"/>
      <c r="AK5" s="35" t="s">
        <v>1612</v>
      </c>
      <c r="AL5" t="s">
        <v>1613</v>
      </c>
      <c r="AN5" s="38" t="s">
        <v>1614</v>
      </c>
      <c r="AQ5" s="38" t="s">
        <v>1615</v>
      </c>
      <c r="AS5" s="38" t="s">
        <v>1616</v>
      </c>
      <c r="AU5" s="38" t="s">
        <v>1617</v>
      </c>
      <c r="AW5" s="38" t="s">
        <v>161</v>
      </c>
      <c r="AX5" s="38" t="s">
        <v>162</v>
      </c>
    </row>
    <row r="6" spans="1:50" ht="18" x14ac:dyDescent="0.7">
      <c r="A6" t="s">
        <v>1618</v>
      </c>
      <c r="B6" t="s">
        <v>1618</v>
      </c>
      <c r="C6" s="37" t="s">
        <v>1619</v>
      </c>
      <c r="D6" t="s">
        <v>1620</v>
      </c>
      <c r="E6" t="s">
        <v>1621</v>
      </c>
      <c r="G6">
        <v>4</v>
      </c>
      <c r="H6">
        <v>2013</v>
      </c>
      <c r="I6">
        <v>13</v>
      </c>
      <c r="K6" t="s">
        <v>1622</v>
      </c>
      <c r="L6" t="s">
        <v>1623</v>
      </c>
      <c r="O6" t="s">
        <v>1624</v>
      </c>
      <c r="R6" s="31" t="s">
        <v>1620</v>
      </c>
      <c r="S6" s="31" t="s">
        <v>1591</v>
      </c>
      <c r="V6" s="35" t="s">
        <v>1625</v>
      </c>
      <c r="W6" s="35" t="s">
        <v>1574</v>
      </c>
      <c r="Z6" s="35" t="s">
        <v>1626</v>
      </c>
      <c r="AA6" s="33" t="s">
        <v>1576</v>
      </c>
      <c r="AD6" s="31" t="s">
        <v>1627</v>
      </c>
      <c r="AE6" t="s">
        <v>1628</v>
      </c>
      <c r="AG6" t="s">
        <v>1629</v>
      </c>
      <c r="AH6" t="s">
        <v>1629</v>
      </c>
      <c r="AI6" s="38"/>
      <c r="AK6" s="35" t="s">
        <v>1630</v>
      </c>
      <c r="AL6" t="s">
        <v>1631</v>
      </c>
      <c r="AN6" s="38" t="s">
        <v>1632</v>
      </c>
      <c r="AQ6" s="40" t="s">
        <v>1633</v>
      </c>
      <c r="AS6" s="38" t="s">
        <v>1634</v>
      </c>
      <c r="AU6" s="38" t="s">
        <v>1635</v>
      </c>
      <c r="AW6" s="38" t="s">
        <v>176</v>
      </c>
      <c r="AX6" s="38" t="s">
        <v>177</v>
      </c>
    </row>
    <row r="7" spans="1:50" ht="18" x14ac:dyDescent="0.7">
      <c r="A7" t="s">
        <v>1636</v>
      </c>
      <c r="B7" t="s">
        <v>1636</v>
      </c>
      <c r="C7" s="37" t="s">
        <v>1637</v>
      </c>
      <c r="D7" t="s">
        <v>1638</v>
      </c>
      <c r="E7" t="s">
        <v>1639</v>
      </c>
      <c r="G7">
        <v>5</v>
      </c>
      <c r="H7">
        <v>2014</v>
      </c>
      <c r="I7">
        <v>14</v>
      </c>
      <c r="K7" t="s">
        <v>1640</v>
      </c>
      <c r="L7" t="s">
        <v>1641</v>
      </c>
      <c r="O7" t="s">
        <v>1642</v>
      </c>
      <c r="R7" s="31" t="s">
        <v>1638</v>
      </c>
      <c r="S7" s="31" t="s">
        <v>1572</v>
      </c>
      <c r="V7" s="35" t="s">
        <v>1643</v>
      </c>
      <c r="W7" s="35" t="s">
        <v>1589</v>
      </c>
      <c r="Z7" s="35" t="s">
        <v>1644</v>
      </c>
      <c r="AA7" s="33" t="s">
        <v>1576</v>
      </c>
      <c r="AD7" s="31" t="s">
        <v>1645</v>
      </c>
      <c r="AE7" t="s">
        <v>1645</v>
      </c>
      <c r="AG7" t="s">
        <v>1646</v>
      </c>
      <c r="AH7" t="s">
        <v>1647</v>
      </c>
      <c r="AI7" s="38"/>
      <c r="AK7" s="35" t="s">
        <v>1648</v>
      </c>
      <c r="AL7" t="s">
        <v>1649</v>
      </c>
      <c r="AN7" s="38" t="s">
        <v>1650</v>
      </c>
      <c r="AQ7" s="39"/>
      <c r="AS7" s="38" t="s">
        <v>1651</v>
      </c>
      <c r="AU7" s="38" t="s">
        <v>181</v>
      </c>
      <c r="AW7" s="38" t="s">
        <v>195</v>
      </c>
      <c r="AX7" s="38" t="s">
        <v>196</v>
      </c>
    </row>
    <row r="8" spans="1:50" ht="18" x14ac:dyDescent="0.7">
      <c r="A8" t="s">
        <v>1652</v>
      </c>
      <c r="B8" t="s">
        <v>1652</v>
      </c>
      <c r="C8" s="37" t="s">
        <v>1653</v>
      </c>
      <c r="D8" t="s">
        <v>1654</v>
      </c>
      <c r="E8" t="s">
        <v>1655</v>
      </c>
      <c r="G8">
        <v>6</v>
      </c>
      <c r="H8">
        <v>2015</v>
      </c>
      <c r="I8">
        <v>15</v>
      </c>
      <c r="K8" t="s">
        <v>1656</v>
      </c>
      <c r="L8" t="s">
        <v>1657</v>
      </c>
      <c r="O8" t="s">
        <v>1658</v>
      </c>
      <c r="R8" s="31" t="s">
        <v>1654</v>
      </c>
      <c r="S8" s="31" t="s">
        <v>1572</v>
      </c>
      <c r="V8" s="35" t="s">
        <v>1659</v>
      </c>
      <c r="W8" s="35" t="s">
        <v>1589</v>
      </c>
      <c r="Z8" s="35" t="s">
        <v>1660</v>
      </c>
      <c r="AA8" s="33" t="s">
        <v>1576</v>
      </c>
      <c r="AD8" s="32" t="s">
        <v>1661</v>
      </c>
      <c r="AE8" t="s">
        <v>1662</v>
      </c>
      <c r="AG8" t="s">
        <v>1637</v>
      </c>
      <c r="AH8" t="s">
        <v>1663</v>
      </c>
      <c r="AI8" s="38"/>
      <c r="AN8" s="38" t="s">
        <v>1664</v>
      </c>
      <c r="AQ8" s="39"/>
      <c r="AS8" s="38" t="s">
        <v>1665</v>
      </c>
      <c r="AU8" s="38" t="s">
        <v>1666</v>
      </c>
      <c r="AW8" s="38" t="s">
        <v>212</v>
      </c>
      <c r="AX8" s="38" t="s">
        <v>213</v>
      </c>
    </row>
    <row r="9" spans="1:50" ht="18" x14ac:dyDescent="0.7">
      <c r="A9" t="s">
        <v>1667</v>
      </c>
      <c r="B9" t="s">
        <v>1667</v>
      </c>
      <c r="C9" s="37" t="s">
        <v>1668</v>
      </c>
      <c r="D9" t="s">
        <v>1669</v>
      </c>
      <c r="E9" t="s">
        <v>1670</v>
      </c>
      <c r="G9">
        <v>7</v>
      </c>
      <c r="H9">
        <v>2016</v>
      </c>
      <c r="I9">
        <v>16</v>
      </c>
      <c r="K9" t="s">
        <v>1671</v>
      </c>
      <c r="L9" t="s">
        <v>1672</v>
      </c>
      <c r="O9" t="s">
        <v>1673</v>
      </c>
      <c r="R9" s="31" t="s">
        <v>1669</v>
      </c>
      <c r="S9" s="31" t="s">
        <v>1608</v>
      </c>
      <c r="V9" s="35" t="s">
        <v>1674</v>
      </c>
      <c r="W9" s="35" t="s">
        <v>1589</v>
      </c>
      <c r="Z9" s="35" t="s">
        <v>1584</v>
      </c>
      <c r="AA9" s="33" t="s">
        <v>1576</v>
      </c>
      <c r="AG9" t="s">
        <v>1675</v>
      </c>
      <c r="AH9" t="s">
        <v>1675</v>
      </c>
      <c r="AI9" s="38"/>
      <c r="AN9" s="38" t="s">
        <v>1676</v>
      </c>
      <c r="AQ9" s="38"/>
      <c r="AS9" s="38"/>
      <c r="AU9" s="38" t="s">
        <v>1677</v>
      </c>
      <c r="AW9" s="38" t="s">
        <v>228</v>
      </c>
      <c r="AX9" s="38" t="s">
        <v>229</v>
      </c>
    </row>
    <row r="10" spans="1:50" ht="18" x14ac:dyDescent="0.7">
      <c r="A10" t="s">
        <v>1678</v>
      </c>
      <c r="B10" t="s">
        <v>1678</v>
      </c>
      <c r="C10" s="37" t="s">
        <v>1679</v>
      </c>
      <c r="D10" t="s">
        <v>1680</v>
      </c>
      <c r="E10" t="s">
        <v>1681</v>
      </c>
      <c r="G10">
        <v>8</v>
      </c>
      <c r="H10">
        <v>2017</v>
      </c>
      <c r="I10">
        <v>17</v>
      </c>
      <c r="K10" t="s">
        <v>1682</v>
      </c>
      <c r="L10" t="s">
        <v>1683</v>
      </c>
      <c r="O10" t="s">
        <v>1684</v>
      </c>
      <c r="R10" s="31" t="s">
        <v>1685</v>
      </c>
      <c r="S10" s="31" t="s">
        <v>1572</v>
      </c>
      <c r="V10" s="35" t="s">
        <v>1686</v>
      </c>
      <c r="W10" s="35" t="s">
        <v>1589</v>
      </c>
      <c r="Z10" s="35" t="s">
        <v>1687</v>
      </c>
      <c r="AA10" s="33" t="s">
        <v>1576</v>
      </c>
      <c r="AG10" t="s">
        <v>1688</v>
      </c>
      <c r="AH10" t="s">
        <v>1689</v>
      </c>
      <c r="AN10" s="38" t="s">
        <v>1690</v>
      </c>
      <c r="AQ10" s="39"/>
      <c r="AS10" s="38"/>
      <c r="AU10" s="38"/>
      <c r="AW10" s="38" t="s">
        <v>244</v>
      </c>
      <c r="AX10" s="38" t="s">
        <v>245</v>
      </c>
    </row>
    <row r="11" spans="1:50" ht="18" x14ac:dyDescent="0.7">
      <c r="A11" t="s">
        <v>1691</v>
      </c>
      <c r="B11" t="s">
        <v>1691</v>
      </c>
      <c r="C11" s="37" t="s">
        <v>1692</v>
      </c>
      <c r="D11" t="s">
        <v>1685</v>
      </c>
      <c r="E11" t="s">
        <v>1693</v>
      </c>
      <c r="G11">
        <v>9</v>
      </c>
      <c r="H11">
        <v>2018</v>
      </c>
      <c r="I11">
        <v>18</v>
      </c>
      <c r="K11" t="s">
        <v>1694</v>
      </c>
      <c r="L11" t="s">
        <v>1695</v>
      </c>
      <c r="O11" t="s">
        <v>1696</v>
      </c>
      <c r="R11" s="31" t="s">
        <v>1697</v>
      </c>
      <c r="S11" s="31" t="s">
        <v>1572</v>
      </c>
      <c r="V11" s="35" t="s">
        <v>1698</v>
      </c>
      <c r="W11" s="35" t="s">
        <v>1610</v>
      </c>
      <c r="Z11" s="35" t="s">
        <v>1699</v>
      </c>
      <c r="AA11" s="33" t="s">
        <v>1576</v>
      </c>
      <c r="AG11" t="s">
        <v>1700</v>
      </c>
      <c r="AH11" t="s">
        <v>1701</v>
      </c>
      <c r="AN11" s="38" t="s">
        <v>1702</v>
      </c>
      <c r="AQ11" s="39"/>
      <c r="AS11" s="38"/>
      <c r="AU11" s="38"/>
      <c r="AW11" s="38" t="s">
        <v>257</v>
      </c>
      <c r="AX11" s="38" t="s">
        <v>258</v>
      </c>
    </row>
    <row r="12" spans="1:50" ht="18" x14ac:dyDescent="0.7">
      <c r="A12" t="s">
        <v>1703</v>
      </c>
      <c r="B12" t="s">
        <v>1703</v>
      </c>
      <c r="C12" s="37" t="s">
        <v>1704</v>
      </c>
      <c r="D12" t="s">
        <v>1705</v>
      </c>
      <c r="E12" t="s">
        <v>1706</v>
      </c>
      <c r="G12">
        <v>10</v>
      </c>
      <c r="H12">
        <v>2019</v>
      </c>
      <c r="I12">
        <v>19</v>
      </c>
      <c r="K12" t="s">
        <v>1707</v>
      </c>
      <c r="L12" t="s">
        <v>1708</v>
      </c>
      <c r="O12" t="s">
        <v>1709</v>
      </c>
      <c r="R12" s="31" t="s">
        <v>1710</v>
      </c>
      <c r="S12" s="31" t="s">
        <v>1608</v>
      </c>
      <c r="V12" s="35" t="s">
        <v>1711</v>
      </c>
      <c r="W12" s="35" t="s">
        <v>1629</v>
      </c>
      <c r="Z12" s="35" t="s">
        <v>1712</v>
      </c>
      <c r="AA12" s="33" t="s">
        <v>1576</v>
      </c>
      <c r="AG12" t="s">
        <v>1713</v>
      </c>
      <c r="AH12" t="s">
        <v>1714</v>
      </c>
      <c r="AN12" s="38" t="s">
        <v>1715</v>
      </c>
      <c r="AQ12" s="39"/>
      <c r="AS12" s="38"/>
      <c r="AU12" s="38"/>
      <c r="AW12" s="38" t="s">
        <v>271</v>
      </c>
      <c r="AX12" s="38" t="s">
        <v>272</v>
      </c>
    </row>
    <row r="13" spans="1:50" ht="18" x14ac:dyDescent="0.7">
      <c r="A13" t="s">
        <v>1716</v>
      </c>
      <c r="B13" t="s">
        <v>1716</v>
      </c>
      <c r="C13" s="37" t="s">
        <v>1717</v>
      </c>
      <c r="D13" t="s">
        <v>1697</v>
      </c>
      <c r="E13" t="s">
        <v>1718</v>
      </c>
      <c r="G13">
        <v>11</v>
      </c>
      <c r="H13">
        <v>2020</v>
      </c>
      <c r="I13">
        <v>20</v>
      </c>
      <c r="K13" t="s">
        <v>1719</v>
      </c>
      <c r="L13" t="s">
        <v>1720</v>
      </c>
      <c r="O13" t="s">
        <v>1721</v>
      </c>
      <c r="R13" s="31" t="s">
        <v>1722</v>
      </c>
      <c r="S13" s="31" t="s">
        <v>1572</v>
      </c>
      <c r="V13" s="35" t="s">
        <v>1723</v>
      </c>
      <c r="W13" s="35" t="s">
        <v>1610</v>
      </c>
      <c r="Z13" s="35" t="s">
        <v>1724</v>
      </c>
      <c r="AA13" s="33" t="s">
        <v>1576</v>
      </c>
      <c r="AN13" s="38" t="s">
        <v>1725</v>
      </c>
      <c r="AQ13" s="38"/>
      <c r="AR13" s="38"/>
      <c r="AS13" s="38"/>
      <c r="AT13" s="38"/>
      <c r="AU13" s="38"/>
    </row>
    <row r="14" spans="1:50" ht="18" x14ac:dyDescent="0.7">
      <c r="A14" t="s">
        <v>1726</v>
      </c>
      <c r="B14" t="s">
        <v>1726</v>
      </c>
      <c r="C14" s="37" t="s">
        <v>1727</v>
      </c>
      <c r="D14" t="s">
        <v>1728</v>
      </c>
      <c r="E14" t="s">
        <v>1729</v>
      </c>
      <c r="G14">
        <v>12</v>
      </c>
      <c r="H14">
        <v>2021</v>
      </c>
      <c r="I14">
        <v>21</v>
      </c>
      <c r="K14" t="s">
        <v>1730</v>
      </c>
      <c r="L14" t="s">
        <v>1613</v>
      </c>
      <c r="O14" t="s">
        <v>1731</v>
      </c>
      <c r="R14" s="31" t="s">
        <v>1732</v>
      </c>
      <c r="S14" s="31" t="s">
        <v>1572</v>
      </c>
      <c r="V14" s="35" t="s">
        <v>1646</v>
      </c>
      <c r="W14" s="35" t="s">
        <v>1646</v>
      </c>
      <c r="Z14" s="35" t="s">
        <v>1733</v>
      </c>
      <c r="AA14" s="33" t="s">
        <v>1576</v>
      </c>
      <c r="AN14" s="38" t="s">
        <v>345</v>
      </c>
    </row>
    <row r="15" spans="1:50" ht="18" x14ac:dyDescent="0.7">
      <c r="A15" t="s">
        <v>787</v>
      </c>
      <c r="B15" t="s">
        <v>787</v>
      </c>
      <c r="C15" s="37" t="s">
        <v>1573</v>
      </c>
      <c r="D15" t="s">
        <v>1734</v>
      </c>
      <c r="E15" t="s">
        <v>1735</v>
      </c>
      <c r="H15">
        <v>2022</v>
      </c>
      <c r="I15">
        <v>22</v>
      </c>
      <c r="K15" t="s">
        <v>1736</v>
      </c>
      <c r="L15" t="s">
        <v>1737</v>
      </c>
      <c r="O15" t="s">
        <v>1738</v>
      </c>
      <c r="R15" s="31" t="s">
        <v>1739</v>
      </c>
      <c r="S15" s="31" t="s">
        <v>1572</v>
      </c>
      <c r="V15" s="35" t="s">
        <v>1619</v>
      </c>
      <c r="W15" s="35" t="s">
        <v>1589</v>
      </c>
      <c r="Z15" s="35" t="s">
        <v>1740</v>
      </c>
      <c r="AA15" s="33" t="s">
        <v>1576</v>
      </c>
      <c r="AN15" s="38" t="s">
        <v>1741</v>
      </c>
    </row>
    <row r="16" spans="1:50" ht="18" x14ac:dyDescent="0.7">
      <c r="A16" t="s">
        <v>1742</v>
      </c>
      <c r="B16" t="s">
        <v>1742</v>
      </c>
      <c r="C16" s="37" t="s">
        <v>1743</v>
      </c>
      <c r="D16" t="s">
        <v>1744</v>
      </c>
      <c r="E16" t="s">
        <v>1745</v>
      </c>
      <c r="H16">
        <v>2023</v>
      </c>
      <c r="I16">
        <v>23</v>
      </c>
      <c r="K16" t="s">
        <v>1746</v>
      </c>
      <c r="L16" t="s">
        <v>1746</v>
      </c>
      <c r="R16" s="31" t="s">
        <v>1747</v>
      </c>
      <c r="S16" s="31" t="s">
        <v>1608</v>
      </c>
      <c r="V16" s="35" t="s">
        <v>1748</v>
      </c>
      <c r="W16" s="35" t="s">
        <v>1589</v>
      </c>
      <c r="Z16" s="35" t="s">
        <v>1749</v>
      </c>
      <c r="AA16" s="33" t="s">
        <v>1576</v>
      </c>
      <c r="AN16" s="38" t="s">
        <v>1750</v>
      </c>
    </row>
    <row r="17" spans="1:40" ht="18" x14ac:dyDescent="0.7">
      <c r="A17" t="s">
        <v>1751</v>
      </c>
      <c r="B17" t="s">
        <v>1751</v>
      </c>
      <c r="C17" s="37" t="s">
        <v>1752</v>
      </c>
      <c r="D17" t="s">
        <v>1753</v>
      </c>
      <c r="E17" t="s">
        <v>1754</v>
      </c>
      <c r="H17">
        <v>2024</v>
      </c>
      <c r="I17">
        <v>24</v>
      </c>
      <c r="K17" t="s">
        <v>1755</v>
      </c>
      <c r="L17" t="s">
        <v>1756</v>
      </c>
      <c r="R17" s="31" t="s">
        <v>1757</v>
      </c>
      <c r="S17" s="31" t="s">
        <v>1608</v>
      </c>
      <c r="V17" s="35" t="s">
        <v>1637</v>
      </c>
      <c r="W17" s="35" t="s">
        <v>1637</v>
      </c>
      <c r="Z17" s="35" t="s">
        <v>1758</v>
      </c>
      <c r="AA17" s="33" t="s">
        <v>1576</v>
      </c>
      <c r="AN17" s="38" t="s">
        <v>1759</v>
      </c>
    </row>
    <row r="18" spans="1:40" ht="18" x14ac:dyDescent="0.7">
      <c r="A18" t="s">
        <v>1760</v>
      </c>
      <c r="B18" t="s">
        <v>1760</v>
      </c>
      <c r="C18" s="37" t="s">
        <v>1646</v>
      </c>
      <c r="D18" t="s">
        <v>1607</v>
      </c>
      <c r="E18" t="s">
        <v>1761</v>
      </c>
      <c r="H18">
        <v>2025</v>
      </c>
      <c r="I18">
        <v>25</v>
      </c>
      <c r="K18" t="s">
        <v>1762</v>
      </c>
      <c r="L18" t="s">
        <v>1763</v>
      </c>
      <c r="R18" s="31" t="s">
        <v>1764</v>
      </c>
      <c r="S18" s="31" t="s">
        <v>1591</v>
      </c>
      <c r="V18" s="35" t="s">
        <v>1765</v>
      </c>
      <c r="W18" s="35" t="s">
        <v>1675</v>
      </c>
      <c r="Z18" s="35" t="s">
        <v>1766</v>
      </c>
      <c r="AA18" s="33" t="s">
        <v>1576</v>
      </c>
      <c r="AN18" s="38" t="s">
        <v>1767</v>
      </c>
    </row>
    <row r="19" spans="1:40" ht="18" x14ac:dyDescent="0.7">
      <c r="A19" t="s">
        <v>807</v>
      </c>
      <c r="B19" t="s">
        <v>807</v>
      </c>
      <c r="C19" s="37" t="s">
        <v>1768</v>
      </c>
      <c r="D19" t="s">
        <v>1769</v>
      </c>
      <c r="E19" t="s">
        <v>1770</v>
      </c>
      <c r="H19">
        <v>2026</v>
      </c>
      <c r="I19">
        <v>26</v>
      </c>
      <c r="K19" t="s">
        <v>1771</v>
      </c>
      <c r="L19" t="s">
        <v>1772</v>
      </c>
      <c r="R19" s="31" t="s">
        <v>1773</v>
      </c>
      <c r="S19" s="31" t="s">
        <v>1591</v>
      </c>
      <c r="V19" s="35" t="s">
        <v>1774</v>
      </c>
      <c r="W19" s="35" t="s">
        <v>1589</v>
      </c>
      <c r="Z19" s="35" t="s">
        <v>45</v>
      </c>
      <c r="AA19" s="33" t="s">
        <v>1576</v>
      </c>
      <c r="AN19" s="38" t="s">
        <v>1775</v>
      </c>
    </row>
    <row r="20" spans="1:40" ht="18" x14ac:dyDescent="0.7">
      <c r="A20" t="s">
        <v>1776</v>
      </c>
      <c r="B20" t="s">
        <v>1776</v>
      </c>
      <c r="C20" s="37" t="s">
        <v>1777</v>
      </c>
      <c r="D20" t="s">
        <v>1778</v>
      </c>
      <c r="E20" t="s">
        <v>1779</v>
      </c>
      <c r="H20">
        <v>2027</v>
      </c>
      <c r="I20">
        <v>27</v>
      </c>
      <c r="K20" t="s">
        <v>1780</v>
      </c>
      <c r="L20" t="s">
        <v>1781</v>
      </c>
      <c r="R20" s="31" t="s">
        <v>1782</v>
      </c>
      <c r="S20" s="31" t="s">
        <v>1572</v>
      </c>
      <c r="V20" s="35" t="s">
        <v>1783</v>
      </c>
      <c r="W20" s="35" t="s">
        <v>1589</v>
      </c>
      <c r="Z20" s="35" t="s">
        <v>1784</v>
      </c>
      <c r="AA20" s="33" t="s">
        <v>1576</v>
      </c>
      <c r="AN20" s="38" t="s">
        <v>1785</v>
      </c>
    </row>
    <row r="21" spans="1:40" ht="18" x14ac:dyDescent="0.7">
      <c r="A21" t="s">
        <v>1786</v>
      </c>
      <c r="B21" t="s">
        <v>1786</v>
      </c>
      <c r="C21" s="37" t="s">
        <v>1787</v>
      </c>
      <c r="D21" t="s">
        <v>1710</v>
      </c>
      <c r="E21" t="s">
        <v>1788</v>
      </c>
      <c r="H21">
        <v>2028</v>
      </c>
      <c r="I21">
        <v>28</v>
      </c>
      <c r="K21" t="s">
        <v>1789</v>
      </c>
      <c r="L21" t="s">
        <v>1790</v>
      </c>
      <c r="R21" s="31" t="s">
        <v>1724</v>
      </c>
      <c r="S21" s="31" t="s">
        <v>1591</v>
      </c>
      <c r="V21" s="35" t="s">
        <v>1791</v>
      </c>
      <c r="W21" s="35" t="s">
        <v>1688</v>
      </c>
      <c r="Z21" s="35" t="s">
        <v>1792</v>
      </c>
      <c r="AA21" s="33" t="s">
        <v>1576</v>
      </c>
      <c r="AN21" s="38" t="s">
        <v>1793</v>
      </c>
    </row>
    <row r="22" spans="1:40" ht="18" x14ac:dyDescent="0.7">
      <c r="A22" t="s">
        <v>1794</v>
      </c>
      <c r="B22" t="s">
        <v>1794</v>
      </c>
      <c r="C22" s="37" t="s">
        <v>1643</v>
      </c>
      <c r="D22" t="s">
        <v>1795</v>
      </c>
      <c r="E22" t="s">
        <v>1796</v>
      </c>
      <c r="H22">
        <v>2029</v>
      </c>
      <c r="I22">
        <v>29</v>
      </c>
      <c r="K22" t="s">
        <v>1797</v>
      </c>
      <c r="L22" t="s">
        <v>1798</v>
      </c>
      <c r="R22" s="31" t="s">
        <v>1799</v>
      </c>
      <c r="S22" s="31" t="s">
        <v>1591</v>
      </c>
      <c r="V22" s="35" t="s">
        <v>1800</v>
      </c>
      <c r="W22" s="35" t="s">
        <v>1675</v>
      </c>
      <c r="Z22" s="35" t="s">
        <v>1801</v>
      </c>
      <c r="AA22" s="33" t="s">
        <v>1576</v>
      </c>
      <c r="AN22" s="38" t="s">
        <v>1802</v>
      </c>
    </row>
    <row r="23" spans="1:40" ht="18" x14ac:dyDescent="0.7">
      <c r="A23" t="s">
        <v>834</v>
      </c>
      <c r="B23" t="s">
        <v>834</v>
      </c>
      <c r="C23" s="37" t="s">
        <v>1606</v>
      </c>
      <c r="D23" t="s">
        <v>1722</v>
      </c>
      <c r="E23" t="s">
        <v>1803</v>
      </c>
      <c r="H23">
        <v>2030</v>
      </c>
      <c r="I23">
        <v>30</v>
      </c>
      <c r="K23" t="s">
        <v>1804</v>
      </c>
      <c r="L23" t="s">
        <v>1805</v>
      </c>
      <c r="R23" s="31" t="s">
        <v>1806</v>
      </c>
      <c r="S23" s="31" t="s">
        <v>1627</v>
      </c>
      <c r="V23" s="35" t="s">
        <v>1807</v>
      </c>
      <c r="W23" s="35" t="s">
        <v>1610</v>
      </c>
      <c r="Z23" s="35" t="s">
        <v>1638</v>
      </c>
      <c r="AA23" s="33" t="s">
        <v>1576</v>
      </c>
      <c r="AN23" s="38" t="s">
        <v>1808</v>
      </c>
    </row>
    <row r="24" spans="1:40" x14ac:dyDescent="0.35">
      <c r="A24" t="s">
        <v>838</v>
      </c>
      <c r="B24" t="s">
        <v>838</v>
      </c>
      <c r="C24" s="37" t="s">
        <v>1809</v>
      </c>
      <c r="D24" t="s">
        <v>1810</v>
      </c>
      <c r="E24" t="s">
        <v>1811</v>
      </c>
      <c r="K24" t="s">
        <v>1812</v>
      </c>
      <c r="L24" t="s">
        <v>1813</v>
      </c>
      <c r="R24" s="31" t="s">
        <v>1814</v>
      </c>
      <c r="S24" s="31" t="s">
        <v>1572</v>
      </c>
      <c r="V24" s="35" t="s">
        <v>1815</v>
      </c>
      <c r="W24" s="35" t="s">
        <v>1629</v>
      </c>
      <c r="Z24" s="35" t="s">
        <v>1744</v>
      </c>
      <c r="AA24" s="33" t="s">
        <v>1576</v>
      </c>
    </row>
    <row r="25" spans="1:40" x14ac:dyDescent="0.35">
      <c r="A25" t="s">
        <v>1756</v>
      </c>
      <c r="B25" t="s">
        <v>1756</v>
      </c>
      <c r="C25" s="37" t="s">
        <v>1816</v>
      </c>
      <c r="D25" t="s">
        <v>1817</v>
      </c>
      <c r="E25" t="s">
        <v>1818</v>
      </c>
      <c r="K25" t="s">
        <v>1819</v>
      </c>
      <c r="L25" t="s">
        <v>1820</v>
      </c>
      <c r="R25" s="31" t="s">
        <v>1821</v>
      </c>
      <c r="S25" s="31" t="s">
        <v>1608</v>
      </c>
      <c r="V25" s="35" t="s">
        <v>1700</v>
      </c>
      <c r="W25" s="35" t="s">
        <v>1700</v>
      </c>
      <c r="Z25" s="35" t="s">
        <v>1822</v>
      </c>
      <c r="AA25" s="33" t="s">
        <v>1576</v>
      </c>
    </row>
    <row r="26" spans="1:40" x14ac:dyDescent="0.35">
      <c r="A26" t="s">
        <v>1823</v>
      </c>
      <c r="B26" t="s">
        <v>1823</v>
      </c>
      <c r="C26" s="37" t="s">
        <v>1824</v>
      </c>
      <c r="D26" t="s">
        <v>1732</v>
      </c>
      <c r="E26" t="s">
        <v>1825</v>
      </c>
      <c r="K26" t="s">
        <v>1826</v>
      </c>
      <c r="L26" t="s">
        <v>1827</v>
      </c>
      <c r="R26" s="31" t="s">
        <v>1828</v>
      </c>
      <c r="S26" s="31" t="s">
        <v>1572</v>
      </c>
      <c r="V26" s="35" t="s">
        <v>1829</v>
      </c>
      <c r="W26" s="35" t="s">
        <v>1589</v>
      </c>
      <c r="Z26" s="35" t="s">
        <v>1685</v>
      </c>
      <c r="AA26" s="33" t="s">
        <v>1576</v>
      </c>
    </row>
    <row r="27" spans="1:40" x14ac:dyDescent="0.35">
      <c r="A27" t="s">
        <v>1830</v>
      </c>
      <c r="B27" t="s">
        <v>1830</v>
      </c>
      <c r="C27" s="37" t="s">
        <v>1831</v>
      </c>
      <c r="D27" t="s">
        <v>1739</v>
      </c>
      <c r="E27" t="s">
        <v>1832</v>
      </c>
      <c r="K27" t="s">
        <v>1833</v>
      </c>
      <c r="L27" t="s">
        <v>1834</v>
      </c>
      <c r="R27" s="31" t="s">
        <v>1835</v>
      </c>
      <c r="S27" s="31" t="s">
        <v>1591</v>
      </c>
      <c r="V27" s="35" t="s">
        <v>1836</v>
      </c>
      <c r="W27" s="35" t="s">
        <v>1713</v>
      </c>
      <c r="Z27" s="35" t="s">
        <v>1837</v>
      </c>
      <c r="AA27" s="33" t="s">
        <v>1576</v>
      </c>
    </row>
    <row r="28" spans="1:40" x14ac:dyDescent="0.35">
      <c r="A28" t="s">
        <v>1838</v>
      </c>
      <c r="B28" t="s">
        <v>1838</v>
      </c>
      <c r="C28" s="37" t="s">
        <v>1783</v>
      </c>
      <c r="D28" t="s">
        <v>1747</v>
      </c>
      <c r="E28" t="s">
        <v>1839</v>
      </c>
      <c r="K28" t="s">
        <v>1840</v>
      </c>
      <c r="L28" t="s">
        <v>1841</v>
      </c>
      <c r="R28" s="31" t="s">
        <v>1842</v>
      </c>
      <c r="S28" s="31" t="s">
        <v>1572</v>
      </c>
      <c r="V28" s="35" t="s">
        <v>1743</v>
      </c>
      <c r="W28" s="35" t="s">
        <v>1589</v>
      </c>
      <c r="Z28" s="35" t="s">
        <v>1843</v>
      </c>
      <c r="AA28" s="33" t="s">
        <v>1576</v>
      </c>
    </row>
    <row r="29" spans="1:40" x14ac:dyDescent="0.35">
      <c r="A29" t="s">
        <v>1844</v>
      </c>
      <c r="B29" t="s">
        <v>1844</v>
      </c>
      <c r="C29" s="37" t="s">
        <v>1659</v>
      </c>
      <c r="D29" t="s">
        <v>1845</v>
      </c>
      <c r="E29" t="s">
        <v>1846</v>
      </c>
      <c r="K29" t="s">
        <v>1847</v>
      </c>
      <c r="L29" t="s">
        <v>1848</v>
      </c>
      <c r="R29" s="31" t="s">
        <v>1849</v>
      </c>
      <c r="S29" s="31" t="s">
        <v>1591</v>
      </c>
      <c r="V29" s="35" t="s">
        <v>1713</v>
      </c>
      <c r="W29" s="35" t="s">
        <v>1713</v>
      </c>
      <c r="Z29" s="35" t="s">
        <v>1850</v>
      </c>
      <c r="AA29" s="33" t="s">
        <v>1576</v>
      </c>
    </row>
    <row r="30" spans="1:40" x14ac:dyDescent="0.35">
      <c r="A30" t="s">
        <v>1851</v>
      </c>
      <c r="B30" t="s">
        <v>1851</v>
      </c>
      <c r="C30" s="37" t="s">
        <v>1774</v>
      </c>
      <c r="D30" t="s">
        <v>1757</v>
      </c>
      <c r="E30" t="s">
        <v>1852</v>
      </c>
      <c r="K30" t="s">
        <v>1853</v>
      </c>
      <c r="L30" t="s">
        <v>1578</v>
      </c>
      <c r="R30" s="31" t="s">
        <v>1740</v>
      </c>
      <c r="S30" s="31" t="s">
        <v>1627</v>
      </c>
      <c r="V30" s="35" t="s">
        <v>1854</v>
      </c>
      <c r="W30" s="35" t="s">
        <v>1589</v>
      </c>
      <c r="Z30" s="35" t="s">
        <v>1855</v>
      </c>
      <c r="AA30" s="33" t="s">
        <v>1576</v>
      </c>
    </row>
    <row r="31" spans="1:40" x14ac:dyDescent="0.35">
      <c r="A31" t="s">
        <v>1856</v>
      </c>
      <c r="B31" t="s">
        <v>1856</v>
      </c>
      <c r="C31" s="37" t="s">
        <v>44</v>
      </c>
      <c r="D31" t="s">
        <v>1764</v>
      </c>
      <c r="E31" t="s">
        <v>1857</v>
      </c>
      <c r="K31" t="s">
        <v>1858</v>
      </c>
      <c r="L31" t="s">
        <v>1859</v>
      </c>
      <c r="R31" s="31" t="s">
        <v>1837</v>
      </c>
      <c r="S31" s="31" t="s">
        <v>1572</v>
      </c>
      <c r="V31" s="35" t="s">
        <v>1860</v>
      </c>
      <c r="W31" s="35" t="s">
        <v>1610</v>
      </c>
      <c r="Z31" s="35" t="s">
        <v>1782</v>
      </c>
      <c r="AA31" s="33" t="s">
        <v>1576</v>
      </c>
    </row>
    <row r="32" spans="1:40" x14ac:dyDescent="0.35">
      <c r="A32" t="s">
        <v>1861</v>
      </c>
      <c r="B32" t="s">
        <v>1861</v>
      </c>
      <c r="C32" s="37" t="s">
        <v>1862</v>
      </c>
      <c r="D32" t="s">
        <v>1773</v>
      </c>
      <c r="E32" t="s">
        <v>1863</v>
      </c>
      <c r="K32" t="s">
        <v>1864</v>
      </c>
      <c r="L32" t="s">
        <v>1865</v>
      </c>
      <c r="R32" s="31" t="s">
        <v>1766</v>
      </c>
      <c r="S32" s="31" t="s">
        <v>1572</v>
      </c>
      <c r="V32" s="35" t="s">
        <v>1600</v>
      </c>
      <c r="W32" s="35" t="s">
        <v>1675</v>
      </c>
      <c r="Z32" s="35" t="s">
        <v>1866</v>
      </c>
      <c r="AA32" s="33" t="s">
        <v>1576</v>
      </c>
    </row>
    <row r="33" spans="1:27" x14ac:dyDescent="0.35">
      <c r="A33" t="s">
        <v>1867</v>
      </c>
      <c r="B33" t="s">
        <v>1867</v>
      </c>
      <c r="C33" s="37" t="s">
        <v>1868</v>
      </c>
      <c r="D33" t="s">
        <v>1782</v>
      </c>
      <c r="E33" t="s">
        <v>1869</v>
      </c>
      <c r="K33" t="s">
        <v>1870</v>
      </c>
      <c r="L33" t="s">
        <v>1871</v>
      </c>
      <c r="R33" s="31" t="s">
        <v>1872</v>
      </c>
      <c r="S33" s="31" t="s">
        <v>1572</v>
      </c>
      <c r="V33" s="35" t="s">
        <v>1873</v>
      </c>
      <c r="W33" s="35" t="s">
        <v>1610</v>
      </c>
      <c r="Z33" s="35" t="s">
        <v>1728</v>
      </c>
      <c r="AA33" s="33" t="s">
        <v>1576</v>
      </c>
    </row>
    <row r="34" spans="1:27" x14ac:dyDescent="0.35">
      <c r="A34" t="s">
        <v>1874</v>
      </c>
      <c r="B34" t="s">
        <v>1874</v>
      </c>
      <c r="C34" s="37" t="s">
        <v>1875</v>
      </c>
      <c r="D34" t="s">
        <v>1724</v>
      </c>
      <c r="E34" t="s">
        <v>1876</v>
      </c>
      <c r="K34" t="s">
        <v>70</v>
      </c>
      <c r="L34" t="s">
        <v>1877</v>
      </c>
      <c r="R34" s="31" t="s">
        <v>1878</v>
      </c>
      <c r="S34" s="31" t="s">
        <v>1591</v>
      </c>
      <c r="V34" s="35" t="s">
        <v>1879</v>
      </c>
      <c r="W34" s="35" t="s">
        <v>1688</v>
      </c>
      <c r="Z34" s="35" t="s">
        <v>1608</v>
      </c>
      <c r="AA34" s="33" t="s">
        <v>1576</v>
      </c>
    </row>
    <row r="35" spans="1:27" x14ac:dyDescent="0.35">
      <c r="A35" t="s">
        <v>1815</v>
      </c>
      <c r="B35" t="s">
        <v>1815</v>
      </c>
      <c r="C35" s="37" t="s">
        <v>1815</v>
      </c>
      <c r="D35" t="s">
        <v>1880</v>
      </c>
      <c r="E35" t="s">
        <v>1881</v>
      </c>
      <c r="K35" t="s">
        <v>1882</v>
      </c>
      <c r="L35" t="s">
        <v>1883</v>
      </c>
      <c r="R35" s="31" t="s">
        <v>1884</v>
      </c>
      <c r="S35" s="31" t="s">
        <v>1627</v>
      </c>
      <c r="V35" s="35" t="s">
        <v>1885</v>
      </c>
      <c r="W35" s="35" t="s">
        <v>1629</v>
      </c>
      <c r="Z35" s="35" t="s">
        <v>1886</v>
      </c>
      <c r="AA35" s="33" t="s">
        <v>1576</v>
      </c>
    </row>
    <row r="36" spans="1:27" x14ac:dyDescent="0.35">
      <c r="A36" t="s">
        <v>1887</v>
      </c>
      <c r="B36" t="s">
        <v>1887</v>
      </c>
      <c r="C36" s="37" t="s">
        <v>1888</v>
      </c>
      <c r="D36" t="s">
        <v>1799</v>
      </c>
      <c r="E36" t="s">
        <v>1889</v>
      </c>
      <c r="K36" t="s">
        <v>1890</v>
      </c>
      <c r="L36" t="s">
        <v>1891</v>
      </c>
      <c r="R36" s="31" t="s">
        <v>1843</v>
      </c>
      <c r="S36" s="31" t="s">
        <v>1572</v>
      </c>
      <c r="V36" s="35" t="s">
        <v>1888</v>
      </c>
      <c r="W36" s="35" t="s">
        <v>1646</v>
      </c>
      <c r="Z36" s="35" t="s">
        <v>1734</v>
      </c>
      <c r="AA36" s="33" t="s">
        <v>1576</v>
      </c>
    </row>
    <row r="37" spans="1:27" x14ac:dyDescent="0.35">
      <c r="A37" t="s">
        <v>1892</v>
      </c>
      <c r="B37" t="s">
        <v>1892</v>
      </c>
      <c r="C37" s="37" t="s">
        <v>1893</v>
      </c>
      <c r="D37" t="s">
        <v>1894</v>
      </c>
      <c r="E37" t="s">
        <v>1895</v>
      </c>
      <c r="K37" t="s">
        <v>1896</v>
      </c>
      <c r="L37" t="s">
        <v>1897</v>
      </c>
      <c r="R37" s="31" t="s">
        <v>1898</v>
      </c>
      <c r="S37" s="31" t="s">
        <v>1572</v>
      </c>
      <c r="V37" s="35" t="s">
        <v>1787</v>
      </c>
      <c r="W37" s="35" t="s">
        <v>1688</v>
      </c>
      <c r="Z37" s="35" t="s">
        <v>1778</v>
      </c>
      <c r="AA37" s="33" t="s">
        <v>1576</v>
      </c>
    </row>
    <row r="38" spans="1:27" x14ac:dyDescent="0.35">
      <c r="A38" t="s">
        <v>1899</v>
      </c>
      <c r="B38" t="s">
        <v>1899</v>
      </c>
      <c r="C38" s="37" t="s">
        <v>1900</v>
      </c>
      <c r="D38" t="s">
        <v>1806</v>
      </c>
      <c r="E38" t="s">
        <v>1901</v>
      </c>
      <c r="K38" t="s">
        <v>1902</v>
      </c>
      <c r="L38" t="s">
        <v>1903</v>
      </c>
      <c r="R38" s="31" t="s">
        <v>1904</v>
      </c>
      <c r="S38" s="31" t="s">
        <v>1572</v>
      </c>
      <c r="V38" s="35" t="s">
        <v>1905</v>
      </c>
      <c r="W38" s="35" t="s">
        <v>1688</v>
      </c>
      <c r="Z38" s="35" t="s">
        <v>1906</v>
      </c>
      <c r="AA38" s="33" t="s">
        <v>1576</v>
      </c>
    </row>
    <row r="39" spans="1:27" x14ac:dyDescent="0.35">
      <c r="A39" t="s">
        <v>1907</v>
      </c>
      <c r="B39" t="s">
        <v>1907</v>
      </c>
      <c r="C39" s="37" t="s">
        <v>1908</v>
      </c>
      <c r="D39" t="s">
        <v>1814</v>
      </c>
      <c r="E39" t="s">
        <v>1909</v>
      </c>
      <c r="K39" t="s">
        <v>1910</v>
      </c>
      <c r="L39" t="s">
        <v>1911</v>
      </c>
      <c r="R39" s="31" t="s">
        <v>1822</v>
      </c>
      <c r="S39" s="31" t="s">
        <v>1608</v>
      </c>
      <c r="V39" s="35" t="s">
        <v>1868</v>
      </c>
      <c r="W39" s="35" t="s">
        <v>1589</v>
      </c>
      <c r="Z39" s="35" t="s">
        <v>1878</v>
      </c>
      <c r="AA39" s="33" t="s">
        <v>1576</v>
      </c>
    </row>
    <row r="40" spans="1:27" x14ac:dyDescent="0.35">
      <c r="A40" t="s">
        <v>1912</v>
      </c>
      <c r="B40" t="s">
        <v>1912</v>
      </c>
      <c r="C40" s="37" t="s">
        <v>1686</v>
      </c>
      <c r="D40" t="s">
        <v>1913</v>
      </c>
      <c r="E40" t="s">
        <v>1914</v>
      </c>
      <c r="K40" t="s">
        <v>1915</v>
      </c>
      <c r="L40" t="s">
        <v>1916</v>
      </c>
      <c r="R40" s="31" t="s">
        <v>1917</v>
      </c>
      <c r="S40" s="31" t="s">
        <v>1572</v>
      </c>
      <c r="V40" s="35" t="s">
        <v>1918</v>
      </c>
      <c r="W40" s="35" t="s">
        <v>1629</v>
      </c>
      <c r="Z40" s="35" t="s">
        <v>1919</v>
      </c>
      <c r="AA40" s="33" t="s">
        <v>1576</v>
      </c>
    </row>
    <row r="41" spans="1:27" x14ac:dyDescent="0.35">
      <c r="A41" t="s">
        <v>1920</v>
      </c>
      <c r="B41" t="s">
        <v>1920</v>
      </c>
      <c r="C41" s="37" t="s">
        <v>1921</v>
      </c>
      <c r="D41" t="s">
        <v>1821</v>
      </c>
      <c r="E41" t="s">
        <v>1922</v>
      </c>
      <c r="K41" t="s">
        <v>1923</v>
      </c>
      <c r="L41" t="s">
        <v>1923</v>
      </c>
      <c r="R41" s="31" t="s">
        <v>1924</v>
      </c>
      <c r="S41" s="31" t="s">
        <v>1572</v>
      </c>
      <c r="V41" s="35" t="s">
        <v>1925</v>
      </c>
      <c r="W41" s="35" t="s">
        <v>1629</v>
      </c>
      <c r="Z41" s="35" t="s">
        <v>1872</v>
      </c>
      <c r="AA41" s="33" t="s">
        <v>1576</v>
      </c>
    </row>
    <row r="42" spans="1:27" x14ac:dyDescent="0.35">
      <c r="A42" t="s">
        <v>1926</v>
      </c>
      <c r="B42" t="s">
        <v>1926</v>
      </c>
      <c r="C42" s="37" t="s">
        <v>1700</v>
      </c>
      <c r="D42" t="s">
        <v>1828</v>
      </c>
      <c r="E42" t="s">
        <v>1927</v>
      </c>
      <c r="K42" t="s">
        <v>1928</v>
      </c>
      <c r="L42" t="s">
        <v>1929</v>
      </c>
      <c r="R42" s="31" t="s">
        <v>1855</v>
      </c>
      <c r="S42" s="31" t="s">
        <v>1572</v>
      </c>
      <c r="V42" s="35" t="s">
        <v>1930</v>
      </c>
      <c r="W42" s="35" t="s">
        <v>1629</v>
      </c>
      <c r="Z42" s="35" t="s">
        <v>1931</v>
      </c>
      <c r="AA42" s="35" t="s">
        <v>1594</v>
      </c>
    </row>
    <row r="43" spans="1:27" x14ac:dyDescent="0.35">
      <c r="A43" t="s">
        <v>1932</v>
      </c>
      <c r="B43" t="s">
        <v>1932</v>
      </c>
      <c r="C43" s="37" t="s">
        <v>1918</v>
      </c>
      <c r="D43" t="s">
        <v>1835</v>
      </c>
      <c r="E43" t="s">
        <v>1933</v>
      </c>
      <c r="K43" t="s">
        <v>1934</v>
      </c>
      <c r="L43" t="s">
        <v>1935</v>
      </c>
      <c r="R43" s="31" t="s">
        <v>1936</v>
      </c>
      <c r="S43" s="31" t="s">
        <v>1591</v>
      </c>
      <c r="V43" s="35" t="s">
        <v>1937</v>
      </c>
      <c r="W43" s="35" t="s">
        <v>1610</v>
      </c>
      <c r="Z43" s="35" t="s">
        <v>1938</v>
      </c>
      <c r="AA43" s="33" t="s">
        <v>1576</v>
      </c>
    </row>
    <row r="44" spans="1:27" x14ac:dyDescent="0.35">
      <c r="A44" t="s">
        <v>1939</v>
      </c>
      <c r="B44" t="s">
        <v>1939</v>
      </c>
      <c r="C44" s="37" t="s">
        <v>1940</v>
      </c>
      <c r="D44" t="s">
        <v>1842</v>
      </c>
      <c r="E44" t="s">
        <v>1941</v>
      </c>
      <c r="K44" t="s">
        <v>1942</v>
      </c>
      <c r="L44" t="s">
        <v>1943</v>
      </c>
      <c r="R44" s="31" t="s">
        <v>45</v>
      </c>
      <c r="S44" s="31" t="s">
        <v>1572</v>
      </c>
      <c r="V44" s="35" t="s">
        <v>1900</v>
      </c>
      <c r="W44" s="35" t="s">
        <v>1688</v>
      </c>
      <c r="Z44" s="35" t="s">
        <v>1944</v>
      </c>
      <c r="AA44" s="33" t="s">
        <v>1576</v>
      </c>
    </row>
    <row r="45" spans="1:27" x14ac:dyDescent="0.35">
      <c r="A45" t="s">
        <v>1945</v>
      </c>
      <c r="B45" t="s">
        <v>1945</v>
      </c>
      <c r="C45" s="37" t="s">
        <v>1925</v>
      </c>
      <c r="D45" t="s">
        <v>1946</v>
      </c>
      <c r="E45" t="s">
        <v>1947</v>
      </c>
      <c r="K45" t="s">
        <v>1948</v>
      </c>
      <c r="L45" t="s">
        <v>1949</v>
      </c>
      <c r="R45" s="31" t="s">
        <v>1950</v>
      </c>
      <c r="S45" s="31" t="s">
        <v>1572</v>
      </c>
      <c r="V45" s="35" t="s">
        <v>1679</v>
      </c>
      <c r="W45" s="35" t="s">
        <v>1589</v>
      </c>
      <c r="Z45" s="35" t="s">
        <v>1898</v>
      </c>
      <c r="AA45" s="33" t="s">
        <v>1576</v>
      </c>
    </row>
    <row r="46" spans="1:27" x14ac:dyDescent="0.35">
      <c r="A46" t="s">
        <v>1951</v>
      </c>
      <c r="B46" t="s">
        <v>1951</v>
      </c>
      <c r="C46" s="37" t="s">
        <v>1698</v>
      </c>
      <c r="D46" t="s">
        <v>1952</v>
      </c>
      <c r="E46" t="s">
        <v>1953</v>
      </c>
      <c r="K46" t="s">
        <v>1954</v>
      </c>
      <c r="L46" t="s">
        <v>1955</v>
      </c>
      <c r="R46" s="31" t="s">
        <v>1956</v>
      </c>
      <c r="S46" s="31" t="s">
        <v>1572</v>
      </c>
      <c r="V46" s="35" t="s">
        <v>1752</v>
      </c>
      <c r="W46" s="35" t="s">
        <v>1675</v>
      </c>
      <c r="Z46" s="35" t="s">
        <v>1957</v>
      </c>
      <c r="AA46" s="33" t="s">
        <v>1576</v>
      </c>
    </row>
    <row r="47" spans="1:27" x14ac:dyDescent="0.35">
      <c r="A47" t="s">
        <v>1958</v>
      </c>
      <c r="B47" t="s">
        <v>1958</v>
      </c>
      <c r="C47" s="37" t="s">
        <v>1959</v>
      </c>
      <c r="D47" t="s">
        <v>1960</v>
      </c>
      <c r="E47" t="s">
        <v>1961</v>
      </c>
      <c r="K47" t="s">
        <v>1962</v>
      </c>
      <c r="L47" t="s">
        <v>1963</v>
      </c>
      <c r="R47" s="31" t="s">
        <v>1964</v>
      </c>
      <c r="S47" s="31" t="s">
        <v>1572</v>
      </c>
      <c r="V47" s="35" t="s">
        <v>1965</v>
      </c>
      <c r="W47" s="35" t="s">
        <v>1610</v>
      </c>
      <c r="Z47" s="35" t="s">
        <v>1964</v>
      </c>
      <c r="AA47" s="33" t="s">
        <v>1576</v>
      </c>
    </row>
    <row r="48" spans="1:27" x14ac:dyDescent="0.35">
      <c r="A48" t="s">
        <v>1966</v>
      </c>
      <c r="B48" t="s">
        <v>1966</v>
      </c>
      <c r="C48" s="37" t="s">
        <v>1860</v>
      </c>
      <c r="D48" t="s">
        <v>1849</v>
      </c>
      <c r="E48" t="s">
        <v>1967</v>
      </c>
      <c r="K48" t="s">
        <v>1968</v>
      </c>
      <c r="L48" t="s">
        <v>1969</v>
      </c>
      <c r="R48" s="31" t="s">
        <v>1970</v>
      </c>
      <c r="S48" s="31" t="s">
        <v>1572</v>
      </c>
      <c r="V48" s="35" t="s">
        <v>1908</v>
      </c>
      <c r="W48" s="35" t="s">
        <v>1610</v>
      </c>
      <c r="Z48" s="35" t="s">
        <v>1971</v>
      </c>
      <c r="AA48" s="33" t="s">
        <v>1576</v>
      </c>
    </row>
    <row r="49" spans="1:27" x14ac:dyDescent="0.35">
      <c r="A49" t="s">
        <v>1711</v>
      </c>
      <c r="B49" t="s">
        <v>1711</v>
      </c>
      <c r="C49" s="37" t="s">
        <v>1711</v>
      </c>
      <c r="D49" t="s">
        <v>1740</v>
      </c>
      <c r="E49" t="s">
        <v>1972</v>
      </c>
      <c r="K49" t="s">
        <v>1973</v>
      </c>
      <c r="L49" t="s">
        <v>1974</v>
      </c>
      <c r="R49" s="31" t="s">
        <v>1975</v>
      </c>
      <c r="S49" s="31" t="s">
        <v>1591</v>
      </c>
      <c r="V49" s="35" t="s">
        <v>1893</v>
      </c>
      <c r="W49" s="35" t="s">
        <v>1688</v>
      </c>
      <c r="Z49" s="35" t="s">
        <v>1976</v>
      </c>
      <c r="AA49" s="33" t="s">
        <v>1576</v>
      </c>
    </row>
    <row r="50" spans="1:27" x14ac:dyDescent="0.35">
      <c r="A50" t="s">
        <v>1977</v>
      </c>
      <c r="B50" t="s">
        <v>1977</v>
      </c>
      <c r="C50" s="37" t="s">
        <v>1978</v>
      </c>
      <c r="D50" t="s">
        <v>1979</v>
      </c>
      <c r="E50" t="s">
        <v>1980</v>
      </c>
      <c r="K50" t="s">
        <v>1981</v>
      </c>
      <c r="L50" t="s">
        <v>1982</v>
      </c>
      <c r="R50" s="31" t="s">
        <v>1983</v>
      </c>
      <c r="S50" s="31" t="s">
        <v>1572</v>
      </c>
      <c r="V50" s="35" t="s">
        <v>1940</v>
      </c>
      <c r="W50" s="35" t="s">
        <v>1589</v>
      </c>
      <c r="Z50" s="35" t="s">
        <v>1984</v>
      </c>
      <c r="AA50" s="33" t="s">
        <v>1576</v>
      </c>
    </row>
    <row r="51" spans="1:27" x14ac:dyDescent="0.35">
      <c r="A51" t="s">
        <v>1985</v>
      </c>
      <c r="B51" t="s">
        <v>1985</v>
      </c>
      <c r="C51" s="37" t="s">
        <v>1986</v>
      </c>
      <c r="D51" t="s">
        <v>1837</v>
      </c>
      <c r="E51" t="s">
        <v>1987</v>
      </c>
      <c r="K51" t="s">
        <v>1988</v>
      </c>
      <c r="L51" t="s">
        <v>1989</v>
      </c>
      <c r="R51" s="31" t="s">
        <v>1990</v>
      </c>
      <c r="S51" s="31" t="s">
        <v>1572</v>
      </c>
      <c r="V51" s="35" t="s">
        <v>1991</v>
      </c>
      <c r="W51" s="35" t="s">
        <v>1688</v>
      </c>
      <c r="Z51" s="35" t="s">
        <v>1992</v>
      </c>
      <c r="AA51" s="33" t="s">
        <v>1576</v>
      </c>
    </row>
    <row r="52" spans="1:27" x14ac:dyDescent="0.35">
      <c r="A52" t="s">
        <v>1993</v>
      </c>
      <c r="B52" t="s">
        <v>1993</v>
      </c>
      <c r="C52" s="37" t="s">
        <v>1930</v>
      </c>
      <c r="D52" t="s">
        <v>1766</v>
      </c>
      <c r="E52" t="s">
        <v>1994</v>
      </c>
      <c r="K52" t="s">
        <v>1995</v>
      </c>
      <c r="L52" t="s">
        <v>1996</v>
      </c>
      <c r="R52" s="31" t="s">
        <v>1997</v>
      </c>
      <c r="S52" s="31" t="s">
        <v>1572</v>
      </c>
      <c r="V52" s="35" t="s">
        <v>1824</v>
      </c>
      <c r="W52" s="35" t="s">
        <v>1688</v>
      </c>
      <c r="Z52" s="35" t="s">
        <v>1970</v>
      </c>
      <c r="AA52" s="33" t="s">
        <v>1576</v>
      </c>
    </row>
    <row r="53" spans="1:27" x14ac:dyDescent="0.35">
      <c r="A53" t="s">
        <v>1998</v>
      </c>
      <c r="B53" t="s">
        <v>1998</v>
      </c>
      <c r="C53" s="37" t="s">
        <v>1999</v>
      </c>
      <c r="D53" t="s">
        <v>1872</v>
      </c>
      <c r="E53" t="s">
        <v>2000</v>
      </c>
      <c r="K53" t="s">
        <v>2001</v>
      </c>
      <c r="L53" t="s">
        <v>2002</v>
      </c>
      <c r="R53" s="31" t="s">
        <v>2003</v>
      </c>
      <c r="S53" s="31" t="s">
        <v>1572</v>
      </c>
      <c r="V53" s="35" t="s">
        <v>1999</v>
      </c>
      <c r="W53" s="35" t="s">
        <v>1688</v>
      </c>
      <c r="Z53" s="35" t="s">
        <v>2004</v>
      </c>
      <c r="AA53" s="33" t="s">
        <v>1576</v>
      </c>
    </row>
    <row r="54" spans="1:27" x14ac:dyDescent="0.35">
      <c r="A54" t="s">
        <v>2005</v>
      </c>
      <c r="B54" t="s">
        <v>2005</v>
      </c>
      <c r="C54" s="37" t="s">
        <v>1991</v>
      </c>
      <c r="D54" t="s">
        <v>2006</v>
      </c>
      <c r="E54" t="s">
        <v>2007</v>
      </c>
      <c r="K54" t="s">
        <v>2008</v>
      </c>
      <c r="L54" t="s">
        <v>2008</v>
      </c>
      <c r="R54" s="31" t="s">
        <v>1866</v>
      </c>
      <c r="S54" s="31" t="s">
        <v>1591</v>
      </c>
      <c r="V54" s="35" t="s">
        <v>1862</v>
      </c>
      <c r="W54" s="35" t="s">
        <v>1713</v>
      </c>
      <c r="Z54" s="35" t="s">
        <v>1590</v>
      </c>
      <c r="AA54" s="35" t="s">
        <v>1612</v>
      </c>
    </row>
    <row r="55" spans="1:27" x14ac:dyDescent="0.35">
      <c r="A55" t="s">
        <v>2009</v>
      </c>
      <c r="B55" t="s">
        <v>2009</v>
      </c>
      <c r="C55" s="37" t="s">
        <v>2010</v>
      </c>
      <c r="D55" t="s">
        <v>2011</v>
      </c>
      <c r="E55" t="s">
        <v>2012</v>
      </c>
      <c r="K55" t="s">
        <v>2013</v>
      </c>
      <c r="L55" t="s">
        <v>2014</v>
      </c>
      <c r="R55" s="31" t="s">
        <v>2015</v>
      </c>
      <c r="S55" s="31" t="s">
        <v>1572</v>
      </c>
      <c r="V55" s="35" t="s">
        <v>1831</v>
      </c>
      <c r="W55" s="35" t="s">
        <v>1629</v>
      </c>
      <c r="Z55" s="35" t="s">
        <v>2016</v>
      </c>
      <c r="AA55" s="35" t="s">
        <v>1612</v>
      </c>
    </row>
    <row r="56" spans="1:27" x14ac:dyDescent="0.35">
      <c r="A56" t="s">
        <v>2017</v>
      </c>
      <c r="B56" t="s">
        <v>2017</v>
      </c>
      <c r="C56" s="37" t="s">
        <v>2018</v>
      </c>
      <c r="D56" t="s">
        <v>1878</v>
      </c>
      <c r="E56" t="s">
        <v>2019</v>
      </c>
      <c r="K56" t="s">
        <v>2020</v>
      </c>
      <c r="L56" t="s">
        <v>2021</v>
      </c>
      <c r="R56" s="31" t="s">
        <v>2022</v>
      </c>
      <c r="S56" s="31" t="s">
        <v>1572</v>
      </c>
      <c r="V56" s="35" t="s">
        <v>1768</v>
      </c>
      <c r="W56" s="35" t="s">
        <v>1675</v>
      </c>
      <c r="Z56" s="35" t="s">
        <v>1975</v>
      </c>
      <c r="AA56" s="33" t="s">
        <v>1576</v>
      </c>
    </row>
    <row r="57" spans="1:27" x14ac:dyDescent="0.35">
      <c r="A57" t="s">
        <v>2023</v>
      </c>
      <c r="B57" t="s">
        <v>2023</v>
      </c>
      <c r="C57" s="37" t="s">
        <v>1765</v>
      </c>
      <c r="D57" t="s">
        <v>1884</v>
      </c>
      <c r="E57" t="s">
        <v>2024</v>
      </c>
      <c r="K57" t="s">
        <v>2025</v>
      </c>
      <c r="L57" t="s">
        <v>2026</v>
      </c>
      <c r="R57" s="31" t="s">
        <v>1626</v>
      </c>
      <c r="S57" s="31" t="s">
        <v>1591</v>
      </c>
      <c r="V57" s="35" t="s">
        <v>1986</v>
      </c>
      <c r="W57" s="35" t="s">
        <v>1713</v>
      </c>
      <c r="Z57" s="35" t="s">
        <v>2027</v>
      </c>
      <c r="AA57" s="33" t="s">
        <v>1576</v>
      </c>
    </row>
    <row r="58" spans="1:27" x14ac:dyDescent="0.35">
      <c r="A58" t="s">
        <v>2028</v>
      </c>
      <c r="B58" t="s">
        <v>2028</v>
      </c>
      <c r="C58" s="37" t="s">
        <v>1965</v>
      </c>
      <c r="D58" t="s">
        <v>1843</v>
      </c>
      <c r="E58" t="s">
        <v>2029</v>
      </c>
      <c r="K58" t="s">
        <v>2030</v>
      </c>
      <c r="L58" t="s">
        <v>2031</v>
      </c>
      <c r="R58" s="31" t="s">
        <v>2032</v>
      </c>
      <c r="S58" s="31" t="s">
        <v>1591</v>
      </c>
      <c r="V58" s="35" t="s">
        <v>1653</v>
      </c>
      <c r="W58" s="35" t="s">
        <v>1713</v>
      </c>
      <c r="Z58" s="35" t="s">
        <v>2033</v>
      </c>
      <c r="AA58" s="33" t="s">
        <v>1576</v>
      </c>
    </row>
    <row r="59" spans="1:27" x14ac:dyDescent="0.35">
      <c r="A59" t="s">
        <v>2034</v>
      </c>
      <c r="B59" t="s">
        <v>2034</v>
      </c>
      <c r="C59" s="37" t="s">
        <v>1829</v>
      </c>
      <c r="D59" t="s">
        <v>1898</v>
      </c>
      <c r="E59" t="s">
        <v>2035</v>
      </c>
      <c r="K59" t="s">
        <v>2036</v>
      </c>
      <c r="L59" t="s">
        <v>2037</v>
      </c>
      <c r="R59" s="31" t="s">
        <v>1644</v>
      </c>
      <c r="S59" s="31" t="s">
        <v>1591</v>
      </c>
      <c r="V59" s="35" t="s">
        <v>2038</v>
      </c>
      <c r="W59" s="35" t="s">
        <v>1629</v>
      </c>
      <c r="Z59" s="35" t="s">
        <v>1924</v>
      </c>
      <c r="AA59" s="33" t="s">
        <v>1576</v>
      </c>
    </row>
    <row r="60" spans="1:27" x14ac:dyDescent="0.35">
      <c r="A60" t="s">
        <v>2039</v>
      </c>
      <c r="B60" t="s">
        <v>2039</v>
      </c>
      <c r="C60" s="37" t="s">
        <v>1748</v>
      </c>
      <c r="D60" t="s">
        <v>2040</v>
      </c>
      <c r="E60" t="s">
        <v>2041</v>
      </c>
      <c r="K60" t="s">
        <v>2042</v>
      </c>
      <c r="L60" t="s">
        <v>2042</v>
      </c>
      <c r="R60" s="31" t="s">
        <v>1886</v>
      </c>
      <c r="S60" s="31" t="s">
        <v>1572</v>
      </c>
      <c r="V60" s="35" t="s">
        <v>1727</v>
      </c>
      <c r="W60" s="35" t="s">
        <v>1713</v>
      </c>
      <c r="Z60" s="35" t="s">
        <v>1931</v>
      </c>
      <c r="AA60" s="33" t="s">
        <v>1576</v>
      </c>
    </row>
    <row r="61" spans="1:27" x14ac:dyDescent="0.35">
      <c r="A61" t="s">
        <v>2043</v>
      </c>
      <c r="B61" t="s">
        <v>2043</v>
      </c>
      <c r="C61" s="37" t="s">
        <v>2044</v>
      </c>
      <c r="D61" t="s">
        <v>1904</v>
      </c>
      <c r="E61" t="s">
        <v>2045</v>
      </c>
      <c r="R61" s="31" t="s">
        <v>2046</v>
      </c>
      <c r="S61" s="31" t="s">
        <v>1591</v>
      </c>
      <c r="V61" s="35" t="s">
        <v>2044</v>
      </c>
      <c r="W61" s="35" t="s">
        <v>1637</v>
      </c>
      <c r="Z61" s="35" t="s">
        <v>2047</v>
      </c>
      <c r="AA61" s="33" t="s">
        <v>1576</v>
      </c>
    </row>
    <row r="62" spans="1:27" x14ac:dyDescent="0.35">
      <c r="A62" t="s">
        <v>2048</v>
      </c>
      <c r="B62" t="s">
        <v>2048</v>
      </c>
      <c r="C62" s="37" t="s">
        <v>2049</v>
      </c>
      <c r="D62" t="s">
        <v>2050</v>
      </c>
      <c r="E62" t="s">
        <v>2051</v>
      </c>
      <c r="R62" s="31" t="s">
        <v>2052</v>
      </c>
      <c r="S62" s="31" t="s">
        <v>1591</v>
      </c>
      <c r="V62" s="35" t="s">
        <v>1777</v>
      </c>
      <c r="W62" s="35" t="s">
        <v>1675</v>
      </c>
      <c r="Z62" s="35" t="s">
        <v>2053</v>
      </c>
      <c r="AA62" s="33" t="s">
        <v>1576</v>
      </c>
    </row>
    <row r="63" spans="1:27" x14ac:dyDescent="0.35">
      <c r="A63" t="s">
        <v>2054</v>
      </c>
      <c r="B63" t="s">
        <v>2054</v>
      </c>
      <c r="C63" s="37" t="s">
        <v>2055</v>
      </c>
      <c r="D63" t="s">
        <v>1822</v>
      </c>
      <c r="E63" t="s">
        <v>2056</v>
      </c>
      <c r="R63" s="31" t="s">
        <v>2057</v>
      </c>
      <c r="S63" s="31" t="s">
        <v>1591</v>
      </c>
      <c r="V63" s="35" t="s">
        <v>2055</v>
      </c>
      <c r="W63" s="35" t="s">
        <v>1675</v>
      </c>
      <c r="Z63" s="35" t="s">
        <v>2058</v>
      </c>
      <c r="AA63" s="33" t="s">
        <v>1576</v>
      </c>
    </row>
    <row r="64" spans="1:27" x14ac:dyDescent="0.35">
      <c r="A64" t="s">
        <v>2059</v>
      </c>
      <c r="B64" t="s">
        <v>2059</v>
      </c>
      <c r="C64" s="37" t="s">
        <v>2060</v>
      </c>
      <c r="D64" t="s">
        <v>1917</v>
      </c>
      <c r="E64" t="s">
        <v>2061</v>
      </c>
      <c r="R64" s="31" t="s">
        <v>1957</v>
      </c>
      <c r="S64" s="31" t="s">
        <v>1572</v>
      </c>
      <c r="V64" s="35" t="s">
        <v>1668</v>
      </c>
      <c r="W64" s="35" t="s">
        <v>1688</v>
      </c>
      <c r="Z64" s="35" t="s">
        <v>1773</v>
      </c>
      <c r="AA64" s="33" t="s">
        <v>1576</v>
      </c>
    </row>
    <row r="65" spans="1:27" x14ac:dyDescent="0.35">
      <c r="A65" t="s">
        <v>1649</v>
      </c>
      <c r="B65" t="s">
        <v>1649</v>
      </c>
      <c r="C65" s="37" t="s">
        <v>1937</v>
      </c>
      <c r="D65" t="s">
        <v>1924</v>
      </c>
      <c r="E65" t="s">
        <v>2062</v>
      </c>
      <c r="R65" s="31" t="s">
        <v>1792</v>
      </c>
      <c r="S65" s="31" t="s">
        <v>1572</v>
      </c>
      <c r="V65" s="35" t="s">
        <v>2063</v>
      </c>
      <c r="W65" s="35" t="s">
        <v>1688</v>
      </c>
      <c r="Z65" s="35" t="s">
        <v>2064</v>
      </c>
      <c r="AA65" s="33" t="s">
        <v>1576</v>
      </c>
    </row>
    <row r="66" spans="1:27" x14ac:dyDescent="0.35">
      <c r="A66" t="s">
        <v>2065</v>
      </c>
      <c r="B66" t="s">
        <v>2065</v>
      </c>
      <c r="C66" s="37" t="s">
        <v>1791</v>
      </c>
      <c r="D66" t="s">
        <v>1855</v>
      </c>
      <c r="E66" t="s">
        <v>2066</v>
      </c>
      <c r="R66" s="31" t="s">
        <v>2067</v>
      </c>
      <c r="S66" s="31" t="s">
        <v>1572</v>
      </c>
      <c r="V66" s="35" t="s">
        <v>1921</v>
      </c>
      <c r="W66" s="35" t="s">
        <v>1688</v>
      </c>
      <c r="Z66" s="35" t="s">
        <v>1842</v>
      </c>
      <c r="AA66" s="33" t="s">
        <v>1576</v>
      </c>
    </row>
    <row r="67" spans="1:27" x14ac:dyDescent="0.35">
      <c r="A67" t="s">
        <v>1923</v>
      </c>
      <c r="B67" t="s">
        <v>1923</v>
      </c>
      <c r="C67" s="37" t="s">
        <v>1800</v>
      </c>
      <c r="D67" t="s">
        <v>1936</v>
      </c>
      <c r="E67" t="s">
        <v>2068</v>
      </c>
      <c r="R67" s="31" t="s">
        <v>2069</v>
      </c>
      <c r="S67" s="31" t="s">
        <v>1591</v>
      </c>
      <c r="V67" s="35" t="s">
        <v>1875</v>
      </c>
      <c r="W67" s="35" t="s">
        <v>1675</v>
      </c>
      <c r="Z67" s="35" t="s">
        <v>1956</v>
      </c>
      <c r="AA67" s="33" t="s">
        <v>1576</v>
      </c>
    </row>
    <row r="68" spans="1:27" x14ac:dyDescent="0.35">
      <c r="A68" t="s">
        <v>192</v>
      </c>
      <c r="B68" t="s">
        <v>192</v>
      </c>
      <c r="C68" s="37" t="s">
        <v>1854</v>
      </c>
      <c r="D68" t="s">
        <v>45</v>
      </c>
      <c r="E68" t="s">
        <v>2070</v>
      </c>
      <c r="R68" s="31" t="s">
        <v>2071</v>
      </c>
      <c r="S68" s="31" t="s">
        <v>1627</v>
      </c>
      <c r="V68" s="35" t="s">
        <v>1809</v>
      </c>
      <c r="W68" s="35" t="s">
        <v>1675</v>
      </c>
      <c r="Z68" s="35" t="s">
        <v>2072</v>
      </c>
      <c r="AA68" s="33" t="s">
        <v>1576</v>
      </c>
    </row>
    <row r="69" spans="1:27" x14ac:dyDescent="0.35">
      <c r="A69" t="s">
        <v>2073</v>
      </c>
      <c r="B69" t="s">
        <v>2073</v>
      </c>
      <c r="C69" s="37" t="s">
        <v>2074</v>
      </c>
      <c r="D69" t="s">
        <v>1950</v>
      </c>
      <c r="E69" t="s">
        <v>2075</v>
      </c>
      <c r="R69" s="31" t="s">
        <v>2027</v>
      </c>
      <c r="S69" s="31" t="s">
        <v>1591</v>
      </c>
      <c r="V69" s="35" t="s">
        <v>2076</v>
      </c>
      <c r="W69" s="35" t="s">
        <v>1688</v>
      </c>
      <c r="Z69" s="35" t="s">
        <v>1697</v>
      </c>
      <c r="AA69" s="33" t="s">
        <v>1576</v>
      </c>
    </row>
    <row r="70" spans="1:27" x14ac:dyDescent="0.35">
      <c r="A70" t="s">
        <v>1989</v>
      </c>
      <c r="B70" t="s">
        <v>1989</v>
      </c>
      <c r="C70" s="37" t="s">
        <v>1879</v>
      </c>
      <c r="D70" t="s">
        <v>1956</v>
      </c>
      <c r="E70" t="s">
        <v>2077</v>
      </c>
      <c r="R70" s="31" t="s">
        <v>2078</v>
      </c>
      <c r="S70" s="31" t="s">
        <v>1591</v>
      </c>
      <c r="V70" s="35" t="s">
        <v>2010</v>
      </c>
      <c r="W70" s="35" t="s">
        <v>1688</v>
      </c>
      <c r="Z70" s="35" t="s">
        <v>2079</v>
      </c>
      <c r="AA70" s="33" t="s">
        <v>1576</v>
      </c>
    </row>
    <row r="71" spans="1:27" x14ac:dyDescent="0.35">
      <c r="A71" t="s">
        <v>1969</v>
      </c>
      <c r="B71" t="s">
        <v>1969</v>
      </c>
      <c r="C71" s="37" t="s">
        <v>2076</v>
      </c>
      <c r="D71" t="s">
        <v>1964</v>
      </c>
      <c r="E71" t="s">
        <v>2080</v>
      </c>
      <c r="R71" s="31" t="s">
        <v>2081</v>
      </c>
      <c r="S71" s="31" t="s">
        <v>1572</v>
      </c>
      <c r="V71" s="35" t="s">
        <v>1583</v>
      </c>
      <c r="W71" s="35" t="s">
        <v>1688</v>
      </c>
      <c r="Z71" s="35" t="s">
        <v>2081</v>
      </c>
      <c r="AA71" s="33" t="s">
        <v>1576</v>
      </c>
    </row>
    <row r="72" spans="1:27" x14ac:dyDescent="0.35">
      <c r="A72" t="s">
        <v>2082</v>
      </c>
      <c r="B72" t="s">
        <v>2082</v>
      </c>
      <c r="C72" s="37" t="s">
        <v>1713</v>
      </c>
      <c r="D72" t="s">
        <v>2083</v>
      </c>
      <c r="E72" t="s">
        <v>2084</v>
      </c>
      <c r="R72" s="31" t="s">
        <v>2085</v>
      </c>
      <c r="S72" s="31" t="s">
        <v>1572</v>
      </c>
      <c r="V72" s="35" t="s">
        <v>2018</v>
      </c>
      <c r="W72" s="35" t="s">
        <v>1688</v>
      </c>
      <c r="Z72" s="35" t="s">
        <v>2086</v>
      </c>
      <c r="AA72" s="33" t="s">
        <v>1576</v>
      </c>
    </row>
    <row r="73" spans="1:27" x14ac:dyDescent="0.35">
      <c r="A73" t="s">
        <v>2087</v>
      </c>
      <c r="B73" t="s">
        <v>2087</v>
      </c>
      <c r="C73" s="37" t="s">
        <v>2088</v>
      </c>
      <c r="D73" t="s">
        <v>1970</v>
      </c>
      <c r="E73" t="s">
        <v>2089</v>
      </c>
      <c r="R73" s="31" t="s">
        <v>1850</v>
      </c>
      <c r="S73" s="31" t="s">
        <v>1572</v>
      </c>
      <c r="V73" s="35" t="s">
        <v>2090</v>
      </c>
      <c r="W73" s="35" t="s">
        <v>1688</v>
      </c>
      <c r="Z73" s="35" t="s">
        <v>2091</v>
      </c>
      <c r="AA73" s="33" t="s">
        <v>1576</v>
      </c>
    </row>
    <row r="74" spans="1:27" x14ac:dyDescent="0.35">
      <c r="A74" t="s">
        <v>2092</v>
      </c>
      <c r="B74" t="s">
        <v>2092</v>
      </c>
      <c r="C74" s="37" t="s">
        <v>1674</v>
      </c>
      <c r="D74" t="s">
        <v>1975</v>
      </c>
      <c r="E74" t="s">
        <v>2093</v>
      </c>
      <c r="R74" s="31" t="s">
        <v>2094</v>
      </c>
      <c r="S74" s="31" t="s">
        <v>1572</v>
      </c>
      <c r="V74" s="35" t="s">
        <v>1717</v>
      </c>
      <c r="W74" s="35" t="s">
        <v>1675</v>
      </c>
      <c r="Z74" s="35" t="s">
        <v>1733</v>
      </c>
      <c r="AA74" s="35" t="s">
        <v>1612</v>
      </c>
    </row>
    <row r="75" spans="1:27" x14ac:dyDescent="0.35">
      <c r="A75" t="s">
        <v>2095</v>
      </c>
      <c r="B75" t="s">
        <v>2095</v>
      </c>
      <c r="C75" s="37" t="s">
        <v>2096</v>
      </c>
      <c r="D75" t="s">
        <v>1983</v>
      </c>
      <c r="E75" t="s">
        <v>2097</v>
      </c>
      <c r="R75" s="31" t="s">
        <v>2098</v>
      </c>
      <c r="S75" s="31" t="s">
        <v>1572</v>
      </c>
      <c r="V75" s="35" t="s">
        <v>1959</v>
      </c>
      <c r="W75" s="35" t="s">
        <v>1629</v>
      </c>
      <c r="Z75" s="35" t="s">
        <v>2099</v>
      </c>
      <c r="AA75" s="33" t="s">
        <v>1576</v>
      </c>
    </row>
    <row r="76" spans="1:27" x14ac:dyDescent="0.35">
      <c r="A76" t="s">
        <v>2100</v>
      </c>
      <c r="B76" t="s">
        <v>2100</v>
      </c>
      <c r="C76" s="37" t="s">
        <v>2063</v>
      </c>
      <c r="D76" t="s">
        <v>1990</v>
      </c>
      <c r="E76" t="s">
        <v>2101</v>
      </c>
      <c r="R76" s="31" t="s">
        <v>1687</v>
      </c>
      <c r="S76" s="31" t="s">
        <v>1572</v>
      </c>
      <c r="V76" s="35" t="s">
        <v>1692</v>
      </c>
      <c r="W76" s="35" t="s">
        <v>1688</v>
      </c>
      <c r="Z76" s="35" t="s">
        <v>1575</v>
      </c>
      <c r="AA76" s="35" t="s">
        <v>1630</v>
      </c>
    </row>
    <row r="77" spans="1:27" x14ac:dyDescent="0.35">
      <c r="A77" t="s">
        <v>2102</v>
      </c>
      <c r="B77" t="s">
        <v>2102</v>
      </c>
      <c r="C77" t="s">
        <v>1905</v>
      </c>
      <c r="D77" t="s">
        <v>2103</v>
      </c>
      <c r="E77" t="s">
        <v>2104</v>
      </c>
      <c r="R77" s="31" t="s">
        <v>2105</v>
      </c>
      <c r="S77" s="31" t="s">
        <v>1591</v>
      </c>
      <c r="V77" s="35" t="s">
        <v>2106</v>
      </c>
      <c r="W77" s="35" t="s">
        <v>1629</v>
      </c>
      <c r="Z77" s="35" t="s">
        <v>1936</v>
      </c>
      <c r="AA77" s="33" t="s">
        <v>1576</v>
      </c>
    </row>
    <row r="78" spans="1:27" x14ac:dyDescent="0.35">
      <c r="A78" t="s">
        <v>2107</v>
      </c>
      <c r="B78" t="s">
        <v>2107</v>
      </c>
      <c r="C78" t="s">
        <v>1873</v>
      </c>
      <c r="D78" t="s">
        <v>2103</v>
      </c>
      <c r="E78" t="s">
        <v>2104</v>
      </c>
      <c r="R78" s="31" t="s">
        <v>2108</v>
      </c>
      <c r="S78" s="31" t="s">
        <v>1572</v>
      </c>
      <c r="V78" s="35" t="s">
        <v>2096</v>
      </c>
      <c r="W78" s="35" t="s">
        <v>1610</v>
      </c>
      <c r="Z78" s="35" t="s">
        <v>2109</v>
      </c>
      <c r="AA78" s="33" t="s">
        <v>1576</v>
      </c>
    </row>
    <row r="79" spans="1:27" x14ac:dyDescent="0.35">
      <c r="A79" t="s">
        <v>2110</v>
      </c>
      <c r="B79" t="s">
        <v>2110</v>
      </c>
      <c r="C79" t="s">
        <v>1885</v>
      </c>
      <c r="D79" t="s">
        <v>1997</v>
      </c>
      <c r="E79" t="s">
        <v>2111</v>
      </c>
      <c r="R79" s="31" t="s">
        <v>1944</v>
      </c>
      <c r="S79" s="31" t="s">
        <v>1572</v>
      </c>
      <c r="V79" s="35" t="s">
        <v>64</v>
      </c>
      <c r="W79" s="35" t="s">
        <v>1629</v>
      </c>
      <c r="Z79" s="35" t="s">
        <v>1906</v>
      </c>
      <c r="AA79" s="35" t="s">
        <v>1612</v>
      </c>
    </row>
    <row r="80" spans="1:27" x14ac:dyDescent="0.35">
      <c r="A80" t="s">
        <v>256</v>
      </c>
      <c r="B80" t="s">
        <v>256</v>
      </c>
      <c r="C80" t="s">
        <v>1723</v>
      </c>
      <c r="D80" t="s">
        <v>2003</v>
      </c>
      <c r="E80" t="s">
        <v>2112</v>
      </c>
      <c r="R80" s="31" t="s">
        <v>1660</v>
      </c>
      <c r="S80" s="31" t="s">
        <v>1572</v>
      </c>
      <c r="V80" s="35" t="s">
        <v>1816</v>
      </c>
      <c r="W80" s="35" t="s">
        <v>1675</v>
      </c>
      <c r="Z80" s="35" t="s">
        <v>1764</v>
      </c>
      <c r="AA80" s="33" t="s">
        <v>1576</v>
      </c>
    </row>
    <row r="81" spans="1:27" x14ac:dyDescent="0.35">
      <c r="A81" t="s">
        <v>2113</v>
      </c>
      <c r="B81" t="s">
        <v>2113</v>
      </c>
      <c r="C81" t="s">
        <v>1836</v>
      </c>
      <c r="D81" t="s">
        <v>1866</v>
      </c>
      <c r="E81" t="s">
        <v>2114</v>
      </c>
      <c r="R81" s="31" t="s">
        <v>2115</v>
      </c>
      <c r="S81" s="31" t="s">
        <v>1627</v>
      </c>
      <c r="V81" s="35" t="s">
        <v>2060</v>
      </c>
      <c r="W81" s="35" t="s">
        <v>1675</v>
      </c>
      <c r="Z81" s="35" t="s">
        <v>2086</v>
      </c>
      <c r="AA81" s="35" t="s">
        <v>1594</v>
      </c>
    </row>
    <row r="82" spans="1:27" x14ac:dyDescent="0.35">
      <c r="A82" t="s">
        <v>2116</v>
      </c>
      <c r="B82" t="s">
        <v>2116</v>
      </c>
      <c r="C82" t="s">
        <v>2106</v>
      </c>
      <c r="D82" t="s">
        <v>2015</v>
      </c>
      <c r="E82" t="s">
        <v>2117</v>
      </c>
      <c r="R82" s="31" t="s">
        <v>2118</v>
      </c>
      <c r="S82" s="31" t="s">
        <v>1627</v>
      </c>
      <c r="V82" s="35" t="s">
        <v>2119</v>
      </c>
      <c r="W82" s="35" t="s">
        <v>1713</v>
      </c>
      <c r="Z82" s="35" t="s">
        <v>2069</v>
      </c>
      <c r="AA82" s="35" t="s">
        <v>1594</v>
      </c>
    </row>
    <row r="83" spans="1:27" x14ac:dyDescent="0.35">
      <c r="A83" t="s">
        <v>1574</v>
      </c>
      <c r="B83" t="s">
        <v>1574</v>
      </c>
      <c r="C83" t="s">
        <v>1625</v>
      </c>
      <c r="D83" t="s">
        <v>2120</v>
      </c>
      <c r="E83" t="s">
        <v>2121</v>
      </c>
      <c r="R83" s="31" t="s">
        <v>2122</v>
      </c>
      <c r="S83" s="31" t="s">
        <v>1627</v>
      </c>
      <c r="V83" s="35" t="s">
        <v>2123</v>
      </c>
      <c r="W83" s="35" t="s">
        <v>1675</v>
      </c>
      <c r="Z83" s="35" t="s">
        <v>2078</v>
      </c>
      <c r="AA83" s="33" t="s">
        <v>1576</v>
      </c>
    </row>
    <row r="84" spans="1:27" x14ac:dyDescent="0.35">
      <c r="A84" t="s">
        <v>2124</v>
      </c>
      <c r="B84" t="s">
        <v>2124</v>
      </c>
      <c r="C84" t="s">
        <v>1807</v>
      </c>
      <c r="D84" t="s">
        <v>2125</v>
      </c>
      <c r="E84" t="s">
        <v>2126</v>
      </c>
      <c r="R84" s="31" t="s">
        <v>2127</v>
      </c>
      <c r="S84" s="31" t="s">
        <v>1591</v>
      </c>
      <c r="Z84" s="35" t="s">
        <v>2057</v>
      </c>
      <c r="AA84" s="35" t="s">
        <v>1648</v>
      </c>
    </row>
    <row r="85" spans="1:27" x14ac:dyDescent="0.35">
      <c r="A85" t="s">
        <v>2128</v>
      </c>
      <c r="B85" t="s">
        <v>2128</v>
      </c>
      <c r="C85" t="s">
        <v>2090</v>
      </c>
      <c r="D85" t="s">
        <v>2022</v>
      </c>
      <c r="E85" t="s">
        <v>2129</v>
      </c>
      <c r="R85" s="31" t="s">
        <v>1976</v>
      </c>
      <c r="S85" s="31" t="s">
        <v>1572</v>
      </c>
      <c r="Z85" s="35" t="s">
        <v>2130</v>
      </c>
      <c r="AA85" s="33" t="s">
        <v>1576</v>
      </c>
    </row>
    <row r="86" spans="1:27" x14ac:dyDescent="0.35">
      <c r="A86" t="s">
        <v>2131</v>
      </c>
      <c r="B86" t="s">
        <v>2131</v>
      </c>
      <c r="C86" t="s">
        <v>2132</v>
      </c>
      <c r="D86" t="s">
        <v>1626</v>
      </c>
      <c r="E86" t="s">
        <v>2133</v>
      </c>
      <c r="R86" s="31" t="s">
        <v>2134</v>
      </c>
      <c r="S86" s="31" t="s">
        <v>1572</v>
      </c>
      <c r="Z86" s="35" t="s">
        <v>1601</v>
      </c>
      <c r="AA86" s="33" t="s">
        <v>1576</v>
      </c>
    </row>
    <row r="87" spans="1:27" x14ac:dyDescent="0.35">
      <c r="A87" t="s">
        <v>2135</v>
      </c>
      <c r="B87" t="s">
        <v>2135</v>
      </c>
      <c r="C87" t="s">
        <v>2038</v>
      </c>
      <c r="D87" t="s">
        <v>2032</v>
      </c>
      <c r="E87" t="s">
        <v>2136</v>
      </c>
      <c r="R87" s="31" t="s">
        <v>2079</v>
      </c>
      <c r="S87" s="31" t="s">
        <v>1627</v>
      </c>
      <c r="Z87" s="35" t="s">
        <v>1699</v>
      </c>
      <c r="AA87" s="35" t="s">
        <v>1594</v>
      </c>
    </row>
    <row r="88" spans="1:27" x14ac:dyDescent="0.35">
      <c r="D88" t="s">
        <v>1644</v>
      </c>
      <c r="E88" t="s">
        <v>2137</v>
      </c>
      <c r="R88" s="31" t="s">
        <v>2138</v>
      </c>
      <c r="S88" s="31" t="s">
        <v>1591</v>
      </c>
      <c r="Z88" s="35" t="s">
        <v>2139</v>
      </c>
      <c r="AA88" s="33" t="s">
        <v>1576</v>
      </c>
    </row>
    <row r="89" spans="1:27" x14ac:dyDescent="0.35">
      <c r="D89" t="s">
        <v>1886</v>
      </c>
      <c r="E89" t="s">
        <v>2140</v>
      </c>
      <c r="R89" s="31" t="s">
        <v>2072</v>
      </c>
      <c r="S89" s="31" t="s">
        <v>1572</v>
      </c>
      <c r="Z89" s="35" t="s">
        <v>2127</v>
      </c>
      <c r="AA89" s="33" t="s">
        <v>1576</v>
      </c>
    </row>
    <row r="90" spans="1:27" x14ac:dyDescent="0.35">
      <c r="D90" t="s">
        <v>2046</v>
      </c>
      <c r="E90" t="s">
        <v>2141</v>
      </c>
      <c r="R90" s="31" t="s">
        <v>2142</v>
      </c>
      <c r="S90" s="31" t="s">
        <v>1591</v>
      </c>
      <c r="Z90" s="35" t="s">
        <v>2098</v>
      </c>
      <c r="AA90" s="33" t="s">
        <v>1576</v>
      </c>
    </row>
    <row r="91" spans="1:27" x14ac:dyDescent="0.35">
      <c r="D91" t="s">
        <v>2052</v>
      </c>
      <c r="E91" t="s">
        <v>2143</v>
      </c>
      <c r="R91" s="31" t="s">
        <v>2144</v>
      </c>
      <c r="S91" s="31" t="s">
        <v>1591</v>
      </c>
      <c r="Z91" s="35" t="s">
        <v>2003</v>
      </c>
      <c r="AA91" s="33" t="s">
        <v>1576</v>
      </c>
    </row>
    <row r="92" spans="1:27" x14ac:dyDescent="0.35">
      <c r="D92" t="s">
        <v>2057</v>
      </c>
      <c r="E92" t="s">
        <v>2145</v>
      </c>
      <c r="R92" s="31" t="s">
        <v>2146</v>
      </c>
      <c r="S92" s="31" t="s">
        <v>1591</v>
      </c>
      <c r="Z92" s="35" t="s">
        <v>1739</v>
      </c>
      <c r="AA92" s="33" t="s">
        <v>1576</v>
      </c>
    </row>
    <row r="93" spans="1:27" x14ac:dyDescent="0.35">
      <c r="D93" t="s">
        <v>1957</v>
      </c>
      <c r="E93" t="s">
        <v>2147</v>
      </c>
      <c r="R93" s="31" t="s">
        <v>1801</v>
      </c>
      <c r="S93" s="31" t="s">
        <v>1591</v>
      </c>
      <c r="Z93" s="35" t="s">
        <v>2046</v>
      </c>
      <c r="AA93" s="33" t="s">
        <v>1576</v>
      </c>
    </row>
    <row r="94" spans="1:27" x14ac:dyDescent="0.35">
      <c r="D94" t="s">
        <v>1792</v>
      </c>
      <c r="E94" t="s">
        <v>2148</v>
      </c>
      <c r="R94" s="31" t="s">
        <v>2149</v>
      </c>
      <c r="S94" s="31" t="s">
        <v>1591</v>
      </c>
      <c r="Z94" s="35" t="s">
        <v>2150</v>
      </c>
      <c r="AA94" s="33" t="s">
        <v>1576</v>
      </c>
    </row>
    <row r="95" spans="1:27" x14ac:dyDescent="0.35">
      <c r="D95" t="s">
        <v>2067</v>
      </c>
      <c r="E95" t="s">
        <v>2151</v>
      </c>
      <c r="R95" s="31" t="s">
        <v>2064</v>
      </c>
      <c r="S95" s="31" t="s">
        <v>1572</v>
      </c>
      <c r="Z95" s="35" t="s">
        <v>1866</v>
      </c>
      <c r="AA95" s="35" t="s">
        <v>1648</v>
      </c>
    </row>
    <row r="96" spans="1:27" x14ac:dyDescent="0.35">
      <c r="D96" t="s">
        <v>2047</v>
      </c>
      <c r="E96" t="s">
        <v>2152</v>
      </c>
      <c r="R96" s="31" t="s">
        <v>2099</v>
      </c>
      <c r="S96" s="31" t="s">
        <v>1572</v>
      </c>
      <c r="Z96" s="35" t="s">
        <v>2142</v>
      </c>
      <c r="AA96" s="33" t="s">
        <v>1576</v>
      </c>
    </row>
    <row r="97" spans="4:27" x14ac:dyDescent="0.35">
      <c r="D97" t="s">
        <v>2069</v>
      </c>
      <c r="E97" t="s">
        <v>2153</v>
      </c>
      <c r="R97" s="31" t="s">
        <v>1938</v>
      </c>
      <c r="S97" s="31" t="s">
        <v>1572</v>
      </c>
      <c r="Z97" s="35" t="s">
        <v>1849</v>
      </c>
      <c r="AA97" s="33" t="s">
        <v>1576</v>
      </c>
    </row>
    <row r="98" spans="4:27" x14ac:dyDescent="0.35">
      <c r="D98" t="s">
        <v>2071</v>
      </c>
      <c r="E98" t="s">
        <v>2154</v>
      </c>
      <c r="R98" s="31" t="s">
        <v>2155</v>
      </c>
      <c r="S98" s="31" t="s">
        <v>1572</v>
      </c>
      <c r="Z98" s="35" t="s">
        <v>2149</v>
      </c>
      <c r="AA98" s="33" t="s">
        <v>1576</v>
      </c>
    </row>
    <row r="99" spans="4:27" x14ac:dyDescent="0.35">
      <c r="D99" t="s">
        <v>2156</v>
      </c>
      <c r="E99" t="s">
        <v>2157</v>
      </c>
      <c r="R99" s="31" t="s">
        <v>2150</v>
      </c>
      <c r="S99" s="31" t="s">
        <v>1572</v>
      </c>
      <c r="Z99" s="35" t="s">
        <v>2158</v>
      </c>
      <c r="AA99" s="33" t="s">
        <v>1576</v>
      </c>
    </row>
    <row r="100" spans="4:27" x14ac:dyDescent="0.35">
      <c r="D100" t="s">
        <v>2159</v>
      </c>
      <c r="E100" t="s">
        <v>2160</v>
      </c>
      <c r="R100" s="31" t="s">
        <v>2161</v>
      </c>
      <c r="S100" s="31" t="s">
        <v>1572</v>
      </c>
      <c r="Z100" s="35" t="s">
        <v>1620</v>
      </c>
      <c r="AA100" s="33" t="s">
        <v>1576</v>
      </c>
    </row>
    <row r="101" spans="4:27" x14ac:dyDescent="0.35">
      <c r="D101" t="s">
        <v>2162</v>
      </c>
      <c r="E101" t="s">
        <v>2163</v>
      </c>
      <c r="R101" s="31" t="s">
        <v>2047</v>
      </c>
      <c r="S101" s="31" t="s">
        <v>1591</v>
      </c>
      <c r="Z101" s="35" t="s">
        <v>2016</v>
      </c>
      <c r="AA101" s="33" t="s">
        <v>1576</v>
      </c>
    </row>
    <row r="102" spans="4:27" x14ac:dyDescent="0.35">
      <c r="D102" t="s">
        <v>2164</v>
      </c>
      <c r="E102" t="s">
        <v>2165</v>
      </c>
      <c r="R102" s="31" t="s">
        <v>2166</v>
      </c>
      <c r="S102" s="31" t="s">
        <v>1591</v>
      </c>
      <c r="Z102" s="35" t="s">
        <v>1764</v>
      </c>
      <c r="AA102" s="35" t="s">
        <v>1630</v>
      </c>
    </row>
    <row r="103" spans="4:27" x14ac:dyDescent="0.35">
      <c r="D103" t="s">
        <v>2167</v>
      </c>
      <c r="E103" t="s">
        <v>2168</v>
      </c>
      <c r="R103" s="31" t="s">
        <v>1590</v>
      </c>
      <c r="S103" s="31" t="s">
        <v>1591</v>
      </c>
      <c r="Z103" s="35" t="s">
        <v>1878</v>
      </c>
      <c r="AA103" s="35" t="s">
        <v>1630</v>
      </c>
    </row>
    <row r="104" spans="4:27" x14ac:dyDescent="0.35">
      <c r="D104" t="s">
        <v>2169</v>
      </c>
      <c r="E104" t="s">
        <v>2170</v>
      </c>
      <c r="R104" s="31" t="s">
        <v>2016</v>
      </c>
      <c r="S104" s="31" t="s">
        <v>1591</v>
      </c>
      <c r="Z104" s="35" t="s">
        <v>2033</v>
      </c>
      <c r="AA104" s="35" t="s">
        <v>1648</v>
      </c>
    </row>
    <row r="105" spans="4:27" x14ac:dyDescent="0.35">
      <c r="D105" t="s">
        <v>2171</v>
      </c>
      <c r="E105" t="s">
        <v>2172</v>
      </c>
      <c r="R105" s="31" t="s">
        <v>1906</v>
      </c>
      <c r="S105" s="31" t="s">
        <v>1591</v>
      </c>
      <c r="Z105" s="35" t="s">
        <v>1806</v>
      </c>
      <c r="AA105" s="33" t="s">
        <v>1576</v>
      </c>
    </row>
    <row r="106" spans="4:27" x14ac:dyDescent="0.35">
      <c r="D106" t="s">
        <v>2173</v>
      </c>
      <c r="E106" t="s">
        <v>2174</v>
      </c>
      <c r="R106" s="31" t="s">
        <v>2175</v>
      </c>
      <c r="S106" s="31" t="s">
        <v>1591</v>
      </c>
      <c r="Z106" s="35" t="s">
        <v>2176</v>
      </c>
      <c r="AA106" s="35" t="s">
        <v>1594</v>
      </c>
    </row>
    <row r="107" spans="4:27" x14ac:dyDescent="0.35">
      <c r="D107" t="s">
        <v>2027</v>
      </c>
      <c r="E107" t="s">
        <v>856</v>
      </c>
      <c r="R107" s="31" t="s">
        <v>1733</v>
      </c>
      <c r="S107" s="31" t="s">
        <v>1591</v>
      </c>
      <c r="Z107" s="35" t="s">
        <v>2177</v>
      </c>
      <c r="AA107" s="33" t="s">
        <v>1576</v>
      </c>
    </row>
    <row r="108" spans="4:27" x14ac:dyDescent="0.35">
      <c r="D108" t="s">
        <v>2078</v>
      </c>
      <c r="E108" t="s">
        <v>2178</v>
      </c>
      <c r="R108" s="31" t="s">
        <v>2091</v>
      </c>
      <c r="S108" s="31" t="s">
        <v>1591</v>
      </c>
      <c r="Z108" s="35" t="s">
        <v>2179</v>
      </c>
      <c r="AA108" s="33" t="s">
        <v>1576</v>
      </c>
    </row>
    <row r="109" spans="4:27" x14ac:dyDescent="0.35">
      <c r="D109" t="s">
        <v>2081</v>
      </c>
      <c r="E109" t="s">
        <v>2180</v>
      </c>
      <c r="R109" s="31" t="s">
        <v>2139</v>
      </c>
      <c r="S109" s="31" t="s">
        <v>1591</v>
      </c>
      <c r="Z109" s="35" t="s">
        <v>2181</v>
      </c>
      <c r="AA109" s="33" t="s">
        <v>1576</v>
      </c>
    </row>
    <row r="110" spans="4:27" x14ac:dyDescent="0.35">
      <c r="D110" t="s">
        <v>2085</v>
      </c>
      <c r="E110" t="s">
        <v>2182</v>
      </c>
      <c r="R110" s="31" t="s">
        <v>2033</v>
      </c>
      <c r="S110" s="31" t="s">
        <v>1591</v>
      </c>
      <c r="Z110" s="35" t="s">
        <v>2027</v>
      </c>
      <c r="AA110" s="35" t="s">
        <v>1594</v>
      </c>
    </row>
    <row r="111" spans="4:27" x14ac:dyDescent="0.35">
      <c r="D111" t="s">
        <v>1850</v>
      </c>
      <c r="E111" t="s">
        <v>2183</v>
      </c>
      <c r="R111" s="31" t="s">
        <v>2184</v>
      </c>
      <c r="S111" s="31" t="s">
        <v>1572</v>
      </c>
      <c r="Z111" s="35" t="s">
        <v>2046</v>
      </c>
      <c r="AA111" s="35" t="s">
        <v>1612</v>
      </c>
    </row>
    <row r="112" spans="4:27" x14ac:dyDescent="0.35">
      <c r="D112" t="s">
        <v>2094</v>
      </c>
      <c r="E112" t="s">
        <v>2185</v>
      </c>
      <c r="R112" s="31" t="s">
        <v>2186</v>
      </c>
      <c r="S112" s="31" t="s">
        <v>1572</v>
      </c>
      <c r="Z112" s="35" t="s">
        <v>1849</v>
      </c>
      <c r="AA112" s="35" t="s">
        <v>1594</v>
      </c>
    </row>
    <row r="113" spans="4:27" x14ac:dyDescent="0.35">
      <c r="D113" t="s">
        <v>2187</v>
      </c>
      <c r="R113" s="31" t="s">
        <v>2188</v>
      </c>
      <c r="S113" s="31" t="s">
        <v>1591</v>
      </c>
      <c r="Z113" s="35" t="s">
        <v>2142</v>
      </c>
      <c r="AA113" s="35" t="s">
        <v>1612</v>
      </c>
    </row>
    <row r="114" spans="4:27" x14ac:dyDescent="0.35">
      <c r="D114" t="s">
        <v>2187</v>
      </c>
      <c r="E114" t="s">
        <v>2189</v>
      </c>
      <c r="R114" s="31" t="s">
        <v>2190</v>
      </c>
      <c r="S114" s="31" t="s">
        <v>1572</v>
      </c>
      <c r="Z114" s="35" t="s">
        <v>2115</v>
      </c>
      <c r="AA114" s="33" t="s">
        <v>1576</v>
      </c>
    </row>
    <row r="115" spans="4:27" x14ac:dyDescent="0.35">
      <c r="D115" t="s">
        <v>2191</v>
      </c>
      <c r="E115" t="s">
        <v>2192</v>
      </c>
      <c r="R115" s="31" t="s">
        <v>2193</v>
      </c>
      <c r="S115" s="31" t="s">
        <v>1572</v>
      </c>
      <c r="Z115" s="35" t="s">
        <v>1950</v>
      </c>
      <c r="AA115" s="33" t="s">
        <v>1576</v>
      </c>
    </row>
    <row r="116" spans="4:27" x14ac:dyDescent="0.35">
      <c r="D116" t="s">
        <v>2098</v>
      </c>
      <c r="E116" t="s">
        <v>2194</v>
      </c>
      <c r="R116" s="31" t="s">
        <v>1608</v>
      </c>
      <c r="S116" s="31" t="s">
        <v>1608</v>
      </c>
      <c r="Z116" s="35" t="s">
        <v>2108</v>
      </c>
      <c r="AA116" s="33" t="s">
        <v>1576</v>
      </c>
    </row>
    <row r="117" spans="4:27" x14ac:dyDescent="0.35">
      <c r="D117" t="s">
        <v>2195</v>
      </c>
      <c r="E117" t="s">
        <v>2196</v>
      </c>
      <c r="R117" s="31" t="s">
        <v>2181</v>
      </c>
      <c r="S117" s="31" t="s">
        <v>1627</v>
      </c>
      <c r="Z117" s="35" t="s">
        <v>1997</v>
      </c>
      <c r="AA117" s="33" t="s">
        <v>1576</v>
      </c>
    </row>
    <row r="118" spans="4:27" x14ac:dyDescent="0.35">
      <c r="D118" t="s">
        <v>2197</v>
      </c>
      <c r="E118" t="s">
        <v>2198</v>
      </c>
      <c r="R118" s="31" t="s">
        <v>2158</v>
      </c>
      <c r="S118" s="31" t="s">
        <v>1591</v>
      </c>
      <c r="Z118" s="35" t="s">
        <v>1724</v>
      </c>
      <c r="AA118" s="35" t="s">
        <v>1612</v>
      </c>
    </row>
    <row r="119" spans="4:27" x14ac:dyDescent="0.35">
      <c r="D119" t="s">
        <v>1687</v>
      </c>
      <c r="E119" t="s">
        <v>2199</v>
      </c>
      <c r="R119" s="31" t="s">
        <v>2179</v>
      </c>
      <c r="S119" s="31" t="s">
        <v>1572</v>
      </c>
      <c r="Z119" s="35" t="s">
        <v>2004</v>
      </c>
      <c r="AA119" s="35" t="s">
        <v>1594</v>
      </c>
    </row>
    <row r="120" spans="4:27" x14ac:dyDescent="0.35">
      <c r="D120" t="s">
        <v>2200</v>
      </c>
      <c r="E120" t="s">
        <v>2201</v>
      </c>
      <c r="R120" s="31" t="s">
        <v>2202</v>
      </c>
      <c r="S120" s="31" t="s">
        <v>1627</v>
      </c>
      <c r="Z120" s="35" t="s">
        <v>2188</v>
      </c>
      <c r="AA120" s="35" t="s">
        <v>1612</v>
      </c>
    </row>
    <row r="121" spans="4:27" x14ac:dyDescent="0.35">
      <c r="D121" t="s">
        <v>2203</v>
      </c>
      <c r="E121" t="s">
        <v>2204</v>
      </c>
      <c r="R121" s="31" t="s">
        <v>1931</v>
      </c>
      <c r="S121" s="31" t="s">
        <v>1591</v>
      </c>
      <c r="Z121" s="35" t="s">
        <v>1884</v>
      </c>
      <c r="AA121" s="33" t="s">
        <v>1576</v>
      </c>
    </row>
    <row r="122" spans="4:27" x14ac:dyDescent="0.35">
      <c r="D122" t="s">
        <v>2205</v>
      </c>
      <c r="E122" t="s">
        <v>2206</v>
      </c>
      <c r="R122" s="31" t="s">
        <v>1758</v>
      </c>
      <c r="S122" s="31" t="s">
        <v>1572</v>
      </c>
      <c r="Z122" s="35" t="s">
        <v>1722</v>
      </c>
      <c r="AA122" s="33" t="s">
        <v>1576</v>
      </c>
    </row>
    <row r="123" spans="4:27" x14ac:dyDescent="0.35">
      <c r="D123" t="s">
        <v>2108</v>
      </c>
      <c r="E123" t="s">
        <v>2207</v>
      </c>
      <c r="R123" s="31" t="s">
        <v>1992</v>
      </c>
      <c r="S123" s="31" t="s">
        <v>1572</v>
      </c>
      <c r="Z123" s="35" t="s">
        <v>2161</v>
      </c>
      <c r="AA123" s="33" t="s">
        <v>1576</v>
      </c>
    </row>
    <row r="124" spans="4:27" x14ac:dyDescent="0.35">
      <c r="D124" t="s">
        <v>1944</v>
      </c>
      <c r="E124" t="s">
        <v>1834</v>
      </c>
      <c r="R124" s="31" t="s">
        <v>1749</v>
      </c>
      <c r="S124" s="31" t="s">
        <v>1572</v>
      </c>
      <c r="Z124" s="35" t="s">
        <v>1814</v>
      </c>
      <c r="AA124" s="33" t="s">
        <v>1576</v>
      </c>
    </row>
    <row r="125" spans="4:27" x14ac:dyDescent="0.35">
      <c r="D125" t="s">
        <v>2208</v>
      </c>
      <c r="E125" t="s">
        <v>2209</v>
      </c>
      <c r="R125" s="31" t="s">
        <v>1971</v>
      </c>
      <c r="S125" s="31" t="s">
        <v>1572</v>
      </c>
      <c r="Z125" s="35" t="s">
        <v>1620</v>
      </c>
      <c r="AA125" s="35" t="s">
        <v>1648</v>
      </c>
    </row>
    <row r="126" spans="4:27" x14ac:dyDescent="0.35">
      <c r="D126" t="s">
        <v>2166</v>
      </c>
      <c r="E126" t="s">
        <v>2210</v>
      </c>
      <c r="R126" s="31" t="s">
        <v>1984</v>
      </c>
      <c r="S126" s="31" t="s">
        <v>1572</v>
      </c>
      <c r="Z126" s="35" t="s">
        <v>2211</v>
      </c>
      <c r="AA126" s="33" t="s">
        <v>1576</v>
      </c>
    </row>
    <row r="127" spans="4:27" x14ac:dyDescent="0.35">
      <c r="D127" t="s">
        <v>1660</v>
      </c>
      <c r="E127" t="s">
        <v>2212</v>
      </c>
      <c r="R127" s="31" t="s">
        <v>2213</v>
      </c>
      <c r="S127" s="31" t="s">
        <v>1572</v>
      </c>
      <c r="Z127" s="35" t="s">
        <v>1801</v>
      </c>
      <c r="AA127" s="35" t="s">
        <v>1648</v>
      </c>
    </row>
    <row r="128" spans="4:27" x14ac:dyDescent="0.35">
      <c r="D128" t="s">
        <v>2214</v>
      </c>
      <c r="E128" t="s">
        <v>2215</v>
      </c>
      <c r="R128" s="31" t="s">
        <v>1919</v>
      </c>
      <c r="S128" s="31" t="s">
        <v>1572</v>
      </c>
      <c r="Z128" s="35" t="s">
        <v>2091</v>
      </c>
      <c r="AA128" s="35" t="s">
        <v>1612</v>
      </c>
    </row>
    <row r="129" spans="4:27" x14ac:dyDescent="0.35">
      <c r="D129" t="s">
        <v>2115</v>
      </c>
      <c r="E129" t="s">
        <v>2216</v>
      </c>
      <c r="R129" s="31" t="s">
        <v>2177</v>
      </c>
      <c r="S129" s="31" t="s">
        <v>1572</v>
      </c>
      <c r="Z129" s="35" t="s">
        <v>1835</v>
      </c>
      <c r="AA129" s="35" t="s">
        <v>1648</v>
      </c>
    </row>
    <row r="130" spans="4:27" x14ac:dyDescent="0.35">
      <c r="D130" t="s">
        <v>2118</v>
      </c>
      <c r="E130" t="s">
        <v>2217</v>
      </c>
      <c r="R130" s="31" t="s">
        <v>2058</v>
      </c>
      <c r="S130" s="31" t="s">
        <v>1627</v>
      </c>
      <c r="Z130" s="35" t="s">
        <v>2202</v>
      </c>
      <c r="AA130" s="33" t="s">
        <v>1576</v>
      </c>
    </row>
    <row r="131" spans="4:27" x14ac:dyDescent="0.35">
      <c r="D131" t="s">
        <v>2122</v>
      </c>
      <c r="E131" t="s">
        <v>2218</v>
      </c>
      <c r="R131" s="31" t="s">
        <v>2219</v>
      </c>
      <c r="S131" s="31" t="s">
        <v>1608</v>
      </c>
      <c r="Z131" s="35" t="s">
        <v>1654</v>
      </c>
      <c r="AA131" s="33" t="s">
        <v>1576</v>
      </c>
    </row>
    <row r="132" spans="4:27" x14ac:dyDescent="0.35">
      <c r="D132" t="s">
        <v>2127</v>
      </c>
      <c r="E132" t="s">
        <v>2220</v>
      </c>
      <c r="R132" s="31" t="s">
        <v>1575</v>
      </c>
      <c r="S132" s="31" t="s">
        <v>1591</v>
      </c>
      <c r="Z132" s="35" t="s">
        <v>1904</v>
      </c>
      <c r="AA132" s="33" t="s">
        <v>1576</v>
      </c>
    </row>
    <row r="133" spans="4:27" x14ac:dyDescent="0.35">
      <c r="D133" t="s">
        <v>1976</v>
      </c>
      <c r="E133" t="s">
        <v>2221</v>
      </c>
      <c r="R133" s="31" t="s">
        <v>2222</v>
      </c>
      <c r="S133" s="31" t="s">
        <v>1572</v>
      </c>
      <c r="Z133" s="35" t="s">
        <v>1626</v>
      </c>
      <c r="AA133" s="35" t="s">
        <v>1648</v>
      </c>
    </row>
    <row r="134" spans="4:27" x14ac:dyDescent="0.35">
      <c r="D134" t="s">
        <v>2134</v>
      </c>
      <c r="E134" t="s">
        <v>2223</v>
      </c>
      <c r="R134" s="31" t="s">
        <v>2224</v>
      </c>
      <c r="S134" s="31" t="s">
        <v>1591</v>
      </c>
      <c r="Z134" s="35" t="s">
        <v>2211</v>
      </c>
      <c r="AA134" s="35" t="s">
        <v>1648</v>
      </c>
    </row>
    <row r="135" spans="4:27" x14ac:dyDescent="0.35">
      <c r="D135" t="s">
        <v>2079</v>
      </c>
      <c r="E135" t="s">
        <v>2225</v>
      </c>
      <c r="R135" s="31" t="s">
        <v>1784</v>
      </c>
      <c r="S135" s="31" t="s">
        <v>1572</v>
      </c>
      <c r="Z135" s="35" t="s">
        <v>1712</v>
      </c>
      <c r="AA135" s="35" t="s">
        <v>1594</v>
      </c>
    </row>
    <row r="136" spans="4:27" x14ac:dyDescent="0.35">
      <c r="D136" t="s">
        <v>2138</v>
      </c>
      <c r="E136" t="s">
        <v>2226</v>
      </c>
      <c r="R136" s="31" t="s">
        <v>2227</v>
      </c>
      <c r="S136" s="31" t="s">
        <v>1591</v>
      </c>
      <c r="Z136" s="35" t="s">
        <v>1710</v>
      </c>
      <c r="AA136" s="33" t="s">
        <v>1576</v>
      </c>
    </row>
    <row r="137" spans="4:27" x14ac:dyDescent="0.35">
      <c r="D137" t="s">
        <v>2072</v>
      </c>
      <c r="E137" t="s">
        <v>2228</v>
      </c>
      <c r="R137" s="31" t="s">
        <v>1728</v>
      </c>
      <c r="S137" s="31" t="s">
        <v>1627</v>
      </c>
      <c r="Z137" s="35" t="s">
        <v>1747</v>
      </c>
      <c r="AA137" s="33" t="s">
        <v>1576</v>
      </c>
    </row>
    <row r="138" spans="4:27" x14ac:dyDescent="0.35">
      <c r="D138" t="s">
        <v>2142</v>
      </c>
      <c r="E138" t="s">
        <v>2229</v>
      </c>
      <c r="R138" s="31" t="s">
        <v>2230</v>
      </c>
      <c r="S138" s="31" t="s">
        <v>1627</v>
      </c>
      <c r="Z138" s="35" t="s">
        <v>1644</v>
      </c>
      <c r="AA138" s="35" t="s">
        <v>1648</v>
      </c>
    </row>
    <row r="139" spans="4:27" x14ac:dyDescent="0.35">
      <c r="D139" t="s">
        <v>2144</v>
      </c>
      <c r="E139" t="s">
        <v>2231</v>
      </c>
      <c r="R139" s="31" t="s">
        <v>1744</v>
      </c>
      <c r="S139" s="31" t="s">
        <v>1627</v>
      </c>
      <c r="Z139" s="35" t="s">
        <v>2118</v>
      </c>
      <c r="AA139" s="33" t="s">
        <v>1576</v>
      </c>
    </row>
    <row r="140" spans="4:27" x14ac:dyDescent="0.35">
      <c r="D140" t="s">
        <v>2146</v>
      </c>
      <c r="E140" t="s">
        <v>2232</v>
      </c>
      <c r="R140" s="31" t="s">
        <v>1753</v>
      </c>
      <c r="S140" s="31" t="s">
        <v>1627</v>
      </c>
      <c r="Z140" s="35" t="s">
        <v>2127</v>
      </c>
      <c r="AA140" s="35" t="s">
        <v>1594</v>
      </c>
    </row>
    <row r="141" spans="4:27" x14ac:dyDescent="0.35">
      <c r="D141" t="s">
        <v>2105</v>
      </c>
      <c r="E141" t="s">
        <v>2233</v>
      </c>
      <c r="R141" s="31" t="s">
        <v>1607</v>
      </c>
      <c r="S141" s="31" t="s">
        <v>1627</v>
      </c>
      <c r="Z141" s="35" t="s">
        <v>1773</v>
      </c>
      <c r="AA141" s="35" t="s">
        <v>1594</v>
      </c>
    </row>
    <row r="142" spans="4:27" x14ac:dyDescent="0.35">
      <c r="D142" t="s">
        <v>1801</v>
      </c>
      <c r="E142" t="s">
        <v>2234</v>
      </c>
      <c r="R142" s="31" t="s">
        <v>1769</v>
      </c>
      <c r="S142" s="31" t="s">
        <v>1627</v>
      </c>
      <c r="Z142" s="35" t="s">
        <v>1990</v>
      </c>
      <c r="AA142" s="33" t="s">
        <v>1576</v>
      </c>
    </row>
    <row r="143" spans="4:27" x14ac:dyDescent="0.35">
      <c r="D143" t="s">
        <v>2149</v>
      </c>
      <c r="E143" t="s">
        <v>2235</v>
      </c>
      <c r="R143" s="31" t="s">
        <v>2236</v>
      </c>
      <c r="S143" s="31" t="s">
        <v>1627</v>
      </c>
      <c r="Z143" s="35" t="s">
        <v>2149</v>
      </c>
      <c r="AA143" s="35" t="s">
        <v>1648</v>
      </c>
    </row>
    <row r="144" spans="4:27" x14ac:dyDescent="0.35">
      <c r="D144" t="s">
        <v>1590</v>
      </c>
      <c r="E144" t="s">
        <v>2237</v>
      </c>
      <c r="R144" s="31" t="s">
        <v>1699</v>
      </c>
      <c r="S144" s="31" t="s">
        <v>1591</v>
      </c>
      <c r="Z144" s="35" t="s">
        <v>2158</v>
      </c>
      <c r="AA144" s="35" t="s">
        <v>1612</v>
      </c>
    </row>
    <row r="145" spans="4:27" x14ac:dyDescent="0.35">
      <c r="D145" t="s">
        <v>2064</v>
      </c>
      <c r="E145" t="s">
        <v>2238</v>
      </c>
      <c r="R145" s="31" t="s">
        <v>2004</v>
      </c>
      <c r="S145" s="31" t="s">
        <v>1591</v>
      </c>
      <c r="Z145" s="35" t="s">
        <v>1757</v>
      </c>
      <c r="AA145" s="33" t="s">
        <v>1576</v>
      </c>
    </row>
    <row r="146" spans="4:27" x14ac:dyDescent="0.35">
      <c r="D146" t="s">
        <v>2099</v>
      </c>
      <c r="E146" t="s">
        <v>2239</v>
      </c>
      <c r="R146" s="31" t="s">
        <v>2086</v>
      </c>
      <c r="S146" s="31" t="s">
        <v>1591</v>
      </c>
      <c r="Z146" s="35" t="s">
        <v>1821</v>
      </c>
      <c r="AA146" s="33" t="s">
        <v>1576</v>
      </c>
    </row>
    <row r="147" spans="4:27" x14ac:dyDescent="0.35">
      <c r="D147" t="s">
        <v>1938</v>
      </c>
      <c r="E147" t="s">
        <v>2240</v>
      </c>
      <c r="R147" s="31" t="s">
        <v>1712</v>
      </c>
      <c r="S147" s="31" t="s">
        <v>1591</v>
      </c>
      <c r="Z147" s="35" t="s">
        <v>2022</v>
      </c>
      <c r="AA147" s="33" t="s">
        <v>1576</v>
      </c>
    </row>
    <row r="148" spans="4:27" x14ac:dyDescent="0.35">
      <c r="D148" t="s">
        <v>2155</v>
      </c>
      <c r="E148" t="s">
        <v>2241</v>
      </c>
      <c r="R148" s="31" t="s">
        <v>2242</v>
      </c>
      <c r="S148" s="31" t="s">
        <v>1572</v>
      </c>
      <c r="Z148" s="35" t="s">
        <v>2032</v>
      </c>
      <c r="AA148" s="35" t="s">
        <v>1648</v>
      </c>
    </row>
    <row r="149" spans="4:27" x14ac:dyDescent="0.35">
      <c r="D149" t="s">
        <v>2150</v>
      </c>
      <c r="E149" t="s">
        <v>2243</v>
      </c>
      <c r="R149" s="31" t="s">
        <v>2176</v>
      </c>
      <c r="S149" s="31" t="s">
        <v>1591</v>
      </c>
      <c r="Z149" s="35" t="s">
        <v>1669</v>
      </c>
      <c r="AA149" s="33" t="s">
        <v>1576</v>
      </c>
    </row>
    <row r="150" spans="4:27" x14ac:dyDescent="0.35">
      <c r="D150" t="s">
        <v>2161</v>
      </c>
      <c r="E150" t="s">
        <v>2244</v>
      </c>
      <c r="R150" s="31" t="s">
        <v>2245</v>
      </c>
      <c r="S150" s="31" t="s">
        <v>1627</v>
      </c>
      <c r="Z150" s="35" t="s">
        <v>2245</v>
      </c>
      <c r="AA150" s="33" t="s">
        <v>1576</v>
      </c>
    </row>
    <row r="151" spans="4:27" x14ac:dyDescent="0.35">
      <c r="D151" t="s">
        <v>2246</v>
      </c>
      <c r="E151" t="s">
        <v>2247</v>
      </c>
      <c r="R151" s="31" t="s">
        <v>1913</v>
      </c>
      <c r="S151" s="31" t="s">
        <v>1572</v>
      </c>
      <c r="Z151" s="35" t="s">
        <v>1983</v>
      </c>
      <c r="AA151" s="33" t="s">
        <v>1576</v>
      </c>
    </row>
    <row r="152" spans="4:27" x14ac:dyDescent="0.35">
      <c r="D152" t="s">
        <v>2248</v>
      </c>
      <c r="E152" t="s">
        <v>2249</v>
      </c>
      <c r="R152" s="36" t="s">
        <v>2250</v>
      </c>
      <c r="S152" s="36" t="s">
        <v>1572</v>
      </c>
      <c r="Z152" s="35" t="s">
        <v>2162</v>
      </c>
      <c r="AA152" s="33" t="s">
        <v>1576</v>
      </c>
    </row>
    <row r="153" spans="4:27" x14ac:dyDescent="0.35">
      <c r="D153" t="s">
        <v>1906</v>
      </c>
      <c r="E153" t="s">
        <v>2251</v>
      </c>
      <c r="R153" s="31" t="s">
        <v>1795</v>
      </c>
      <c r="S153" s="31" t="s">
        <v>1591</v>
      </c>
      <c r="Z153" s="35" t="s">
        <v>2252</v>
      </c>
      <c r="AA153" s="33" t="s">
        <v>1576</v>
      </c>
    </row>
    <row r="154" spans="4:27" x14ac:dyDescent="0.35">
      <c r="D154" t="s">
        <v>2175</v>
      </c>
      <c r="E154" t="s">
        <v>2253</v>
      </c>
      <c r="R154" s="31" t="s">
        <v>2162</v>
      </c>
      <c r="S154" s="31" t="s">
        <v>1645</v>
      </c>
      <c r="Z154" s="35" t="s">
        <v>1913</v>
      </c>
      <c r="AA154" s="33" t="s">
        <v>1576</v>
      </c>
    </row>
    <row r="155" spans="4:27" x14ac:dyDescent="0.35">
      <c r="D155" t="s">
        <v>1733</v>
      </c>
      <c r="E155" t="s">
        <v>2254</v>
      </c>
      <c r="R155" s="31" t="s">
        <v>2159</v>
      </c>
      <c r="S155" s="31" t="s">
        <v>1645</v>
      </c>
      <c r="Z155" s="35" t="s">
        <v>2255</v>
      </c>
      <c r="AA155" s="33" t="s">
        <v>1576</v>
      </c>
    </row>
    <row r="156" spans="4:27" x14ac:dyDescent="0.35">
      <c r="D156" t="s">
        <v>2091</v>
      </c>
      <c r="E156" t="s">
        <v>2256</v>
      </c>
      <c r="R156" s="31" t="s">
        <v>1705</v>
      </c>
      <c r="S156" s="31" t="s">
        <v>1572</v>
      </c>
      <c r="Z156" s="35" t="s">
        <v>2257</v>
      </c>
      <c r="AA156" s="33" t="s">
        <v>1576</v>
      </c>
    </row>
    <row r="157" spans="4:27" x14ac:dyDescent="0.35">
      <c r="D157" t="s">
        <v>2033</v>
      </c>
      <c r="E157" t="s">
        <v>2258</v>
      </c>
      <c r="R157" s="31" t="s">
        <v>2259</v>
      </c>
      <c r="S157" s="31" t="s">
        <v>1591</v>
      </c>
      <c r="Z157" s="35" t="s">
        <v>2047</v>
      </c>
      <c r="AA157" s="35" t="s">
        <v>1612</v>
      </c>
    </row>
    <row r="158" spans="4:27" x14ac:dyDescent="0.35">
      <c r="D158" t="s">
        <v>2252</v>
      </c>
      <c r="E158" t="s">
        <v>2260</v>
      </c>
      <c r="R158" s="31" t="s">
        <v>1952</v>
      </c>
      <c r="S158" s="31" t="s">
        <v>1661</v>
      </c>
      <c r="Z158" s="35" t="s">
        <v>1880</v>
      </c>
      <c r="AA158" s="35" t="s">
        <v>1612</v>
      </c>
    </row>
    <row r="159" spans="4:27" x14ac:dyDescent="0.35">
      <c r="D159" t="s">
        <v>2259</v>
      </c>
      <c r="E159" t="s">
        <v>2261</v>
      </c>
      <c r="R159" s="31" t="s">
        <v>2214</v>
      </c>
      <c r="S159" s="31" t="s">
        <v>1661</v>
      </c>
      <c r="Z159" s="35" t="s">
        <v>2219</v>
      </c>
      <c r="AA159" s="33" t="s">
        <v>1576</v>
      </c>
    </row>
    <row r="160" spans="4:27" x14ac:dyDescent="0.35">
      <c r="D160" t="s">
        <v>2184</v>
      </c>
      <c r="E160" t="s">
        <v>2262</v>
      </c>
      <c r="R160" s="31" t="s">
        <v>1894</v>
      </c>
      <c r="S160" s="31" t="s">
        <v>1572</v>
      </c>
      <c r="Z160" s="35" t="s">
        <v>1799</v>
      </c>
      <c r="AA160" s="35" t="s">
        <v>1612</v>
      </c>
    </row>
    <row r="161" spans="4:27" x14ac:dyDescent="0.35">
      <c r="D161" t="s">
        <v>2186</v>
      </c>
      <c r="E161" t="s">
        <v>1929</v>
      </c>
      <c r="R161" s="31" t="s">
        <v>2083</v>
      </c>
      <c r="S161" s="31" t="s">
        <v>1627</v>
      </c>
      <c r="Z161" s="35" t="s">
        <v>2187</v>
      </c>
      <c r="AA161" s="33" t="s">
        <v>1576</v>
      </c>
    </row>
    <row r="162" spans="4:27" x14ac:dyDescent="0.35">
      <c r="D162" t="s">
        <v>2016</v>
      </c>
      <c r="E162" t="s">
        <v>2263</v>
      </c>
      <c r="R162" s="31" t="s">
        <v>2252</v>
      </c>
      <c r="S162" s="31" t="s">
        <v>1591</v>
      </c>
      <c r="Z162" s="35" t="s">
        <v>2227</v>
      </c>
      <c r="AA162" s="35" t="s">
        <v>1648</v>
      </c>
    </row>
    <row r="163" spans="4:27" x14ac:dyDescent="0.35">
      <c r="D163" t="s">
        <v>2188</v>
      </c>
      <c r="E163" t="s">
        <v>2264</v>
      </c>
      <c r="R163" s="31" t="s">
        <v>2265</v>
      </c>
      <c r="S163" s="31" t="s">
        <v>1572</v>
      </c>
      <c r="Z163" s="35" t="s">
        <v>2159</v>
      </c>
      <c r="AA163" s="33" t="s">
        <v>1576</v>
      </c>
    </row>
    <row r="164" spans="4:27" x14ac:dyDescent="0.35">
      <c r="D164" t="s">
        <v>2190</v>
      </c>
      <c r="E164" t="s">
        <v>2266</v>
      </c>
      <c r="R164" s="31" t="s">
        <v>2164</v>
      </c>
      <c r="S164" s="31" t="s">
        <v>1645</v>
      </c>
      <c r="Z164" s="35" t="s">
        <v>2167</v>
      </c>
      <c r="AA164" s="33" t="s">
        <v>1576</v>
      </c>
    </row>
    <row r="165" spans="4:27" x14ac:dyDescent="0.35">
      <c r="D165" t="s">
        <v>2193</v>
      </c>
      <c r="E165" t="s">
        <v>2267</v>
      </c>
      <c r="R165" s="31" t="s">
        <v>2173</v>
      </c>
      <c r="S165" s="31" t="s">
        <v>1645</v>
      </c>
      <c r="Z165" s="35" t="s">
        <v>1795</v>
      </c>
      <c r="AA165" s="35" t="s">
        <v>1612</v>
      </c>
    </row>
    <row r="166" spans="4:27" x14ac:dyDescent="0.35">
      <c r="D166" t="s">
        <v>1608</v>
      </c>
      <c r="E166" t="s">
        <v>2268</v>
      </c>
      <c r="R166" s="31" t="s">
        <v>2167</v>
      </c>
      <c r="S166" s="31" t="s">
        <v>1645</v>
      </c>
      <c r="Z166" s="35" t="s">
        <v>2184</v>
      </c>
      <c r="AA166" s="33" t="s">
        <v>1576</v>
      </c>
    </row>
    <row r="167" spans="4:27" x14ac:dyDescent="0.35">
      <c r="D167" t="s">
        <v>2181</v>
      </c>
      <c r="E167" t="s">
        <v>2269</v>
      </c>
      <c r="R167" s="31" t="s">
        <v>2191</v>
      </c>
      <c r="S167" s="31" t="s">
        <v>1591</v>
      </c>
      <c r="Z167" s="35" t="s">
        <v>2250</v>
      </c>
      <c r="AA167" s="33" t="s">
        <v>1576</v>
      </c>
    </row>
    <row r="168" spans="4:27" x14ac:dyDescent="0.35">
      <c r="D168" t="s">
        <v>2158</v>
      </c>
      <c r="E168" t="s">
        <v>2270</v>
      </c>
      <c r="R168" s="31" t="s">
        <v>1845</v>
      </c>
      <c r="S168" s="31" t="s">
        <v>1645</v>
      </c>
      <c r="Z168" s="35" t="s">
        <v>2271</v>
      </c>
      <c r="AA168" s="33" t="s">
        <v>1576</v>
      </c>
    </row>
    <row r="169" spans="4:27" x14ac:dyDescent="0.35">
      <c r="D169" t="s">
        <v>2179</v>
      </c>
      <c r="E169" t="s">
        <v>2272</v>
      </c>
      <c r="R169" s="31" t="s">
        <v>2248</v>
      </c>
      <c r="S169" s="31" t="s">
        <v>1645</v>
      </c>
      <c r="Z169" s="35" t="s">
        <v>2273</v>
      </c>
      <c r="AA169" s="33" t="s">
        <v>1576</v>
      </c>
    </row>
    <row r="170" spans="4:27" x14ac:dyDescent="0.35">
      <c r="D170" t="s">
        <v>2202</v>
      </c>
      <c r="E170" t="s">
        <v>2274</v>
      </c>
      <c r="R170" s="31" t="s">
        <v>1960</v>
      </c>
      <c r="S170" s="31" t="s">
        <v>1645</v>
      </c>
      <c r="Z170" s="35" t="s">
        <v>1936</v>
      </c>
      <c r="AA170" s="35" t="s">
        <v>1594</v>
      </c>
    </row>
    <row r="171" spans="4:27" x14ac:dyDescent="0.35">
      <c r="D171" t="s">
        <v>1931</v>
      </c>
      <c r="E171" t="s">
        <v>2275</v>
      </c>
      <c r="R171" s="31" t="s">
        <v>2205</v>
      </c>
      <c r="S171" s="31" t="s">
        <v>1645</v>
      </c>
      <c r="Z171" s="33"/>
      <c r="AA171" s="33" t="s">
        <v>1576</v>
      </c>
    </row>
    <row r="172" spans="4:27" x14ac:dyDescent="0.35">
      <c r="D172" t="s">
        <v>1758</v>
      </c>
      <c r="E172" t="s">
        <v>2276</v>
      </c>
      <c r="R172" s="31" t="s">
        <v>2208</v>
      </c>
      <c r="S172" s="31" t="s">
        <v>1645</v>
      </c>
      <c r="Z172" s="35" t="s">
        <v>2156</v>
      </c>
      <c r="AA172" s="35" t="s">
        <v>1612</v>
      </c>
    </row>
    <row r="173" spans="4:27" x14ac:dyDescent="0.35">
      <c r="D173" t="s">
        <v>2277</v>
      </c>
      <c r="E173" t="s">
        <v>2278</v>
      </c>
      <c r="R173" s="31" t="s">
        <v>1680</v>
      </c>
      <c r="S173" s="31" t="s">
        <v>1645</v>
      </c>
      <c r="Z173" s="35" t="s">
        <v>2173</v>
      </c>
      <c r="AA173" s="33" t="s">
        <v>1576</v>
      </c>
    </row>
    <row r="174" spans="4:27" x14ac:dyDescent="0.35">
      <c r="D174" t="s">
        <v>2279</v>
      </c>
      <c r="E174" t="s">
        <v>2280</v>
      </c>
      <c r="R174" s="31" t="s">
        <v>1817</v>
      </c>
      <c r="S174" s="31" t="s">
        <v>1645</v>
      </c>
      <c r="Z174" s="35" t="s">
        <v>2175</v>
      </c>
      <c r="AA174" s="35" t="s">
        <v>1612</v>
      </c>
    </row>
    <row r="175" spans="4:27" x14ac:dyDescent="0.35">
      <c r="D175" t="s">
        <v>1992</v>
      </c>
      <c r="E175" t="s">
        <v>2281</v>
      </c>
      <c r="R175" s="31" t="s">
        <v>2125</v>
      </c>
      <c r="S175" s="31" t="s">
        <v>1645</v>
      </c>
      <c r="Z175" s="35" t="s">
        <v>1601</v>
      </c>
      <c r="AA175" s="35" t="s">
        <v>1612</v>
      </c>
    </row>
    <row r="176" spans="4:27" x14ac:dyDescent="0.35">
      <c r="D176" t="s">
        <v>1749</v>
      </c>
      <c r="E176" t="s">
        <v>2282</v>
      </c>
      <c r="R176" s="31" t="s">
        <v>1810</v>
      </c>
      <c r="S176" s="31" t="s">
        <v>1645</v>
      </c>
      <c r="Z176" s="35" t="s">
        <v>2283</v>
      </c>
      <c r="AA176" s="33" t="s">
        <v>1576</v>
      </c>
    </row>
    <row r="177" spans="4:27" x14ac:dyDescent="0.35">
      <c r="D177" t="s">
        <v>2284</v>
      </c>
      <c r="E177" t="s">
        <v>2285</v>
      </c>
      <c r="R177" s="31" t="s">
        <v>2120</v>
      </c>
      <c r="S177" s="31" t="s">
        <v>1645</v>
      </c>
      <c r="Z177" s="35" t="s">
        <v>2286</v>
      </c>
      <c r="AA177" s="35" t="s">
        <v>1612</v>
      </c>
    </row>
    <row r="178" spans="4:27" x14ac:dyDescent="0.35">
      <c r="D178" t="s">
        <v>2287</v>
      </c>
      <c r="E178" t="s">
        <v>2288</v>
      </c>
      <c r="R178" s="31" t="s">
        <v>2246</v>
      </c>
      <c r="S178" s="31" t="s">
        <v>1645</v>
      </c>
      <c r="Z178" s="35" t="s">
        <v>2032</v>
      </c>
      <c r="AA178" s="33" t="s">
        <v>1576</v>
      </c>
    </row>
    <row r="179" spans="4:27" x14ac:dyDescent="0.35">
      <c r="D179" t="s">
        <v>1971</v>
      </c>
      <c r="E179" t="s">
        <v>2289</v>
      </c>
      <c r="R179" s="31" t="s">
        <v>1979</v>
      </c>
      <c r="S179" s="31" t="s">
        <v>1645</v>
      </c>
      <c r="Z179" s="34" t="s">
        <v>65</v>
      </c>
      <c r="AA179" s="33" t="s">
        <v>1576</v>
      </c>
    </row>
    <row r="180" spans="4:27" x14ac:dyDescent="0.35">
      <c r="D180" t="s">
        <v>2290</v>
      </c>
      <c r="E180" t="s">
        <v>2291</v>
      </c>
      <c r="R180" s="31" t="s">
        <v>1946</v>
      </c>
      <c r="S180" s="31" t="s">
        <v>1645</v>
      </c>
    </row>
    <row r="181" spans="4:27" x14ac:dyDescent="0.35">
      <c r="D181" t="s">
        <v>1984</v>
      </c>
      <c r="E181" t="s">
        <v>2292</v>
      </c>
      <c r="R181" s="31" t="s">
        <v>2293</v>
      </c>
      <c r="S181" s="31" t="s">
        <v>1645</v>
      </c>
    </row>
    <row r="182" spans="4:27" x14ac:dyDescent="0.35">
      <c r="D182" t="s">
        <v>2294</v>
      </c>
      <c r="E182" t="s">
        <v>2295</v>
      </c>
      <c r="R182" s="31" t="s">
        <v>2296</v>
      </c>
      <c r="S182" s="31" t="s">
        <v>1572</v>
      </c>
    </row>
    <row r="183" spans="4:27" x14ac:dyDescent="0.35">
      <c r="D183" t="s">
        <v>2213</v>
      </c>
      <c r="E183" t="s">
        <v>2297</v>
      </c>
      <c r="R183" s="31" t="s">
        <v>2298</v>
      </c>
      <c r="S183" s="31" t="s">
        <v>1591</v>
      </c>
    </row>
    <row r="184" spans="4:27" x14ac:dyDescent="0.35">
      <c r="D184" t="s">
        <v>2299</v>
      </c>
      <c r="E184" t="s">
        <v>2300</v>
      </c>
      <c r="R184" s="31" t="s">
        <v>2200</v>
      </c>
      <c r="S184" s="31" t="s">
        <v>1572</v>
      </c>
    </row>
    <row r="185" spans="4:27" x14ac:dyDescent="0.35">
      <c r="D185" t="s">
        <v>1919</v>
      </c>
      <c r="E185" t="s">
        <v>2301</v>
      </c>
      <c r="R185" s="31" t="s">
        <v>2257</v>
      </c>
      <c r="S185" s="31" t="s">
        <v>1572</v>
      </c>
    </row>
    <row r="186" spans="4:27" x14ac:dyDescent="0.35">
      <c r="D186" t="s">
        <v>2177</v>
      </c>
      <c r="E186" t="s">
        <v>2302</v>
      </c>
      <c r="R186" s="31" t="s">
        <v>2283</v>
      </c>
      <c r="S186" s="31" t="s">
        <v>1572</v>
      </c>
    </row>
    <row r="187" spans="4:27" x14ac:dyDescent="0.35">
      <c r="D187" t="s">
        <v>2058</v>
      </c>
      <c r="E187" t="s">
        <v>2303</v>
      </c>
      <c r="R187" s="31" t="s">
        <v>2255</v>
      </c>
      <c r="S187" s="31" t="s">
        <v>1591</v>
      </c>
    </row>
    <row r="188" spans="4:27" x14ac:dyDescent="0.35">
      <c r="D188" t="s">
        <v>2219</v>
      </c>
      <c r="E188" t="s">
        <v>2304</v>
      </c>
      <c r="R188" s="31" t="s">
        <v>2305</v>
      </c>
      <c r="S188" s="31" t="s">
        <v>1627</v>
      </c>
    </row>
    <row r="189" spans="4:27" x14ac:dyDescent="0.35">
      <c r="D189" t="s">
        <v>2245</v>
      </c>
      <c r="E189" t="s">
        <v>2306</v>
      </c>
      <c r="R189" s="31" t="s">
        <v>1880</v>
      </c>
      <c r="S189" s="31" t="s">
        <v>1591</v>
      </c>
    </row>
    <row r="190" spans="4:27" x14ac:dyDescent="0.35">
      <c r="D190" t="s">
        <v>1575</v>
      </c>
      <c r="E190" t="s">
        <v>2307</v>
      </c>
      <c r="R190" s="31" t="s">
        <v>2156</v>
      </c>
      <c r="S190" s="31" t="s">
        <v>1591</v>
      </c>
    </row>
    <row r="191" spans="4:27" x14ac:dyDescent="0.35">
      <c r="D191" t="s">
        <v>2222</v>
      </c>
      <c r="E191" t="s">
        <v>2308</v>
      </c>
      <c r="R191" s="31" t="s">
        <v>2187</v>
      </c>
      <c r="S191" s="31" t="s">
        <v>1572</v>
      </c>
    </row>
    <row r="192" spans="4:27" x14ac:dyDescent="0.35">
      <c r="D192" t="s">
        <v>2293</v>
      </c>
      <c r="E192" t="s">
        <v>2309</v>
      </c>
      <c r="R192" s="31" t="s">
        <v>2169</v>
      </c>
      <c r="S192" s="31" t="s">
        <v>1645</v>
      </c>
    </row>
    <row r="193" spans="4:19" x14ac:dyDescent="0.35">
      <c r="D193" t="s">
        <v>2224</v>
      </c>
      <c r="E193" t="s">
        <v>2310</v>
      </c>
      <c r="R193" s="31" t="s">
        <v>2171</v>
      </c>
      <c r="S193" s="31" t="s">
        <v>1645</v>
      </c>
    </row>
    <row r="194" spans="4:19" x14ac:dyDescent="0.35">
      <c r="D194" t="s">
        <v>2296</v>
      </c>
      <c r="E194" t="s">
        <v>2311</v>
      </c>
      <c r="R194" s="31" t="s">
        <v>2312</v>
      </c>
      <c r="S194" s="31" t="s">
        <v>1572</v>
      </c>
    </row>
    <row r="195" spans="4:19" x14ac:dyDescent="0.35">
      <c r="D195" t="s">
        <v>2250</v>
      </c>
      <c r="E195" t="s">
        <v>2313</v>
      </c>
      <c r="R195" s="31" t="s">
        <v>2314</v>
      </c>
      <c r="S195" s="31" t="s">
        <v>1572</v>
      </c>
    </row>
    <row r="196" spans="4:19" x14ac:dyDescent="0.35">
      <c r="D196" t="s">
        <v>1784</v>
      </c>
      <c r="E196" t="s">
        <v>2315</v>
      </c>
      <c r="R196" s="31" t="s">
        <v>2316</v>
      </c>
      <c r="S196" s="31" t="s">
        <v>1572</v>
      </c>
    </row>
    <row r="197" spans="4:19" x14ac:dyDescent="0.35">
      <c r="D197" t="s">
        <v>2317</v>
      </c>
      <c r="E197" t="s">
        <v>2318</v>
      </c>
      <c r="R197" s="31" t="s">
        <v>2319</v>
      </c>
      <c r="S197" s="31" t="s">
        <v>1572</v>
      </c>
    </row>
    <row r="198" spans="4:19" x14ac:dyDescent="0.35">
      <c r="D198" t="s">
        <v>2320</v>
      </c>
      <c r="E198" t="s">
        <v>2321</v>
      </c>
      <c r="R198" s="31" t="s">
        <v>2290</v>
      </c>
      <c r="S198" s="31" t="s">
        <v>1572</v>
      </c>
    </row>
    <row r="199" spans="4:19" x14ac:dyDescent="0.35">
      <c r="D199" t="s">
        <v>2227</v>
      </c>
      <c r="E199" t="s">
        <v>2322</v>
      </c>
      <c r="R199" s="31" t="s">
        <v>2011</v>
      </c>
      <c r="S199" s="31" t="s">
        <v>1572</v>
      </c>
    </row>
    <row r="200" spans="4:19" x14ac:dyDescent="0.35">
      <c r="D200" t="s">
        <v>2139</v>
      </c>
      <c r="E200" t="s">
        <v>2323</v>
      </c>
      <c r="R200" s="32" t="s">
        <v>2324</v>
      </c>
      <c r="S200" s="32" t="s">
        <v>1591</v>
      </c>
    </row>
    <row r="201" spans="4:19" x14ac:dyDescent="0.35">
      <c r="D201" t="s">
        <v>1699</v>
      </c>
      <c r="E201" t="s">
        <v>2325</v>
      </c>
      <c r="R201" s="32" t="s">
        <v>2273</v>
      </c>
      <c r="S201" s="32" t="s">
        <v>1572</v>
      </c>
    </row>
    <row r="202" spans="4:19" x14ac:dyDescent="0.35">
      <c r="D202" t="s">
        <v>2004</v>
      </c>
      <c r="E202" t="s">
        <v>2326</v>
      </c>
      <c r="R202" s="32" t="s">
        <v>2327</v>
      </c>
      <c r="S202" s="32" t="s">
        <v>1627</v>
      </c>
    </row>
    <row r="203" spans="4:19" x14ac:dyDescent="0.35">
      <c r="D203" t="s">
        <v>2086</v>
      </c>
      <c r="E203" t="s">
        <v>2328</v>
      </c>
      <c r="R203" s="32" t="s">
        <v>2329</v>
      </c>
      <c r="S203" s="32" t="s">
        <v>2330</v>
      </c>
    </row>
    <row r="204" spans="4:19" x14ac:dyDescent="0.35">
      <c r="D204" t="s">
        <v>1712</v>
      </c>
      <c r="E204" t="s">
        <v>2331</v>
      </c>
      <c r="R204" s="32" t="s">
        <v>2271</v>
      </c>
      <c r="S204" s="32" t="s">
        <v>1591</v>
      </c>
    </row>
    <row r="205" spans="4:19" x14ac:dyDescent="0.35">
      <c r="D205" t="s">
        <v>2242</v>
      </c>
      <c r="E205" t="s">
        <v>2332</v>
      </c>
      <c r="R205" s="32" t="s">
        <v>2333</v>
      </c>
      <c r="S205" s="32" t="s">
        <v>1608</v>
      </c>
    </row>
    <row r="206" spans="4:19" x14ac:dyDescent="0.35">
      <c r="D206" t="s">
        <v>2265</v>
      </c>
      <c r="E206" t="s">
        <v>2334</v>
      </c>
      <c r="R206" s="32" t="s">
        <v>2335</v>
      </c>
      <c r="S206" s="32" t="s">
        <v>1661</v>
      </c>
    </row>
    <row r="207" spans="4:19" x14ac:dyDescent="0.35">
      <c r="D207" t="s">
        <v>2176</v>
      </c>
      <c r="E207" t="s">
        <v>2336</v>
      </c>
      <c r="R207" s="31" t="s">
        <v>2286</v>
      </c>
      <c r="S207" s="31" t="s">
        <v>1591</v>
      </c>
    </row>
    <row r="208" spans="4:19" x14ac:dyDescent="0.35">
      <c r="D208" t="s">
        <v>3415</v>
      </c>
      <c r="E208" t="s">
        <v>3416</v>
      </c>
    </row>
  </sheetData>
  <sheetProtection algorithmName="SHA-512" hashValue="9fy/47Ooxw3LOYlp26iksFDWTXIRIWYq+lCh7u9Zq3pi2gMlSyYa1x56CRjlA/uCoBeGQlHpMx8h4MH9IR4+2g==" saltValue="R7vVY/Ri41paI1MuhyOhFQ==" spinCount="100000" sheet="1" objects="1" scenarios="1"/>
  <autoFilter ref="R2:S207" xr:uid="{AEEFCE64-F2F3-4E26-8049-7DE2032B0DCB}"/>
  <conditionalFormatting sqref="L1:L1048576">
    <cfRule type="duplicateValues" dxfId="6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02A0-A50E-4D73-AE8A-590CB380E1DF}">
  <dimension ref="A1:B86"/>
  <sheetViews>
    <sheetView showGridLines="0" topLeftCell="A70" workbookViewId="0">
      <selection activeCell="U20" sqref="U20:V21"/>
    </sheetView>
  </sheetViews>
  <sheetFormatPr defaultRowHeight="14.5" x14ac:dyDescent="0.35"/>
  <cols>
    <col min="1" max="1" width="17.453125" bestFit="1" customWidth="1"/>
    <col min="2" max="2" width="14.26953125" bestFit="1" customWidth="1"/>
    <col min="3" max="3" width="8.81640625" customWidth="1"/>
  </cols>
  <sheetData>
    <row r="1" spans="1:2" x14ac:dyDescent="0.35">
      <c r="A1" t="s">
        <v>1550</v>
      </c>
      <c r="B1" t="s">
        <v>1549</v>
      </c>
    </row>
    <row r="2" spans="1:2" x14ac:dyDescent="0.35">
      <c r="A2" t="s">
        <v>64</v>
      </c>
      <c r="B2" t="s">
        <v>1567</v>
      </c>
    </row>
    <row r="3" spans="1:2" x14ac:dyDescent="0.35">
      <c r="A3" t="s">
        <v>1583</v>
      </c>
      <c r="B3" t="s">
        <v>1582</v>
      </c>
    </row>
    <row r="4" spans="1:2" x14ac:dyDescent="0.35">
      <c r="A4" t="s">
        <v>1600</v>
      </c>
      <c r="B4" t="s">
        <v>1599</v>
      </c>
    </row>
    <row r="5" spans="1:2" x14ac:dyDescent="0.35">
      <c r="A5" t="s">
        <v>1619</v>
      </c>
      <c r="B5" t="s">
        <v>1618</v>
      </c>
    </row>
    <row r="6" spans="1:2" x14ac:dyDescent="0.35">
      <c r="A6" t="s">
        <v>1637</v>
      </c>
      <c r="B6" t="s">
        <v>1636</v>
      </c>
    </row>
    <row r="7" spans="1:2" x14ac:dyDescent="0.35">
      <c r="A7" t="s">
        <v>1653</v>
      </c>
      <c r="B7" t="s">
        <v>1652</v>
      </c>
    </row>
    <row r="8" spans="1:2" x14ac:dyDescent="0.35">
      <c r="A8" t="s">
        <v>1668</v>
      </c>
      <c r="B8" t="s">
        <v>1667</v>
      </c>
    </row>
    <row r="9" spans="1:2" x14ac:dyDescent="0.35">
      <c r="A9" t="s">
        <v>1679</v>
      </c>
      <c r="B9" t="s">
        <v>1678</v>
      </c>
    </row>
    <row r="10" spans="1:2" x14ac:dyDescent="0.35">
      <c r="A10" t="s">
        <v>1692</v>
      </c>
      <c r="B10" t="s">
        <v>1691</v>
      </c>
    </row>
    <row r="11" spans="1:2" x14ac:dyDescent="0.35">
      <c r="A11" t="s">
        <v>1704</v>
      </c>
      <c r="B11" t="s">
        <v>1703</v>
      </c>
    </row>
    <row r="12" spans="1:2" x14ac:dyDescent="0.35">
      <c r="A12" t="s">
        <v>1717</v>
      </c>
      <c r="B12" t="s">
        <v>1716</v>
      </c>
    </row>
    <row r="13" spans="1:2" x14ac:dyDescent="0.35">
      <c r="A13" t="s">
        <v>1727</v>
      </c>
      <c r="B13" t="s">
        <v>1726</v>
      </c>
    </row>
    <row r="14" spans="1:2" x14ac:dyDescent="0.35">
      <c r="A14" t="s">
        <v>1573</v>
      </c>
      <c r="B14" t="s">
        <v>787</v>
      </c>
    </row>
    <row r="15" spans="1:2" x14ac:dyDescent="0.35">
      <c r="A15" t="s">
        <v>1743</v>
      </c>
      <c r="B15" t="s">
        <v>1742</v>
      </c>
    </row>
    <row r="16" spans="1:2" x14ac:dyDescent="0.35">
      <c r="A16" t="s">
        <v>1752</v>
      </c>
      <c r="B16" t="s">
        <v>1751</v>
      </c>
    </row>
    <row r="17" spans="1:2" x14ac:dyDescent="0.35">
      <c r="A17" t="s">
        <v>1646</v>
      </c>
      <c r="B17" t="s">
        <v>1760</v>
      </c>
    </row>
    <row r="18" spans="1:2" x14ac:dyDescent="0.35">
      <c r="A18" t="s">
        <v>1768</v>
      </c>
      <c r="B18" t="s">
        <v>807</v>
      </c>
    </row>
    <row r="19" spans="1:2" x14ac:dyDescent="0.35">
      <c r="A19" t="s">
        <v>1777</v>
      </c>
      <c r="B19" t="s">
        <v>1776</v>
      </c>
    </row>
    <row r="20" spans="1:2" x14ac:dyDescent="0.35">
      <c r="A20" t="s">
        <v>1787</v>
      </c>
      <c r="B20" t="s">
        <v>1786</v>
      </c>
    </row>
    <row r="21" spans="1:2" x14ac:dyDescent="0.35">
      <c r="A21" t="s">
        <v>1643</v>
      </c>
      <c r="B21" t="s">
        <v>1794</v>
      </c>
    </row>
    <row r="22" spans="1:2" x14ac:dyDescent="0.35">
      <c r="A22" t="s">
        <v>1606</v>
      </c>
      <c r="B22" t="s">
        <v>834</v>
      </c>
    </row>
    <row r="23" spans="1:2" x14ac:dyDescent="0.35">
      <c r="A23" t="s">
        <v>1809</v>
      </c>
      <c r="B23" t="s">
        <v>838</v>
      </c>
    </row>
    <row r="24" spans="1:2" x14ac:dyDescent="0.35">
      <c r="A24" t="s">
        <v>1816</v>
      </c>
      <c r="B24" t="s">
        <v>1756</v>
      </c>
    </row>
    <row r="25" spans="1:2" x14ac:dyDescent="0.35">
      <c r="A25" t="s">
        <v>1824</v>
      </c>
      <c r="B25" t="s">
        <v>1823</v>
      </c>
    </row>
    <row r="26" spans="1:2" x14ac:dyDescent="0.35">
      <c r="A26" t="s">
        <v>1831</v>
      </c>
      <c r="B26" t="s">
        <v>1830</v>
      </c>
    </row>
    <row r="27" spans="1:2" x14ac:dyDescent="0.35">
      <c r="A27" t="s">
        <v>1783</v>
      </c>
      <c r="B27" t="s">
        <v>1838</v>
      </c>
    </row>
    <row r="28" spans="1:2" x14ac:dyDescent="0.35">
      <c r="A28" t="s">
        <v>1659</v>
      </c>
      <c r="B28" t="s">
        <v>1844</v>
      </c>
    </row>
    <row r="29" spans="1:2" x14ac:dyDescent="0.35">
      <c r="A29" t="s">
        <v>1774</v>
      </c>
      <c r="B29" t="s">
        <v>1851</v>
      </c>
    </row>
    <row r="30" spans="1:2" x14ac:dyDescent="0.35">
      <c r="A30" t="s">
        <v>44</v>
      </c>
      <c r="B30" t="s">
        <v>1856</v>
      </c>
    </row>
    <row r="31" spans="1:2" x14ac:dyDescent="0.35">
      <c r="A31" t="s">
        <v>1862</v>
      </c>
      <c r="B31" t="s">
        <v>1861</v>
      </c>
    </row>
    <row r="32" spans="1:2" x14ac:dyDescent="0.35">
      <c r="A32" t="s">
        <v>1868</v>
      </c>
      <c r="B32" t="s">
        <v>1867</v>
      </c>
    </row>
    <row r="33" spans="1:2" x14ac:dyDescent="0.35">
      <c r="A33" t="s">
        <v>1875</v>
      </c>
      <c r="B33" t="s">
        <v>1874</v>
      </c>
    </row>
    <row r="34" spans="1:2" x14ac:dyDescent="0.35">
      <c r="A34" t="s">
        <v>1815</v>
      </c>
      <c r="B34" t="s">
        <v>1815</v>
      </c>
    </row>
    <row r="35" spans="1:2" x14ac:dyDescent="0.35">
      <c r="A35" t="s">
        <v>1888</v>
      </c>
      <c r="B35" t="s">
        <v>1887</v>
      </c>
    </row>
    <row r="36" spans="1:2" x14ac:dyDescent="0.35">
      <c r="A36" t="s">
        <v>1893</v>
      </c>
      <c r="B36" t="s">
        <v>1892</v>
      </c>
    </row>
    <row r="37" spans="1:2" x14ac:dyDescent="0.35">
      <c r="A37" t="s">
        <v>1900</v>
      </c>
      <c r="B37" t="s">
        <v>1899</v>
      </c>
    </row>
    <row r="38" spans="1:2" x14ac:dyDescent="0.35">
      <c r="A38" t="s">
        <v>1908</v>
      </c>
      <c r="B38" t="s">
        <v>1907</v>
      </c>
    </row>
    <row r="39" spans="1:2" x14ac:dyDescent="0.35">
      <c r="A39" t="s">
        <v>1686</v>
      </c>
      <c r="B39" t="s">
        <v>1912</v>
      </c>
    </row>
    <row r="40" spans="1:2" x14ac:dyDescent="0.35">
      <c r="A40" t="s">
        <v>1921</v>
      </c>
      <c r="B40" t="s">
        <v>1920</v>
      </c>
    </row>
    <row r="41" spans="1:2" x14ac:dyDescent="0.35">
      <c r="A41" t="s">
        <v>1700</v>
      </c>
      <c r="B41" t="s">
        <v>1926</v>
      </c>
    </row>
    <row r="42" spans="1:2" x14ac:dyDescent="0.35">
      <c r="A42" t="s">
        <v>1918</v>
      </c>
      <c r="B42" t="s">
        <v>1932</v>
      </c>
    </row>
    <row r="43" spans="1:2" x14ac:dyDescent="0.35">
      <c r="A43" t="s">
        <v>1940</v>
      </c>
      <c r="B43" t="s">
        <v>1939</v>
      </c>
    </row>
    <row r="44" spans="1:2" x14ac:dyDescent="0.35">
      <c r="A44" t="s">
        <v>1925</v>
      </c>
      <c r="B44" t="s">
        <v>1945</v>
      </c>
    </row>
    <row r="45" spans="1:2" x14ac:dyDescent="0.35">
      <c r="A45" t="s">
        <v>1698</v>
      </c>
      <c r="B45" t="s">
        <v>1951</v>
      </c>
    </row>
    <row r="46" spans="1:2" x14ac:dyDescent="0.35">
      <c r="A46" t="s">
        <v>1959</v>
      </c>
      <c r="B46" t="s">
        <v>1958</v>
      </c>
    </row>
    <row r="47" spans="1:2" x14ac:dyDescent="0.35">
      <c r="A47" t="s">
        <v>1860</v>
      </c>
      <c r="B47" t="s">
        <v>1966</v>
      </c>
    </row>
    <row r="48" spans="1:2" x14ac:dyDescent="0.35">
      <c r="A48" t="s">
        <v>1711</v>
      </c>
      <c r="B48" t="s">
        <v>1711</v>
      </c>
    </row>
    <row r="49" spans="1:2" x14ac:dyDescent="0.35">
      <c r="A49" t="s">
        <v>1978</v>
      </c>
      <c r="B49" t="s">
        <v>1977</v>
      </c>
    </row>
    <row r="50" spans="1:2" x14ac:dyDescent="0.35">
      <c r="A50" t="s">
        <v>1986</v>
      </c>
      <c r="B50" t="s">
        <v>1985</v>
      </c>
    </row>
    <row r="51" spans="1:2" x14ac:dyDescent="0.35">
      <c r="A51" t="s">
        <v>1930</v>
      </c>
      <c r="B51" t="s">
        <v>1993</v>
      </c>
    </row>
    <row r="52" spans="1:2" x14ac:dyDescent="0.35">
      <c r="A52" t="s">
        <v>1999</v>
      </c>
      <c r="B52" t="s">
        <v>1998</v>
      </c>
    </row>
    <row r="53" spans="1:2" x14ac:dyDescent="0.35">
      <c r="A53" t="s">
        <v>1991</v>
      </c>
      <c r="B53" t="s">
        <v>2005</v>
      </c>
    </row>
    <row r="54" spans="1:2" x14ac:dyDescent="0.35">
      <c r="A54" t="s">
        <v>2010</v>
      </c>
      <c r="B54" t="s">
        <v>2009</v>
      </c>
    </row>
    <row r="55" spans="1:2" x14ac:dyDescent="0.35">
      <c r="A55" t="s">
        <v>2018</v>
      </c>
      <c r="B55" t="s">
        <v>2017</v>
      </c>
    </row>
    <row r="56" spans="1:2" x14ac:dyDescent="0.35">
      <c r="A56" t="s">
        <v>1765</v>
      </c>
      <c r="B56" t="s">
        <v>2023</v>
      </c>
    </row>
    <row r="57" spans="1:2" x14ac:dyDescent="0.35">
      <c r="A57" t="s">
        <v>1965</v>
      </c>
      <c r="B57" t="s">
        <v>2028</v>
      </c>
    </row>
    <row r="58" spans="1:2" x14ac:dyDescent="0.35">
      <c r="A58" t="s">
        <v>1829</v>
      </c>
      <c r="B58" t="s">
        <v>2034</v>
      </c>
    </row>
    <row r="59" spans="1:2" x14ac:dyDescent="0.35">
      <c r="A59" t="s">
        <v>1748</v>
      </c>
      <c r="B59" t="s">
        <v>2039</v>
      </c>
    </row>
    <row r="60" spans="1:2" x14ac:dyDescent="0.35">
      <c r="A60" t="s">
        <v>2044</v>
      </c>
      <c r="B60" t="s">
        <v>2043</v>
      </c>
    </row>
    <row r="61" spans="1:2" x14ac:dyDescent="0.35">
      <c r="A61" t="s">
        <v>2049</v>
      </c>
      <c r="B61" t="s">
        <v>2048</v>
      </c>
    </row>
    <row r="62" spans="1:2" x14ac:dyDescent="0.35">
      <c r="A62" t="s">
        <v>2055</v>
      </c>
      <c r="B62" t="s">
        <v>2054</v>
      </c>
    </row>
    <row r="63" spans="1:2" x14ac:dyDescent="0.35">
      <c r="A63" t="s">
        <v>2060</v>
      </c>
      <c r="B63" t="s">
        <v>2059</v>
      </c>
    </row>
    <row r="64" spans="1:2" x14ac:dyDescent="0.35">
      <c r="A64" t="s">
        <v>1937</v>
      </c>
      <c r="B64" t="s">
        <v>1649</v>
      </c>
    </row>
    <row r="65" spans="1:2" x14ac:dyDescent="0.35">
      <c r="A65" t="s">
        <v>1791</v>
      </c>
      <c r="B65" t="s">
        <v>2065</v>
      </c>
    </row>
    <row r="66" spans="1:2" x14ac:dyDescent="0.35">
      <c r="A66" t="s">
        <v>1800</v>
      </c>
      <c r="B66" t="s">
        <v>1923</v>
      </c>
    </row>
    <row r="67" spans="1:2" x14ac:dyDescent="0.35">
      <c r="A67" t="s">
        <v>1854</v>
      </c>
      <c r="B67" t="s">
        <v>192</v>
      </c>
    </row>
    <row r="68" spans="1:2" x14ac:dyDescent="0.35">
      <c r="A68" t="s">
        <v>2074</v>
      </c>
      <c r="B68" t="s">
        <v>2073</v>
      </c>
    </row>
    <row r="69" spans="1:2" x14ac:dyDescent="0.35">
      <c r="A69" t="s">
        <v>1879</v>
      </c>
      <c r="B69" t="s">
        <v>1989</v>
      </c>
    </row>
    <row r="70" spans="1:2" x14ac:dyDescent="0.35">
      <c r="A70" t="s">
        <v>2076</v>
      </c>
      <c r="B70" t="s">
        <v>1969</v>
      </c>
    </row>
    <row r="71" spans="1:2" x14ac:dyDescent="0.35">
      <c r="A71" t="s">
        <v>1713</v>
      </c>
      <c r="B71" t="s">
        <v>2082</v>
      </c>
    </row>
    <row r="72" spans="1:2" x14ac:dyDescent="0.35">
      <c r="A72" t="s">
        <v>2088</v>
      </c>
      <c r="B72" t="s">
        <v>2087</v>
      </c>
    </row>
    <row r="73" spans="1:2" x14ac:dyDescent="0.35">
      <c r="A73" t="s">
        <v>1674</v>
      </c>
      <c r="B73" t="s">
        <v>2092</v>
      </c>
    </row>
    <row r="74" spans="1:2" x14ac:dyDescent="0.35">
      <c r="A74" t="s">
        <v>2096</v>
      </c>
      <c r="B74" t="s">
        <v>2095</v>
      </c>
    </row>
    <row r="75" spans="1:2" x14ac:dyDescent="0.35">
      <c r="A75" t="s">
        <v>2063</v>
      </c>
      <c r="B75" t="s">
        <v>2100</v>
      </c>
    </row>
    <row r="76" spans="1:2" x14ac:dyDescent="0.35">
      <c r="A76" t="s">
        <v>1905</v>
      </c>
      <c r="B76" t="s">
        <v>2102</v>
      </c>
    </row>
    <row r="77" spans="1:2" x14ac:dyDescent="0.35">
      <c r="A77" t="s">
        <v>1873</v>
      </c>
      <c r="B77" t="s">
        <v>2107</v>
      </c>
    </row>
    <row r="78" spans="1:2" x14ac:dyDescent="0.35">
      <c r="A78" t="s">
        <v>1885</v>
      </c>
      <c r="B78" t="s">
        <v>2110</v>
      </c>
    </row>
    <row r="79" spans="1:2" x14ac:dyDescent="0.35">
      <c r="A79" t="s">
        <v>1723</v>
      </c>
      <c r="B79" t="s">
        <v>256</v>
      </c>
    </row>
    <row r="80" spans="1:2" x14ac:dyDescent="0.35">
      <c r="A80" t="s">
        <v>1836</v>
      </c>
      <c r="B80" t="s">
        <v>2113</v>
      </c>
    </row>
    <row r="81" spans="1:2" x14ac:dyDescent="0.35">
      <c r="A81" t="s">
        <v>2106</v>
      </c>
      <c r="B81" t="s">
        <v>2116</v>
      </c>
    </row>
    <row r="82" spans="1:2" x14ac:dyDescent="0.35">
      <c r="A82" t="s">
        <v>1625</v>
      </c>
      <c r="B82" t="s">
        <v>1574</v>
      </c>
    </row>
    <row r="83" spans="1:2" x14ac:dyDescent="0.35">
      <c r="A83" t="s">
        <v>1807</v>
      </c>
      <c r="B83" t="s">
        <v>2124</v>
      </c>
    </row>
    <row r="84" spans="1:2" x14ac:dyDescent="0.35">
      <c r="A84" t="s">
        <v>2090</v>
      </c>
      <c r="B84" t="s">
        <v>2128</v>
      </c>
    </row>
    <row r="85" spans="1:2" x14ac:dyDescent="0.35">
      <c r="A85" t="s">
        <v>2132</v>
      </c>
      <c r="B85" t="s">
        <v>2131</v>
      </c>
    </row>
    <row r="86" spans="1:2" x14ac:dyDescent="0.35">
      <c r="A86" t="s">
        <v>2038</v>
      </c>
      <c r="B86" t="s">
        <v>2135</v>
      </c>
    </row>
  </sheetData>
  <conditionalFormatting sqref="B1:B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80F41-FAA8-47B6-826C-4944B805AC78}">
  <sheetPr>
    <tabColor theme="5"/>
  </sheetPr>
  <dimension ref="A1:AF227"/>
  <sheetViews>
    <sheetView workbookViewId="0">
      <pane ySplit="1" topLeftCell="A26" activePane="bottomLeft" state="frozen"/>
      <selection activeCell="U20" sqref="U20:V21"/>
      <selection pane="bottomLeft" activeCell="H43" sqref="H43"/>
    </sheetView>
  </sheetViews>
  <sheetFormatPr defaultColWidth="8.81640625" defaultRowHeight="14.5" x14ac:dyDescent="0.35"/>
  <cols>
    <col min="1" max="1" width="30.453125" bestFit="1" customWidth="1"/>
    <col min="2" max="2" width="16" bestFit="1" customWidth="1"/>
    <col min="3" max="3" width="12.81640625" customWidth="1"/>
    <col min="4" max="4" width="9.1796875" bestFit="1" customWidth="1"/>
    <col min="5" max="5" width="8.7265625" bestFit="1" customWidth="1"/>
    <col min="7" max="7" width="9.1796875" bestFit="1" customWidth="1"/>
    <col min="8" max="8" width="23.54296875" bestFit="1" customWidth="1"/>
    <col min="9" max="9" width="10.54296875" bestFit="1" customWidth="1"/>
    <col min="11" max="11" width="11.54296875" bestFit="1" customWidth="1"/>
    <col min="12" max="12" width="12.453125" bestFit="1" customWidth="1"/>
    <col min="14" max="14" width="9.81640625" bestFit="1" customWidth="1"/>
    <col min="15" max="15" width="42.81640625" bestFit="1" customWidth="1"/>
    <col min="16" max="16" width="13.81640625" bestFit="1" customWidth="1"/>
    <col min="18" max="18" width="20.81640625" bestFit="1" customWidth="1"/>
    <col min="19" max="19" width="11.81640625" bestFit="1" customWidth="1"/>
    <col min="20" max="20" width="23.54296875" bestFit="1" customWidth="1"/>
    <col min="21" max="21" width="18.26953125" bestFit="1" customWidth="1"/>
    <col min="22" max="22" width="16.453125" bestFit="1" customWidth="1"/>
    <col min="23" max="23" width="17.54296875" customWidth="1"/>
    <col min="24" max="24" width="31.81640625" bestFit="1" customWidth="1"/>
    <col min="25" max="25" width="17.54296875" bestFit="1" customWidth="1"/>
    <col min="26" max="26" width="13.81640625" customWidth="1"/>
    <col min="27" max="27" width="72.453125" bestFit="1" customWidth="1"/>
    <col min="28" max="28" width="28.453125" bestFit="1" customWidth="1"/>
    <col min="31" max="31" width="63.453125" bestFit="1" customWidth="1"/>
    <col min="32" max="32" width="21.1796875" bestFit="1" customWidth="1"/>
  </cols>
  <sheetData>
    <row r="1" spans="1:32" s="1" customFormat="1" x14ac:dyDescent="0.35">
      <c r="A1" s="1" t="s">
        <v>9</v>
      </c>
      <c r="B1" s="1" t="s">
        <v>10</v>
      </c>
      <c r="D1" s="1" t="s">
        <v>29</v>
      </c>
      <c r="E1" s="1" t="s">
        <v>29</v>
      </c>
      <c r="G1" s="1" t="s">
        <v>29</v>
      </c>
      <c r="H1" s="1" t="s">
        <v>2337</v>
      </c>
      <c r="I1" s="1" t="s">
        <v>2338</v>
      </c>
      <c r="K1" s="1" t="s">
        <v>2339</v>
      </c>
      <c r="L1" s="1" t="s">
        <v>2340</v>
      </c>
      <c r="N1" s="1" t="s">
        <v>2339</v>
      </c>
      <c r="O1" s="1" t="s">
        <v>33</v>
      </c>
      <c r="P1" s="1" t="s">
        <v>2341</v>
      </c>
      <c r="R1" s="1" t="s">
        <v>16</v>
      </c>
      <c r="S1" s="1" t="s">
        <v>2342</v>
      </c>
      <c r="U1" s="1" t="s">
        <v>2343</v>
      </c>
      <c r="V1" s="1" t="s">
        <v>2344</v>
      </c>
      <c r="X1" s="1" t="s">
        <v>20</v>
      </c>
      <c r="Y1" s="1" t="s">
        <v>2345</v>
      </c>
      <c r="AA1" s="1" t="s">
        <v>2346</v>
      </c>
      <c r="AB1" s="1" t="s">
        <v>2347</v>
      </c>
      <c r="AE1" s="1" t="s">
        <v>2348</v>
      </c>
      <c r="AF1" s="1" t="s">
        <v>2349</v>
      </c>
    </row>
    <row r="2" spans="1:32" x14ac:dyDescent="0.35">
      <c r="A2" t="s">
        <v>1601</v>
      </c>
      <c r="B2" t="s">
        <v>1602</v>
      </c>
      <c r="D2" t="s">
        <v>57</v>
      </c>
      <c r="E2" t="s">
        <v>2350</v>
      </c>
      <c r="G2" t="s">
        <v>2351</v>
      </c>
      <c r="H2" t="s">
        <v>2352</v>
      </c>
      <c r="I2" t="s">
        <v>1716</v>
      </c>
      <c r="K2" t="s">
        <v>2353</v>
      </c>
      <c r="L2" t="s">
        <v>2354</v>
      </c>
      <c r="O2" t="s">
        <v>153</v>
      </c>
      <c r="P2" t="s">
        <v>153</v>
      </c>
      <c r="R2" t="s">
        <v>2355</v>
      </c>
      <c r="S2" t="s">
        <v>48</v>
      </c>
      <c r="U2" t="s">
        <v>2356</v>
      </c>
      <c r="V2" t="s">
        <v>2357</v>
      </c>
      <c r="X2" t="s">
        <v>1569</v>
      </c>
      <c r="Y2" t="s">
        <v>1570</v>
      </c>
      <c r="AA2" t="s">
        <v>2358</v>
      </c>
      <c r="AB2" t="s">
        <v>2359</v>
      </c>
      <c r="AE2" s="18" t="s">
        <v>2360</v>
      </c>
      <c r="AF2" s="18" t="s">
        <v>2361</v>
      </c>
    </row>
    <row r="3" spans="1:32" x14ac:dyDescent="0.35">
      <c r="A3" t="s">
        <v>1620</v>
      </c>
      <c r="B3" t="s">
        <v>1621</v>
      </c>
      <c r="D3" t="s">
        <v>2362</v>
      </c>
      <c r="E3" t="s">
        <v>2363</v>
      </c>
      <c r="H3" t="s">
        <v>2364</v>
      </c>
      <c r="I3" t="s">
        <v>1667</v>
      </c>
      <c r="K3" t="s">
        <v>2365</v>
      </c>
      <c r="L3" t="s">
        <v>2366</v>
      </c>
      <c r="O3" t="s">
        <v>2367</v>
      </c>
      <c r="P3" t="s">
        <v>2367</v>
      </c>
      <c r="R3" s="21" t="s">
        <v>2368</v>
      </c>
      <c r="S3">
        <v>365</v>
      </c>
      <c r="U3" t="s">
        <v>2369</v>
      </c>
      <c r="V3" t="s">
        <v>1695</v>
      </c>
      <c r="X3" t="s">
        <v>2370</v>
      </c>
      <c r="Y3" t="s">
        <v>2371</v>
      </c>
      <c r="AA3" t="s">
        <v>164</v>
      </c>
      <c r="AE3" s="18" t="s">
        <v>2372</v>
      </c>
      <c r="AF3" s="18" t="s">
        <v>2373</v>
      </c>
    </row>
    <row r="4" spans="1:32" x14ac:dyDescent="0.35">
      <c r="A4" t="s">
        <v>1669</v>
      </c>
      <c r="B4" t="s">
        <v>1670</v>
      </c>
      <c r="D4" t="s">
        <v>2351</v>
      </c>
      <c r="E4" t="s">
        <v>2374</v>
      </c>
      <c r="G4" t="s">
        <v>2362</v>
      </c>
      <c r="H4" t="s">
        <v>2375</v>
      </c>
      <c r="I4" t="s">
        <v>2376</v>
      </c>
      <c r="K4" t="s">
        <v>2377</v>
      </c>
      <c r="L4" t="s">
        <v>2378</v>
      </c>
      <c r="O4" t="s">
        <v>187</v>
      </c>
      <c r="P4" t="s">
        <v>187</v>
      </c>
      <c r="R4" s="22" t="s">
        <v>2379</v>
      </c>
      <c r="S4" s="21" t="s">
        <v>2380</v>
      </c>
      <c r="U4" t="s">
        <v>2381</v>
      </c>
      <c r="V4" t="s">
        <v>2045</v>
      </c>
      <c r="X4" t="s">
        <v>71</v>
      </c>
      <c r="Y4" t="s">
        <v>2382</v>
      </c>
      <c r="AA4" t="s">
        <v>2383</v>
      </c>
      <c r="AB4" t="s">
        <v>2383</v>
      </c>
      <c r="AE4" s="18" t="s">
        <v>2384</v>
      </c>
      <c r="AF4" s="18" t="s">
        <v>2385</v>
      </c>
    </row>
    <row r="5" spans="1:32" x14ac:dyDescent="0.35">
      <c r="A5" t="s">
        <v>1654</v>
      </c>
      <c r="B5" t="s">
        <v>1655</v>
      </c>
      <c r="G5" t="s">
        <v>2351</v>
      </c>
      <c r="H5" t="s">
        <v>2386</v>
      </c>
      <c r="I5" t="s">
        <v>2387</v>
      </c>
      <c r="K5" t="s">
        <v>2388</v>
      </c>
      <c r="L5" t="s">
        <v>2389</v>
      </c>
      <c r="O5" t="s">
        <v>2390</v>
      </c>
      <c r="P5" t="s">
        <v>2390</v>
      </c>
      <c r="R5" s="21" t="s">
        <v>2391</v>
      </c>
      <c r="S5" s="21" t="s">
        <v>2391</v>
      </c>
      <c r="U5" t="s">
        <v>2392</v>
      </c>
      <c r="V5" t="s">
        <v>2393</v>
      </c>
      <c r="X5" t="s">
        <v>2394</v>
      </c>
      <c r="Y5" t="s">
        <v>2395</v>
      </c>
      <c r="AA5" t="s">
        <v>2359</v>
      </c>
      <c r="AE5" s="18" t="s">
        <v>2396</v>
      </c>
      <c r="AF5" s="18" t="s">
        <v>2397</v>
      </c>
    </row>
    <row r="6" spans="1:32" x14ac:dyDescent="0.35">
      <c r="A6" t="s">
        <v>1685</v>
      </c>
      <c r="B6" t="s">
        <v>1693</v>
      </c>
      <c r="H6" t="s">
        <v>2398</v>
      </c>
      <c r="I6" t="s">
        <v>2399</v>
      </c>
      <c r="K6" t="s">
        <v>2400</v>
      </c>
      <c r="L6" t="s">
        <v>2401</v>
      </c>
      <c r="O6" t="s">
        <v>2402</v>
      </c>
      <c r="P6" t="s">
        <v>2402</v>
      </c>
      <c r="R6" s="21" t="s">
        <v>2403</v>
      </c>
      <c r="S6" s="21" t="s">
        <v>2404</v>
      </c>
      <c r="U6" t="s">
        <v>2405</v>
      </c>
      <c r="V6" t="s">
        <v>2406</v>
      </c>
      <c r="X6" t="s">
        <v>2407</v>
      </c>
      <c r="Y6" t="s">
        <v>2408</v>
      </c>
      <c r="AA6" t="s">
        <v>199</v>
      </c>
      <c r="AE6" s="18" t="s">
        <v>2409</v>
      </c>
      <c r="AF6" s="18" t="s">
        <v>2410</v>
      </c>
    </row>
    <row r="7" spans="1:32" x14ac:dyDescent="0.35">
      <c r="A7" t="s">
        <v>1705</v>
      </c>
      <c r="B7" t="s">
        <v>1706</v>
      </c>
      <c r="G7" t="s">
        <v>2362</v>
      </c>
      <c r="H7" t="s">
        <v>2411</v>
      </c>
      <c r="I7" t="s">
        <v>2412</v>
      </c>
      <c r="K7" t="s">
        <v>2413</v>
      </c>
      <c r="L7" t="s">
        <v>2414</v>
      </c>
      <c r="O7" t="s">
        <v>2415</v>
      </c>
      <c r="P7" t="s">
        <v>2415</v>
      </c>
      <c r="R7" s="21" t="s">
        <v>2416</v>
      </c>
      <c r="S7" s="21" t="s">
        <v>2417</v>
      </c>
      <c r="U7" t="s">
        <v>2418</v>
      </c>
      <c r="V7" t="s">
        <v>2419</v>
      </c>
      <c r="X7" t="s">
        <v>2420</v>
      </c>
      <c r="Y7" t="s">
        <v>2421</v>
      </c>
      <c r="AA7" t="s">
        <v>2422</v>
      </c>
      <c r="AB7" t="s">
        <v>2423</v>
      </c>
      <c r="AE7" s="18" t="s">
        <v>2424</v>
      </c>
      <c r="AF7" s="18" t="s">
        <v>2425</v>
      </c>
    </row>
    <row r="8" spans="1:32" x14ac:dyDescent="0.35">
      <c r="A8" t="s">
        <v>1680</v>
      </c>
      <c r="B8" t="s">
        <v>1681</v>
      </c>
      <c r="G8" t="s">
        <v>2351</v>
      </c>
      <c r="H8" t="s">
        <v>2370</v>
      </c>
      <c r="I8" t="s">
        <v>2371</v>
      </c>
      <c r="K8" t="s">
        <v>2426</v>
      </c>
      <c r="L8" t="s">
        <v>2272</v>
      </c>
      <c r="O8" t="s">
        <v>2427</v>
      </c>
      <c r="P8" t="s">
        <v>2427</v>
      </c>
      <c r="R8" s="21" t="s">
        <v>2428</v>
      </c>
      <c r="S8" s="21" t="s">
        <v>2429</v>
      </c>
      <c r="U8" t="s">
        <v>2430</v>
      </c>
      <c r="V8" t="s">
        <v>2431</v>
      </c>
      <c r="X8" t="s">
        <v>2432</v>
      </c>
      <c r="Y8" t="s">
        <v>2433</v>
      </c>
      <c r="AA8" t="s">
        <v>2423</v>
      </c>
      <c r="AE8" s="18" t="s">
        <v>2434</v>
      </c>
      <c r="AF8" s="18" t="s">
        <v>2435</v>
      </c>
    </row>
    <row r="9" spans="1:32" x14ac:dyDescent="0.35">
      <c r="A9" t="s">
        <v>1710</v>
      </c>
      <c r="B9" t="s">
        <v>1788</v>
      </c>
      <c r="H9" t="s">
        <v>2436</v>
      </c>
      <c r="I9" t="s">
        <v>2437</v>
      </c>
      <c r="K9" t="s">
        <v>2438</v>
      </c>
      <c r="L9" t="s">
        <v>2439</v>
      </c>
      <c r="O9" t="s">
        <v>238</v>
      </c>
      <c r="P9" t="s">
        <v>238</v>
      </c>
      <c r="R9" s="21" t="s">
        <v>2440</v>
      </c>
      <c r="S9" s="21" t="s">
        <v>2441</v>
      </c>
      <c r="U9" t="s">
        <v>72</v>
      </c>
      <c r="V9" t="s">
        <v>2442</v>
      </c>
      <c r="X9" t="s">
        <v>2443</v>
      </c>
      <c r="Y9" t="s">
        <v>2444</v>
      </c>
      <c r="AA9" t="s">
        <v>2445</v>
      </c>
      <c r="AE9" s="18" t="s">
        <v>2446</v>
      </c>
      <c r="AF9" s="18" t="s">
        <v>2447</v>
      </c>
    </row>
    <row r="10" spans="1:32" x14ac:dyDescent="0.35">
      <c r="A10" t="s">
        <v>1697</v>
      </c>
      <c r="B10" t="s">
        <v>1718</v>
      </c>
      <c r="G10" t="s">
        <v>2362</v>
      </c>
      <c r="H10" t="s">
        <v>71</v>
      </c>
      <c r="I10" t="s">
        <v>2382</v>
      </c>
      <c r="K10" t="s">
        <v>2448</v>
      </c>
      <c r="L10" t="s">
        <v>2021</v>
      </c>
      <c r="O10" t="s">
        <v>251</v>
      </c>
      <c r="P10" t="s">
        <v>251</v>
      </c>
      <c r="R10" s="21" t="s">
        <v>2449</v>
      </c>
      <c r="S10" s="21" t="s">
        <v>2450</v>
      </c>
      <c r="U10" t="s">
        <v>2451</v>
      </c>
      <c r="V10" t="s">
        <v>2452</v>
      </c>
      <c r="X10" t="s">
        <v>51</v>
      </c>
      <c r="Y10" t="s">
        <v>2453</v>
      </c>
      <c r="AA10" t="s">
        <v>2454</v>
      </c>
      <c r="AB10" t="s">
        <v>2454</v>
      </c>
      <c r="AE10" s="18" t="s">
        <v>2455</v>
      </c>
      <c r="AF10" s="18" t="s">
        <v>2456</v>
      </c>
    </row>
    <row r="11" spans="1:32" x14ac:dyDescent="0.35">
      <c r="A11" t="s">
        <v>1795</v>
      </c>
      <c r="B11" t="s">
        <v>1796</v>
      </c>
      <c r="G11" t="s">
        <v>2362</v>
      </c>
      <c r="H11" t="s">
        <v>2407</v>
      </c>
      <c r="I11" t="s">
        <v>2408</v>
      </c>
      <c r="K11" t="s">
        <v>2457</v>
      </c>
      <c r="L11" t="s">
        <v>2458</v>
      </c>
      <c r="O11" t="s">
        <v>265</v>
      </c>
      <c r="P11" t="s">
        <v>265</v>
      </c>
      <c r="R11" s="21" t="s">
        <v>2459</v>
      </c>
      <c r="S11" s="21" t="s">
        <v>2460</v>
      </c>
      <c r="U11" t="s">
        <v>2461</v>
      </c>
      <c r="V11" t="s">
        <v>2462</v>
      </c>
      <c r="X11" t="s">
        <v>2463</v>
      </c>
      <c r="Y11" t="s">
        <v>2464</v>
      </c>
      <c r="AA11" t="s">
        <v>2465</v>
      </c>
      <c r="AE11" s="18" t="s">
        <v>2466</v>
      </c>
      <c r="AF11" s="18" t="s">
        <v>2467</v>
      </c>
    </row>
    <row r="12" spans="1:32" x14ac:dyDescent="0.35">
      <c r="A12" t="s">
        <v>1722</v>
      </c>
      <c r="B12" t="s">
        <v>1803</v>
      </c>
      <c r="H12" t="s">
        <v>2468</v>
      </c>
      <c r="I12" t="s">
        <v>2469</v>
      </c>
      <c r="O12" t="s">
        <v>279</v>
      </c>
      <c r="P12" t="s">
        <v>279</v>
      </c>
      <c r="R12" s="21" t="s">
        <v>2470</v>
      </c>
      <c r="S12" s="21" t="s">
        <v>2471</v>
      </c>
      <c r="U12" t="s">
        <v>2472</v>
      </c>
      <c r="V12" t="s">
        <v>2473</v>
      </c>
      <c r="X12" t="s">
        <v>2474</v>
      </c>
      <c r="Y12" t="s">
        <v>2475</v>
      </c>
      <c r="AA12" t="s">
        <v>2476</v>
      </c>
      <c r="AE12" s="18" t="s">
        <v>2477</v>
      </c>
      <c r="AF12" s="18" t="s">
        <v>2478</v>
      </c>
    </row>
    <row r="13" spans="1:32" x14ac:dyDescent="0.35">
      <c r="A13" t="s">
        <v>1810</v>
      </c>
      <c r="B13" t="s">
        <v>1811</v>
      </c>
      <c r="G13" t="s">
        <v>2351</v>
      </c>
      <c r="H13" t="s">
        <v>2443</v>
      </c>
      <c r="I13" t="s">
        <v>2444</v>
      </c>
      <c r="O13" t="s">
        <v>300</v>
      </c>
      <c r="P13" t="s">
        <v>300</v>
      </c>
      <c r="R13" s="21" t="s">
        <v>2479</v>
      </c>
      <c r="S13" s="21" t="s">
        <v>2480</v>
      </c>
      <c r="U13" t="s">
        <v>2481</v>
      </c>
      <c r="V13" t="s">
        <v>2482</v>
      </c>
      <c r="X13" t="s">
        <v>2483</v>
      </c>
      <c r="Y13" t="s">
        <v>2484</v>
      </c>
      <c r="AA13" t="s">
        <v>247</v>
      </c>
      <c r="AE13" s="18" t="s">
        <v>2485</v>
      </c>
      <c r="AF13" s="18" t="s">
        <v>2486</v>
      </c>
    </row>
    <row r="14" spans="1:32" x14ac:dyDescent="0.35">
      <c r="A14" t="s">
        <v>1732</v>
      </c>
      <c r="B14" t="s">
        <v>1825</v>
      </c>
      <c r="H14" t="s">
        <v>2463</v>
      </c>
      <c r="I14" t="s">
        <v>2464</v>
      </c>
      <c r="O14" t="s">
        <v>311</v>
      </c>
      <c r="P14" t="s">
        <v>311</v>
      </c>
      <c r="R14" s="21" t="s">
        <v>2487</v>
      </c>
      <c r="S14" s="21" t="s">
        <v>2488</v>
      </c>
      <c r="U14" t="s">
        <v>2489</v>
      </c>
      <c r="V14" t="s">
        <v>2490</v>
      </c>
      <c r="X14" t="s">
        <v>2491</v>
      </c>
      <c r="Y14" t="s">
        <v>2492</v>
      </c>
      <c r="AA14" t="s">
        <v>2493</v>
      </c>
      <c r="AB14" t="s">
        <v>2493</v>
      </c>
      <c r="AE14" s="18" t="s">
        <v>2494</v>
      </c>
      <c r="AF14" s="18" t="s">
        <v>2495</v>
      </c>
    </row>
    <row r="15" spans="1:32" x14ac:dyDescent="0.35">
      <c r="A15" t="s">
        <v>1739</v>
      </c>
      <c r="B15" t="s">
        <v>1832</v>
      </c>
      <c r="G15" t="s">
        <v>2362</v>
      </c>
      <c r="H15" t="s">
        <v>51</v>
      </c>
      <c r="I15" t="s">
        <v>2453</v>
      </c>
      <c r="O15" t="s">
        <v>322</v>
      </c>
      <c r="P15" t="s">
        <v>322</v>
      </c>
      <c r="R15" s="21" t="s">
        <v>2496</v>
      </c>
      <c r="S15" s="21" t="s">
        <v>2497</v>
      </c>
      <c r="U15" t="s">
        <v>2498</v>
      </c>
      <c r="V15" t="s">
        <v>2499</v>
      </c>
      <c r="X15" t="s">
        <v>2500</v>
      </c>
      <c r="Y15" t="s">
        <v>2501</v>
      </c>
      <c r="AA15" t="s">
        <v>260</v>
      </c>
      <c r="AE15" s="18" t="s">
        <v>2502</v>
      </c>
      <c r="AF15" s="18" t="s">
        <v>783</v>
      </c>
    </row>
    <row r="16" spans="1:32" x14ac:dyDescent="0.35">
      <c r="A16" t="s">
        <v>1747</v>
      </c>
      <c r="B16" t="s">
        <v>1839</v>
      </c>
      <c r="G16" t="s">
        <v>57</v>
      </c>
      <c r="H16" t="s">
        <v>2474</v>
      </c>
      <c r="I16" t="s">
        <v>2475</v>
      </c>
      <c r="O16" t="s">
        <v>2503</v>
      </c>
      <c r="P16" t="s">
        <v>2503</v>
      </c>
      <c r="R16" s="21" t="s">
        <v>2504</v>
      </c>
      <c r="S16" s="21" t="s">
        <v>2505</v>
      </c>
      <c r="U16" t="s">
        <v>2506</v>
      </c>
      <c r="V16" t="s">
        <v>2507</v>
      </c>
      <c r="X16" t="s">
        <v>2508</v>
      </c>
      <c r="Y16" t="s">
        <v>2509</v>
      </c>
      <c r="AA16" t="s">
        <v>2510</v>
      </c>
      <c r="AB16" t="s">
        <v>2510</v>
      </c>
      <c r="AE16" s="18" t="s">
        <v>2511</v>
      </c>
      <c r="AF16" s="18" t="s">
        <v>2512</v>
      </c>
    </row>
    <row r="17" spans="1:32" x14ac:dyDescent="0.35">
      <c r="A17" t="s">
        <v>1817</v>
      </c>
      <c r="B17" t="s">
        <v>1818</v>
      </c>
      <c r="G17" t="s">
        <v>2351</v>
      </c>
      <c r="H17" t="s">
        <v>2491</v>
      </c>
      <c r="I17" t="s">
        <v>2492</v>
      </c>
      <c r="O17" t="s">
        <v>2513</v>
      </c>
      <c r="P17" t="s">
        <v>2513</v>
      </c>
      <c r="R17" s="21" t="s">
        <v>2514</v>
      </c>
      <c r="S17" s="21" t="s">
        <v>2515</v>
      </c>
      <c r="U17" t="s">
        <v>2516</v>
      </c>
      <c r="V17" t="s">
        <v>2517</v>
      </c>
      <c r="X17" t="s">
        <v>2518</v>
      </c>
      <c r="Y17" t="s">
        <v>2519</v>
      </c>
      <c r="AA17" t="s">
        <v>2520</v>
      </c>
      <c r="AE17" s="18" t="s">
        <v>2521</v>
      </c>
      <c r="AF17" s="18" t="s">
        <v>2522</v>
      </c>
    </row>
    <row r="18" spans="1:32" x14ac:dyDescent="0.35">
      <c r="A18" t="s">
        <v>1764</v>
      </c>
      <c r="B18" t="s">
        <v>1857</v>
      </c>
      <c r="H18" t="s">
        <v>2523</v>
      </c>
      <c r="I18" t="s">
        <v>2524</v>
      </c>
      <c r="O18" t="s">
        <v>2525</v>
      </c>
      <c r="P18" t="s">
        <v>2525</v>
      </c>
      <c r="R18" s="21" t="s">
        <v>49</v>
      </c>
      <c r="S18" s="21" t="s">
        <v>2526</v>
      </c>
      <c r="U18" t="s">
        <v>2527</v>
      </c>
      <c r="V18" t="s">
        <v>2528</v>
      </c>
      <c r="X18" t="s">
        <v>2529</v>
      </c>
      <c r="Y18" t="s">
        <v>2530</v>
      </c>
      <c r="AA18" t="s">
        <v>275</v>
      </c>
      <c r="AE18" s="18" t="s">
        <v>2531</v>
      </c>
      <c r="AF18" s="30" t="s">
        <v>2532</v>
      </c>
    </row>
    <row r="19" spans="1:32" x14ac:dyDescent="0.35">
      <c r="A19" t="s">
        <v>1757</v>
      </c>
      <c r="B19" t="s">
        <v>1852</v>
      </c>
      <c r="G19" t="s">
        <v>2362</v>
      </c>
      <c r="H19" t="s">
        <v>2533</v>
      </c>
      <c r="I19" t="s">
        <v>2534</v>
      </c>
      <c r="O19" t="s">
        <v>2535</v>
      </c>
      <c r="P19" t="s">
        <v>2535</v>
      </c>
      <c r="R19" s="21" t="s">
        <v>2536</v>
      </c>
      <c r="S19" s="21" t="s">
        <v>2537</v>
      </c>
      <c r="U19" t="s">
        <v>2538</v>
      </c>
      <c r="V19" t="s">
        <v>2274</v>
      </c>
      <c r="X19" t="s">
        <v>2539</v>
      </c>
      <c r="Y19" t="s">
        <v>2540</v>
      </c>
      <c r="AA19" t="s">
        <v>2541</v>
      </c>
      <c r="AE19" s="18" t="s">
        <v>2542</v>
      </c>
      <c r="AF19" s="18" t="s">
        <v>785</v>
      </c>
    </row>
    <row r="20" spans="1:32" x14ac:dyDescent="0.35">
      <c r="A20" t="s">
        <v>1773</v>
      </c>
      <c r="B20" t="s">
        <v>1863</v>
      </c>
      <c r="G20" t="s">
        <v>2351</v>
      </c>
      <c r="H20" t="s">
        <v>2543</v>
      </c>
      <c r="I20" t="s">
        <v>2543</v>
      </c>
      <c r="O20" t="s">
        <v>2544</v>
      </c>
      <c r="P20" t="s">
        <v>2544</v>
      </c>
      <c r="R20" s="21" t="s">
        <v>2545</v>
      </c>
      <c r="S20" s="21" t="s">
        <v>2546</v>
      </c>
      <c r="U20" t="s">
        <v>2547</v>
      </c>
      <c r="V20" t="s">
        <v>2014</v>
      </c>
      <c r="X20" t="s">
        <v>2543</v>
      </c>
      <c r="Y20" t="s">
        <v>2548</v>
      </c>
      <c r="AA20" t="s">
        <v>2549</v>
      </c>
      <c r="AE20" s="18" t="s">
        <v>2550</v>
      </c>
      <c r="AF20" s="18" t="s">
        <v>2551</v>
      </c>
    </row>
    <row r="21" spans="1:32" x14ac:dyDescent="0.35">
      <c r="A21" t="s">
        <v>1806</v>
      </c>
      <c r="B21" t="s">
        <v>1901</v>
      </c>
      <c r="G21" t="s">
        <v>2351</v>
      </c>
      <c r="H21" t="s">
        <v>2552</v>
      </c>
      <c r="I21" t="s">
        <v>2553</v>
      </c>
      <c r="O21" t="s">
        <v>2554</v>
      </c>
      <c r="P21" t="s">
        <v>2554</v>
      </c>
      <c r="R21" s="21" t="s">
        <v>2555</v>
      </c>
      <c r="S21" s="21" t="s">
        <v>2556</v>
      </c>
      <c r="U21" t="s">
        <v>2042</v>
      </c>
      <c r="V21" t="s">
        <v>2042</v>
      </c>
      <c r="X21" t="s">
        <v>2557</v>
      </c>
      <c r="Y21" t="s">
        <v>2557</v>
      </c>
      <c r="AA21" t="s">
        <v>287</v>
      </c>
      <c r="AE21" s="18" t="s">
        <v>2558</v>
      </c>
      <c r="AF21" s="18" t="s">
        <v>2559</v>
      </c>
    </row>
    <row r="22" spans="1:32" x14ac:dyDescent="0.35">
      <c r="A22" t="s">
        <v>1894</v>
      </c>
      <c r="B22" t="s">
        <v>1895</v>
      </c>
      <c r="G22" t="s">
        <v>2362</v>
      </c>
      <c r="H22" t="s">
        <v>2560</v>
      </c>
      <c r="I22" t="s">
        <v>2561</v>
      </c>
      <c r="O22" t="s">
        <v>301</v>
      </c>
      <c r="P22" t="s">
        <v>301</v>
      </c>
      <c r="R22" s="21" t="s">
        <v>2562</v>
      </c>
      <c r="S22" s="21" t="s">
        <v>2563</v>
      </c>
      <c r="U22" t="s">
        <v>2564</v>
      </c>
      <c r="V22" t="s">
        <v>2565</v>
      </c>
      <c r="X22" t="s">
        <v>70</v>
      </c>
      <c r="Y22" t="s">
        <v>70</v>
      </c>
      <c r="AA22" t="s">
        <v>2566</v>
      </c>
      <c r="AB22" t="s">
        <v>2566</v>
      </c>
      <c r="AE22" s="18" t="s">
        <v>2567</v>
      </c>
      <c r="AF22" s="18" t="s">
        <v>1678</v>
      </c>
    </row>
    <row r="23" spans="1:32" x14ac:dyDescent="0.35">
      <c r="A23" t="s">
        <v>1782</v>
      </c>
      <c r="B23" t="s">
        <v>1869</v>
      </c>
      <c r="G23" t="s">
        <v>57</v>
      </c>
      <c r="H23" t="s">
        <v>2568</v>
      </c>
      <c r="I23" t="s">
        <v>2569</v>
      </c>
      <c r="O23" t="s">
        <v>2570</v>
      </c>
      <c r="P23" t="s">
        <v>2570</v>
      </c>
      <c r="R23" s="21" t="s">
        <v>2571</v>
      </c>
      <c r="S23" s="21" t="s">
        <v>2488</v>
      </c>
      <c r="U23" t="s">
        <v>2572</v>
      </c>
      <c r="V23" t="s">
        <v>2573</v>
      </c>
      <c r="X23" t="s">
        <v>2574</v>
      </c>
      <c r="Y23" t="s">
        <v>2575</v>
      </c>
      <c r="AA23" t="s">
        <v>2576</v>
      </c>
      <c r="AE23" s="18" t="s">
        <v>2577</v>
      </c>
      <c r="AF23" s="18" t="s">
        <v>2578</v>
      </c>
    </row>
    <row r="24" spans="1:32" x14ac:dyDescent="0.35">
      <c r="A24" t="s">
        <v>1724</v>
      </c>
      <c r="B24" t="s">
        <v>1876</v>
      </c>
      <c r="G24" t="s">
        <v>2362</v>
      </c>
      <c r="H24" t="s">
        <v>2579</v>
      </c>
      <c r="I24" t="s">
        <v>2580</v>
      </c>
      <c r="O24" t="s">
        <v>367</v>
      </c>
      <c r="P24" t="s">
        <v>367</v>
      </c>
      <c r="R24" s="21" t="s">
        <v>2581</v>
      </c>
      <c r="S24" s="21" t="s">
        <v>2582</v>
      </c>
      <c r="X24" t="s">
        <v>2583</v>
      </c>
      <c r="Y24" t="s">
        <v>2584</v>
      </c>
      <c r="AA24" t="s">
        <v>2585</v>
      </c>
      <c r="AE24" s="19" t="s">
        <v>2586</v>
      </c>
      <c r="AF24" s="19" t="s">
        <v>809</v>
      </c>
    </row>
    <row r="25" spans="1:32" x14ac:dyDescent="0.35">
      <c r="A25" t="s">
        <v>1799</v>
      </c>
      <c r="B25" t="s">
        <v>1889</v>
      </c>
      <c r="G25" t="s">
        <v>57</v>
      </c>
      <c r="H25" t="s">
        <v>2587</v>
      </c>
      <c r="I25" t="s">
        <v>2588</v>
      </c>
      <c r="O25" t="s">
        <v>375</v>
      </c>
      <c r="P25" t="s">
        <v>375</v>
      </c>
      <c r="R25" s="21" t="s">
        <v>2589</v>
      </c>
      <c r="S25" s="21" t="s">
        <v>2590</v>
      </c>
      <c r="AA25" t="s">
        <v>2591</v>
      </c>
      <c r="AE25" s="18" t="s">
        <v>2592</v>
      </c>
      <c r="AF25" s="18" t="s">
        <v>787</v>
      </c>
    </row>
    <row r="26" spans="1:32" x14ac:dyDescent="0.35">
      <c r="A26" t="s">
        <v>1880</v>
      </c>
      <c r="B26" t="s">
        <v>1881</v>
      </c>
      <c r="H26" t="s">
        <v>2593</v>
      </c>
      <c r="I26" t="s">
        <v>2594</v>
      </c>
      <c r="O26" t="s">
        <v>2595</v>
      </c>
      <c r="P26" t="s">
        <v>2595</v>
      </c>
      <c r="R26" s="21" t="s">
        <v>2596</v>
      </c>
      <c r="S26" s="21" t="s">
        <v>2597</v>
      </c>
      <c r="AA26" t="s">
        <v>2598</v>
      </c>
      <c r="AE26" s="18" t="s">
        <v>2599</v>
      </c>
      <c r="AF26" s="18" t="s">
        <v>789</v>
      </c>
    </row>
    <row r="27" spans="1:32" x14ac:dyDescent="0.35">
      <c r="A27" t="s">
        <v>1828</v>
      </c>
      <c r="B27" t="s">
        <v>1927</v>
      </c>
      <c r="H27" t="s">
        <v>57</v>
      </c>
      <c r="I27" t="s">
        <v>57</v>
      </c>
      <c r="O27" t="s">
        <v>2600</v>
      </c>
      <c r="P27" t="s">
        <v>2600</v>
      </c>
      <c r="R27" s="21" t="s">
        <v>2601</v>
      </c>
      <c r="S27" s="21" t="s">
        <v>2602</v>
      </c>
      <c r="AA27" t="s">
        <v>2603</v>
      </c>
      <c r="AB27" t="s">
        <v>2603</v>
      </c>
      <c r="AE27" s="18" t="s">
        <v>2604</v>
      </c>
      <c r="AF27" s="18" t="s">
        <v>791</v>
      </c>
    </row>
    <row r="28" spans="1:32" x14ac:dyDescent="0.35">
      <c r="A28" t="s">
        <v>1821</v>
      </c>
      <c r="B28" t="s">
        <v>1922</v>
      </c>
      <c r="H28" t="s">
        <v>2351</v>
      </c>
      <c r="I28" t="s">
        <v>2374</v>
      </c>
      <c r="O28" t="s">
        <v>2605</v>
      </c>
      <c r="P28" t="s">
        <v>2605</v>
      </c>
      <c r="R28" s="21" t="s">
        <v>2606</v>
      </c>
      <c r="S28" s="21" t="s">
        <v>284</v>
      </c>
      <c r="AA28" t="s">
        <v>2607</v>
      </c>
      <c r="AE28" s="18" t="s">
        <v>2608</v>
      </c>
      <c r="AF28" s="18" t="s">
        <v>793</v>
      </c>
    </row>
    <row r="29" spans="1:32" x14ac:dyDescent="0.35">
      <c r="A29" t="s">
        <v>1913</v>
      </c>
      <c r="B29" t="s">
        <v>1914</v>
      </c>
      <c r="G29" t="s">
        <v>2351</v>
      </c>
      <c r="H29" t="s">
        <v>2609</v>
      </c>
      <c r="I29" t="s">
        <v>2609</v>
      </c>
      <c r="O29" t="s">
        <v>2610</v>
      </c>
      <c r="P29" t="s">
        <v>2610</v>
      </c>
      <c r="R29" s="21" t="s">
        <v>2611</v>
      </c>
      <c r="S29" s="21" t="s">
        <v>2612</v>
      </c>
      <c r="AA29" t="s">
        <v>2613</v>
      </c>
      <c r="AE29" s="18" t="s">
        <v>2614</v>
      </c>
      <c r="AF29" s="18" t="s">
        <v>795</v>
      </c>
    </row>
    <row r="30" spans="1:32" x14ac:dyDescent="0.35">
      <c r="A30" t="s">
        <v>1814</v>
      </c>
      <c r="B30" t="s">
        <v>1909</v>
      </c>
      <c r="G30" t="s">
        <v>2362</v>
      </c>
      <c r="H30" t="s">
        <v>1633</v>
      </c>
      <c r="I30" t="s">
        <v>2615</v>
      </c>
      <c r="O30" t="s">
        <v>333</v>
      </c>
      <c r="P30" t="s">
        <v>333</v>
      </c>
      <c r="R30" s="21" t="s">
        <v>2616</v>
      </c>
      <c r="S30" s="21" t="s">
        <v>2617</v>
      </c>
      <c r="AA30" t="s">
        <v>2618</v>
      </c>
      <c r="AE30" s="18" t="s">
        <v>2619</v>
      </c>
      <c r="AF30" s="18" t="s">
        <v>797</v>
      </c>
    </row>
    <row r="31" spans="1:32" x14ac:dyDescent="0.35">
      <c r="A31" t="s">
        <v>1946</v>
      </c>
      <c r="B31" t="s">
        <v>1947</v>
      </c>
      <c r="G31" t="s">
        <v>57</v>
      </c>
      <c r="H31" t="s">
        <v>2620</v>
      </c>
      <c r="I31" t="s">
        <v>2621</v>
      </c>
      <c r="O31" t="s">
        <v>384</v>
      </c>
      <c r="P31" t="s">
        <v>384</v>
      </c>
      <c r="R31" s="21" t="s">
        <v>2622</v>
      </c>
      <c r="S31" s="21" t="s">
        <v>2623</v>
      </c>
      <c r="AA31" t="s">
        <v>2624</v>
      </c>
      <c r="AE31" s="18" t="s">
        <v>2625</v>
      </c>
      <c r="AF31" s="18" t="s">
        <v>799</v>
      </c>
    </row>
    <row r="32" spans="1:32" x14ac:dyDescent="0.35">
      <c r="A32" t="s">
        <v>2184</v>
      </c>
      <c r="B32" t="s">
        <v>2262</v>
      </c>
      <c r="G32" t="s">
        <v>2351</v>
      </c>
      <c r="H32" t="s">
        <v>2626</v>
      </c>
      <c r="I32" t="s">
        <v>2627</v>
      </c>
      <c r="O32" t="s">
        <v>2628</v>
      </c>
      <c r="P32" t="s">
        <v>2628</v>
      </c>
      <c r="R32" s="21" t="s">
        <v>2629</v>
      </c>
      <c r="S32" s="21" t="s">
        <v>2630</v>
      </c>
      <c r="AA32" t="s">
        <v>308</v>
      </c>
      <c r="AE32" s="18" t="s">
        <v>2631</v>
      </c>
      <c r="AF32" s="18" t="s">
        <v>801</v>
      </c>
    </row>
    <row r="33" spans="1:32" x14ac:dyDescent="0.35">
      <c r="A33" t="s">
        <v>1842</v>
      </c>
      <c r="B33" t="s">
        <v>1941</v>
      </c>
      <c r="G33" t="s">
        <v>2362</v>
      </c>
      <c r="H33" t="s">
        <v>2632</v>
      </c>
      <c r="I33" t="s">
        <v>2633</v>
      </c>
      <c r="O33" t="s">
        <v>388</v>
      </c>
      <c r="P33" t="s">
        <v>388</v>
      </c>
      <c r="R33" s="21" t="s">
        <v>2634</v>
      </c>
      <c r="S33" s="21" t="s">
        <v>2635</v>
      </c>
      <c r="AA33" t="s">
        <v>319</v>
      </c>
      <c r="AB33" t="s">
        <v>319</v>
      </c>
      <c r="AE33" s="18" t="s">
        <v>2636</v>
      </c>
      <c r="AF33" s="18" t="s">
        <v>803</v>
      </c>
    </row>
    <row r="34" spans="1:32" x14ac:dyDescent="0.35">
      <c r="A34" t="s">
        <v>1835</v>
      </c>
      <c r="B34" t="s">
        <v>1933</v>
      </c>
      <c r="G34" t="s">
        <v>2351</v>
      </c>
      <c r="H34" t="s">
        <v>165</v>
      </c>
      <c r="I34" t="s">
        <v>2637</v>
      </c>
      <c r="O34" t="s">
        <v>392</v>
      </c>
      <c r="P34" t="s">
        <v>392</v>
      </c>
      <c r="R34" s="21" t="s">
        <v>2638</v>
      </c>
      <c r="S34" s="21" t="s">
        <v>2639</v>
      </c>
      <c r="AA34" t="s">
        <v>2640</v>
      </c>
      <c r="AE34" s="18" t="s">
        <v>2641</v>
      </c>
      <c r="AF34" s="18" t="s">
        <v>805</v>
      </c>
    </row>
    <row r="35" spans="1:32" x14ac:dyDescent="0.35">
      <c r="A35" t="s">
        <v>1952</v>
      </c>
      <c r="B35" t="s">
        <v>1953</v>
      </c>
      <c r="H35" t="s">
        <v>2642</v>
      </c>
      <c r="I35" t="s">
        <v>2643</v>
      </c>
      <c r="O35" t="s">
        <v>312</v>
      </c>
      <c r="P35" t="s">
        <v>312</v>
      </c>
      <c r="R35" s="21" t="s">
        <v>2644</v>
      </c>
      <c r="S35" s="21" t="s">
        <v>2645</v>
      </c>
      <c r="AA35" t="s">
        <v>2646</v>
      </c>
      <c r="AE35" s="18" t="s">
        <v>2647</v>
      </c>
      <c r="AF35" s="18" t="s">
        <v>807</v>
      </c>
    </row>
    <row r="36" spans="1:32" x14ac:dyDescent="0.35">
      <c r="A36" t="s">
        <v>1845</v>
      </c>
      <c r="B36" t="s">
        <v>1846</v>
      </c>
      <c r="G36" t="s">
        <v>57</v>
      </c>
      <c r="H36" t="s">
        <v>2648</v>
      </c>
      <c r="I36" t="s">
        <v>2649</v>
      </c>
      <c r="O36" t="s">
        <v>396</v>
      </c>
      <c r="P36" t="s">
        <v>396</v>
      </c>
      <c r="R36" s="21" t="s">
        <v>2650</v>
      </c>
      <c r="S36" s="21" t="s">
        <v>2651</v>
      </c>
      <c r="AA36" t="s">
        <v>2652</v>
      </c>
      <c r="AE36" s="18" t="s">
        <v>2653</v>
      </c>
      <c r="AF36" s="18" t="s">
        <v>2654</v>
      </c>
    </row>
    <row r="37" spans="1:32" x14ac:dyDescent="0.35">
      <c r="A37" t="s">
        <v>1960</v>
      </c>
      <c r="B37" t="s">
        <v>1961</v>
      </c>
      <c r="H37" t="s">
        <v>2655</v>
      </c>
      <c r="I37" t="s">
        <v>2656</v>
      </c>
      <c r="O37" t="s">
        <v>405</v>
      </c>
      <c r="P37" t="s">
        <v>405</v>
      </c>
      <c r="R37" s="21" t="s">
        <v>2657</v>
      </c>
      <c r="S37" s="21" t="s">
        <v>2657</v>
      </c>
      <c r="AA37" t="s">
        <v>2658</v>
      </c>
      <c r="AE37" s="18" t="s">
        <v>2659</v>
      </c>
      <c r="AF37" s="18" t="s">
        <v>2660</v>
      </c>
    </row>
    <row r="38" spans="1:32" x14ac:dyDescent="0.35">
      <c r="A38" t="s">
        <v>1979</v>
      </c>
      <c r="B38" t="s">
        <v>1980</v>
      </c>
      <c r="G38" t="s">
        <v>57</v>
      </c>
      <c r="H38" t="s">
        <v>2661</v>
      </c>
      <c r="I38" t="s">
        <v>2662</v>
      </c>
      <c r="O38" t="s">
        <v>447</v>
      </c>
      <c r="P38" t="s">
        <v>447</v>
      </c>
      <c r="R38" s="21" t="s">
        <v>2663</v>
      </c>
      <c r="S38" s="21" t="s">
        <v>2664</v>
      </c>
      <c r="AA38" t="s">
        <v>329</v>
      </c>
      <c r="AB38" t="s">
        <v>329</v>
      </c>
      <c r="AE38" s="18" t="s">
        <v>2665</v>
      </c>
      <c r="AF38" s="18" t="s">
        <v>1631</v>
      </c>
    </row>
    <row r="39" spans="1:32" x14ac:dyDescent="0.35">
      <c r="A39" t="s">
        <v>2006</v>
      </c>
      <c r="B39" t="s">
        <v>2007</v>
      </c>
      <c r="G39" t="s">
        <v>2362</v>
      </c>
      <c r="H39" t="s">
        <v>2666</v>
      </c>
      <c r="I39" t="s">
        <v>2575</v>
      </c>
      <c r="O39" t="s">
        <v>455</v>
      </c>
      <c r="P39" t="s">
        <v>455</v>
      </c>
      <c r="R39" s="21" t="s">
        <v>2667</v>
      </c>
      <c r="S39" s="21" t="s">
        <v>2668</v>
      </c>
      <c r="AA39" t="s">
        <v>2669</v>
      </c>
      <c r="AE39" s="18" t="s">
        <v>2670</v>
      </c>
      <c r="AF39" s="18" t="s">
        <v>1597</v>
      </c>
    </row>
    <row r="40" spans="1:32" x14ac:dyDescent="0.35">
      <c r="A40" t="s">
        <v>2011</v>
      </c>
      <c r="B40" t="s">
        <v>2012</v>
      </c>
      <c r="H40" t="s">
        <v>73</v>
      </c>
      <c r="I40" t="s">
        <v>2671</v>
      </c>
      <c r="O40" t="s">
        <v>415</v>
      </c>
      <c r="P40" t="s">
        <v>415</v>
      </c>
      <c r="R40" s="21" t="s">
        <v>2672</v>
      </c>
      <c r="S40" s="21" t="s">
        <v>2673</v>
      </c>
      <c r="AA40" t="s">
        <v>2674</v>
      </c>
      <c r="AE40" s="18" t="s">
        <v>2675</v>
      </c>
      <c r="AF40" s="18" t="s">
        <v>2676</v>
      </c>
    </row>
    <row r="41" spans="1:32" x14ac:dyDescent="0.35">
      <c r="A41" t="s">
        <v>1849</v>
      </c>
      <c r="B41" t="s">
        <v>1967</v>
      </c>
      <c r="H41" t="s">
        <v>2677</v>
      </c>
      <c r="I41" t="s">
        <v>2584</v>
      </c>
      <c r="O41" t="s">
        <v>423</v>
      </c>
      <c r="P41" t="s">
        <v>423</v>
      </c>
      <c r="R41" s="21" t="s">
        <v>2678</v>
      </c>
      <c r="S41" s="21" t="s">
        <v>2679</v>
      </c>
      <c r="AA41" t="s">
        <v>2680</v>
      </c>
      <c r="AB41" t="s">
        <v>2680</v>
      </c>
      <c r="AE41" s="18" t="s">
        <v>2681</v>
      </c>
      <c r="AF41" s="18" t="s">
        <v>811</v>
      </c>
    </row>
    <row r="42" spans="1:32" x14ac:dyDescent="0.35">
      <c r="A42" t="s">
        <v>1837</v>
      </c>
      <c r="B42" t="s">
        <v>1987</v>
      </c>
      <c r="G42" t="s">
        <v>57</v>
      </c>
      <c r="H42" t="s">
        <v>2682</v>
      </c>
      <c r="I42" t="s">
        <v>2683</v>
      </c>
      <c r="O42" t="s">
        <v>2684</v>
      </c>
      <c r="P42" t="s">
        <v>2684</v>
      </c>
      <c r="R42" s="21" t="s">
        <v>2685</v>
      </c>
      <c r="S42" s="21" t="s">
        <v>2686</v>
      </c>
      <c r="AA42" t="s">
        <v>338</v>
      </c>
      <c r="AB42" t="s">
        <v>338</v>
      </c>
      <c r="AE42" s="18" t="s">
        <v>2687</v>
      </c>
      <c r="AF42" s="18" t="s">
        <v>813</v>
      </c>
    </row>
    <row r="43" spans="1:32" x14ac:dyDescent="0.35">
      <c r="A43" t="s">
        <v>1766</v>
      </c>
      <c r="B43" t="s">
        <v>1994</v>
      </c>
      <c r="O43" t="s">
        <v>472</v>
      </c>
      <c r="P43" t="s">
        <v>472</v>
      </c>
      <c r="R43" s="21" t="s">
        <v>2688</v>
      </c>
      <c r="S43" s="21" t="s">
        <v>2688</v>
      </c>
      <c r="AA43" t="s">
        <v>2689</v>
      </c>
      <c r="AE43" s="18" t="s">
        <v>2690</v>
      </c>
      <c r="AF43" s="18" t="s">
        <v>815</v>
      </c>
    </row>
    <row r="44" spans="1:32" x14ac:dyDescent="0.35">
      <c r="A44" t="s">
        <v>1740</v>
      </c>
      <c r="B44" t="s">
        <v>1972</v>
      </c>
      <c r="O44" t="s">
        <v>2691</v>
      </c>
      <c r="P44" t="s">
        <v>2691</v>
      </c>
      <c r="R44" s="21" t="s">
        <v>2692</v>
      </c>
      <c r="S44" s="21" t="s">
        <v>2693</v>
      </c>
      <c r="AA44" t="s">
        <v>2694</v>
      </c>
      <c r="AB44" t="s">
        <v>2694</v>
      </c>
      <c r="AE44" s="18" t="s">
        <v>2695</v>
      </c>
      <c r="AF44" s="18" t="s">
        <v>817</v>
      </c>
    </row>
    <row r="45" spans="1:32" x14ac:dyDescent="0.35">
      <c r="A45" t="s">
        <v>1878</v>
      </c>
      <c r="B45" t="s">
        <v>2019</v>
      </c>
      <c r="O45" t="s">
        <v>2696</v>
      </c>
      <c r="P45" t="s">
        <v>2696</v>
      </c>
      <c r="R45" s="30" t="s">
        <v>2697</v>
      </c>
      <c r="S45" s="21" t="s">
        <v>2698</v>
      </c>
      <c r="AA45" t="s">
        <v>2699</v>
      </c>
      <c r="AB45" t="s">
        <v>2699</v>
      </c>
      <c r="AE45" s="18" t="s">
        <v>2700</v>
      </c>
      <c r="AF45" s="18" t="s">
        <v>819</v>
      </c>
    </row>
    <row r="46" spans="1:32" x14ac:dyDescent="0.35">
      <c r="A46" t="s">
        <v>1872</v>
      </c>
      <c r="B46" t="s">
        <v>2000</v>
      </c>
      <c r="O46" t="s">
        <v>427</v>
      </c>
      <c r="P46" t="s">
        <v>427</v>
      </c>
      <c r="R46" s="21" t="s">
        <v>2701</v>
      </c>
      <c r="S46" s="21" t="s">
        <v>1909</v>
      </c>
      <c r="AA46" t="s">
        <v>2702</v>
      </c>
      <c r="AB46" t="s">
        <v>2702</v>
      </c>
      <c r="AE46" s="18" t="s">
        <v>2703</v>
      </c>
      <c r="AF46" s="18" t="s">
        <v>821</v>
      </c>
    </row>
    <row r="47" spans="1:32" x14ac:dyDescent="0.35">
      <c r="A47" t="s">
        <v>1884</v>
      </c>
      <c r="B47" t="s">
        <v>2024</v>
      </c>
      <c r="O47" t="s">
        <v>2704</v>
      </c>
      <c r="P47" t="s">
        <v>2704</v>
      </c>
      <c r="R47" t="s">
        <v>2705</v>
      </c>
      <c r="S47" s="21" t="s">
        <v>2357</v>
      </c>
      <c r="AA47" t="s">
        <v>2706</v>
      </c>
      <c r="AB47" t="s">
        <v>2706</v>
      </c>
      <c r="AE47" s="18" t="s">
        <v>2707</v>
      </c>
      <c r="AF47" s="18" t="s">
        <v>823</v>
      </c>
    </row>
    <row r="48" spans="1:32" x14ac:dyDescent="0.35">
      <c r="A48" t="s">
        <v>1917</v>
      </c>
      <c r="B48" t="s">
        <v>2061</v>
      </c>
      <c r="O48" t="s">
        <v>2708</v>
      </c>
      <c r="P48" t="s">
        <v>2708</v>
      </c>
      <c r="R48" s="21" t="s">
        <v>2709</v>
      </c>
      <c r="S48" s="21" t="s">
        <v>2710</v>
      </c>
      <c r="AA48" t="s">
        <v>2711</v>
      </c>
      <c r="AB48" t="s">
        <v>2711</v>
      </c>
      <c r="AE48" s="18" t="s">
        <v>2712</v>
      </c>
      <c r="AF48" s="18" t="s">
        <v>825</v>
      </c>
    </row>
    <row r="49" spans="1:32" x14ac:dyDescent="0.35">
      <c r="A49" t="s">
        <v>1924</v>
      </c>
      <c r="B49" t="s">
        <v>2062</v>
      </c>
      <c r="O49" t="s">
        <v>2713</v>
      </c>
      <c r="P49" t="s">
        <v>2713</v>
      </c>
      <c r="R49" s="21" t="s">
        <v>2714</v>
      </c>
      <c r="S49" s="21" t="s">
        <v>2714</v>
      </c>
      <c r="AA49" t="s">
        <v>2715</v>
      </c>
      <c r="AE49" s="18" t="s">
        <v>2716</v>
      </c>
      <c r="AF49" s="18" t="s">
        <v>827</v>
      </c>
    </row>
    <row r="50" spans="1:32" x14ac:dyDescent="0.35">
      <c r="A50" t="s">
        <v>1855</v>
      </c>
      <c r="B50" t="s">
        <v>2066</v>
      </c>
      <c r="O50" t="s">
        <v>510</v>
      </c>
      <c r="P50" t="s">
        <v>510</v>
      </c>
      <c r="R50" s="21" t="s">
        <v>2717</v>
      </c>
      <c r="S50" s="21" t="s">
        <v>2717</v>
      </c>
      <c r="AA50" t="s">
        <v>2718</v>
      </c>
      <c r="AB50" t="s">
        <v>2719</v>
      </c>
      <c r="AE50" s="18" t="s">
        <v>2720</v>
      </c>
      <c r="AF50" s="18" t="s">
        <v>829</v>
      </c>
    </row>
    <row r="51" spans="1:32" x14ac:dyDescent="0.35">
      <c r="A51" t="s">
        <v>1843</v>
      </c>
      <c r="B51" t="s">
        <v>2029</v>
      </c>
      <c r="O51" t="s">
        <v>2721</v>
      </c>
      <c r="P51" t="s">
        <v>2721</v>
      </c>
      <c r="R51" s="21" t="s">
        <v>2722</v>
      </c>
      <c r="S51" s="21" t="s">
        <v>2723</v>
      </c>
      <c r="AA51" t="s">
        <v>2719</v>
      </c>
      <c r="AE51" s="18" t="s">
        <v>2724</v>
      </c>
      <c r="AF51" s="18" t="s">
        <v>316</v>
      </c>
    </row>
    <row r="52" spans="1:32" x14ac:dyDescent="0.35">
      <c r="A52" t="s">
        <v>2040</v>
      </c>
      <c r="B52" t="s">
        <v>2041</v>
      </c>
      <c r="O52" t="s">
        <v>517</v>
      </c>
      <c r="P52" t="s">
        <v>517</v>
      </c>
      <c r="R52" s="21" t="s">
        <v>2725</v>
      </c>
      <c r="S52" s="21" t="s">
        <v>2726</v>
      </c>
      <c r="AA52" t="s">
        <v>2727</v>
      </c>
      <c r="AE52" s="18" t="s">
        <v>2728</v>
      </c>
      <c r="AF52" s="18" t="s">
        <v>832</v>
      </c>
    </row>
    <row r="53" spans="1:32" x14ac:dyDescent="0.35">
      <c r="A53" t="s">
        <v>1898</v>
      </c>
      <c r="B53" t="s">
        <v>2035</v>
      </c>
      <c r="O53" t="s">
        <v>2729</v>
      </c>
      <c r="P53" t="s">
        <v>2729</v>
      </c>
      <c r="R53" s="21" t="s">
        <v>2730</v>
      </c>
      <c r="S53" s="21" t="s">
        <v>2730</v>
      </c>
      <c r="AA53" t="s">
        <v>349</v>
      </c>
      <c r="AB53" t="s">
        <v>2715</v>
      </c>
      <c r="AE53" s="18" t="s">
        <v>2731</v>
      </c>
      <c r="AF53" s="18" t="s">
        <v>834</v>
      </c>
    </row>
    <row r="54" spans="1:32" x14ac:dyDescent="0.35">
      <c r="A54" t="s">
        <v>1904</v>
      </c>
      <c r="B54" t="s">
        <v>2045</v>
      </c>
      <c r="O54" t="s">
        <v>2732</v>
      </c>
      <c r="P54" t="s">
        <v>2732</v>
      </c>
      <c r="R54" s="21" t="s">
        <v>2733</v>
      </c>
      <c r="S54" s="21" t="s">
        <v>2366</v>
      </c>
      <c r="AA54" t="s">
        <v>2734</v>
      </c>
      <c r="AB54" t="s">
        <v>358</v>
      </c>
      <c r="AE54" s="18" t="s">
        <v>2735</v>
      </c>
      <c r="AF54" s="18" t="s">
        <v>836</v>
      </c>
    </row>
    <row r="55" spans="1:32" x14ac:dyDescent="0.35">
      <c r="A55" t="s">
        <v>2050</v>
      </c>
      <c r="B55" t="s">
        <v>2051</v>
      </c>
      <c r="O55" t="s">
        <v>323</v>
      </c>
      <c r="P55" t="s">
        <v>323</v>
      </c>
      <c r="R55" s="21" t="s">
        <v>2736</v>
      </c>
      <c r="S55" s="21" t="s">
        <v>2737</v>
      </c>
      <c r="AA55" t="s">
        <v>358</v>
      </c>
      <c r="AE55" s="18" t="s">
        <v>2738</v>
      </c>
      <c r="AF55" s="18" t="s">
        <v>838</v>
      </c>
    </row>
    <row r="56" spans="1:32" x14ac:dyDescent="0.35">
      <c r="A56" t="s">
        <v>1822</v>
      </c>
      <c r="B56" t="s">
        <v>2056</v>
      </c>
      <c r="O56" t="s">
        <v>2739</v>
      </c>
      <c r="P56" t="s">
        <v>2739</v>
      </c>
      <c r="R56" s="21" t="s">
        <v>2740</v>
      </c>
      <c r="S56" s="21" t="s">
        <v>2740</v>
      </c>
      <c r="AA56" t="s">
        <v>2741</v>
      </c>
      <c r="AB56" t="s">
        <v>2741</v>
      </c>
      <c r="AE56" s="18" t="s">
        <v>2742</v>
      </c>
      <c r="AF56" s="18" t="s">
        <v>2743</v>
      </c>
    </row>
    <row r="57" spans="1:32" x14ac:dyDescent="0.35">
      <c r="A57" t="s">
        <v>1936</v>
      </c>
      <c r="B57" t="s">
        <v>2068</v>
      </c>
      <c r="O57" t="s">
        <v>2744</v>
      </c>
      <c r="P57" t="s">
        <v>2744</v>
      </c>
      <c r="R57" s="21" t="s">
        <v>2745</v>
      </c>
      <c r="S57" s="21" t="s">
        <v>1720</v>
      </c>
      <c r="AA57" t="s">
        <v>2746</v>
      </c>
      <c r="AB57" t="s">
        <v>2746</v>
      </c>
      <c r="AE57" s="18" t="s">
        <v>2747</v>
      </c>
      <c r="AF57" s="18" t="s">
        <v>2748</v>
      </c>
    </row>
    <row r="58" spans="1:32" x14ac:dyDescent="0.35">
      <c r="A58" t="s">
        <v>45</v>
      </c>
      <c r="B58" t="s">
        <v>2070</v>
      </c>
      <c r="O58" t="s">
        <v>341</v>
      </c>
      <c r="P58" t="s">
        <v>341</v>
      </c>
      <c r="R58" s="21" t="s">
        <v>2</v>
      </c>
      <c r="S58" s="21" t="s">
        <v>2</v>
      </c>
      <c r="AA58" t="s">
        <v>366</v>
      </c>
      <c r="AB58" t="s">
        <v>2749</v>
      </c>
      <c r="AE58" s="19" t="s">
        <v>2750</v>
      </c>
      <c r="AF58" s="19" t="s">
        <v>2751</v>
      </c>
    </row>
    <row r="59" spans="1:32" x14ac:dyDescent="0.35">
      <c r="A59" t="s">
        <v>1950</v>
      </c>
      <c r="B59" t="s">
        <v>2075</v>
      </c>
      <c r="O59" t="s">
        <v>448</v>
      </c>
      <c r="P59" t="s">
        <v>448</v>
      </c>
      <c r="R59" s="23" t="s">
        <v>2752</v>
      </c>
      <c r="S59" s="21" t="s">
        <v>2753</v>
      </c>
      <c r="AA59" t="s">
        <v>370</v>
      </c>
      <c r="AB59" t="s">
        <v>2754</v>
      </c>
      <c r="AE59" s="18" t="s">
        <v>2755</v>
      </c>
      <c r="AF59" s="18" t="s">
        <v>2756</v>
      </c>
    </row>
    <row r="60" spans="1:32" x14ac:dyDescent="0.35">
      <c r="A60" t="s">
        <v>1956</v>
      </c>
      <c r="B60" t="s">
        <v>2077</v>
      </c>
      <c r="O60" t="s">
        <v>448</v>
      </c>
      <c r="P60" t="s">
        <v>448</v>
      </c>
      <c r="R60" s="21" t="s">
        <v>2757</v>
      </c>
      <c r="S60" s="21" t="s">
        <v>2758</v>
      </c>
      <c r="AA60" t="s">
        <v>2749</v>
      </c>
      <c r="AE60" s="18" t="s">
        <v>2392</v>
      </c>
      <c r="AF60" s="18" t="s">
        <v>2759</v>
      </c>
    </row>
    <row r="61" spans="1:32" x14ac:dyDescent="0.35">
      <c r="A61" t="s">
        <v>2083</v>
      </c>
      <c r="B61" t="s">
        <v>2084</v>
      </c>
      <c r="O61" t="s">
        <v>497</v>
      </c>
      <c r="P61" t="s">
        <v>497</v>
      </c>
      <c r="R61" s="21" t="s">
        <v>2760</v>
      </c>
      <c r="S61" s="21" t="s">
        <v>2378</v>
      </c>
      <c r="AA61" t="s">
        <v>2754</v>
      </c>
      <c r="AE61" s="18" t="s">
        <v>2761</v>
      </c>
      <c r="AF61" s="18" t="s">
        <v>1867</v>
      </c>
    </row>
    <row r="62" spans="1:32" x14ac:dyDescent="0.35">
      <c r="A62" t="s">
        <v>1964</v>
      </c>
      <c r="B62" t="s">
        <v>2080</v>
      </c>
      <c r="O62" t="s">
        <v>444</v>
      </c>
      <c r="P62" t="s">
        <v>444</v>
      </c>
      <c r="R62" s="21" t="s">
        <v>2762</v>
      </c>
      <c r="S62" s="21" t="s">
        <v>2763</v>
      </c>
      <c r="AA62" t="s">
        <v>2764</v>
      </c>
      <c r="AE62" s="18" t="s">
        <v>2765</v>
      </c>
      <c r="AF62" s="18" t="s">
        <v>2766</v>
      </c>
    </row>
    <row r="63" spans="1:32" x14ac:dyDescent="0.35">
      <c r="A63" t="s">
        <v>2286</v>
      </c>
      <c r="O63" t="s">
        <v>2767</v>
      </c>
      <c r="P63" t="s">
        <v>2767</v>
      </c>
      <c r="R63" s="21" t="s">
        <v>2768</v>
      </c>
      <c r="S63" s="21" t="s">
        <v>2769</v>
      </c>
      <c r="AA63" t="s">
        <v>2770</v>
      </c>
      <c r="AB63" t="s">
        <v>2770</v>
      </c>
      <c r="AE63" s="18" t="s">
        <v>2771</v>
      </c>
      <c r="AF63" s="18" t="s">
        <v>2772</v>
      </c>
    </row>
    <row r="64" spans="1:32" x14ac:dyDescent="0.35">
      <c r="A64" t="s">
        <v>1970</v>
      </c>
      <c r="B64" t="s">
        <v>2089</v>
      </c>
      <c r="O64" t="s">
        <v>2353</v>
      </c>
      <c r="P64" t="s">
        <v>2354</v>
      </c>
      <c r="R64" s="21" t="s">
        <v>2773</v>
      </c>
      <c r="S64" s="21" t="s">
        <v>2773</v>
      </c>
      <c r="AA64" t="s">
        <v>2774</v>
      </c>
      <c r="AB64" t="s">
        <v>2774</v>
      </c>
      <c r="AE64" s="18" t="s">
        <v>2775</v>
      </c>
      <c r="AF64" s="18" t="s">
        <v>2776</v>
      </c>
    </row>
    <row r="65" spans="1:32" x14ac:dyDescent="0.35">
      <c r="A65" t="s">
        <v>1975</v>
      </c>
      <c r="B65" t="s">
        <v>2093</v>
      </c>
      <c r="O65" t="s">
        <v>2777</v>
      </c>
      <c r="P65" t="s">
        <v>2778</v>
      </c>
      <c r="R65" s="21" t="s">
        <v>2779</v>
      </c>
      <c r="S65" s="21" t="s">
        <v>2780</v>
      </c>
      <c r="AA65" t="s">
        <v>2781</v>
      </c>
      <c r="AB65" t="s">
        <v>2781</v>
      </c>
      <c r="AE65" s="18" t="s">
        <v>2782</v>
      </c>
      <c r="AF65" s="18" t="s">
        <v>2783</v>
      </c>
    </row>
    <row r="66" spans="1:32" x14ac:dyDescent="0.35">
      <c r="A66" t="s">
        <v>1983</v>
      </c>
      <c r="B66" t="s">
        <v>2097</v>
      </c>
      <c r="O66" t="s">
        <v>2784</v>
      </c>
      <c r="P66" t="s">
        <v>2785</v>
      </c>
      <c r="R66" s="21" t="s">
        <v>2786</v>
      </c>
      <c r="S66" s="21" t="s">
        <v>2787</v>
      </c>
      <c r="AA66" t="s">
        <v>2788</v>
      </c>
      <c r="AB66" t="s">
        <v>2788</v>
      </c>
      <c r="AE66" s="17" t="s">
        <v>2789</v>
      </c>
      <c r="AF66" s="17" t="s">
        <v>2790</v>
      </c>
    </row>
    <row r="67" spans="1:32" x14ac:dyDescent="0.35">
      <c r="A67" t="s">
        <v>2015</v>
      </c>
      <c r="B67" t="s">
        <v>2117</v>
      </c>
      <c r="O67" t="s">
        <v>2791</v>
      </c>
      <c r="P67" t="s">
        <v>2792</v>
      </c>
      <c r="R67" s="21" t="s">
        <v>69</v>
      </c>
      <c r="S67" s="21" t="s">
        <v>2793</v>
      </c>
      <c r="AA67" t="s">
        <v>2794</v>
      </c>
      <c r="AB67" t="s">
        <v>2795</v>
      </c>
      <c r="AE67" s="18" t="s">
        <v>2796</v>
      </c>
      <c r="AF67" s="18" t="s">
        <v>2797</v>
      </c>
    </row>
    <row r="68" spans="1:32" x14ac:dyDescent="0.35">
      <c r="A68" t="s">
        <v>1990</v>
      </c>
      <c r="B68" t="s">
        <v>2101</v>
      </c>
      <c r="O68" t="s">
        <v>2791</v>
      </c>
      <c r="R68" s="21" t="s">
        <v>2798</v>
      </c>
      <c r="S68" s="21" t="s">
        <v>2799</v>
      </c>
      <c r="AA68" t="s">
        <v>2800</v>
      </c>
      <c r="AE68" s="18" t="s">
        <v>2801</v>
      </c>
      <c r="AF68" s="18" t="s">
        <v>874</v>
      </c>
    </row>
    <row r="69" spans="1:32" x14ac:dyDescent="0.35">
      <c r="A69" t="s">
        <v>2003</v>
      </c>
      <c r="B69" t="s">
        <v>2112</v>
      </c>
      <c r="O69" t="s">
        <v>2802</v>
      </c>
      <c r="R69" s="21" t="s">
        <v>2803</v>
      </c>
      <c r="S69" s="21" t="s">
        <v>2804</v>
      </c>
      <c r="AA69" t="s">
        <v>2805</v>
      </c>
      <c r="AB69" t="s">
        <v>2805</v>
      </c>
      <c r="AE69" s="18" t="s">
        <v>2806</v>
      </c>
      <c r="AF69" s="18" t="s">
        <v>1939</v>
      </c>
    </row>
    <row r="70" spans="1:32" x14ac:dyDescent="0.35">
      <c r="A70" t="s">
        <v>1584</v>
      </c>
      <c r="B70" t="s">
        <v>1585</v>
      </c>
      <c r="O70" t="s">
        <v>2807</v>
      </c>
      <c r="P70" t="s">
        <v>787</v>
      </c>
      <c r="R70" s="21" t="s">
        <v>2808</v>
      </c>
      <c r="S70" s="21" t="s">
        <v>2809</v>
      </c>
      <c r="AA70" t="s">
        <v>2810</v>
      </c>
      <c r="AB70" t="s">
        <v>2811</v>
      </c>
      <c r="AE70" s="18" t="s">
        <v>2812</v>
      </c>
      <c r="AF70" s="18" t="s">
        <v>856</v>
      </c>
    </row>
    <row r="71" spans="1:32" x14ac:dyDescent="0.35">
      <c r="A71" t="s">
        <v>1997</v>
      </c>
      <c r="B71" t="s">
        <v>2111</v>
      </c>
      <c r="O71" s="20" t="s">
        <v>2813</v>
      </c>
      <c r="R71" s="21" t="s">
        <v>2814</v>
      </c>
      <c r="S71" s="21" t="s">
        <v>2815</v>
      </c>
      <c r="AA71" t="s">
        <v>2816</v>
      </c>
      <c r="AB71" t="s">
        <v>2817</v>
      </c>
      <c r="AE71" s="18" t="s">
        <v>2818</v>
      </c>
      <c r="AF71" s="18" t="s">
        <v>1998</v>
      </c>
    </row>
    <row r="72" spans="1:32" x14ac:dyDescent="0.35">
      <c r="A72" t="s">
        <v>1866</v>
      </c>
      <c r="B72" t="s">
        <v>2114</v>
      </c>
      <c r="O72" t="s">
        <v>1719</v>
      </c>
      <c r="P72" t="s">
        <v>2819</v>
      </c>
      <c r="R72" s="21" t="s">
        <v>2820</v>
      </c>
      <c r="S72" s="21" t="s">
        <v>2821</v>
      </c>
      <c r="AA72" t="s">
        <v>2822</v>
      </c>
      <c r="AB72" t="s">
        <v>2823</v>
      </c>
      <c r="AE72" s="18" t="s">
        <v>2824</v>
      </c>
      <c r="AF72" s="18" t="s">
        <v>2825</v>
      </c>
    </row>
    <row r="73" spans="1:32" x14ac:dyDescent="0.35">
      <c r="A73" t="s">
        <v>2120</v>
      </c>
      <c r="B73" t="s">
        <v>2121</v>
      </c>
      <c r="O73" t="s">
        <v>2365</v>
      </c>
      <c r="R73" s="23" t="s">
        <v>2826</v>
      </c>
      <c r="S73" s="21" t="s">
        <v>2826</v>
      </c>
      <c r="AA73" t="s">
        <v>2823</v>
      </c>
      <c r="AE73" s="18" t="s">
        <v>2827</v>
      </c>
      <c r="AF73" s="18" t="s">
        <v>2828</v>
      </c>
    </row>
    <row r="74" spans="1:32" x14ac:dyDescent="0.35">
      <c r="A74" t="s">
        <v>2125</v>
      </c>
      <c r="B74" t="s">
        <v>2126</v>
      </c>
      <c r="O74" t="s">
        <v>2829</v>
      </c>
      <c r="R74" s="21" t="s">
        <v>2830</v>
      </c>
      <c r="S74" s="21" t="s">
        <v>2831</v>
      </c>
      <c r="AA74" t="s">
        <v>2832</v>
      </c>
      <c r="AB74" t="s">
        <v>2833</v>
      </c>
      <c r="AE74" s="18" t="s">
        <v>2834</v>
      </c>
      <c r="AF74" s="18" t="s">
        <v>2835</v>
      </c>
    </row>
    <row r="75" spans="1:32" x14ac:dyDescent="0.35">
      <c r="A75" t="s">
        <v>2022</v>
      </c>
      <c r="B75" t="s">
        <v>2129</v>
      </c>
      <c r="O75" t="s">
        <v>2836</v>
      </c>
      <c r="P75" t="s">
        <v>2819</v>
      </c>
      <c r="R75" s="21" t="s">
        <v>2837</v>
      </c>
      <c r="S75" s="21" t="s">
        <v>2838</v>
      </c>
      <c r="AA75" t="s">
        <v>2839</v>
      </c>
      <c r="AB75" t="s">
        <v>2840</v>
      </c>
      <c r="AE75" s="18" t="s">
        <v>2841</v>
      </c>
      <c r="AF75" s="18" t="s">
        <v>2842</v>
      </c>
    </row>
    <row r="76" spans="1:32" x14ac:dyDescent="0.35">
      <c r="A76" t="s">
        <v>2032</v>
      </c>
      <c r="B76" t="s">
        <v>2136</v>
      </c>
      <c r="O76" t="s">
        <v>2843</v>
      </c>
      <c r="P76" t="s">
        <v>2844</v>
      </c>
      <c r="R76" s="24" t="s">
        <v>2845</v>
      </c>
      <c r="S76" s="18" t="s">
        <v>2846</v>
      </c>
      <c r="AA76" t="s">
        <v>2847</v>
      </c>
      <c r="AB76" t="s">
        <v>2848</v>
      </c>
      <c r="AE76" s="18" t="s">
        <v>2849</v>
      </c>
      <c r="AF76" s="18" t="s">
        <v>2850</v>
      </c>
    </row>
    <row r="77" spans="1:32" x14ac:dyDescent="0.35">
      <c r="A77" t="s">
        <v>1886</v>
      </c>
      <c r="B77" t="s">
        <v>2140</v>
      </c>
      <c r="O77" t="s">
        <v>2388</v>
      </c>
      <c r="P77" t="s">
        <v>2389</v>
      </c>
      <c r="R77" s="21" t="s">
        <v>2851</v>
      </c>
      <c r="S77" s="21" t="s">
        <v>2852</v>
      </c>
      <c r="AA77" t="s">
        <v>2853</v>
      </c>
      <c r="AB77" t="s">
        <v>2853</v>
      </c>
      <c r="AE77" s="18" t="s">
        <v>2854</v>
      </c>
      <c r="AF77" s="18" t="s">
        <v>2855</v>
      </c>
    </row>
    <row r="78" spans="1:32" x14ac:dyDescent="0.35">
      <c r="A78" t="s">
        <v>1626</v>
      </c>
      <c r="B78" t="s">
        <v>2133</v>
      </c>
      <c r="O78" t="s">
        <v>2856</v>
      </c>
      <c r="P78" t="s">
        <v>2857</v>
      </c>
      <c r="R78" s="21" t="s">
        <v>2858</v>
      </c>
      <c r="S78" s="21" t="s">
        <v>2859</v>
      </c>
      <c r="AA78" t="s">
        <v>2860</v>
      </c>
      <c r="AB78" t="s">
        <v>2860</v>
      </c>
      <c r="AE78" s="18" t="s">
        <v>2861</v>
      </c>
      <c r="AF78" s="18" t="s">
        <v>2862</v>
      </c>
    </row>
    <row r="79" spans="1:32" x14ac:dyDescent="0.35">
      <c r="A79" t="s">
        <v>1644</v>
      </c>
      <c r="B79" t="s">
        <v>2137</v>
      </c>
      <c r="O79" t="s">
        <v>2863</v>
      </c>
      <c r="P79" t="s">
        <v>2844</v>
      </c>
      <c r="R79" s="21" t="s">
        <v>2864</v>
      </c>
      <c r="S79" s="21" t="s">
        <v>2865</v>
      </c>
      <c r="AA79" t="s">
        <v>2866</v>
      </c>
      <c r="AB79" t="s">
        <v>2866</v>
      </c>
      <c r="AE79" s="18" t="s">
        <v>2867</v>
      </c>
      <c r="AF79" s="18" t="s">
        <v>2009</v>
      </c>
    </row>
    <row r="80" spans="1:32" x14ac:dyDescent="0.35">
      <c r="A80" t="s">
        <v>2046</v>
      </c>
      <c r="B80" t="s">
        <v>2141</v>
      </c>
      <c r="O80" t="s">
        <v>2868</v>
      </c>
      <c r="P80" t="s">
        <v>2869</v>
      </c>
      <c r="R80" s="21" t="s">
        <v>2870</v>
      </c>
      <c r="S80" s="21" t="s">
        <v>2871</v>
      </c>
      <c r="AA80" s="8" t="s">
        <v>2872</v>
      </c>
      <c r="AE80" s="18" t="s">
        <v>48</v>
      </c>
      <c r="AF80" s="18" t="s">
        <v>48</v>
      </c>
    </row>
    <row r="81" spans="1:32" x14ac:dyDescent="0.35">
      <c r="A81" t="s">
        <v>2052</v>
      </c>
      <c r="B81" t="s">
        <v>2143</v>
      </c>
      <c r="O81" t="s">
        <v>2873</v>
      </c>
      <c r="P81" t="s">
        <v>2874</v>
      </c>
      <c r="R81" s="21" t="s">
        <v>2875</v>
      </c>
      <c r="S81" s="21" t="s">
        <v>2876</v>
      </c>
      <c r="AA81" t="s">
        <v>2877</v>
      </c>
      <c r="AB81" t="s">
        <v>2878</v>
      </c>
      <c r="AE81" s="18" t="s">
        <v>2879</v>
      </c>
      <c r="AF81" s="18" t="s">
        <v>2880</v>
      </c>
    </row>
    <row r="82" spans="1:32" ht="15" x14ac:dyDescent="0.35">
      <c r="A82" t="s">
        <v>1957</v>
      </c>
      <c r="B82" t="s">
        <v>2147</v>
      </c>
      <c r="O82" t="s">
        <v>2881</v>
      </c>
      <c r="P82" t="s">
        <v>2401</v>
      </c>
      <c r="R82" s="21" t="s">
        <v>2882</v>
      </c>
      <c r="S82" s="21" t="s">
        <v>2883</v>
      </c>
      <c r="V82" s="2"/>
      <c r="W82" s="2"/>
      <c r="AA82" t="s">
        <v>2884</v>
      </c>
      <c r="AB82" t="s">
        <v>2885</v>
      </c>
      <c r="AE82" s="18" t="s">
        <v>2886</v>
      </c>
      <c r="AF82" s="18" t="s">
        <v>2887</v>
      </c>
    </row>
    <row r="83" spans="1:32" x14ac:dyDescent="0.35">
      <c r="A83" t="s">
        <v>2067</v>
      </c>
      <c r="B83" t="s">
        <v>2151</v>
      </c>
      <c r="O83" t="s">
        <v>2888</v>
      </c>
      <c r="P83" t="s">
        <v>2819</v>
      </c>
      <c r="R83" s="21" t="s">
        <v>2889</v>
      </c>
      <c r="S83" s="21" t="s">
        <v>2889</v>
      </c>
      <c r="AA83" t="s">
        <v>2890</v>
      </c>
      <c r="AB83" t="s">
        <v>2891</v>
      </c>
      <c r="AE83" s="18" t="s">
        <v>2892</v>
      </c>
      <c r="AF83" s="18" t="s">
        <v>2234</v>
      </c>
    </row>
    <row r="84" spans="1:32" x14ac:dyDescent="0.35">
      <c r="A84" t="s">
        <v>1792</v>
      </c>
      <c r="B84" t="s">
        <v>2148</v>
      </c>
      <c r="O84" t="s">
        <v>2893</v>
      </c>
      <c r="P84" t="s">
        <v>2844</v>
      </c>
      <c r="R84" s="21" t="s">
        <v>2894</v>
      </c>
      <c r="S84" s="21" t="s">
        <v>2895</v>
      </c>
      <c r="AA84" t="s">
        <v>2891</v>
      </c>
      <c r="AE84" s="18" t="s">
        <v>2896</v>
      </c>
      <c r="AF84" s="18" t="s">
        <v>2897</v>
      </c>
    </row>
    <row r="85" spans="1:32" x14ac:dyDescent="0.35">
      <c r="A85" t="s">
        <v>2047</v>
      </c>
      <c r="B85" t="s">
        <v>2152</v>
      </c>
      <c r="O85" t="s">
        <v>2898</v>
      </c>
      <c r="P85" t="s">
        <v>2458</v>
      </c>
      <c r="R85" s="23" t="s">
        <v>2899</v>
      </c>
      <c r="S85" s="21" t="s">
        <v>2900</v>
      </c>
      <c r="AA85" t="s">
        <v>2901</v>
      </c>
      <c r="AE85" s="18" t="s">
        <v>2902</v>
      </c>
      <c r="AF85" s="18" t="s">
        <v>2902</v>
      </c>
    </row>
    <row r="86" spans="1:32" x14ac:dyDescent="0.35">
      <c r="A86" t="s">
        <v>2057</v>
      </c>
      <c r="B86" t="s">
        <v>2145</v>
      </c>
      <c r="O86" t="s">
        <v>2903</v>
      </c>
      <c r="P86" t="s">
        <v>2569</v>
      </c>
      <c r="R86" s="21" t="s">
        <v>2904</v>
      </c>
      <c r="S86" s="21" t="s">
        <v>2905</v>
      </c>
      <c r="AA86" t="s">
        <v>2906</v>
      </c>
      <c r="AB86" t="s">
        <v>2907</v>
      </c>
      <c r="AE86" s="18" t="s">
        <v>2908</v>
      </c>
      <c r="AF86" s="18" t="s">
        <v>2482</v>
      </c>
    </row>
    <row r="87" spans="1:32" x14ac:dyDescent="0.35">
      <c r="A87" t="s">
        <v>2069</v>
      </c>
      <c r="B87" t="s">
        <v>2153</v>
      </c>
      <c r="O87" t="s">
        <v>2909</v>
      </c>
      <c r="P87" t="s">
        <v>2141</v>
      </c>
      <c r="R87" s="21" t="s">
        <v>2910</v>
      </c>
      <c r="S87" s="21" t="s">
        <v>2114</v>
      </c>
      <c r="AA87" t="s">
        <v>2911</v>
      </c>
      <c r="AB87" t="s">
        <v>2912</v>
      </c>
      <c r="AE87" s="18" t="s">
        <v>2913</v>
      </c>
      <c r="AF87" s="18" t="s">
        <v>2914</v>
      </c>
    </row>
    <row r="88" spans="1:32" x14ac:dyDescent="0.35">
      <c r="A88" t="s">
        <v>2071</v>
      </c>
      <c r="B88" t="s">
        <v>2154</v>
      </c>
      <c r="O88" t="s">
        <v>2915</v>
      </c>
      <c r="P88" t="s">
        <v>2916</v>
      </c>
      <c r="R88" s="23" t="s">
        <v>2917</v>
      </c>
      <c r="S88" s="21" t="s">
        <v>2918</v>
      </c>
      <c r="AA88" t="s">
        <v>2919</v>
      </c>
      <c r="AE88" s="18" t="s">
        <v>2920</v>
      </c>
      <c r="AF88" s="18" t="s">
        <v>2921</v>
      </c>
    </row>
    <row r="89" spans="1:32" x14ac:dyDescent="0.35">
      <c r="A89" t="s">
        <v>2156</v>
      </c>
      <c r="B89" t="s">
        <v>2157</v>
      </c>
      <c r="O89" t="s">
        <v>2922</v>
      </c>
      <c r="P89" t="s">
        <v>2923</v>
      </c>
      <c r="R89" s="21" t="s">
        <v>2924</v>
      </c>
      <c r="S89" s="21" t="s">
        <v>2114</v>
      </c>
      <c r="AA89" t="s">
        <v>2925</v>
      </c>
      <c r="AE89" s="18" t="s">
        <v>2926</v>
      </c>
      <c r="AF89" s="18" t="s">
        <v>2927</v>
      </c>
    </row>
    <row r="90" spans="1:32" x14ac:dyDescent="0.35">
      <c r="A90" t="s">
        <v>2164</v>
      </c>
      <c r="B90" t="s">
        <v>2165</v>
      </c>
      <c r="O90" t="s">
        <v>2928</v>
      </c>
      <c r="P90" t="s">
        <v>2819</v>
      </c>
      <c r="R90" s="21" t="s">
        <v>2929</v>
      </c>
      <c r="S90" s="21" t="s">
        <v>2930</v>
      </c>
      <c r="AA90" t="s">
        <v>2931</v>
      </c>
      <c r="AB90" t="s">
        <v>2932</v>
      </c>
      <c r="AE90" s="18" t="s">
        <v>2933</v>
      </c>
      <c r="AF90" s="18" t="s">
        <v>858</v>
      </c>
    </row>
    <row r="91" spans="1:32" x14ac:dyDescent="0.35">
      <c r="A91" t="s">
        <v>2159</v>
      </c>
      <c r="B91" t="s">
        <v>2160</v>
      </c>
      <c r="O91" t="s">
        <v>2934</v>
      </c>
      <c r="P91" t="s">
        <v>2857</v>
      </c>
      <c r="R91" s="21" t="s">
        <v>2935</v>
      </c>
      <c r="S91" s="21" t="s">
        <v>1772</v>
      </c>
      <c r="AA91" t="s">
        <v>2936</v>
      </c>
      <c r="AE91" s="18" t="s">
        <v>2937</v>
      </c>
      <c r="AF91" s="18" t="s">
        <v>2938</v>
      </c>
    </row>
    <row r="92" spans="1:32" x14ac:dyDescent="0.35">
      <c r="A92" t="s">
        <v>2162</v>
      </c>
      <c r="B92" t="s">
        <v>2163</v>
      </c>
      <c r="O92" t="s">
        <v>2939</v>
      </c>
      <c r="P92" t="s">
        <v>2844</v>
      </c>
      <c r="R92" s="21" t="s">
        <v>2940</v>
      </c>
      <c r="S92" s="21" t="s">
        <v>2776</v>
      </c>
      <c r="AA92" t="s">
        <v>2941</v>
      </c>
      <c r="AB92" t="s">
        <v>807</v>
      </c>
      <c r="AE92" s="18" t="s">
        <v>2942</v>
      </c>
      <c r="AF92" s="18" t="s">
        <v>2943</v>
      </c>
    </row>
    <row r="93" spans="1:32" x14ac:dyDescent="0.35">
      <c r="A93" t="s">
        <v>2169</v>
      </c>
      <c r="B93" t="s">
        <v>2170</v>
      </c>
      <c r="O93" t="s">
        <v>2944</v>
      </c>
      <c r="P93" t="s">
        <v>2458</v>
      </c>
      <c r="R93" s="21" t="s">
        <v>2945</v>
      </c>
      <c r="S93" s="21" t="s">
        <v>2946</v>
      </c>
      <c r="AA93" t="s">
        <v>2647</v>
      </c>
      <c r="AB93" t="s">
        <v>1909</v>
      </c>
      <c r="AE93" s="18" t="s">
        <v>2947</v>
      </c>
      <c r="AF93" s="18" t="s">
        <v>2948</v>
      </c>
    </row>
    <row r="94" spans="1:32" x14ac:dyDescent="0.35">
      <c r="A94" t="s">
        <v>2171</v>
      </c>
      <c r="B94" t="s">
        <v>2172</v>
      </c>
      <c r="O94" t="s">
        <v>2949</v>
      </c>
      <c r="P94" t="s">
        <v>2950</v>
      </c>
      <c r="R94" t="s">
        <v>2951</v>
      </c>
      <c r="S94" s="21" t="s">
        <v>2952</v>
      </c>
      <c r="AA94" t="s">
        <v>2953</v>
      </c>
      <c r="AB94" t="s">
        <v>2954</v>
      </c>
      <c r="AE94" s="18" t="s">
        <v>2955</v>
      </c>
      <c r="AF94" s="18" t="s">
        <v>2956</v>
      </c>
    </row>
    <row r="95" spans="1:32" x14ac:dyDescent="0.35">
      <c r="A95" t="s">
        <v>2167</v>
      </c>
      <c r="B95" t="s">
        <v>2168</v>
      </c>
      <c r="O95" t="s">
        <v>2957</v>
      </c>
      <c r="P95" t="s">
        <v>2958</v>
      </c>
      <c r="R95" s="21" t="s">
        <v>2959</v>
      </c>
      <c r="S95" s="21" t="s">
        <v>2960</v>
      </c>
      <c r="AA95" t="s">
        <v>2961</v>
      </c>
      <c r="AB95" t="s">
        <v>2962</v>
      </c>
      <c r="AE95" s="18" t="s">
        <v>2963</v>
      </c>
      <c r="AF95" s="18" t="s">
        <v>2964</v>
      </c>
    </row>
    <row r="96" spans="1:32" x14ac:dyDescent="0.35">
      <c r="A96" t="s">
        <v>2027</v>
      </c>
      <c r="B96" t="s">
        <v>856</v>
      </c>
      <c r="O96" t="s">
        <v>70</v>
      </c>
      <c r="P96" t="s">
        <v>70</v>
      </c>
      <c r="R96" s="21" t="s">
        <v>2965</v>
      </c>
      <c r="S96" s="21" t="s">
        <v>2966</v>
      </c>
      <c r="AA96" t="s">
        <v>2967</v>
      </c>
      <c r="AB96" t="s">
        <v>2968</v>
      </c>
      <c r="AE96" s="18" t="s">
        <v>2969</v>
      </c>
      <c r="AF96" s="18" t="s">
        <v>2970</v>
      </c>
    </row>
    <row r="97" spans="1:32" x14ac:dyDescent="0.35">
      <c r="A97" t="s">
        <v>2081</v>
      </c>
      <c r="B97" t="s">
        <v>2180</v>
      </c>
      <c r="O97" t="s">
        <v>2971</v>
      </c>
      <c r="P97" t="s">
        <v>2972</v>
      </c>
      <c r="R97" s="21" t="s">
        <v>2973</v>
      </c>
      <c r="S97" s="21" t="s">
        <v>2973</v>
      </c>
      <c r="AA97" t="s">
        <v>2974</v>
      </c>
      <c r="AB97" t="s">
        <v>2975</v>
      </c>
      <c r="AE97" s="18" t="s">
        <v>2976</v>
      </c>
      <c r="AF97" s="18" t="s">
        <v>2499</v>
      </c>
    </row>
    <row r="98" spans="1:32" x14ac:dyDescent="0.35">
      <c r="A98" t="s">
        <v>2173</v>
      </c>
      <c r="B98" t="s">
        <v>2174</v>
      </c>
      <c r="O98" t="s">
        <v>2977</v>
      </c>
      <c r="P98" t="s">
        <v>2978</v>
      </c>
      <c r="R98" s="21" t="s">
        <v>2979</v>
      </c>
      <c r="S98" s="21" t="s">
        <v>2874</v>
      </c>
      <c r="AA98" t="s">
        <v>2980</v>
      </c>
      <c r="AB98" t="s">
        <v>2981</v>
      </c>
      <c r="AE98" s="18" t="s">
        <v>2982</v>
      </c>
      <c r="AF98" s="18" t="s">
        <v>2983</v>
      </c>
    </row>
    <row r="99" spans="1:32" x14ac:dyDescent="0.35">
      <c r="A99" t="s">
        <v>2078</v>
      </c>
      <c r="B99" t="s">
        <v>2178</v>
      </c>
      <c r="O99" t="s">
        <v>2984</v>
      </c>
      <c r="P99" t="s">
        <v>2054</v>
      </c>
      <c r="R99" s="21" t="s">
        <v>2985</v>
      </c>
      <c r="S99" s="21" t="s">
        <v>2985</v>
      </c>
      <c r="AA99" t="s">
        <v>2986</v>
      </c>
      <c r="AB99" t="s">
        <v>2987</v>
      </c>
      <c r="AE99" s="18" t="s">
        <v>2988</v>
      </c>
      <c r="AF99" s="18" t="s">
        <v>862</v>
      </c>
    </row>
    <row r="100" spans="1:32" x14ac:dyDescent="0.35">
      <c r="A100" t="s">
        <v>2085</v>
      </c>
      <c r="B100" t="s">
        <v>2182</v>
      </c>
      <c r="O100" t="s">
        <v>2989</v>
      </c>
      <c r="R100" s="21" t="s">
        <v>2990</v>
      </c>
      <c r="S100" s="21" t="s">
        <v>2991</v>
      </c>
      <c r="AA100" t="s">
        <v>2992</v>
      </c>
      <c r="AE100" s="18" t="s">
        <v>2993</v>
      </c>
      <c r="AF100" s="18" t="s">
        <v>860</v>
      </c>
    </row>
    <row r="101" spans="1:32" x14ac:dyDescent="0.35">
      <c r="A101" t="s">
        <v>1850</v>
      </c>
      <c r="B101" t="s">
        <v>2183</v>
      </c>
      <c r="O101" t="s">
        <v>2994</v>
      </c>
      <c r="P101" t="s">
        <v>2995</v>
      </c>
      <c r="R101" s="21" t="s">
        <v>2996</v>
      </c>
      <c r="S101" s="21" t="s">
        <v>2997</v>
      </c>
      <c r="AA101" t="s">
        <v>2998</v>
      </c>
      <c r="AB101" t="s">
        <v>2999</v>
      </c>
      <c r="AE101" s="18" t="s">
        <v>3000</v>
      </c>
      <c r="AF101" s="18" t="s">
        <v>864</v>
      </c>
    </row>
    <row r="102" spans="1:32" x14ac:dyDescent="0.35">
      <c r="A102" t="s">
        <v>2094</v>
      </c>
      <c r="B102" t="s">
        <v>2185</v>
      </c>
      <c r="O102" t="s">
        <v>3001</v>
      </c>
      <c r="R102" s="21" t="s">
        <v>3002</v>
      </c>
      <c r="S102" s="21" t="s">
        <v>3003</v>
      </c>
      <c r="AA102" t="s">
        <v>3004</v>
      </c>
      <c r="AB102" t="s">
        <v>3005</v>
      </c>
      <c r="AE102" s="18" t="s">
        <v>3006</v>
      </c>
      <c r="AF102" s="18" t="s">
        <v>3007</v>
      </c>
    </row>
    <row r="103" spans="1:32" x14ac:dyDescent="0.35">
      <c r="A103" t="s">
        <v>2191</v>
      </c>
      <c r="B103" t="s">
        <v>2192</v>
      </c>
      <c r="O103" t="s">
        <v>3008</v>
      </c>
      <c r="P103" t="s">
        <v>2054</v>
      </c>
      <c r="R103" s="21" t="s">
        <v>3009</v>
      </c>
      <c r="S103" s="21" t="s">
        <v>3010</v>
      </c>
      <c r="AA103" t="s">
        <v>3011</v>
      </c>
      <c r="AB103" t="s">
        <v>1794</v>
      </c>
      <c r="AE103" s="18" t="s">
        <v>3012</v>
      </c>
      <c r="AF103" s="18" t="s">
        <v>2350</v>
      </c>
    </row>
    <row r="104" spans="1:32" x14ac:dyDescent="0.35">
      <c r="A104" t="s">
        <v>2098</v>
      </c>
      <c r="B104" t="s">
        <v>2194</v>
      </c>
      <c r="O104" t="s">
        <v>3013</v>
      </c>
      <c r="P104" t="s">
        <v>2844</v>
      </c>
      <c r="R104" s="18" t="s">
        <v>3014</v>
      </c>
      <c r="S104" s="21" t="s">
        <v>3015</v>
      </c>
      <c r="AA104" t="s">
        <v>3016</v>
      </c>
      <c r="AE104" s="18" t="s">
        <v>3017</v>
      </c>
      <c r="AF104" s="18" t="s">
        <v>3018</v>
      </c>
    </row>
    <row r="105" spans="1:32" x14ac:dyDescent="0.35">
      <c r="A105" t="s">
        <v>2166</v>
      </c>
      <c r="B105" t="s">
        <v>2210</v>
      </c>
      <c r="O105" t="s">
        <v>3019</v>
      </c>
      <c r="P105" t="s">
        <v>2087</v>
      </c>
      <c r="R105" s="21" t="s">
        <v>3020</v>
      </c>
      <c r="S105" s="21" t="s">
        <v>3020</v>
      </c>
      <c r="AA105" t="s">
        <v>3021</v>
      </c>
      <c r="AB105" t="s">
        <v>838</v>
      </c>
      <c r="AE105" s="18" t="s">
        <v>3022</v>
      </c>
      <c r="AF105" s="18" t="s">
        <v>3023</v>
      </c>
    </row>
    <row r="106" spans="1:32" x14ac:dyDescent="0.35">
      <c r="A106" t="s">
        <v>2214</v>
      </c>
      <c r="B106" t="s">
        <v>2215</v>
      </c>
      <c r="O106" t="s">
        <v>3024</v>
      </c>
      <c r="P106" t="s">
        <v>3025</v>
      </c>
      <c r="R106" t="s">
        <v>3026</v>
      </c>
      <c r="S106" t="s">
        <v>3027</v>
      </c>
      <c r="AA106" t="s">
        <v>2738</v>
      </c>
      <c r="AB106" t="s">
        <v>3028</v>
      </c>
      <c r="AE106" s="18" t="s">
        <v>2179</v>
      </c>
      <c r="AF106" s="18" t="s">
        <v>3029</v>
      </c>
    </row>
    <row r="107" spans="1:32" x14ac:dyDescent="0.35">
      <c r="A107" t="s">
        <v>2108</v>
      </c>
      <c r="B107" t="s">
        <v>2207</v>
      </c>
      <c r="O107" t="s">
        <v>3030</v>
      </c>
      <c r="P107" t="s">
        <v>3031</v>
      </c>
      <c r="R107" s="21" t="s">
        <v>3032</v>
      </c>
      <c r="S107" s="21" t="s">
        <v>3033</v>
      </c>
      <c r="AA107" t="s">
        <v>3034</v>
      </c>
      <c r="AE107" s="18" t="s">
        <v>3035</v>
      </c>
      <c r="AF107" s="18" t="s">
        <v>3036</v>
      </c>
    </row>
    <row r="108" spans="1:32" x14ac:dyDescent="0.35">
      <c r="A108" t="s">
        <v>1944</v>
      </c>
      <c r="B108" t="s">
        <v>1834</v>
      </c>
      <c r="O108" t="s">
        <v>3037</v>
      </c>
      <c r="P108" t="s">
        <v>3038</v>
      </c>
      <c r="R108" t="s">
        <v>3039</v>
      </c>
      <c r="S108" s="21" t="s">
        <v>3040</v>
      </c>
      <c r="AA108" t="s">
        <v>3041</v>
      </c>
      <c r="AB108" t="s">
        <v>1867</v>
      </c>
      <c r="AE108" s="18" t="s">
        <v>3042</v>
      </c>
      <c r="AF108" s="18" t="s">
        <v>3043</v>
      </c>
    </row>
    <row r="109" spans="1:32" x14ac:dyDescent="0.35">
      <c r="A109" t="s">
        <v>1660</v>
      </c>
      <c r="B109" t="s">
        <v>2212</v>
      </c>
      <c r="O109" t="s">
        <v>3044</v>
      </c>
      <c r="P109" t="s">
        <v>3045</v>
      </c>
      <c r="R109" s="18" t="s">
        <v>3046</v>
      </c>
      <c r="S109" s="21" t="s">
        <v>3047</v>
      </c>
      <c r="AA109" t="s">
        <v>2761</v>
      </c>
      <c r="AB109" t="s">
        <v>3048</v>
      </c>
      <c r="AE109" s="18" t="s">
        <v>3049</v>
      </c>
      <c r="AF109" s="18" t="s">
        <v>866</v>
      </c>
    </row>
    <row r="110" spans="1:32" x14ac:dyDescent="0.35">
      <c r="A110" t="s">
        <v>2142</v>
      </c>
      <c r="B110" t="s">
        <v>2229</v>
      </c>
      <c r="O110" t="s">
        <v>3050</v>
      </c>
      <c r="P110" t="s">
        <v>3051</v>
      </c>
      <c r="R110" s="21" t="s">
        <v>3052</v>
      </c>
      <c r="S110" s="21" t="s">
        <v>3053</v>
      </c>
      <c r="AA110" t="s">
        <v>3054</v>
      </c>
      <c r="AB110" t="s">
        <v>3055</v>
      </c>
      <c r="AE110" s="18" t="s">
        <v>3056</v>
      </c>
      <c r="AF110" s="18" t="s">
        <v>3057</v>
      </c>
    </row>
    <row r="111" spans="1:32" x14ac:dyDescent="0.35">
      <c r="A111" t="s">
        <v>2127</v>
      </c>
      <c r="B111" t="s">
        <v>2220</v>
      </c>
      <c r="O111" t="s">
        <v>3058</v>
      </c>
      <c r="P111" t="s">
        <v>3059</v>
      </c>
      <c r="R111" s="21" t="s">
        <v>3060</v>
      </c>
      <c r="S111" s="21" t="s">
        <v>3061</v>
      </c>
      <c r="AA111" t="s">
        <v>3062</v>
      </c>
      <c r="AE111" s="18" t="s">
        <v>3063</v>
      </c>
      <c r="AF111" s="18" t="s">
        <v>3064</v>
      </c>
    </row>
    <row r="112" spans="1:32" x14ac:dyDescent="0.35">
      <c r="A112" t="s">
        <v>2200</v>
      </c>
      <c r="B112" t="s">
        <v>2201</v>
      </c>
      <c r="O112" t="s">
        <v>3065</v>
      </c>
      <c r="P112" t="s">
        <v>3066</v>
      </c>
      <c r="R112" s="21" t="s">
        <v>3067</v>
      </c>
      <c r="S112" s="21" t="s">
        <v>3068</v>
      </c>
      <c r="AA112" t="s">
        <v>3069</v>
      </c>
      <c r="AB112" t="s">
        <v>1977</v>
      </c>
      <c r="AE112" s="18" t="s">
        <v>3070</v>
      </c>
      <c r="AF112" s="18" t="s">
        <v>3071</v>
      </c>
    </row>
    <row r="113" spans="1:32" x14ac:dyDescent="0.35">
      <c r="A113" t="s">
        <v>2115</v>
      </c>
      <c r="B113" t="s">
        <v>2216</v>
      </c>
      <c r="O113" t="s">
        <v>3072</v>
      </c>
      <c r="P113" t="s">
        <v>3073</v>
      </c>
      <c r="R113" s="21" t="s">
        <v>3074</v>
      </c>
      <c r="S113" s="21" t="s">
        <v>3075</v>
      </c>
      <c r="AA113" t="s">
        <v>3076</v>
      </c>
      <c r="AB113" t="s">
        <v>3077</v>
      </c>
      <c r="AE113" s="18" t="s">
        <v>3078</v>
      </c>
      <c r="AF113" s="18" t="s">
        <v>3079</v>
      </c>
    </row>
    <row r="114" spans="1:32" x14ac:dyDescent="0.35">
      <c r="A114" t="s">
        <v>2122</v>
      </c>
      <c r="B114" t="s">
        <v>2218</v>
      </c>
      <c r="O114" t="s">
        <v>3080</v>
      </c>
      <c r="P114" t="s">
        <v>3066</v>
      </c>
      <c r="R114" s="19" t="s">
        <v>3081</v>
      </c>
      <c r="S114" s="18" t="s">
        <v>3082</v>
      </c>
      <c r="AA114" t="s">
        <v>3083</v>
      </c>
      <c r="AB114" t="s">
        <v>3084</v>
      </c>
      <c r="AE114" s="18" t="s">
        <v>3085</v>
      </c>
      <c r="AF114" s="18" t="s">
        <v>3086</v>
      </c>
    </row>
    <row r="115" spans="1:32" ht="29" x14ac:dyDescent="0.35">
      <c r="A115" t="s">
        <v>2208</v>
      </c>
      <c r="B115" t="s">
        <v>2209</v>
      </c>
      <c r="O115" t="s">
        <v>3087</v>
      </c>
      <c r="P115" t="s">
        <v>3073</v>
      </c>
      <c r="R115" s="21" t="s">
        <v>3088</v>
      </c>
      <c r="S115" s="21" t="s">
        <v>3089</v>
      </c>
      <c r="AA115" t="s">
        <v>12</v>
      </c>
      <c r="AB115" t="s">
        <v>2850</v>
      </c>
      <c r="AE115" s="18" t="s">
        <v>3090</v>
      </c>
      <c r="AF115" s="18" t="s">
        <v>3091</v>
      </c>
    </row>
    <row r="116" spans="1:32" x14ac:dyDescent="0.35">
      <c r="A116" t="s">
        <v>2134</v>
      </c>
      <c r="B116" t="s">
        <v>2223</v>
      </c>
      <c r="O116" t="s">
        <v>3092</v>
      </c>
      <c r="P116" t="s">
        <v>3093</v>
      </c>
      <c r="R116" s="21" t="s">
        <v>3094</v>
      </c>
      <c r="S116" s="21" t="s">
        <v>3095</v>
      </c>
      <c r="AA116" t="s">
        <v>3096</v>
      </c>
      <c r="AE116" s="18" t="s">
        <v>3097</v>
      </c>
      <c r="AF116" s="18" t="s">
        <v>3098</v>
      </c>
    </row>
    <row r="117" spans="1:32" x14ac:dyDescent="0.35">
      <c r="A117" t="s">
        <v>2079</v>
      </c>
      <c r="B117" t="s">
        <v>2225</v>
      </c>
      <c r="O117" t="s">
        <v>3099</v>
      </c>
      <c r="P117" t="s">
        <v>3100</v>
      </c>
      <c r="R117" s="21" t="s">
        <v>3101</v>
      </c>
      <c r="S117" s="21" t="s">
        <v>3102</v>
      </c>
      <c r="AA117" s="16" t="s">
        <v>3103</v>
      </c>
      <c r="AE117" s="18" t="s">
        <v>3104</v>
      </c>
      <c r="AF117" s="18" t="s">
        <v>3105</v>
      </c>
    </row>
    <row r="118" spans="1:32" x14ac:dyDescent="0.35">
      <c r="A118" t="s">
        <v>2138</v>
      </c>
      <c r="B118" t="s">
        <v>2226</v>
      </c>
      <c r="O118" t="s">
        <v>3106</v>
      </c>
      <c r="P118" t="s">
        <v>2014</v>
      </c>
      <c r="R118" s="21" t="s">
        <v>3107</v>
      </c>
      <c r="S118" s="21" t="s">
        <v>3108</v>
      </c>
      <c r="AA118" t="s">
        <v>3109</v>
      </c>
      <c r="AB118" t="s">
        <v>3110</v>
      </c>
      <c r="AE118" s="18" t="s">
        <v>3111</v>
      </c>
      <c r="AF118" s="18" t="s">
        <v>3112</v>
      </c>
    </row>
    <row r="119" spans="1:32" x14ac:dyDescent="0.35">
      <c r="A119" t="s">
        <v>2195</v>
      </c>
      <c r="B119" t="s">
        <v>2196</v>
      </c>
      <c r="O119" t="s">
        <v>3113</v>
      </c>
      <c r="R119" s="23" t="s">
        <v>3114</v>
      </c>
      <c r="S119" s="21" t="s">
        <v>3114</v>
      </c>
      <c r="AA119" t="s">
        <v>3115</v>
      </c>
      <c r="AB119" t="s">
        <v>3116</v>
      </c>
      <c r="AE119" s="18" t="s">
        <v>3117</v>
      </c>
      <c r="AF119" s="18" t="s">
        <v>3118</v>
      </c>
    </row>
    <row r="120" spans="1:32" x14ac:dyDescent="0.35">
      <c r="A120" t="s">
        <v>1687</v>
      </c>
      <c r="B120" t="s">
        <v>2199</v>
      </c>
      <c r="O120" t="s">
        <v>3119</v>
      </c>
      <c r="R120" s="21" t="s">
        <v>3120</v>
      </c>
      <c r="S120" s="21" t="s">
        <v>3121</v>
      </c>
      <c r="AA120" t="s">
        <v>3122</v>
      </c>
      <c r="AE120" s="18" t="s">
        <v>3123</v>
      </c>
      <c r="AF120" s="18" t="s">
        <v>3124</v>
      </c>
    </row>
    <row r="121" spans="1:32" x14ac:dyDescent="0.35">
      <c r="A121" s="15" t="s">
        <v>2203</v>
      </c>
      <c r="B121" s="15" t="s">
        <v>2204</v>
      </c>
      <c r="O121" t="s">
        <v>3125</v>
      </c>
      <c r="R121" s="21" t="s">
        <v>3126</v>
      </c>
      <c r="S121" s="21" t="s">
        <v>3126</v>
      </c>
      <c r="AA121" t="s">
        <v>70</v>
      </c>
      <c r="AB121" t="s">
        <v>3127</v>
      </c>
      <c r="AE121" s="18" t="s">
        <v>3128</v>
      </c>
      <c r="AF121" s="18" t="s">
        <v>3129</v>
      </c>
    </row>
    <row r="122" spans="1:32" x14ac:dyDescent="0.35">
      <c r="A122" t="s">
        <v>2197</v>
      </c>
      <c r="B122" t="s">
        <v>2198</v>
      </c>
      <c r="O122" t="s">
        <v>3130</v>
      </c>
      <c r="R122" s="23" t="s">
        <v>3131</v>
      </c>
      <c r="S122" s="21" t="s">
        <v>3132</v>
      </c>
      <c r="AA122" t="s">
        <v>3133</v>
      </c>
      <c r="AB122" t="s">
        <v>3134</v>
      </c>
      <c r="AE122" s="18" t="s">
        <v>3135</v>
      </c>
      <c r="AF122" s="18" t="s">
        <v>3136</v>
      </c>
    </row>
    <row r="123" spans="1:32" x14ac:dyDescent="0.35">
      <c r="A123" t="s">
        <v>2118</v>
      </c>
      <c r="B123" t="s">
        <v>2217</v>
      </c>
      <c r="O123" t="s">
        <v>3137</v>
      </c>
      <c r="R123" s="21" t="s">
        <v>3138</v>
      </c>
      <c r="S123" s="21" t="s">
        <v>3139</v>
      </c>
      <c r="AA123" t="s">
        <v>3140</v>
      </c>
      <c r="AE123" s="18" t="s">
        <v>3141</v>
      </c>
      <c r="AF123" s="18" t="s">
        <v>3142</v>
      </c>
    </row>
    <row r="124" spans="1:32" x14ac:dyDescent="0.35">
      <c r="A124" t="s">
        <v>2222</v>
      </c>
      <c r="B124" t="s">
        <v>2308</v>
      </c>
      <c r="O124" t="s">
        <v>3143</v>
      </c>
      <c r="P124" t="s">
        <v>2042</v>
      </c>
      <c r="R124" s="25" t="s">
        <v>3144</v>
      </c>
      <c r="S124" s="21" t="s">
        <v>3145</v>
      </c>
      <c r="AA124" t="s">
        <v>3146</v>
      </c>
      <c r="AB124" t="s">
        <v>2247</v>
      </c>
      <c r="AE124" s="18" t="s">
        <v>3147</v>
      </c>
      <c r="AF124" s="18" t="s">
        <v>3148</v>
      </c>
    </row>
    <row r="125" spans="1:32" x14ac:dyDescent="0.35">
      <c r="A125" t="s">
        <v>2072</v>
      </c>
      <c r="B125" t="s">
        <v>2228</v>
      </c>
      <c r="O125" t="s">
        <v>3149</v>
      </c>
      <c r="P125" t="s">
        <v>3150</v>
      </c>
      <c r="R125" s="19" t="s">
        <v>3151</v>
      </c>
      <c r="S125" s="18" t="s">
        <v>3152</v>
      </c>
      <c r="AA125" t="s">
        <v>3153</v>
      </c>
      <c r="AB125" t="s">
        <v>2528</v>
      </c>
      <c r="AE125" s="18" t="s">
        <v>3154</v>
      </c>
      <c r="AF125" s="18" t="s">
        <v>3155</v>
      </c>
    </row>
    <row r="126" spans="1:32" x14ac:dyDescent="0.35">
      <c r="A126" t="s">
        <v>2205</v>
      </c>
      <c r="B126" t="s">
        <v>2206</v>
      </c>
      <c r="O126" t="s">
        <v>3156</v>
      </c>
      <c r="P126" t="s">
        <v>3157</v>
      </c>
      <c r="R126" s="21" t="s">
        <v>3158</v>
      </c>
      <c r="S126" s="21" t="s">
        <v>3159</v>
      </c>
      <c r="AA126" t="s">
        <v>3022</v>
      </c>
      <c r="AB126" t="s">
        <v>3160</v>
      </c>
      <c r="AE126" s="18" t="s">
        <v>3161</v>
      </c>
      <c r="AF126" s="18" t="s">
        <v>3162</v>
      </c>
    </row>
    <row r="127" spans="1:32" x14ac:dyDescent="0.35">
      <c r="A127" t="s">
        <v>1976</v>
      </c>
      <c r="B127" t="s">
        <v>2221</v>
      </c>
      <c r="O127" t="s">
        <v>2457</v>
      </c>
      <c r="P127" t="s">
        <v>2458</v>
      </c>
      <c r="R127" s="18" t="s">
        <v>3163</v>
      </c>
      <c r="S127" s="21" t="s">
        <v>3164</v>
      </c>
      <c r="AA127" t="s">
        <v>3165</v>
      </c>
      <c r="AB127" t="s">
        <v>3166</v>
      </c>
      <c r="AE127" s="18" t="s">
        <v>3167</v>
      </c>
      <c r="AF127" s="18" t="s">
        <v>3168</v>
      </c>
    </row>
    <row r="128" spans="1:32" x14ac:dyDescent="0.35">
      <c r="A128" t="s">
        <v>2144</v>
      </c>
      <c r="B128" t="s">
        <v>2231</v>
      </c>
      <c r="O128" t="s">
        <v>3169</v>
      </c>
      <c r="P128" t="s">
        <v>3073</v>
      </c>
      <c r="R128" s="21" t="s">
        <v>3170</v>
      </c>
      <c r="S128" s="21" t="s">
        <v>3171</v>
      </c>
      <c r="AA128" t="s">
        <v>3172</v>
      </c>
      <c r="AB128" t="s">
        <v>1996</v>
      </c>
      <c r="AE128" s="18" t="s">
        <v>3173</v>
      </c>
      <c r="AF128" s="18" t="s">
        <v>3174</v>
      </c>
    </row>
    <row r="129" spans="1:32" x14ac:dyDescent="0.35">
      <c r="A129" t="s">
        <v>2146</v>
      </c>
      <c r="B129" t="s">
        <v>2232</v>
      </c>
      <c r="O129" t="s">
        <v>3175</v>
      </c>
      <c r="P129" t="s">
        <v>3176</v>
      </c>
      <c r="R129" s="21" t="s">
        <v>3177</v>
      </c>
      <c r="S129" s="21" t="s">
        <v>3178</v>
      </c>
      <c r="AA129" t="s">
        <v>3179</v>
      </c>
      <c r="AB129" t="s">
        <v>3180</v>
      </c>
      <c r="AE129" s="18" t="s">
        <v>3181</v>
      </c>
      <c r="AF129" s="18" t="s">
        <v>3182</v>
      </c>
    </row>
    <row r="130" spans="1:32" x14ac:dyDescent="0.35">
      <c r="A130" t="s">
        <v>2105</v>
      </c>
      <c r="B130" t="s">
        <v>2233</v>
      </c>
      <c r="O130" t="s">
        <v>3183</v>
      </c>
      <c r="P130" t="s">
        <v>3051</v>
      </c>
      <c r="R130" s="23" t="s">
        <v>3184</v>
      </c>
      <c r="S130" s="21" t="s">
        <v>3185</v>
      </c>
      <c r="AA130" t="s">
        <v>3186</v>
      </c>
      <c r="AB130" t="s">
        <v>3187</v>
      </c>
      <c r="AE130" s="18" t="s">
        <v>3188</v>
      </c>
      <c r="AF130" s="18" t="s">
        <v>3189</v>
      </c>
    </row>
    <row r="131" spans="1:32" x14ac:dyDescent="0.35">
      <c r="A131" t="s">
        <v>1801</v>
      </c>
      <c r="B131" t="s">
        <v>2234</v>
      </c>
      <c r="O131" t="s">
        <v>3190</v>
      </c>
      <c r="P131" t="s">
        <v>3059</v>
      </c>
      <c r="R131" s="21" t="s">
        <v>3191</v>
      </c>
      <c r="S131" s="21" t="s">
        <v>3185</v>
      </c>
      <c r="AA131" t="s">
        <v>3035</v>
      </c>
      <c r="AE131" s="18" t="s">
        <v>3192</v>
      </c>
      <c r="AF131" s="18" t="s">
        <v>3193</v>
      </c>
    </row>
    <row r="132" spans="1:32" x14ac:dyDescent="0.35">
      <c r="A132" t="s">
        <v>1590</v>
      </c>
      <c r="B132" t="s">
        <v>2237</v>
      </c>
      <c r="O132" t="s">
        <v>3194</v>
      </c>
      <c r="R132" s="21" t="s">
        <v>3195</v>
      </c>
      <c r="S132" s="21" t="s">
        <v>3196</v>
      </c>
      <c r="AA132" t="s">
        <v>3197</v>
      </c>
      <c r="AE132" s="18" t="s">
        <v>3198</v>
      </c>
      <c r="AF132" s="18" t="s">
        <v>3199</v>
      </c>
    </row>
    <row r="133" spans="1:32" x14ac:dyDescent="0.35">
      <c r="A133" t="s">
        <v>65</v>
      </c>
      <c r="B133" t="s">
        <v>1568</v>
      </c>
      <c r="O133" t="s">
        <v>3200</v>
      </c>
      <c r="P133" t="s">
        <v>3201</v>
      </c>
      <c r="R133" s="26" t="s">
        <v>3202</v>
      </c>
      <c r="S133" s="21" t="s">
        <v>3203</v>
      </c>
      <c r="AA133" t="s">
        <v>3204</v>
      </c>
      <c r="AB133" t="s">
        <v>3205</v>
      </c>
      <c r="AE133" s="18" t="s">
        <v>3206</v>
      </c>
      <c r="AF133" s="18" t="s">
        <v>3207</v>
      </c>
    </row>
    <row r="134" spans="1:32" x14ac:dyDescent="0.35">
      <c r="A134" t="s">
        <v>2149</v>
      </c>
      <c r="B134" t="s">
        <v>2235</v>
      </c>
      <c r="O134" t="s">
        <v>3208</v>
      </c>
      <c r="P134" t="s">
        <v>3209</v>
      </c>
      <c r="R134" s="21" t="s">
        <v>3210</v>
      </c>
      <c r="S134" s="21" t="s">
        <v>3210</v>
      </c>
      <c r="AA134" t="s">
        <v>3211</v>
      </c>
      <c r="AB134" t="s">
        <v>3212</v>
      </c>
      <c r="AE134" s="18" t="s">
        <v>3213</v>
      </c>
      <c r="AF134" s="18" t="s">
        <v>3214</v>
      </c>
    </row>
    <row r="135" spans="1:32" x14ac:dyDescent="0.35">
      <c r="A135" t="s">
        <v>2064</v>
      </c>
      <c r="B135" t="s">
        <v>2238</v>
      </c>
      <c r="O135" t="s">
        <v>3215</v>
      </c>
      <c r="P135" t="s">
        <v>3216</v>
      </c>
      <c r="R135" s="22" t="s">
        <v>3217</v>
      </c>
      <c r="S135" s="21" t="s">
        <v>3218</v>
      </c>
      <c r="AA135" t="s">
        <v>3219</v>
      </c>
      <c r="AE135" s="18" t="s">
        <v>3220</v>
      </c>
      <c r="AF135" s="18" t="s">
        <v>3221</v>
      </c>
    </row>
    <row r="136" spans="1:32" x14ac:dyDescent="0.35">
      <c r="A136" t="s">
        <v>2150</v>
      </c>
      <c r="B136" t="s">
        <v>2243</v>
      </c>
      <c r="O136" t="s">
        <v>3222</v>
      </c>
      <c r="P136" t="s">
        <v>3223</v>
      </c>
      <c r="R136" s="21" t="s">
        <v>3224</v>
      </c>
      <c r="S136" s="21" t="s">
        <v>3224</v>
      </c>
      <c r="AA136" t="s">
        <v>3225</v>
      </c>
      <c r="AE136" s="18" t="s">
        <v>3226</v>
      </c>
      <c r="AF136" s="18" t="s">
        <v>3227</v>
      </c>
    </row>
    <row r="137" spans="1:32" x14ac:dyDescent="0.35">
      <c r="A137" t="s">
        <v>1938</v>
      </c>
      <c r="B137" t="s">
        <v>2240</v>
      </c>
      <c r="O137" t="s">
        <v>3228</v>
      </c>
      <c r="P137" t="s">
        <v>3229</v>
      </c>
      <c r="R137" t="s">
        <v>3230</v>
      </c>
      <c r="S137" s="21" t="s">
        <v>3231</v>
      </c>
      <c r="AA137" t="s">
        <v>3232</v>
      </c>
      <c r="AB137" t="s">
        <v>3233</v>
      </c>
      <c r="AE137" s="18" t="s">
        <v>3234</v>
      </c>
      <c r="AF137" s="18" t="s">
        <v>3235</v>
      </c>
    </row>
    <row r="138" spans="1:32" x14ac:dyDescent="0.35">
      <c r="A138" t="s">
        <v>2155</v>
      </c>
      <c r="B138" t="s">
        <v>2241</v>
      </c>
      <c r="O138" t="s">
        <v>3236</v>
      </c>
      <c r="R138" s="21" t="s">
        <v>3237</v>
      </c>
      <c r="S138" s="21" t="s">
        <v>3238</v>
      </c>
      <c r="AA138" t="s">
        <v>3233</v>
      </c>
      <c r="AB138" t="s">
        <v>3239</v>
      </c>
      <c r="AE138" s="18" t="s">
        <v>3240</v>
      </c>
      <c r="AF138" s="18" t="s">
        <v>3241</v>
      </c>
    </row>
    <row r="139" spans="1:32" x14ac:dyDescent="0.35">
      <c r="A139" t="s">
        <v>2099</v>
      </c>
      <c r="B139" t="s">
        <v>2239</v>
      </c>
      <c r="O139" t="s">
        <v>3242</v>
      </c>
      <c r="R139" s="21" t="s">
        <v>3243</v>
      </c>
      <c r="S139" s="21" t="s">
        <v>3244</v>
      </c>
      <c r="AA139" t="s">
        <v>3239</v>
      </c>
      <c r="AB139" t="s">
        <v>3245</v>
      </c>
      <c r="AE139" s="18" t="s">
        <v>3246</v>
      </c>
      <c r="AF139" s="18" t="s">
        <v>3247</v>
      </c>
    </row>
    <row r="140" spans="1:32" x14ac:dyDescent="0.35">
      <c r="A140" t="s">
        <v>2161</v>
      </c>
      <c r="B140" t="s">
        <v>2244</v>
      </c>
      <c r="R140" s="21" t="s">
        <v>2887</v>
      </c>
      <c r="S140" s="21" t="s">
        <v>2887</v>
      </c>
      <c r="AA140" t="s">
        <v>3248</v>
      </c>
      <c r="AB140" t="s">
        <v>3249</v>
      </c>
      <c r="AE140" s="18" t="s">
        <v>3250</v>
      </c>
      <c r="AF140" s="18" t="s">
        <v>3251</v>
      </c>
    </row>
    <row r="141" spans="1:32" x14ac:dyDescent="0.35">
      <c r="A141" t="s">
        <v>2248</v>
      </c>
      <c r="B141" t="s">
        <v>2249</v>
      </c>
      <c r="R141" s="21" t="s">
        <v>3252</v>
      </c>
      <c r="S141" s="21" t="s">
        <v>3252</v>
      </c>
      <c r="AA141" t="s">
        <v>3249</v>
      </c>
      <c r="AB141" t="s">
        <v>3253</v>
      </c>
      <c r="AE141" s="18" t="s">
        <v>3254</v>
      </c>
      <c r="AF141" s="18" t="s">
        <v>3255</v>
      </c>
    </row>
    <row r="142" spans="1:32" x14ac:dyDescent="0.35">
      <c r="A142" t="s">
        <v>2246</v>
      </c>
      <c r="B142" t="s">
        <v>2247</v>
      </c>
      <c r="R142" s="21" t="s">
        <v>3256</v>
      </c>
      <c r="S142" s="21" t="s">
        <v>3257</v>
      </c>
      <c r="AA142" t="s">
        <v>3258</v>
      </c>
      <c r="AB142" t="s">
        <v>3259</v>
      </c>
      <c r="AE142" s="18" t="s">
        <v>3260</v>
      </c>
      <c r="AF142" s="18" t="s">
        <v>3261</v>
      </c>
    </row>
    <row r="143" spans="1:32" x14ac:dyDescent="0.35">
      <c r="A143" t="s">
        <v>2175</v>
      </c>
      <c r="B143" t="s">
        <v>2253</v>
      </c>
      <c r="R143" s="21" t="s">
        <v>3262</v>
      </c>
      <c r="S143" s="21" t="s">
        <v>3263</v>
      </c>
      <c r="AA143" t="s">
        <v>3264</v>
      </c>
      <c r="AB143" t="s">
        <v>3265</v>
      </c>
      <c r="AE143" s="18" t="s">
        <v>3266</v>
      </c>
      <c r="AF143" s="18" t="s">
        <v>3267</v>
      </c>
    </row>
    <row r="144" spans="1:32" x14ac:dyDescent="0.35">
      <c r="A144" t="s">
        <v>1733</v>
      </c>
      <c r="B144" t="s">
        <v>2254</v>
      </c>
      <c r="R144" s="21" t="s">
        <v>3268</v>
      </c>
      <c r="S144" s="21" t="s">
        <v>3269</v>
      </c>
      <c r="AA144" t="s">
        <v>3270</v>
      </c>
      <c r="AE144" s="18" t="s">
        <v>3271</v>
      </c>
      <c r="AF144" s="18" t="s">
        <v>3272</v>
      </c>
    </row>
    <row r="145" spans="1:32" x14ac:dyDescent="0.35">
      <c r="A145" t="s">
        <v>1906</v>
      </c>
      <c r="B145" t="s">
        <v>2251</v>
      </c>
      <c r="R145" s="21" t="s">
        <v>3273</v>
      </c>
      <c r="S145" s="21" t="s">
        <v>3273</v>
      </c>
      <c r="AE145" s="18" t="s">
        <v>3274</v>
      </c>
      <c r="AF145" s="18" t="s">
        <v>868</v>
      </c>
    </row>
    <row r="146" spans="1:32" x14ac:dyDescent="0.35">
      <c r="A146" t="s">
        <v>2252</v>
      </c>
      <c r="B146" t="s">
        <v>2260</v>
      </c>
      <c r="R146" s="21" t="s">
        <v>3275</v>
      </c>
      <c r="S146" s="21" t="s">
        <v>3276</v>
      </c>
      <c r="AE146" s="18" t="s">
        <v>3277</v>
      </c>
      <c r="AF146" s="18" t="s">
        <v>870</v>
      </c>
    </row>
    <row r="147" spans="1:32" x14ac:dyDescent="0.35">
      <c r="A147" t="s">
        <v>2091</v>
      </c>
      <c r="B147" t="s">
        <v>2256</v>
      </c>
      <c r="R147" s="21" t="s">
        <v>70</v>
      </c>
      <c r="S147" s="21" t="s">
        <v>70</v>
      </c>
      <c r="AE147" s="18" t="s">
        <v>3278</v>
      </c>
      <c r="AF147" s="18" t="s">
        <v>3279</v>
      </c>
    </row>
    <row r="148" spans="1:32" x14ac:dyDescent="0.35">
      <c r="A148" t="s">
        <v>2259</v>
      </c>
      <c r="B148" t="s">
        <v>2261</v>
      </c>
      <c r="R148" s="21" t="s">
        <v>3280</v>
      </c>
      <c r="S148" s="21" t="s">
        <v>3281</v>
      </c>
      <c r="AE148" s="18" t="s">
        <v>3282</v>
      </c>
      <c r="AF148" s="18" t="s">
        <v>3283</v>
      </c>
    </row>
    <row r="149" spans="1:32" x14ac:dyDescent="0.35">
      <c r="A149" t="s">
        <v>2033</v>
      </c>
      <c r="B149" t="s">
        <v>2258</v>
      </c>
      <c r="R149" s="21" t="s">
        <v>3284</v>
      </c>
      <c r="S149" s="21" t="s">
        <v>3285</v>
      </c>
      <c r="AE149" s="18" t="s">
        <v>3286</v>
      </c>
      <c r="AF149" s="18" t="s">
        <v>3287</v>
      </c>
    </row>
    <row r="150" spans="1:32" x14ac:dyDescent="0.35">
      <c r="A150" t="s">
        <v>2186</v>
      </c>
      <c r="B150" t="s">
        <v>1929</v>
      </c>
      <c r="R150" s="21" t="s">
        <v>3288</v>
      </c>
      <c r="S150" s="21" t="s">
        <v>3289</v>
      </c>
      <c r="AE150" s="18" t="s">
        <v>3290</v>
      </c>
      <c r="AF150" s="18" t="s">
        <v>3291</v>
      </c>
    </row>
    <row r="151" spans="1:32" x14ac:dyDescent="0.35">
      <c r="A151" t="s">
        <v>2016</v>
      </c>
      <c r="B151" t="s">
        <v>2263</v>
      </c>
      <c r="R151" s="21" t="s">
        <v>3292</v>
      </c>
      <c r="S151" s="21" t="s">
        <v>2573</v>
      </c>
      <c r="AE151" s="18" t="s">
        <v>3293</v>
      </c>
      <c r="AF151" s="18" t="s">
        <v>3294</v>
      </c>
    </row>
    <row r="152" spans="1:32" x14ac:dyDescent="0.35">
      <c r="A152" t="s">
        <v>2188</v>
      </c>
      <c r="B152" t="s">
        <v>2264</v>
      </c>
      <c r="R152" s="21" t="s">
        <v>3295</v>
      </c>
      <c r="S152" s="21" t="s">
        <v>3296</v>
      </c>
      <c r="AE152" s="18" t="s">
        <v>3297</v>
      </c>
      <c r="AF152" s="18" t="s">
        <v>3298</v>
      </c>
    </row>
    <row r="153" spans="1:32" x14ac:dyDescent="0.35">
      <c r="A153" t="s">
        <v>2193</v>
      </c>
      <c r="B153" t="s">
        <v>2267</v>
      </c>
      <c r="R153" s="21" t="s">
        <v>191</v>
      </c>
      <c r="S153" s="21" t="s">
        <v>3299</v>
      </c>
      <c r="AE153" s="18" t="s">
        <v>3211</v>
      </c>
      <c r="AF153" s="18" t="s">
        <v>2042</v>
      </c>
    </row>
    <row r="154" spans="1:32" x14ac:dyDescent="0.35">
      <c r="A154" t="s">
        <v>2181</v>
      </c>
      <c r="B154" t="s">
        <v>2269</v>
      </c>
      <c r="R154" s="28" t="s">
        <v>3300</v>
      </c>
      <c r="S154" s="21" t="s">
        <v>3301</v>
      </c>
      <c r="AE154" s="18" t="s">
        <v>3302</v>
      </c>
      <c r="AF154" s="18" t="s">
        <v>872</v>
      </c>
    </row>
    <row r="155" spans="1:32" x14ac:dyDescent="0.35">
      <c r="A155" t="s">
        <v>2190</v>
      </c>
      <c r="B155" t="s">
        <v>2266</v>
      </c>
      <c r="R155" s="21" t="s">
        <v>3303</v>
      </c>
      <c r="S155" s="21" t="s">
        <v>3304</v>
      </c>
      <c r="AE155" s="18" t="s">
        <v>3305</v>
      </c>
      <c r="AF155" s="18" t="s">
        <v>3306</v>
      </c>
    </row>
    <row r="156" spans="1:32" x14ac:dyDescent="0.35">
      <c r="A156" t="s">
        <v>1608</v>
      </c>
      <c r="B156" t="s">
        <v>2268</v>
      </c>
      <c r="R156" s="21" t="s">
        <v>3307</v>
      </c>
      <c r="S156" s="21" t="s">
        <v>3308</v>
      </c>
      <c r="AE156" s="18" t="s">
        <v>3309</v>
      </c>
      <c r="AF156" s="18" t="s">
        <v>3310</v>
      </c>
    </row>
    <row r="157" spans="1:32" x14ac:dyDescent="0.35">
      <c r="A157" s="15" t="s">
        <v>2299</v>
      </c>
      <c r="B157" s="15" t="s">
        <v>2300</v>
      </c>
      <c r="R157" s="21" t="s">
        <v>3311</v>
      </c>
      <c r="S157" s="21" t="s">
        <v>3312</v>
      </c>
      <c r="AE157" s="18" t="s">
        <v>3313</v>
      </c>
      <c r="AF157" s="18" t="s">
        <v>3314</v>
      </c>
    </row>
    <row r="158" spans="1:32" x14ac:dyDescent="0.35">
      <c r="A158" t="s">
        <v>2158</v>
      </c>
      <c r="B158" t="s">
        <v>2270</v>
      </c>
      <c r="R158" s="27" t="s">
        <v>3315</v>
      </c>
      <c r="S158" s="21" t="s">
        <v>3301</v>
      </c>
      <c r="AE158" s="18" t="s">
        <v>3316</v>
      </c>
      <c r="AF158" s="18" t="s">
        <v>3317</v>
      </c>
    </row>
    <row r="159" spans="1:32" x14ac:dyDescent="0.35">
      <c r="A159" t="s">
        <v>2179</v>
      </c>
      <c r="B159" t="s">
        <v>2272</v>
      </c>
      <c r="R159" s="21" t="s">
        <v>3318</v>
      </c>
      <c r="S159" s="21" t="s">
        <v>3319</v>
      </c>
      <c r="AE159" s="18" t="s">
        <v>3320</v>
      </c>
      <c r="AF159" s="18" t="s">
        <v>3321</v>
      </c>
    </row>
    <row r="160" spans="1:32" x14ac:dyDescent="0.35">
      <c r="A160" t="s">
        <v>1931</v>
      </c>
      <c r="B160" t="s">
        <v>2275</v>
      </c>
      <c r="R160" s="21" t="s">
        <v>3322</v>
      </c>
      <c r="S160" s="21" t="s">
        <v>2964</v>
      </c>
      <c r="AE160" s="18" t="s">
        <v>3323</v>
      </c>
      <c r="AF160" s="18" t="s">
        <v>2131</v>
      </c>
    </row>
    <row r="161" spans="1:32" x14ac:dyDescent="0.35">
      <c r="A161" t="s">
        <v>2284</v>
      </c>
      <c r="B161" t="s">
        <v>2285</v>
      </c>
      <c r="R161" s="21" t="s">
        <v>3324</v>
      </c>
      <c r="S161" s="21" t="s">
        <v>3325</v>
      </c>
      <c r="AE161" s="18" t="s">
        <v>3326</v>
      </c>
      <c r="AF161" s="18" t="s">
        <v>3327</v>
      </c>
    </row>
    <row r="162" spans="1:32" x14ac:dyDescent="0.35">
      <c r="A162" t="s">
        <v>2287</v>
      </c>
      <c r="B162" t="s">
        <v>2288</v>
      </c>
      <c r="R162" s="21" t="s">
        <v>3328</v>
      </c>
      <c r="S162" s="21" t="s">
        <v>3329</v>
      </c>
      <c r="AE162" s="18" t="s">
        <v>3330</v>
      </c>
      <c r="AF162" s="18" t="s">
        <v>3331</v>
      </c>
    </row>
    <row r="163" spans="1:32" x14ac:dyDescent="0.35">
      <c r="A163" s="15" t="s">
        <v>2277</v>
      </c>
      <c r="B163" s="15" t="s">
        <v>2278</v>
      </c>
      <c r="R163" s="21" t="s">
        <v>3332</v>
      </c>
      <c r="S163" s="21" t="s">
        <v>3333</v>
      </c>
    </row>
    <row r="164" spans="1:32" x14ac:dyDescent="0.35">
      <c r="A164" s="15" t="s">
        <v>2279</v>
      </c>
      <c r="B164" s="15" t="s">
        <v>2280</v>
      </c>
      <c r="R164" s="21" t="s">
        <v>3334</v>
      </c>
      <c r="S164" s="21" t="s">
        <v>3335</v>
      </c>
    </row>
    <row r="165" spans="1:32" x14ac:dyDescent="0.35">
      <c r="A165" t="s">
        <v>1758</v>
      </c>
      <c r="B165" t="s">
        <v>2276</v>
      </c>
      <c r="R165" s="21" t="s">
        <v>3336</v>
      </c>
      <c r="S165" s="21" t="s">
        <v>3337</v>
      </c>
    </row>
    <row r="166" spans="1:32" x14ac:dyDescent="0.35">
      <c r="A166" t="s">
        <v>1992</v>
      </c>
      <c r="B166" t="s">
        <v>2281</v>
      </c>
      <c r="R166" s="21" t="s">
        <v>3338</v>
      </c>
      <c r="S166" s="21" t="s">
        <v>3339</v>
      </c>
    </row>
    <row r="167" spans="1:32" x14ac:dyDescent="0.35">
      <c r="A167" t="s">
        <v>2290</v>
      </c>
      <c r="B167" t="s">
        <v>2291</v>
      </c>
      <c r="R167" s="21" t="s">
        <v>3340</v>
      </c>
      <c r="S167" s="21" t="s">
        <v>3341</v>
      </c>
    </row>
    <row r="168" spans="1:32" x14ac:dyDescent="0.35">
      <c r="A168" t="s">
        <v>1749</v>
      </c>
      <c r="B168" t="s">
        <v>2282</v>
      </c>
      <c r="R168" s="21" t="s">
        <v>3342</v>
      </c>
      <c r="S168" s="21" t="s">
        <v>3343</v>
      </c>
    </row>
    <row r="169" spans="1:32" x14ac:dyDescent="0.35">
      <c r="A169" t="s">
        <v>1971</v>
      </c>
      <c r="B169" t="s">
        <v>2289</v>
      </c>
      <c r="R169" s="21" t="s">
        <v>3344</v>
      </c>
      <c r="S169" s="21" t="s">
        <v>3345</v>
      </c>
    </row>
    <row r="170" spans="1:32" x14ac:dyDescent="0.35">
      <c r="A170" t="s">
        <v>2202</v>
      </c>
      <c r="B170" t="s">
        <v>2274</v>
      </c>
      <c r="R170" s="21" t="s">
        <v>3346</v>
      </c>
      <c r="S170" s="21" t="s">
        <v>3347</v>
      </c>
    </row>
    <row r="171" spans="1:32" x14ac:dyDescent="0.35">
      <c r="A171" t="s">
        <v>1984</v>
      </c>
      <c r="B171" t="s">
        <v>2292</v>
      </c>
      <c r="R171" s="21" t="s">
        <v>2300</v>
      </c>
      <c r="S171" s="21" t="s">
        <v>2300</v>
      </c>
    </row>
    <row r="172" spans="1:32" x14ac:dyDescent="0.35">
      <c r="A172" t="s">
        <v>1919</v>
      </c>
      <c r="B172" t="s">
        <v>2301</v>
      </c>
      <c r="R172" s="21" t="s">
        <v>3348</v>
      </c>
      <c r="S172" s="21" t="s">
        <v>3349</v>
      </c>
    </row>
    <row r="173" spans="1:32" x14ac:dyDescent="0.35">
      <c r="A173" t="s">
        <v>2294</v>
      </c>
      <c r="B173" t="s">
        <v>2295</v>
      </c>
      <c r="R173" s="21" t="s">
        <v>3350</v>
      </c>
      <c r="S173" s="21" t="s">
        <v>3351</v>
      </c>
    </row>
    <row r="174" spans="1:32" x14ac:dyDescent="0.35">
      <c r="A174" t="s">
        <v>2213</v>
      </c>
      <c r="B174" t="s">
        <v>2297</v>
      </c>
      <c r="R174" s="21" t="s">
        <v>3352</v>
      </c>
      <c r="S174" s="21" t="s">
        <v>3353</v>
      </c>
    </row>
    <row r="175" spans="1:32" x14ac:dyDescent="0.35">
      <c r="A175" t="s">
        <v>2177</v>
      </c>
      <c r="B175" t="s">
        <v>2302</v>
      </c>
      <c r="R175" s="21" t="s">
        <v>3354</v>
      </c>
      <c r="S175" s="21" t="s">
        <v>3354</v>
      </c>
    </row>
    <row r="176" spans="1:32" x14ac:dyDescent="0.35">
      <c r="A176" t="s">
        <v>2058</v>
      </c>
      <c r="B176" t="s">
        <v>2303</v>
      </c>
      <c r="R176" s="21" t="s">
        <v>3355</v>
      </c>
      <c r="S176" s="21" t="s">
        <v>3356</v>
      </c>
    </row>
    <row r="177" spans="1:19" x14ac:dyDescent="0.35">
      <c r="A177" t="s">
        <v>2245</v>
      </c>
      <c r="B177" t="s">
        <v>2306</v>
      </c>
      <c r="R177" s="21" t="s">
        <v>3357</v>
      </c>
      <c r="S177" s="21" t="s">
        <v>3358</v>
      </c>
    </row>
    <row r="178" spans="1:19" x14ac:dyDescent="0.35">
      <c r="A178" t="s">
        <v>2219</v>
      </c>
      <c r="B178" t="s">
        <v>2304</v>
      </c>
      <c r="R178" s="23" t="s">
        <v>3359</v>
      </c>
      <c r="S178" s="21" t="s">
        <v>3360</v>
      </c>
    </row>
    <row r="179" spans="1:19" x14ac:dyDescent="0.35">
      <c r="A179" t="s">
        <v>2317</v>
      </c>
      <c r="B179" t="s">
        <v>2318</v>
      </c>
      <c r="R179" s="21" t="s">
        <v>3361</v>
      </c>
      <c r="S179" s="21" t="s">
        <v>3362</v>
      </c>
    </row>
    <row r="180" spans="1:19" x14ac:dyDescent="0.35">
      <c r="A180" t="s">
        <v>2293</v>
      </c>
      <c r="B180" t="s">
        <v>2309</v>
      </c>
      <c r="R180" s="24" t="s">
        <v>3363</v>
      </c>
      <c r="S180" s="21" t="s">
        <v>3364</v>
      </c>
    </row>
    <row r="181" spans="1:19" x14ac:dyDescent="0.35">
      <c r="A181" t="s">
        <v>1575</v>
      </c>
      <c r="B181" t="s">
        <v>2307</v>
      </c>
      <c r="R181" s="21" t="s">
        <v>3365</v>
      </c>
      <c r="S181" s="21" t="s">
        <v>3366</v>
      </c>
    </row>
    <row r="182" spans="1:19" x14ac:dyDescent="0.35">
      <c r="A182" t="s">
        <v>3367</v>
      </c>
      <c r="B182" t="s">
        <v>3368</v>
      </c>
      <c r="R182" s="21" t="s">
        <v>3369</v>
      </c>
      <c r="S182" s="21" t="s">
        <v>3370</v>
      </c>
    </row>
    <row r="183" spans="1:19" x14ac:dyDescent="0.35">
      <c r="A183" t="s">
        <v>2224</v>
      </c>
      <c r="B183" t="s">
        <v>2310</v>
      </c>
      <c r="R183" s="21" t="s">
        <v>3371</v>
      </c>
      <c r="S183" s="21" t="s">
        <v>3372</v>
      </c>
    </row>
    <row r="184" spans="1:19" x14ac:dyDescent="0.35">
      <c r="A184" t="s">
        <v>2296</v>
      </c>
      <c r="B184" t="s">
        <v>2311</v>
      </c>
      <c r="R184" s="21" t="s">
        <v>3373</v>
      </c>
      <c r="S184" s="21" t="s">
        <v>2318</v>
      </c>
    </row>
    <row r="185" spans="1:19" x14ac:dyDescent="0.35">
      <c r="A185" t="s">
        <v>2250</v>
      </c>
      <c r="B185" t="s">
        <v>2313</v>
      </c>
      <c r="R185" s="21" t="s">
        <v>3374</v>
      </c>
      <c r="S185" s="21" t="s">
        <v>3375</v>
      </c>
    </row>
    <row r="186" spans="1:19" x14ac:dyDescent="0.35">
      <c r="A186" t="s">
        <v>2320</v>
      </c>
      <c r="B186" t="s">
        <v>2321</v>
      </c>
      <c r="R186" s="21" t="s">
        <v>3376</v>
      </c>
      <c r="S186" s="21" t="s">
        <v>3377</v>
      </c>
    </row>
    <row r="187" spans="1:19" x14ac:dyDescent="0.35">
      <c r="A187" t="s">
        <v>1784</v>
      </c>
      <c r="B187" t="s">
        <v>2315</v>
      </c>
      <c r="R187" s="21" t="s">
        <v>3378</v>
      </c>
      <c r="S187" s="21" t="s">
        <v>3379</v>
      </c>
    </row>
    <row r="188" spans="1:19" x14ac:dyDescent="0.35">
      <c r="A188" t="s">
        <v>1734</v>
      </c>
      <c r="B188" t="s">
        <v>1735</v>
      </c>
      <c r="R188" s="21" t="s">
        <v>3380</v>
      </c>
      <c r="S188" s="21" t="s">
        <v>3381</v>
      </c>
    </row>
    <row r="189" spans="1:19" x14ac:dyDescent="0.35">
      <c r="A189" t="s">
        <v>1753</v>
      </c>
      <c r="B189" t="s">
        <v>1754</v>
      </c>
      <c r="R189" s="21" t="s">
        <v>3382</v>
      </c>
      <c r="S189" s="21" t="s">
        <v>3383</v>
      </c>
    </row>
    <row r="190" spans="1:19" x14ac:dyDescent="0.35">
      <c r="A190" t="s">
        <v>1744</v>
      </c>
      <c r="B190" t="s">
        <v>1745</v>
      </c>
      <c r="R190" s="21" t="s">
        <v>3384</v>
      </c>
      <c r="S190" s="21" t="s">
        <v>3385</v>
      </c>
    </row>
    <row r="191" spans="1:19" x14ac:dyDescent="0.35">
      <c r="A191" t="s">
        <v>1728</v>
      </c>
      <c r="B191" t="s">
        <v>1729</v>
      </c>
      <c r="R191" s="21" t="s">
        <v>3386</v>
      </c>
      <c r="S191" s="21" t="s">
        <v>3387</v>
      </c>
    </row>
    <row r="192" spans="1:19" x14ac:dyDescent="0.35">
      <c r="A192" t="s">
        <v>1607</v>
      </c>
      <c r="B192" t="s">
        <v>1761</v>
      </c>
      <c r="R192" s="21" t="s">
        <v>3388</v>
      </c>
      <c r="S192" s="21" t="s">
        <v>3389</v>
      </c>
    </row>
    <row r="193" spans="1:19" x14ac:dyDescent="0.35">
      <c r="A193" t="s">
        <v>1769</v>
      </c>
      <c r="B193" t="s">
        <v>1770</v>
      </c>
      <c r="R193" s="21" t="s">
        <v>3390</v>
      </c>
      <c r="S193" s="21" t="s">
        <v>3391</v>
      </c>
    </row>
    <row r="194" spans="1:19" x14ac:dyDescent="0.35">
      <c r="A194" t="s">
        <v>1778</v>
      </c>
      <c r="B194" t="s">
        <v>1779</v>
      </c>
      <c r="R194" s="21" t="s">
        <v>3392</v>
      </c>
      <c r="S194" s="21" t="s">
        <v>2313</v>
      </c>
    </row>
    <row r="195" spans="1:19" x14ac:dyDescent="0.35">
      <c r="A195" t="s">
        <v>2227</v>
      </c>
      <c r="B195" t="s">
        <v>2322</v>
      </c>
      <c r="R195" s="21" t="s">
        <v>3393</v>
      </c>
      <c r="S195" s="21" t="s">
        <v>3394</v>
      </c>
    </row>
    <row r="196" spans="1:19" x14ac:dyDescent="0.35">
      <c r="A196" t="s">
        <v>2139</v>
      </c>
      <c r="B196" t="s">
        <v>2323</v>
      </c>
      <c r="R196" s="8" t="s">
        <v>3395</v>
      </c>
      <c r="S196" s="21" t="s">
        <v>3395</v>
      </c>
    </row>
    <row r="197" spans="1:19" x14ac:dyDescent="0.35">
      <c r="A197" t="s">
        <v>1638</v>
      </c>
      <c r="B197" t="s">
        <v>1639</v>
      </c>
      <c r="R197" s="21" t="s">
        <v>3396</v>
      </c>
      <c r="S197" s="21" t="s">
        <v>3397</v>
      </c>
    </row>
    <row r="198" spans="1:19" x14ac:dyDescent="0.35">
      <c r="A198" t="s">
        <v>2265</v>
      </c>
      <c r="B198" t="s">
        <v>2334</v>
      </c>
      <c r="R198" t="s">
        <v>3398</v>
      </c>
      <c r="S198" s="21" t="s">
        <v>3399</v>
      </c>
    </row>
    <row r="199" spans="1:19" x14ac:dyDescent="0.35">
      <c r="A199" t="s">
        <v>2004</v>
      </c>
      <c r="B199" t="s">
        <v>2326</v>
      </c>
      <c r="R199" s="21" t="s">
        <v>3400</v>
      </c>
      <c r="S199" s="21" t="s">
        <v>3401</v>
      </c>
    </row>
    <row r="200" spans="1:19" x14ac:dyDescent="0.35">
      <c r="A200" t="s">
        <v>1699</v>
      </c>
      <c r="B200" t="s">
        <v>2325</v>
      </c>
      <c r="R200" s="21" t="s">
        <v>3402</v>
      </c>
      <c r="S200" s="21" t="s">
        <v>3403</v>
      </c>
    </row>
    <row r="201" spans="1:19" x14ac:dyDescent="0.35">
      <c r="A201" t="s">
        <v>2086</v>
      </c>
      <c r="B201" t="s">
        <v>2328</v>
      </c>
      <c r="R201" s="21" t="s">
        <v>3404</v>
      </c>
      <c r="S201" s="21" t="s">
        <v>3405</v>
      </c>
    </row>
    <row r="202" spans="1:19" x14ac:dyDescent="0.35">
      <c r="A202" t="s">
        <v>1712</v>
      </c>
      <c r="B202" t="s">
        <v>2331</v>
      </c>
      <c r="R202" s="21" t="s">
        <v>3406</v>
      </c>
      <c r="S202" s="21" t="s">
        <v>3407</v>
      </c>
    </row>
    <row r="203" spans="1:19" x14ac:dyDescent="0.35">
      <c r="A203" t="s">
        <v>2242</v>
      </c>
      <c r="B203" t="s">
        <v>2332</v>
      </c>
      <c r="R203" s="21" t="s">
        <v>3408</v>
      </c>
      <c r="S203" s="21" t="s">
        <v>3409</v>
      </c>
    </row>
    <row r="204" spans="1:19" x14ac:dyDescent="0.35">
      <c r="A204" t="s">
        <v>2176</v>
      </c>
      <c r="B204" t="s">
        <v>2336</v>
      </c>
      <c r="R204" s="21" t="s">
        <v>3410</v>
      </c>
      <c r="S204" s="21" t="s">
        <v>3411</v>
      </c>
    </row>
    <row r="205" spans="1:19" x14ac:dyDescent="0.35">
      <c r="A205" t="s">
        <v>2103</v>
      </c>
      <c r="R205" s="21" t="s">
        <v>3412</v>
      </c>
      <c r="S205" s="21" t="s">
        <v>3412</v>
      </c>
    </row>
    <row r="206" spans="1:19" x14ac:dyDescent="0.35">
      <c r="A206" t="s">
        <v>2187</v>
      </c>
      <c r="R206" s="21" t="s">
        <v>3413</v>
      </c>
      <c r="S206" s="21" t="s">
        <v>3414</v>
      </c>
    </row>
    <row r="207" spans="1:19" x14ac:dyDescent="0.35">
      <c r="A207" t="s">
        <v>3415</v>
      </c>
      <c r="B207" t="s">
        <v>3416</v>
      </c>
      <c r="R207" s="23" t="s">
        <v>3417</v>
      </c>
      <c r="S207" s="21" t="s">
        <v>3418</v>
      </c>
    </row>
    <row r="208" spans="1:19" x14ac:dyDescent="0.35">
      <c r="R208" s="21" t="s">
        <v>3419</v>
      </c>
      <c r="S208" s="21" t="s">
        <v>3419</v>
      </c>
    </row>
    <row r="209" spans="18:19" x14ac:dyDescent="0.35">
      <c r="R209" s="21" t="s">
        <v>3420</v>
      </c>
      <c r="S209" s="21" t="s">
        <v>3421</v>
      </c>
    </row>
    <row r="210" spans="18:19" x14ac:dyDescent="0.35">
      <c r="R210" s="21" t="s">
        <v>3422</v>
      </c>
      <c r="S210" s="21" t="s">
        <v>3423</v>
      </c>
    </row>
    <row r="211" spans="18:19" x14ac:dyDescent="0.35">
      <c r="R211" s="21" t="s">
        <v>3424</v>
      </c>
      <c r="S211" s="21" t="s">
        <v>3424</v>
      </c>
    </row>
    <row r="212" spans="18:19" x14ac:dyDescent="0.35">
      <c r="R212" s="23" t="s">
        <v>3425</v>
      </c>
      <c r="S212" s="21" t="s">
        <v>3425</v>
      </c>
    </row>
    <row r="213" spans="18:19" x14ac:dyDescent="0.35">
      <c r="R213" s="21" t="s">
        <v>3426</v>
      </c>
      <c r="S213" s="21" t="s">
        <v>3427</v>
      </c>
    </row>
    <row r="214" spans="18:19" x14ac:dyDescent="0.35">
      <c r="R214" s="21" t="s">
        <v>3428</v>
      </c>
      <c r="S214" s="21" t="s">
        <v>3429</v>
      </c>
    </row>
    <row r="215" spans="18:19" x14ac:dyDescent="0.35">
      <c r="R215" s="21" t="s">
        <v>3430</v>
      </c>
      <c r="S215" s="21" t="s">
        <v>3431</v>
      </c>
    </row>
    <row r="216" spans="18:19" x14ac:dyDescent="0.35">
      <c r="R216" s="21" t="s">
        <v>3432</v>
      </c>
      <c r="S216" s="21" t="s">
        <v>3433</v>
      </c>
    </row>
    <row r="217" spans="18:19" x14ac:dyDescent="0.35">
      <c r="R217" s="21" t="s">
        <v>3434</v>
      </c>
      <c r="S217" s="21" t="s">
        <v>3434</v>
      </c>
    </row>
    <row r="218" spans="18:19" x14ac:dyDescent="0.35">
      <c r="R218" s="21" t="s">
        <v>3435</v>
      </c>
      <c r="S218" s="21" t="s">
        <v>3436</v>
      </c>
    </row>
    <row r="219" spans="18:19" x14ac:dyDescent="0.35">
      <c r="R219" s="18" t="s">
        <v>3437</v>
      </c>
      <c r="S219" s="21" t="s">
        <v>3438</v>
      </c>
    </row>
    <row r="220" spans="18:19" x14ac:dyDescent="0.35">
      <c r="R220" s="21" t="s">
        <v>3439</v>
      </c>
      <c r="S220" s="21" t="s">
        <v>3440</v>
      </c>
    </row>
    <row r="221" spans="18:19" x14ac:dyDescent="0.35">
      <c r="R221" s="21" t="s">
        <v>3441</v>
      </c>
      <c r="S221" s="21" t="s">
        <v>3442</v>
      </c>
    </row>
    <row r="222" spans="18:19" x14ac:dyDescent="0.35">
      <c r="R222" s="21" t="s">
        <v>3443</v>
      </c>
      <c r="S222" s="21" t="s">
        <v>3444</v>
      </c>
    </row>
    <row r="223" spans="18:19" x14ac:dyDescent="0.35">
      <c r="R223" t="s">
        <v>3445</v>
      </c>
      <c r="S223" t="s">
        <v>3446</v>
      </c>
    </row>
    <row r="224" spans="18:19" x14ac:dyDescent="0.35">
      <c r="R224" t="s">
        <v>3447</v>
      </c>
      <c r="S224" t="s">
        <v>3448</v>
      </c>
    </row>
    <row r="225" spans="18:19" x14ac:dyDescent="0.35">
      <c r="R225" t="s">
        <v>3449</v>
      </c>
      <c r="S225" t="s">
        <v>3450</v>
      </c>
    </row>
    <row r="226" spans="18:19" x14ac:dyDescent="0.35">
      <c r="R226" t="s">
        <v>3451</v>
      </c>
      <c r="S226" t="s">
        <v>3452</v>
      </c>
    </row>
    <row r="227" spans="18:19" x14ac:dyDescent="0.35">
      <c r="R227" t="s">
        <v>3453</v>
      </c>
      <c r="S227" t="s">
        <v>3454</v>
      </c>
    </row>
  </sheetData>
  <autoFilter ref="R1:S220" xr:uid="{51480F41-FAA8-47B6-826C-4944B805AC78}">
    <sortState xmlns:xlrd2="http://schemas.microsoft.com/office/spreadsheetml/2017/richdata2" ref="R2:S220">
      <sortCondition ref="R1:R220"/>
    </sortState>
  </autoFilter>
  <sortState xmlns:xlrd2="http://schemas.microsoft.com/office/spreadsheetml/2017/richdata2" ref="AE2:AF162">
    <sortCondition ref="AE2:AE162"/>
  </sortState>
  <conditionalFormatting sqref="I2:I42">
    <cfRule type="duplicateValues" dxfId="4" priority="150"/>
  </conditionalFormatting>
  <conditionalFormatting sqref="R1">
    <cfRule type="duplicateValues" dxfId="3" priority="2"/>
  </conditionalFormatting>
  <conditionalFormatting sqref="R205">
    <cfRule type="duplicateValues" dxfId="2" priority="3"/>
  </conditionalFormatting>
  <conditionalFormatting sqref="R213 R215 R221:R1048576">
    <cfRule type="duplicateValues" dxfId="1" priority="49"/>
  </conditionalFormatting>
  <conditionalFormatting sqref="Y2:Y24">
    <cfRule type="duplicateValues" dxfId="0" priority="94"/>
  </conditionalFormatting>
  <dataValidations count="1">
    <dataValidation type="list" allowBlank="1" showInputMessage="1" showErrorMessage="1" sqref="O2:O138" xr:uid="{62BDBA87-9628-4A32-BB7E-9CD1CBE765BA}">
      <formula1>$O$2:$O$138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9500-3C2F-4B95-AEEB-AAF2B966461E}">
  <sheetPr>
    <tabColor rgb="FFFF0000"/>
  </sheetPr>
  <dimension ref="A1:AD306"/>
  <sheetViews>
    <sheetView workbookViewId="0">
      <selection activeCell="I10" sqref="I10"/>
    </sheetView>
  </sheetViews>
  <sheetFormatPr defaultRowHeight="14.5" x14ac:dyDescent="0.35"/>
  <cols>
    <col min="1" max="1" width="43.7265625" bestFit="1" customWidth="1"/>
    <col min="2" max="2" width="70.54296875" bestFit="1" customWidth="1"/>
  </cols>
  <sheetData>
    <row r="1" spans="1:30" x14ac:dyDescent="0.35">
      <c r="A1" s="1" t="s">
        <v>3455</v>
      </c>
      <c r="B1" s="1" t="s">
        <v>3456</v>
      </c>
      <c r="Z1" t="s">
        <v>3455</v>
      </c>
      <c r="AA1" t="s">
        <v>3457</v>
      </c>
      <c r="AB1" t="s">
        <v>3458</v>
      </c>
      <c r="AC1" t="s">
        <v>3459</v>
      </c>
      <c r="AD1" t="s">
        <v>3460</v>
      </c>
    </row>
    <row r="2" spans="1:30" x14ac:dyDescent="0.35">
      <c r="A2" t="str">
        <f>AC2&amp;AB2&amp;"NCKPI"&amp;AB2&amp;AA2&amp;AB2&amp;'Data Validations'!I2&amp;'DB Entry Sheet (Engineers Only)'!AB2&amp;'DB Entry Sheet (Engineers Only)'!AA2&amp;'DB Entry Sheet (Engineers Only)'!AB2&amp;'Data Validations'!H2&amp;'DB Entry Sheet (Engineers Only)'!AB2&amp;'DB Entry Sheet (Engineers Only)'!AD2</f>
        <v>('NCKPI', 'BR', 'Bounce Rate'),</v>
      </c>
      <c r="B2" t="str">
        <f>AC2&amp;AB2&amp;"NCKPI"&amp;AB2&amp;AA2&amp;AB2&amp;'Data Validations'!P2&amp;'DB Entry Sheet (Engineers Only)'!AB2&amp;'DB Entry Sheet (Engineers Only)'!AA2&amp;'DB Entry Sheet (Engineers Only)'!AB2&amp;'Data Validations'!O2&amp;'DB Entry Sheet (Engineers Only)'!AB2&amp;'DB Entry Sheet (Engineers Only)'!AD2</f>
        <v>('NCKPI', '0x0', '0x0'),</v>
      </c>
      <c r="AA2" t="s">
        <v>3461</v>
      </c>
      <c r="AB2" s="29" t="s">
        <v>3462</v>
      </c>
      <c r="AC2" t="s">
        <v>3463</v>
      </c>
      <c r="AD2" t="s">
        <v>3464</v>
      </c>
    </row>
    <row r="3" spans="1:30" x14ac:dyDescent="0.35">
      <c r="A3" t="str">
        <f>AC3&amp;AB3&amp;"NCKPI"&amp;AB3&amp;AA3&amp;AB3&amp;'Data Validations'!I3&amp;'DB Entry Sheet (Engineers Only)'!AB3&amp;'DB Entry Sheet (Engineers Only)'!AA3&amp;'DB Entry Sheet (Engineers Only)'!AB3&amp;'Data Validations'!H3&amp;'DB Entry Sheet (Engineers Only)'!AB3&amp;'DB Entry Sheet (Engineers Only)'!AD3</f>
        <v>('NCKPI', 'BA', 'Brand Awareness'),</v>
      </c>
      <c r="B3" t="str">
        <f>AC3&amp;AB3&amp;"NCKPI"&amp;AB3&amp;AA3&amp;AB3&amp;'Data Validations'!P3&amp;'DB Entry Sheet (Engineers Only)'!AB3&amp;'DB Entry Sheet (Engineers Only)'!AA3&amp;'DB Entry Sheet (Engineers Only)'!AB3&amp;'Data Validations'!O3&amp;'DB Entry Sheet (Engineers Only)'!AB3&amp;'DB Entry Sheet (Engineers Only)'!AD3</f>
        <v>('NCKPI', '1024x1280', '1024x1280'),</v>
      </c>
      <c r="AA3" t="s">
        <v>3461</v>
      </c>
      <c r="AB3" s="29" t="s">
        <v>3462</v>
      </c>
      <c r="AC3" t="s">
        <v>3463</v>
      </c>
      <c r="AD3" t="s">
        <v>3464</v>
      </c>
    </row>
    <row r="4" spans="1:30" x14ac:dyDescent="0.35">
      <c r="A4" t="str">
        <f>AC4&amp;AB4&amp;"NCKPI"&amp;AB4&amp;AA4&amp;AB4&amp;'Data Validations'!I4&amp;'DB Entry Sheet (Engineers Only)'!AB4&amp;'DB Entry Sheet (Engineers Only)'!AA4&amp;'DB Entry Sheet (Engineers Only)'!AB4&amp;'Data Validations'!H4&amp;'DB Entry Sheet (Engineers Only)'!AB4&amp;'DB Entry Sheet (Engineers Only)'!AD4</f>
        <v>('NCKPI', 'CTR', 'Click Through Rate'),</v>
      </c>
      <c r="B4" t="str">
        <f>AC4&amp;AB4&amp;"NCKPI"&amp;AB4&amp;AA4&amp;AB4&amp;'Data Validations'!P4&amp;'DB Entry Sheet (Engineers Only)'!AB4&amp;'DB Entry Sheet (Engineers Only)'!AA4&amp;'DB Entry Sheet (Engineers Only)'!AB4&amp;'Data Validations'!O4&amp;'DB Entry Sheet (Engineers Only)'!AB4&amp;'DB Entry Sheet (Engineers Only)'!AD4</f>
        <v>('NCKPI', '1024x768', '1024x768'),</v>
      </c>
      <c r="AA4" t="s">
        <v>3461</v>
      </c>
      <c r="AB4" s="29" t="s">
        <v>3462</v>
      </c>
      <c r="AC4" t="s">
        <v>3463</v>
      </c>
      <c r="AD4" t="s">
        <v>3464</v>
      </c>
    </row>
    <row r="5" spans="1:30" x14ac:dyDescent="0.35">
      <c r="A5" t="str">
        <f>AC5&amp;AB5&amp;"NCKPI"&amp;AB5&amp;AA5&amp;AB5&amp;'Data Validations'!I5&amp;'DB Entry Sheet (Engineers Only)'!AB5&amp;'DB Entry Sheet (Engineers Only)'!AA5&amp;'DB Entry Sheet (Engineers Only)'!AB5&amp;'Data Validations'!H5&amp;'DB Entry Sheet (Engineers Only)'!AB5&amp;'DB Entry Sheet (Engineers Only)'!AD5</f>
        <v>('NCKPI', 'CLC', 'Clicks'),</v>
      </c>
      <c r="B5" t="str">
        <f>AC5&amp;AB5&amp;"NCKPI"&amp;AB5&amp;AA5&amp;AB5&amp;'Data Validations'!P5&amp;'DB Entry Sheet (Engineers Only)'!AB5&amp;'DB Entry Sheet (Engineers Only)'!AA5&amp;'DB Entry Sheet (Engineers Only)'!AB5&amp;'Data Validations'!O5&amp;'DB Entry Sheet (Engineers Only)'!AB5&amp;'DB Entry Sheet (Engineers Only)'!AD5</f>
        <v>('NCKPI', '1064x1536', '1064x1536'),</v>
      </c>
      <c r="AA5" t="s">
        <v>3461</v>
      </c>
      <c r="AB5" s="29" t="s">
        <v>3462</v>
      </c>
      <c r="AC5" t="s">
        <v>3463</v>
      </c>
      <c r="AD5" t="s">
        <v>3464</v>
      </c>
    </row>
    <row r="6" spans="1:30" x14ac:dyDescent="0.35">
      <c r="A6" t="str">
        <f>AC6&amp;AB6&amp;"NCKPI"&amp;AB6&amp;AA6&amp;AB6&amp;'Data Validations'!I6&amp;'DB Entry Sheet (Engineers Only)'!AB6&amp;'DB Entry Sheet (Engineers Only)'!AA6&amp;'DB Entry Sheet (Engineers Only)'!AB6&amp;'Data Validations'!H6&amp;'DB Entry Sheet (Engineers Only)'!AB6&amp;'DB Entry Sheet (Engineers Only)'!AD6</f>
        <v>('NCKPI', 'CVN', 'Conversion'),</v>
      </c>
      <c r="B6" t="str">
        <f>AC6&amp;AB6&amp;"NCKPI"&amp;AB6&amp;AA6&amp;AB6&amp;'Data Validations'!P6&amp;'DB Entry Sheet (Engineers Only)'!AB6&amp;'DB Entry Sheet (Engineers Only)'!AA6&amp;'DB Entry Sheet (Engineers Only)'!AB6&amp;'Data Validations'!O6&amp;'DB Entry Sheet (Engineers Only)'!AB6&amp;'DB Entry Sheet (Engineers Only)'!AD6</f>
        <v>('NCKPI', '1080x1080', '1080x1080'),</v>
      </c>
      <c r="AA6" t="s">
        <v>3461</v>
      </c>
      <c r="AB6" s="29" t="s">
        <v>3462</v>
      </c>
      <c r="AC6" t="s">
        <v>3463</v>
      </c>
      <c r="AD6" t="s">
        <v>3464</v>
      </c>
    </row>
    <row r="7" spans="1:30" x14ac:dyDescent="0.35">
      <c r="A7" t="str">
        <f>AC7&amp;AB7&amp;"NCKPI"&amp;AB7&amp;AA7&amp;AB7&amp;'Data Validations'!I7&amp;'DB Entry Sheet (Engineers Only)'!AB7&amp;'DB Entry Sheet (Engineers Only)'!AA7&amp;'DB Entry Sheet (Engineers Only)'!AB7&amp;'Data Validations'!H7&amp;'DB Entry Sheet (Engineers Only)'!AB7&amp;'DB Entry Sheet (Engineers Only)'!AD7</f>
        <v>('NCKPI', 'CVR', 'Conversion Rate'),</v>
      </c>
      <c r="B7" t="str">
        <f>AC7&amp;AB7&amp;"NCKPI"&amp;AB7&amp;AA7&amp;AB7&amp;'Data Validations'!P7&amp;'DB Entry Sheet (Engineers Only)'!AB7&amp;'DB Entry Sheet (Engineers Only)'!AA7&amp;'DB Entry Sheet (Engineers Only)'!AB7&amp;'Data Validations'!O7&amp;'DB Entry Sheet (Engineers Only)'!AB7&amp;'DB Entry Sheet (Engineers Only)'!AD7</f>
        <v>('NCKPI', '1080x1920', '1080x1920'),</v>
      </c>
      <c r="AA7" t="s">
        <v>3461</v>
      </c>
      <c r="AB7" s="29" t="s">
        <v>3462</v>
      </c>
      <c r="AC7" t="s">
        <v>3463</v>
      </c>
      <c r="AD7" t="s">
        <v>3464</v>
      </c>
    </row>
    <row r="8" spans="1:30" x14ac:dyDescent="0.35">
      <c r="A8" t="str">
        <f>AC8&amp;AB8&amp;"NCKPI"&amp;AB8&amp;AA8&amp;AB8&amp;'Data Validations'!I8&amp;'DB Entry Sheet (Engineers Only)'!AB8&amp;'DB Entry Sheet (Engineers Only)'!AA8&amp;'DB Entry Sheet (Engineers Only)'!AB8&amp;'Data Validations'!H8&amp;'DB Entry Sheet (Engineers Only)'!AB8&amp;'DB Entry Sheet (Engineers Only)'!AD8</f>
        <v>('NCKPI', 'CPA', 'Cost Per Acquisition'),</v>
      </c>
      <c r="B8" t="str">
        <f>AC8&amp;AB8&amp;"NCKPI"&amp;AB8&amp;AA8&amp;AB8&amp;'Data Validations'!P8&amp;'DB Entry Sheet (Engineers Only)'!AB8&amp;'DB Entry Sheet (Engineers Only)'!AA8&amp;'DB Entry Sheet (Engineers Only)'!AB8&amp;'Data Validations'!O8&amp;'DB Entry Sheet (Engineers Only)'!AB8&amp;'DB Entry Sheet (Engineers Only)'!AD8</f>
        <v>('NCKPI', '1200x400', '1200x400'),</v>
      </c>
      <c r="AA8" t="s">
        <v>3461</v>
      </c>
      <c r="AB8" s="29" t="s">
        <v>3462</v>
      </c>
      <c r="AC8" t="s">
        <v>3463</v>
      </c>
      <c r="AD8" t="s">
        <v>3464</v>
      </c>
    </row>
    <row r="9" spans="1:30" x14ac:dyDescent="0.35">
      <c r="A9" t="str">
        <f>AC9&amp;AB9&amp;"NCKPI"&amp;AB9&amp;AA9&amp;AB9&amp;'Data Validations'!I9&amp;'DB Entry Sheet (Engineers Only)'!AB9&amp;'DB Entry Sheet (Engineers Only)'!AA9&amp;'DB Entry Sheet (Engineers Only)'!AB9&amp;'Data Validations'!H9&amp;'DB Entry Sheet (Engineers Only)'!AB9&amp;'DB Entry Sheet (Engineers Only)'!AD9</f>
        <v>('NCKPI', 'CPATC', 'Cost Per Add to Cart '),</v>
      </c>
      <c r="B9" t="str">
        <f>AC9&amp;AB9&amp;"NCKPI"&amp;AB9&amp;AA9&amp;AB9&amp;'Data Validations'!P9&amp;'DB Entry Sheet (Engineers Only)'!AB9&amp;'DB Entry Sheet (Engineers Only)'!AA9&amp;'DB Entry Sheet (Engineers Only)'!AB9&amp;'Data Validations'!O9&amp;'DB Entry Sheet (Engineers Only)'!AB9&amp;'DB Entry Sheet (Engineers Only)'!AD9</f>
        <v>('NCKPI', '120x240', '120x240'),</v>
      </c>
      <c r="AA9" t="s">
        <v>3461</v>
      </c>
      <c r="AB9" s="29" t="s">
        <v>3462</v>
      </c>
      <c r="AC9" t="s">
        <v>3463</v>
      </c>
      <c r="AD9" t="s">
        <v>3464</v>
      </c>
    </row>
    <row r="10" spans="1:30" x14ac:dyDescent="0.35">
      <c r="A10" t="str">
        <f>AC10&amp;AB10&amp;"NCKPI"&amp;AB10&amp;AA10&amp;AB10&amp;'Data Validations'!I10&amp;'DB Entry Sheet (Engineers Only)'!AB10&amp;'DB Entry Sheet (Engineers Only)'!AA10&amp;'DB Entry Sheet (Engineers Only)'!AB10&amp;'Data Validations'!H10&amp;'DB Entry Sheet (Engineers Only)'!AB10&amp;'DB Entry Sheet (Engineers Only)'!AD10</f>
        <v>('NCKPI', 'CPC', 'Cost Per Click'),</v>
      </c>
      <c r="B10" t="str">
        <f>AC10&amp;AB10&amp;"NCKPI"&amp;AB10&amp;AA10&amp;AB10&amp;'Data Validations'!P10&amp;'DB Entry Sheet (Engineers Only)'!AB10&amp;'DB Entry Sheet (Engineers Only)'!AA10&amp;'DB Entry Sheet (Engineers Only)'!AB10&amp;'Data Validations'!O10&amp;'DB Entry Sheet (Engineers Only)'!AB10&amp;'DB Entry Sheet (Engineers Only)'!AD10</f>
        <v>('NCKPI', '120x60', '120x60'),</v>
      </c>
      <c r="AA10" t="s">
        <v>3461</v>
      </c>
      <c r="AB10" s="29" t="s">
        <v>3462</v>
      </c>
      <c r="AC10" t="s">
        <v>3463</v>
      </c>
      <c r="AD10" t="s">
        <v>3464</v>
      </c>
    </row>
    <row r="11" spans="1:30" x14ac:dyDescent="0.35">
      <c r="A11" t="str">
        <f>AC11&amp;AB11&amp;"NCKPI"&amp;AB11&amp;AA11&amp;AB11&amp;'Data Validations'!I11&amp;'DB Entry Sheet (Engineers Only)'!AB11&amp;'DB Entry Sheet (Engineers Only)'!AA11&amp;'DB Entry Sheet (Engineers Only)'!AB11&amp;'Data Validations'!H11&amp;'DB Entry Sheet (Engineers Only)'!AB11&amp;'DB Entry Sheet (Engineers Only)'!AD11</f>
        <v>('NCKPI', 'CPE', 'Cost Per Engagement'),</v>
      </c>
      <c r="B11" t="str">
        <f>AC11&amp;AB11&amp;"NCKPI"&amp;AB11&amp;AA11&amp;AB11&amp;'Data Validations'!P11&amp;'DB Entry Sheet (Engineers Only)'!AB11&amp;'DB Entry Sheet (Engineers Only)'!AA11&amp;'DB Entry Sheet (Engineers Only)'!AB11&amp;'Data Validations'!O11&amp;'DB Entry Sheet (Engineers Only)'!AB11&amp;'DB Entry Sheet (Engineers Only)'!AD11</f>
        <v>('NCKPI', '120x600', '120x600'),</v>
      </c>
      <c r="AA11" t="s">
        <v>3461</v>
      </c>
      <c r="AB11" s="29" t="s">
        <v>3462</v>
      </c>
      <c r="AC11" t="s">
        <v>3463</v>
      </c>
      <c r="AD11" t="s">
        <v>3464</v>
      </c>
    </row>
    <row r="12" spans="1:30" x14ac:dyDescent="0.35">
      <c r="A12" t="str">
        <f>AC12&amp;AB12&amp;"NCKPI"&amp;AB12&amp;AA12&amp;AB12&amp;'Data Validations'!I12&amp;'DB Entry Sheet (Engineers Only)'!AB12&amp;'DB Entry Sheet (Engineers Only)'!AA12&amp;'DB Entry Sheet (Engineers Only)'!AB12&amp;'Data Validations'!H12&amp;'DB Entry Sheet (Engineers Only)'!AB12&amp;'DB Entry Sheet (Engineers Only)'!AD12</f>
        <v>('NCKPI', 'CPLPV', 'Cost Per Landing Page View'),</v>
      </c>
      <c r="B12" t="str">
        <f>AC12&amp;AB12&amp;"NCKPI"&amp;AB12&amp;AA12&amp;AB12&amp;'Data Validations'!P12&amp;'DB Entry Sheet (Engineers Only)'!AB12&amp;'DB Entry Sheet (Engineers Only)'!AA12&amp;'DB Entry Sheet (Engineers Only)'!AB12&amp;'Data Validations'!O12&amp;'DB Entry Sheet (Engineers Only)'!AB12&amp;'DB Entry Sheet (Engineers Only)'!AD12</f>
        <v>('NCKPI', '120x90', '120x90'),</v>
      </c>
      <c r="AA12" t="s">
        <v>3461</v>
      </c>
      <c r="AB12" s="29" t="s">
        <v>3462</v>
      </c>
      <c r="AC12" t="s">
        <v>3463</v>
      </c>
      <c r="AD12" t="s">
        <v>3464</v>
      </c>
    </row>
    <row r="13" spans="1:30" x14ac:dyDescent="0.35">
      <c r="A13" t="str">
        <f>AC13&amp;AB13&amp;"NCKPI"&amp;AB13&amp;AA13&amp;AB13&amp;'Data Validations'!I13&amp;'DB Entry Sheet (Engineers Only)'!AB13&amp;'DB Entry Sheet (Engineers Only)'!AA13&amp;'DB Entry Sheet (Engineers Only)'!AB13&amp;'Data Validations'!H13&amp;'DB Entry Sheet (Engineers Only)'!AB13&amp;'DB Entry Sheet (Engineers Only)'!AD13</f>
        <v>('NCKPI', 'CPL', 'Cost Per Lead'),</v>
      </c>
      <c r="B13" t="str">
        <f>AC13&amp;AB13&amp;"NCKPI"&amp;AB13&amp;AA13&amp;AB13&amp;'Data Validations'!P13&amp;'DB Entry Sheet (Engineers Only)'!AB13&amp;'DB Entry Sheet (Engineers Only)'!AA13&amp;'DB Entry Sheet (Engineers Only)'!AB13&amp;'Data Validations'!O13&amp;'DB Entry Sheet (Engineers Only)'!AB13&amp;'DB Entry Sheet (Engineers Only)'!AD13</f>
        <v>('NCKPI', '125x125', '125x125'),</v>
      </c>
      <c r="AA13" t="s">
        <v>3461</v>
      </c>
      <c r="AB13" s="29" t="s">
        <v>3462</v>
      </c>
      <c r="AC13" t="s">
        <v>3463</v>
      </c>
      <c r="AD13" t="s">
        <v>3464</v>
      </c>
    </row>
    <row r="14" spans="1:30" x14ac:dyDescent="0.35">
      <c r="A14" t="str">
        <f>AC14&amp;AB14&amp;"NCKPI"&amp;AB14&amp;AA14&amp;AB14&amp;'Data Validations'!I14&amp;'DB Entry Sheet (Engineers Only)'!AB14&amp;'DB Entry Sheet (Engineers Only)'!AA14&amp;'DB Entry Sheet (Engineers Only)'!AB14&amp;'Data Validations'!H14&amp;'DB Entry Sheet (Engineers Only)'!AB14&amp;'DB Entry Sheet (Engineers Only)'!AD14</f>
        <v>('NCKPI', 'CPRP', 'Cost Per Reach Point'),</v>
      </c>
      <c r="B14" t="str">
        <f>AC14&amp;AB14&amp;"NCKPI"&amp;AB14&amp;AA14&amp;AB14&amp;'Data Validations'!P14&amp;'DB Entry Sheet (Engineers Only)'!AB14&amp;'DB Entry Sheet (Engineers Only)'!AA14&amp;'DB Entry Sheet (Engineers Only)'!AB14&amp;'Data Validations'!O14&amp;'DB Entry Sheet (Engineers Only)'!AB14&amp;'DB Entry Sheet (Engineers Only)'!AD14</f>
        <v>('NCKPI', '1280x100', '1280x100'),</v>
      </c>
      <c r="AA14" t="s">
        <v>3461</v>
      </c>
      <c r="AB14" s="29" t="s">
        <v>3462</v>
      </c>
      <c r="AC14" t="s">
        <v>3463</v>
      </c>
      <c r="AD14" t="s">
        <v>3464</v>
      </c>
    </row>
    <row r="15" spans="1:30" x14ac:dyDescent="0.35">
      <c r="A15" t="str">
        <f>AC15&amp;AB15&amp;"NCKPI"&amp;AB15&amp;AA15&amp;AB15&amp;'Data Validations'!I15&amp;'DB Entry Sheet (Engineers Only)'!AB15&amp;'DB Entry Sheet (Engineers Only)'!AA15&amp;'DB Entry Sheet (Engineers Only)'!AB15&amp;'Data Validations'!H15&amp;'DB Entry Sheet (Engineers Only)'!AB15&amp;'DB Entry Sheet (Engineers Only)'!AD15</f>
        <v>('NCKPI', 'CPM', 'Cost Per Thousand'),</v>
      </c>
      <c r="B15" t="str">
        <f>AC15&amp;AB15&amp;"NCKPI"&amp;AB15&amp;AA15&amp;AB15&amp;'Data Validations'!P15&amp;'DB Entry Sheet (Engineers Only)'!AB15&amp;'DB Entry Sheet (Engineers Only)'!AA15&amp;'DB Entry Sheet (Engineers Only)'!AB15&amp;'Data Validations'!O15&amp;'DB Entry Sheet (Engineers Only)'!AB15&amp;'DB Entry Sheet (Engineers Only)'!AD15</f>
        <v>('NCKPI', '1280x720', '1280x720'),</v>
      </c>
      <c r="AA15" t="s">
        <v>3461</v>
      </c>
      <c r="AB15" s="29" t="s">
        <v>3462</v>
      </c>
      <c r="AC15" t="s">
        <v>3463</v>
      </c>
      <c r="AD15" t="s">
        <v>3464</v>
      </c>
    </row>
    <row r="16" spans="1:30" x14ac:dyDescent="0.35">
      <c r="A16" t="str">
        <f>AC16&amp;AB16&amp;"NCKPI"&amp;AB16&amp;AA16&amp;AB16&amp;'Data Validations'!I16&amp;'DB Entry Sheet (Engineers Only)'!AB16&amp;'DB Entry Sheet (Engineers Only)'!AA16&amp;'DB Entry Sheet (Engineers Only)'!AB16&amp;'Data Validations'!H16&amp;'DB Entry Sheet (Engineers Only)'!AB16&amp;'DB Entry Sheet (Engineers Only)'!AD16</f>
        <v>('NCKPI', 'CPU', 'Cost Per Unit'),</v>
      </c>
      <c r="B16" t="str">
        <f>AC16&amp;AB16&amp;"NCKPI"&amp;AB16&amp;AA16&amp;AB16&amp;'Data Validations'!P16&amp;'DB Entry Sheet (Engineers Only)'!AB16&amp;'DB Entry Sheet (Engineers Only)'!AA16&amp;'DB Entry Sheet (Engineers Only)'!AB16&amp;'Data Validations'!O16&amp;'DB Entry Sheet (Engineers Only)'!AB16&amp;'DB Entry Sheet (Engineers Only)'!AD16</f>
        <v>('NCKPI', '1400x400', '1400x400'),</v>
      </c>
      <c r="AA16" t="s">
        <v>3461</v>
      </c>
      <c r="AB16" s="29" t="s">
        <v>3462</v>
      </c>
      <c r="AC16" t="s">
        <v>3463</v>
      </c>
      <c r="AD16" t="s">
        <v>3464</v>
      </c>
    </row>
    <row r="17" spans="1:30" x14ac:dyDescent="0.35">
      <c r="A17" t="str">
        <f>AC17&amp;AB17&amp;"NCKPI"&amp;AB17&amp;AA17&amp;AB17&amp;'Data Validations'!I17&amp;'DB Entry Sheet (Engineers Only)'!AB17&amp;'DB Entry Sheet (Engineers Only)'!AA17&amp;'DB Entry Sheet (Engineers Only)'!AB17&amp;'Data Validations'!H17&amp;'DB Entry Sheet (Engineers Only)'!AB17&amp;'DB Entry Sheet (Engineers Only)'!AD17</f>
        <v>('NCKPI', 'CPV', 'Cost Per View'),</v>
      </c>
      <c r="B17" t="str">
        <f>AC17&amp;AB17&amp;"NCKPI"&amp;AB17&amp;AA17&amp;AB17&amp;'Data Validations'!P17&amp;'DB Entry Sheet (Engineers Only)'!AB17&amp;'DB Entry Sheet (Engineers Only)'!AA17&amp;'DB Entry Sheet (Engineers Only)'!AB17&amp;'Data Validations'!O17&amp;'DB Entry Sheet (Engineers Only)'!AB17&amp;'DB Entry Sheet (Engineers Only)'!AD17</f>
        <v>('NCKPI', '1400x500', '1400x500'),</v>
      </c>
      <c r="AA17" t="s">
        <v>3461</v>
      </c>
      <c r="AB17" s="29" t="s">
        <v>3462</v>
      </c>
      <c r="AC17" t="s">
        <v>3463</v>
      </c>
      <c r="AD17" t="s">
        <v>3464</v>
      </c>
    </row>
    <row r="18" spans="1:30" x14ac:dyDescent="0.35">
      <c r="A18" t="str">
        <f>AC18&amp;AB18&amp;"NCKPI"&amp;AB18&amp;AA18&amp;AB18&amp;'Data Validations'!I18&amp;'DB Entry Sheet (Engineers Only)'!AB18&amp;'DB Entry Sheet (Engineers Only)'!AA18&amp;'DB Entry Sheet (Engineers Only)'!AB18&amp;'Data Validations'!H18&amp;'DB Entry Sheet (Engineers Only)'!AB18&amp;'DB Entry Sheet (Engineers Only)'!AD18</f>
        <v>('NCKPI', 'DPVR', 'Detail Page View Rate'),</v>
      </c>
      <c r="B18" t="str">
        <f>AC18&amp;AB18&amp;"NCKPI"&amp;AB18&amp;AA18&amp;AB18&amp;'Data Validations'!P18&amp;'DB Entry Sheet (Engineers Only)'!AB18&amp;'DB Entry Sheet (Engineers Only)'!AA18&amp;'DB Entry Sheet (Engineers Only)'!AB18&amp;'Data Validations'!O18&amp;'DB Entry Sheet (Engineers Only)'!AB18&amp;'DB Entry Sheet (Engineers Only)'!AD18</f>
        <v>('NCKPI', '1440x600', '1440x600'),</v>
      </c>
      <c r="AA18" t="s">
        <v>3461</v>
      </c>
      <c r="AB18" s="29" t="s">
        <v>3462</v>
      </c>
      <c r="AC18" t="s">
        <v>3463</v>
      </c>
      <c r="AD18" t="s">
        <v>3464</v>
      </c>
    </row>
    <row r="19" spans="1:30" x14ac:dyDescent="0.35">
      <c r="A19" t="str">
        <f>AC19&amp;AB19&amp;"NCKPI"&amp;AB19&amp;AA19&amp;AB19&amp;'Data Validations'!I19&amp;'DB Entry Sheet (Engineers Only)'!AB19&amp;'DB Entry Sheet (Engineers Only)'!AA19&amp;'DB Entry Sheet (Engineers Only)'!AB19&amp;'Data Validations'!H19&amp;'DB Entry Sheet (Engineers Only)'!AB19&amp;'DB Entry Sheet (Engineers Only)'!AD19</f>
        <v>('NCKPI', 'ENR', 'Engagement Rate'),</v>
      </c>
      <c r="B19" t="str">
        <f>AC19&amp;AB19&amp;"NCKPI"&amp;AB19&amp;AA19&amp;AB19&amp;'Data Validations'!P19&amp;'DB Entry Sheet (Engineers Only)'!AB19&amp;'DB Entry Sheet (Engineers Only)'!AA19&amp;'DB Entry Sheet (Engineers Only)'!AB19&amp;'Data Validations'!O19&amp;'DB Entry Sheet (Engineers Only)'!AB19&amp;'DB Entry Sheet (Engineers Only)'!AD19</f>
        <v>('NCKPI', '1600x400', '1600x400'),</v>
      </c>
      <c r="AA19" t="s">
        <v>3461</v>
      </c>
      <c r="AB19" s="29" t="s">
        <v>3462</v>
      </c>
      <c r="AC19" t="s">
        <v>3463</v>
      </c>
      <c r="AD19" t="s">
        <v>3464</v>
      </c>
    </row>
    <row r="20" spans="1:30" x14ac:dyDescent="0.35">
      <c r="A20" t="str">
        <f>AC20&amp;AB20&amp;"NCKPI"&amp;AB20&amp;AA20&amp;AB20&amp;'Data Validations'!I20&amp;'DB Entry Sheet (Engineers Only)'!AB20&amp;'DB Entry Sheet (Engineers Only)'!AA20&amp;'DB Entry Sheet (Engineers Only)'!AB20&amp;'Data Validations'!H20&amp;'DB Entry Sheet (Engineers Only)'!AB20&amp;'DB Entry Sheet (Engineers Only)'!AD20</f>
        <v>('NCKPI', 'Fee', 'Fee'),</v>
      </c>
      <c r="B20" t="str">
        <f>AC20&amp;AB20&amp;"NCKPI"&amp;AB20&amp;AA20&amp;AB20&amp;'Data Validations'!P20&amp;'DB Entry Sheet (Engineers Only)'!AB20&amp;'DB Entry Sheet (Engineers Only)'!AA20&amp;'DB Entry Sheet (Engineers Only)'!AB20&amp;'Data Validations'!O20&amp;'DB Entry Sheet (Engineers Only)'!AB20&amp;'DB Entry Sheet (Engineers Only)'!AD20</f>
        <v>('NCKPI', '160x160', '160x160'),</v>
      </c>
      <c r="AA20" t="s">
        <v>3461</v>
      </c>
      <c r="AB20" s="29" t="s">
        <v>3462</v>
      </c>
      <c r="AC20" t="s">
        <v>3463</v>
      </c>
      <c r="AD20" t="s">
        <v>3464</v>
      </c>
    </row>
    <row r="21" spans="1:30" x14ac:dyDescent="0.35">
      <c r="A21" t="str">
        <f>AC21&amp;AB21&amp;"NCKPI"&amp;AB21&amp;AA21&amp;AB21&amp;'Data Validations'!I21&amp;'DB Entry Sheet (Engineers Only)'!AB21&amp;'DB Entry Sheet (Engineers Only)'!AA21&amp;'DB Entry Sheet (Engineers Only)'!AB21&amp;'Data Validations'!H21&amp;'DB Entry Sheet (Engineers Only)'!AB21&amp;'DB Entry Sheet (Engineers Only)'!AD21</f>
        <v>('NCKPI', 'IS', 'Impression Share'),</v>
      </c>
      <c r="B21" t="str">
        <f>AC21&amp;AB21&amp;"NCKPI"&amp;AB21&amp;AA21&amp;AB21&amp;'Data Validations'!P21&amp;'DB Entry Sheet (Engineers Only)'!AB21&amp;'DB Entry Sheet (Engineers Only)'!AA21&amp;'DB Entry Sheet (Engineers Only)'!AB21&amp;'Data Validations'!O21&amp;'DB Entry Sheet (Engineers Only)'!AB21&amp;'DB Entry Sheet (Engineers Only)'!AD21</f>
        <v>('NCKPI', '160x60', '160x60'),</v>
      </c>
      <c r="AA21" t="s">
        <v>3461</v>
      </c>
      <c r="AB21" s="29" t="s">
        <v>3462</v>
      </c>
      <c r="AC21" t="s">
        <v>3463</v>
      </c>
      <c r="AD21" t="s">
        <v>3464</v>
      </c>
    </row>
    <row r="22" spans="1:30" x14ac:dyDescent="0.35">
      <c r="A22" t="str">
        <f>AC22&amp;AB22&amp;"NCKPI"&amp;AB22&amp;AA22&amp;AB22&amp;'Data Validations'!I22&amp;'DB Entry Sheet (Engineers Only)'!AB22&amp;'DB Entry Sheet (Engineers Only)'!AA22&amp;'DB Entry Sheet (Engineers Only)'!AB22&amp;'Data Validations'!H22&amp;'DB Entry Sheet (Engineers Only)'!AB22&amp;'DB Entry Sheet (Engineers Only)'!AD22</f>
        <v>('NCKPI', 'IMP', 'Impressions'),</v>
      </c>
      <c r="B22" t="str">
        <f>AC22&amp;AB22&amp;"NCKPI"&amp;AB22&amp;AA22&amp;AB22&amp;'Data Validations'!P22&amp;'DB Entry Sheet (Engineers Only)'!AB22&amp;'DB Entry Sheet (Engineers Only)'!AA22&amp;'DB Entry Sheet (Engineers Only)'!AB22&amp;'Data Validations'!O22&amp;'DB Entry Sheet (Engineers Only)'!AB22&amp;'DB Entry Sheet (Engineers Only)'!AD22</f>
        <v>('NCKPI', '160x600', '160x600'),</v>
      </c>
      <c r="AA22" t="s">
        <v>3461</v>
      </c>
      <c r="AB22" s="29" t="s">
        <v>3462</v>
      </c>
      <c r="AC22" t="s">
        <v>3463</v>
      </c>
      <c r="AD22" t="s">
        <v>3464</v>
      </c>
    </row>
    <row r="23" spans="1:30" x14ac:dyDescent="0.35">
      <c r="A23" t="str">
        <f>AC23&amp;AB23&amp;"NCKPI"&amp;AB23&amp;AA23&amp;AB23&amp;'Data Validations'!I23&amp;'DB Entry Sheet (Engineers Only)'!AB23&amp;'DB Entry Sheet (Engineers Only)'!AA23&amp;'DB Entry Sheet (Engineers Only)'!AB23&amp;'Data Validations'!H23&amp;'DB Entry Sheet (Engineers Only)'!AB23&amp;'DB Entry Sheet (Engineers Only)'!AD23</f>
        <v>('NCKPI', 'INS', 'Installs'),</v>
      </c>
      <c r="B23" t="str">
        <f>AC23&amp;AB23&amp;"NCKPI"&amp;AB23&amp;AA23&amp;AB23&amp;'Data Validations'!P23&amp;'DB Entry Sheet (Engineers Only)'!AB23&amp;'DB Entry Sheet (Engineers Only)'!AA23&amp;'DB Entry Sheet (Engineers Only)'!AB23&amp;'Data Validations'!O23&amp;'DB Entry Sheet (Engineers Only)'!AB23&amp;'DB Entry Sheet (Engineers Only)'!AD23</f>
        <v>('NCKPI', '163x32', '163x32'),</v>
      </c>
      <c r="AA23" t="s">
        <v>3461</v>
      </c>
      <c r="AB23" s="29" t="s">
        <v>3462</v>
      </c>
      <c r="AC23" t="s">
        <v>3463</v>
      </c>
      <c r="AD23" t="s">
        <v>3464</v>
      </c>
    </row>
    <row r="24" spans="1:30" x14ac:dyDescent="0.35">
      <c r="A24" t="str">
        <f>AC24&amp;AB24&amp;"NCKPI"&amp;AB24&amp;AA24&amp;AB24&amp;'Data Validations'!I24&amp;'DB Entry Sheet (Engineers Only)'!AB24&amp;'DB Entry Sheet (Engineers Only)'!AA24&amp;'DB Entry Sheet (Engineers Only)'!AB24&amp;'Data Validations'!H24&amp;'DB Entry Sheet (Engineers Only)'!AB24&amp;'DB Entry Sheet (Engineers Only)'!AD24</f>
        <v>('NCKPI', 'OPR', 'Open Rate'),</v>
      </c>
      <c r="B24" t="str">
        <f>AC24&amp;AB24&amp;"NCKPI"&amp;AB24&amp;AA24&amp;AB24&amp;'Data Validations'!P24&amp;'DB Entry Sheet (Engineers Only)'!AB24&amp;'DB Entry Sheet (Engineers Only)'!AA24&amp;'DB Entry Sheet (Engineers Only)'!AB24&amp;'Data Validations'!O24&amp;'DB Entry Sheet (Engineers Only)'!AB24&amp;'DB Entry Sheet (Engineers Only)'!AD24</f>
        <v>('NCKPI', '180x150', '180x150'),</v>
      </c>
      <c r="AA24" t="s">
        <v>3461</v>
      </c>
      <c r="AB24" s="29" t="s">
        <v>3462</v>
      </c>
      <c r="AC24" t="s">
        <v>3463</v>
      </c>
      <c r="AD24" t="s">
        <v>3464</v>
      </c>
    </row>
    <row r="25" spans="1:30" x14ac:dyDescent="0.35">
      <c r="A25" t="str">
        <f>AC25&amp;AB25&amp;"NCKPI"&amp;AB25&amp;AA25&amp;AB25&amp;'Data Validations'!I25&amp;'DB Entry Sheet (Engineers Only)'!AB25&amp;'DB Entry Sheet (Engineers Only)'!AA25&amp;'DB Entry Sheet (Engineers Only)'!AB25&amp;'Data Validations'!H25&amp;'DB Entry Sheet (Engineers Only)'!AB25&amp;'DB Entry Sheet (Engineers Only)'!AD25</f>
        <v>('NCKPI', 'POS', 'Position'),</v>
      </c>
      <c r="B25" t="str">
        <f>AC25&amp;AB25&amp;"NCKPI"&amp;AB25&amp;AA25&amp;AB25&amp;'Data Validations'!P25&amp;'DB Entry Sheet (Engineers Only)'!AB25&amp;'DB Entry Sheet (Engineers Only)'!AA25&amp;'DB Entry Sheet (Engineers Only)'!AB25&amp;'Data Validations'!O25&amp;'DB Entry Sheet (Engineers Only)'!AB25&amp;'DB Entry Sheet (Engineers Only)'!AD25</f>
        <v>('NCKPI', '1920x1080', '1920x1080'),</v>
      </c>
      <c r="AA25" t="s">
        <v>3461</v>
      </c>
      <c r="AB25" s="29" t="s">
        <v>3462</v>
      </c>
      <c r="AC25" t="s">
        <v>3463</v>
      </c>
      <c r="AD25" t="s">
        <v>3464</v>
      </c>
    </row>
    <row r="26" spans="1:30" x14ac:dyDescent="0.35">
      <c r="A26" t="str">
        <f>AC26&amp;AB26&amp;"NCKPI"&amp;AB26&amp;AA26&amp;AB26&amp;'Data Validations'!I26&amp;'DB Entry Sheet (Engineers Only)'!AB26&amp;'DB Entry Sheet (Engineers Only)'!AA26&amp;'DB Entry Sheet (Engineers Only)'!AB26&amp;'Data Validations'!H26&amp;'DB Entry Sheet (Engineers Only)'!AB26&amp;'DB Entry Sheet (Engineers Only)'!AD26</f>
        <v>('NCKPI', 'QUS', 'Quality Score'),</v>
      </c>
      <c r="B26" t="str">
        <f>AC26&amp;AB26&amp;"NCKPI"&amp;AB26&amp;AA26&amp;AB26&amp;'Data Validations'!P26&amp;'DB Entry Sheet (Engineers Only)'!AB26&amp;'DB Entry Sheet (Engineers Only)'!AA26&amp;'DB Entry Sheet (Engineers Only)'!AB26&amp;'Data Validations'!O26&amp;'DB Entry Sheet (Engineers Only)'!AB26&amp;'DB Entry Sheet (Engineers Only)'!AD26</f>
        <v>('NCKPI', '1920x1084', '1920x1084'),</v>
      </c>
      <c r="AA26" t="s">
        <v>3461</v>
      </c>
      <c r="AB26" s="29" t="s">
        <v>3462</v>
      </c>
      <c r="AC26" t="s">
        <v>3463</v>
      </c>
      <c r="AD26" t="s">
        <v>3464</v>
      </c>
    </row>
    <row r="27" spans="1:30" x14ac:dyDescent="0.35">
      <c r="A27" t="str">
        <f>AC27&amp;AB27&amp;"NCKPI"&amp;AB27&amp;AA27&amp;AB27&amp;'Data Validations'!I27&amp;'DB Entry Sheet (Engineers Only)'!AB27&amp;'DB Entry Sheet (Engineers Only)'!AA27&amp;'DB Entry Sheet (Engineers Only)'!AB27&amp;'Data Validations'!H27&amp;'DB Entry Sheet (Engineers Only)'!AB27&amp;'DB Entry Sheet (Engineers Only)'!AD27</f>
        <v>('NCKPI', 'Reach', 'Reach'),</v>
      </c>
      <c r="B27" t="str">
        <f>AC27&amp;AB27&amp;"NCKPI"&amp;AB27&amp;AA27&amp;AB27&amp;'Data Validations'!P27&amp;'DB Entry Sheet (Engineers Only)'!AB27&amp;'DB Entry Sheet (Engineers Only)'!AA27&amp;'DB Entry Sheet (Engineers Only)'!AB27&amp;'Data Validations'!O27&amp;'DB Entry Sheet (Engineers Only)'!AB27&amp;'DB Entry Sheet (Engineers Only)'!AD27</f>
        <v>('NCKPI', '1920x1085', '1920x1085'),</v>
      </c>
      <c r="AA27" t="s">
        <v>3461</v>
      </c>
      <c r="AB27" s="29" t="s">
        <v>3462</v>
      </c>
      <c r="AC27" t="s">
        <v>3463</v>
      </c>
      <c r="AD27" t="s">
        <v>3464</v>
      </c>
    </row>
    <row r="28" spans="1:30" x14ac:dyDescent="0.35">
      <c r="A28" t="str">
        <f>AC28&amp;AB28&amp;"NCKPI"&amp;AB28&amp;AA28&amp;AB28&amp;'Data Validations'!I28&amp;'DB Entry Sheet (Engineers Only)'!AB28&amp;'DB Entry Sheet (Engineers Only)'!AA28&amp;'DB Entry Sheet (Engineers Only)'!AB28&amp;'Data Validations'!H28&amp;'DB Entry Sheet (Engineers Only)'!AB28&amp;'DB Entry Sheet (Engineers Only)'!AD28</f>
        <v>('NCKPI', 'REL', 'Relevance'),</v>
      </c>
      <c r="B28" t="str">
        <f>AC28&amp;AB28&amp;"NCKPI"&amp;AB28&amp;AA28&amp;AB28&amp;'Data Validations'!P28&amp;'DB Entry Sheet (Engineers Only)'!AB28&amp;'DB Entry Sheet (Engineers Only)'!AA28&amp;'DB Entry Sheet (Engineers Only)'!AB28&amp;'Data Validations'!O28&amp;'DB Entry Sheet (Engineers Only)'!AB28&amp;'DB Entry Sheet (Engineers Only)'!AD28</f>
        <v>('NCKPI', '1920x1086', '1920x1086'),</v>
      </c>
      <c r="AA28" t="s">
        <v>3461</v>
      </c>
      <c r="AB28" s="29" t="s">
        <v>3462</v>
      </c>
      <c r="AC28" t="s">
        <v>3463</v>
      </c>
      <c r="AD28" t="s">
        <v>3464</v>
      </c>
    </row>
    <row r="29" spans="1:30" x14ac:dyDescent="0.35">
      <c r="A29" t="str">
        <f>AC29&amp;AB29&amp;"NCKPI"&amp;AB29&amp;AA29&amp;AB29&amp;'Data Validations'!I29&amp;'DB Entry Sheet (Engineers Only)'!AB29&amp;'DB Entry Sheet (Engineers Only)'!AA29&amp;'DB Entry Sheet (Engineers Only)'!AB29&amp;'Data Validations'!H29&amp;'DB Entry Sheet (Engineers Only)'!AB29&amp;'DB Entry Sheet (Engineers Only)'!AD29</f>
        <v>('NCKPI', 'ROAS', 'ROAS'),</v>
      </c>
      <c r="B29" t="str">
        <f>AC29&amp;AB29&amp;"NCKPI"&amp;AB29&amp;AA29&amp;AB29&amp;'Data Validations'!P29&amp;'DB Entry Sheet (Engineers Only)'!AB29&amp;'DB Entry Sheet (Engineers Only)'!AA29&amp;'DB Entry Sheet (Engineers Only)'!AB29&amp;'Data Validations'!O29&amp;'DB Entry Sheet (Engineers Only)'!AB29&amp;'DB Entry Sheet (Engineers Only)'!AD29</f>
        <v>('NCKPI', '1920x1087', '1920x1087'),</v>
      </c>
      <c r="AA29" t="s">
        <v>3461</v>
      </c>
      <c r="AB29" s="29" t="s">
        <v>3462</v>
      </c>
      <c r="AC29" t="s">
        <v>3463</v>
      </c>
      <c r="AD29" t="s">
        <v>3464</v>
      </c>
    </row>
    <row r="30" spans="1:30" x14ac:dyDescent="0.35">
      <c r="A30" t="str">
        <f>AC30&amp;AB30&amp;"NCKPI"&amp;AB30&amp;AA30&amp;AB30&amp;'Data Validations'!I30&amp;'DB Entry Sheet (Engineers Only)'!AB30&amp;'DB Entry Sheet (Engineers Only)'!AA30&amp;'DB Entry Sheet (Engineers Only)'!AB30&amp;'Data Validations'!H30&amp;'DB Entry Sheet (Engineers Only)'!AB30&amp;'DB Entry Sheet (Engineers Only)'!AD30</f>
        <v>('NCKPI', 'SAL', 'Sales'),</v>
      </c>
      <c r="B30" t="str">
        <f>AC30&amp;AB30&amp;"NCKPI"&amp;AB30&amp;AA30&amp;AB30&amp;'Data Validations'!P30&amp;'DB Entry Sheet (Engineers Only)'!AB30&amp;'DB Entry Sheet (Engineers Only)'!AA30&amp;'DB Entry Sheet (Engineers Only)'!AB30&amp;'Data Validations'!O30&amp;'DB Entry Sheet (Engineers Only)'!AB30&amp;'DB Entry Sheet (Engineers Only)'!AD30</f>
        <v>('NCKPI', '1x1', '1x1'),</v>
      </c>
      <c r="AA30" t="s">
        <v>3461</v>
      </c>
      <c r="AB30" s="29" t="s">
        <v>3462</v>
      </c>
      <c r="AC30" t="s">
        <v>3463</v>
      </c>
      <c r="AD30" t="s">
        <v>3464</v>
      </c>
    </row>
    <row r="31" spans="1:30" x14ac:dyDescent="0.35">
      <c r="A31" t="str">
        <f>AC31&amp;AB31&amp;"NCKPI"&amp;AB31&amp;AA31&amp;AB31&amp;'Data Validations'!I31&amp;'DB Entry Sheet (Engineers Only)'!AB31&amp;'DB Entry Sheet (Engineers Only)'!AA31&amp;'DB Entry Sheet (Engineers Only)'!AB31&amp;'Data Validations'!H31&amp;'DB Entry Sheet (Engineers Only)'!AB31&amp;'DB Entry Sheet (Engineers Only)'!AD31</f>
        <v>('NCKPI', 'SMP', 'Samples'),</v>
      </c>
      <c r="B31" t="str">
        <f>AC31&amp;AB31&amp;"NCKPI"&amp;AB31&amp;AA31&amp;AB31&amp;'Data Validations'!P31&amp;'DB Entry Sheet (Engineers Only)'!AB31&amp;'DB Entry Sheet (Engineers Only)'!AA31&amp;'DB Entry Sheet (Engineers Only)'!AB31&amp;'Data Validations'!O31&amp;'DB Entry Sheet (Engineers Only)'!AB31&amp;'DB Entry Sheet (Engineers Only)'!AD31</f>
        <v>('NCKPI', '234x60', '234x60'),</v>
      </c>
      <c r="AA31" t="s">
        <v>3461</v>
      </c>
      <c r="AB31" s="29" t="s">
        <v>3462</v>
      </c>
      <c r="AC31" t="s">
        <v>3463</v>
      </c>
      <c r="AD31" t="s">
        <v>3464</v>
      </c>
    </row>
    <row r="32" spans="1:30" x14ac:dyDescent="0.35">
      <c r="A32" t="str">
        <f>AC32&amp;AB32&amp;"NCKPI"&amp;AB32&amp;AA32&amp;AB32&amp;'Data Validations'!I32&amp;'DB Entry Sheet (Engineers Only)'!AB32&amp;'DB Entry Sheet (Engineers Only)'!AA32&amp;'DB Entry Sheet (Engineers Only)'!AB32&amp;'Data Validations'!H32&amp;'DB Entry Sheet (Engineers Only)'!AB32&amp;'DB Entry Sheet (Engineers Only)'!AD32</f>
        <v>('NCKPI', 'SUB', 'Subscribers'),</v>
      </c>
      <c r="B32" t="str">
        <f>AC32&amp;AB32&amp;"NCKPI"&amp;AB32&amp;AA32&amp;AB32&amp;'Data Validations'!P32&amp;'DB Entry Sheet (Engineers Only)'!AB32&amp;'DB Entry Sheet (Engineers Only)'!AA32&amp;'DB Entry Sheet (Engineers Only)'!AB32&amp;'Data Validations'!O32&amp;'DB Entry Sheet (Engineers Only)'!AB32&amp;'DB Entry Sheet (Engineers Only)'!AD32</f>
        <v>('NCKPI', '2400x200', '2400x200'),</v>
      </c>
      <c r="AA32" t="s">
        <v>3461</v>
      </c>
      <c r="AB32" s="29" t="s">
        <v>3462</v>
      </c>
      <c r="AC32" t="s">
        <v>3463</v>
      </c>
      <c r="AD32" t="s">
        <v>3464</v>
      </c>
    </row>
    <row r="33" spans="1:30" x14ac:dyDescent="0.35">
      <c r="A33" t="str">
        <f>AC33&amp;AB33&amp;"NCKPI"&amp;AB33&amp;AA33&amp;AB33&amp;'Data Validations'!I33&amp;'DB Entry Sheet (Engineers Only)'!AB33&amp;'DB Entry Sheet (Engineers Only)'!AA33&amp;'DB Entry Sheet (Engineers Only)'!AB33&amp;'Data Validations'!H33&amp;'DB Entry Sheet (Engineers Only)'!AB33&amp;'DB Entry Sheet (Engineers Only)'!AD33</f>
        <v>('NCKPI', 'TOR', 'Total Reach'),</v>
      </c>
      <c r="B33" t="str">
        <f>AC33&amp;AB33&amp;"NCKPI"&amp;AB33&amp;AA33&amp;AB33&amp;'Data Validations'!P33&amp;'DB Entry Sheet (Engineers Only)'!AB33&amp;'DB Entry Sheet (Engineers Only)'!AA33&amp;'DB Entry Sheet (Engineers Only)'!AB33&amp;'Data Validations'!O33&amp;'DB Entry Sheet (Engineers Only)'!AB33&amp;'DB Entry Sheet (Engineers Only)'!AD33</f>
        <v>('NCKPI', '240x400', '240x400'),</v>
      </c>
      <c r="AA33" t="s">
        <v>3461</v>
      </c>
      <c r="AB33" s="29" t="s">
        <v>3462</v>
      </c>
      <c r="AC33" t="s">
        <v>3463</v>
      </c>
      <c r="AD33" t="s">
        <v>3464</v>
      </c>
    </row>
    <row r="34" spans="1:30" x14ac:dyDescent="0.35">
      <c r="A34" t="str">
        <f>AC34&amp;AB34&amp;"NCKPI"&amp;AB34&amp;AA34&amp;AB34&amp;'Data Validations'!I34&amp;'DB Entry Sheet (Engineers Only)'!AB34&amp;'DB Entry Sheet (Engineers Only)'!AA34&amp;'DB Entry Sheet (Engineers Only)'!AB34&amp;'Data Validations'!H34&amp;'DB Entry Sheet (Engineers Only)'!AB34&amp;'DB Entry Sheet (Engineers Only)'!AD34</f>
        <v>('NCKPI', 'TRA', 'Traffic'),</v>
      </c>
      <c r="B34" t="str">
        <f>AC34&amp;AB34&amp;"NCKPI"&amp;AB34&amp;AA34&amp;AB34&amp;'Data Validations'!P34&amp;'DB Entry Sheet (Engineers Only)'!AB34&amp;'DB Entry Sheet (Engineers Only)'!AA34&amp;'DB Entry Sheet (Engineers Only)'!AB34&amp;'Data Validations'!O34&amp;'DB Entry Sheet (Engineers Only)'!AB34&amp;'DB Entry Sheet (Engineers Only)'!AD34</f>
        <v>('NCKPI', '250x250', '250x250'),</v>
      </c>
      <c r="AA34" t="s">
        <v>3461</v>
      </c>
      <c r="AB34" s="29" t="s">
        <v>3462</v>
      </c>
      <c r="AC34" t="s">
        <v>3463</v>
      </c>
      <c r="AD34" t="s">
        <v>3464</v>
      </c>
    </row>
    <row r="35" spans="1:30" x14ac:dyDescent="0.35">
      <c r="A35" t="str">
        <f>AC35&amp;AB35&amp;"NCKPI"&amp;AB35&amp;AA35&amp;AB35&amp;'Data Validations'!I35&amp;'DB Entry Sheet (Engineers Only)'!AB35&amp;'DB Entry Sheet (Engineers Only)'!AA35&amp;'DB Entry Sheet (Engineers Only)'!AB35&amp;'Data Validations'!H35&amp;'DB Entry Sheet (Engineers Only)'!AB35&amp;'DB Entry Sheet (Engineers Only)'!AD35</f>
        <v>('NCKPI', 'UQV', 'Unique Views'),</v>
      </c>
      <c r="B35" t="str">
        <f>AC35&amp;AB35&amp;"NCKPI"&amp;AB35&amp;AA35&amp;AB35&amp;'Data Validations'!P35&amp;'DB Entry Sheet (Engineers Only)'!AB35&amp;'DB Entry Sheet (Engineers Only)'!AA35&amp;'DB Entry Sheet (Engineers Only)'!AB35&amp;'Data Validations'!O35&amp;'DB Entry Sheet (Engineers Only)'!AB35&amp;'DB Entry Sheet (Engineers Only)'!AD35</f>
        <v>('NCKPI', '300x250', '300x250'),</v>
      </c>
      <c r="AA35" t="s">
        <v>3461</v>
      </c>
      <c r="AB35" s="29" t="s">
        <v>3462</v>
      </c>
      <c r="AC35" t="s">
        <v>3463</v>
      </c>
      <c r="AD35" t="s">
        <v>3464</v>
      </c>
    </row>
    <row r="36" spans="1:30" x14ac:dyDescent="0.35">
      <c r="A36" t="str">
        <f>AC36&amp;AB36&amp;"NCKPI"&amp;AB36&amp;AA36&amp;AB36&amp;'Data Validations'!I36&amp;'DB Entry Sheet (Engineers Only)'!AB36&amp;'DB Entry Sheet (Engineers Only)'!AA36&amp;'DB Entry Sheet (Engineers Only)'!AB36&amp;'Data Validations'!H36&amp;'DB Entry Sheet (Engineers Only)'!AB36&amp;'DB Entry Sheet (Engineers Only)'!AD36</f>
        <v>('NCKPI', 'VC', 'Video Completes'),</v>
      </c>
      <c r="B36" t="str">
        <f>AC36&amp;AB36&amp;"NCKPI"&amp;AB36&amp;AA36&amp;AB36&amp;'Data Validations'!P36&amp;'DB Entry Sheet (Engineers Only)'!AB36&amp;'DB Entry Sheet (Engineers Only)'!AA36&amp;'DB Entry Sheet (Engineers Only)'!AB36&amp;'Data Validations'!O36&amp;'DB Entry Sheet (Engineers Only)'!AB36&amp;'DB Entry Sheet (Engineers Only)'!AD36</f>
        <v>('NCKPI', '300x50', '300x50'),</v>
      </c>
      <c r="AA36" t="s">
        <v>3461</v>
      </c>
      <c r="AB36" s="29" t="s">
        <v>3462</v>
      </c>
      <c r="AC36" t="s">
        <v>3463</v>
      </c>
      <c r="AD36" t="s">
        <v>3464</v>
      </c>
    </row>
    <row r="37" spans="1:30" x14ac:dyDescent="0.35">
      <c r="A37" t="str">
        <f>AC37&amp;AB37&amp;"NCKPI"&amp;AB37&amp;AA37&amp;AB37&amp;'Data Validations'!I37&amp;'DB Entry Sheet (Engineers Only)'!AB37&amp;'DB Entry Sheet (Engineers Only)'!AA37&amp;'DB Entry Sheet (Engineers Only)'!AB37&amp;'Data Validations'!H37&amp;'DB Entry Sheet (Engineers Only)'!AB37&amp;'DB Entry Sheet (Engineers Only)'!AD37</f>
        <v>('NCKPI', 'VCR', 'Video Completion Rate'),</v>
      </c>
      <c r="B37" t="str">
        <f>AC37&amp;AB37&amp;"NCKPI"&amp;AB37&amp;AA37&amp;AB37&amp;'Data Validations'!P37&amp;'DB Entry Sheet (Engineers Only)'!AB37&amp;'DB Entry Sheet (Engineers Only)'!AA37&amp;'DB Entry Sheet (Engineers Only)'!AB37&amp;'Data Validations'!O37&amp;'DB Entry Sheet (Engineers Only)'!AB37&amp;'DB Entry Sheet (Engineers Only)'!AD37</f>
        <v>('NCKPI', '300x600', '300x600'),</v>
      </c>
      <c r="AA37" t="s">
        <v>3461</v>
      </c>
      <c r="AB37" s="29" t="s">
        <v>3462</v>
      </c>
      <c r="AC37" t="s">
        <v>3463</v>
      </c>
      <c r="AD37" t="s">
        <v>3464</v>
      </c>
    </row>
    <row r="38" spans="1:30" x14ac:dyDescent="0.35">
      <c r="A38" t="str">
        <f>AC38&amp;AB38&amp;"NCKPI"&amp;AB38&amp;AA38&amp;AB38&amp;'Data Validations'!I38&amp;'DB Entry Sheet (Engineers Only)'!AB38&amp;'DB Entry Sheet (Engineers Only)'!AA38&amp;'DB Entry Sheet (Engineers Only)'!AB38&amp;'Data Validations'!H38&amp;'DB Entry Sheet (Engineers Only)'!AB38&amp;'DB Entry Sheet (Engineers Only)'!AD38</f>
        <v>('NCKPI', 'VIW', 'Viewability'),</v>
      </c>
      <c r="B38" t="str">
        <f>AC38&amp;AB38&amp;"NCKPI"&amp;AB38&amp;AA38&amp;AB38&amp;'Data Validations'!P38&amp;'DB Entry Sheet (Engineers Only)'!AB38&amp;'DB Entry Sheet (Engineers Only)'!AA38&amp;'DB Entry Sheet (Engineers Only)'!AB38&amp;'Data Validations'!O38&amp;'DB Entry Sheet (Engineers Only)'!AB38&amp;'DB Entry Sheet (Engineers Only)'!AD38</f>
        <v>('NCKPI', '320x100', '320x100'),</v>
      </c>
      <c r="AA38" t="s">
        <v>3461</v>
      </c>
      <c r="AB38" s="29" t="s">
        <v>3462</v>
      </c>
      <c r="AC38" t="s">
        <v>3463</v>
      </c>
      <c r="AD38" t="s">
        <v>3464</v>
      </c>
    </row>
    <row r="39" spans="1:30" x14ac:dyDescent="0.35">
      <c r="A39" t="str">
        <f>AC39&amp;AB39&amp;"NCKPI"&amp;AB39&amp;AA39&amp;AB39&amp;'Data Validations'!I39&amp;'DB Entry Sheet (Engineers Only)'!AB39&amp;'DB Entry Sheet (Engineers Only)'!AA39&amp;'DB Entry Sheet (Engineers Only)'!AB39&amp;'Data Validations'!H39&amp;'DB Entry Sheet (Engineers Only)'!AB39&amp;'DB Entry Sheet (Engineers Only)'!AD39</f>
        <v>('NCKPI', 'VCPM', 'Viewable CPM'),</v>
      </c>
      <c r="B39" t="str">
        <f>AC39&amp;AB39&amp;"NCKPI"&amp;AB39&amp;AA39&amp;AB39&amp;'Data Validations'!P39&amp;'DB Entry Sheet (Engineers Only)'!AB39&amp;'DB Entry Sheet (Engineers Only)'!AA39&amp;'DB Entry Sheet (Engineers Only)'!AB39&amp;'Data Validations'!O39&amp;'DB Entry Sheet (Engineers Only)'!AB39&amp;'DB Entry Sheet (Engineers Only)'!AD39</f>
        <v>('NCKPI', '320x480', '320x480'),</v>
      </c>
      <c r="AA39" t="s">
        <v>3461</v>
      </c>
      <c r="AB39" s="29" t="s">
        <v>3462</v>
      </c>
      <c r="AC39" t="s">
        <v>3463</v>
      </c>
      <c r="AD39" t="s">
        <v>3464</v>
      </c>
    </row>
    <row r="40" spans="1:30" x14ac:dyDescent="0.35">
      <c r="A40" t="str">
        <f>AC40&amp;AB40&amp;"NCKPI"&amp;AB40&amp;AA40&amp;AB40&amp;'Data Validations'!I40&amp;'DB Entry Sheet (Engineers Only)'!AB40&amp;'DB Entry Sheet (Engineers Only)'!AA40&amp;'DB Entry Sheet (Engineers Only)'!AB40&amp;'Data Validations'!H40&amp;'DB Entry Sheet (Engineers Only)'!AB40&amp;'DB Entry Sheet (Engineers Only)'!AD40</f>
        <v>('NCKPI', 'VWS', 'Views'),</v>
      </c>
      <c r="B40" t="str">
        <f>AC40&amp;AB40&amp;"NCKPI"&amp;AB40&amp;AA40&amp;AB40&amp;'Data Validations'!P40&amp;'DB Entry Sheet (Engineers Only)'!AB40&amp;'DB Entry Sheet (Engineers Only)'!AA40&amp;'DB Entry Sheet (Engineers Only)'!AB40&amp;'Data Validations'!O40&amp;'DB Entry Sheet (Engineers Only)'!AB40&amp;'DB Entry Sheet (Engineers Only)'!AD40</f>
        <v>('NCKPI', '320x50', '320x50'),</v>
      </c>
      <c r="AA40" t="s">
        <v>3461</v>
      </c>
      <c r="AB40" s="29" t="s">
        <v>3462</v>
      </c>
      <c r="AC40" t="s">
        <v>3463</v>
      </c>
      <c r="AD40" t="s">
        <v>3464</v>
      </c>
    </row>
    <row r="41" spans="1:30" x14ac:dyDescent="0.35">
      <c r="A41" t="str">
        <f>AC41&amp;AB41&amp;"NCKPI"&amp;AB41&amp;AA41&amp;AB41&amp;'Data Validations'!I41&amp;'DB Entry Sheet (Engineers Only)'!AB41&amp;'DB Entry Sheet (Engineers Only)'!AA41&amp;'DB Entry Sheet (Engineers Only)'!AB41&amp;'Data Validations'!H41&amp;'DB Entry Sheet (Engineers Only)'!AB41&amp;'DB Entry Sheet (Engineers Only)'!AD41</f>
        <v>('NCKPI', 'VtCPM', 'View-Through CPM'),</v>
      </c>
      <c r="B41" t="str">
        <f>AC41&amp;AB41&amp;"NCKPI"&amp;AB41&amp;AA41&amp;AB41&amp;'Data Validations'!P41&amp;'DB Entry Sheet (Engineers Only)'!AB41&amp;'DB Entry Sheet (Engineers Only)'!AA41&amp;'DB Entry Sheet (Engineers Only)'!AB41&amp;'Data Validations'!O41&amp;'DB Entry Sheet (Engineers Only)'!AB41&amp;'DB Entry Sheet (Engineers Only)'!AD41</f>
        <v>('NCKPI', '336x280', '336x280'),</v>
      </c>
      <c r="AA41" t="s">
        <v>3461</v>
      </c>
      <c r="AB41" s="29" t="s">
        <v>3462</v>
      </c>
      <c r="AC41" t="s">
        <v>3463</v>
      </c>
      <c r="AD41" t="s">
        <v>3464</v>
      </c>
    </row>
    <row r="42" spans="1:30" x14ac:dyDescent="0.35">
      <c r="A42" t="str">
        <f>AC42&amp;AB42&amp;"NCKPI"&amp;AB42&amp;AA42&amp;AB42&amp;'Data Validations'!I42&amp;'DB Entry Sheet (Engineers Only)'!AB42&amp;'DB Entry Sheet (Engineers Only)'!AA42&amp;'DB Entry Sheet (Engineers Only)'!AB42&amp;'Data Validations'!H42&amp;'DB Entry Sheet (Engineers Only)'!AB42&amp;'DB Entry Sheet (Engineers Only)'!AD42</f>
        <v>('NCKPI', 'VTR', 'View-Through Rate'),</v>
      </c>
      <c r="B42" t="str">
        <f>AC42&amp;AB42&amp;"NCKPI"&amp;AB42&amp;AA42&amp;AB42&amp;'Data Validations'!P42&amp;'DB Entry Sheet (Engineers Only)'!AB42&amp;'DB Entry Sheet (Engineers Only)'!AA42&amp;'DB Entry Sheet (Engineers Only)'!AB42&amp;'Data Validations'!O42&amp;'DB Entry Sheet (Engineers Only)'!AB42&amp;'DB Entry Sheet (Engineers Only)'!AD42</f>
        <v>('NCKPI', '3840x1080', '3840x1080'),</v>
      </c>
      <c r="AA42" t="s">
        <v>3461</v>
      </c>
      <c r="AB42" s="29" t="s">
        <v>3462</v>
      </c>
      <c r="AC42" t="s">
        <v>3463</v>
      </c>
      <c r="AD42" t="s">
        <v>3464</v>
      </c>
    </row>
    <row r="43" spans="1:30" x14ac:dyDescent="0.35">
      <c r="A43" t="str">
        <f>AC43&amp;AB43&amp;"NCKPI"&amp;AB43&amp;AA43&amp;AB43&amp;'Data Validations'!I43&amp;'DB Entry Sheet (Engineers Only)'!AB43&amp;'DB Entry Sheet (Engineers Only)'!AA43&amp;'DB Entry Sheet (Engineers Only)'!AB43&amp;'Data Validations'!H43&amp;'DB Entry Sheet (Engineers Only)'!AB43&amp;'DB Entry Sheet (Engineers Only)'!AD43</f>
        <v>('NCKPI', '', ''),</v>
      </c>
      <c r="B43" t="str">
        <f>AC43&amp;AB43&amp;"NCKPI"&amp;AB43&amp;AA43&amp;AB43&amp;'Data Validations'!P43&amp;'DB Entry Sheet (Engineers Only)'!AB43&amp;'DB Entry Sheet (Engineers Only)'!AA43&amp;'DB Entry Sheet (Engineers Only)'!AB43&amp;'Data Validations'!O43&amp;'DB Entry Sheet (Engineers Only)'!AB43&amp;'DB Entry Sheet (Engineers Only)'!AD43</f>
        <v>('NCKPI', '414x125', '414x125'),</v>
      </c>
      <c r="AA43" t="s">
        <v>3461</v>
      </c>
      <c r="AB43" s="29" t="s">
        <v>3462</v>
      </c>
      <c r="AC43" t="s">
        <v>3463</v>
      </c>
      <c r="AD43" t="s">
        <v>3464</v>
      </c>
    </row>
    <row r="44" spans="1:30" x14ac:dyDescent="0.35">
      <c r="A44" t="str">
        <f>AC44&amp;AB44&amp;"NCKPI"&amp;AB44&amp;AA44&amp;AB44&amp;'Data Validations'!I44&amp;'DB Entry Sheet (Engineers Only)'!AB44&amp;'DB Entry Sheet (Engineers Only)'!AA44&amp;'DB Entry Sheet (Engineers Only)'!AB44&amp;'Data Validations'!H44&amp;'DB Entry Sheet (Engineers Only)'!AB44&amp;'DB Entry Sheet (Engineers Only)'!AD44</f>
        <v>('NCKPI', '', ''),</v>
      </c>
      <c r="B44" t="str">
        <f>AC44&amp;AB44&amp;"NCKPI"&amp;AB44&amp;AA44&amp;AB44&amp;'Data Validations'!P44&amp;'DB Entry Sheet (Engineers Only)'!AB44&amp;'DB Entry Sheet (Engineers Only)'!AA44&amp;'DB Entry Sheet (Engineers Only)'!AB44&amp;'Data Validations'!O44&amp;'DB Entry Sheet (Engineers Only)'!AB44&amp;'DB Entry Sheet (Engineers Only)'!AD44</f>
        <v>('NCKPI', '444x250', '444x250'),</v>
      </c>
      <c r="AA44" t="s">
        <v>3461</v>
      </c>
      <c r="AB44" s="29" t="s">
        <v>3462</v>
      </c>
      <c r="AC44" t="s">
        <v>3463</v>
      </c>
      <c r="AD44" t="s">
        <v>3464</v>
      </c>
    </row>
    <row r="45" spans="1:30" x14ac:dyDescent="0.35">
      <c r="A45" t="str">
        <f>AC45&amp;AB45&amp;"NCKPI"&amp;AB45&amp;AA45&amp;AB45&amp;'Data Validations'!I45&amp;'DB Entry Sheet (Engineers Only)'!AB45&amp;'DB Entry Sheet (Engineers Only)'!AA45&amp;'DB Entry Sheet (Engineers Only)'!AB45&amp;'Data Validations'!H45&amp;'DB Entry Sheet (Engineers Only)'!AB45&amp;'DB Entry Sheet (Engineers Only)'!AD45</f>
        <v>('NCKPI', '', ''),</v>
      </c>
      <c r="B45" t="str">
        <f>AC45&amp;AB45&amp;"NCKPI"&amp;AB45&amp;AA45&amp;AB45&amp;'Data Validations'!P45&amp;'DB Entry Sheet (Engineers Only)'!AB45&amp;'DB Entry Sheet (Engineers Only)'!AA45&amp;'DB Entry Sheet (Engineers Only)'!AB45&amp;'Data Validations'!O45&amp;'DB Entry Sheet (Engineers Only)'!AB45&amp;'DB Entry Sheet (Engineers Only)'!AD45</f>
        <v>('NCKPI', '450X350', '450X350'),</v>
      </c>
      <c r="AA45" t="s">
        <v>3461</v>
      </c>
      <c r="AB45" s="29" t="s">
        <v>3462</v>
      </c>
      <c r="AC45" t="s">
        <v>3463</v>
      </c>
      <c r="AD45" t="s">
        <v>3464</v>
      </c>
    </row>
    <row r="46" spans="1:30" x14ac:dyDescent="0.35">
      <c r="A46" t="str">
        <f>AC46&amp;AB46&amp;"NCKPI"&amp;AB46&amp;AA46&amp;AB46&amp;'Data Validations'!I46&amp;'DB Entry Sheet (Engineers Only)'!AB46&amp;'DB Entry Sheet (Engineers Only)'!AA46&amp;'DB Entry Sheet (Engineers Only)'!AB46&amp;'Data Validations'!H46&amp;'DB Entry Sheet (Engineers Only)'!AB46&amp;'DB Entry Sheet (Engineers Only)'!AD46</f>
        <v>('NCKPI', '', ''),</v>
      </c>
      <c r="B46" t="str">
        <f>AC46&amp;AB46&amp;"NCKPI"&amp;AB46&amp;AA46&amp;AB46&amp;'Data Validations'!P46&amp;'DB Entry Sheet (Engineers Only)'!AB46&amp;'DB Entry Sheet (Engineers Only)'!AA46&amp;'DB Entry Sheet (Engineers Only)'!AB46&amp;'Data Validations'!O46&amp;'DB Entry Sheet (Engineers Only)'!AB46&amp;'DB Entry Sheet (Engineers Only)'!AD46</f>
        <v>('NCKPI', '468x60', '468x60'),</v>
      </c>
      <c r="AA46" t="s">
        <v>3461</v>
      </c>
      <c r="AB46" s="29" t="s">
        <v>3462</v>
      </c>
      <c r="AC46" t="s">
        <v>3463</v>
      </c>
      <c r="AD46" t="s">
        <v>3464</v>
      </c>
    </row>
    <row r="47" spans="1:30" x14ac:dyDescent="0.35">
      <c r="A47" t="str">
        <f>AC47&amp;AB47&amp;"NCKPI"&amp;AB47&amp;AA47&amp;AB47&amp;'Data Validations'!I47&amp;'DB Entry Sheet (Engineers Only)'!AB47&amp;'DB Entry Sheet (Engineers Only)'!AA47&amp;'DB Entry Sheet (Engineers Only)'!AB47&amp;'Data Validations'!H47&amp;'DB Entry Sheet (Engineers Only)'!AB47&amp;'DB Entry Sheet (Engineers Only)'!AD47</f>
        <v>('NCKPI', '', ''),</v>
      </c>
      <c r="B47" t="str">
        <f>AC47&amp;AB47&amp;"NCKPI"&amp;AB47&amp;AA47&amp;AB47&amp;'Data Validations'!P47&amp;'DB Entry Sheet (Engineers Only)'!AB47&amp;'DB Entry Sheet (Engineers Only)'!AA47&amp;'DB Entry Sheet (Engineers Only)'!AB47&amp;'Data Validations'!O47&amp;'DB Entry Sheet (Engineers Only)'!AB47&amp;'DB Entry Sheet (Engineers Only)'!AD47</f>
        <v>('NCKPI', '600x150', '600x150'),</v>
      </c>
      <c r="AA47" t="s">
        <v>3461</v>
      </c>
      <c r="AB47" s="29" t="s">
        <v>3462</v>
      </c>
      <c r="AC47" t="s">
        <v>3463</v>
      </c>
      <c r="AD47" t="s">
        <v>3464</v>
      </c>
    </row>
    <row r="48" spans="1:30" x14ac:dyDescent="0.35">
      <c r="A48" t="str">
        <f>AC48&amp;AB48&amp;"NCKPI"&amp;AB48&amp;AA48&amp;AB48&amp;'Data Validations'!I48&amp;'DB Entry Sheet (Engineers Only)'!AB48&amp;'DB Entry Sheet (Engineers Only)'!AA48&amp;'DB Entry Sheet (Engineers Only)'!AB48&amp;'Data Validations'!H48&amp;'DB Entry Sheet (Engineers Only)'!AB48&amp;'DB Entry Sheet (Engineers Only)'!AD48</f>
        <v>('NCKPI', '', ''),</v>
      </c>
      <c r="B48" t="str">
        <f>AC48&amp;AB48&amp;"NCKPI"&amp;AB48&amp;AA48&amp;AB48&amp;'Data Validations'!P48&amp;'DB Entry Sheet (Engineers Only)'!AB48&amp;'DB Entry Sheet (Engineers Only)'!AA48&amp;'DB Entry Sheet (Engineers Only)'!AB48&amp;'Data Validations'!O48&amp;'DB Entry Sheet (Engineers Only)'!AB48&amp;'DB Entry Sheet (Engineers Only)'!AD48</f>
        <v>('NCKPI', '600x600', '600x600'),</v>
      </c>
      <c r="AA48" t="s">
        <v>3461</v>
      </c>
      <c r="AB48" s="29" t="s">
        <v>3462</v>
      </c>
      <c r="AC48" t="s">
        <v>3463</v>
      </c>
      <c r="AD48" t="s">
        <v>3464</v>
      </c>
    </row>
    <row r="49" spans="1:30" x14ac:dyDescent="0.35">
      <c r="A49" t="str">
        <f>AC49&amp;AB49&amp;"NCKPI"&amp;AB49&amp;AA49&amp;AB49&amp;'Data Validations'!I49&amp;'DB Entry Sheet (Engineers Only)'!AB49&amp;'DB Entry Sheet (Engineers Only)'!AA49&amp;'DB Entry Sheet (Engineers Only)'!AB49&amp;'Data Validations'!H49&amp;'DB Entry Sheet (Engineers Only)'!AB49&amp;'DB Entry Sheet (Engineers Only)'!AD49</f>
        <v>('NCKPI', '', ''),</v>
      </c>
      <c r="B49" t="str">
        <f>AC49&amp;AB49&amp;"NCKPI"&amp;AB49&amp;AA49&amp;AB49&amp;'Data Validations'!P49&amp;'DB Entry Sheet (Engineers Only)'!AB49&amp;'DB Entry Sheet (Engineers Only)'!AA49&amp;'DB Entry Sheet (Engineers Only)'!AB49&amp;'Data Validations'!O49&amp;'DB Entry Sheet (Engineers Only)'!AB49&amp;'DB Entry Sheet (Engineers Only)'!AD49</f>
        <v>('NCKPI', '627x627', '627x627'),</v>
      </c>
      <c r="AA49" t="s">
        <v>3461</v>
      </c>
      <c r="AB49" s="29" t="s">
        <v>3462</v>
      </c>
      <c r="AC49" t="s">
        <v>3463</v>
      </c>
      <c r="AD49" t="s">
        <v>3464</v>
      </c>
    </row>
    <row r="50" spans="1:30" x14ac:dyDescent="0.35">
      <c r="A50" t="str">
        <f>AC50&amp;AB50&amp;"NCKPI"&amp;AB50&amp;AA50&amp;AB50&amp;'Data Validations'!I50&amp;'DB Entry Sheet (Engineers Only)'!AB50&amp;'DB Entry Sheet (Engineers Only)'!AA50&amp;'DB Entry Sheet (Engineers Only)'!AB50&amp;'Data Validations'!H50&amp;'DB Entry Sheet (Engineers Only)'!AB50&amp;'DB Entry Sheet (Engineers Only)'!AD50</f>
        <v>('NCKPI', '', ''),</v>
      </c>
      <c r="B50" t="str">
        <f>AC50&amp;AB50&amp;"NCKPI"&amp;AB50&amp;AA50&amp;AB50&amp;'Data Validations'!P50&amp;'DB Entry Sheet (Engineers Only)'!AB50&amp;'DB Entry Sheet (Engineers Only)'!AA50&amp;'DB Entry Sheet (Engineers Only)'!AB50&amp;'Data Validations'!O50&amp;'DB Entry Sheet (Engineers Only)'!AB50&amp;'DB Entry Sheet (Engineers Only)'!AD50</f>
        <v>('NCKPI', '640x360', '640x360'),</v>
      </c>
      <c r="AA50" t="s">
        <v>3461</v>
      </c>
      <c r="AB50" s="29" t="s">
        <v>3462</v>
      </c>
      <c r="AC50" t="s">
        <v>3463</v>
      </c>
      <c r="AD50" t="s">
        <v>3464</v>
      </c>
    </row>
    <row r="51" spans="1:30" x14ac:dyDescent="0.35">
      <c r="A51" t="str">
        <f>AC51&amp;AB51&amp;"NCKPI"&amp;AB51&amp;AA51&amp;AB51&amp;'Data Validations'!I51&amp;'DB Entry Sheet (Engineers Only)'!AB51&amp;'DB Entry Sheet (Engineers Only)'!AA51&amp;'DB Entry Sheet (Engineers Only)'!AB51&amp;'Data Validations'!H51&amp;'DB Entry Sheet (Engineers Only)'!AB51&amp;'DB Entry Sheet (Engineers Only)'!AD51</f>
        <v>('NCKPI', '', ''),</v>
      </c>
      <c r="B51" t="str">
        <f>AC51&amp;AB51&amp;"NCKPI"&amp;AB51&amp;AA51&amp;AB51&amp;'Data Validations'!P51&amp;'DB Entry Sheet (Engineers Only)'!AB51&amp;'DB Entry Sheet (Engineers Only)'!AA51&amp;'DB Entry Sheet (Engineers Only)'!AB51&amp;'Data Validations'!O51&amp;'DB Entry Sheet (Engineers Only)'!AB51&amp;'DB Entry Sheet (Engineers Only)'!AD51</f>
        <v>('NCKPI', '640x500', '640x500'),</v>
      </c>
      <c r="AA51" t="s">
        <v>3461</v>
      </c>
      <c r="AB51" s="29" t="s">
        <v>3462</v>
      </c>
      <c r="AC51" t="s">
        <v>3463</v>
      </c>
      <c r="AD51" t="s">
        <v>3464</v>
      </c>
    </row>
    <row r="52" spans="1:30" x14ac:dyDescent="0.35">
      <c r="A52" t="str">
        <f>AC52&amp;AB52&amp;"NCKPI"&amp;AB52&amp;AA52&amp;AB52&amp;'Data Validations'!I52&amp;'DB Entry Sheet (Engineers Only)'!AB52&amp;'DB Entry Sheet (Engineers Only)'!AA52&amp;'DB Entry Sheet (Engineers Only)'!AB52&amp;'Data Validations'!H52&amp;'DB Entry Sheet (Engineers Only)'!AB52&amp;'DB Entry Sheet (Engineers Only)'!AD52</f>
        <v>('NCKPI', '', ''),</v>
      </c>
      <c r="B52" t="str">
        <f>AC52&amp;AB52&amp;"NCKPI"&amp;AB52&amp;AA52&amp;AB52&amp;'Data Validations'!P52&amp;'DB Entry Sheet (Engineers Only)'!AB52&amp;'DB Entry Sheet (Engineers Only)'!AA52&amp;'DB Entry Sheet (Engineers Only)'!AB52&amp;'Data Validations'!O52&amp;'DB Entry Sheet (Engineers Only)'!AB52&amp;'DB Entry Sheet (Engineers Only)'!AD52</f>
        <v>('NCKPI', '640x640', '640x640'),</v>
      </c>
      <c r="AA52" t="s">
        <v>3461</v>
      </c>
      <c r="AB52" s="29" t="s">
        <v>3462</v>
      </c>
      <c r="AC52" t="s">
        <v>3463</v>
      </c>
      <c r="AD52" t="s">
        <v>3464</v>
      </c>
    </row>
    <row r="53" spans="1:30" x14ac:dyDescent="0.35">
      <c r="A53" t="str">
        <f>AC53&amp;AB53&amp;"NCKPI"&amp;AB53&amp;AA53&amp;AB53&amp;'Data Validations'!I53&amp;'DB Entry Sheet (Engineers Only)'!AB53&amp;'DB Entry Sheet (Engineers Only)'!AA53&amp;'DB Entry Sheet (Engineers Only)'!AB53&amp;'Data Validations'!H53&amp;'DB Entry Sheet (Engineers Only)'!AB53&amp;'DB Entry Sheet (Engineers Only)'!AD53</f>
        <v>('NCKPI', '', ''),</v>
      </c>
      <c r="B53" t="str">
        <f>AC53&amp;AB53&amp;"NCKPI"&amp;AB53&amp;AA53&amp;AB53&amp;'Data Validations'!P53&amp;'DB Entry Sheet (Engineers Only)'!AB53&amp;'DB Entry Sheet (Engineers Only)'!AA53&amp;'DB Entry Sheet (Engineers Only)'!AB53&amp;'Data Validations'!O53&amp;'DB Entry Sheet (Engineers Only)'!AB53&amp;'DB Entry Sheet (Engineers Only)'!AD53</f>
        <v>('NCKPI', '700x40', '700x40'),</v>
      </c>
      <c r="AA53" t="s">
        <v>3461</v>
      </c>
      <c r="AB53" s="29" t="s">
        <v>3462</v>
      </c>
      <c r="AC53" t="s">
        <v>3463</v>
      </c>
      <c r="AD53" t="s">
        <v>3464</v>
      </c>
    </row>
    <row r="54" spans="1:30" x14ac:dyDescent="0.35">
      <c r="A54" t="str">
        <f>AC54&amp;AB54&amp;"NCKPI"&amp;AB54&amp;AA54&amp;AB54&amp;'Data Validations'!I54&amp;'DB Entry Sheet (Engineers Only)'!AB54&amp;'DB Entry Sheet (Engineers Only)'!AA54&amp;'DB Entry Sheet (Engineers Only)'!AB54&amp;'Data Validations'!H54&amp;'DB Entry Sheet (Engineers Only)'!AB54&amp;'DB Entry Sheet (Engineers Only)'!AD54</f>
        <v>('NCKPI', '', ''),</v>
      </c>
      <c r="B54" t="str">
        <f>AC54&amp;AB54&amp;"NCKPI"&amp;AB54&amp;AA54&amp;AB54&amp;'Data Validations'!P54&amp;'DB Entry Sheet (Engineers Only)'!AB54&amp;'DB Entry Sheet (Engineers Only)'!AA54&amp;'DB Entry Sheet (Engineers Only)'!AB54&amp;'Data Validations'!O54&amp;'DB Entry Sheet (Engineers Only)'!AB54&amp;'DB Entry Sheet (Engineers Only)'!AD54</f>
        <v>('NCKPI', '720x186', '720x186'),</v>
      </c>
      <c r="AA54" t="s">
        <v>3461</v>
      </c>
      <c r="AB54" s="29" t="s">
        <v>3462</v>
      </c>
      <c r="AC54" t="s">
        <v>3463</v>
      </c>
      <c r="AD54" t="s">
        <v>3464</v>
      </c>
    </row>
    <row r="55" spans="1:30" x14ac:dyDescent="0.35">
      <c r="A55" t="str">
        <f>AC55&amp;AB55&amp;"NCKPI"&amp;AB55&amp;AA55&amp;AB55&amp;'Data Validations'!I55&amp;'DB Entry Sheet (Engineers Only)'!AB55&amp;'DB Entry Sheet (Engineers Only)'!AA55&amp;'DB Entry Sheet (Engineers Only)'!AB55&amp;'Data Validations'!H55&amp;'DB Entry Sheet (Engineers Only)'!AB55&amp;'DB Entry Sheet (Engineers Only)'!AD55</f>
        <v>('NCKPI', '', ''),</v>
      </c>
      <c r="B55" t="str">
        <f>AC55&amp;AB55&amp;"NCKPI"&amp;AB55&amp;AA55&amp;AB55&amp;'Data Validations'!P55&amp;'DB Entry Sheet (Engineers Only)'!AB55&amp;'DB Entry Sheet (Engineers Only)'!AA55&amp;'DB Entry Sheet (Engineers Only)'!AB55&amp;'Data Validations'!O55&amp;'DB Entry Sheet (Engineers Only)'!AB55&amp;'DB Entry Sheet (Engineers Only)'!AD55</f>
        <v>('NCKPI', '728x90', '728x90'),</v>
      </c>
      <c r="AA55" t="s">
        <v>3461</v>
      </c>
      <c r="AB55" s="29" t="s">
        <v>3462</v>
      </c>
      <c r="AC55" t="s">
        <v>3463</v>
      </c>
      <c r="AD55" t="s">
        <v>3464</v>
      </c>
    </row>
    <row r="56" spans="1:30" x14ac:dyDescent="0.35">
      <c r="A56" t="str">
        <f>AC56&amp;AB56&amp;"NCKPI"&amp;AB56&amp;AA56&amp;AB56&amp;'Data Validations'!I56&amp;'DB Entry Sheet (Engineers Only)'!AB56&amp;'DB Entry Sheet (Engineers Only)'!AA56&amp;'DB Entry Sheet (Engineers Only)'!AB56&amp;'Data Validations'!H56&amp;'DB Entry Sheet (Engineers Only)'!AB56&amp;'DB Entry Sheet (Engineers Only)'!AD56</f>
        <v>('NCKPI', '', ''),</v>
      </c>
      <c r="B56" t="str">
        <f>AC56&amp;AB56&amp;"NCKPI"&amp;AB56&amp;AA56&amp;AB56&amp;'Data Validations'!P56&amp;'DB Entry Sheet (Engineers Only)'!AB56&amp;'DB Entry Sheet (Engineers Only)'!AA56&amp;'DB Entry Sheet (Engineers Only)'!AB56&amp;'Data Validations'!O56&amp;'DB Entry Sheet (Engineers Only)'!AB56&amp;'DB Entry Sheet (Engineers Only)'!AD56</f>
        <v>('NCKPI', '760x760', '760x760'),</v>
      </c>
      <c r="AA56" t="s">
        <v>3461</v>
      </c>
      <c r="AB56" s="29" t="s">
        <v>3462</v>
      </c>
      <c r="AC56" t="s">
        <v>3463</v>
      </c>
      <c r="AD56" t="s">
        <v>3464</v>
      </c>
    </row>
    <row r="57" spans="1:30" x14ac:dyDescent="0.35">
      <c r="A57" t="str">
        <f>AC57&amp;AB57&amp;"NCKPI"&amp;AB57&amp;AA57&amp;AB57&amp;'Data Validations'!I57&amp;'DB Entry Sheet (Engineers Only)'!AB57&amp;'DB Entry Sheet (Engineers Only)'!AA57&amp;'DB Entry Sheet (Engineers Only)'!AB57&amp;'Data Validations'!H57&amp;'DB Entry Sheet (Engineers Only)'!AB57&amp;'DB Entry Sheet (Engineers Only)'!AD57</f>
        <v>('NCKPI', '', ''),</v>
      </c>
      <c r="B57" t="str">
        <f>AC57&amp;AB57&amp;"NCKPI"&amp;AB57&amp;AA57&amp;AB57&amp;'Data Validations'!P57&amp;'DB Entry Sheet (Engineers Only)'!AB57&amp;'DB Entry Sheet (Engineers Only)'!AA57&amp;'DB Entry Sheet (Engineers Only)'!AB57&amp;'Data Validations'!O57&amp;'DB Entry Sheet (Engineers Only)'!AB57&amp;'DB Entry Sheet (Engineers Only)'!AD57</f>
        <v>('NCKPI', '840x400', '840x400'),</v>
      </c>
      <c r="AA57" t="s">
        <v>3461</v>
      </c>
      <c r="AB57" s="29" t="s">
        <v>3462</v>
      </c>
      <c r="AC57" t="s">
        <v>3463</v>
      </c>
      <c r="AD57" t="s">
        <v>3464</v>
      </c>
    </row>
    <row r="58" spans="1:30" x14ac:dyDescent="0.35">
      <c r="A58" t="str">
        <f>AC58&amp;AB58&amp;"NCKPI"&amp;AB58&amp;AA58&amp;AB58&amp;'Data Validations'!I58&amp;'DB Entry Sheet (Engineers Only)'!AB58&amp;'DB Entry Sheet (Engineers Only)'!AA58&amp;'DB Entry Sheet (Engineers Only)'!AB58&amp;'Data Validations'!H58&amp;'DB Entry Sheet (Engineers Only)'!AB58&amp;'DB Entry Sheet (Engineers Only)'!AD58</f>
        <v>('NCKPI', '', ''),</v>
      </c>
      <c r="B58" t="str">
        <f>AC58&amp;AB58&amp;"NCKPI"&amp;AB58&amp;AA58&amp;AB58&amp;'Data Validations'!P58&amp;'DB Entry Sheet (Engineers Only)'!AB58&amp;'DB Entry Sheet (Engineers Only)'!AA58&amp;'DB Entry Sheet (Engineers Only)'!AB58&amp;'Data Validations'!O58&amp;'DB Entry Sheet (Engineers Only)'!AB58&amp;'DB Entry Sheet (Engineers Only)'!AD58</f>
        <v>('NCKPI', '88x31', '88x31'),</v>
      </c>
      <c r="AA58" t="s">
        <v>3461</v>
      </c>
      <c r="AB58" s="29" t="s">
        <v>3462</v>
      </c>
      <c r="AC58" t="s">
        <v>3463</v>
      </c>
      <c r="AD58" t="s">
        <v>3464</v>
      </c>
    </row>
    <row r="59" spans="1:30" x14ac:dyDescent="0.35">
      <c r="A59" t="str">
        <f>AC59&amp;AB59&amp;"NCKPI"&amp;AB59&amp;AA59&amp;AB59&amp;'Data Validations'!I59&amp;'DB Entry Sheet (Engineers Only)'!AB59&amp;'DB Entry Sheet (Engineers Only)'!AA59&amp;'DB Entry Sheet (Engineers Only)'!AB59&amp;'Data Validations'!H59&amp;'DB Entry Sheet (Engineers Only)'!AB59&amp;'DB Entry Sheet (Engineers Only)'!AD59</f>
        <v>('NCKPI', '', ''),</v>
      </c>
      <c r="B59" t="str">
        <f>AC59&amp;AB59&amp;"NCKPI"&amp;AB59&amp;AA59&amp;AB59&amp;'Data Validations'!P59&amp;'DB Entry Sheet (Engineers Only)'!AB59&amp;'DB Entry Sheet (Engineers Only)'!AA59&amp;'DB Entry Sheet (Engineers Only)'!AB59&amp;'Data Validations'!O59&amp;'DB Entry Sheet (Engineers Only)'!AB59&amp;'DB Entry Sheet (Engineers Only)'!AD59</f>
        <v>('NCKPI', '970x250', '970x250'),</v>
      </c>
      <c r="AA59" t="s">
        <v>3461</v>
      </c>
      <c r="AB59" s="29" t="s">
        <v>3462</v>
      </c>
      <c r="AC59" t="s">
        <v>3463</v>
      </c>
      <c r="AD59" t="s">
        <v>3464</v>
      </c>
    </row>
    <row r="60" spans="1:30" x14ac:dyDescent="0.35">
      <c r="A60" t="str">
        <f>AC60&amp;AB60&amp;"NCKPI"&amp;AB60&amp;AA60&amp;AB60&amp;'Data Validations'!I60&amp;'DB Entry Sheet (Engineers Only)'!AB60&amp;'DB Entry Sheet (Engineers Only)'!AA60&amp;'DB Entry Sheet (Engineers Only)'!AB60&amp;'Data Validations'!H60&amp;'DB Entry Sheet (Engineers Only)'!AB60&amp;'DB Entry Sheet (Engineers Only)'!AD60</f>
        <v>('NCKPI', '', ''),</v>
      </c>
      <c r="B60" t="str">
        <f>AC60&amp;AB60&amp;"NCKPI"&amp;AB60&amp;AA60&amp;AB60&amp;'Data Validations'!P60&amp;'DB Entry Sheet (Engineers Only)'!AB60&amp;'DB Entry Sheet (Engineers Only)'!AA60&amp;'DB Entry Sheet (Engineers Only)'!AB60&amp;'Data Validations'!O60&amp;'DB Entry Sheet (Engineers Only)'!AB60&amp;'DB Entry Sheet (Engineers Only)'!AD60</f>
        <v>('NCKPI', '970x250', '970x250'),</v>
      </c>
      <c r="AA60" t="s">
        <v>3461</v>
      </c>
      <c r="AB60" s="29" t="s">
        <v>3462</v>
      </c>
      <c r="AC60" t="s">
        <v>3463</v>
      </c>
      <c r="AD60" t="s">
        <v>3464</v>
      </c>
    </row>
    <row r="61" spans="1:30" x14ac:dyDescent="0.35">
      <c r="A61" t="str">
        <f>AC61&amp;AB61&amp;"NCKPI"&amp;AB61&amp;AA61&amp;AB61&amp;'Data Validations'!I61&amp;'DB Entry Sheet (Engineers Only)'!AB61&amp;'DB Entry Sheet (Engineers Only)'!AA61&amp;'DB Entry Sheet (Engineers Only)'!AB61&amp;'Data Validations'!H61&amp;'DB Entry Sheet (Engineers Only)'!AB61&amp;'DB Entry Sheet (Engineers Only)'!AD61</f>
        <v>('NCKPI', '', ''),</v>
      </c>
      <c r="B61" t="str">
        <f>AC61&amp;AB61&amp;"NCKPI"&amp;AB61&amp;AA61&amp;AB61&amp;'Data Validations'!P61&amp;'DB Entry Sheet (Engineers Only)'!AB61&amp;'DB Entry Sheet (Engineers Only)'!AA61&amp;'DB Entry Sheet (Engineers Only)'!AB61&amp;'Data Validations'!O61&amp;'DB Entry Sheet (Engineers Only)'!AB61&amp;'DB Entry Sheet (Engineers Only)'!AD61</f>
        <v>('NCKPI', '970x66', '970x66'),</v>
      </c>
      <c r="AA61" t="s">
        <v>3461</v>
      </c>
      <c r="AB61" s="29" t="s">
        <v>3462</v>
      </c>
      <c r="AC61" t="s">
        <v>3463</v>
      </c>
      <c r="AD61" t="s">
        <v>3464</v>
      </c>
    </row>
    <row r="62" spans="1:30" x14ac:dyDescent="0.35">
      <c r="A62" t="str">
        <f>AC62&amp;AB62&amp;"NCKPI"&amp;AB62&amp;AA62&amp;AB62&amp;'Data Validations'!I62&amp;'DB Entry Sheet (Engineers Only)'!AB62&amp;'DB Entry Sheet (Engineers Only)'!AA62&amp;'DB Entry Sheet (Engineers Only)'!AB62&amp;'Data Validations'!H62&amp;'DB Entry Sheet (Engineers Only)'!AB62&amp;'DB Entry Sheet (Engineers Only)'!AD62</f>
        <v>('NCKPI', '', ''),</v>
      </c>
      <c r="B62" t="str">
        <f>AC62&amp;AB62&amp;"NCKPI"&amp;AB62&amp;AA62&amp;AB62&amp;'Data Validations'!P62&amp;'DB Entry Sheet (Engineers Only)'!AB62&amp;'DB Entry Sheet (Engineers Only)'!AA62&amp;'DB Entry Sheet (Engineers Only)'!AB62&amp;'Data Validations'!O62&amp;'DB Entry Sheet (Engineers Only)'!AB62&amp;'DB Entry Sheet (Engineers Only)'!AD62</f>
        <v>('NCKPI', '970x90', '970x90'),</v>
      </c>
      <c r="AA62" t="s">
        <v>3461</v>
      </c>
      <c r="AB62" s="29" t="s">
        <v>3462</v>
      </c>
      <c r="AC62" t="s">
        <v>3463</v>
      </c>
      <c r="AD62" t="s">
        <v>3464</v>
      </c>
    </row>
    <row r="63" spans="1:30" x14ac:dyDescent="0.35">
      <c r="A63" t="str">
        <f>AC63&amp;AB63&amp;"NCKPI"&amp;AB63&amp;AA63&amp;AB63&amp;'Data Validations'!I63&amp;'DB Entry Sheet (Engineers Only)'!AB63&amp;'DB Entry Sheet (Engineers Only)'!AA63&amp;'DB Entry Sheet (Engineers Only)'!AB63&amp;'Data Validations'!H63&amp;'DB Entry Sheet (Engineers Only)'!AB63&amp;'DB Entry Sheet (Engineers Only)'!AD63</f>
        <v>('NCKPI', '', ''),</v>
      </c>
      <c r="B63" t="str">
        <f>AC63&amp;AB63&amp;"NCKPI"&amp;AB63&amp;AA63&amp;AB63&amp;'Data Validations'!P63&amp;'DB Entry Sheet (Engineers Only)'!AB63&amp;'DB Entry Sheet (Engineers Only)'!AA63&amp;'DB Entry Sheet (Engineers Only)'!AB63&amp;'Data Validations'!O63&amp;'DB Entry Sheet (Engineers Only)'!AB63&amp;'DB Entry Sheet (Engineers Only)'!AD63</f>
        <v>('NCKPI', '9x16', '9x16'),</v>
      </c>
      <c r="AA63" t="s">
        <v>3461</v>
      </c>
      <c r="AB63" s="29" t="s">
        <v>3462</v>
      </c>
      <c r="AC63" t="s">
        <v>3463</v>
      </c>
      <c r="AD63" t="s">
        <v>3464</v>
      </c>
    </row>
    <row r="64" spans="1:30" x14ac:dyDescent="0.35">
      <c r="A64" t="str">
        <f>AC64&amp;AB64&amp;"NCKPI"&amp;AB64&amp;AA64&amp;AB64&amp;'Data Validations'!I64&amp;'DB Entry Sheet (Engineers Only)'!AB64&amp;'DB Entry Sheet (Engineers Only)'!AA64&amp;'DB Entry Sheet (Engineers Only)'!AB64&amp;'Data Validations'!H64&amp;'DB Entry Sheet (Engineers Only)'!AB64&amp;'DB Entry Sheet (Engineers Only)'!AD64</f>
        <v>('NCKPI', '', ''),</v>
      </c>
      <c r="B64" t="str">
        <f>AC64&amp;AB64&amp;"NCKPI"&amp;AB64&amp;AA64&amp;AB64&amp;'Data Validations'!P64&amp;'DB Entry Sheet (Engineers Only)'!AB64&amp;'DB Entry Sheet (Engineers Only)'!AA64&amp;'DB Entry Sheet (Engineers Only)'!AB64&amp;'Data Validations'!O64&amp;'DB Entry Sheet (Engineers Only)'!AB64&amp;'DB Entry Sheet (Engineers Only)'!AD64</f>
        <v>('NCKPI', 'AUD', 'Audio'),</v>
      </c>
      <c r="AA64" t="s">
        <v>3461</v>
      </c>
      <c r="AB64" s="29" t="s">
        <v>3462</v>
      </c>
      <c r="AC64" t="s">
        <v>3463</v>
      </c>
      <c r="AD64" t="s">
        <v>3464</v>
      </c>
    </row>
    <row r="65" spans="1:30" x14ac:dyDescent="0.35">
      <c r="A65" t="str">
        <f>AC65&amp;AB65&amp;"NCKPI"&amp;AB65&amp;AA65&amp;AB65&amp;'Data Validations'!I65&amp;'DB Entry Sheet (Engineers Only)'!AB65&amp;'DB Entry Sheet (Engineers Only)'!AA65&amp;'DB Entry Sheet (Engineers Only)'!AB65&amp;'Data Validations'!H65&amp;'DB Entry Sheet (Engineers Only)'!AB65&amp;'DB Entry Sheet (Engineers Only)'!AD65</f>
        <v>('NCKPI', '', ''),</v>
      </c>
      <c r="B65" t="str">
        <f>AC65&amp;AB65&amp;"NCKPI"&amp;AB65&amp;AA65&amp;AB65&amp;'Data Validations'!P65&amp;'DB Entry Sheet (Engineers Only)'!AB65&amp;'DB Entry Sheet (Engineers Only)'!AA65&amp;'DB Entry Sheet (Engineers Only)'!AB65&amp;'Data Validations'!O65&amp;'DB Entry Sheet (Engineers Only)'!AB65&amp;'DB Entry Sheet (Engineers Only)'!AD65</f>
        <v>('NCKPI', 'BPR', 'Bumper'),</v>
      </c>
      <c r="AA65" t="s">
        <v>3461</v>
      </c>
      <c r="AB65" s="29" t="s">
        <v>3462</v>
      </c>
      <c r="AC65" t="s">
        <v>3463</v>
      </c>
      <c r="AD65" t="s">
        <v>3464</v>
      </c>
    </row>
    <row r="66" spans="1:30" x14ac:dyDescent="0.35">
      <c r="A66" t="str">
        <f>AC66&amp;AB66&amp;"NCKPI"&amp;AB66&amp;AA66&amp;AB66&amp;'Data Validations'!I66&amp;'DB Entry Sheet (Engineers Only)'!AB66&amp;'DB Entry Sheet (Engineers Only)'!AA66&amp;'DB Entry Sheet (Engineers Only)'!AB66&amp;'Data Validations'!H66&amp;'DB Entry Sheet (Engineers Only)'!AB66&amp;'DB Entry Sheet (Engineers Only)'!AD66</f>
        <v>('NCKPI', '', ''),</v>
      </c>
      <c r="B66" t="str">
        <f>AC66&amp;AB66&amp;"NCKPI"&amp;AB66&amp;AA66&amp;AB66&amp;'Data Validations'!P66&amp;'DB Entry Sheet (Engineers Only)'!AB66&amp;'DB Entry Sheet (Engineers Only)'!AA66&amp;'DB Entry Sheet (Engineers Only)'!AB66&amp;'Data Validations'!O66&amp;'DB Entry Sheet (Engineers Only)'!AB66&amp;'DB Entry Sheet (Engineers Only)'!AD66</f>
        <v>('NCKPI', 'CAN', 'Canvas'),</v>
      </c>
      <c r="AA66" t="s">
        <v>3461</v>
      </c>
      <c r="AB66" s="29" t="s">
        <v>3462</v>
      </c>
      <c r="AC66" t="s">
        <v>3463</v>
      </c>
      <c r="AD66" t="s">
        <v>3464</v>
      </c>
    </row>
    <row r="67" spans="1:30" x14ac:dyDescent="0.35">
      <c r="A67" t="str">
        <f>AC67&amp;AB67&amp;"NCKPI"&amp;AB67&amp;AA67&amp;AB67&amp;'Data Validations'!I67&amp;'DB Entry Sheet (Engineers Only)'!AB67&amp;'DB Entry Sheet (Engineers Only)'!AA67&amp;'DB Entry Sheet (Engineers Only)'!AB67&amp;'Data Validations'!H67&amp;'DB Entry Sheet (Engineers Only)'!AB67&amp;'DB Entry Sheet (Engineers Only)'!AD67</f>
        <v>('NCKPI', '', ''),</v>
      </c>
      <c r="B67" t="str">
        <f>AC67&amp;AB67&amp;"NCKPI"&amp;AB67&amp;AA67&amp;AB67&amp;'Data Validations'!P67&amp;'DB Entry Sheet (Engineers Only)'!AB67&amp;'DB Entry Sheet (Engineers Only)'!AA67&amp;'DB Entry Sheet (Engineers Only)'!AB67&amp;'Data Validations'!O67&amp;'DB Entry Sheet (Engineers Only)'!AB67&amp;'DB Entry Sheet (Engineers Only)'!AD67</f>
        <v>('NCKPI', 'CAR', 'Carousel'),</v>
      </c>
      <c r="AA67" t="s">
        <v>3461</v>
      </c>
      <c r="AB67" s="29" t="s">
        <v>3462</v>
      </c>
      <c r="AC67" t="s">
        <v>3463</v>
      </c>
      <c r="AD67" t="s">
        <v>3464</v>
      </c>
    </row>
    <row r="68" spans="1:30" x14ac:dyDescent="0.35">
      <c r="A68" t="str">
        <f>AC68&amp;AB68&amp;"NCKPI"&amp;AB68&amp;AA68&amp;AB68&amp;'Data Validations'!I68&amp;'DB Entry Sheet (Engineers Only)'!AB68&amp;'DB Entry Sheet (Engineers Only)'!AA68&amp;'DB Entry Sheet (Engineers Only)'!AB68&amp;'Data Validations'!H68&amp;'DB Entry Sheet (Engineers Only)'!AB68&amp;'DB Entry Sheet (Engineers Only)'!AD68</f>
        <v>('NCKPI', '', ''),</v>
      </c>
      <c r="B68" t="str">
        <f>AC68&amp;AB68&amp;"NCKPI"&amp;AB68&amp;AA68&amp;AB68&amp;'Data Validations'!P68&amp;'DB Entry Sheet (Engineers Only)'!AB68&amp;'DB Entry Sheet (Engineers Only)'!AA68&amp;'DB Entry Sheet (Engineers Only)'!AB68&amp;'Data Validations'!O68&amp;'DB Entry Sheet (Engineers Only)'!AB68&amp;'DB Entry Sheet (Engineers Only)'!AD68</f>
        <v>('NCKPI', '', 'Carousel'),</v>
      </c>
      <c r="AA68" t="s">
        <v>3461</v>
      </c>
      <c r="AB68" s="29" t="s">
        <v>3462</v>
      </c>
      <c r="AC68" t="s">
        <v>3463</v>
      </c>
      <c r="AD68" t="s">
        <v>3464</v>
      </c>
    </row>
    <row r="69" spans="1:30" x14ac:dyDescent="0.35">
      <c r="A69" t="str">
        <f>AC69&amp;AB69&amp;"NCKPI"&amp;AB69&amp;AA69&amp;AB69&amp;'Data Validations'!I69&amp;'DB Entry Sheet (Engineers Only)'!AB69&amp;'DB Entry Sheet (Engineers Only)'!AA69&amp;'DB Entry Sheet (Engineers Only)'!AB69&amp;'Data Validations'!H69&amp;'DB Entry Sheet (Engineers Only)'!AB69&amp;'DB Entry Sheet (Engineers Only)'!AD69</f>
        <v>('NCKPI', '', ''),</v>
      </c>
      <c r="B69" t="str">
        <f>AC69&amp;AB69&amp;"NCKPI"&amp;AB69&amp;AA69&amp;AB69&amp;'Data Validations'!P69&amp;'DB Entry Sheet (Engineers Only)'!AB69&amp;'DB Entry Sheet (Engineers Only)'!AA69&amp;'DB Entry Sheet (Engineers Only)'!AB69&amp;'Data Validations'!O69&amp;'DB Entry Sheet (Engineers Only)'!AB69&amp;'DB Entry Sheet (Engineers Only)'!AD69</f>
        <v>('NCKPI', '', 'Carousel with Video'),</v>
      </c>
      <c r="AA69" t="s">
        <v>3461</v>
      </c>
      <c r="AB69" s="29" t="s">
        <v>3462</v>
      </c>
      <c r="AC69" t="s">
        <v>3463</v>
      </c>
      <c r="AD69" t="s">
        <v>3464</v>
      </c>
    </row>
    <row r="70" spans="1:30" x14ac:dyDescent="0.35">
      <c r="A70" t="str">
        <f>AC70&amp;AB70&amp;"NCKPI"&amp;AB70&amp;AA70&amp;AB70&amp;'Data Validations'!I70&amp;'DB Entry Sheet (Engineers Only)'!AB70&amp;'DB Entry Sheet (Engineers Only)'!AA70&amp;'DB Entry Sheet (Engineers Only)'!AB70&amp;'Data Validations'!H70&amp;'DB Entry Sheet (Engineers Only)'!AB70&amp;'DB Entry Sheet (Engineers Only)'!AD70</f>
        <v>('NCKPI', '', ''),</v>
      </c>
      <c r="B70" t="str">
        <f>AC70&amp;AB70&amp;"NCKPI"&amp;AB70&amp;AA70&amp;AB70&amp;'Data Validations'!P70&amp;'DB Entry Sheet (Engineers Only)'!AB70&amp;'DB Entry Sheet (Engineers Only)'!AA70&amp;'DB Entry Sheet (Engineers Only)'!AB70&amp;'Data Validations'!O70&amp;'DB Entry Sheet (Engineers Only)'!AB70&amp;'DB Entry Sheet (Engineers Only)'!AD70</f>
        <v>('NCKPI', 'CA', 'Collection Ad'),</v>
      </c>
      <c r="AA70" t="s">
        <v>3461</v>
      </c>
      <c r="AB70" s="29" t="s">
        <v>3462</v>
      </c>
      <c r="AC70" t="s">
        <v>3463</v>
      </c>
      <c r="AD70" t="s">
        <v>3464</v>
      </c>
    </row>
    <row r="71" spans="1:30" x14ac:dyDescent="0.35">
      <c r="A71" t="str">
        <f>AC71&amp;AB71&amp;"NCKPI"&amp;AB71&amp;AA71&amp;AB71&amp;'Data Validations'!I71&amp;'DB Entry Sheet (Engineers Only)'!AB71&amp;'DB Entry Sheet (Engineers Only)'!AA71&amp;'DB Entry Sheet (Engineers Only)'!AB71&amp;'Data Validations'!H71&amp;'DB Entry Sheet (Engineers Only)'!AB71&amp;'DB Entry Sheet (Engineers Only)'!AD71</f>
        <v>('NCKPI', '', ''),</v>
      </c>
      <c r="B71" t="str">
        <f>AC71&amp;AB71&amp;"NCKPI"&amp;AB71&amp;AA71&amp;AB71&amp;'Data Validations'!P71&amp;'DB Entry Sheet (Engineers Only)'!AB71&amp;'DB Entry Sheet (Engineers Only)'!AA71&amp;'DB Entry Sheet (Engineers Only)'!AB71&amp;'Data Validations'!O71&amp;'DB Entry Sheet (Engineers Only)'!AB71&amp;'DB Entry Sheet (Engineers Only)'!AD71</f>
        <v>('NCKPI', '', 'Collection and Carousel Ad'),</v>
      </c>
      <c r="AA71" t="s">
        <v>3461</v>
      </c>
      <c r="AB71" s="29" t="s">
        <v>3462</v>
      </c>
      <c r="AC71" t="s">
        <v>3463</v>
      </c>
      <c r="AD71" t="s">
        <v>3464</v>
      </c>
    </row>
    <row r="72" spans="1:30" x14ac:dyDescent="0.35">
      <c r="A72" t="str">
        <f>AC72&amp;AB72&amp;"NCKPI"&amp;AB72&amp;AA72&amp;AB72&amp;'Data Validations'!I72&amp;'DB Entry Sheet (Engineers Only)'!AB72&amp;'DB Entry Sheet (Engineers Only)'!AA72&amp;'DB Entry Sheet (Engineers Only)'!AB72&amp;'Data Validations'!H72&amp;'DB Entry Sheet (Engineers Only)'!AB72&amp;'DB Entry Sheet (Engineers Only)'!AD72</f>
        <v>('NCKPI', '', ''),</v>
      </c>
      <c r="B72" t="str">
        <f>AC72&amp;AB72&amp;"NCKPI"&amp;AB72&amp;AA72&amp;AB72&amp;'Data Validations'!P72&amp;'DB Entry Sheet (Engineers Only)'!AB72&amp;'DB Entry Sheet (Engineers Only)'!AA72&amp;'DB Entry Sheet (Engineers Only)'!AB72&amp;'Data Validations'!O72&amp;'DB Entry Sheet (Engineers Only)'!AB72&amp;'DB Entry Sheet (Engineers Only)'!AD72</f>
        <v>('NCKPI', 'DISP', 'Digital Display'),</v>
      </c>
      <c r="AA72" t="s">
        <v>3461</v>
      </c>
      <c r="AB72" s="29" t="s">
        <v>3462</v>
      </c>
      <c r="AC72" t="s">
        <v>3463</v>
      </c>
      <c r="AD72" t="s">
        <v>3464</v>
      </c>
    </row>
    <row r="73" spans="1:30" x14ac:dyDescent="0.35">
      <c r="A73" t="str">
        <f>AC73&amp;AB73&amp;"NCKPI"&amp;AB73&amp;AA73&amp;AB73&amp;'Data Validations'!I73&amp;'DB Entry Sheet (Engineers Only)'!AB73&amp;'DB Entry Sheet (Engineers Only)'!AA73&amp;'DB Entry Sheet (Engineers Only)'!AB73&amp;'Data Validations'!H73&amp;'DB Entry Sheet (Engineers Only)'!AB73&amp;'DB Entry Sheet (Engineers Only)'!AD73</f>
        <v>('NCKPI', '', ''),</v>
      </c>
      <c r="B73" t="str">
        <f>AC73&amp;AB73&amp;"NCKPI"&amp;AB73&amp;AA73&amp;AB73&amp;'Data Validations'!P73&amp;'DB Entry Sheet (Engineers Only)'!AB73&amp;'DB Entry Sheet (Engineers Only)'!AA73&amp;'DB Entry Sheet (Engineers Only)'!AB73&amp;'Data Validations'!O73&amp;'DB Entry Sheet (Engineers Only)'!AB73&amp;'DB Entry Sheet (Engineers Only)'!AD73</f>
        <v>('NCKPI', '', 'Display'),</v>
      </c>
      <c r="AA73" t="s">
        <v>3461</v>
      </c>
      <c r="AB73" s="29" t="s">
        <v>3462</v>
      </c>
      <c r="AC73" t="s">
        <v>3463</v>
      </c>
      <c r="AD73" t="s">
        <v>3464</v>
      </c>
    </row>
    <row r="74" spans="1:30" x14ac:dyDescent="0.35">
      <c r="A74" t="str">
        <f>AC74&amp;AB74&amp;"NCKPI"&amp;AB74&amp;AA74&amp;AB74&amp;'Data Validations'!I74&amp;'DB Entry Sheet (Engineers Only)'!AB74&amp;'DB Entry Sheet (Engineers Only)'!AA74&amp;'DB Entry Sheet (Engineers Only)'!AB74&amp;'Data Validations'!H74&amp;'DB Entry Sheet (Engineers Only)'!AB74&amp;'DB Entry Sheet (Engineers Only)'!AD74</f>
        <v>('NCKPI', '', ''),</v>
      </c>
      <c r="B74" t="str">
        <f>AC74&amp;AB74&amp;"NCKPI"&amp;AB74&amp;AA74&amp;AB74&amp;'Data Validations'!P74&amp;'DB Entry Sheet (Engineers Only)'!AB74&amp;'DB Entry Sheet (Engineers Only)'!AA74&amp;'DB Entry Sheet (Engineers Only)'!AB74&amp;'Data Validations'!O74&amp;'DB Entry Sheet (Engineers Only)'!AB74&amp;'DB Entry Sheet (Engineers Only)'!AD74</f>
        <v>('NCKPI', '', 'DOOH'),</v>
      </c>
      <c r="AA74" t="s">
        <v>3461</v>
      </c>
      <c r="AB74" s="29" t="s">
        <v>3462</v>
      </c>
      <c r="AC74" t="s">
        <v>3463</v>
      </c>
      <c r="AD74" t="s">
        <v>3464</v>
      </c>
    </row>
    <row r="75" spans="1:30" x14ac:dyDescent="0.35">
      <c r="A75" t="str">
        <f>AC75&amp;AB75&amp;"NCKPI"&amp;AB75&amp;AA75&amp;AB75&amp;'Data Validations'!I75&amp;'DB Entry Sheet (Engineers Only)'!AB75&amp;'DB Entry Sheet (Engineers Only)'!AA75&amp;'DB Entry Sheet (Engineers Only)'!AB75&amp;'Data Validations'!H75&amp;'DB Entry Sheet (Engineers Only)'!AB75&amp;'DB Entry Sheet (Engineers Only)'!AD75</f>
        <v>('NCKPI', '', ''),</v>
      </c>
      <c r="B75" t="str">
        <f>AC75&amp;AB75&amp;"NCKPI"&amp;AB75&amp;AA75&amp;AB75&amp;'Data Validations'!P75&amp;'DB Entry Sheet (Engineers Only)'!AB75&amp;'DB Entry Sheet (Engineers Only)'!AA75&amp;'DB Entry Sheet (Engineers Only)'!AB75&amp;'Data Validations'!O75&amp;'DB Entry Sheet (Engineers Only)'!AB75&amp;'DB Entry Sheet (Engineers Only)'!AD75</f>
        <v>('NCKPI', 'DISP', 'eCommerce Display'),</v>
      </c>
      <c r="AA75" t="s">
        <v>3461</v>
      </c>
      <c r="AB75" s="29" t="s">
        <v>3462</v>
      </c>
      <c r="AC75" t="s">
        <v>3463</v>
      </c>
      <c r="AD75" t="s">
        <v>3464</v>
      </c>
    </row>
    <row r="76" spans="1:30" x14ac:dyDescent="0.35">
      <c r="A76" t="str">
        <f>AC76&amp;AB76&amp;"NCKPI"&amp;AB76&amp;AA76&amp;AB76&amp;'Data Validations'!I76&amp;'DB Entry Sheet (Engineers Only)'!AB76&amp;'DB Entry Sheet (Engineers Only)'!AA76&amp;'DB Entry Sheet (Engineers Only)'!AB76&amp;'Data Validations'!H76&amp;'DB Entry Sheet (Engineers Only)'!AB76&amp;'DB Entry Sheet (Engineers Only)'!AD76</f>
        <v>('NCKPI', '', ''),</v>
      </c>
      <c r="B76" t="str">
        <f>AC76&amp;AB76&amp;"NCKPI"&amp;AB76&amp;AA76&amp;AB76&amp;'Data Validations'!P76&amp;'DB Entry Sheet (Engineers Only)'!AB76&amp;'DB Entry Sheet (Engineers Only)'!AA76&amp;'DB Entry Sheet (Engineers Only)'!AB76&amp;'Data Validations'!O76&amp;'DB Entry Sheet (Engineers Only)'!AB76&amp;'DB Entry Sheet (Engineers Only)'!AD76</f>
        <v>('NCKPI', 'TXT', 'eCommerce Text'),</v>
      </c>
      <c r="AA76" t="s">
        <v>3461</v>
      </c>
      <c r="AB76" s="29" t="s">
        <v>3462</v>
      </c>
      <c r="AC76" t="s">
        <v>3463</v>
      </c>
      <c r="AD76" t="s">
        <v>3464</v>
      </c>
    </row>
    <row r="77" spans="1:30" x14ac:dyDescent="0.35">
      <c r="A77" t="str">
        <f>AC77&amp;AB77&amp;"NCKPI"&amp;AB77&amp;AA77&amp;AB77&amp;'Data Validations'!I77&amp;'DB Entry Sheet (Engineers Only)'!AB77&amp;'DB Entry Sheet (Engineers Only)'!AA77&amp;'DB Entry Sheet (Engineers Only)'!AB77&amp;'Data Validations'!H77&amp;'DB Entry Sheet (Engineers Only)'!AB77&amp;'DB Entry Sheet (Engineers Only)'!AD77</f>
        <v>('NCKPI', '', ''),</v>
      </c>
      <c r="B77" t="str">
        <f>AC77&amp;AB77&amp;"NCKPI"&amp;AB77&amp;AA77&amp;AB77&amp;'Data Validations'!P77&amp;'DB Entry Sheet (Engineers Only)'!AB77&amp;'DB Entry Sheet (Engineers Only)'!AA77&amp;'DB Entry Sheet (Engineers Only)'!AB77&amp;'Data Validations'!O77&amp;'DB Entry Sheet (Engineers Only)'!AB77&amp;'DB Entry Sheet (Engineers Only)'!AD77</f>
        <v>('NCKPI', 'EMA', 'Email'),</v>
      </c>
      <c r="AA77" t="s">
        <v>3461</v>
      </c>
      <c r="AB77" s="29" t="s">
        <v>3462</v>
      </c>
      <c r="AC77" t="s">
        <v>3463</v>
      </c>
      <c r="AD77" t="s">
        <v>3464</v>
      </c>
    </row>
    <row r="78" spans="1:30" x14ac:dyDescent="0.35">
      <c r="A78" t="str">
        <f>AC78&amp;AB78&amp;"NCKPI"&amp;AB78&amp;AA78&amp;AB78&amp;'Data Validations'!I78&amp;'DB Entry Sheet (Engineers Only)'!AB78&amp;'DB Entry Sheet (Engineers Only)'!AA78&amp;'DB Entry Sheet (Engineers Only)'!AB78&amp;'Data Validations'!H78&amp;'DB Entry Sheet (Engineers Only)'!AB78&amp;'DB Entry Sheet (Engineers Only)'!AD78</f>
        <v>('NCKPI', '', ''),</v>
      </c>
      <c r="B78" t="str">
        <f>AC78&amp;AB78&amp;"NCKPI"&amp;AB78&amp;AA78&amp;AB78&amp;'Data Validations'!P78&amp;'DB Entry Sheet (Engineers Only)'!AB78&amp;'DB Entry Sheet (Engineers Only)'!AA78&amp;'DB Entry Sheet (Engineers Only)'!AB78&amp;'Data Validations'!O78&amp;'DB Entry Sheet (Engineers Only)'!AB78&amp;'DB Entry Sheet (Engineers Only)'!AD78</f>
        <v>('NCKPI', 'LOG', 'Email Logo'),</v>
      </c>
      <c r="AA78" t="s">
        <v>3461</v>
      </c>
      <c r="AB78" s="29" t="s">
        <v>3462</v>
      </c>
      <c r="AC78" t="s">
        <v>3463</v>
      </c>
      <c r="AD78" t="s">
        <v>3464</v>
      </c>
    </row>
    <row r="79" spans="1:30" x14ac:dyDescent="0.35">
      <c r="A79" t="str">
        <f>AC79&amp;AB79&amp;"NCKPI"&amp;AB79&amp;AA79&amp;AB79&amp;'Data Validations'!I79&amp;'DB Entry Sheet (Engineers Only)'!AB79&amp;'DB Entry Sheet (Engineers Only)'!AA79&amp;'DB Entry Sheet (Engineers Only)'!AB79&amp;'Data Validations'!H79&amp;'DB Entry Sheet (Engineers Only)'!AB79&amp;'DB Entry Sheet (Engineers Only)'!AD79</f>
        <v>('NCKPI', '', ''),</v>
      </c>
      <c r="B79" t="str">
        <f>AC79&amp;AB79&amp;"NCKPI"&amp;AB79&amp;AA79&amp;AB79&amp;'Data Validations'!P79&amp;'DB Entry Sheet (Engineers Only)'!AB79&amp;'DB Entry Sheet (Engineers Only)'!AA79&amp;'DB Entry Sheet (Engineers Only)'!AB79&amp;'Data Validations'!O79&amp;'DB Entry Sheet (Engineers Only)'!AB79&amp;'DB Entry Sheet (Engineers Only)'!AD79</f>
        <v>('NCKPI', 'TXT', 'Email Text'),</v>
      </c>
      <c r="AA79" t="s">
        <v>3461</v>
      </c>
      <c r="AB79" s="29" t="s">
        <v>3462</v>
      </c>
      <c r="AC79" t="s">
        <v>3463</v>
      </c>
      <c r="AD79" t="s">
        <v>3464</v>
      </c>
    </row>
    <row r="80" spans="1:30" x14ac:dyDescent="0.35">
      <c r="A80" t="str">
        <f>AC80&amp;AB80&amp;"NCKPI"&amp;AB80&amp;AA80&amp;AB80&amp;'Data Validations'!I80&amp;'DB Entry Sheet (Engineers Only)'!AB80&amp;'DB Entry Sheet (Engineers Only)'!AA80&amp;'DB Entry Sheet (Engineers Only)'!AB80&amp;'Data Validations'!H80&amp;'DB Entry Sheet (Engineers Only)'!AB80&amp;'DB Entry Sheet (Engineers Only)'!AD80</f>
        <v>('NCKPI', '', ''),</v>
      </c>
      <c r="B80" t="str">
        <f>AC80&amp;AB80&amp;"NCKPI"&amp;AB80&amp;AA80&amp;AB80&amp;'Data Validations'!P80&amp;'DB Entry Sheet (Engineers Only)'!AB80&amp;'DB Entry Sheet (Engineers Only)'!AA80&amp;'DB Entry Sheet (Engineers Only)'!AB80&amp;'Data Validations'!O80&amp;'DB Entry Sheet (Engineers Only)'!AB80&amp;'DB Entry Sheet (Engineers Only)'!AD80</f>
        <v>('NCKPI', 'HPL', 'Hyper Link'),</v>
      </c>
      <c r="AA80" t="s">
        <v>3461</v>
      </c>
      <c r="AB80" s="29" t="s">
        <v>3462</v>
      </c>
      <c r="AC80" t="s">
        <v>3463</v>
      </c>
      <c r="AD80" t="s">
        <v>3464</v>
      </c>
    </row>
    <row r="81" spans="1:30" x14ac:dyDescent="0.35">
      <c r="A81" t="str">
        <f>AC81&amp;AB81&amp;"NCKPI"&amp;AB81&amp;AA81&amp;AB81&amp;'Data Validations'!I81&amp;'DB Entry Sheet (Engineers Only)'!AB81&amp;'DB Entry Sheet (Engineers Only)'!AA81&amp;'DB Entry Sheet (Engineers Only)'!AB81&amp;'Data Validations'!H81&amp;'DB Entry Sheet (Engineers Only)'!AB81&amp;'DB Entry Sheet (Engineers Only)'!AD81</f>
        <v>('NCKPI', '', ''),</v>
      </c>
      <c r="B81" t="str">
        <f>AC81&amp;AB81&amp;"NCKPI"&amp;AB81&amp;AA81&amp;AB81&amp;'Data Validations'!P81&amp;'DB Entry Sheet (Engineers Only)'!AB81&amp;'DB Entry Sheet (Engineers Only)'!AA81&amp;'DB Entry Sheet (Engineers Only)'!AB81&amp;'Data Validations'!O81&amp;'DB Entry Sheet (Engineers Only)'!AB81&amp;'DB Entry Sheet (Engineers Only)'!AD81</f>
        <v>('NCKPI', 'IMG', 'Image'),</v>
      </c>
      <c r="AA81" t="s">
        <v>3461</v>
      </c>
      <c r="AB81" s="29" t="s">
        <v>3462</v>
      </c>
      <c r="AC81" t="s">
        <v>3463</v>
      </c>
      <c r="AD81" t="s">
        <v>3464</v>
      </c>
    </row>
    <row r="82" spans="1:30" x14ac:dyDescent="0.35">
      <c r="A82" t="str">
        <f>AC82&amp;AB82&amp;"NCKPI"&amp;AB82&amp;AA82&amp;AB82&amp;'Data Validations'!I82&amp;'DB Entry Sheet (Engineers Only)'!AB82&amp;'DB Entry Sheet (Engineers Only)'!AA82&amp;'DB Entry Sheet (Engineers Only)'!AB82&amp;'Data Validations'!H82&amp;'DB Entry Sheet (Engineers Only)'!AB82&amp;'DB Entry Sheet (Engineers Only)'!AD82</f>
        <v>('NCKPI', '', ''),</v>
      </c>
      <c r="B82" t="str">
        <f>AC82&amp;AB82&amp;"NCKPI"&amp;AB82&amp;AA82&amp;AB82&amp;'Data Validations'!P82&amp;'DB Entry Sheet (Engineers Only)'!AB82&amp;'DB Entry Sheet (Engineers Only)'!AA82&amp;'DB Entry Sheet (Engineers Only)'!AB82&amp;'Data Validations'!O82&amp;'DB Entry Sheet (Engineers Only)'!AB82&amp;'DB Entry Sheet (Engineers Only)'!AD82</f>
        <v>('NCKPI', 'INF', 'In-feed'),</v>
      </c>
      <c r="AA82" t="s">
        <v>3461</v>
      </c>
      <c r="AB82" s="29" t="s">
        <v>3462</v>
      </c>
      <c r="AC82" t="s">
        <v>3463</v>
      </c>
      <c r="AD82" t="s">
        <v>3464</v>
      </c>
    </row>
    <row r="83" spans="1:30" x14ac:dyDescent="0.35">
      <c r="A83" t="str">
        <f>AC83&amp;AB83&amp;"NCKPI"&amp;AB83&amp;AA83&amp;AB83&amp;'Data Validations'!I83&amp;'DB Entry Sheet (Engineers Only)'!AB83&amp;'DB Entry Sheet (Engineers Only)'!AA83&amp;'DB Entry Sheet (Engineers Only)'!AB83&amp;'Data Validations'!H83&amp;'DB Entry Sheet (Engineers Only)'!AB83&amp;'DB Entry Sheet (Engineers Only)'!AD83</f>
        <v>('NCKPI', '', ''),</v>
      </c>
      <c r="B83" t="str">
        <f>AC83&amp;AB83&amp;"NCKPI"&amp;AB83&amp;AA83&amp;AB83&amp;'Data Validations'!P83&amp;'DB Entry Sheet (Engineers Only)'!AB83&amp;'DB Entry Sheet (Engineers Only)'!AA83&amp;'DB Entry Sheet (Engineers Only)'!AB83&amp;'Data Validations'!O83&amp;'DB Entry Sheet (Engineers Only)'!AB83&amp;'DB Entry Sheet (Engineers Only)'!AD83</f>
        <v>('NCKPI', 'DISP', 'Influencer Display'),</v>
      </c>
      <c r="AA83" t="s">
        <v>3461</v>
      </c>
      <c r="AB83" s="29" t="s">
        <v>3462</v>
      </c>
      <c r="AC83" t="s">
        <v>3463</v>
      </c>
      <c r="AD83" t="s">
        <v>3464</v>
      </c>
    </row>
    <row r="84" spans="1:30" x14ac:dyDescent="0.35">
      <c r="A84" t="str">
        <f>AC84&amp;AB84&amp;"NCKPI"&amp;AB84&amp;AA84&amp;AB84&amp;'Data Validations'!I84&amp;'DB Entry Sheet (Engineers Only)'!AB84&amp;'DB Entry Sheet (Engineers Only)'!AA84&amp;'DB Entry Sheet (Engineers Only)'!AB84&amp;'Data Validations'!H84&amp;'DB Entry Sheet (Engineers Only)'!AB84&amp;'DB Entry Sheet (Engineers Only)'!AD84</f>
        <v>('NCKPI', '', ''),</v>
      </c>
      <c r="B84" t="str">
        <f>AC84&amp;AB84&amp;"NCKPI"&amp;AB84&amp;AA84&amp;AB84&amp;'Data Validations'!P84&amp;'DB Entry Sheet (Engineers Only)'!AB84&amp;'DB Entry Sheet (Engineers Only)'!AA84&amp;'DB Entry Sheet (Engineers Only)'!AB84&amp;'Data Validations'!O84&amp;'DB Entry Sheet (Engineers Only)'!AB84&amp;'DB Entry Sheet (Engineers Only)'!AD84</f>
        <v>('NCKPI', 'TXT', 'Influencer Text'),</v>
      </c>
      <c r="AA84" t="s">
        <v>3461</v>
      </c>
      <c r="AB84" s="29" t="s">
        <v>3462</v>
      </c>
      <c r="AC84" t="s">
        <v>3463</v>
      </c>
      <c r="AD84" t="s">
        <v>3464</v>
      </c>
    </row>
    <row r="85" spans="1:30" x14ac:dyDescent="0.35">
      <c r="A85" t="str">
        <f>AC85&amp;AB85&amp;"NCKPI"&amp;AB85&amp;AA85&amp;AB85&amp;'Data Validations'!I85&amp;'DB Entry Sheet (Engineers Only)'!AB85&amp;'DB Entry Sheet (Engineers Only)'!AA85&amp;'DB Entry Sheet (Engineers Only)'!AB85&amp;'Data Validations'!H85&amp;'DB Entry Sheet (Engineers Only)'!AB85&amp;'DB Entry Sheet (Engineers Only)'!AD85</f>
        <v>('NCKPI', '', ''),</v>
      </c>
      <c r="B85" t="str">
        <f>AC85&amp;AB85&amp;"NCKPI"&amp;AB85&amp;AA85&amp;AB85&amp;'Data Validations'!P85&amp;'DB Entry Sheet (Engineers Only)'!AB85&amp;'DB Entry Sheet (Engineers Only)'!AA85&amp;'DB Entry Sheet (Engineers Only)'!AB85&amp;'Data Validations'!O85&amp;'DB Entry Sheet (Engineers Only)'!AB85&amp;'DB Entry Sheet (Engineers Only)'!AD85</f>
        <v>('NCKPI', 'VID', 'Influencer Video'),</v>
      </c>
      <c r="AA85" t="s">
        <v>3461</v>
      </c>
      <c r="AB85" s="29" t="s">
        <v>3462</v>
      </c>
      <c r="AC85" t="s">
        <v>3463</v>
      </c>
      <c r="AD85" t="s">
        <v>3464</v>
      </c>
    </row>
    <row r="86" spans="1:30" x14ac:dyDescent="0.35">
      <c r="A86" t="str">
        <f>AC86&amp;AB86&amp;"NCKPI"&amp;AB86&amp;AA86&amp;AB86&amp;'Data Validations'!I86&amp;'DB Entry Sheet (Engineers Only)'!AB86&amp;'DB Entry Sheet (Engineers Only)'!AA86&amp;'DB Entry Sheet (Engineers Only)'!AB86&amp;'Data Validations'!H86&amp;'DB Entry Sheet (Engineers Only)'!AB86&amp;'DB Entry Sheet (Engineers Only)'!AD86</f>
        <v>('NCKPI', '', ''),</v>
      </c>
      <c r="B86" t="str">
        <f>AC86&amp;AB86&amp;"NCKPI"&amp;AB86&amp;AA86&amp;AB86&amp;'Data Validations'!P86&amp;'DB Entry Sheet (Engineers Only)'!AB86&amp;'DB Entry Sheet (Engineers Only)'!AA86&amp;'DB Entry Sheet (Engineers Only)'!AB86&amp;'Data Validations'!O86&amp;'DB Entry Sheet (Engineers Only)'!AB86&amp;'DB Entry Sheet (Engineers Only)'!AD86</f>
        <v>('NCKPI', 'INS', 'Instream'),</v>
      </c>
      <c r="AA86" t="s">
        <v>3461</v>
      </c>
      <c r="AB86" s="29" t="s">
        <v>3462</v>
      </c>
      <c r="AC86" t="s">
        <v>3463</v>
      </c>
      <c r="AD86" t="s">
        <v>3464</v>
      </c>
    </row>
    <row r="87" spans="1:30" x14ac:dyDescent="0.35">
      <c r="A87" t="str">
        <f>AC87&amp;AB87&amp;"NCKPI"&amp;AB87&amp;AA87&amp;AB87&amp;'Data Validations'!I87&amp;'DB Entry Sheet (Engineers Only)'!AB87&amp;'DB Entry Sheet (Engineers Only)'!AA87&amp;'DB Entry Sheet (Engineers Only)'!AB87&amp;'Data Validations'!H87&amp;'DB Entry Sheet (Engineers Only)'!AB87&amp;'DB Entry Sheet (Engineers Only)'!AD87</f>
        <v>('NCKPI', '', ''),</v>
      </c>
      <c r="B87" t="str">
        <f>AC87&amp;AB87&amp;"NCKPI"&amp;AB87&amp;AA87&amp;AB87&amp;'Data Validations'!P87&amp;'DB Entry Sheet (Engineers Only)'!AB87&amp;'DB Entry Sheet (Engineers Only)'!AA87&amp;'DB Entry Sheet (Engineers Only)'!AB87&amp;'Data Validations'!O87&amp;'DB Entry Sheet (Engineers Only)'!AB87&amp;'DB Entry Sheet (Engineers Only)'!AD87</f>
        <v>('NCKPI', 'INT', 'Interstitial'),</v>
      </c>
      <c r="AA87" t="s">
        <v>3461</v>
      </c>
      <c r="AB87" s="29" t="s">
        <v>3462</v>
      </c>
      <c r="AC87" t="s">
        <v>3463</v>
      </c>
      <c r="AD87" t="s">
        <v>3464</v>
      </c>
    </row>
    <row r="88" spans="1:30" x14ac:dyDescent="0.35">
      <c r="A88" t="str">
        <f>AC88&amp;AB88&amp;"NCKPI"&amp;AB88&amp;AA88&amp;AB88&amp;'Data Validations'!I88&amp;'DB Entry Sheet (Engineers Only)'!AB88&amp;'DB Entry Sheet (Engineers Only)'!AA88&amp;'DB Entry Sheet (Engineers Only)'!AB88&amp;'Data Validations'!H88&amp;'DB Entry Sheet (Engineers Only)'!AB88&amp;'DB Entry Sheet (Engineers Only)'!AD88</f>
        <v>('NCKPI', '', ''),</v>
      </c>
      <c r="B88" t="str">
        <f>AC88&amp;AB88&amp;"NCKPI"&amp;AB88&amp;AA88&amp;AB88&amp;'Data Validations'!P88&amp;'DB Entry Sheet (Engineers Only)'!AB88&amp;'DB Entry Sheet (Engineers Only)'!AA88&amp;'DB Entry Sheet (Engineers Only)'!AB88&amp;'Data Validations'!O88&amp;'DB Entry Sheet (Engineers Only)'!AB88&amp;'DB Entry Sheet (Engineers Only)'!AD88</f>
        <v>('NCKPI', 'LA', 'Link Ad'),</v>
      </c>
      <c r="AA88" t="s">
        <v>3461</v>
      </c>
      <c r="AB88" s="29" t="s">
        <v>3462</v>
      </c>
      <c r="AC88" t="s">
        <v>3463</v>
      </c>
      <c r="AD88" t="s">
        <v>3464</v>
      </c>
    </row>
    <row r="89" spans="1:30" x14ac:dyDescent="0.35">
      <c r="A89" t="str">
        <f>AC89&amp;AB89&amp;"NCKPI"&amp;AB89&amp;AA89&amp;AB89&amp;'Data Validations'!I89&amp;'DB Entry Sheet (Engineers Only)'!AB89&amp;'DB Entry Sheet (Engineers Only)'!AA89&amp;'DB Entry Sheet (Engineers Only)'!AB89&amp;'Data Validations'!H89&amp;'DB Entry Sheet (Engineers Only)'!AB89&amp;'DB Entry Sheet (Engineers Only)'!AD89</f>
        <v>('NCKPI', '', ''),</v>
      </c>
      <c r="B89" t="str">
        <f>AC89&amp;AB89&amp;"NCKPI"&amp;AB89&amp;AA89&amp;AB89&amp;'Data Validations'!P89&amp;'DB Entry Sheet (Engineers Only)'!AB89&amp;'DB Entry Sheet (Engineers Only)'!AA89&amp;'DB Entry Sheet (Engineers Only)'!AB89&amp;'Data Validations'!O89&amp;'DB Entry Sheet (Engineers Only)'!AB89&amp;'DB Entry Sheet (Engineers Only)'!AD89</f>
        <v>('NCKPI', 'LIST', 'Listing'),</v>
      </c>
      <c r="AA89" t="s">
        <v>3461</v>
      </c>
      <c r="AB89" s="29" t="s">
        <v>3462</v>
      </c>
      <c r="AC89" t="s">
        <v>3463</v>
      </c>
      <c r="AD89" t="s">
        <v>3464</v>
      </c>
    </row>
    <row r="90" spans="1:30" x14ac:dyDescent="0.35">
      <c r="A90" t="str">
        <f>AC90&amp;AB90&amp;"NCKPI"&amp;AB90&amp;AA90&amp;AB90&amp;'Data Validations'!I90&amp;'DB Entry Sheet (Engineers Only)'!AB90&amp;'DB Entry Sheet (Engineers Only)'!AA90&amp;'DB Entry Sheet (Engineers Only)'!AB90&amp;'Data Validations'!H90&amp;'DB Entry Sheet (Engineers Only)'!AB90&amp;'DB Entry Sheet (Engineers Only)'!AD90</f>
        <v>('NCKPI', '', ''),</v>
      </c>
      <c r="B90" t="str">
        <f>AC90&amp;AB90&amp;"NCKPI"&amp;AB90&amp;AA90&amp;AB90&amp;'Data Validations'!P90&amp;'DB Entry Sheet (Engineers Only)'!AB90&amp;'DB Entry Sheet (Engineers Only)'!AA90&amp;'DB Entry Sheet (Engineers Only)'!AB90&amp;'Data Validations'!O90&amp;'DB Entry Sheet (Engineers Only)'!AB90&amp;'DB Entry Sheet (Engineers Only)'!AD90</f>
        <v>('NCKPI', 'DISP', 'Native Display'),</v>
      </c>
      <c r="AA90" t="s">
        <v>3461</v>
      </c>
      <c r="AB90" s="29" t="s">
        <v>3462</v>
      </c>
      <c r="AC90" t="s">
        <v>3463</v>
      </c>
      <c r="AD90" t="s">
        <v>3464</v>
      </c>
    </row>
    <row r="91" spans="1:30" x14ac:dyDescent="0.35">
      <c r="A91" t="str">
        <f>AC91&amp;AB91&amp;"NCKPI"&amp;AB91&amp;AA91&amp;AB91&amp;'Data Validations'!I91&amp;'DB Entry Sheet (Engineers Only)'!AB91&amp;'DB Entry Sheet (Engineers Only)'!AA91&amp;'DB Entry Sheet (Engineers Only)'!AB91&amp;'Data Validations'!H91&amp;'DB Entry Sheet (Engineers Only)'!AB91&amp;'DB Entry Sheet (Engineers Only)'!AD91</f>
        <v>('NCKPI', '', ''),</v>
      </c>
      <c r="B91" t="str">
        <f>AC91&amp;AB91&amp;"NCKPI"&amp;AB91&amp;AA91&amp;AB91&amp;'Data Validations'!P91&amp;'DB Entry Sheet (Engineers Only)'!AB91&amp;'DB Entry Sheet (Engineers Only)'!AA91&amp;'DB Entry Sheet (Engineers Only)'!AB91&amp;'Data Validations'!O91&amp;'DB Entry Sheet (Engineers Only)'!AB91&amp;'DB Entry Sheet (Engineers Only)'!AD91</f>
        <v>('NCKPI', 'LOG', 'Native Logo'),</v>
      </c>
      <c r="AA91" t="s">
        <v>3461</v>
      </c>
      <c r="AB91" s="29" t="s">
        <v>3462</v>
      </c>
      <c r="AC91" t="s">
        <v>3463</v>
      </c>
      <c r="AD91" t="s">
        <v>3464</v>
      </c>
    </row>
    <row r="92" spans="1:30" x14ac:dyDescent="0.35">
      <c r="A92" t="str">
        <f>AC92&amp;AB92&amp;"NCKPI"&amp;AB92&amp;AA92&amp;AB92&amp;'Data Validations'!I92&amp;'DB Entry Sheet (Engineers Only)'!AB92&amp;'DB Entry Sheet (Engineers Only)'!AA92&amp;'DB Entry Sheet (Engineers Only)'!AB92&amp;'Data Validations'!H92&amp;'DB Entry Sheet (Engineers Only)'!AB92&amp;'DB Entry Sheet (Engineers Only)'!AD92</f>
        <v>('NCKPI', '', ''),</v>
      </c>
      <c r="B92" t="str">
        <f>AC92&amp;AB92&amp;"NCKPI"&amp;AB92&amp;AA92&amp;AB92&amp;'Data Validations'!P92&amp;'DB Entry Sheet (Engineers Only)'!AB92&amp;'DB Entry Sheet (Engineers Only)'!AA92&amp;'DB Entry Sheet (Engineers Only)'!AB92&amp;'Data Validations'!O92&amp;'DB Entry Sheet (Engineers Only)'!AB92&amp;'DB Entry Sheet (Engineers Only)'!AD92</f>
        <v>('NCKPI', 'TXT', 'Native Text'),</v>
      </c>
      <c r="AA92" t="s">
        <v>3461</v>
      </c>
      <c r="AB92" s="29" t="s">
        <v>3462</v>
      </c>
      <c r="AC92" t="s">
        <v>3463</v>
      </c>
      <c r="AD92" t="s">
        <v>3464</v>
      </c>
    </row>
    <row r="93" spans="1:30" x14ac:dyDescent="0.35">
      <c r="A93" t="str">
        <f>AC93&amp;AB93&amp;"NCKPI"&amp;AB93&amp;AA93&amp;AB93&amp;'Data Validations'!I93&amp;'DB Entry Sheet (Engineers Only)'!AB93&amp;'DB Entry Sheet (Engineers Only)'!AA93&amp;'DB Entry Sheet (Engineers Only)'!AB93&amp;'Data Validations'!H93&amp;'DB Entry Sheet (Engineers Only)'!AB93&amp;'DB Entry Sheet (Engineers Only)'!AD93</f>
        <v>('NCKPI', '', ''),</v>
      </c>
      <c r="B93" t="str">
        <f>AC93&amp;AB93&amp;"NCKPI"&amp;AB93&amp;AA93&amp;AB93&amp;'Data Validations'!P93&amp;'DB Entry Sheet (Engineers Only)'!AB93&amp;'DB Entry Sheet (Engineers Only)'!AA93&amp;'DB Entry Sheet (Engineers Only)'!AB93&amp;'Data Validations'!O93&amp;'DB Entry Sheet (Engineers Only)'!AB93&amp;'DB Entry Sheet (Engineers Only)'!AD93</f>
        <v>('NCKPI', 'VID', 'Native Video'),</v>
      </c>
      <c r="AA93" t="s">
        <v>3461</v>
      </c>
      <c r="AB93" s="29" t="s">
        <v>3462</v>
      </c>
      <c r="AC93" t="s">
        <v>3463</v>
      </c>
      <c r="AD93" t="s">
        <v>3464</v>
      </c>
    </row>
    <row r="94" spans="1:30" x14ac:dyDescent="0.35">
      <c r="A94" t="str">
        <f>AC94&amp;AB94&amp;"NCKPI"&amp;AB94&amp;AA94&amp;AB94&amp;'Data Validations'!I94&amp;'DB Entry Sheet (Engineers Only)'!AB94&amp;'DB Entry Sheet (Engineers Only)'!AA94&amp;'DB Entry Sheet (Engineers Only)'!AB94&amp;'Data Validations'!H94&amp;'DB Entry Sheet (Engineers Only)'!AB94&amp;'DB Entry Sheet (Engineers Only)'!AD94</f>
        <v>('NCKPI', '', ''),</v>
      </c>
      <c r="B94" t="str">
        <f>AC94&amp;AB94&amp;"NCKPI"&amp;AB94&amp;AA94&amp;AB94&amp;'Data Validations'!P94&amp;'DB Entry Sheet (Engineers Only)'!AB94&amp;'DB Entry Sheet (Engineers Only)'!AA94&amp;'DB Entry Sheet (Engineers Only)'!AB94&amp;'Data Validations'!O94&amp;'DB Entry Sheet (Engineers Only)'!AB94&amp;'DB Entry Sheet (Engineers Only)'!AD94</f>
        <v>('NCKPI', 'NFAS', 'News Feed and Stories'),</v>
      </c>
      <c r="AA94" t="s">
        <v>3461</v>
      </c>
      <c r="AB94" s="29" t="s">
        <v>3462</v>
      </c>
      <c r="AC94" t="s">
        <v>3463</v>
      </c>
      <c r="AD94" t="s">
        <v>3464</v>
      </c>
    </row>
    <row r="95" spans="1:30" x14ac:dyDescent="0.35">
      <c r="A95" t="str">
        <f>AC95&amp;AB95&amp;"NCKPI"&amp;AB95&amp;AA95&amp;AB95&amp;'Data Validations'!I95&amp;'DB Entry Sheet (Engineers Only)'!AB95&amp;'DB Entry Sheet (Engineers Only)'!AA95&amp;'DB Entry Sheet (Engineers Only)'!AB95&amp;'Data Validations'!H95&amp;'DB Entry Sheet (Engineers Only)'!AB95&amp;'DB Entry Sheet (Engineers Only)'!AD95</f>
        <v>('NCKPI', '', ''),</v>
      </c>
      <c r="B95" t="str">
        <f>AC95&amp;AB95&amp;"NCKPI"&amp;AB95&amp;AA95&amp;AB95&amp;'Data Validations'!P95&amp;'DB Entry Sheet (Engineers Only)'!AB95&amp;'DB Entry Sheet (Engineers Only)'!AA95&amp;'DB Entry Sheet (Engineers Only)'!AB95&amp;'Data Validations'!O95&amp;'DB Entry Sheet (Engineers Only)'!AB95&amp;'DB Entry Sheet (Engineers Only)'!AD95</f>
        <v>('NCKPI', 'NVID', 'Non-Skippable Video'),</v>
      </c>
      <c r="AA95" t="s">
        <v>3461</v>
      </c>
      <c r="AB95" s="29" t="s">
        <v>3462</v>
      </c>
      <c r="AC95" t="s">
        <v>3463</v>
      </c>
      <c r="AD95" t="s">
        <v>3464</v>
      </c>
    </row>
    <row r="96" spans="1:30" x14ac:dyDescent="0.35">
      <c r="A96" t="str">
        <f>AC96&amp;AB96&amp;"NCKPI"&amp;AB96&amp;AA96&amp;AB96&amp;'Data Validations'!I96&amp;'DB Entry Sheet (Engineers Only)'!AB96&amp;'DB Entry Sheet (Engineers Only)'!AA96&amp;'DB Entry Sheet (Engineers Only)'!AB96&amp;'Data Validations'!H96&amp;'DB Entry Sheet (Engineers Only)'!AB96&amp;'DB Entry Sheet (Engineers Only)'!AD96</f>
        <v>('NCKPI', '', ''),</v>
      </c>
      <c r="B96" t="str">
        <f>AC96&amp;AB96&amp;"NCKPI"&amp;AB96&amp;AA96&amp;AB96&amp;'Data Validations'!P96&amp;'DB Entry Sheet (Engineers Only)'!AB96&amp;'DB Entry Sheet (Engineers Only)'!AA96&amp;'DB Entry Sheet (Engineers Only)'!AB96&amp;'Data Validations'!O96&amp;'DB Entry Sheet (Engineers Only)'!AB96&amp;'DB Entry Sheet (Engineers Only)'!AD96</f>
        <v>('NCKPI', 'Other', 'Other'),</v>
      </c>
      <c r="AA96" t="s">
        <v>3461</v>
      </c>
      <c r="AB96" s="29" t="s">
        <v>3462</v>
      </c>
      <c r="AC96" t="s">
        <v>3463</v>
      </c>
      <c r="AD96" t="s">
        <v>3464</v>
      </c>
    </row>
    <row r="97" spans="1:30" x14ac:dyDescent="0.35">
      <c r="A97" t="str">
        <f>AC97&amp;AB97&amp;"NCKPI"&amp;AB97&amp;AA97&amp;AB97&amp;'Data Validations'!I97&amp;'DB Entry Sheet (Engineers Only)'!AB97&amp;'DB Entry Sheet (Engineers Only)'!AA97&amp;'DB Entry Sheet (Engineers Only)'!AB97&amp;'Data Validations'!H97&amp;'DB Entry Sheet (Engineers Only)'!AB97&amp;'DB Entry Sheet (Engineers Only)'!AD97</f>
        <v>('NCKPI', '', ''),</v>
      </c>
      <c r="B97" t="str">
        <f>AC97&amp;AB97&amp;"NCKPI"&amp;AB97&amp;AA97&amp;AB97&amp;'Data Validations'!P97&amp;'DB Entry Sheet (Engineers Only)'!AB97&amp;'DB Entry Sheet (Engineers Only)'!AA97&amp;'DB Entry Sheet (Engineers Only)'!AB97&amp;'Data Validations'!O97&amp;'DB Entry Sheet (Engineers Only)'!AB97&amp;'DB Entry Sheet (Engineers Only)'!AD97</f>
        <v>('NCKPI', 'OUT', 'Outstream'),</v>
      </c>
      <c r="AA97" t="s">
        <v>3461</v>
      </c>
      <c r="AB97" s="29" t="s">
        <v>3462</v>
      </c>
      <c r="AC97" t="s">
        <v>3463</v>
      </c>
      <c r="AD97" t="s">
        <v>3464</v>
      </c>
    </row>
    <row r="98" spans="1:30" x14ac:dyDescent="0.35">
      <c r="A98" t="str">
        <f>AC98&amp;AB98&amp;"NCKPI"&amp;AB98&amp;AA98&amp;AB98&amp;'Data Validations'!I98&amp;'DB Entry Sheet (Engineers Only)'!AB98&amp;'DB Entry Sheet (Engineers Only)'!AA98&amp;'DB Entry Sheet (Engineers Only)'!AB98&amp;'Data Validations'!H98&amp;'DB Entry Sheet (Engineers Only)'!AB98&amp;'DB Entry Sheet (Engineers Only)'!AD98</f>
        <v>('NCKPI', '', ''),</v>
      </c>
      <c r="B98" t="str">
        <f>AC98&amp;AB98&amp;"NCKPI"&amp;AB98&amp;AA98&amp;AB98&amp;'Data Validations'!P98&amp;'DB Entry Sheet (Engineers Only)'!AB98&amp;'DB Entry Sheet (Engineers Only)'!AA98&amp;'DB Entry Sheet (Engineers Only)'!AB98&amp;'Data Validations'!O98&amp;'DB Entry Sheet (Engineers Only)'!AB98&amp;'DB Entry Sheet (Engineers Only)'!AD98</f>
        <v>('NCKPI', 'PAC', 'Package'),</v>
      </c>
      <c r="AA98" t="s">
        <v>3461</v>
      </c>
      <c r="AB98" s="29" t="s">
        <v>3462</v>
      </c>
      <c r="AC98" t="s">
        <v>3463</v>
      </c>
      <c r="AD98" t="s">
        <v>3464</v>
      </c>
    </row>
    <row r="99" spans="1:30" x14ac:dyDescent="0.35">
      <c r="A99" t="str">
        <f>AC99&amp;AB99&amp;"NCKPI"&amp;AB99&amp;AA99&amp;AB99&amp;'Data Validations'!I99&amp;'DB Entry Sheet (Engineers Only)'!AB99&amp;'DB Entry Sheet (Engineers Only)'!AA99&amp;'DB Entry Sheet (Engineers Only)'!AB99&amp;'Data Validations'!H99&amp;'DB Entry Sheet (Engineers Only)'!AB99&amp;'DB Entry Sheet (Engineers Only)'!AD99</f>
        <v>('NCKPI', '', ''),</v>
      </c>
      <c r="B99" t="str">
        <f>AC99&amp;AB99&amp;"NCKPI"&amp;AB99&amp;AA99&amp;AB99&amp;'Data Validations'!P99&amp;'DB Entry Sheet (Engineers Only)'!AB99&amp;'DB Entry Sheet (Engineers Only)'!AA99&amp;'DB Entry Sheet (Engineers Only)'!AB99&amp;'Data Validations'!O99&amp;'DB Entry Sheet (Engineers Only)'!AB99&amp;'DB Entry Sheet (Engineers Only)'!AD99</f>
        <v>('NCKPI', 'PA', 'Photo Ad'),</v>
      </c>
      <c r="AA99" t="s">
        <v>3461</v>
      </c>
      <c r="AB99" s="29" t="s">
        <v>3462</v>
      </c>
      <c r="AC99" t="s">
        <v>3463</v>
      </c>
      <c r="AD99" t="s">
        <v>3464</v>
      </c>
    </row>
    <row r="100" spans="1:30" x14ac:dyDescent="0.35">
      <c r="A100" t="str">
        <f>AC100&amp;AB100&amp;"NCKPI"&amp;AB100&amp;AA100&amp;AB100&amp;'Data Validations'!I100&amp;'DB Entry Sheet (Engineers Only)'!AB100&amp;'DB Entry Sheet (Engineers Only)'!AA100&amp;'DB Entry Sheet (Engineers Only)'!AB100&amp;'Data Validations'!H100&amp;'DB Entry Sheet (Engineers Only)'!AB100&amp;'DB Entry Sheet (Engineers Only)'!AD100</f>
        <v>('NCKPI', '', ''),</v>
      </c>
      <c r="B100" t="str">
        <f>AC100&amp;AB100&amp;"NCKPI"&amp;AB100&amp;AA100&amp;AB100&amp;'Data Validations'!P100&amp;'DB Entry Sheet (Engineers Only)'!AB100&amp;'DB Entry Sheet (Engineers Only)'!AA100&amp;'DB Entry Sheet (Engineers Only)'!AB100&amp;'Data Validations'!O100&amp;'DB Entry Sheet (Engineers Only)'!AB100&amp;'DB Entry Sheet (Engineers Only)'!AD100</f>
        <v>('NCKPI', '', 'Preroll'),</v>
      </c>
      <c r="AA100" t="s">
        <v>3461</v>
      </c>
      <c r="AB100" s="29" t="s">
        <v>3462</v>
      </c>
      <c r="AC100" t="s">
        <v>3463</v>
      </c>
      <c r="AD100" t="s">
        <v>3464</v>
      </c>
    </row>
    <row r="101" spans="1:30" x14ac:dyDescent="0.35">
      <c r="A101" t="str">
        <f>AC101&amp;AB101&amp;"NCKPI"&amp;AB101&amp;AA101&amp;AB101&amp;'Data Validations'!I101&amp;'DB Entry Sheet (Engineers Only)'!AB101&amp;'DB Entry Sheet (Engineers Only)'!AA101&amp;'DB Entry Sheet (Engineers Only)'!AB101&amp;'Data Validations'!H101&amp;'DB Entry Sheet (Engineers Only)'!AB101&amp;'DB Entry Sheet (Engineers Only)'!AD101</f>
        <v>('NCKPI', '', ''),</v>
      </c>
      <c r="B101" t="str">
        <f>AC101&amp;AB101&amp;"NCKPI"&amp;AB101&amp;AA101&amp;AB101&amp;'Data Validations'!P101&amp;'DB Entry Sheet (Engineers Only)'!AB101&amp;'DB Entry Sheet (Engineers Only)'!AA101&amp;'DB Entry Sheet (Engineers Only)'!AB101&amp;'Data Validations'!O101&amp;'DB Entry Sheet (Engineers Only)'!AB101&amp;'DB Entry Sheet (Engineers Only)'!AD101</f>
        <v>('NCKPI', 'PRL', 'Product Listing'),</v>
      </c>
      <c r="AA101" t="s">
        <v>3461</v>
      </c>
      <c r="AB101" s="29" t="s">
        <v>3462</v>
      </c>
      <c r="AC101" t="s">
        <v>3463</v>
      </c>
      <c r="AD101" t="s">
        <v>3464</v>
      </c>
    </row>
    <row r="102" spans="1:30" x14ac:dyDescent="0.35">
      <c r="A102" t="str">
        <f>AC102&amp;AB102&amp;"NCKPI"&amp;AB102&amp;AA102&amp;AB102&amp;'Data Validations'!I102&amp;'DB Entry Sheet (Engineers Only)'!AB102&amp;'DB Entry Sheet (Engineers Only)'!AA102&amp;'DB Entry Sheet (Engineers Only)'!AB102&amp;'Data Validations'!H102&amp;'DB Entry Sheet (Engineers Only)'!AB102&amp;'DB Entry Sheet (Engineers Only)'!AD102</f>
        <v>('NCKPI', '', ''),</v>
      </c>
      <c r="B102" t="str">
        <f>AC102&amp;AB102&amp;"NCKPI"&amp;AB102&amp;AA102&amp;AB102&amp;'Data Validations'!P102&amp;'DB Entry Sheet (Engineers Only)'!AB102&amp;'DB Entry Sheet (Engineers Only)'!AA102&amp;'DB Entry Sheet (Engineers Only)'!AB102&amp;'Data Validations'!O102&amp;'DB Entry Sheet (Engineers Only)'!AB102&amp;'DB Entry Sheet (Engineers Only)'!AD102</f>
        <v>('NCKPI', '', 'Promopost with Video + In-stream'),</v>
      </c>
      <c r="AA102" t="s">
        <v>3461</v>
      </c>
      <c r="AB102" s="29" t="s">
        <v>3462</v>
      </c>
      <c r="AC102" t="s">
        <v>3463</v>
      </c>
      <c r="AD102" t="s">
        <v>3464</v>
      </c>
    </row>
    <row r="103" spans="1:30" x14ac:dyDescent="0.35">
      <c r="A103" t="str">
        <f>AC103&amp;AB103&amp;"NCKPI"&amp;AB103&amp;AA103&amp;AB103&amp;'Data Validations'!I103&amp;'DB Entry Sheet (Engineers Only)'!AB103&amp;'DB Entry Sheet (Engineers Only)'!AA103&amp;'DB Entry Sheet (Engineers Only)'!AB103&amp;'Data Validations'!H103&amp;'DB Entry Sheet (Engineers Only)'!AB103&amp;'DB Entry Sheet (Engineers Only)'!AD103</f>
        <v>('NCKPI', '', ''),</v>
      </c>
      <c r="B103" t="str">
        <f>AC103&amp;AB103&amp;"NCKPI"&amp;AB103&amp;AA103&amp;AB103&amp;'Data Validations'!P103&amp;'DB Entry Sheet (Engineers Only)'!AB103&amp;'DB Entry Sheet (Engineers Only)'!AA103&amp;'DB Entry Sheet (Engineers Only)'!AB103&amp;'Data Validations'!O103&amp;'DB Entry Sheet (Engineers Only)'!AB103&amp;'DB Entry Sheet (Engineers Only)'!AD103</f>
        <v>('NCKPI', 'PA', 'Push Ad'),</v>
      </c>
      <c r="AA103" t="s">
        <v>3461</v>
      </c>
      <c r="AB103" s="29" t="s">
        <v>3462</v>
      </c>
      <c r="AC103" t="s">
        <v>3463</v>
      </c>
      <c r="AD103" t="s">
        <v>3464</v>
      </c>
    </row>
    <row r="104" spans="1:30" x14ac:dyDescent="0.35">
      <c r="A104" t="str">
        <f>AC104&amp;AB104&amp;"NCKPI"&amp;AB104&amp;AA104&amp;AB104&amp;'Data Validations'!I104&amp;'DB Entry Sheet (Engineers Only)'!AB104&amp;'DB Entry Sheet (Engineers Only)'!AA104&amp;'DB Entry Sheet (Engineers Only)'!AB104&amp;'Data Validations'!H104&amp;'DB Entry Sheet (Engineers Only)'!AB104&amp;'DB Entry Sheet (Engineers Only)'!AD104</f>
        <v>('NCKPI', '', ''),</v>
      </c>
      <c r="B104" t="str">
        <f>AC104&amp;AB104&amp;"NCKPI"&amp;AB104&amp;AA104&amp;AB104&amp;'Data Validations'!P104&amp;'DB Entry Sheet (Engineers Only)'!AB104&amp;'DB Entry Sheet (Engineers Only)'!AA104&amp;'DB Entry Sheet (Engineers Only)'!AB104&amp;'Data Validations'!O104&amp;'DB Entry Sheet (Engineers Only)'!AB104&amp;'DB Entry Sheet (Engineers Only)'!AD104</f>
        <v>('NCKPI', 'TXT', 'Search Text'),</v>
      </c>
      <c r="AA104" t="s">
        <v>3461</v>
      </c>
      <c r="AB104" s="29" t="s">
        <v>3462</v>
      </c>
      <c r="AC104" t="s">
        <v>3463</v>
      </c>
      <c r="AD104" t="s">
        <v>3464</v>
      </c>
    </row>
    <row r="105" spans="1:30" x14ac:dyDescent="0.35">
      <c r="A105" t="str">
        <f>AC105&amp;AB105&amp;"NCKPI"&amp;AB105&amp;AA105&amp;AB105&amp;'Data Validations'!I105&amp;'DB Entry Sheet (Engineers Only)'!AB105&amp;'DB Entry Sheet (Engineers Only)'!AA105&amp;'DB Entry Sheet (Engineers Only)'!AB105&amp;'Data Validations'!H105&amp;'DB Entry Sheet (Engineers Only)'!AB105&amp;'DB Entry Sheet (Engineers Only)'!AD105</f>
        <v>('NCKPI', '', ''),</v>
      </c>
      <c r="B105" t="str">
        <f>AC105&amp;AB105&amp;"NCKPI"&amp;AB105&amp;AA105&amp;AB105&amp;'Data Validations'!P105&amp;'DB Entry Sheet (Engineers Only)'!AB105&amp;'DB Entry Sheet (Engineers Only)'!AA105&amp;'DB Entry Sheet (Engineers Only)'!AB105&amp;'Data Validations'!O105&amp;'DB Entry Sheet (Engineers Only)'!AB105&amp;'DB Entry Sheet (Engineers Only)'!AD105</f>
        <v>('NCKPI', 'SA', 'Shopping Ad'),</v>
      </c>
      <c r="AA105" t="s">
        <v>3461</v>
      </c>
      <c r="AB105" s="29" t="s">
        <v>3462</v>
      </c>
      <c r="AC105" t="s">
        <v>3463</v>
      </c>
      <c r="AD105" t="s">
        <v>3464</v>
      </c>
    </row>
    <row r="106" spans="1:30" x14ac:dyDescent="0.35">
      <c r="A106" t="str">
        <f>AC106&amp;AB106&amp;"NCKPI"&amp;AB106&amp;AA106&amp;AB106&amp;'Data Validations'!I106&amp;'DB Entry Sheet (Engineers Only)'!AB106&amp;'DB Entry Sheet (Engineers Only)'!AA106&amp;'DB Entry Sheet (Engineers Only)'!AB106&amp;'Data Validations'!H106&amp;'DB Entry Sheet (Engineers Only)'!AB106&amp;'DB Entry Sheet (Engineers Only)'!AD106</f>
        <v>('NCKPI', '', ''),</v>
      </c>
      <c r="B106" t="str">
        <f>AC106&amp;AB106&amp;"NCKPI"&amp;AB106&amp;AA106&amp;AB106&amp;'Data Validations'!P106&amp;'DB Entry Sheet (Engineers Only)'!AB106&amp;'DB Entry Sheet (Engineers Only)'!AA106&amp;'DB Entry Sheet (Engineers Only)'!AB106&amp;'Data Validations'!O106&amp;'DB Entry Sheet (Engineers Only)'!AB106&amp;'DB Entry Sheet (Engineers Only)'!AD106</f>
        <v>('NCKPI', 'SVID', 'Skippable Video'),</v>
      </c>
      <c r="AA106" t="s">
        <v>3461</v>
      </c>
      <c r="AB106" s="29" t="s">
        <v>3462</v>
      </c>
      <c r="AC106" t="s">
        <v>3463</v>
      </c>
      <c r="AD106" t="s">
        <v>3464</v>
      </c>
    </row>
    <row r="107" spans="1:30" x14ac:dyDescent="0.35">
      <c r="A107" t="str">
        <f>AC107&amp;AB107&amp;"NCKPI"&amp;AB107&amp;AA107&amp;AB107&amp;'Data Validations'!I107&amp;'DB Entry Sheet (Engineers Only)'!AB107&amp;'DB Entry Sheet (Engineers Only)'!AA107&amp;'DB Entry Sheet (Engineers Only)'!AB107&amp;'Data Validations'!H107&amp;'DB Entry Sheet (Engineers Only)'!AB107&amp;'DB Entry Sheet (Engineers Only)'!AD107</f>
        <v>('NCKPI', '', ''),</v>
      </c>
      <c r="B107" t="str">
        <f>AC107&amp;AB107&amp;"NCKPI"&amp;AB107&amp;AA107&amp;AB107&amp;'Data Validations'!P107&amp;'DB Entry Sheet (Engineers Only)'!AB107&amp;'DB Entry Sheet (Engineers Only)'!AA107&amp;'DB Entry Sheet (Engineers Only)'!AB107&amp;'Data Validations'!O107&amp;'DB Entry Sheet (Engineers Only)'!AB107&amp;'DB Entry Sheet (Engineers Only)'!AD107</f>
        <v>('NCKPI', 'SM', 'Social Multi'),</v>
      </c>
      <c r="AA107" t="s">
        <v>3461</v>
      </c>
      <c r="AB107" s="29" t="s">
        <v>3462</v>
      </c>
      <c r="AC107" t="s">
        <v>3463</v>
      </c>
      <c r="AD107" t="s">
        <v>3464</v>
      </c>
    </row>
    <row r="108" spans="1:30" x14ac:dyDescent="0.35">
      <c r="A108" t="str">
        <f>AC108&amp;AB108&amp;"NCKPI"&amp;AB108&amp;AA108&amp;AB108&amp;'Data Validations'!I108&amp;'DB Entry Sheet (Engineers Only)'!AB108&amp;'DB Entry Sheet (Engineers Only)'!AA108&amp;'DB Entry Sheet (Engineers Only)'!AB108&amp;'Data Validations'!H108&amp;'DB Entry Sheet (Engineers Only)'!AB108&amp;'DB Entry Sheet (Engineers Only)'!AD108</f>
        <v>('NCKPI', '', ''),</v>
      </c>
      <c r="B108" t="str">
        <f>AC108&amp;AB108&amp;"NCKPI"&amp;AB108&amp;AA108&amp;AB108&amp;'Data Validations'!P108&amp;'DB Entry Sheet (Engineers Only)'!AB108&amp;'DB Entry Sheet (Engineers Only)'!AA108&amp;'DB Entry Sheet (Engineers Only)'!AB108&amp;'Data Validations'!O108&amp;'DB Entry Sheet (Engineers Only)'!AB108&amp;'DB Entry Sheet (Engineers Only)'!AD108</f>
        <v>('NCKPI', 'SNVID', 'Social Non-Skippable Video'),</v>
      </c>
      <c r="AA108" t="s">
        <v>3461</v>
      </c>
      <c r="AB108" s="29" t="s">
        <v>3462</v>
      </c>
      <c r="AC108" t="s">
        <v>3463</v>
      </c>
      <c r="AD108" t="s">
        <v>3464</v>
      </c>
    </row>
    <row r="109" spans="1:30" x14ac:dyDescent="0.35">
      <c r="A109" t="str">
        <f>AC109&amp;AB109&amp;"NCKPI"&amp;AB109&amp;AA109&amp;AB109&amp;'Data Validations'!I109&amp;'DB Entry Sheet (Engineers Only)'!AB109&amp;'DB Entry Sheet (Engineers Only)'!AA109&amp;'DB Entry Sheet (Engineers Only)'!AB109&amp;'Data Validations'!H109&amp;'DB Entry Sheet (Engineers Only)'!AB109&amp;'DB Entry Sheet (Engineers Only)'!AD109</f>
        <v>('NCKPI', '', ''),</v>
      </c>
      <c r="B109" t="str">
        <f>AC109&amp;AB109&amp;"NCKPI"&amp;AB109&amp;AA109&amp;AB109&amp;'Data Validations'!P109&amp;'DB Entry Sheet (Engineers Only)'!AB109&amp;'DB Entry Sheet (Engineers Only)'!AA109&amp;'DB Entry Sheet (Engineers Only)'!AB109&amp;'Data Validations'!O109&amp;'DB Entry Sheet (Engineers Only)'!AB109&amp;'DB Entry Sheet (Engineers Only)'!AD109</f>
        <v>('NCKPI', 'SSVID', 'Social Skippable Video'),</v>
      </c>
      <c r="AA109" t="s">
        <v>3461</v>
      </c>
      <c r="AB109" s="29" t="s">
        <v>3462</v>
      </c>
      <c r="AC109" t="s">
        <v>3463</v>
      </c>
      <c r="AD109" t="s">
        <v>3464</v>
      </c>
    </row>
    <row r="110" spans="1:30" x14ac:dyDescent="0.35">
      <c r="A110" t="str">
        <f>AC110&amp;AB110&amp;"NCKPI"&amp;AB110&amp;AA110&amp;AB110&amp;'Data Validations'!I110&amp;'DB Entry Sheet (Engineers Only)'!AB110&amp;'DB Entry Sheet (Engineers Only)'!AA110&amp;'DB Entry Sheet (Engineers Only)'!AB110&amp;'Data Validations'!H110&amp;'DB Entry Sheet (Engineers Only)'!AB110&amp;'DB Entry Sheet (Engineers Only)'!AD110</f>
        <v>('NCKPI', '', ''),</v>
      </c>
      <c r="B110" t="str">
        <f>AC110&amp;AB110&amp;"NCKPI"&amp;AB110&amp;AA110&amp;AB110&amp;'Data Validations'!P110&amp;'DB Entry Sheet (Engineers Only)'!AB110&amp;'DB Entry Sheet (Engineers Only)'!AA110&amp;'DB Entry Sheet (Engineers Only)'!AB110&amp;'Data Validations'!O110&amp;'DB Entry Sheet (Engineers Only)'!AB110&amp;'DB Entry Sheet (Engineers Only)'!AD110</f>
        <v>('NCKPI', 'VIDCTPSOF', 'Social Video auto-play sound off Non-Skippable'),</v>
      </c>
      <c r="AA110" t="s">
        <v>3461</v>
      </c>
      <c r="AB110" s="29" t="s">
        <v>3462</v>
      </c>
      <c r="AC110" t="s">
        <v>3463</v>
      </c>
      <c r="AD110" t="s">
        <v>3464</v>
      </c>
    </row>
    <row r="111" spans="1:30" x14ac:dyDescent="0.35">
      <c r="A111" t="str">
        <f>AC111&amp;AB111&amp;"NCKPI"&amp;AB111&amp;AA111&amp;AB111&amp;'Data Validations'!I111&amp;'DB Entry Sheet (Engineers Only)'!AB111&amp;'DB Entry Sheet (Engineers Only)'!AA111&amp;'DB Entry Sheet (Engineers Only)'!AB111&amp;'Data Validations'!H111&amp;'DB Entry Sheet (Engineers Only)'!AB111&amp;'DB Entry Sheet (Engineers Only)'!AD111</f>
        <v>('NCKPI', '', ''),</v>
      </c>
      <c r="B111" t="str">
        <f>AC111&amp;AB111&amp;"NCKPI"&amp;AB111&amp;AA111&amp;AB111&amp;'Data Validations'!P111&amp;'DB Entry Sheet (Engineers Only)'!AB111&amp;'DB Entry Sheet (Engineers Only)'!AA111&amp;'DB Entry Sheet (Engineers Only)'!AB111&amp;'Data Validations'!O111&amp;'DB Entry Sheet (Engineers Only)'!AB111&amp;'DB Entry Sheet (Engineers Only)'!AD111</f>
        <v>('NCKPI', 'VIDCTPSON', 'Social Video auto-play sound off Skippable'),</v>
      </c>
      <c r="AA111" t="s">
        <v>3461</v>
      </c>
      <c r="AB111" s="29" t="s">
        <v>3462</v>
      </c>
      <c r="AC111" t="s">
        <v>3463</v>
      </c>
      <c r="AD111" t="s">
        <v>3464</v>
      </c>
    </row>
    <row r="112" spans="1:30" x14ac:dyDescent="0.35">
      <c r="A112" t="str">
        <f>AC112&amp;AB112&amp;"NCKPI"&amp;AB112&amp;AA112&amp;AB112&amp;'Data Validations'!I112&amp;'DB Entry Sheet (Engineers Only)'!AB112&amp;'DB Entry Sheet (Engineers Only)'!AA112&amp;'DB Entry Sheet (Engineers Only)'!AB112&amp;'Data Validations'!H112&amp;'DB Entry Sheet (Engineers Only)'!AB112&amp;'DB Entry Sheet (Engineers Only)'!AD112</f>
        <v>('NCKPI', '', ''),</v>
      </c>
      <c r="B112" t="str">
        <f>AC112&amp;AB112&amp;"NCKPI"&amp;AB112&amp;AA112&amp;AB112&amp;'Data Validations'!P112&amp;'DB Entry Sheet (Engineers Only)'!AB112&amp;'DB Entry Sheet (Engineers Only)'!AA112&amp;'DB Entry Sheet (Engineers Only)'!AB112&amp;'Data Validations'!O112&amp;'DB Entry Sheet (Engineers Only)'!AB112&amp;'DB Entry Sheet (Engineers Only)'!AD112</f>
        <v>('NCKPI', 'VIDAPSOF', 'Social Video auto-play sound on Non-Skippable'),</v>
      </c>
      <c r="AA112" t="s">
        <v>3461</v>
      </c>
      <c r="AB112" s="29" t="s">
        <v>3462</v>
      </c>
      <c r="AC112" t="s">
        <v>3463</v>
      </c>
      <c r="AD112" t="s">
        <v>3464</v>
      </c>
    </row>
    <row r="113" spans="1:30" x14ac:dyDescent="0.35">
      <c r="A113" t="str">
        <f>AC113&amp;AB113&amp;"NCKPI"&amp;AB113&amp;AA113&amp;AB113&amp;'Data Validations'!I113&amp;'DB Entry Sheet (Engineers Only)'!AB113&amp;'DB Entry Sheet (Engineers Only)'!AA113&amp;'DB Entry Sheet (Engineers Only)'!AB113&amp;'Data Validations'!H113&amp;'DB Entry Sheet (Engineers Only)'!AB113&amp;'DB Entry Sheet (Engineers Only)'!AD113</f>
        <v>('NCKPI', '', ''),</v>
      </c>
      <c r="B113" t="str">
        <f>AC113&amp;AB113&amp;"NCKPI"&amp;AB113&amp;AA113&amp;AB113&amp;'Data Validations'!P113&amp;'DB Entry Sheet (Engineers Only)'!AB113&amp;'DB Entry Sheet (Engineers Only)'!AA113&amp;'DB Entry Sheet (Engineers Only)'!AB113&amp;'Data Validations'!O113&amp;'DB Entry Sheet (Engineers Only)'!AB113&amp;'DB Entry Sheet (Engineers Only)'!AD113</f>
        <v>('NCKPI', 'VIDAPSON', 'Social Video auto-play sound on Skippable'),</v>
      </c>
      <c r="AA113" t="s">
        <v>3461</v>
      </c>
      <c r="AB113" s="29" t="s">
        <v>3462</v>
      </c>
      <c r="AC113" t="s">
        <v>3463</v>
      </c>
      <c r="AD113" t="s">
        <v>3464</v>
      </c>
    </row>
    <row r="114" spans="1:30" x14ac:dyDescent="0.35">
      <c r="A114" t="str">
        <f>AC114&amp;AB114&amp;"NCKPI"&amp;AB114&amp;AA114&amp;AB114&amp;'Data Validations'!I114&amp;'DB Entry Sheet (Engineers Only)'!AB114&amp;'DB Entry Sheet (Engineers Only)'!AA114&amp;'DB Entry Sheet (Engineers Only)'!AB114&amp;'Data Validations'!H114&amp;'DB Entry Sheet (Engineers Only)'!AB114&amp;'DB Entry Sheet (Engineers Only)'!AD114</f>
        <v>('NCKPI', '', ''),</v>
      </c>
      <c r="B114" t="str">
        <f>AC114&amp;AB114&amp;"NCKPI"&amp;AB114&amp;AA114&amp;AB114&amp;'Data Validations'!P114&amp;'DB Entry Sheet (Engineers Only)'!AB114&amp;'DB Entry Sheet (Engineers Only)'!AA114&amp;'DB Entry Sheet (Engineers Only)'!AB114&amp;'Data Validations'!O114&amp;'DB Entry Sheet (Engineers Only)'!AB114&amp;'DB Entry Sheet (Engineers Only)'!AD114</f>
        <v>('NCKPI', 'VIDAPSOF', 'Social Video click-to-play sound off Non-Skippable'),</v>
      </c>
      <c r="AA114" t="s">
        <v>3461</v>
      </c>
      <c r="AB114" s="29" t="s">
        <v>3462</v>
      </c>
      <c r="AC114" t="s">
        <v>3463</v>
      </c>
      <c r="AD114" t="s">
        <v>3464</v>
      </c>
    </row>
    <row r="115" spans="1:30" x14ac:dyDescent="0.35">
      <c r="A115" t="str">
        <f>AC115&amp;AB115&amp;"NCKPI"&amp;AB115&amp;AA115&amp;AB115&amp;'Data Validations'!I115&amp;'DB Entry Sheet (Engineers Only)'!AB115&amp;'DB Entry Sheet (Engineers Only)'!AA115&amp;'DB Entry Sheet (Engineers Only)'!AB115&amp;'Data Validations'!H115&amp;'DB Entry Sheet (Engineers Only)'!AB115&amp;'DB Entry Sheet (Engineers Only)'!AD115</f>
        <v>('NCKPI', '', ''),</v>
      </c>
      <c r="B115" t="str">
        <f>AC115&amp;AB115&amp;"NCKPI"&amp;AB115&amp;AA115&amp;AB115&amp;'Data Validations'!P115&amp;'DB Entry Sheet (Engineers Only)'!AB115&amp;'DB Entry Sheet (Engineers Only)'!AA115&amp;'DB Entry Sheet (Engineers Only)'!AB115&amp;'Data Validations'!O115&amp;'DB Entry Sheet (Engineers Only)'!AB115&amp;'DB Entry Sheet (Engineers Only)'!AD115</f>
        <v>('NCKPI', 'VIDAPSON', 'Social Video click-to-play sound off Skippable'),</v>
      </c>
      <c r="AA115" t="s">
        <v>3461</v>
      </c>
      <c r="AB115" s="29" t="s">
        <v>3462</v>
      </c>
      <c r="AC115" t="s">
        <v>3463</v>
      </c>
      <c r="AD115" t="s">
        <v>3464</v>
      </c>
    </row>
    <row r="116" spans="1:30" x14ac:dyDescent="0.35">
      <c r="A116" t="str">
        <f>AC116&amp;AB116&amp;"NCKPI"&amp;AB116&amp;AA116&amp;AB116&amp;'Data Validations'!I116&amp;'DB Entry Sheet (Engineers Only)'!AB116&amp;'DB Entry Sheet (Engineers Only)'!AA116&amp;'DB Entry Sheet (Engineers Only)'!AB116&amp;'Data Validations'!H116&amp;'DB Entry Sheet (Engineers Only)'!AB116&amp;'DB Entry Sheet (Engineers Only)'!AD116</f>
        <v>('NCKPI', '', ''),</v>
      </c>
      <c r="B116" t="str">
        <f>AC116&amp;AB116&amp;"NCKPI"&amp;AB116&amp;AA116&amp;AB116&amp;'Data Validations'!P116&amp;'DB Entry Sheet (Engineers Only)'!AB116&amp;'DB Entry Sheet (Engineers Only)'!AA116&amp;'DB Entry Sheet (Engineers Only)'!AB116&amp;'Data Validations'!O116&amp;'DB Entry Sheet (Engineers Only)'!AB116&amp;'DB Entry Sheet (Engineers Only)'!AD116</f>
        <v>('NCKPI', 'VIDNONSKIPP', 'Social Video click-to-play sound on Non-Skippable'),</v>
      </c>
      <c r="AA116" t="s">
        <v>3461</v>
      </c>
      <c r="AB116" s="29" t="s">
        <v>3462</v>
      </c>
      <c r="AC116" t="s">
        <v>3463</v>
      </c>
      <c r="AD116" t="s">
        <v>3464</v>
      </c>
    </row>
    <row r="117" spans="1:30" x14ac:dyDescent="0.35">
      <c r="A117" t="str">
        <f>AC117&amp;AB117&amp;"NCKPI"&amp;AB117&amp;AA117&amp;AB117&amp;'Data Validations'!I117&amp;'DB Entry Sheet (Engineers Only)'!AB117&amp;'DB Entry Sheet (Engineers Only)'!AA117&amp;'DB Entry Sheet (Engineers Only)'!AB117&amp;'Data Validations'!H117&amp;'DB Entry Sheet (Engineers Only)'!AB117&amp;'DB Entry Sheet (Engineers Only)'!AD117</f>
        <v>('NCKPI', '', ''),</v>
      </c>
      <c r="B117" t="str">
        <f>AC117&amp;AB117&amp;"NCKPI"&amp;AB117&amp;AA117&amp;AB117&amp;'Data Validations'!P117&amp;'DB Entry Sheet (Engineers Only)'!AB117&amp;'DB Entry Sheet (Engineers Only)'!AA117&amp;'DB Entry Sheet (Engineers Only)'!AB117&amp;'Data Validations'!O117&amp;'DB Entry Sheet (Engineers Only)'!AB117&amp;'DB Entry Sheet (Engineers Only)'!AD117</f>
        <v>('NCKPI', 'VIDSKIPP', 'Social Video click-to-play sound on Skippable'),</v>
      </c>
      <c r="AA117" t="s">
        <v>3461</v>
      </c>
      <c r="AB117" s="29" t="s">
        <v>3462</v>
      </c>
      <c r="AC117" t="s">
        <v>3463</v>
      </c>
      <c r="AD117" t="s">
        <v>3464</v>
      </c>
    </row>
    <row r="118" spans="1:30" x14ac:dyDescent="0.35">
      <c r="B118" t="str">
        <f>AC118&amp;AB118&amp;"NCKPI"&amp;AB118&amp;AA118&amp;AB118&amp;'Data Validations'!P118&amp;'DB Entry Sheet (Engineers Only)'!AB118&amp;'DB Entry Sheet (Engineers Only)'!AA118&amp;'DB Entry Sheet (Engineers Only)'!AB118&amp;'Data Validations'!O118&amp;'DB Entry Sheet (Engineers Only)'!AB118&amp;'DB Entry Sheet (Engineers Only)'!AD118</f>
        <v>('NCKPI', 'SPO', 'Sponsorship'),</v>
      </c>
      <c r="AA118" t="s">
        <v>3461</v>
      </c>
      <c r="AB118" s="29" t="s">
        <v>3462</v>
      </c>
      <c r="AC118" t="s">
        <v>3463</v>
      </c>
      <c r="AD118" t="s">
        <v>3464</v>
      </c>
    </row>
    <row r="119" spans="1:30" x14ac:dyDescent="0.35">
      <c r="B119" t="str">
        <f>AC119&amp;AB119&amp;"NCKPI"&amp;AB119&amp;AA119&amp;AB119&amp;'Data Validations'!P119&amp;'DB Entry Sheet (Engineers Only)'!AB119&amp;'DB Entry Sheet (Engineers Only)'!AA119&amp;'DB Entry Sheet (Engineers Only)'!AB119&amp;'Data Validations'!O119&amp;'DB Entry Sheet (Engineers Only)'!AB119&amp;'DB Entry Sheet (Engineers Only)'!AD119</f>
        <v>('NCKPI', '', 'Static Promopost'),</v>
      </c>
      <c r="AA119" t="s">
        <v>3461</v>
      </c>
      <c r="AB119" s="29" t="s">
        <v>3462</v>
      </c>
      <c r="AC119" t="s">
        <v>3463</v>
      </c>
      <c r="AD119" t="s">
        <v>3464</v>
      </c>
    </row>
    <row r="120" spans="1:30" x14ac:dyDescent="0.35">
      <c r="B120" t="str">
        <f>AC120&amp;AB120&amp;"NCKPI"&amp;AB120&amp;AA120&amp;AB120&amp;'Data Validations'!P120&amp;'DB Entry Sheet (Engineers Only)'!AB120&amp;'DB Entry Sheet (Engineers Only)'!AA120&amp;'DB Entry Sheet (Engineers Only)'!AB120&amp;'Data Validations'!O120&amp;'DB Entry Sheet (Engineers Only)'!AB120&amp;'DB Entry Sheet (Engineers Only)'!AD120</f>
        <v>('NCKPI', '', 'Static Stories'),</v>
      </c>
      <c r="AA120" t="s">
        <v>3461</v>
      </c>
      <c r="AB120" s="29" t="s">
        <v>3462</v>
      </c>
      <c r="AC120" t="s">
        <v>3463</v>
      </c>
      <c r="AD120" t="s">
        <v>3464</v>
      </c>
    </row>
    <row r="121" spans="1:30" x14ac:dyDescent="0.35">
      <c r="B121" t="str">
        <f>AC121&amp;AB121&amp;"NCKPI"&amp;AB121&amp;AA121&amp;AB121&amp;'Data Validations'!P121&amp;'DB Entry Sheet (Engineers Only)'!AB121&amp;'DB Entry Sheet (Engineers Only)'!AA121&amp;'DB Entry Sheet (Engineers Only)'!AB121&amp;'Data Validations'!O121&amp;'DB Entry Sheet (Engineers Only)'!AB121&amp;'DB Entry Sheet (Engineers Only)'!AD121</f>
        <v>('NCKPI', '', 'Stories'),</v>
      </c>
      <c r="AA121" t="s">
        <v>3461</v>
      </c>
      <c r="AB121" s="29" t="s">
        <v>3462</v>
      </c>
      <c r="AC121" t="s">
        <v>3463</v>
      </c>
      <c r="AD121" t="s">
        <v>3464</v>
      </c>
    </row>
    <row r="122" spans="1:30" x14ac:dyDescent="0.35">
      <c r="B122" t="str">
        <f>AC122&amp;AB122&amp;"NCKPI"&amp;AB122&amp;AA122&amp;AB122&amp;'Data Validations'!P122&amp;'DB Entry Sheet (Engineers Only)'!AB122&amp;'DB Entry Sheet (Engineers Only)'!AA122&amp;'DB Entry Sheet (Engineers Only)'!AB122&amp;'Data Validations'!O122&amp;'DB Entry Sheet (Engineers Only)'!AB122&amp;'DB Entry Sheet (Engineers Only)'!AD122</f>
        <v>('NCKPI', '', 'Stories Carousel'),</v>
      </c>
      <c r="AA122" t="s">
        <v>3461</v>
      </c>
      <c r="AB122" s="29" t="s">
        <v>3462</v>
      </c>
      <c r="AC122" t="s">
        <v>3463</v>
      </c>
      <c r="AD122" t="s">
        <v>3464</v>
      </c>
    </row>
    <row r="123" spans="1:30" x14ac:dyDescent="0.35">
      <c r="B123" t="str">
        <f>AC123&amp;AB123&amp;"NCKPI"&amp;AB123&amp;AA123&amp;AB123&amp;'Data Validations'!P123&amp;'DB Entry Sheet (Engineers Only)'!AB123&amp;'DB Entry Sheet (Engineers Only)'!AA123&amp;'DB Entry Sheet (Engineers Only)'!AB123&amp;'Data Validations'!O123&amp;'DB Entry Sheet (Engineers Only)'!AB123&amp;'DB Entry Sheet (Engineers Only)'!AD123</f>
        <v>('NCKPI', '', 'Stories Carousel with Video'),</v>
      </c>
      <c r="AA123" t="s">
        <v>3461</v>
      </c>
      <c r="AB123" s="29" t="s">
        <v>3462</v>
      </c>
      <c r="AC123" t="s">
        <v>3463</v>
      </c>
      <c r="AD123" t="s">
        <v>3464</v>
      </c>
    </row>
    <row r="124" spans="1:30" x14ac:dyDescent="0.35">
      <c r="B124" t="str">
        <f>AC124&amp;AB124&amp;"NCKPI"&amp;AB124&amp;AA124&amp;AB124&amp;'Data Validations'!P124&amp;'DB Entry Sheet (Engineers Only)'!AB124&amp;'DB Entry Sheet (Engineers Only)'!AA124&amp;'DB Entry Sheet (Engineers Only)'!AB124&amp;'Data Validations'!O124&amp;'DB Entry Sheet (Engineers Only)'!AB124&amp;'DB Entry Sheet (Engineers Only)'!AD124</f>
        <v>('NCKPI', 'TV', 'True View'),</v>
      </c>
      <c r="AA124" t="s">
        <v>3461</v>
      </c>
      <c r="AB124" s="29" t="s">
        <v>3462</v>
      </c>
      <c r="AC124" t="s">
        <v>3463</v>
      </c>
      <c r="AD124" t="s">
        <v>3464</v>
      </c>
    </row>
    <row r="125" spans="1:30" x14ac:dyDescent="0.35">
      <c r="B125" t="str">
        <f>AC125&amp;AB125&amp;"NCKPI"&amp;AB125&amp;AA125&amp;AB125&amp;'Data Validations'!P125&amp;'DB Entry Sheet (Engineers Only)'!AB125&amp;'DB Entry Sheet (Engineers Only)'!AA125&amp;'DB Entry Sheet (Engineers Only)'!AB125&amp;'Data Validations'!O125&amp;'DB Entry Sheet (Engineers Only)'!AB125&amp;'DB Entry Sheet (Engineers Only)'!AD125</f>
        <v>('NCKPI', 'TVA', 'True View for Action'),</v>
      </c>
      <c r="AA125" t="s">
        <v>3461</v>
      </c>
      <c r="AB125" s="29" t="s">
        <v>3462</v>
      </c>
      <c r="AC125" t="s">
        <v>3463</v>
      </c>
      <c r="AD125" t="s">
        <v>3464</v>
      </c>
    </row>
    <row r="126" spans="1:30" x14ac:dyDescent="0.35">
      <c r="B126" t="str">
        <f>AC126&amp;AB126&amp;"NCKPI"&amp;AB126&amp;AA126&amp;AB126&amp;'Data Validations'!P126&amp;'DB Entry Sheet (Engineers Only)'!AB126&amp;'DB Entry Sheet (Engineers Only)'!AA126&amp;'DB Entry Sheet (Engineers Only)'!AB126&amp;'Data Validations'!O126&amp;'DB Entry Sheet (Engineers Only)'!AB126&amp;'DB Entry Sheet (Engineers Only)'!AD126</f>
        <v>('NCKPI', 'TVR', 'True View for Reach'),</v>
      </c>
      <c r="AA126" t="s">
        <v>3461</v>
      </c>
      <c r="AB126" s="29" t="s">
        <v>3462</v>
      </c>
      <c r="AC126" t="s">
        <v>3463</v>
      </c>
      <c r="AD126" t="s">
        <v>3464</v>
      </c>
    </row>
    <row r="127" spans="1:30" x14ac:dyDescent="0.35">
      <c r="B127" t="str">
        <f>AC127&amp;AB127&amp;"NCKPI"&amp;AB127&amp;AA127&amp;AB127&amp;'Data Validations'!P127&amp;'DB Entry Sheet (Engineers Only)'!AB127&amp;'DB Entry Sheet (Engineers Only)'!AA127&amp;'DB Entry Sheet (Engineers Only)'!AB127&amp;'Data Validations'!O127&amp;'DB Entry Sheet (Engineers Only)'!AB127&amp;'DB Entry Sheet (Engineers Only)'!AD127</f>
        <v>('NCKPI', 'VID', 'Video'),</v>
      </c>
      <c r="AA127" t="s">
        <v>3461</v>
      </c>
      <c r="AB127" s="29" t="s">
        <v>3462</v>
      </c>
      <c r="AC127" t="s">
        <v>3463</v>
      </c>
      <c r="AD127" t="s">
        <v>3464</v>
      </c>
    </row>
    <row r="128" spans="1:30" x14ac:dyDescent="0.35">
      <c r="B128" t="str">
        <f>AC128&amp;AB128&amp;"NCKPI"&amp;AB128&amp;AA128&amp;AB128&amp;'Data Validations'!P128&amp;'DB Entry Sheet (Engineers Only)'!AB128&amp;'DB Entry Sheet (Engineers Only)'!AA128&amp;'DB Entry Sheet (Engineers Only)'!AB128&amp;'Data Validations'!O128&amp;'DB Entry Sheet (Engineers Only)'!AB128&amp;'DB Entry Sheet (Engineers Only)'!AD128</f>
        <v>('NCKPI', 'VIDAPSON', 'Video auto-play sound off Non-Skippable'),</v>
      </c>
      <c r="AA128" t="s">
        <v>3461</v>
      </c>
      <c r="AB128" s="29" t="s">
        <v>3462</v>
      </c>
      <c r="AC128" t="s">
        <v>3463</v>
      </c>
      <c r="AD128" t="s">
        <v>3464</v>
      </c>
    </row>
    <row r="129" spans="2:30" x14ac:dyDescent="0.35">
      <c r="B129" t="str">
        <f>AC129&amp;AB129&amp;"NCKPI"&amp;AB129&amp;AA129&amp;AB129&amp;'Data Validations'!P129&amp;'DB Entry Sheet (Engineers Only)'!AB129&amp;'DB Entry Sheet (Engineers Only)'!AA129&amp;'DB Entry Sheet (Engineers Only)'!AB129&amp;'Data Validations'!O129&amp;'DB Entry Sheet (Engineers Only)'!AB129&amp;'DB Entry Sheet (Engineers Only)'!AD129</f>
        <v>('NCKPI', 'VIDAPSOS', 'Video auto-play sound off Skippable'),</v>
      </c>
      <c r="AA129" t="s">
        <v>3461</v>
      </c>
      <c r="AB129" s="29" t="s">
        <v>3462</v>
      </c>
      <c r="AC129" t="s">
        <v>3463</v>
      </c>
      <c r="AD129" t="s">
        <v>3464</v>
      </c>
    </row>
    <row r="130" spans="2:30" x14ac:dyDescent="0.35">
      <c r="B130" t="str">
        <f>AC130&amp;AB130&amp;"NCKPI"&amp;AB130&amp;AA130&amp;AB130&amp;'Data Validations'!P130&amp;'DB Entry Sheet (Engineers Only)'!AB130&amp;'DB Entry Sheet (Engineers Only)'!AA130&amp;'DB Entry Sheet (Engineers Only)'!AB130&amp;'Data Validations'!O130&amp;'DB Entry Sheet (Engineers Only)'!AB130&amp;'DB Entry Sheet (Engineers Only)'!AD130</f>
        <v>('NCKPI', 'VIDCTPSOF', 'Video auto-play sound on Non-Skippable'),</v>
      </c>
      <c r="AA130" t="s">
        <v>3461</v>
      </c>
      <c r="AB130" s="29" t="s">
        <v>3462</v>
      </c>
      <c r="AC130" t="s">
        <v>3463</v>
      </c>
      <c r="AD130" t="s">
        <v>3464</v>
      </c>
    </row>
    <row r="131" spans="2:30" x14ac:dyDescent="0.35">
      <c r="B131" t="str">
        <f>AC131&amp;AB131&amp;"NCKPI"&amp;AB131&amp;AA131&amp;AB131&amp;'Data Validations'!P131&amp;'DB Entry Sheet (Engineers Only)'!AB131&amp;'DB Entry Sheet (Engineers Only)'!AA131&amp;'DB Entry Sheet (Engineers Only)'!AB131&amp;'Data Validations'!O131&amp;'DB Entry Sheet (Engineers Only)'!AB131&amp;'DB Entry Sheet (Engineers Only)'!AD131</f>
        <v>('NCKPI', 'VIDCTPSON', 'Video auto-play sound on Skippable'),</v>
      </c>
      <c r="AA131" t="s">
        <v>3461</v>
      </c>
      <c r="AB131" s="29" t="s">
        <v>3462</v>
      </c>
      <c r="AC131" t="s">
        <v>3463</v>
      </c>
      <c r="AD131" t="s">
        <v>3464</v>
      </c>
    </row>
    <row r="132" spans="2:30" x14ac:dyDescent="0.35">
      <c r="B132" t="str">
        <f>AC132&amp;AB132&amp;"NCKPI"&amp;AB132&amp;AA132&amp;AB132&amp;'Data Validations'!P132&amp;'DB Entry Sheet (Engineers Only)'!AB132&amp;'DB Entry Sheet (Engineers Only)'!AA132&amp;'DB Entry Sheet (Engineers Only)'!AB132&amp;'Data Validations'!O132&amp;'DB Entry Sheet (Engineers Only)'!AB132&amp;'DB Entry Sheet (Engineers Only)'!AD132</f>
        <v>('NCKPI', '', 'Video Carousel'),</v>
      </c>
      <c r="AA132" t="s">
        <v>3461</v>
      </c>
      <c r="AB132" s="29" t="s">
        <v>3462</v>
      </c>
      <c r="AC132" t="s">
        <v>3463</v>
      </c>
      <c r="AD132" t="s">
        <v>3464</v>
      </c>
    </row>
    <row r="133" spans="2:30" x14ac:dyDescent="0.35">
      <c r="B133" t="str">
        <f>AC133&amp;AB133&amp;"NCKPI"&amp;AB133&amp;AA133&amp;AB133&amp;'Data Validations'!P133&amp;'DB Entry Sheet (Engineers Only)'!AB133&amp;'DB Entry Sheet (Engineers Only)'!AA133&amp;'DB Entry Sheet (Engineers Only)'!AB133&amp;'Data Validations'!O133&amp;'DB Entry Sheet (Engineers Only)'!AB133&amp;'DB Entry Sheet (Engineers Only)'!AD133</f>
        <v>('NCKPI', 'VCN', 'Video click-to-play sound off Non-Skippable'),</v>
      </c>
      <c r="AA133" t="s">
        <v>3461</v>
      </c>
      <c r="AB133" s="29" t="s">
        <v>3462</v>
      </c>
      <c r="AC133" t="s">
        <v>3463</v>
      </c>
      <c r="AD133" t="s">
        <v>3464</v>
      </c>
    </row>
    <row r="134" spans="2:30" x14ac:dyDescent="0.35">
      <c r="B134" t="str">
        <f>AC134&amp;AB134&amp;"NCKPI"&amp;AB134&amp;AA134&amp;AB134&amp;'Data Validations'!P134&amp;'DB Entry Sheet (Engineers Only)'!AB134&amp;'DB Entry Sheet (Engineers Only)'!AA134&amp;'DB Entry Sheet (Engineers Only)'!AB134&amp;'Data Validations'!O134&amp;'DB Entry Sheet (Engineers Only)'!AB134&amp;'DB Entry Sheet (Engineers Only)'!AD134</f>
        <v>('NCKPI', 'VCS', 'Video click-to-play sound off Skippable'),</v>
      </c>
      <c r="AA134" t="s">
        <v>3461</v>
      </c>
      <c r="AB134" s="29" t="s">
        <v>3462</v>
      </c>
      <c r="AC134" t="s">
        <v>3463</v>
      </c>
      <c r="AD134" t="s">
        <v>3464</v>
      </c>
    </row>
    <row r="135" spans="2:30" x14ac:dyDescent="0.35">
      <c r="B135" t="str">
        <f>AC135&amp;AB135&amp;"NCKPI"&amp;AB135&amp;AA135&amp;AB135&amp;'Data Validations'!P135&amp;'DB Entry Sheet (Engineers Only)'!AB135&amp;'DB Entry Sheet (Engineers Only)'!AA135&amp;'DB Entry Sheet (Engineers Only)'!AB135&amp;'Data Validations'!O135&amp;'DB Entry Sheet (Engineers Only)'!AB135&amp;'DB Entry Sheet (Engineers Only)'!AD135</f>
        <v>('NCKPI', 'VCSN', 'Video click-to-play sound on Non-Skippable'),</v>
      </c>
      <c r="AA135" t="s">
        <v>3461</v>
      </c>
      <c r="AB135" s="29" t="s">
        <v>3462</v>
      </c>
      <c r="AC135" t="s">
        <v>3463</v>
      </c>
      <c r="AD135" t="s">
        <v>3464</v>
      </c>
    </row>
    <row r="136" spans="2:30" x14ac:dyDescent="0.35">
      <c r="B136" t="str">
        <f>AC136&amp;AB136&amp;"NCKPI"&amp;AB136&amp;AA136&amp;AB136&amp;'Data Validations'!P136&amp;'DB Entry Sheet (Engineers Only)'!AB136&amp;'DB Entry Sheet (Engineers Only)'!AA136&amp;'DB Entry Sheet (Engineers Only)'!AB136&amp;'Data Validations'!O136&amp;'DB Entry Sheet (Engineers Only)'!AB136&amp;'DB Entry Sheet (Engineers Only)'!AD136</f>
        <v>('NCKPI', 'VCSS', 'Video click-to-play sound on Skippable'),</v>
      </c>
      <c r="AA136" t="s">
        <v>3461</v>
      </c>
      <c r="AB136" s="29" t="s">
        <v>3462</v>
      </c>
      <c r="AC136" t="s">
        <v>3463</v>
      </c>
      <c r="AD136" t="s">
        <v>3464</v>
      </c>
    </row>
    <row r="137" spans="2:30" x14ac:dyDescent="0.35">
      <c r="B137" t="str">
        <f>AC137&amp;AB137&amp;"NCKPI"&amp;AB137&amp;AA137&amp;AB137&amp;'Data Validations'!P137&amp;'DB Entry Sheet (Engineers Only)'!AB137&amp;'DB Entry Sheet (Engineers Only)'!AA137&amp;'DB Entry Sheet (Engineers Only)'!AB137&amp;'Data Validations'!O137&amp;'DB Entry Sheet (Engineers Only)'!AB137&amp;'DB Entry Sheet (Engineers Only)'!AD137</f>
        <v>('NCKPI', 'VIB', 'Video In Banner'),</v>
      </c>
      <c r="AA137" t="s">
        <v>3461</v>
      </c>
      <c r="AB137" s="29" t="s">
        <v>3462</v>
      </c>
      <c r="AC137" t="s">
        <v>3463</v>
      </c>
      <c r="AD137" t="s">
        <v>3464</v>
      </c>
    </row>
    <row r="138" spans="2:30" x14ac:dyDescent="0.35">
      <c r="B138" t="str">
        <f>AC138&amp;AB138&amp;"NCKPI"&amp;AB138&amp;AA138&amp;AB138&amp;'Data Validations'!P138&amp;'DB Entry Sheet (Engineers Only)'!AB138&amp;'DB Entry Sheet (Engineers Only)'!AA138&amp;'DB Entry Sheet (Engineers Only)'!AB138&amp;'Data Validations'!O138&amp;'DB Entry Sheet (Engineers Only)'!AB138&amp;'DB Entry Sheet (Engineers Only)'!AD138</f>
        <v>('NCKPI', '', 'Video Promopost'),</v>
      </c>
      <c r="AA138" t="s">
        <v>3461</v>
      </c>
      <c r="AB138" s="29" t="s">
        <v>3462</v>
      </c>
      <c r="AC138" t="s">
        <v>3463</v>
      </c>
      <c r="AD138" t="s">
        <v>3464</v>
      </c>
    </row>
    <row r="139" spans="2:30" x14ac:dyDescent="0.35">
      <c r="B139" t="str">
        <f>AC139&amp;AB139&amp;"NCKPI"&amp;AB139&amp;AA139&amp;AB139&amp;'Data Validations'!P139&amp;'DB Entry Sheet (Engineers Only)'!AB139&amp;'DB Entry Sheet (Engineers Only)'!AA139&amp;'DB Entry Sheet (Engineers Only)'!AB139&amp;'Data Validations'!O139&amp;'DB Entry Sheet (Engineers Only)'!AB139&amp;'DB Entry Sheet (Engineers Only)'!AD139</f>
        <v>('NCKPI', '', 'Video Stories'),</v>
      </c>
      <c r="AA139" t="s">
        <v>3461</v>
      </c>
      <c r="AB139" s="29" t="s">
        <v>3462</v>
      </c>
      <c r="AC139" t="s">
        <v>3463</v>
      </c>
      <c r="AD139" t="s">
        <v>3464</v>
      </c>
    </row>
    <row r="140" spans="2:30" x14ac:dyDescent="0.35">
      <c r="B140" t="str">
        <f>AC140&amp;AB140&amp;"NCKPI"&amp;AB140&amp;AA140&amp;AB140&amp;'Data Validations'!P140&amp;'DB Entry Sheet (Engineers Only)'!AB140&amp;'DB Entry Sheet (Engineers Only)'!AA140&amp;'DB Entry Sheet (Engineers Only)'!AB140&amp;'Data Validations'!O140&amp;'DB Entry Sheet (Engineers Only)'!AB140&amp;'DB Entry Sheet (Engineers Only)'!AD140</f>
        <v>('NCKPI', '', ''),</v>
      </c>
      <c r="AA140" t="s">
        <v>3461</v>
      </c>
      <c r="AB140" s="29" t="s">
        <v>3462</v>
      </c>
      <c r="AC140" t="s">
        <v>3463</v>
      </c>
      <c r="AD140" t="s">
        <v>3464</v>
      </c>
    </row>
    <row r="141" spans="2:30" x14ac:dyDescent="0.35">
      <c r="B141" t="str">
        <f>AC141&amp;AB141&amp;"NCKPI"&amp;AB141&amp;AA141&amp;AB141&amp;'Data Validations'!P141&amp;'DB Entry Sheet (Engineers Only)'!AB141&amp;'DB Entry Sheet (Engineers Only)'!AA141&amp;'DB Entry Sheet (Engineers Only)'!AB141&amp;'Data Validations'!O141&amp;'DB Entry Sheet (Engineers Only)'!AB141&amp;'DB Entry Sheet (Engineers Only)'!AD141</f>
        <v>('NCKPI', '', ''),</v>
      </c>
      <c r="AA141" t="s">
        <v>3461</v>
      </c>
      <c r="AB141" s="29" t="s">
        <v>3462</v>
      </c>
      <c r="AC141" t="s">
        <v>3463</v>
      </c>
      <c r="AD141" t="s">
        <v>3464</v>
      </c>
    </row>
    <row r="142" spans="2:30" x14ac:dyDescent="0.35">
      <c r="B142" t="str">
        <f>AC142&amp;AB142&amp;"NCKPI"&amp;AB142&amp;AA142&amp;AB142&amp;'Data Validations'!P142&amp;'DB Entry Sheet (Engineers Only)'!AB142&amp;'DB Entry Sheet (Engineers Only)'!AA142&amp;'DB Entry Sheet (Engineers Only)'!AB142&amp;'Data Validations'!O142&amp;'DB Entry Sheet (Engineers Only)'!AB142&amp;'DB Entry Sheet (Engineers Only)'!AD142</f>
        <v>('NCKPI', '', ''),</v>
      </c>
      <c r="AA142" t="s">
        <v>3461</v>
      </c>
      <c r="AB142" s="29" t="s">
        <v>3462</v>
      </c>
      <c r="AC142" t="s">
        <v>3463</v>
      </c>
      <c r="AD142" t="s">
        <v>3464</v>
      </c>
    </row>
    <row r="143" spans="2:30" x14ac:dyDescent="0.35">
      <c r="B143" t="str">
        <f>AC143&amp;AB143&amp;"NCKPI"&amp;AB143&amp;AA143&amp;AB143&amp;'Data Validations'!P143&amp;'DB Entry Sheet (Engineers Only)'!AB143&amp;'DB Entry Sheet (Engineers Only)'!AA143&amp;'DB Entry Sheet (Engineers Only)'!AB143&amp;'Data Validations'!O143&amp;'DB Entry Sheet (Engineers Only)'!AB143&amp;'DB Entry Sheet (Engineers Only)'!AD143</f>
        <v>('NCKPI', '', ''),</v>
      </c>
      <c r="AA143" t="s">
        <v>3461</v>
      </c>
      <c r="AB143" s="29" t="s">
        <v>3462</v>
      </c>
      <c r="AC143" t="s">
        <v>3463</v>
      </c>
      <c r="AD143" t="s">
        <v>3464</v>
      </c>
    </row>
    <row r="144" spans="2:30" x14ac:dyDescent="0.35">
      <c r="B144" t="str">
        <f>AC144&amp;AB144&amp;"NCKPI"&amp;AB144&amp;AA144&amp;AB144&amp;'Data Validations'!P144&amp;'DB Entry Sheet (Engineers Only)'!AB144&amp;'DB Entry Sheet (Engineers Only)'!AA144&amp;'DB Entry Sheet (Engineers Only)'!AB144&amp;'Data Validations'!O144&amp;'DB Entry Sheet (Engineers Only)'!AB144&amp;'DB Entry Sheet (Engineers Only)'!AD144</f>
        <v>('NCKPI', '', ''),</v>
      </c>
      <c r="AA144" t="s">
        <v>3461</v>
      </c>
      <c r="AB144" s="29" t="s">
        <v>3462</v>
      </c>
      <c r="AC144" t="s">
        <v>3463</v>
      </c>
      <c r="AD144" t="s">
        <v>3464</v>
      </c>
    </row>
    <row r="145" spans="2:30" x14ac:dyDescent="0.35">
      <c r="B145" t="str">
        <f>AC145&amp;AB145&amp;"NCKPI"&amp;AB145&amp;AA145&amp;AB145&amp;'Data Validations'!P145&amp;'DB Entry Sheet (Engineers Only)'!AB145&amp;'DB Entry Sheet (Engineers Only)'!AA145&amp;'DB Entry Sheet (Engineers Only)'!AB145&amp;'Data Validations'!O145&amp;'DB Entry Sheet (Engineers Only)'!AB145&amp;'DB Entry Sheet (Engineers Only)'!AD145</f>
        <v>('NCKPI', '', ''),</v>
      </c>
      <c r="AA145" t="s">
        <v>3461</v>
      </c>
      <c r="AB145" s="29" t="s">
        <v>3462</v>
      </c>
      <c r="AC145" t="s">
        <v>3463</v>
      </c>
      <c r="AD145" t="s">
        <v>3464</v>
      </c>
    </row>
    <row r="146" spans="2:30" x14ac:dyDescent="0.35">
      <c r="B146" t="str">
        <f>AC146&amp;AB146&amp;"NCKPI"&amp;AB146&amp;AA146&amp;AB146&amp;'Data Validations'!P146&amp;'DB Entry Sheet (Engineers Only)'!AB146&amp;'DB Entry Sheet (Engineers Only)'!AA146&amp;'DB Entry Sheet (Engineers Only)'!AB146&amp;'Data Validations'!O146&amp;'DB Entry Sheet (Engineers Only)'!AB146&amp;'DB Entry Sheet (Engineers Only)'!AD146</f>
        <v>('NCKPI', '', ''),</v>
      </c>
      <c r="AA146" t="s">
        <v>3461</v>
      </c>
      <c r="AB146" s="29" t="s">
        <v>3462</v>
      </c>
      <c r="AC146" t="s">
        <v>3463</v>
      </c>
      <c r="AD146" t="s">
        <v>3464</v>
      </c>
    </row>
    <row r="147" spans="2:30" x14ac:dyDescent="0.35">
      <c r="B147" t="str">
        <f>AC147&amp;AB147&amp;"NCKPI"&amp;AB147&amp;AA147&amp;AB147&amp;'Data Validations'!P147&amp;'DB Entry Sheet (Engineers Only)'!AB147&amp;'DB Entry Sheet (Engineers Only)'!AA147&amp;'DB Entry Sheet (Engineers Only)'!AB147&amp;'Data Validations'!O147&amp;'DB Entry Sheet (Engineers Only)'!AB147&amp;'DB Entry Sheet (Engineers Only)'!AD147</f>
        <v>('NCKPI', '', ''),</v>
      </c>
      <c r="AA147" t="s">
        <v>3461</v>
      </c>
      <c r="AB147" s="29" t="s">
        <v>3462</v>
      </c>
      <c r="AC147" t="s">
        <v>3463</v>
      </c>
      <c r="AD147" t="s">
        <v>3464</v>
      </c>
    </row>
    <row r="148" spans="2:30" x14ac:dyDescent="0.35">
      <c r="B148" t="str">
        <f>AC148&amp;AB148&amp;"NCKPI"&amp;AB148&amp;AA148&amp;AB148&amp;'Data Validations'!P148&amp;'DB Entry Sheet (Engineers Only)'!AB148&amp;'DB Entry Sheet (Engineers Only)'!AA148&amp;'DB Entry Sheet (Engineers Only)'!AB148&amp;'Data Validations'!O148&amp;'DB Entry Sheet (Engineers Only)'!AB148&amp;'DB Entry Sheet (Engineers Only)'!AD148</f>
        <v>('NCKPI', '', ''),</v>
      </c>
      <c r="AA148" t="s">
        <v>3461</v>
      </c>
      <c r="AB148" s="29" t="s">
        <v>3462</v>
      </c>
      <c r="AC148" t="s">
        <v>3463</v>
      </c>
      <c r="AD148" t="s">
        <v>3464</v>
      </c>
    </row>
    <row r="149" spans="2:30" x14ac:dyDescent="0.35">
      <c r="B149" t="str">
        <f>AC149&amp;AB149&amp;"NCKPI"&amp;AB149&amp;AA149&amp;AB149&amp;'Data Validations'!P149&amp;'DB Entry Sheet (Engineers Only)'!AB149&amp;'DB Entry Sheet (Engineers Only)'!AA149&amp;'DB Entry Sheet (Engineers Only)'!AB149&amp;'Data Validations'!O149&amp;'DB Entry Sheet (Engineers Only)'!AB149&amp;'DB Entry Sheet (Engineers Only)'!AD149</f>
        <v>('NCKPI', '', ''),</v>
      </c>
      <c r="AA149" t="s">
        <v>3461</v>
      </c>
      <c r="AB149" s="29" t="s">
        <v>3462</v>
      </c>
      <c r="AC149" t="s">
        <v>3463</v>
      </c>
      <c r="AD149" t="s">
        <v>3464</v>
      </c>
    </row>
    <row r="150" spans="2:30" x14ac:dyDescent="0.35">
      <c r="B150" t="str">
        <f>AC150&amp;AB150&amp;"NCKPI"&amp;AB150&amp;AA150&amp;AB150&amp;'Data Validations'!P150&amp;'DB Entry Sheet (Engineers Only)'!AB150&amp;'DB Entry Sheet (Engineers Only)'!AA150&amp;'DB Entry Sheet (Engineers Only)'!AB150&amp;'Data Validations'!O150&amp;'DB Entry Sheet (Engineers Only)'!AB150&amp;'DB Entry Sheet (Engineers Only)'!AD150</f>
        <v>('NCKPI', '', ''),</v>
      </c>
      <c r="AA150" t="s">
        <v>3461</v>
      </c>
      <c r="AB150" s="29" t="s">
        <v>3462</v>
      </c>
      <c r="AC150" t="s">
        <v>3463</v>
      </c>
      <c r="AD150" t="s">
        <v>3464</v>
      </c>
    </row>
    <row r="151" spans="2:30" x14ac:dyDescent="0.35">
      <c r="B151" t="str">
        <f>AC151&amp;AB151&amp;"NCKPI"&amp;AB151&amp;AA151&amp;AB151&amp;'Data Validations'!P151&amp;'DB Entry Sheet (Engineers Only)'!AB151&amp;'DB Entry Sheet (Engineers Only)'!AA151&amp;'DB Entry Sheet (Engineers Only)'!AB151&amp;'Data Validations'!O151&amp;'DB Entry Sheet (Engineers Only)'!AB151&amp;'DB Entry Sheet (Engineers Only)'!AD151</f>
        <v>('NCKPI', '', ''),</v>
      </c>
      <c r="AA151" t="s">
        <v>3461</v>
      </c>
      <c r="AB151" s="29" t="s">
        <v>3462</v>
      </c>
      <c r="AC151" t="s">
        <v>3463</v>
      </c>
      <c r="AD151" t="s">
        <v>3464</v>
      </c>
    </row>
    <row r="152" spans="2:30" x14ac:dyDescent="0.35">
      <c r="B152" t="str">
        <f>AC152&amp;AB152&amp;"NCKPI"&amp;AB152&amp;AA152&amp;AB152&amp;'Data Validations'!P152&amp;'DB Entry Sheet (Engineers Only)'!AB152&amp;'DB Entry Sheet (Engineers Only)'!AA152&amp;'DB Entry Sheet (Engineers Only)'!AB152&amp;'Data Validations'!O152&amp;'DB Entry Sheet (Engineers Only)'!AB152&amp;'DB Entry Sheet (Engineers Only)'!AD152</f>
        <v>('NCKPI', '', ''),</v>
      </c>
      <c r="AA152" t="s">
        <v>3461</v>
      </c>
      <c r="AB152" s="29" t="s">
        <v>3462</v>
      </c>
      <c r="AC152" t="s">
        <v>3463</v>
      </c>
      <c r="AD152" t="s">
        <v>3464</v>
      </c>
    </row>
    <row r="153" spans="2:30" x14ac:dyDescent="0.35">
      <c r="B153" t="str">
        <f>AC153&amp;AB153&amp;"NCKPI"&amp;AB153&amp;AA153&amp;AB153&amp;'Data Validations'!P153&amp;'DB Entry Sheet (Engineers Only)'!AB153&amp;'DB Entry Sheet (Engineers Only)'!AA153&amp;'DB Entry Sheet (Engineers Only)'!AB153&amp;'Data Validations'!O153&amp;'DB Entry Sheet (Engineers Only)'!AB153&amp;'DB Entry Sheet (Engineers Only)'!AD153</f>
        <v>('NCKPI', '', ''),</v>
      </c>
      <c r="AA153" t="s">
        <v>3461</v>
      </c>
      <c r="AB153" s="29" t="s">
        <v>3462</v>
      </c>
      <c r="AC153" t="s">
        <v>3463</v>
      </c>
      <c r="AD153" t="s">
        <v>3464</v>
      </c>
    </row>
    <row r="154" spans="2:30" x14ac:dyDescent="0.35">
      <c r="B154" t="str">
        <f>AC154&amp;AB154&amp;"NCKPI"&amp;AB154&amp;AA154&amp;AB154&amp;'Data Validations'!P154&amp;'DB Entry Sheet (Engineers Only)'!AB154&amp;'DB Entry Sheet (Engineers Only)'!AA154&amp;'DB Entry Sheet (Engineers Only)'!AB154&amp;'Data Validations'!O154&amp;'DB Entry Sheet (Engineers Only)'!AB154&amp;'DB Entry Sheet (Engineers Only)'!AD154</f>
        <v>('NCKPI', '', ''),</v>
      </c>
      <c r="AA154" t="s">
        <v>3461</v>
      </c>
      <c r="AB154" s="29" t="s">
        <v>3462</v>
      </c>
      <c r="AC154" t="s">
        <v>3463</v>
      </c>
      <c r="AD154" t="s">
        <v>3464</v>
      </c>
    </row>
    <row r="155" spans="2:30" x14ac:dyDescent="0.35">
      <c r="B155" t="str">
        <f>AC155&amp;AB155&amp;"NCKPI"&amp;AB155&amp;AA155&amp;AB155&amp;'Data Validations'!P155&amp;'DB Entry Sheet (Engineers Only)'!AB155&amp;'DB Entry Sheet (Engineers Only)'!AA155&amp;'DB Entry Sheet (Engineers Only)'!AB155&amp;'Data Validations'!O155&amp;'DB Entry Sheet (Engineers Only)'!AB155&amp;'DB Entry Sheet (Engineers Only)'!AD155</f>
        <v>('NCKPI', '', ''),</v>
      </c>
      <c r="AA155" t="s">
        <v>3461</v>
      </c>
      <c r="AB155" s="29" t="s">
        <v>3462</v>
      </c>
      <c r="AC155" t="s">
        <v>3463</v>
      </c>
      <c r="AD155" t="s">
        <v>3464</v>
      </c>
    </row>
    <row r="156" spans="2:30" x14ac:dyDescent="0.35">
      <c r="B156" t="str">
        <f>AC156&amp;AB156&amp;"NCKPI"&amp;AB156&amp;AA156&amp;AB156&amp;'Data Validations'!P156&amp;'DB Entry Sheet (Engineers Only)'!AB156&amp;'DB Entry Sheet (Engineers Only)'!AA156&amp;'DB Entry Sheet (Engineers Only)'!AB156&amp;'Data Validations'!O156&amp;'DB Entry Sheet (Engineers Only)'!AB156&amp;'DB Entry Sheet (Engineers Only)'!AD156</f>
        <v>('NCKPI', '', ''),</v>
      </c>
      <c r="AA156" t="s">
        <v>3461</v>
      </c>
      <c r="AB156" s="29" t="s">
        <v>3462</v>
      </c>
      <c r="AC156" t="s">
        <v>3463</v>
      </c>
      <c r="AD156" t="s">
        <v>3464</v>
      </c>
    </row>
    <row r="157" spans="2:30" x14ac:dyDescent="0.35">
      <c r="B157" t="str">
        <f>AC157&amp;AB157&amp;"NCKPI"&amp;AB157&amp;AA157&amp;AB157&amp;'Data Validations'!P157&amp;'DB Entry Sheet (Engineers Only)'!AB157&amp;'DB Entry Sheet (Engineers Only)'!AA157&amp;'DB Entry Sheet (Engineers Only)'!AB157&amp;'Data Validations'!O157&amp;'DB Entry Sheet (Engineers Only)'!AB157&amp;'DB Entry Sheet (Engineers Only)'!AD157</f>
        <v>('NCKPI', '', ''),</v>
      </c>
      <c r="AA157" t="s">
        <v>3461</v>
      </c>
      <c r="AB157" s="29" t="s">
        <v>3462</v>
      </c>
      <c r="AC157" t="s">
        <v>3463</v>
      </c>
      <c r="AD157" t="s">
        <v>3464</v>
      </c>
    </row>
    <row r="158" spans="2:30" x14ac:dyDescent="0.35">
      <c r="B158" t="str">
        <f>AC158&amp;AB158&amp;"NCKPI"&amp;AB158&amp;AA158&amp;AB158&amp;'Data Validations'!P158&amp;'DB Entry Sheet (Engineers Only)'!AB158&amp;'DB Entry Sheet (Engineers Only)'!AA158&amp;'DB Entry Sheet (Engineers Only)'!AB158&amp;'Data Validations'!O158&amp;'DB Entry Sheet (Engineers Only)'!AB158&amp;'DB Entry Sheet (Engineers Only)'!AD158</f>
        <v>('NCKPI', '', ''),</v>
      </c>
      <c r="AA158" t="s">
        <v>3461</v>
      </c>
      <c r="AB158" s="29" t="s">
        <v>3462</v>
      </c>
      <c r="AC158" t="s">
        <v>3463</v>
      </c>
      <c r="AD158" t="s">
        <v>3464</v>
      </c>
    </row>
    <row r="159" spans="2:30" x14ac:dyDescent="0.35">
      <c r="B159" t="str">
        <f>AC159&amp;AB159&amp;"NCKPI"&amp;AB159&amp;AA159&amp;AB159&amp;'Data Validations'!P159&amp;'DB Entry Sheet (Engineers Only)'!AB159&amp;'DB Entry Sheet (Engineers Only)'!AA159&amp;'DB Entry Sheet (Engineers Only)'!AB159&amp;'Data Validations'!O159&amp;'DB Entry Sheet (Engineers Only)'!AB159&amp;'DB Entry Sheet (Engineers Only)'!AD159</f>
        <v>('NCKPI', '', ''),</v>
      </c>
      <c r="AA159" t="s">
        <v>3461</v>
      </c>
      <c r="AB159" s="29" t="s">
        <v>3462</v>
      </c>
      <c r="AC159" t="s">
        <v>3463</v>
      </c>
      <c r="AD159" t="s">
        <v>3464</v>
      </c>
    </row>
    <row r="160" spans="2:30" x14ac:dyDescent="0.35">
      <c r="AA160" t="s">
        <v>3461</v>
      </c>
      <c r="AB160" s="29" t="s">
        <v>3462</v>
      </c>
      <c r="AC160" t="s">
        <v>3463</v>
      </c>
      <c r="AD160" t="s">
        <v>3464</v>
      </c>
    </row>
    <row r="161" spans="27:30" x14ac:dyDescent="0.35">
      <c r="AA161" t="s">
        <v>3461</v>
      </c>
      <c r="AB161" s="29" t="s">
        <v>3462</v>
      </c>
      <c r="AC161" t="s">
        <v>3463</v>
      </c>
      <c r="AD161" t="s">
        <v>3464</v>
      </c>
    </row>
    <row r="162" spans="27:30" x14ac:dyDescent="0.35">
      <c r="AA162" t="s">
        <v>3461</v>
      </c>
      <c r="AB162" s="29" t="s">
        <v>3462</v>
      </c>
      <c r="AC162" t="s">
        <v>3463</v>
      </c>
      <c r="AD162" t="s">
        <v>3464</v>
      </c>
    </row>
    <row r="163" spans="27:30" x14ac:dyDescent="0.35">
      <c r="AA163" t="s">
        <v>3461</v>
      </c>
      <c r="AB163" s="29" t="s">
        <v>3462</v>
      </c>
      <c r="AC163" t="s">
        <v>3463</v>
      </c>
      <c r="AD163" t="s">
        <v>3464</v>
      </c>
    </row>
    <row r="164" spans="27:30" x14ac:dyDescent="0.35">
      <c r="AA164" t="s">
        <v>3461</v>
      </c>
      <c r="AB164" s="29" t="s">
        <v>3462</v>
      </c>
      <c r="AC164" t="s">
        <v>3463</v>
      </c>
      <c r="AD164" t="s">
        <v>3464</v>
      </c>
    </row>
    <row r="165" spans="27:30" x14ac:dyDescent="0.35">
      <c r="AA165" t="s">
        <v>3461</v>
      </c>
      <c r="AB165" s="29" t="s">
        <v>3462</v>
      </c>
      <c r="AC165" t="s">
        <v>3463</v>
      </c>
      <c r="AD165" t="s">
        <v>3464</v>
      </c>
    </row>
    <row r="166" spans="27:30" x14ac:dyDescent="0.35">
      <c r="AA166" t="s">
        <v>3461</v>
      </c>
      <c r="AB166" s="29" t="s">
        <v>3462</v>
      </c>
      <c r="AC166" t="s">
        <v>3463</v>
      </c>
      <c r="AD166" t="s">
        <v>3464</v>
      </c>
    </row>
    <row r="167" spans="27:30" x14ac:dyDescent="0.35">
      <c r="AA167" t="s">
        <v>3461</v>
      </c>
      <c r="AB167" s="29" t="s">
        <v>3462</v>
      </c>
      <c r="AC167" t="s">
        <v>3463</v>
      </c>
      <c r="AD167" t="s">
        <v>3464</v>
      </c>
    </row>
    <row r="168" spans="27:30" x14ac:dyDescent="0.35">
      <c r="AA168" t="s">
        <v>3461</v>
      </c>
      <c r="AB168" s="29" t="s">
        <v>3462</v>
      </c>
      <c r="AC168" t="s">
        <v>3463</v>
      </c>
      <c r="AD168" t="s">
        <v>3464</v>
      </c>
    </row>
    <row r="169" spans="27:30" x14ac:dyDescent="0.35">
      <c r="AA169" t="s">
        <v>3461</v>
      </c>
      <c r="AB169" s="29" t="s">
        <v>3462</v>
      </c>
      <c r="AC169" t="s">
        <v>3463</v>
      </c>
      <c r="AD169" t="s">
        <v>3464</v>
      </c>
    </row>
    <row r="170" spans="27:30" x14ac:dyDescent="0.35">
      <c r="AA170" t="s">
        <v>3461</v>
      </c>
      <c r="AB170" s="29" t="s">
        <v>3462</v>
      </c>
      <c r="AC170" t="s">
        <v>3463</v>
      </c>
      <c r="AD170" t="s">
        <v>3464</v>
      </c>
    </row>
    <row r="171" spans="27:30" x14ac:dyDescent="0.35">
      <c r="AA171" t="s">
        <v>3461</v>
      </c>
      <c r="AB171" s="29" t="s">
        <v>3462</v>
      </c>
      <c r="AC171" t="s">
        <v>3463</v>
      </c>
      <c r="AD171" t="s">
        <v>3464</v>
      </c>
    </row>
    <row r="172" spans="27:30" x14ac:dyDescent="0.35">
      <c r="AA172" t="s">
        <v>3461</v>
      </c>
      <c r="AB172" s="29" t="s">
        <v>3462</v>
      </c>
      <c r="AC172" t="s">
        <v>3463</v>
      </c>
      <c r="AD172" t="s">
        <v>3464</v>
      </c>
    </row>
    <row r="173" spans="27:30" x14ac:dyDescent="0.35">
      <c r="AA173" t="s">
        <v>3461</v>
      </c>
      <c r="AB173" s="29" t="s">
        <v>3462</v>
      </c>
      <c r="AC173" t="s">
        <v>3463</v>
      </c>
      <c r="AD173" t="s">
        <v>3464</v>
      </c>
    </row>
    <row r="174" spans="27:30" x14ac:dyDescent="0.35">
      <c r="AA174" t="s">
        <v>3461</v>
      </c>
      <c r="AB174" s="29" t="s">
        <v>3462</v>
      </c>
      <c r="AC174" t="s">
        <v>3463</v>
      </c>
      <c r="AD174" t="s">
        <v>3464</v>
      </c>
    </row>
    <row r="175" spans="27:30" x14ac:dyDescent="0.35">
      <c r="AA175" t="s">
        <v>3461</v>
      </c>
      <c r="AB175" s="29" t="s">
        <v>3462</v>
      </c>
      <c r="AC175" t="s">
        <v>3463</v>
      </c>
      <c r="AD175" t="s">
        <v>3464</v>
      </c>
    </row>
    <row r="176" spans="27:30" x14ac:dyDescent="0.35">
      <c r="AA176" t="s">
        <v>3461</v>
      </c>
      <c r="AB176" s="29" t="s">
        <v>3462</v>
      </c>
      <c r="AC176" t="s">
        <v>3463</v>
      </c>
      <c r="AD176" t="s">
        <v>3464</v>
      </c>
    </row>
    <row r="177" spans="27:30" x14ac:dyDescent="0.35">
      <c r="AA177" t="s">
        <v>3461</v>
      </c>
      <c r="AB177" s="29" t="s">
        <v>3462</v>
      </c>
      <c r="AC177" t="s">
        <v>3463</v>
      </c>
      <c r="AD177" t="s">
        <v>3464</v>
      </c>
    </row>
    <row r="178" spans="27:30" x14ac:dyDescent="0.35">
      <c r="AA178" t="s">
        <v>3461</v>
      </c>
      <c r="AB178" s="29" t="s">
        <v>3462</v>
      </c>
      <c r="AC178" t="s">
        <v>3463</v>
      </c>
      <c r="AD178" t="s">
        <v>3464</v>
      </c>
    </row>
    <row r="179" spans="27:30" x14ac:dyDescent="0.35">
      <c r="AA179" t="s">
        <v>3461</v>
      </c>
      <c r="AB179" s="29" t="s">
        <v>3462</v>
      </c>
      <c r="AC179" t="s">
        <v>3463</v>
      </c>
      <c r="AD179" t="s">
        <v>3464</v>
      </c>
    </row>
    <row r="180" spans="27:30" x14ac:dyDescent="0.35">
      <c r="AA180" t="s">
        <v>3461</v>
      </c>
      <c r="AB180" s="29" t="s">
        <v>3462</v>
      </c>
      <c r="AC180" t="s">
        <v>3463</v>
      </c>
      <c r="AD180" t="s">
        <v>3464</v>
      </c>
    </row>
    <row r="181" spans="27:30" x14ac:dyDescent="0.35">
      <c r="AA181" t="s">
        <v>3461</v>
      </c>
      <c r="AB181" s="29" t="s">
        <v>3462</v>
      </c>
      <c r="AC181" t="s">
        <v>3463</v>
      </c>
      <c r="AD181" t="s">
        <v>3464</v>
      </c>
    </row>
    <row r="182" spans="27:30" x14ac:dyDescent="0.35">
      <c r="AA182" t="s">
        <v>3461</v>
      </c>
      <c r="AB182" s="29" t="s">
        <v>3462</v>
      </c>
      <c r="AC182" t="s">
        <v>3463</v>
      </c>
      <c r="AD182" t="s">
        <v>3464</v>
      </c>
    </row>
    <row r="183" spans="27:30" x14ac:dyDescent="0.35">
      <c r="AA183" t="s">
        <v>3461</v>
      </c>
      <c r="AB183" s="29" t="s">
        <v>3462</v>
      </c>
      <c r="AC183" t="s">
        <v>3463</v>
      </c>
      <c r="AD183" t="s">
        <v>3464</v>
      </c>
    </row>
    <row r="184" spans="27:30" x14ac:dyDescent="0.35">
      <c r="AA184" t="s">
        <v>3461</v>
      </c>
      <c r="AB184" s="29" t="s">
        <v>3462</v>
      </c>
      <c r="AC184" t="s">
        <v>3463</v>
      </c>
      <c r="AD184" t="s">
        <v>3464</v>
      </c>
    </row>
    <row r="185" spans="27:30" x14ac:dyDescent="0.35">
      <c r="AA185" t="s">
        <v>3461</v>
      </c>
      <c r="AB185" s="29" t="s">
        <v>3462</v>
      </c>
      <c r="AC185" t="s">
        <v>3463</v>
      </c>
      <c r="AD185" t="s">
        <v>3464</v>
      </c>
    </row>
    <row r="186" spans="27:30" x14ac:dyDescent="0.35">
      <c r="AA186" t="s">
        <v>3461</v>
      </c>
      <c r="AB186" s="29" t="s">
        <v>3462</v>
      </c>
      <c r="AC186" t="s">
        <v>3463</v>
      </c>
      <c r="AD186" t="s">
        <v>3464</v>
      </c>
    </row>
    <row r="187" spans="27:30" x14ac:dyDescent="0.35">
      <c r="AA187" t="s">
        <v>3461</v>
      </c>
      <c r="AB187" s="29" t="s">
        <v>3462</v>
      </c>
      <c r="AC187" t="s">
        <v>3463</v>
      </c>
      <c r="AD187" t="s">
        <v>3464</v>
      </c>
    </row>
    <row r="188" spans="27:30" x14ac:dyDescent="0.35">
      <c r="AA188" t="s">
        <v>3461</v>
      </c>
      <c r="AB188" s="29" t="s">
        <v>3462</v>
      </c>
      <c r="AC188" t="s">
        <v>3463</v>
      </c>
      <c r="AD188" t="s">
        <v>3464</v>
      </c>
    </row>
    <row r="189" spans="27:30" x14ac:dyDescent="0.35">
      <c r="AA189" t="s">
        <v>3461</v>
      </c>
      <c r="AB189" s="29" t="s">
        <v>3462</v>
      </c>
      <c r="AC189" t="s">
        <v>3463</v>
      </c>
      <c r="AD189" t="s">
        <v>3464</v>
      </c>
    </row>
    <row r="190" spans="27:30" x14ac:dyDescent="0.35">
      <c r="AA190" t="s">
        <v>3461</v>
      </c>
      <c r="AB190" s="29" t="s">
        <v>3462</v>
      </c>
      <c r="AC190" t="s">
        <v>3463</v>
      </c>
      <c r="AD190" t="s">
        <v>3464</v>
      </c>
    </row>
    <row r="191" spans="27:30" x14ac:dyDescent="0.35">
      <c r="AA191" t="s">
        <v>3461</v>
      </c>
      <c r="AB191" s="29" t="s">
        <v>3462</v>
      </c>
      <c r="AC191" t="s">
        <v>3463</v>
      </c>
      <c r="AD191" t="s">
        <v>3464</v>
      </c>
    </row>
    <row r="192" spans="27:30" x14ac:dyDescent="0.35">
      <c r="AA192" t="s">
        <v>3461</v>
      </c>
      <c r="AB192" s="29" t="s">
        <v>3462</v>
      </c>
      <c r="AC192" t="s">
        <v>3463</v>
      </c>
      <c r="AD192" t="s">
        <v>3464</v>
      </c>
    </row>
    <row r="193" spans="27:30" x14ac:dyDescent="0.35">
      <c r="AA193" t="s">
        <v>3461</v>
      </c>
      <c r="AB193" s="29" t="s">
        <v>3462</v>
      </c>
      <c r="AC193" t="s">
        <v>3463</v>
      </c>
      <c r="AD193" t="s">
        <v>3464</v>
      </c>
    </row>
    <row r="194" spans="27:30" x14ac:dyDescent="0.35">
      <c r="AA194" t="s">
        <v>3461</v>
      </c>
      <c r="AB194" s="29" t="s">
        <v>3462</v>
      </c>
      <c r="AC194" t="s">
        <v>3463</v>
      </c>
      <c r="AD194" t="s">
        <v>3464</v>
      </c>
    </row>
    <row r="195" spans="27:30" x14ac:dyDescent="0.35">
      <c r="AA195" t="s">
        <v>3461</v>
      </c>
      <c r="AB195" s="29" t="s">
        <v>3462</v>
      </c>
      <c r="AC195" t="s">
        <v>3463</v>
      </c>
      <c r="AD195" t="s">
        <v>3464</v>
      </c>
    </row>
    <row r="196" spans="27:30" x14ac:dyDescent="0.35">
      <c r="AA196" t="s">
        <v>3461</v>
      </c>
      <c r="AB196" s="29" t="s">
        <v>3462</v>
      </c>
      <c r="AC196" t="s">
        <v>3463</v>
      </c>
      <c r="AD196" t="s">
        <v>3464</v>
      </c>
    </row>
    <row r="197" spans="27:30" x14ac:dyDescent="0.35">
      <c r="AA197" t="s">
        <v>3461</v>
      </c>
      <c r="AB197" s="29" t="s">
        <v>3462</v>
      </c>
      <c r="AC197" t="s">
        <v>3463</v>
      </c>
      <c r="AD197" t="s">
        <v>3464</v>
      </c>
    </row>
    <row r="198" spans="27:30" x14ac:dyDescent="0.35">
      <c r="AA198" t="s">
        <v>3461</v>
      </c>
      <c r="AB198" s="29" t="s">
        <v>3462</v>
      </c>
      <c r="AC198" t="s">
        <v>3463</v>
      </c>
      <c r="AD198" t="s">
        <v>3464</v>
      </c>
    </row>
    <row r="199" spans="27:30" x14ac:dyDescent="0.35">
      <c r="AA199" t="s">
        <v>3461</v>
      </c>
      <c r="AB199" s="29" t="s">
        <v>3462</v>
      </c>
      <c r="AC199" t="s">
        <v>3463</v>
      </c>
      <c r="AD199" t="s">
        <v>3464</v>
      </c>
    </row>
    <row r="200" spans="27:30" x14ac:dyDescent="0.35">
      <c r="AA200" t="s">
        <v>3461</v>
      </c>
      <c r="AB200" s="29" t="s">
        <v>3462</v>
      </c>
      <c r="AC200" t="s">
        <v>3463</v>
      </c>
      <c r="AD200" t="s">
        <v>3464</v>
      </c>
    </row>
    <row r="201" spans="27:30" x14ac:dyDescent="0.35">
      <c r="AA201" t="s">
        <v>3461</v>
      </c>
      <c r="AB201" s="29" t="s">
        <v>3462</v>
      </c>
      <c r="AC201" t="s">
        <v>3463</v>
      </c>
      <c r="AD201" t="s">
        <v>3464</v>
      </c>
    </row>
    <row r="202" spans="27:30" x14ac:dyDescent="0.35">
      <c r="AA202" t="s">
        <v>3461</v>
      </c>
      <c r="AB202" s="29" t="s">
        <v>3462</v>
      </c>
      <c r="AC202" t="s">
        <v>3463</v>
      </c>
      <c r="AD202" t="s">
        <v>3464</v>
      </c>
    </row>
    <row r="203" spans="27:30" x14ac:dyDescent="0.35">
      <c r="AA203" t="s">
        <v>3461</v>
      </c>
      <c r="AB203" s="29" t="s">
        <v>3462</v>
      </c>
      <c r="AC203" t="s">
        <v>3463</v>
      </c>
      <c r="AD203" t="s">
        <v>3464</v>
      </c>
    </row>
    <row r="204" spans="27:30" x14ac:dyDescent="0.35">
      <c r="AA204" t="s">
        <v>3461</v>
      </c>
      <c r="AB204" s="29" t="s">
        <v>3462</v>
      </c>
      <c r="AC204" t="s">
        <v>3463</v>
      </c>
      <c r="AD204" t="s">
        <v>3464</v>
      </c>
    </row>
    <row r="205" spans="27:30" x14ac:dyDescent="0.35">
      <c r="AA205" t="s">
        <v>3461</v>
      </c>
      <c r="AB205" s="29" t="s">
        <v>3462</v>
      </c>
      <c r="AC205" t="s">
        <v>3463</v>
      </c>
      <c r="AD205" t="s">
        <v>3464</v>
      </c>
    </row>
    <row r="206" spans="27:30" x14ac:dyDescent="0.35">
      <c r="AA206" t="s">
        <v>3461</v>
      </c>
      <c r="AB206" s="29" t="s">
        <v>3462</v>
      </c>
      <c r="AC206" t="s">
        <v>3463</v>
      </c>
      <c r="AD206" t="s">
        <v>3464</v>
      </c>
    </row>
    <row r="207" spans="27:30" x14ac:dyDescent="0.35">
      <c r="AA207" t="s">
        <v>3461</v>
      </c>
      <c r="AB207" s="29" t="s">
        <v>3462</v>
      </c>
      <c r="AC207" t="s">
        <v>3463</v>
      </c>
      <c r="AD207" t="s">
        <v>3464</v>
      </c>
    </row>
    <row r="208" spans="27:30" x14ac:dyDescent="0.35">
      <c r="AA208" t="s">
        <v>3461</v>
      </c>
      <c r="AB208" s="29" t="s">
        <v>3462</v>
      </c>
      <c r="AC208" t="s">
        <v>3463</v>
      </c>
      <c r="AD208" t="s">
        <v>3464</v>
      </c>
    </row>
    <row r="209" spans="27:30" x14ac:dyDescent="0.35">
      <c r="AA209" t="s">
        <v>3461</v>
      </c>
      <c r="AB209" s="29" t="s">
        <v>3462</v>
      </c>
      <c r="AC209" t="s">
        <v>3463</v>
      </c>
      <c r="AD209" t="s">
        <v>3464</v>
      </c>
    </row>
    <row r="210" spans="27:30" x14ac:dyDescent="0.35">
      <c r="AA210" t="s">
        <v>3461</v>
      </c>
      <c r="AB210" s="29" t="s">
        <v>3462</v>
      </c>
      <c r="AC210" t="s">
        <v>3463</v>
      </c>
      <c r="AD210" t="s">
        <v>3464</v>
      </c>
    </row>
    <row r="211" spans="27:30" x14ac:dyDescent="0.35">
      <c r="AA211" t="s">
        <v>3461</v>
      </c>
      <c r="AB211" s="29" t="s">
        <v>3462</v>
      </c>
      <c r="AC211" t="s">
        <v>3463</v>
      </c>
      <c r="AD211" t="s">
        <v>3464</v>
      </c>
    </row>
    <row r="212" spans="27:30" x14ac:dyDescent="0.35">
      <c r="AA212" t="s">
        <v>3461</v>
      </c>
      <c r="AB212" s="29" t="s">
        <v>3462</v>
      </c>
      <c r="AC212" t="s">
        <v>3463</v>
      </c>
      <c r="AD212" t="s">
        <v>3464</v>
      </c>
    </row>
    <row r="213" spans="27:30" x14ac:dyDescent="0.35">
      <c r="AA213" t="s">
        <v>3461</v>
      </c>
      <c r="AB213" s="29" t="s">
        <v>3462</v>
      </c>
      <c r="AC213" t="s">
        <v>3463</v>
      </c>
      <c r="AD213" t="s">
        <v>3464</v>
      </c>
    </row>
    <row r="214" spans="27:30" x14ac:dyDescent="0.35">
      <c r="AA214" t="s">
        <v>3461</v>
      </c>
      <c r="AB214" s="29" t="s">
        <v>3462</v>
      </c>
      <c r="AC214" t="s">
        <v>3463</v>
      </c>
      <c r="AD214" t="s">
        <v>3464</v>
      </c>
    </row>
    <row r="215" spans="27:30" x14ac:dyDescent="0.35">
      <c r="AA215" t="s">
        <v>3461</v>
      </c>
      <c r="AB215" s="29" t="s">
        <v>3462</v>
      </c>
      <c r="AC215" t="s">
        <v>3463</v>
      </c>
      <c r="AD215" t="s">
        <v>3464</v>
      </c>
    </row>
    <row r="216" spans="27:30" x14ac:dyDescent="0.35">
      <c r="AA216" t="s">
        <v>3461</v>
      </c>
      <c r="AB216" s="29" t="s">
        <v>3462</v>
      </c>
      <c r="AC216" t="s">
        <v>3463</v>
      </c>
      <c r="AD216" t="s">
        <v>3464</v>
      </c>
    </row>
    <row r="217" spans="27:30" x14ac:dyDescent="0.35">
      <c r="AA217" t="s">
        <v>3461</v>
      </c>
      <c r="AB217" s="29" t="s">
        <v>3462</v>
      </c>
      <c r="AC217" t="s">
        <v>3463</v>
      </c>
      <c r="AD217" t="s">
        <v>3464</v>
      </c>
    </row>
    <row r="218" spans="27:30" x14ac:dyDescent="0.35">
      <c r="AA218" t="s">
        <v>3461</v>
      </c>
      <c r="AB218" s="29" t="s">
        <v>3462</v>
      </c>
      <c r="AC218" t="s">
        <v>3463</v>
      </c>
      <c r="AD218" t="s">
        <v>3464</v>
      </c>
    </row>
    <row r="219" spans="27:30" x14ac:dyDescent="0.35">
      <c r="AA219" t="s">
        <v>3461</v>
      </c>
      <c r="AB219" s="29" t="s">
        <v>3462</v>
      </c>
      <c r="AC219" t="s">
        <v>3463</v>
      </c>
      <c r="AD219" t="s">
        <v>3464</v>
      </c>
    </row>
    <row r="220" spans="27:30" x14ac:dyDescent="0.35">
      <c r="AA220" t="s">
        <v>3461</v>
      </c>
      <c r="AB220" s="29" t="s">
        <v>3462</v>
      </c>
      <c r="AC220" t="s">
        <v>3463</v>
      </c>
      <c r="AD220" t="s">
        <v>3464</v>
      </c>
    </row>
    <row r="221" spans="27:30" x14ac:dyDescent="0.35">
      <c r="AA221" t="s">
        <v>3461</v>
      </c>
      <c r="AB221" s="29" t="s">
        <v>3462</v>
      </c>
      <c r="AC221" t="s">
        <v>3463</v>
      </c>
      <c r="AD221" t="s">
        <v>3464</v>
      </c>
    </row>
    <row r="222" spans="27:30" x14ac:dyDescent="0.35">
      <c r="AA222" t="s">
        <v>3461</v>
      </c>
      <c r="AB222" s="29" t="s">
        <v>3462</v>
      </c>
      <c r="AC222" t="s">
        <v>3463</v>
      </c>
      <c r="AD222" t="s">
        <v>3464</v>
      </c>
    </row>
    <row r="223" spans="27:30" x14ac:dyDescent="0.35">
      <c r="AA223" t="s">
        <v>3461</v>
      </c>
      <c r="AB223" s="29" t="s">
        <v>3462</v>
      </c>
      <c r="AC223" t="s">
        <v>3463</v>
      </c>
      <c r="AD223" t="s">
        <v>3464</v>
      </c>
    </row>
    <row r="224" spans="27:30" x14ac:dyDescent="0.35">
      <c r="AA224" t="s">
        <v>3461</v>
      </c>
      <c r="AB224" s="29" t="s">
        <v>3462</v>
      </c>
      <c r="AC224" t="s">
        <v>3463</v>
      </c>
      <c r="AD224" t="s">
        <v>3464</v>
      </c>
    </row>
    <row r="225" spans="27:30" x14ac:dyDescent="0.35">
      <c r="AA225" t="s">
        <v>3461</v>
      </c>
      <c r="AB225" s="29" t="s">
        <v>3462</v>
      </c>
      <c r="AC225" t="s">
        <v>3463</v>
      </c>
      <c r="AD225" t="s">
        <v>3464</v>
      </c>
    </row>
    <row r="226" spans="27:30" x14ac:dyDescent="0.35">
      <c r="AA226" t="s">
        <v>3461</v>
      </c>
      <c r="AB226" s="29" t="s">
        <v>3462</v>
      </c>
      <c r="AC226" t="s">
        <v>3463</v>
      </c>
      <c r="AD226" t="s">
        <v>3464</v>
      </c>
    </row>
    <row r="227" spans="27:30" x14ac:dyDescent="0.35">
      <c r="AA227" t="s">
        <v>3461</v>
      </c>
      <c r="AB227" s="29" t="s">
        <v>3462</v>
      </c>
      <c r="AC227" t="s">
        <v>3463</v>
      </c>
      <c r="AD227" t="s">
        <v>3464</v>
      </c>
    </row>
    <row r="228" spans="27:30" x14ac:dyDescent="0.35">
      <c r="AA228" t="s">
        <v>3461</v>
      </c>
      <c r="AB228" s="29" t="s">
        <v>3462</v>
      </c>
      <c r="AC228" t="s">
        <v>3463</v>
      </c>
      <c r="AD228" t="s">
        <v>3464</v>
      </c>
    </row>
    <row r="229" spans="27:30" x14ac:dyDescent="0.35">
      <c r="AA229" t="s">
        <v>3461</v>
      </c>
      <c r="AB229" s="29" t="s">
        <v>3462</v>
      </c>
      <c r="AC229" t="s">
        <v>3463</v>
      </c>
      <c r="AD229" t="s">
        <v>3464</v>
      </c>
    </row>
    <row r="230" spans="27:30" x14ac:dyDescent="0.35">
      <c r="AA230" t="s">
        <v>3461</v>
      </c>
      <c r="AB230" s="29" t="s">
        <v>3462</v>
      </c>
      <c r="AC230" t="s">
        <v>3463</v>
      </c>
      <c r="AD230" t="s">
        <v>3464</v>
      </c>
    </row>
    <row r="231" spans="27:30" x14ac:dyDescent="0.35">
      <c r="AA231" t="s">
        <v>3461</v>
      </c>
      <c r="AB231" s="29" t="s">
        <v>3462</v>
      </c>
      <c r="AC231" t="s">
        <v>3463</v>
      </c>
      <c r="AD231" t="s">
        <v>3464</v>
      </c>
    </row>
    <row r="232" spans="27:30" x14ac:dyDescent="0.35">
      <c r="AA232" t="s">
        <v>3461</v>
      </c>
      <c r="AB232" s="29" t="s">
        <v>3462</v>
      </c>
      <c r="AC232" t="s">
        <v>3463</v>
      </c>
      <c r="AD232" t="s">
        <v>3464</v>
      </c>
    </row>
    <row r="233" spans="27:30" x14ac:dyDescent="0.35">
      <c r="AA233" t="s">
        <v>3461</v>
      </c>
      <c r="AB233" s="29" t="s">
        <v>3462</v>
      </c>
      <c r="AC233" t="s">
        <v>3463</v>
      </c>
      <c r="AD233" t="s">
        <v>3464</v>
      </c>
    </row>
    <row r="234" spans="27:30" x14ac:dyDescent="0.35">
      <c r="AA234" t="s">
        <v>3461</v>
      </c>
      <c r="AB234" s="29" t="s">
        <v>3462</v>
      </c>
      <c r="AC234" t="s">
        <v>3463</v>
      </c>
      <c r="AD234" t="s">
        <v>3464</v>
      </c>
    </row>
    <row r="235" spans="27:30" x14ac:dyDescent="0.35">
      <c r="AA235" t="s">
        <v>3461</v>
      </c>
      <c r="AB235" s="29" t="s">
        <v>3462</v>
      </c>
      <c r="AC235" t="s">
        <v>3463</v>
      </c>
      <c r="AD235" t="s">
        <v>3464</v>
      </c>
    </row>
    <row r="236" spans="27:30" x14ac:dyDescent="0.35">
      <c r="AA236" t="s">
        <v>3461</v>
      </c>
      <c r="AB236" s="29" t="s">
        <v>3462</v>
      </c>
      <c r="AC236" t="s">
        <v>3463</v>
      </c>
      <c r="AD236" t="s">
        <v>3464</v>
      </c>
    </row>
    <row r="237" spans="27:30" x14ac:dyDescent="0.35">
      <c r="AA237" t="s">
        <v>3461</v>
      </c>
      <c r="AB237" s="29" t="s">
        <v>3462</v>
      </c>
      <c r="AC237" t="s">
        <v>3463</v>
      </c>
      <c r="AD237" t="s">
        <v>3464</v>
      </c>
    </row>
    <row r="238" spans="27:30" x14ac:dyDescent="0.35">
      <c r="AA238" t="s">
        <v>3461</v>
      </c>
      <c r="AB238" s="29" t="s">
        <v>3462</v>
      </c>
      <c r="AC238" t="s">
        <v>3463</v>
      </c>
      <c r="AD238" t="s">
        <v>3464</v>
      </c>
    </row>
    <row r="239" spans="27:30" x14ac:dyDescent="0.35">
      <c r="AA239" t="s">
        <v>3461</v>
      </c>
      <c r="AB239" s="29" t="s">
        <v>3462</v>
      </c>
      <c r="AC239" t="s">
        <v>3463</v>
      </c>
      <c r="AD239" t="s">
        <v>3464</v>
      </c>
    </row>
    <row r="240" spans="27:30" x14ac:dyDescent="0.35">
      <c r="AA240" t="s">
        <v>3461</v>
      </c>
      <c r="AB240" s="29" t="s">
        <v>3462</v>
      </c>
      <c r="AC240" t="s">
        <v>3463</v>
      </c>
      <c r="AD240" t="s">
        <v>3464</v>
      </c>
    </row>
    <row r="241" spans="27:30" x14ac:dyDescent="0.35">
      <c r="AA241" t="s">
        <v>3461</v>
      </c>
      <c r="AB241" s="29" t="s">
        <v>3462</v>
      </c>
      <c r="AC241" t="s">
        <v>3463</v>
      </c>
      <c r="AD241" t="s">
        <v>3464</v>
      </c>
    </row>
    <row r="242" spans="27:30" x14ac:dyDescent="0.35">
      <c r="AA242" t="s">
        <v>3461</v>
      </c>
      <c r="AB242" s="29" t="s">
        <v>3462</v>
      </c>
      <c r="AC242" t="s">
        <v>3463</v>
      </c>
      <c r="AD242" t="s">
        <v>3464</v>
      </c>
    </row>
    <row r="243" spans="27:30" x14ac:dyDescent="0.35">
      <c r="AA243" t="s">
        <v>3461</v>
      </c>
      <c r="AB243" s="29" t="s">
        <v>3462</v>
      </c>
      <c r="AC243" t="s">
        <v>3463</v>
      </c>
      <c r="AD243" t="s">
        <v>3464</v>
      </c>
    </row>
    <row r="244" spans="27:30" x14ac:dyDescent="0.35">
      <c r="AA244" t="s">
        <v>3461</v>
      </c>
      <c r="AB244" s="29" t="s">
        <v>3462</v>
      </c>
      <c r="AC244" t="s">
        <v>3463</v>
      </c>
      <c r="AD244" t="s">
        <v>3464</v>
      </c>
    </row>
    <row r="245" spans="27:30" x14ac:dyDescent="0.35">
      <c r="AA245" t="s">
        <v>3461</v>
      </c>
      <c r="AB245" s="29" t="s">
        <v>3462</v>
      </c>
      <c r="AC245" t="s">
        <v>3463</v>
      </c>
      <c r="AD245" t="s">
        <v>3464</v>
      </c>
    </row>
    <row r="246" spans="27:30" x14ac:dyDescent="0.35">
      <c r="AA246" t="s">
        <v>3461</v>
      </c>
      <c r="AB246" s="29" t="s">
        <v>3462</v>
      </c>
      <c r="AC246" t="s">
        <v>3463</v>
      </c>
      <c r="AD246" t="s">
        <v>3464</v>
      </c>
    </row>
    <row r="247" spans="27:30" x14ac:dyDescent="0.35">
      <c r="AA247" t="s">
        <v>3461</v>
      </c>
      <c r="AB247" s="29" t="s">
        <v>3462</v>
      </c>
      <c r="AC247" t="s">
        <v>3463</v>
      </c>
      <c r="AD247" t="s">
        <v>3464</v>
      </c>
    </row>
    <row r="248" spans="27:30" x14ac:dyDescent="0.35">
      <c r="AA248" t="s">
        <v>3461</v>
      </c>
      <c r="AB248" s="29" t="s">
        <v>3462</v>
      </c>
      <c r="AC248" t="s">
        <v>3463</v>
      </c>
      <c r="AD248" t="s">
        <v>3464</v>
      </c>
    </row>
    <row r="249" spans="27:30" x14ac:dyDescent="0.35">
      <c r="AA249" t="s">
        <v>3461</v>
      </c>
      <c r="AB249" s="29" t="s">
        <v>3462</v>
      </c>
      <c r="AC249" t="s">
        <v>3463</v>
      </c>
      <c r="AD249" t="s">
        <v>3464</v>
      </c>
    </row>
    <row r="250" spans="27:30" x14ac:dyDescent="0.35">
      <c r="AA250" t="s">
        <v>3461</v>
      </c>
      <c r="AB250" s="29" t="s">
        <v>3462</v>
      </c>
      <c r="AC250" t="s">
        <v>3463</v>
      </c>
      <c r="AD250" t="s">
        <v>3464</v>
      </c>
    </row>
    <row r="251" spans="27:30" x14ac:dyDescent="0.35">
      <c r="AA251" t="s">
        <v>3461</v>
      </c>
      <c r="AB251" s="29" t="s">
        <v>3462</v>
      </c>
      <c r="AC251" t="s">
        <v>3463</v>
      </c>
      <c r="AD251" t="s">
        <v>3464</v>
      </c>
    </row>
    <row r="252" spans="27:30" x14ac:dyDescent="0.35">
      <c r="AA252" t="s">
        <v>3461</v>
      </c>
      <c r="AB252" s="29" t="s">
        <v>3462</v>
      </c>
      <c r="AC252" t="s">
        <v>3463</v>
      </c>
      <c r="AD252" t="s">
        <v>3464</v>
      </c>
    </row>
    <row r="253" spans="27:30" x14ac:dyDescent="0.35">
      <c r="AA253" t="s">
        <v>3461</v>
      </c>
      <c r="AB253" s="29" t="s">
        <v>3462</v>
      </c>
      <c r="AC253" t="s">
        <v>3463</v>
      </c>
      <c r="AD253" t="s">
        <v>3464</v>
      </c>
    </row>
    <row r="254" spans="27:30" x14ac:dyDescent="0.35">
      <c r="AA254" t="s">
        <v>3461</v>
      </c>
      <c r="AB254" s="29" t="s">
        <v>3462</v>
      </c>
      <c r="AC254" t="s">
        <v>3463</v>
      </c>
      <c r="AD254" t="s">
        <v>3464</v>
      </c>
    </row>
    <row r="255" spans="27:30" x14ac:dyDescent="0.35">
      <c r="AA255" t="s">
        <v>3461</v>
      </c>
      <c r="AB255" s="29" t="s">
        <v>3462</v>
      </c>
      <c r="AC255" t="s">
        <v>3463</v>
      </c>
      <c r="AD255" t="s">
        <v>3464</v>
      </c>
    </row>
    <row r="256" spans="27:30" x14ac:dyDescent="0.35">
      <c r="AA256" t="s">
        <v>3461</v>
      </c>
      <c r="AB256" s="29" t="s">
        <v>3462</v>
      </c>
      <c r="AC256" t="s">
        <v>3463</v>
      </c>
      <c r="AD256" t="s">
        <v>3464</v>
      </c>
    </row>
    <row r="257" spans="27:30" x14ac:dyDescent="0.35">
      <c r="AA257" t="s">
        <v>3461</v>
      </c>
      <c r="AB257" s="29" t="s">
        <v>3462</v>
      </c>
      <c r="AC257" t="s">
        <v>3463</v>
      </c>
      <c r="AD257" t="s">
        <v>3464</v>
      </c>
    </row>
    <row r="258" spans="27:30" x14ac:dyDescent="0.35">
      <c r="AA258" t="s">
        <v>3461</v>
      </c>
      <c r="AB258" s="29" t="s">
        <v>3462</v>
      </c>
      <c r="AC258" t="s">
        <v>3463</v>
      </c>
      <c r="AD258" t="s">
        <v>3464</v>
      </c>
    </row>
    <row r="259" spans="27:30" x14ac:dyDescent="0.35">
      <c r="AA259" t="s">
        <v>3461</v>
      </c>
      <c r="AB259" s="29" t="s">
        <v>3462</v>
      </c>
      <c r="AC259" t="s">
        <v>3463</v>
      </c>
      <c r="AD259" t="s">
        <v>3464</v>
      </c>
    </row>
    <row r="260" spans="27:30" x14ac:dyDescent="0.35">
      <c r="AA260" t="s">
        <v>3461</v>
      </c>
      <c r="AB260" s="29" t="s">
        <v>3462</v>
      </c>
      <c r="AC260" t="s">
        <v>3463</v>
      </c>
      <c r="AD260" t="s">
        <v>3464</v>
      </c>
    </row>
    <row r="261" spans="27:30" x14ac:dyDescent="0.35">
      <c r="AA261" t="s">
        <v>3461</v>
      </c>
      <c r="AB261" s="29" t="s">
        <v>3462</v>
      </c>
      <c r="AC261" t="s">
        <v>3463</v>
      </c>
      <c r="AD261" t="s">
        <v>3464</v>
      </c>
    </row>
    <row r="262" spans="27:30" x14ac:dyDescent="0.35">
      <c r="AA262" t="s">
        <v>3461</v>
      </c>
      <c r="AB262" s="29" t="s">
        <v>3462</v>
      </c>
      <c r="AC262" t="s">
        <v>3463</v>
      </c>
      <c r="AD262" t="s">
        <v>3464</v>
      </c>
    </row>
    <row r="263" spans="27:30" x14ac:dyDescent="0.35">
      <c r="AA263" t="s">
        <v>3461</v>
      </c>
      <c r="AB263" s="29" t="s">
        <v>3462</v>
      </c>
      <c r="AC263" t="s">
        <v>3463</v>
      </c>
      <c r="AD263" t="s">
        <v>3464</v>
      </c>
    </row>
    <row r="264" spans="27:30" x14ac:dyDescent="0.35">
      <c r="AA264" t="s">
        <v>3461</v>
      </c>
      <c r="AB264" s="29" t="s">
        <v>3462</v>
      </c>
      <c r="AC264" t="s">
        <v>3463</v>
      </c>
      <c r="AD264" t="s">
        <v>3464</v>
      </c>
    </row>
    <row r="265" spans="27:30" x14ac:dyDescent="0.35">
      <c r="AA265" t="s">
        <v>3461</v>
      </c>
      <c r="AB265" s="29" t="s">
        <v>3462</v>
      </c>
      <c r="AC265" t="s">
        <v>3463</v>
      </c>
      <c r="AD265" t="s">
        <v>3464</v>
      </c>
    </row>
    <row r="266" spans="27:30" x14ac:dyDescent="0.35">
      <c r="AA266" t="s">
        <v>3461</v>
      </c>
      <c r="AB266" s="29" t="s">
        <v>3462</v>
      </c>
      <c r="AC266" t="s">
        <v>3463</v>
      </c>
      <c r="AD266" t="s">
        <v>3464</v>
      </c>
    </row>
    <row r="267" spans="27:30" x14ac:dyDescent="0.35">
      <c r="AA267" t="s">
        <v>3461</v>
      </c>
      <c r="AB267" s="29" t="s">
        <v>3462</v>
      </c>
      <c r="AC267" t="s">
        <v>3463</v>
      </c>
      <c r="AD267" t="s">
        <v>3464</v>
      </c>
    </row>
    <row r="268" spans="27:30" x14ac:dyDescent="0.35">
      <c r="AA268" t="s">
        <v>3461</v>
      </c>
      <c r="AB268" s="29" t="s">
        <v>3462</v>
      </c>
      <c r="AC268" t="s">
        <v>3463</v>
      </c>
      <c r="AD268" t="s">
        <v>3464</v>
      </c>
    </row>
    <row r="269" spans="27:30" x14ac:dyDescent="0.35">
      <c r="AA269" t="s">
        <v>3461</v>
      </c>
      <c r="AB269" s="29" t="s">
        <v>3462</v>
      </c>
      <c r="AC269" t="s">
        <v>3463</v>
      </c>
      <c r="AD269" t="s">
        <v>3464</v>
      </c>
    </row>
    <row r="270" spans="27:30" x14ac:dyDescent="0.35">
      <c r="AA270" t="s">
        <v>3461</v>
      </c>
      <c r="AB270" s="29" t="s">
        <v>3462</v>
      </c>
      <c r="AC270" t="s">
        <v>3463</v>
      </c>
      <c r="AD270" t="s">
        <v>3464</v>
      </c>
    </row>
    <row r="271" spans="27:30" x14ac:dyDescent="0.35">
      <c r="AA271" t="s">
        <v>3461</v>
      </c>
      <c r="AB271" s="29" t="s">
        <v>3462</v>
      </c>
      <c r="AC271" t="s">
        <v>3463</v>
      </c>
      <c r="AD271" t="s">
        <v>3464</v>
      </c>
    </row>
    <row r="272" spans="27:30" x14ac:dyDescent="0.35">
      <c r="AA272" t="s">
        <v>3461</v>
      </c>
      <c r="AB272" s="29" t="s">
        <v>3462</v>
      </c>
      <c r="AC272" t="s">
        <v>3463</v>
      </c>
      <c r="AD272" t="s">
        <v>3464</v>
      </c>
    </row>
    <row r="273" spans="27:30" x14ac:dyDescent="0.35">
      <c r="AA273" t="s">
        <v>3461</v>
      </c>
      <c r="AB273" s="29" t="s">
        <v>3462</v>
      </c>
      <c r="AC273" t="s">
        <v>3463</v>
      </c>
      <c r="AD273" t="s">
        <v>3464</v>
      </c>
    </row>
    <row r="274" spans="27:30" x14ac:dyDescent="0.35">
      <c r="AA274" t="s">
        <v>3461</v>
      </c>
      <c r="AB274" s="29" t="s">
        <v>3462</v>
      </c>
      <c r="AC274" t="s">
        <v>3463</v>
      </c>
      <c r="AD274" t="s">
        <v>3464</v>
      </c>
    </row>
    <row r="275" spans="27:30" x14ac:dyDescent="0.35">
      <c r="AA275" t="s">
        <v>3461</v>
      </c>
      <c r="AB275" s="29" t="s">
        <v>3462</v>
      </c>
      <c r="AC275" t="s">
        <v>3463</v>
      </c>
      <c r="AD275" t="s">
        <v>3464</v>
      </c>
    </row>
    <row r="276" spans="27:30" x14ac:dyDescent="0.35">
      <c r="AA276" t="s">
        <v>3461</v>
      </c>
      <c r="AB276" s="29" t="s">
        <v>3462</v>
      </c>
      <c r="AC276" t="s">
        <v>3463</v>
      </c>
      <c r="AD276" t="s">
        <v>3464</v>
      </c>
    </row>
    <row r="277" spans="27:30" x14ac:dyDescent="0.35">
      <c r="AA277" t="s">
        <v>3461</v>
      </c>
      <c r="AB277" s="29" t="s">
        <v>3462</v>
      </c>
      <c r="AC277" t="s">
        <v>3463</v>
      </c>
      <c r="AD277" t="s">
        <v>3464</v>
      </c>
    </row>
    <row r="278" spans="27:30" x14ac:dyDescent="0.35">
      <c r="AA278" t="s">
        <v>3461</v>
      </c>
      <c r="AB278" s="29" t="s">
        <v>3462</v>
      </c>
      <c r="AC278" t="s">
        <v>3463</v>
      </c>
      <c r="AD278" t="s">
        <v>3464</v>
      </c>
    </row>
    <row r="279" spans="27:30" x14ac:dyDescent="0.35">
      <c r="AA279" t="s">
        <v>3461</v>
      </c>
      <c r="AB279" s="29" t="s">
        <v>3462</v>
      </c>
      <c r="AC279" t="s">
        <v>3463</v>
      </c>
      <c r="AD279" t="s">
        <v>3464</v>
      </c>
    </row>
    <row r="280" spans="27:30" x14ac:dyDescent="0.35">
      <c r="AA280" t="s">
        <v>3461</v>
      </c>
      <c r="AB280" s="29" t="s">
        <v>3462</v>
      </c>
      <c r="AC280" t="s">
        <v>3463</v>
      </c>
      <c r="AD280" t="s">
        <v>3464</v>
      </c>
    </row>
    <row r="281" spans="27:30" x14ac:dyDescent="0.35">
      <c r="AA281" t="s">
        <v>3461</v>
      </c>
      <c r="AB281" s="29" t="s">
        <v>3462</v>
      </c>
      <c r="AC281" t="s">
        <v>3463</v>
      </c>
      <c r="AD281" t="s">
        <v>3464</v>
      </c>
    </row>
    <row r="282" spans="27:30" x14ac:dyDescent="0.35">
      <c r="AA282" t="s">
        <v>3461</v>
      </c>
      <c r="AB282" s="29" t="s">
        <v>3462</v>
      </c>
      <c r="AC282" t="s">
        <v>3463</v>
      </c>
      <c r="AD282" t="s">
        <v>3464</v>
      </c>
    </row>
    <row r="283" spans="27:30" x14ac:dyDescent="0.35">
      <c r="AA283" t="s">
        <v>3461</v>
      </c>
      <c r="AB283" s="29" t="s">
        <v>3462</v>
      </c>
      <c r="AC283" t="s">
        <v>3463</v>
      </c>
      <c r="AD283" t="s">
        <v>3464</v>
      </c>
    </row>
    <row r="284" spans="27:30" x14ac:dyDescent="0.35">
      <c r="AA284" t="s">
        <v>3461</v>
      </c>
      <c r="AB284" s="29" t="s">
        <v>3462</v>
      </c>
      <c r="AC284" t="s">
        <v>3463</v>
      </c>
      <c r="AD284" t="s">
        <v>3464</v>
      </c>
    </row>
    <row r="285" spans="27:30" x14ac:dyDescent="0.35">
      <c r="AA285" t="s">
        <v>3461</v>
      </c>
      <c r="AB285" s="29" t="s">
        <v>3462</v>
      </c>
      <c r="AC285" t="s">
        <v>3463</v>
      </c>
      <c r="AD285" t="s">
        <v>3464</v>
      </c>
    </row>
    <row r="286" spans="27:30" x14ac:dyDescent="0.35">
      <c r="AA286" t="s">
        <v>3461</v>
      </c>
      <c r="AB286" s="29" t="s">
        <v>3462</v>
      </c>
      <c r="AC286" t="s">
        <v>3463</v>
      </c>
      <c r="AD286" t="s">
        <v>3464</v>
      </c>
    </row>
    <row r="287" spans="27:30" x14ac:dyDescent="0.35">
      <c r="AA287" t="s">
        <v>3461</v>
      </c>
      <c r="AB287" s="29" t="s">
        <v>3462</v>
      </c>
      <c r="AC287" t="s">
        <v>3463</v>
      </c>
      <c r="AD287" t="s">
        <v>3464</v>
      </c>
    </row>
    <row r="288" spans="27:30" x14ac:dyDescent="0.35">
      <c r="AA288" t="s">
        <v>3461</v>
      </c>
      <c r="AB288" s="29" t="s">
        <v>3462</v>
      </c>
      <c r="AC288" t="s">
        <v>3463</v>
      </c>
      <c r="AD288" t="s">
        <v>3464</v>
      </c>
    </row>
    <row r="289" spans="27:30" x14ac:dyDescent="0.35">
      <c r="AA289" t="s">
        <v>3461</v>
      </c>
      <c r="AB289" s="29" t="s">
        <v>3462</v>
      </c>
      <c r="AC289" t="s">
        <v>3463</v>
      </c>
      <c r="AD289" t="s">
        <v>3464</v>
      </c>
    </row>
    <row r="290" spans="27:30" x14ac:dyDescent="0.35">
      <c r="AA290" t="s">
        <v>3461</v>
      </c>
      <c r="AB290" s="29" t="s">
        <v>3462</v>
      </c>
      <c r="AC290" t="s">
        <v>3463</v>
      </c>
      <c r="AD290" t="s">
        <v>3464</v>
      </c>
    </row>
    <row r="291" spans="27:30" x14ac:dyDescent="0.35">
      <c r="AA291" t="s">
        <v>3461</v>
      </c>
      <c r="AB291" s="29" t="s">
        <v>3462</v>
      </c>
      <c r="AC291" t="s">
        <v>3463</v>
      </c>
      <c r="AD291" t="s">
        <v>3464</v>
      </c>
    </row>
    <row r="292" spans="27:30" x14ac:dyDescent="0.35">
      <c r="AA292" t="s">
        <v>3461</v>
      </c>
      <c r="AB292" s="29" t="s">
        <v>3462</v>
      </c>
      <c r="AC292" t="s">
        <v>3463</v>
      </c>
      <c r="AD292" t="s">
        <v>3464</v>
      </c>
    </row>
    <row r="293" spans="27:30" x14ac:dyDescent="0.35">
      <c r="AA293" t="s">
        <v>3461</v>
      </c>
      <c r="AB293" s="29" t="s">
        <v>3462</v>
      </c>
      <c r="AC293" t="s">
        <v>3463</v>
      </c>
      <c r="AD293" t="s">
        <v>3464</v>
      </c>
    </row>
    <row r="294" spans="27:30" x14ac:dyDescent="0.35">
      <c r="AA294" t="s">
        <v>3461</v>
      </c>
      <c r="AB294" s="29" t="s">
        <v>3462</v>
      </c>
      <c r="AC294" t="s">
        <v>3463</v>
      </c>
      <c r="AD294" t="s">
        <v>3464</v>
      </c>
    </row>
    <row r="295" spans="27:30" x14ac:dyDescent="0.35">
      <c r="AA295" t="s">
        <v>3461</v>
      </c>
      <c r="AB295" s="29" t="s">
        <v>3462</v>
      </c>
      <c r="AC295" t="s">
        <v>3463</v>
      </c>
      <c r="AD295" t="s">
        <v>3464</v>
      </c>
    </row>
    <row r="296" spans="27:30" x14ac:dyDescent="0.35">
      <c r="AA296" t="s">
        <v>3461</v>
      </c>
      <c r="AB296" s="29" t="s">
        <v>3462</v>
      </c>
      <c r="AC296" t="s">
        <v>3463</v>
      </c>
      <c r="AD296" t="s">
        <v>3464</v>
      </c>
    </row>
    <row r="297" spans="27:30" x14ac:dyDescent="0.35">
      <c r="AA297" t="s">
        <v>3461</v>
      </c>
      <c r="AB297" s="29" t="s">
        <v>3462</v>
      </c>
      <c r="AC297" t="s">
        <v>3463</v>
      </c>
      <c r="AD297" t="s">
        <v>3464</v>
      </c>
    </row>
    <row r="298" spans="27:30" x14ac:dyDescent="0.35">
      <c r="AA298" t="s">
        <v>3461</v>
      </c>
      <c r="AB298" s="29" t="s">
        <v>3462</v>
      </c>
      <c r="AC298" t="s">
        <v>3463</v>
      </c>
      <c r="AD298" t="s">
        <v>3464</v>
      </c>
    </row>
    <row r="299" spans="27:30" x14ac:dyDescent="0.35">
      <c r="AA299" t="s">
        <v>3461</v>
      </c>
      <c r="AB299" s="29" t="s">
        <v>3462</v>
      </c>
      <c r="AC299" t="s">
        <v>3463</v>
      </c>
      <c r="AD299" t="s">
        <v>3464</v>
      </c>
    </row>
    <row r="300" spans="27:30" x14ac:dyDescent="0.35">
      <c r="AA300" t="s">
        <v>3461</v>
      </c>
      <c r="AB300" s="29" t="s">
        <v>3462</v>
      </c>
      <c r="AC300" t="s">
        <v>3463</v>
      </c>
      <c r="AD300" t="s">
        <v>3464</v>
      </c>
    </row>
    <row r="301" spans="27:30" x14ac:dyDescent="0.35">
      <c r="AA301" t="s">
        <v>3461</v>
      </c>
      <c r="AB301" s="29" t="s">
        <v>3462</v>
      </c>
      <c r="AC301" t="s">
        <v>3463</v>
      </c>
      <c r="AD301" t="s">
        <v>3464</v>
      </c>
    </row>
    <row r="302" spans="27:30" x14ac:dyDescent="0.35">
      <c r="AA302" t="s">
        <v>3461</v>
      </c>
      <c r="AB302" s="29" t="s">
        <v>3462</v>
      </c>
      <c r="AC302" t="s">
        <v>3463</v>
      </c>
      <c r="AD302" t="s">
        <v>3464</v>
      </c>
    </row>
    <row r="303" spans="27:30" x14ac:dyDescent="0.35">
      <c r="AA303" t="s">
        <v>3461</v>
      </c>
      <c r="AB303" s="29" t="s">
        <v>3462</v>
      </c>
      <c r="AC303" t="s">
        <v>3463</v>
      </c>
      <c r="AD303" t="s">
        <v>3464</v>
      </c>
    </row>
    <row r="304" spans="27:30" x14ac:dyDescent="0.35">
      <c r="AA304" t="s">
        <v>3461</v>
      </c>
      <c r="AB304" s="29" t="s">
        <v>3462</v>
      </c>
      <c r="AC304" t="s">
        <v>3463</v>
      </c>
      <c r="AD304" t="s">
        <v>3464</v>
      </c>
    </row>
    <row r="305" spans="27:30" x14ac:dyDescent="0.35">
      <c r="AA305" t="s">
        <v>3461</v>
      </c>
      <c r="AB305" s="29" t="s">
        <v>3462</v>
      </c>
      <c r="AC305" t="s">
        <v>3463</v>
      </c>
      <c r="AD305" t="s">
        <v>3464</v>
      </c>
    </row>
    <row r="306" spans="27:30" x14ac:dyDescent="0.35">
      <c r="AA306" t="s">
        <v>3461</v>
      </c>
      <c r="AB306" s="29" t="s">
        <v>3462</v>
      </c>
      <c r="AC306" t="s">
        <v>3463</v>
      </c>
      <c r="AD306" t="s">
        <v>3464</v>
      </c>
    </row>
  </sheetData>
  <sheetProtection algorithmName="SHA-512" hashValue="qbPYQ0M4xS1GQZEJ91B5t2OdVQoBWkroxJ8c9vx8mykzP6Q56Avtu2eWHHTAFQE5vm/JW5NFiA6Yyun7+wZYVg==" saltValue="6/sAc9yKmLaCmDTriYTM0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e17d599-2558-480c-a093-3f7153a2aab6">
      <UserInfo>
        <DisplayName>SharingLinks.7287d633-6923-4e1a-b7b2-70715de65807.Flexible.85fa058c-726c-4051-9460-4b109a9ebd1d</DisplayName>
        <AccountId>215</AccountId>
        <AccountType/>
      </UserInfo>
      <UserInfo>
        <DisplayName>SharingLinks.37825084-6170-474a-8a8d-ae372fa07c65.Flexible.fad41a8a-827b-46e0-bf5a-6e72a78e9a88</DisplayName>
        <AccountId>216</AccountId>
        <AccountType/>
      </UserInfo>
      <UserInfo>
        <DisplayName>Matthew LaCava</DisplayName>
        <AccountId>223</AccountId>
        <AccountType/>
      </UserInfo>
      <UserInfo>
        <DisplayName>SharingLinks.482e9da2-8623-42d7-8a52-a68d310c6b2f.Flexible.8847a322-3e5b-4e50-a956-d84c1ba4ccec</DisplayName>
        <AccountId>244</AccountId>
        <AccountType/>
      </UserInfo>
      <UserInfo>
        <DisplayName>Minami  Koenuma</DisplayName>
        <AccountId>245</AccountId>
        <AccountType/>
      </UserInfo>
      <UserInfo>
        <DisplayName>SharingLinks.51c46388-f9fd-4fa6-a36b-1b148abd9fc7.Flexible.a4b7caeb-adf2-49d7-ab88-c662e672c583</DisplayName>
        <AccountId>247</AccountId>
        <AccountType/>
      </UserInfo>
      <UserInfo>
        <DisplayName>SharingLinks.2e110d1d-ac07-46d4-a7e0-ca1dc475661c.Flexible.58b471bf-cd09-45aa-bce5-be9cf32e38b5</DisplayName>
        <AccountId>250</AccountId>
        <AccountType/>
      </UserInfo>
      <UserInfo>
        <DisplayName>Irare Espinosa</DisplayName>
        <AccountId>2140</AccountId>
        <AccountType/>
      </UserInfo>
      <UserInfo>
        <DisplayName>Miguel Caballero</DisplayName>
        <AccountId>2144</AccountId>
        <AccountType/>
      </UserInfo>
      <UserInfo>
        <DisplayName>Orlando Garcia</DisplayName>
        <AccountId>2145</AccountId>
        <AccountType/>
      </UserInfo>
      <UserInfo>
        <DisplayName>Manuel Sanchez</DisplayName>
        <AccountId>2142</AccountId>
        <AccountType/>
      </UserInfo>
      <UserInfo>
        <DisplayName>Luis Olvera</DisplayName>
        <AccountId>2143</AccountId>
        <AccountType/>
      </UserInfo>
      <UserInfo>
        <DisplayName>Paulina Martinez</DisplayName>
        <AccountId>2141</AccountId>
        <AccountType/>
      </UserInfo>
      <UserInfo>
        <DisplayName>Mariana Recillash</DisplayName>
        <AccountId>2147</AccountId>
        <AccountType/>
      </UserInfo>
      <UserInfo>
        <DisplayName>Sanjana.Ravindran-Essence</DisplayName>
        <AccountId>2162</AccountId>
        <AccountType/>
      </UserInfo>
      <UserInfo>
        <DisplayName>Abigail.Lim-Essence</DisplayName>
        <AccountId>2188</AccountId>
        <AccountType/>
      </UserInfo>
      <UserInfo>
        <DisplayName>SiawPhun.Bong-Essence</DisplayName>
        <AccountId>2187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D8689B31B8B4B96874533B95D8B77" ma:contentTypeVersion="13" ma:contentTypeDescription="Create a new document." ma:contentTypeScope="" ma:versionID="1c08fcf3e6db4ef4f1af194f8085dd0e">
  <xsd:schema xmlns:xsd="http://www.w3.org/2001/XMLSchema" xmlns:xs="http://www.w3.org/2001/XMLSchema" xmlns:p="http://schemas.microsoft.com/office/2006/metadata/properties" xmlns:ns2="b184fd8c-feb0-44a2-8b5a-31cbef26b624" xmlns:ns3="5e17d599-2558-480c-a093-3f7153a2aab6" targetNamespace="http://schemas.microsoft.com/office/2006/metadata/properties" ma:root="true" ma:fieldsID="b1193c929575188f1c7aa06c0f5e6e8e" ns2:_="" ns3:_="">
    <xsd:import namespace="b184fd8c-feb0-44a2-8b5a-31cbef26b624"/>
    <xsd:import namespace="5e17d599-2558-480c-a093-3f7153a2aa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4fd8c-feb0-44a2-8b5a-31cbef26b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7d599-2558-480c-a093-3f7153a2aab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6D4DE9-174B-4C5A-B981-BBAFD9E4F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E29DA6-CC77-4049-9B2A-D4E40992B3C9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5e17d599-2558-480c-a093-3f7153a2aab6"/>
    <ds:schemaRef ds:uri="b184fd8c-feb0-44a2-8b5a-31cbef26b62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B2BE8A1-573B-428A-9C9D-5805792CF7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4fd8c-feb0-44a2-8b5a-31cbef26b624"/>
    <ds:schemaRef ds:uri="5e17d599-2558-480c-a093-3f7153a2aa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26</vt:i4>
      </vt:variant>
    </vt:vector>
  </HeadingPairs>
  <TitlesOfParts>
    <vt:vector size="34" baseType="lpstr">
      <vt:lpstr>Placement Name Generator</vt:lpstr>
      <vt:lpstr>Glossary</vt:lpstr>
      <vt:lpstr>Essence DV Lookups</vt:lpstr>
      <vt:lpstr>Change Log</vt:lpstr>
      <vt:lpstr>Campaign DV Lookups (2)</vt:lpstr>
      <vt:lpstr>Alpha-2 Reference Sheet</vt:lpstr>
      <vt:lpstr>Data Validations</vt:lpstr>
      <vt:lpstr>DB Entry Sheet (Engineers Only)</vt:lpstr>
      <vt:lpstr>Costing_Model_Code</vt:lpstr>
      <vt:lpstr>Detailed_Targeting</vt:lpstr>
      <vt:lpstr>Detailed_Targeting_Code</vt:lpstr>
      <vt:lpstr>Format</vt:lpstr>
      <vt:lpstr>Formatandcode</vt:lpstr>
      <vt:lpstr>Influencer</vt:lpstr>
      <vt:lpstr>KPI</vt:lpstr>
      <vt:lpstr>KPI_Codes</vt:lpstr>
      <vt:lpstr>KPIAndCodes</vt:lpstr>
      <vt:lpstr>Native</vt:lpstr>
      <vt:lpstr>Objectiveandcodes</vt:lpstr>
      <vt:lpstr>Objectives</vt:lpstr>
      <vt:lpstr>Partnerandcode</vt:lpstr>
      <vt:lpstr>Partnertypeandcode</vt:lpstr>
      <vt:lpstr>Primary_Targeting_Segment</vt:lpstr>
      <vt:lpstr>Primary_Targeting_Segment_Code</vt:lpstr>
      <vt:lpstr>Products</vt:lpstr>
      <vt:lpstr>Productsandcodes</vt:lpstr>
      <vt:lpstr>Reach</vt:lpstr>
      <vt:lpstr>Reaction</vt:lpstr>
      <vt:lpstr>Relevance</vt:lpstr>
      <vt:lpstr>Search</vt:lpstr>
      <vt:lpstr>SocialDisplay</vt:lpstr>
      <vt:lpstr>SocialVideo</vt:lpstr>
      <vt:lpstr>Tacticsandcode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Spurrier-Dawes</dc:creator>
  <cp:keywords/>
  <dc:description/>
  <cp:lastModifiedBy>Felipe Lima</cp:lastModifiedBy>
  <cp:revision/>
  <dcterms:created xsi:type="dcterms:W3CDTF">2019-08-15T12:13:07Z</dcterms:created>
  <dcterms:modified xsi:type="dcterms:W3CDTF">2024-10-04T18:27:55Z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0x010100810D8689B31B8B4B96874533B95D8B77</vt:lpwstr>
  </property>
</Properties>
</file>