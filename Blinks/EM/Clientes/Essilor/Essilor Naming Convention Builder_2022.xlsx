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fileSharing readOnlyRecommended="1"/>
  <workbookPr defaultThemeVersion="166925"/>
  <mc:AlternateContent xmlns:mc="http://schemas.openxmlformats.org/markup-compatibility/2006">
    <mc:Choice Requires="x15">
      <x15ac:absPath xmlns:x15ac="http://schemas.microsoft.com/office/spreadsheetml/2010/11/ac" url="https://insidemedia-my.sharepoint.com/personal/felipe_lima_essencemediacom_com/Documents/Desktop/"/>
    </mc:Choice>
  </mc:AlternateContent>
  <xr:revisionPtr revIDLastSave="507" documentId="13_ncr:1_{3CE6C540-097A-4EF2-A4CD-C95C0135C724}" xr6:coauthVersionLast="47" xr6:coauthVersionMax="47" xr10:uidLastSave="{9A865EA3-0B2E-44BD-97D0-7500BF036227}"/>
  <bookViews>
    <workbookView minimized="1" xWindow="14070" yWindow="2830" windowWidth="10250" windowHeight="7370" tabRatio="561" activeTab="2" xr2:uid="{00000000-000D-0000-FFFF-FFFF00000000}"/>
  </bookViews>
  <sheets>
    <sheet name="1.Introduction" sheetId="11" r:id="rId1"/>
    <sheet name="2.Definition" sheetId="13" r:id="rId2"/>
    <sheet name="3.References" sheetId="12" r:id="rId3"/>
    <sheet name="4.Global Naming Conventions" sheetId="22" r:id="rId4"/>
    <sheet name="5.References Mapping" sheetId="24" r:id="rId5"/>
    <sheet name="6.Essilor Group Brands Mapping" sheetId="23" r:id="rId6"/>
  </sheets>
  <definedNames>
    <definedName name="_xlnm._FilterDatabase" localSheetId="1" hidden="1">'2.Definition'!$A$1:$C$42</definedName>
    <definedName name="_xlnm._FilterDatabase" localSheetId="5" hidden="1">'6.Essilor Group Brands Mapping'!$A$3:$G$3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22" l="1"/>
  <c r="B25" i="22"/>
  <c r="B26" i="22"/>
  <c r="B106" i="22"/>
  <c r="B62" i="22"/>
  <c r="B47" i="22"/>
  <c r="B90" i="22"/>
  <c r="B15" i="22"/>
  <c r="B55" i="22" l="1"/>
  <c r="B35" i="22"/>
  <c r="B66" i="22"/>
  <c r="B23" i="22"/>
  <c r="B78" i="22" l="1"/>
  <c r="B93" i="22"/>
  <c r="B96" i="22"/>
  <c r="B81" i="22" l="1"/>
  <c r="B19" i="22" l="1"/>
  <c r="B84" i="22"/>
  <c r="B69" i="22"/>
  <c r="B51" i="22"/>
</calcChain>
</file>

<file path=xl/sharedStrings.xml><?xml version="1.0" encoding="utf-8"?>
<sst xmlns="http://schemas.openxmlformats.org/spreadsheetml/2006/main" count="1629" uniqueCount="775">
  <si>
    <t>INFORMATION ON TABS:</t>
  </si>
  <si>
    <t>Introduction</t>
  </si>
  <si>
    <t>Instructions on Naming Conventions and how to use it.</t>
  </si>
  <si>
    <t>Defintion</t>
  </si>
  <si>
    <t>Definition of the values</t>
  </si>
  <si>
    <t>References/Values</t>
  </si>
  <si>
    <t>Values that can go under different fields in the convention name</t>
  </si>
  <si>
    <t>Global Naming Convention</t>
  </si>
  <si>
    <t>All the campaign naming conventions for Prisma and Non Prisma markets</t>
  </si>
  <si>
    <t>NAMING CONVENTION INSTRUCTIONS</t>
  </si>
  <si>
    <t>Field Name</t>
  </si>
  <si>
    <t>Definition</t>
  </si>
  <si>
    <t>Examples</t>
  </si>
  <si>
    <t>Audience</t>
  </si>
  <si>
    <t>What type audience you are targeting</t>
  </si>
  <si>
    <t>Audience Demo</t>
  </si>
  <si>
    <t>Audience Demographics</t>
  </si>
  <si>
    <t>Age/gender</t>
  </si>
  <si>
    <t>Audience Details</t>
  </si>
  <si>
    <t>Audience details</t>
  </si>
  <si>
    <t>P45+  , M16 etc</t>
  </si>
  <si>
    <t>Brand</t>
  </si>
  <si>
    <t>Master Brand Name</t>
  </si>
  <si>
    <t>Essilor or Transitions, check the reference tab for the list</t>
  </si>
  <si>
    <t>Business Unit</t>
  </si>
  <si>
    <t>B2B or B2C</t>
  </si>
  <si>
    <t>Campaign Name</t>
  </si>
  <si>
    <t>Theme of the campaign (business campaign)</t>
  </si>
  <si>
    <t>Check reference tab for the list of campaign Themes</t>
  </si>
  <si>
    <t>Campaign Objective</t>
  </si>
  <si>
    <t>Funnel objective</t>
  </si>
  <si>
    <t>Awareness or Engagement etc, check the reference tab for the list</t>
  </si>
  <si>
    <t>Campaign Type</t>
  </si>
  <si>
    <t>What type of campaign is it</t>
  </si>
  <si>
    <t>Reach or Retention or LeadGeneration etc, check the reference tab for the list</t>
  </si>
  <si>
    <t xml:space="preserve">Channel </t>
  </si>
  <si>
    <t>Type of Digital</t>
  </si>
  <si>
    <t>content, audience, ecommerce, OLV</t>
  </si>
  <si>
    <t>Country</t>
  </si>
  <si>
    <t>3 letter code for your country</t>
  </si>
  <si>
    <t>US, CA, AU, DE, BR</t>
  </si>
  <si>
    <t>CPA KPI</t>
  </si>
  <si>
    <t xml:space="preserve">As per campaign requirement </t>
  </si>
  <si>
    <t>Awareness or Engagement etc</t>
  </si>
  <si>
    <t>Creative Free Form</t>
  </si>
  <si>
    <t>Free form</t>
  </si>
  <si>
    <t xml:space="preserve">Creative name / ad copy </t>
  </si>
  <si>
    <t>Creative Name</t>
  </si>
  <si>
    <t>concept of the creative</t>
  </si>
  <si>
    <t xml:space="preserve">Based on product </t>
  </si>
  <si>
    <t>Creative Type</t>
  </si>
  <si>
    <t>Type</t>
  </si>
  <si>
    <t>GIF, HTML5 etc</t>
  </si>
  <si>
    <t>Daughter Brand Name</t>
  </si>
  <si>
    <t>Varilux, Eyezen - check the reference tab for the list</t>
  </si>
  <si>
    <t>Device</t>
  </si>
  <si>
    <t>what device we're targeting</t>
  </si>
  <si>
    <t>Desktop/Mobile/Tablet</t>
  </si>
  <si>
    <t>Digital Type</t>
  </si>
  <si>
    <t>Display, Video</t>
  </si>
  <si>
    <t>Dimensions</t>
  </si>
  <si>
    <t>300x250, 1x1, 728x90 etc</t>
  </si>
  <si>
    <t>Estimate
Code</t>
  </si>
  <si>
    <t>Format</t>
  </si>
  <si>
    <t>Media type</t>
  </si>
  <si>
    <t>Video, Banner, Display, Social, etc.</t>
  </si>
  <si>
    <t>Free Form (Match Type + Buy Type)</t>
  </si>
  <si>
    <t>Applicable for Search</t>
  </si>
  <si>
    <t>Broad, Exact, Phrase</t>
  </si>
  <si>
    <t>Free-Form</t>
  </si>
  <si>
    <t>Any details can be added here</t>
  </si>
  <si>
    <t>Geo</t>
  </si>
  <si>
    <t>Location</t>
  </si>
  <si>
    <t>US, UK etc</t>
  </si>
  <si>
    <t>Inventory Source/Type</t>
  </si>
  <si>
    <t>Type of inventory you're bidding on</t>
  </si>
  <si>
    <t>PMP, Open Exchange</t>
  </si>
  <si>
    <t>Keyword Type</t>
  </si>
  <si>
    <t>Type of Keyword</t>
  </si>
  <si>
    <t>Brand or Generic</t>
  </si>
  <si>
    <t>Language</t>
  </si>
  <si>
    <t>3 letter code for language</t>
  </si>
  <si>
    <t>Eg: For French its FR etc</t>
  </si>
  <si>
    <t>Media Type</t>
  </si>
  <si>
    <t>Channels</t>
  </si>
  <si>
    <t>Search,Social, Display</t>
  </si>
  <si>
    <t>Platform</t>
  </si>
  <si>
    <t>Platform Campaign is launched on</t>
  </si>
  <si>
    <t>FB, DV360</t>
  </si>
  <si>
    <t xml:space="preserve">Product Model </t>
  </si>
  <si>
    <t>Essilor product or transitions product</t>
  </si>
  <si>
    <t>Check reference tab for the list</t>
  </si>
  <si>
    <t>Publisher/Site/Partner</t>
  </si>
  <si>
    <t>Who publishes the ad/creative</t>
  </si>
  <si>
    <t>Google, Bing, TradeDesk,FB</t>
  </si>
  <si>
    <t>Rich Media Vendor</t>
  </si>
  <si>
    <t>provides rich media serving</t>
  </si>
  <si>
    <t>flashtalking, pointroll, doubleckick, mediamind etc.</t>
  </si>
  <si>
    <t>Targeting Audience Type</t>
  </si>
  <si>
    <t>what audience we’re targeting</t>
  </si>
  <si>
    <t>demo, Behavioral, Contextual</t>
  </si>
  <si>
    <t>Targeting Context</t>
  </si>
  <si>
    <t>Profiling  Context</t>
  </si>
  <si>
    <t>Fixed, Roadblock, ROS, RON etc</t>
  </si>
  <si>
    <t>Targeting Data Source</t>
  </si>
  <si>
    <t>data source</t>
  </si>
  <si>
    <t>Foursquare</t>
  </si>
  <si>
    <t>Targeting Tactic</t>
  </si>
  <si>
    <t>Tactic</t>
  </si>
  <si>
    <t>Interest</t>
  </si>
  <si>
    <t>Targeting/Audience Details</t>
  </si>
  <si>
    <t>what type of audience we're targeting</t>
  </si>
  <si>
    <t>Optician Visitors etc</t>
  </si>
  <si>
    <t>Topic</t>
  </si>
  <si>
    <t xml:space="preserve">As per search campaign requirement </t>
  </si>
  <si>
    <t>blue light etc</t>
  </si>
  <si>
    <t>Tracking Method</t>
  </si>
  <si>
    <t>how we're tracking</t>
  </si>
  <si>
    <t>site served, standard, click view etc</t>
  </si>
  <si>
    <t>Ad Type (Search )</t>
  </si>
  <si>
    <t xml:space="preserve">what ad type it is </t>
  </si>
  <si>
    <t>text, shopping, discovery</t>
  </si>
  <si>
    <t>Video Length</t>
  </si>
  <si>
    <t xml:space="preserve">length of vidoe ad </t>
  </si>
  <si>
    <t>15s, 30s etc</t>
  </si>
  <si>
    <t>Year</t>
  </si>
  <si>
    <t>When the campaign is launched</t>
  </si>
  <si>
    <t>Quarter</t>
  </si>
  <si>
    <t>Q1</t>
  </si>
  <si>
    <r>
      <t xml:space="preserve">Essilor Naming Convention - </t>
    </r>
    <r>
      <rPr>
        <b/>
        <sz val="12"/>
        <color rgb="FFFF0000"/>
        <rFont val="Calibri"/>
        <family val="2"/>
        <scheme val="minor"/>
      </rPr>
      <t>CODES HAS TO BE UNIQUE</t>
    </r>
  </si>
  <si>
    <t>Brand and Daughter Brand Mapping available</t>
  </si>
  <si>
    <t>*Underscores are not permitted in any of the free form fields.  Underscores will cause the logic to break</t>
  </si>
  <si>
    <t>Custom Column Drop Down Options</t>
  </si>
  <si>
    <t xml:space="preserve"> BRAND</t>
  </si>
  <si>
    <t>DAUGHTER BRAND</t>
  </si>
  <si>
    <t>CAMPAIGN THEME NAME</t>
  </si>
  <si>
    <t xml:space="preserve">Code </t>
  </si>
  <si>
    <t>Product Model</t>
  </si>
  <si>
    <t>Match Type (Search)</t>
  </si>
  <si>
    <t>Description</t>
  </si>
  <si>
    <t>Code</t>
  </si>
  <si>
    <t>Essilor</t>
  </si>
  <si>
    <t xml:space="preserve">Crizal </t>
  </si>
  <si>
    <t>Crizal</t>
  </si>
  <si>
    <t>CRIZ</t>
  </si>
  <si>
    <t>Code 3</t>
  </si>
  <si>
    <t>Canada</t>
  </si>
  <si>
    <t>CA</t>
  </si>
  <si>
    <t>ESS</t>
  </si>
  <si>
    <t>Transitions</t>
  </si>
  <si>
    <t>TRN</t>
  </si>
  <si>
    <t>Always-on Crizal</t>
  </si>
  <si>
    <t>AOCR</t>
  </si>
  <si>
    <t>Awareness</t>
  </si>
  <si>
    <t>AWR</t>
  </si>
  <si>
    <t xml:space="preserve">Reach </t>
  </si>
  <si>
    <t>RE</t>
  </si>
  <si>
    <t>Ava</t>
  </si>
  <si>
    <t>AVY</t>
  </si>
  <si>
    <t>B2B</t>
  </si>
  <si>
    <t>Exact</t>
  </si>
  <si>
    <t>EX</t>
  </si>
  <si>
    <t>English</t>
  </si>
  <si>
    <t>ENG</t>
  </si>
  <si>
    <t>United States</t>
  </si>
  <si>
    <t>US</t>
  </si>
  <si>
    <t>TRA</t>
  </si>
  <si>
    <t>ESI</t>
  </si>
  <si>
    <t xml:space="preserve">Essilor Expert </t>
  </si>
  <si>
    <t>Essilor Experts</t>
  </si>
  <si>
    <t>EE</t>
  </si>
  <si>
    <t>Consideration</t>
  </si>
  <si>
    <t>CON</t>
  </si>
  <si>
    <t xml:space="preserve">Prospecting </t>
  </si>
  <si>
    <t>PR</t>
  </si>
  <si>
    <t>Crizal Rock</t>
  </si>
  <si>
    <t>CRR</t>
  </si>
  <si>
    <t>B2C</t>
  </si>
  <si>
    <t>Broad Match Modified</t>
  </si>
  <si>
    <t>BM</t>
  </si>
  <si>
    <t>French</t>
  </si>
  <si>
    <t>FRA</t>
  </si>
  <si>
    <t>Australia</t>
  </si>
  <si>
    <t>AU</t>
  </si>
  <si>
    <t>FGX</t>
  </si>
  <si>
    <t>Essilor Expert</t>
  </si>
  <si>
    <t>ESE</t>
  </si>
  <si>
    <t>Essilor Experts Hyperlocal</t>
  </si>
  <si>
    <t>EEHL</t>
  </si>
  <si>
    <t>Conversion</t>
  </si>
  <si>
    <t>COV</t>
  </si>
  <si>
    <t xml:space="preserve">Remarketing </t>
  </si>
  <si>
    <t>RT</t>
  </si>
  <si>
    <t>Crizal Sapphire</t>
  </si>
  <si>
    <t>CSS</t>
  </si>
  <si>
    <t>BOTH</t>
  </si>
  <si>
    <t>ALL</t>
  </si>
  <si>
    <t>Phrase</t>
  </si>
  <si>
    <t>PH</t>
  </si>
  <si>
    <t>Spanish</t>
  </si>
  <si>
    <t>SPA</t>
  </si>
  <si>
    <t>Belgium</t>
  </si>
  <si>
    <t>BE</t>
  </si>
  <si>
    <t>Nikon</t>
  </si>
  <si>
    <t>NIK</t>
  </si>
  <si>
    <t>Varilux</t>
  </si>
  <si>
    <t>VC</t>
  </si>
  <si>
    <t xml:space="preserve">Always-on  Essilor Experts </t>
  </si>
  <si>
    <t>AOEE</t>
  </si>
  <si>
    <t xml:space="preserve">Always-On </t>
  </si>
  <si>
    <t>AON</t>
  </si>
  <si>
    <t>Social Brand Awareness</t>
  </si>
  <si>
    <t>SA</t>
  </si>
  <si>
    <t>EST</t>
  </si>
  <si>
    <t>Portuguese</t>
  </si>
  <si>
    <t>POR</t>
  </si>
  <si>
    <t>Brazil</t>
  </si>
  <si>
    <t>BR</t>
  </si>
  <si>
    <t>Kodak</t>
  </si>
  <si>
    <t>KOD</t>
  </si>
  <si>
    <t>CS</t>
  </si>
  <si>
    <t>See More Do More</t>
  </si>
  <si>
    <t>SMDM</t>
  </si>
  <si>
    <t xml:space="preserve">Social engagement </t>
  </si>
  <si>
    <t>SE</t>
  </si>
  <si>
    <t>Essilor Master Brand</t>
  </si>
  <si>
    <t>EMB</t>
  </si>
  <si>
    <t>Chinese</t>
  </si>
  <si>
    <t>ZHO</t>
  </si>
  <si>
    <t>China</t>
  </si>
  <si>
    <t>CN</t>
  </si>
  <si>
    <t>JZO</t>
  </si>
  <si>
    <t>Eye Capital</t>
  </si>
  <si>
    <t>EYC</t>
  </si>
  <si>
    <t xml:space="preserve">Essilor </t>
  </si>
  <si>
    <t>Always-on Essilor</t>
  </si>
  <si>
    <t>AOES</t>
  </si>
  <si>
    <t>Definations:</t>
  </si>
  <si>
    <t>Website Traffic</t>
  </si>
  <si>
    <t xml:space="preserve">WT </t>
  </si>
  <si>
    <t xml:space="preserve">Essilor Search multi product </t>
  </si>
  <si>
    <t>ESM</t>
  </si>
  <si>
    <t>Deutsch</t>
  </si>
  <si>
    <t>DEU</t>
  </si>
  <si>
    <t>Colombia</t>
  </si>
  <si>
    <t>CO</t>
  </si>
  <si>
    <t>Eyezen</t>
  </si>
  <si>
    <t>EYE</t>
  </si>
  <si>
    <t>Essilor Multi-product campaign</t>
  </si>
  <si>
    <t>EMPC</t>
  </si>
  <si>
    <t xml:space="preserve">AWR: Increase awareness of your brand or products </t>
  </si>
  <si>
    <t xml:space="preserve">Page Views Optimization </t>
  </si>
  <si>
    <t>PV</t>
  </si>
  <si>
    <t>EYA</t>
  </si>
  <si>
    <t>Hungarian</t>
  </si>
  <si>
    <t>HUN</t>
  </si>
  <si>
    <t>Costa Rica</t>
  </si>
  <si>
    <t>CR</t>
  </si>
  <si>
    <t>Stellest</t>
  </si>
  <si>
    <t>STE</t>
  </si>
  <si>
    <t>Always-on Ess Multi-Product</t>
  </si>
  <si>
    <t>AOEMP</t>
  </si>
  <si>
    <t>CON: Generate audiences engagements/consideration with your campaigns , generate visitis on websites</t>
  </si>
  <si>
    <t>Website conversions</t>
  </si>
  <si>
    <t>WC</t>
  </si>
  <si>
    <t>EYZ</t>
  </si>
  <si>
    <t>Hindi</t>
  </si>
  <si>
    <t>HIN</t>
  </si>
  <si>
    <t>Croatia</t>
  </si>
  <si>
    <t>CT</t>
  </si>
  <si>
    <t>JZ</t>
  </si>
  <si>
    <t xml:space="preserve"> Transitions Drive to Essilor Site Campaign</t>
  </si>
  <si>
    <t>TRDT</t>
  </si>
  <si>
    <t>For EU Market only</t>
  </si>
  <si>
    <t>COV: Drive conversion (booking, ECP searches, VTO, emails,…)</t>
  </si>
  <si>
    <t>Store locator conversion</t>
  </si>
  <si>
    <t>SL</t>
  </si>
  <si>
    <t>JZP</t>
  </si>
  <si>
    <t>Outdoor</t>
  </si>
  <si>
    <t>OOH</t>
  </si>
  <si>
    <t>Indonesian</t>
  </si>
  <si>
    <t>IND</t>
  </si>
  <si>
    <t>France</t>
  </si>
  <si>
    <t>FR</t>
  </si>
  <si>
    <t>Xperio</t>
  </si>
  <si>
    <t>XPE</t>
  </si>
  <si>
    <t>EYEC</t>
  </si>
  <si>
    <t>AON: Maitain always-on presence on biddable media, never stop campaign (vs on &amp; off campaigns on Search &amp; Social)</t>
  </si>
  <si>
    <t>Booking Conversions (US)</t>
  </si>
  <si>
    <t>BC</t>
  </si>
  <si>
    <t xml:space="preserve">Sunglass Warehouse </t>
  </si>
  <si>
    <t>SWH</t>
  </si>
  <si>
    <t>Print</t>
  </si>
  <si>
    <t>PRI</t>
  </si>
  <si>
    <t>Italian</t>
  </si>
  <si>
    <t>ITA</t>
  </si>
  <si>
    <t>Germany</t>
  </si>
  <si>
    <t>DE</t>
  </si>
  <si>
    <t>Optifog</t>
  </si>
  <si>
    <t>OPT</t>
  </si>
  <si>
    <t>Always-on Eye Capital</t>
  </si>
  <si>
    <t>AOEC</t>
  </si>
  <si>
    <t xml:space="preserve">Website Purchase </t>
  </si>
  <si>
    <t>WP</t>
  </si>
  <si>
    <t>Gargoyles</t>
  </si>
  <si>
    <t xml:space="preserve">GAG </t>
  </si>
  <si>
    <t>Radio</t>
  </si>
  <si>
    <t>RAD</t>
  </si>
  <si>
    <t>Malay</t>
  </si>
  <si>
    <t>MSA</t>
  </si>
  <si>
    <t>Hungary</t>
  </si>
  <si>
    <t>HU</t>
  </si>
  <si>
    <t xml:space="preserve">One </t>
  </si>
  <si>
    <t>ONE</t>
  </si>
  <si>
    <t>EYEZ</t>
  </si>
  <si>
    <t>Always-on</t>
  </si>
  <si>
    <t>AO</t>
  </si>
  <si>
    <t xml:space="preserve">Foster Grant </t>
  </si>
  <si>
    <t>FOG</t>
  </si>
  <si>
    <t>TV</t>
  </si>
  <si>
    <t>Dutch</t>
  </si>
  <si>
    <t>NLD</t>
  </si>
  <si>
    <t xml:space="preserve">Hong Kong </t>
  </si>
  <si>
    <t>HK</t>
  </si>
  <si>
    <t>Foster Grant</t>
  </si>
  <si>
    <t>FOS</t>
  </si>
  <si>
    <t xml:space="preserve">Eyezen </t>
  </si>
  <si>
    <t xml:space="preserve">Eyezen Life Has Evolved </t>
  </si>
  <si>
    <t>ELHE</t>
  </si>
  <si>
    <t>Retention (US)</t>
  </si>
  <si>
    <t>RN</t>
  </si>
  <si>
    <t>Dioptics</t>
  </si>
  <si>
    <t>DOP</t>
  </si>
  <si>
    <t>Search</t>
  </si>
  <si>
    <t>SEM</t>
  </si>
  <si>
    <t>Tagalog</t>
  </si>
  <si>
    <t>TGL</t>
  </si>
  <si>
    <t>India</t>
  </si>
  <si>
    <t>IN</t>
  </si>
  <si>
    <t>Sunglass Warehouse</t>
  </si>
  <si>
    <t>SUN</t>
  </si>
  <si>
    <t>Always-on Eyezen</t>
  </si>
  <si>
    <t>AOEZ</t>
  </si>
  <si>
    <t>Reactivation (US)</t>
  </si>
  <si>
    <t>RA</t>
  </si>
  <si>
    <t>Readers</t>
  </si>
  <si>
    <t>RED</t>
  </si>
  <si>
    <t>Social</t>
  </si>
  <si>
    <t>SOC</t>
  </si>
  <si>
    <t>Polish</t>
  </si>
  <si>
    <t>POL</t>
  </si>
  <si>
    <t>Indonesia</t>
  </si>
  <si>
    <t>ID</t>
  </si>
  <si>
    <t>DIO</t>
  </si>
  <si>
    <t xml:space="preserve">Xperio </t>
  </si>
  <si>
    <t>XPER</t>
  </si>
  <si>
    <t>Surround</t>
  </si>
  <si>
    <t>SU</t>
  </si>
  <si>
    <t>KOK</t>
  </si>
  <si>
    <t>Display</t>
  </si>
  <si>
    <t>DIS</t>
  </si>
  <si>
    <t>Romanian</t>
  </si>
  <si>
    <t>RON</t>
  </si>
  <si>
    <t>Ireland</t>
  </si>
  <si>
    <t>IE</t>
  </si>
  <si>
    <t>REA</t>
  </si>
  <si>
    <t xml:space="preserve">Always-On Xperio </t>
  </si>
  <si>
    <t>AOXP</t>
  </si>
  <si>
    <t>Loyalty</t>
  </si>
  <si>
    <t>LO</t>
  </si>
  <si>
    <t>NA</t>
  </si>
  <si>
    <t>Online Video</t>
  </si>
  <si>
    <t>OLV</t>
  </si>
  <si>
    <t>Russian</t>
  </si>
  <si>
    <t>RUS</t>
  </si>
  <si>
    <t>Italy</t>
  </si>
  <si>
    <t>IT</t>
  </si>
  <si>
    <t>NIO</t>
  </si>
  <si>
    <t>OPTI</t>
  </si>
  <si>
    <t>Acquisition</t>
  </si>
  <si>
    <t>AQ</t>
  </si>
  <si>
    <t>NIN</t>
  </si>
  <si>
    <t>Others</t>
  </si>
  <si>
    <t>OTH</t>
  </si>
  <si>
    <t>Korean</t>
  </si>
  <si>
    <t>KOR</t>
  </si>
  <si>
    <t>Malaysia</t>
  </si>
  <si>
    <t>MY</t>
  </si>
  <si>
    <t>KOA</t>
  </si>
  <si>
    <t>Always-On Optifog</t>
  </si>
  <si>
    <t>AOOP</t>
  </si>
  <si>
    <t>Lead Generation</t>
  </si>
  <si>
    <t>LG</t>
  </si>
  <si>
    <t>OPI</t>
  </si>
  <si>
    <t>Cinema</t>
  </si>
  <si>
    <t>CIN</t>
  </si>
  <si>
    <t xml:space="preserve">Czech Republic </t>
  </si>
  <si>
    <t>CZE</t>
  </si>
  <si>
    <t>Mexico</t>
  </si>
  <si>
    <t>MX</t>
  </si>
  <si>
    <t>AVX</t>
  </si>
  <si>
    <t>Essilor One Campaign</t>
  </si>
  <si>
    <t>EOC</t>
  </si>
  <si>
    <t>Shopping Feed</t>
  </si>
  <si>
    <t>SF</t>
  </si>
  <si>
    <t>ONS</t>
  </si>
  <si>
    <t>Shopping</t>
  </si>
  <si>
    <t>SHO</t>
  </si>
  <si>
    <t>Slovakia</t>
  </si>
  <si>
    <t>SLK</t>
  </si>
  <si>
    <t>Netherlands</t>
  </si>
  <si>
    <t>NL</t>
  </si>
  <si>
    <t>GAR</t>
  </si>
  <si>
    <t xml:space="preserve">Always-on Essilor One </t>
  </si>
  <si>
    <t>AOEO</t>
  </si>
  <si>
    <t xml:space="preserve">Video views </t>
  </si>
  <si>
    <t>VV</t>
  </si>
  <si>
    <t>STL</t>
  </si>
  <si>
    <t>Audio</t>
  </si>
  <si>
    <t>AV</t>
  </si>
  <si>
    <t>Thai</t>
  </si>
  <si>
    <t>THA</t>
  </si>
  <si>
    <t>New Zeland</t>
  </si>
  <si>
    <t>NZ</t>
  </si>
  <si>
    <t xml:space="preserve">Stellest </t>
  </si>
  <si>
    <t xml:space="preserve">Stellest Brand Campaign </t>
  </si>
  <si>
    <t>STEL</t>
  </si>
  <si>
    <t>Video completion</t>
  </si>
  <si>
    <t>VM</t>
  </si>
  <si>
    <t xml:space="preserve">Transitions Search multi product </t>
  </si>
  <si>
    <t>TSM</t>
  </si>
  <si>
    <t xml:space="preserve">Vietnamese </t>
  </si>
  <si>
    <t>VIE</t>
  </si>
  <si>
    <t>Philippines</t>
  </si>
  <si>
    <t>Always-on Stellest</t>
  </si>
  <si>
    <t>AOST</t>
  </si>
  <si>
    <t>Promo Offer</t>
  </si>
  <si>
    <t>PO</t>
  </si>
  <si>
    <t xml:space="preserve">Transitions </t>
  </si>
  <si>
    <t>TRS</t>
  </si>
  <si>
    <t>Poland</t>
  </si>
  <si>
    <t>PL</t>
  </si>
  <si>
    <t>AVA</t>
  </si>
  <si>
    <t>Always-on AVA</t>
  </si>
  <si>
    <t>AOAV</t>
  </si>
  <si>
    <t>Transitions Signature Gen 8</t>
  </si>
  <si>
    <t>GEN8</t>
  </si>
  <si>
    <t>Portugal</t>
  </si>
  <si>
    <t>PT</t>
  </si>
  <si>
    <t xml:space="preserve">AVA Brand Campaign </t>
  </si>
  <si>
    <t>AVBC</t>
  </si>
  <si>
    <t>Campaign Type definitions</t>
  </si>
  <si>
    <t>Transitions Xtractive New Generation</t>
  </si>
  <si>
    <t>TXN</t>
  </si>
  <si>
    <t>Romania</t>
  </si>
  <si>
    <t>RO</t>
  </si>
  <si>
    <t>Varilux See No Limits</t>
  </si>
  <si>
    <t>VSNL</t>
  </si>
  <si>
    <t>Traffic generated to the website</t>
  </si>
  <si>
    <t>Transitions Xtractive Polarized</t>
  </si>
  <si>
    <t>TXP</t>
  </si>
  <si>
    <t>Russia</t>
  </si>
  <si>
    <t>RU</t>
  </si>
  <si>
    <t>Varilux Excellence</t>
  </si>
  <si>
    <t>VEXC</t>
  </si>
  <si>
    <t xml:space="preserve">Number of page views </t>
  </si>
  <si>
    <t>VRX</t>
  </si>
  <si>
    <t>Singapore</t>
  </si>
  <si>
    <t>SG</t>
  </si>
  <si>
    <t>Varilux XR</t>
  </si>
  <si>
    <t>VXXR</t>
  </si>
  <si>
    <t>Website Conversions</t>
  </si>
  <si>
    <t>Number of overall conversions generated</t>
  </si>
  <si>
    <t>Varilux Comfort</t>
  </si>
  <si>
    <t>VCC</t>
  </si>
  <si>
    <t>South Korea</t>
  </si>
  <si>
    <t>KR</t>
  </si>
  <si>
    <t>Varilux x Persol</t>
  </si>
  <si>
    <t>VXPS</t>
  </si>
  <si>
    <t>Exams bookings leads with ECP</t>
  </si>
  <si>
    <t>Varilux X Series</t>
  </si>
  <si>
    <t>VXS</t>
  </si>
  <si>
    <t>Spain</t>
  </si>
  <si>
    <t>ES</t>
  </si>
  <si>
    <t>Varilux &amp; Essilor Expert</t>
  </si>
  <si>
    <t>VEE</t>
  </si>
  <si>
    <t>Focusing on getting customers to upgrade to new versions of brands’ products</t>
  </si>
  <si>
    <t>VXR</t>
  </si>
  <si>
    <t>Taiwan</t>
  </si>
  <si>
    <t>TW</t>
  </si>
  <si>
    <t>Varilux Boost</t>
  </si>
  <si>
    <t>VABO</t>
  </si>
  <si>
    <t>Retargeting users when it’s time for users to get their next eye exam</t>
  </si>
  <si>
    <t>XPR</t>
  </si>
  <si>
    <t>Thailand</t>
  </si>
  <si>
    <t>TH</t>
  </si>
  <si>
    <t>Varilux Global Summit Trade Operation</t>
  </si>
  <si>
    <t>VSTO</t>
  </si>
  <si>
    <t>Transitions for all</t>
  </si>
  <si>
    <t>Geo-focused media targeting customers and ECPs near eye care locations</t>
  </si>
  <si>
    <t>United Kingdom</t>
  </si>
  <si>
    <t>GB</t>
  </si>
  <si>
    <t>Varilux Trade Operation</t>
  </si>
  <si>
    <t>VATO</t>
  </si>
  <si>
    <t xml:space="preserve">Specific product or multi product </t>
  </si>
  <si>
    <t>Focusing to keep existing customers</t>
  </si>
  <si>
    <t>CZ</t>
  </si>
  <si>
    <t>Always-on Varilux</t>
  </si>
  <si>
    <t>AOVA</t>
  </si>
  <si>
    <t>Directly drive sales, leads, customers, etc.</t>
  </si>
  <si>
    <t>SK</t>
  </si>
  <si>
    <t>See More Do More BR</t>
  </si>
  <si>
    <t>SMDMBR</t>
  </si>
  <si>
    <t>Shopping Ads</t>
  </si>
  <si>
    <t>Vietnam</t>
  </si>
  <si>
    <t>VN</t>
  </si>
  <si>
    <t>Transitions Brand Campaign</t>
  </si>
  <si>
    <t>TRAN</t>
  </si>
  <si>
    <t>https://countrycode.org/</t>
  </si>
  <si>
    <t>Transitions Multi-product</t>
  </si>
  <si>
    <t>TRMP</t>
  </si>
  <si>
    <t>Color your Life</t>
  </si>
  <si>
    <t>COYL</t>
  </si>
  <si>
    <t>From Screen To Sun Campaign</t>
  </si>
  <si>
    <t>FSTS</t>
  </si>
  <si>
    <t>Always-on Tra Multi-product</t>
  </si>
  <si>
    <t>AOTMP</t>
  </si>
  <si>
    <t>Always-on Transitions</t>
  </si>
  <si>
    <t>AOTR</t>
  </si>
  <si>
    <t>Nikon France Film Festival</t>
  </si>
  <si>
    <t>NKFF</t>
  </si>
  <si>
    <t>I Wear Nikon Lenses</t>
  </si>
  <si>
    <t>IWNL</t>
  </si>
  <si>
    <t>Details</t>
  </si>
  <si>
    <t>DETA</t>
  </si>
  <si>
    <t>Always-on Nikon</t>
  </si>
  <si>
    <t>AONK</t>
  </si>
  <si>
    <t>Discover the sense of dynamic vision</t>
  </si>
  <si>
    <t>DSDV</t>
  </si>
  <si>
    <t>Always-on JZO</t>
  </si>
  <si>
    <t>AOJZ</t>
  </si>
  <si>
    <t>Polish Expert</t>
  </si>
  <si>
    <t>POEX</t>
  </si>
  <si>
    <t xml:space="preserve">Foster Grant Campaign </t>
  </si>
  <si>
    <t>FGCA</t>
  </si>
  <si>
    <t>Foster Grant Brand Campaign</t>
  </si>
  <si>
    <t>FGBC</t>
  </si>
  <si>
    <t>Dioptics Campaign</t>
  </si>
  <si>
    <t>DIOC</t>
  </si>
  <si>
    <t>Readers Campaign</t>
  </si>
  <si>
    <t>RECA</t>
  </si>
  <si>
    <t>Sunglass Warehouse Campaign</t>
  </si>
  <si>
    <t>SGWC</t>
  </si>
  <si>
    <t xml:space="preserve">Gargoyles Campaign </t>
  </si>
  <si>
    <t>GARG</t>
  </si>
  <si>
    <t xml:space="preserve">**Standardize Campaign Name to be used across all Prisma and Non-Prisma Markets </t>
  </si>
  <si>
    <t>**Standardize Campaign Name to be used across Channels as defined below</t>
  </si>
  <si>
    <t>**Please use values from reference Tab for Brand, Daughter Brand, campaign theme, Objective, type, business unit, language and Product Model. Drop-down menu has all values. Please don't use NA against these fields</t>
  </si>
  <si>
    <t xml:space="preserve">**All fields are mandatory, Please use NA where its Not Applicaple. Please don’t leave any field blank. </t>
  </si>
  <si>
    <t>**The order of variables is material and should not be altered in any way</t>
  </si>
  <si>
    <t>**An underscore (“_" ) is to be used as delimiter between variables for all the conventions</t>
  </si>
  <si>
    <t>**For Language please use 3 letter code from reference tab</t>
  </si>
  <si>
    <r>
      <t xml:space="preserve">**For any questions/queries related to Naming Conventions please reach out at </t>
    </r>
    <r>
      <rPr>
        <b/>
        <u/>
        <sz val="12"/>
        <color rgb="FF0070C0"/>
        <rFont val="Calibri"/>
        <family val="2"/>
        <scheme val="minor"/>
      </rPr>
      <t>essilorglobaldl@insidemedia.onmicrosoft.com</t>
    </r>
  </si>
  <si>
    <t>DCM</t>
  </si>
  <si>
    <t>FRIENDLY CAMPAIGN NAME</t>
  </si>
  <si>
    <t xml:space="preserve"> CAMPAIGN NAME ( ALL PRISMA &amp; NON-PRISMA MARKETS )</t>
  </si>
  <si>
    <t>COUNTRY</t>
  </si>
  <si>
    <t>YEAR</t>
  </si>
  <si>
    <t>QUARTER</t>
  </si>
  <si>
    <t>BRAND</t>
  </si>
  <si>
    <t>BUSINESS UNIT</t>
  </si>
  <si>
    <t>LANGUAGE</t>
  </si>
  <si>
    <t>CAMPAIGN THEME</t>
  </si>
  <si>
    <t>CAMPAIGN OBJECTIVE</t>
  </si>
  <si>
    <t>CAMPAIGN TYPE</t>
  </si>
  <si>
    <t>PRODUCT MODEL</t>
  </si>
  <si>
    <t>ESTIMATE CODE</t>
  </si>
  <si>
    <t>FREE FORM</t>
  </si>
  <si>
    <t>Q3</t>
  </si>
  <si>
    <t>FLASHTALKING</t>
  </si>
  <si>
    <t>CONTENT CHANNEL DETAILS</t>
  </si>
  <si>
    <t xml:space="preserve"> PLACEMENT NAME (  PRISMA MARKETS  )</t>
  </si>
  <si>
    <t>PRISMA ID</t>
  </si>
  <si>
    <t>CLIENT/DAUGHTER BRAND</t>
  </si>
  <si>
    <t>PRODUCT</t>
  </si>
  <si>
    <t>ESTIMATE</t>
  </si>
  <si>
    <t>CHANNEL</t>
  </si>
  <si>
    <t>SITE</t>
  </si>
  <si>
    <t>INVENTORY TYPE (Programmatic Only)</t>
  </si>
  <si>
    <t>AUDIENCE DETAILS</t>
  </si>
  <si>
    <t>DEVICE</t>
  </si>
  <si>
    <t>MEDIA TYPE</t>
  </si>
  <si>
    <t>TARGETING CONTEXT</t>
  </si>
  <si>
    <t>TARGETING AUDIENCE TYPE</t>
  </si>
  <si>
    <t>AUDIENCE DEMO</t>
  </si>
  <si>
    <t>DIMENSION</t>
  </si>
  <si>
    <t>TRACKING METHOD</t>
  </si>
  <si>
    <t>RICH MEDIA VENDOR</t>
  </si>
  <si>
    <t>PZ1234</t>
  </si>
  <si>
    <t>Content</t>
  </si>
  <si>
    <t>DV360</t>
  </si>
  <si>
    <t>PG</t>
  </si>
  <si>
    <t>Cross Device</t>
  </si>
  <si>
    <t>Spotify</t>
  </si>
  <si>
    <t>Run of Network</t>
  </si>
  <si>
    <t>Behavioral</t>
  </si>
  <si>
    <t>P45+</t>
  </si>
  <si>
    <t>300x250</t>
  </si>
  <si>
    <t>Standard</t>
  </si>
  <si>
    <t>DRM</t>
  </si>
  <si>
    <t>PLACEMENT NAME ( ALL NON-PRISMA MARKETS )</t>
  </si>
  <si>
    <t>INVENTORY TYPE</t>
  </si>
  <si>
    <t>PROGRAMMATIC</t>
  </si>
  <si>
    <t>ENCHANCED PARENTS</t>
  </si>
  <si>
    <t>MOBILE</t>
  </si>
  <si>
    <t>TTD</t>
  </si>
  <si>
    <t>RUN OF NETWORK</t>
  </si>
  <si>
    <t>CONTEXTUAL</t>
  </si>
  <si>
    <t>P25+</t>
  </si>
  <si>
    <t>9x16</t>
  </si>
  <si>
    <t>STANDARD</t>
  </si>
  <si>
    <t>AWARENESS</t>
  </si>
  <si>
    <t>9x17</t>
  </si>
  <si>
    <t>9x18</t>
  </si>
  <si>
    <t xml:space="preserve"> PLACEMENT NAME (  PRISMA MARKETS CA and NA  ) **ONLY FPR DV360</t>
  </si>
  <si>
    <t xml:space="preserve">PRODUCT </t>
  </si>
  <si>
    <t>PZ1234_ESI_VCC_123_Content_DV360_CA_2021_Q2_B2B_ENG_VEE_AWR_RE_Run of Network_Behavioral_P45+_300x250_Standard_DRM_Awareness</t>
  </si>
  <si>
    <t>Q2</t>
  </si>
  <si>
    <t xml:space="preserve"> PLACEMENT NAME ( PRISMA MARKET ) ** ONLY FOR CANADA </t>
  </si>
  <si>
    <t>DAUGHTER BRAND NAME</t>
  </si>
  <si>
    <t>YEAR_QUARTER</t>
  </si>
  <si>
    <t>CAMPAIGN NAME/THEME</t>
  </si>
  <si>
    <t>CAMPAIGN FREE FORM</t>
  </si>
  <si>
    <t>PUBLISHER/SITE</t>
  </si>
  <si>
    <t>BUY TYPE</t>
  </si>
  <si>
    <t>CHANNEL TYPE 1</t>
  </si>
  <si>
    <t>2021_Q2</t>
  </si>
  <si>
    <t>Optician Visitors</t>
  </si>
  <si>
    <t>Cell 1</t>
  </si>
  <si>
    <t>FACEBOOK.COM</t>
  </si>
  <si>
    <t>Multiplatform</t>
  </si>
  <si>
    <t xml:space="preserve">  DCM AD NAME -  SAME AS PLACEMENT</t>
  </si>
  <si>
    <t>CREATIVE NAME</t>
  </si>
  <si>
    <t>Link Below :</t>
  </si>
  <si>
    <t>FR_ELHE_TV_MAXIME_GAMES_VIDEO_15SEC_1x1</t>
  </si>
  <si>
    <t xml:space="preserve">Creative Taxonomy </t>
  </si>
  <si>
    <t>INSERTION ORDER</t>
  </si>
  <si>
    <t>TACTIC NAME</t>
  </si>
  <si>
    <t>tactic</t>
  </si>
  <si>
    <t>LINE ITEM</t>
  </si>
  <si>
    <t>CAMPAIGN THEME/BRAND/YAER</t>
  </si>
  <si>
    <t>PUBLISHER</t>
  </si>
  <si>
    <t>FORMAT</t>
  </si>
  <si>
    <t>TARGETING TYPE</t>
  </si>
  <si>
    <t>TARGETING DATA SOURCE</t>
  </si>
  <si>
    <t>TARGETING/AUDIENCE DETAILS</t>
  </si>
  <si>
    <t>DIGITAL TYPE</t>
  </si>
  <si>
    <t>INVENTORY SOURCE</t>
  </si>
  <si>
    <t>Essilor FY22</t>
  </si>
  <si>
    <t>PC/Mobile/Tablet</t>
  </si>
  <si>
    <t>CTV</t>
  </si>
  <si>
    <t>Retargeting</t>
  </si>
  <si>
    <t>PROG</t>
  </si>
  <si>
    <t>1P Data</t>
  </si>
  <si>
    <t>SOCIAL</t>
  </si>
  <si>
    <t>Friendly Campaign Name</t>
  </si>
  <si>
    <t xml:space="preserve"> CAMPAIGN NAME/CAMPAIGN GROUP/ACCOUNT NAME ( ALL PRISMA &amp; NON PRISMA MARKETS )</t>
  </si>
  <si>
    <t>Q4</t>
  </si>
  <si>
    <t>Videoviews_40L_</t>
  </si>
  <si>
    <t>FB CAMPAIGN NAME ( PRISMA PLACEMENT NAME ) ** ONLY FOR CANADA and NA MARKET</t>
  </si>
  <si>
    <t>AD GROUP/SET NAME</t>
  </si>
  <si>
    <t>AUDIENCE</t>
  </si>
  <si>
    <t>TARGETING TACTIC</t>
  </si>
  <si>
    <t>GEO</t>
  </si>
  <si>
    <t>PLATFORM</t>
  </si>
  <si>
    <t>PLACEMENT</t>
  </si>
  <si>
    <t>BUYING OBJECTIVE</t>
  </si>
  <si>
    <t>DATE</t>
  </si>
  <si>
    <t>National</t>
  </si>
  <si>
    <t>Pinterest</t>
  </si>
  <si>
    <t>Feed</t>
  </si>
  <si>
    <t>25.05.2023</t>
  </si>
  <si>
    <t>CREATIVE/AD NAME</t>
  </si>
  <si>
    <t>SEARCH</t>
  </si>
  <si>
    <t>KEYWORD TYPE</t>
  </si>
  <si>
    <t>AD TYPE</t>
  </si>
  <si>
    <t>PUBLISHER/ENGINE</t>
  </si>
  <si>
    <t>TOPIC</t>
  </si>
  <si>
    <t>FREE FORM (Match Type + Buy Type)</t>
  </si>
  <si>
    <t>GDN</t>
  </si>
  <si>
    <t>Google</t>
  </si>
  <si>
    <t>DISCOVERY-CAMPAIGN</t>
  </si>
  <si>
    <t>AD GROUP</t>
  </si>
  <si>
    <t>KEYWORD/PRODUCT THEME + FREE FORM</t>
  </si>
  <si>
    <t xml:space="preserve">Based on campign </t>
  </si>
  <si>
    <t>AD NAME - Only Applicable for GDN ( Google Display Network )</t>
  </si>
  <si>
    <t>TYPE</t>
  </si>
  <si>
    <t>CREATIVE FREE FORM</t>
  </si>
  <si>
    <t>Static</t>
  </si>
  <si>
    <t>AD-1</t>
  </si>
  <si>
    <t>YOUTUBE - GOOGLE ADS</t>
  </si>
  <si>
    <t>Buy Type/Buy Objective/Placement Type</t>
  </si>
  <si>
    <t>NON-SKIPPABLE-PRISMA:O-3KE5J</t>
  </si>
  <si>
    <t>NON-SKIPPABLE</t>
  </si>
  <si>
    <t>Interests</t>
  </si>
  <si>
    <t>AD NAME</t>
  </si>
  <si>
    <t>AUDIENCE/TARGETING</t>
  </si>
  <si>
    <t>VIDEO LENGTH</t>
  </si>
  <si>
    <t>Affinity 45-64</t>
  </si>
  <si>
    <t>Essilor Creative Taxonomy</t>
  </si>
  <si>
    <t>:15</t>
  </si>
  <si>
    <t>PMP</t>
  </si>
  <si>
    <t>Mobile</t>
  </si>
  <si>
    <t>Goal</t>
  </si>
  <si>
    <t xml:space="preserve">Definitions </t>
  </si>
  <si>
    <t>Trafficking Code</t>
  </si>
  <si>
    <t xml:space="preserve">Increase awareness of your brand or products </t>
  </si>
  <si>
    <t>Generate audiences engagements/consideration with your campaigns , generate visitis on websites</t>
  </si>
  <si>
    <t>Drive conversion (booking, ECP searches, VTO, emails,…)</t>
  </si>
  <si>
    <t>Maitain always-on presence on biddable media, never stop campaign (vs on &amp; off campaigns on Search &amp; Social)</t>
  </si>
  <si>
    <t>CONSIDERATION</t>
  </si>
  <si>
    <t>CONVERSION</t>
  </si>
  <si>
    <t>ALWAYS-ON</t>
  </si>
  <si>
    <t>Always-On</t>
  </si>
  <si>
    <t>Capture Key-words researchs</t>
  </si>
  <si>
    <t xml:space="preserve">GBMT Brand and Daughter Brand are Mapped based on the product. 
If you choose Xperio as the product in the GBMT template the tool will automatically populate Xperion as a Daughter Brand and Essilor as the Brand. 
This automation is only set up in the GBMT. For Dashboard you have to select all level of the brand mapping manually. </t>
  </si>
  <si>
    <t>Daughter brands</t>
  </si>
  <si>
    <t>Product</t>
  </si>
  <si>
    <t>What is it?</t>
  </si>
  <si>
    <t>For whom?</t>
  </si>
  <si>
    <t>Benefit</t>
  </si>
  <si>
    <t>Progressive lens</t>
  </si>
  <si>
    <t>40+ (age related blurry vision at near)</t>
  </si>
  <si>
    <t>instant sharp vision at any distance</t>
  </si>
  <si>
    <t>Anti-reflective coating</t>
  </si>
  <si>
    <t>anyone</t>
  </si>
  <si>
    <t>strongest scratch and smudge resistance</t>
  </si>
  <si>
    <t>best transparency and clarity of vision</t>
  </si>
  <si>
    <t>Corrective lens for digital usage</t>
  </si>
  <si>
    <t>15 - 40 year old, using digital devices</t>
  </si>
  <si>
    <t>relaxes &amp; protects from screens (blue light &amp; small imagery)</t>
  </si>
  <si>
    <t>Lens for shortsighted children (myopia)</t>
  </si>
  <si>
    <t>children up to 16 y.o.</t>
  </si>
  <si>
    <t>Slows down myopia progression</t>
  </si>
  <si>
    <t>Polarized lens</t>
  </si>
  <si>
    <t>anyone needing correction</t>
  </si>
  <si>
    <t>best vision in the sun, UV protection</t>
  </si>
  <si>
    <t>Anti-fogging coating lens</t>
  </si>
  <si>
    <t>anyone bothered by fogging glasses</t>
  </si>
  <si>
    <t>clear vision wearing a mask, in a kitchen, etc</t>
  </si>
  <si>
    <t>One</t>
  </si>
  <si>
    <t>Essilor One Loyalty Program</t>
  </si>
  <si>
    <t>Campaign promoting Eye Care Professional partnership and location</t>
  </si>
  <si>
    <t>Drive to store</t>
  </si>
  <si>
    <t xml:space="preserve">Marster brand Essilor </t>
  </si>
  <si>
    <t>Build awareness of Essilor master brand</t>
  </si>
  <si>
    <t>Essilor Search campaign that promote multiple product</t>
  </si>
  <si>
    <t xml:space="preserve">Ava </t>
  </si>
  <si>
    <t>Light intelligence: photochromic : fastest and most responsive photochromic lens in all lighting, with Style Colors and maximum protection.</t>
  </si>
  <si>
    <t>anyone who goes outdoors</t>
  </si>
  <si>
    <t xml:space="preserve">lens tint adapts to changing light, UV and blue light protection </t>
  </si>
  <si>
    <t>New generation lenses for extra dark outdoors and the darkest photochromic light intelligent lens in hot temperatures.</t>
  </si>
  <si>
    <t>Polarized light intelligence: photochromic  lens</t>
  </si>
  <si>
    <t>darker tint &amp; polarisation in the sun, even in the car</t>
  </si>
  <si>
    <t xml:space="preserve">Master Brand Transitions </t>
  </si>
  <si>
    <t>Transitions Search campaign that promote multiple product</t>
  </si>
  <si>
    <t xml:space="preserve">DTC. Affordable sunglasses to fit any activity, face shape, or style. </t>
  </si>
  <si>
    <t xml:space="preserve">anyone (full range), want glasses for reading or a specific vision situation (eg screens, driving at night, in the sun) </t>
  </si>
  <si>
    <t>accessible, ready made, no need for prescription</t>
  </si>
  <si>
    <t>DTC. Gargoyles Performance Eyewear provides ANSI+ rated premium sunglasses with military-grade eye protection, superior quality, and optical clarity.</t>
  </si>
  <si>
    <t>DTC. A leader in the global eyewear industry, Foster Grant® proudly offers fashion-forward styles that are highly wearable, affordable, and perfectly you.</t>
  </si>
  <si>
    <t>DTC. To take over Foster Grant in the coming months</t>
  </si>
  <si>
    <t>Readers.com</t>
  </si>
  <si>
    <t>DTC. Wide selection of men's and women's affordable reading glasses, bifocals, &amp; computer glasses in a variety of powers.</t>
  </si>
  <si>
    <t xml:space="preserve">40+, want glasses for reading or a specific vision situation (eg driving at night, in the sun)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</si>
</sst>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6" x14ac:knownFonts="1">
    <font>
      <sz val="11"/>
      <color theme="1"/>
      <name val="Calibri"/>
      <family val="2"/>
      <scheme val="minor"/>
    </font>
    <font>
      <b/>
      <sz val="12"/>
      <color theme="1"/>
      <name val="Calibri"/>
      <family val="2"/>
      <scheme val="minor"/>
    </font>
    <font>
      <sz val="11"/>
      <name val="Calibri"/>
      <family val="2"/>
      <scheme val="minor"/>
    </font>
    <font>
      <sz val="11"/>
      <color theme="1"/>
      <name val="Calibri"/>
      <family val="2"/>
      <scheme val="minor"/>
    </font>
    <font>
      <sz val="11"/>
      <color theme="1"/>
      <name val="Arial"/>
      <family val="2"/>
    </font>
    <font>
      <b/>
      <sz val="11"/>
      <color rgb="FFFF0000"/>
      <name val="Calibri"/>
      <family val="2"/>
      <scheme val="minor"/>
    </font>
    <font>
      <b/>
      <sz val="12"/>
      <color rgb="FFFF0000"/>
      <name val="Calibri"/>
      <family val="2"/>
      <scheme val="minor"/>
    </font>
    <font>
      <sz val="12"/>
      <color theme="1"/>
      <name val="Calibri"/>
      <family val="2"/>
      <scheme val="minor"/>
    </font>
    <font>
      <b/>
      <sz val="12"/>
      <color theme="0"/>
      <name val="Calibri"/>
      <family val="2"/>
      <scheme val="minor"/>
    </font>
    <font>
      <sz val="12"/>
      <color theme="1"/>
      <name val="Calibri"/>
      <family val="2"/>
    </font>
    <font>
      <sz val="11"/>
      <color rgb="FF000000"/>
      <name val="Calibri"/>
      <family val="2"/>
    </font>
    <font>
      <sz val="12"/>
      <color rgb="FF000000"/>
      <name val="Calibri"/>
      <family val="2"/>
    </font>
    <font>
      <b/>
      <sz val="12"/>
      <color theme="0"/>
      <name val="Calibri"/>
      <family val="2"/>
    </font>
    <font>
      <b/>
      <sz val="9"/>
      <color theme="0"/>
      <name val="Calibri"/>
      <family val="2"/>
      <scheme val="minor"/>
    </font>
    <font>
      <sz val="9"/>
      <color theme="1"/>
      <name val="Calibri"/>
      <family val="2"/>
      <scheme val="minor"/>
    </font>
    <font>
      <sz val="9"/>
      <color rgb="FF262626"/>
      <name val="Calibri"/>
      <family val="2"/>
      <scheme val="minor"/>
    </font>
    <font>
      <sz val="9"/>
      <name val="Calibri"/>
      <family val="2"/>
      <scheme val="minor"/>
    </font>
    <font>
      <sz val="12"/>
      <name val="Calibri"/>
      <family val="2"/>
    </font>
    <font>
      <b/>
      <sz val="11"/>
      <color theme="1"/>
      <name val="Calibri"/>
      <family val="2"/>
      <scheme val="minor"/>
    </font>
    <font>
      <b/>
      <u/>
      <sz val="12"/>
      <color rgb="FF0070C0"/>
      <name val="Calibri"/>
      <family val="2"/>
      <scheme val="minor"/>
    </font>
    <font>
      <sz val="11"/>
      <color rgb="FF000000"/>
      <name val="Calibri"/>
      <family val="2"/>
      <scheme val="minor"/>
    </font>
    <font>
      <sz val="12"/>
      <color rgb="FF000000"/>
      <name val="Calibri"/>
      <family val="2"/>
      <scheme val="minor"/>
    </font>
    <font>
      <u/>
      <sz val="11"/>
      <color theme="10"/>
      <name val="Calibri"/>
      <family val="2"/>
      <scheme val="minor"/>
    </font>
    <font>
      <b/>
      <sz val="11"/>
      <color theme="0"/>
      <name val="Calibri"/>
      <family val="2"/>
      <scheme val="minor"/>
    </font>
    <font>
      <b/>
      <i/>
      <sz val="11"/>
      <color theme="1"/>
      <name val="Calibri"/>
      <family val="2"/>
      <scheme val="minor"/>
    </font>
    <font>
      <sz val="7"/>
      <color theme="1"/>
      <name val="Segoe UI"/>
      <family val="2"/>
    </font>
    <font>
      <sz val="12"/>
      <name val="Calibri"/>
      <family val="2"/>
      <scheme val="minor"/>
    </font>
    <font>
      <b/>
      <sz val="12"/>
      <name val="Calibri"/>
      <family val="2"/>
      <scheme val="minor"/>
    </font>
    <font>
      <sz val="11"/>
      <color rgb="FF000000"/>
      <name val="Calibri"/>
      <family val="2"/>
    </font>
    <font>
      <sz val="12"/>
      <color theme="0"/>
      <name val="Calibri"/>
      <family val="2"/>
      <scheme val="minor"/>
    </font>
    <font>
      <b/>
      <sz val="11"/>
      <color theme="0"/>
      <name val="Calibri"/>
      <family val="2"/>
    </font>
    <font>
      <sz val="11"/>
      <color theme="1"/>
      <name val="Calibri"/>
      <family val="2"/>
    </font>
    <font>
      <sz val="11"/>
      <name val="Calibri"/>
      <family val="2"/>
    </font>
    <font>
      <b/>
      <sz val="12"/>
      <color rgb="FF000000"/>
      <name val="Calibri"/>
      <family val="2"/>
    </font>
    <font>
      <sz val="12"/>
      <color rgb="FF3C4043"/>
      <name val="Calibri"/>
      <family val="2"/>
      <scheme val="minor"/>
    </font>
    <font>
      <sz val="8"/>
      <name val="Calibri"/>
      <family val="2"/>
      <scheme val="minor"/>
    </font>
  </fonts>
  <fills count="22">
    <fill>
      <patternFill patternType="none"/>
    </fill>
    <fill>
      <patternFill patternType="gray125"/>
    </fill>
    <fill>
      <patternFill patternType="solid">
        <fgColor theme="6" tint="0.59999389629810485"/>
        <bgColor indexed="64"/>
      </patternFill>
    </fill>
    <fill>
      <patternFill patternType="solid">
        <fgColor theme="2" tint="-9.9978637043366805E-2"/>
        <bgColor indexed="64"/>
      </patternFill>
    </fill>
    <fill>
      <patternFill patternType="solid">
        <fgColor theme="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rgb="FFFFFFFF"/>
        <bgColor rgb="FF000000"/>
      </patternFill>
    </fill>
    <fill>
      <patternFill patternType="solid">
        <fgColor rgb="FF002060"/>
        <bgColor indexed="64"/>
      </patternFill>
    </fill>
    <fill>
      <patternFill patternType="solid">
        <fgColor rgb="FFD161CE"/>
        <bgColor indexed="64"/>
      </patternFill>
    </fill>
    <fill>
      <patternFill patternType="solid">
        <fgColor theme="0" tint="-0.34998626667073579"/>
        <bgColor indexed="64"/>
      </patternFill>
    </fill>
    <fill>
      <patternFill patternType="solid">
        <fgColor rgb="FF00B0F0"/>
        <bgColor indexed="64"/>
      </patternFill>
    </fill>
    <fill>
      <patternFill patternType="solid">
        <fgColor theme="0"/>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rgb="FFFF0000"/>
        <bgColor indexed="64"/>
      </patternFill>
    </fill>
    <fill>
      <patternFill patternType="solid">
        <fgColor rgb="FFDBDBDB"/>
        <bgColor rgb="FF000000"/>
      </patternFill>
    </fill>
    <fill>
      <patternFill patternType="solid">
        <fgColor rgb="FF9BC2E6"/>
        <bgColor rgb="FF000000"/>
      </patternFill>
    </fill>
    <fill>
      <patternFill patternType="solid">
        <fgColor rgb="FFD0CECE"/>
        <bgColor rgb="FF000000"/>
      </patternFill>
    </fill>
    <fill>
      <patternFill patternType="solid">
        <fgColor rgb="FFFFFFFF"/>
        <bgColor indexed="64"/>
      </patternFill>
    </fill>
  </fills>
  <borders count="4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right/>
      <top style="thin">
        <color auto="1"/>
      </top>
      <bottom style="thin">
        <color auto="1"/>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medium">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s>
  <cellStyleXfs count="6">
    <xf numFmtId="0" fontId="0" fillId="0" borderId="0"/>
    <xf numFmtId="0" fontId="3" fillId="0" borderId="0"/>
    <xf numFmtId="0" fontId="4" fillId="0" borderId="0"/>
    <xf numFmtId="0" fontId="10" fillId="0" borderId="0"/>
    <xf numFmtId="0" fontId="22" fillId="0" borderId="0" applyNumberFormat="0" applyFill="0" applyBorder="0" applyAlignment="0" applyProtection="0"/>
    <xf numFmtId="0" fontId="28" fillId="0" borderId="0"/>
  </cellStyleXfs>
  <cellXfs count="332">
    <xf numFmtId="0" fontId="0" fillId="0" borderId="0" xfId="0"/>
    <xf numFmtId="0" fontId="7" fillId="0" borderId="0" xfId="0" applyFont="1"/>
    <xf numFmtId="0" fontId="1" fillId="0" borderId="0" xfId="0" applyFont="1"/>
    <xf numFmtId="0" fontId="1" fillId="0" borderId="5" xfId="0" applyFont="1" applyBorder="1" applyAlignment="1">
      <alignment horizontal="center"/>
    </xf>
    <xf numFmtId="0" fontId="8" fillId="4" borderId="6" xfId="0" applyFont="1" applyFill="1" applyBorder="1" applyAlignment="1">
      <alignment horizontal="center"/>
    </xf>
    <xf numFmtId="0" fontId="7" fillId="0" borderId="5" xfId="0" applyFont="1" applyBorder="1"/>
    <xf numFmtId="0" fontId="7" fillId="0" borderId="6" xfId="0" applyFont="1" applyBorder="1"/>
    <xf numFmtId="0" fontId="7" fillId="0" borderId="7" xfId="0" applyFont="1" applyBorder="1"/>
    <xf numFmtId="0" fontId="7" fillId="0" borderId="0" xfId="1" applyFont="1"/>
    <xf numFmtId="0" fontId="7" fillId="0" borderId="0" xfId="0" applyFont="1" applyAlignment="1">
      <alignment horizontal="center" vertical="center"/>
    </xf>
    <xf numFmtId="0" fontId="7" fillId="0" borderId="5" xfId="0" applyFont="1" applyBorder="1" applyAlignment="1">
      <alignment horizontal="center" vertical="center"/>
    </xf>
    <xf numFmtId="0" fontId="9" fillId="0" borderId="0" xfId="0" applyFont="1" applyAlignment="1">
      <alignment horizontal="center" vertical="center"/>
    </xf>
    <xf numFmtId="0" fontId="9" fillId="0" borderId="2" xfId="0" applyFont="1" applyBorder="1" applyAlignment="1">
      <alignment horizontal="center" vertical="center"/>
    </xf>
    <xf numFmtId="0" fontId="9" fillId="0" borderId="6" xfId="0" applyFont="1" applyBorder="1" applyAlignment="1">
      <alignment horizontal="center" vertical="center"/>
    </xf>
    <xf numFmtId="0" fontId="7" fillId="0" borderId="10" xfId="0" applyFont="1" applyBorder="1" applyAlignment="1">
      <alignment horizontal="center" vertical="center"/>
    </xf>
    <xf numFmtId="0" fontId="13" fillId="4" borderId="6" xfId="0" applyFont="1" applyFill="1" applyBorder="1" applyAlignment="1">
      <alignment horizontal="center" vertical="center"/>
    </xf>
    <xf numFmtId="0" fontId="14" fillId="0" borderId="0" xfId="0" applyFont="1" applyAlignment="1">
      <alignment horizontal="center" vertical="center"/>
    </xf>
    <xf numFmtId="0" fontId="14" fillId="4" borderId="0" xfId="0" applyFont="1" applyFill="1" applyAlignment="1">
      <alignment horizontal="center" vertical="center"/>
    </xf>
    <xf numFmtId="0" fontId="15" fillId="0" borderId="0" xfId="0" applyFont="1" applyAlignment="1">
      <alignment horizontal="center"/>
    </xf>
    <xf numFmtId="0" fontId="16" fillId="0" borderId="0" xfId="0" applyFont="1" applyAlignment="1">
      <alignment horizontal="center" vertical="center"/>
    </xf>
    <xf numFmtId="0" fontId="6" fillId="0" borderId="0" xfId="0" applyFont="1"/>
    <xf numFmtId="0" fontId="11" fillId="0" borderId="6" xfId="0" applyFont="1" applyBorder="1" applyAlignment="1">
      <alignment vertical="center"/>
    </xf>
    <xf numFmtId="0" fontId="7" fillId="0" borderId="16" xfId="0" applyFont="1" applyBorder="1" applyAlignment="1">
      <alignment horizontal="center" vertical="center"/>
    </xf>
    <xf numFmtId="0" fontId="7" fillId="0" borderId="8" xfId="0" applyFont="1" applyBorder="1"/>
    <xf numFmtId="0" fontId="7" fillId="0" borderId="0" xfId="0" applyFont="1" applyAlignment="1">
      <alignment horizontal="center" vertical="center" wrapText="1"/>
    </xf>
    <xf numFmtId="0" fontId="7" fillId="0" borderId="0" xfId="0" applyFont="1" applyAlignment="1">
      <alignment horizontal="left"/>
    </xf>
    <xf numFmtId="0" fontId="7" fillId="0" borderId="0" xfId="0" applyFont="1" applyAlignment="1">
      <alignment horizontal="left" vertical="center"/>
    </xf>
    <xf numFmtId="0" fontId="20" fillId="0" borderId="0" xfId="0" applyFont="1" applyAlignment="1">
      <alignment vertical="center"/>
    </xf>
    <xf numFmtId="0" fontId="20" fillId="8" borderId="0" xfId="0" applyFont="1" applyFill="1" applyAlignment="1">
      <alignment vertical="center"/>
    </xf>
    <xf numFmtId="0" fontId="20" fillId="8" borderId="0" xfId="0" applyFont="1" applyFill="1"/>
    <xf numFmtId="0" fontId="12" fillId="4" borderId="10" xfId="3" applyFont="1" applyFill="1" applyBorder="1" applyAlignment="1">
      <alignment horizontal="center" vertical="center"/>
    </xf>
    <xf numFmtId="0" fontId="12" fillId="4" borderId="14" xfId="3" applyFont="1" applyFill="1" applyBorder="1" applyAlignment="1">
      <alignment horizontal="center" vertical="center"/>
    </xf>
    <xf numFmtId="0" fontId="21" fillId="0" borderId="10" xfId="0" applyFont="1" applyBorder="1" applyAlignment="1">
      <alignment horizontal="center" vertical="center"/>
    </xf>
    <xf numFmtId="0" fontId="21" fillId="0" borderId="5" xfId="0" applyFont="1" applyBorder="1" applyAlignment="1">
      <alignment horizontal="center" vertical="center"/>
    </xf>
    <xf numFmtId="0" fontId="21" fillId="8" borderId="5" xfId="0" applyFont="1" applyFill="1" applyBorder="1" applyAlignment="1">
      <alignment horizontal="center" vertical="center"/>
    </xf>
    <xf numFmtId="0" fontId="21" fillId="8" borderId="12" xfId="0" applyFont="1" applyFill="1" applyBorder="1" applyAlignment="1">
      <alignment horizontal="center" vertical="center"/>
    </xf>
    <xf numFmtId="0" fontId="21" fillId="8" borderId="10" xfId="0" applyFont="1" applyFill="1" applyBorder="1" applyAlignment="1">
      <alignment horizontal="center" vertical="center"/>
    </xf>
    <xf numFmtId="0" fontId="21" fillId="8" borderId="12" xfId="0" applyFont="1" applyFill="1" applyBorder="1" applyAlignment="1">
      <alignment horizontal="center"/>
    </xf>
    <xf numFmtId="0" fontId="21" fillId="8" borderId="7" xfId="0" applyFont="1" applyFill="1" applyBorder="1" applyAlignment="1">
      <alignment horizontal="center"/>
    </xf>
    <xf numFmtId="0" fontId="21" fillId="8" borderId="5" xfId="0" applyFont="1" applyFill="1" applyBorder="1" applyAlignment="1">
      <alignment horizontal="center"/>
    </xf>
    <xf numFmtId="0" fontId="21" fillId="8" borderId="6" xfId="0" applyFont="1" applyFill="1" applyBorder="1" applyAlignment="1">
      <alignment horizontal="center"/>
    </xf>
    <xf numFmtId="0" fontId="12" fillId="4" borderId="0" xfId="3" applyFont="1" applyFill="1" applyAlignment="1">
      <alignment horizontal="center" vertical="center"/>
    </xf>
    <xf numFmtId="0" fontId="21" fillId="8" borderId="2" xfId="0" applyFont="1" applyFill="1" applyBorder="1" applyAlignment="1">
      <alignment horizontal="center" vertical="center"/>
    </xf>
    <xf numFmtId="0" fontId="22" fillId="0" borderId="0" xfId="4"/>
    <xf numFmtId="0" fontId="3" fillId="0" borderId="0" xfId="1"/>
    <xf numFmtId="0" fontId="24" fillId="0" borderId="0" xfId="1" applyFont="1"/>
    <xf numFmtId="0" fontId="3" fillId="0" borderId="0" xfId="1" applyAlignment="1">
      <alignment wrapText="1"/>
    </xf>
    <xf numFmtId="0" fontId="25" fillId="0" borderId="0" xfId="0" applyFont="1" applyAlignment="1">
      <alignment vertical="center" wrapText="1"/>
    </xf>
    <xf numFmtId="0" fontId="23" fillId="4" borderId="0" xfId="1" applyFont="1" applyFill="1" applyAlignment="1">
      <alignment horizontal="center"/>
    </xf>
    <xf numFmtId="0" fontId="0" fillId="0" borderId="32" xfId="0" applyBorder="1"/>
    <xf numFmtId="0" fontId="0" fillId="14" borderId="24" xfId="0" applyFill="1" applyBorder="1"/>
    <xf numFmtId="0" fontId="0" fillId="14" borderId="27" xfId="0" applyFill="1" applyBorder="1"/>
    <xf numFmtId="0" fontId="0" fillId="14" borderId="29" xfId="0" applyFill="1" applyBorder="1"/>
    <xf numFmtId="0" fontId="0" fillId="6" borderId="27" xfId="0" applyFill="1" applyBorder="1"/>
    <xf numFmtId="0" fontId="0" fillId="6" borderId="29" xfId="0" applyFill="1" applyBorder="1"/>
    <xf numFmtId="0" fontId="0" fillId="15" borderId="24" xfId="0" applyFill="1" applyBorder="1" applyAlignment="1">
      <alignment vertical="center"/>
    </xf>
    <xf numFmtId="0" fontId="0" fillId="15" borderId="27" xfId="0" applyFill="1" applyBorder="1" applyAlignment="1">
      <alignment vertical="center"/>
    </xf>
    <xf numFmtId="0" fontId="0" fillId="15" borderId="29" xfId="0" applyFill="1" applyBorder="1" applyAlignment="1">
      <alignment vertical="center"/>
    </xf>
    <xf numFmtId="0" fontId="0" fillId="16" borderId="32" xfId="0" applyFill="1" applyBorder="1"/>
    <xf numFmtId="0" fontId="0" fillId="17" borderId="32" xfId="0" applyFill="1" applyBorder="1"/>
    <xf numFmtId="0" fontId="2" fillId="14" borderId="25" xfId="0" applyFont="1" applyFill="1" applyBorder="1"/>
    <xf numFmtId="0" fontId="2" fillId="14" borderId="6" xfId="0" applyFont="1" applyFill="1" applyBorder="1"/>
    <xf numFmtId="0" fontId="2" fillId="14" borderId="30" xfId="0" applyFont="1" applyFill="1" applyBorder="1"/>
    <xf numFmtId="0" fontId="2" fillId="6" borderId="6" xfId="0" applyFont="1" applyFill="1" applyBorder="1"/>
    <xf numFmtId="0" fontId="2" fillId="6" borderId="30" xfId="0" applyFont="1" applyFill="1" applyBorder="1"/>
    <xf numFmtId="0" fontId="2" fillId="15" borderId="25" xfId="0" applyFont="1" applyFill="1" applyBorder="1" applyAlignment="1">
      <alignment vertical="center"/>
    </xf>
    <xf numFmtId="0" fontId="2" fillId="15" borderId="6" xfId="0" applyFont="1" applyFill="1" applyBorder="1" applyAlignment="1">
      <alignment vertical="center"/>
    </xf>
    <xf numFmtId="0" fontId="2" fillId="15" borderId="30" xfId="0" applyFont="1" applyFill="1" applyBorder="1" applyAlignment="1">
      <alignment vertical="center"/>
    </xf>
    <xf numFmtId="0" fontId="2" fillId="16" borderId="33" xfId="0" applyFont="1" applyFill="1" applyBorder="1"/>
    <xf numFmtId="0" fontId="2" fillId="17" borderId="33" xfId="0" applyFont="1" applyFill="1" applyBorder="1"/>
    <xf numFmtId="0" fontId="2" fillId="0" borderId="33" xfId="0" applyFont="1" applyBorder="1"/>
    <xf numFmtId="0" fontId="26" fillId="14" borderId="26" xfId="0" applyFont="1" applyFill="1" applyBorder="1" applyAlignment="1">
      <alignment horizontal="center" vertical="center"/>
    </xf>
    <xf numFmtId="0" fontId="26" fillId="14" borderId="28" xfId="0" applyFont="1" applyFill="1" applyBorder="1" applyAlignment="1">
      <alignment horizontal="center" vertical="center"/>
    </xf>
    <xf numFmtId="0" fontId="26" fillId="14" borderId="41" xfId="0" applyFont="1" applyFill="1" applyBorder="1" applyAlignment="1">
      <alignment horizontal="center" vertical="center"/>
    </xf>
    <xf numFmtId="0" fontId="26" fillId="14" borderId="31" xfId="0" applyFont="1" applyFill="1" applyBorder="1" applyAlignment="1">
      <alignment horizontal="center" vertical="center"/>
    </xf>
    <xf numFmtId="0" fontId="26" fillId="6" borderId="26" xfId="0" applyFont="1" applyFill="1" applyBorder="1" applyAlignment="1">
      <alignment horizontal="center" vertical="center"/>
    </xf>
    <xf numFmtId="0" fontId="26" fillId="6" borderId="28" xfId="0" applyFont="1" applyFill="1" applyBorder="1" applyAlignment="1">
      <alignment horizontal="center" vertical="center"/>
    </xf>
    <xf numFmtId="0" fontId="26" fillId="6" borderId="31" xfId="0" applyFont="1" applyFill="1" applyBorder="1" applyAlignment="1">
      <alignment horizontal="center" vertical="center"/>
    </xf>
    <xf numFmtId="0" fontId="26" fillId="15" borderId="26" xfId="0" applyFont="1" applyFill="1" applyBorder="1" applyAlignment="1">
      <alignment horizontal="center" vertical="center"/>
    </xf>
    <xf numFmtId="0" fontId="26" fillId="15" borderId="28" xfId="0" applyFont="1" applyFill="1" applyBorder="1" applyAlignment="1">
      <alignment horizontal="center" vertical="center"/>
    </xf>
    <xf numFmtId="0" fontId="26" fillId="15" borderId="31" xfId="0" applyFont="1" applyFill="1" applyBorder="1" applyAlignment="1">
      <alignment horizontal="center" vertical="center"/>
    </xf>
    <xf numFmtId="0" fontId="26" fillId="16" borderId="34" xfId="0" applyFont="1" applyFill="1" applyBorder="1" applyAlignment="1">
      <alignment horizontal="center" vertical="center"/>
    </xf>
    <xf numFmtId="0" fontId="26" fillId="17" borderId="34" xfId="0" applyFont="1" applyFill="1" applyBorder="1" applyAlignment="1">
      <alignment horizontal="center" vertical="center"/>
    </xf>
    <xf numFmtId="0" fontId="26" fillId="0" borderId="34" xfId="0" applyFont="1" applyBorder="1" applyAlignment="1">
      <alignment horizontal="center" vertical="center"/>
    </xf>
    <xf numFmtId="0" fontId="7" fillId="0" borderId="7" xfId="0" applyFont="1" applyBorder="1" applyAlignment="1">
      <alignment horizontal="center"/>
    </xf>
    <xf numFmtId="0" fontId="9" fillId="0" borderId="7" xfId="0" applyFont="1" applyBorder="1" applyAlignment="1">
      <alignment horizontal="center" vertical="center"/>
    </xf>
    <xf numFmtId="0" fontId="18" fillId="0" borderId="0" xfId="1" applyFont="1"/>
    <xf numFmtId="0" fontId="0" fillId="0" borderId="0" xfId="1" applyFont="1"/>
    <xf numFmtId="0" fontId="0" fillId="0" borderId="0" xfId="1" applyFont="1" applyAlignment="1">
      <alignment wrapText="1"/>
    </xf>
    <xf numFmtId="0" fontId="0" fillId="6" borderId="27" xfId="0" applyFill="1" applyBorder="1" applyAlignment="1">
      <alignment vertical="center"/>
    </xf>
    <xf numFmtId="0" fontId="2" fillId="6" borderId="6" xfId="0" applyFont="1" applyFill="1" applyBorder="1" applyAlignment="1">
      <alignment vertical="center"/>
    </xf>
    <xf numFmtId="0" fontId="3" fillId="0" borderId="0" xfId="1" applyAlignment="1">
      <alignment vertical="center"/>
    </xf>
    <xf numFmtId="0" fontId="0" fillId="0" borderId="0" xfId="1" applyFont="1" applyAlignment="1">
      <alignment vertical="center" wrapText="1"/>
    </xf>
    <xf numFmtId="0" fontId="0" fillId="6" borderId="24" xfId="0" applyFill="1" applyBorder="1" applyAlignment="1">
      <alignment vertical="center"/>
    </xf>
    <xf numFmtId="0" fontId="2" fillId="6" borderId="25" xfId="0" applyFont="1" applyFill="1" applyBorder="1" applyAlignment="1">
      <alignment vertical="center"/>
    </xf>
    <xf numFmtId="0" fontId="11" fillId="0" borderId="6" xfId="0" applyFont="1" applyBorder="1" applyAlignment="1">
      <alignment horizontal="center" vertical="center"/>
    </xf>
    <xf numFmtId="0" fontId="11" fillId="0" borderId="7" xfId="0" applyFont="1" applyBorder="1" applyAlignment="1">
      <alignment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21" fillId="0" borderId="6" xfId="0" applyFont="1" applyBorder="1" applyAlignment="1">
      <alignment horizontal="center" vertical="center"/>
    </xf>
    <xf numFmtId="0" fontId="8" fillId="4" borderId="3" xfId="0" applyFont="1" applyFill="1" applyBorder="1" applyAlignment="1">
      <alignment horizontal="center"/>
    </xf>
    <xf numFmtId="0" fontId="8" fillId="4" borderId="4" xfId="0" applyFont="1" applyFill="1" applyBorder="1" applyAlignment="1">
      <alignment horizontal="center"/>
    </xf>
    <xf numFmtId="0" fontId="21" fillId="0" borderId="12" xfId="0" applyFont="1" applyBorder="1" applyAlignment="1">
      <alignment horizontal="center" vertical="center"/>
    </xf>
    <xf numFmtId="0" fontId="7" fillId="0" borderId="8" xfId="0" applyFont="1" applyBorder="1" applyAlignment="1">
      <alignment horizontal="center" vertical="center"/>
    </xf>
    <xf numFmtId="0" fontId="21" fillId="8" borderId="8" xfId="0" applyFont="1" applyFill="1" applyBorder="1" applyAlignment="1">
      <alignment horizontal="center" vertical="center"/>
    </xf>
    <xf numFmtId="0" fontId="21" fillId="8" borderId="6" xfId="0" applyFont="1" applyFill="1" applyBorder="1" applyAlignment="1">
      <alignment horizontal="center" vertical="center"/>
    </xf>
    <xf numFmtId="0" fontId="21" fillId="8" borderId="7" xfId="0" applyFont="1" applyFill="1" applyBorder="1" applyAlignment="1">
      <alignment horizontal="center" vertical="center"/>
    </xf>
    <xf numFmtId="0" fontId="1" fillId="0" borderId="0" xfId="0" applyFont="1" applyAlignment="1">
      <alignment horizontal="center"/>
    </xf>
    <xf numFmtId="0" fontId="7" fillId="0" borderId="0" xfId="0" applyFont="1" applyAlignment="1">
      <alignment horizontal="center"/>
    </xf>
    <xf numFmtId="0" fontId="21" fillId="0" borderId="8" xfId="0" applyFont="1" applyBorder="1" applyAlignment="1">
      <alignment horizontal="center" vertical="center"/>
    </xf>
    <xf numFmtId="0" fontId="21" fillId="0" borderId="7" xfId="0" applyFont="1" applyBorder="1" applyAlignment="1">
      <alignment horizontal="center" vertical="center"/>
    </xf>
    <xf numFmtId="0" fontId="26" fillId="13" borderId="0" xfId="0" applyFont="1" applyFill="1"/>
    <xf numFmtId="0" fontId="26" fillId="13" borderId="0" xfId="0" applyFont="1" applyFill="1" applyAlignment="1">
      <alignment horizontal="center" vertical="center"/>
    </xf>
    <xf numFmtId="0" fontId="17" fillId="13" borderId="0" xfId="0" applyFont="1" applyFill="1" applyAlignment="1">
      <alignment horizontal="center" vertical="center"/>
    </xf>
    <xf numFmtId="0" fontId="26" fillId="13" borderId="0" xfId="0" applyFont="1" applyFill="1" applyAlignment="1">
      <alignment horizontal="center"/>
    </xf>
    <xf numFmtId="0" fontId="7" fillId="13" borderId="0" xfId="0" applyFont="1" applyFill="1"/>
    <xf numFmtId="0" fontId="17" fillId="13" borderId="0" xfId="0" applyFont="1" applyFill="1" applyAlignment="1">
      <alignment horizontal="left" vertical="center" wrapText="1"/>
    </xf>
    <xf numFmtId="0" fontId="11" fillId="13" borderId="0" xfId="0" applyFont="1" applyFill="1" applyAlignment="1">
      <alignment vertical="center"/>
    </xf>
    <xf numFmtId="0" fontId="17" fillId="13" borderId="0" xfId="0" applyFont="1" applyFill="1" applyAlignment="1">
      <alignment horizontal="left" vertical="center"/>
    </xf>
    <xf numFmtId="0" fontId="7" fillId="13" borderId="0" xfId="1" applyFont="1" applyFill="1"/>
    <xf numFmtId="0" fontId="8" fillId="13" borderId="0" xfId="0" applyFont="1" applyFill="1" applyAlignment="1">
      <alignment horizontal="center"/>
    </xf>
    <xf numFmtId="0" fontId="7" fillId="13" borderId="0" xfId="0" applyFont="1" applyFill="1" applyAlignment="1">
      <alignment horizontal="center" vertical="center"/>
    </xf>
    <xf numFmtId="0" fontId="0" fillId="13" borderId="0" xfId="0" applyFill="1" applyAlignment="1">
      <alignment horizontal="center"/>
    </xf>
    <xf numFmtId="0" fontId="7" fillId="0" borderId="5" xfId="0" applyFont="1" applyBorder="1" applyAlignment="1">
      <alignment horizontal="center"/>
    </xf>
    <xf numFmtId="0" fontId="26" fillId="13" borderId="0" xfId="0" applyFont="1" applyFill="1" applyAlignment="1">
      <alignment horizontal="left" vertical="center"/>
    </xf>
    <xf numFmtId="0" fontId="26" fillId="13" borderId="0" xfId="0" applyFont="1" applyFill="1" applyAlignment="1">
      <alignment horizontal="left"/>
    </xf>
    <xf numFmtId="0" fontId="27" fillId="13" borderId="0" xfId="0" applyFont="1" applyFill="1" applyAlignment="1">
      <alignment horizontal="left"/>
    </xf>
    <xf numFmtId="0" fontId="7" fillId="13" borderId="14" xfId="0" applyFont="1" applyFill="1" applyBorder="1" applyAlignment="1">
      <alignment vertical="center"/>
    </xf>
    <xf numFmtId="0" fontId="7" fillId="13" borderId="0" xfId="0" applyFont="1" applyFill="1" applyAlignment="1">
      <alignment vertical="center"/>
    </xf>
    <xf numFmtId="0" fontId="27" fillId="13" borderId="0" xfId="0" applyFont="1" applyFill="1"/>
    <xf numFmtId="0" fontId="1" fillId="13" borderId="0" xfId="0" applyFont="1" applyFill="1"/>
    <xf numFmtId="0" fontId="17" fillId="0" borderId="6" xfId="0" applyFont="1" applyBorder="1" applyAlignment="1">
      <alignment horizontal="left" vertical="center"/>
    </xf>
    <xf numFmtId="0" fontId="17" fillId="0" borderId="7" xfId="0" applyFont="1" applyBorder="1" applyAlignment="1">
      <alignment horizontal="left" vertical="center" wrapText="1"/>
    </xf>
    <xf numFmtId="0" fontId="9" fillId="0" borderId="5" xfId="0" applyFont="1" applyBorder="1" applyAlignment="1">
      <alignment horizontal="center" vertical="center"/>
    </xf>
    <xf numFmtId="0" fontId="11" fillId="0" borderId="5" xfId="0" applyFont="1" applyBorder="1" applyAlignment="1">
      <alignment horizontal="center" vertical="center"/>
    </xf>
    <xf numFmtId="0" fontId="7" fillId="0" borderId="12" xfId="0" applyFont="1" applyBorder="1" applyAlignment="1">
      <alignment horizontal="center"/>
    </xf>
    <xf numFmtId="0" fontId="26" fillId="13" borderId="0" xfId="0" applyFont="1" applyFill="1" applyAlignment="1">
      <alignment wrapText="1"/>
    </xf>
    <xf numFmtId="0" fontId="17" fillId="0" borderId="0" xfId="0" applyFont="1" applyAlignment="1">
      <alignment horizontal="left" vertical="center"/>
    </xf>
    <xf numFmtId="0" fontId="17" fillId="0" borderId="0" xfId="0" applyFont="1" applyAlignment="1">
      <alignment horizontal="left" vertical="center" wrapText="1"/>
    </xf>
    <xf numFmtId="0" fontId="11" fillId="0" borderId="0" xfId="0" applyFont="1" applyAlignment="1">
      <alignment vertical="center"/>
    </xf>
    <xf numFmtId="0" fontId="21" fillId="0" borderId="11" xfId="0" applyFont="1" applyBorder="1" applyAlignment="1">
      <alignment horizontal="center" vertical="center"/>
    </xf>
    <xf numFmtId="0" fontId="21" fillId="8" borderId="11" xfId="0" applyFont="1" applyFill="1" applyBorder="1" applyAlignment="1">
      <alignment horizontal="center" vertical="center"/>
    </xf>
    <xf numFmtId="0" fontId="21" fillId="0" borderId="15" xfId="0" applyFont="1" applyBorder="1" applyAlignment="1">
      <alignment horizontal="center" vertical="center"/>
    </xf>
    <xf numFmtId="0" fontId="0" fillId="0" borderId="7" xfId="0" applyBorder="1" applyAlignment="1">
      <alignment horizontal="center" vertical="center"/>
    </xf>
    <xf numFmtId="0" fontId="7" fillId="0" borderId="11" xfId="0" applyFont="1" applyBorder="1" applyAlignment="1">
      <alignment horizontal="center" vertical="center"/>
    </xf>
    <xf numFmtId="0" fontId="0" fillId="0" borderId="13" xfId="0" applyBorder="1" applyAlignment="1">
      <alignment horizontal="center" vertical="center"/>
    </xf>
    <xf numFmtId="0" fontId="7" fillId="0" borderId="15" xfId="0" applyFont="1" applyBorder="1" applyAlignment="1">
      <alignment horizontal="center" vertical="center"/>
    </xf>
    <xf numFmtId="0" fontId="8" fillId="13" borderId="0" xfId="0" applyFont="1" applyFill="1"/>
    <xf numFmtId="0" fontId="11" fillId="0" borderId="15" xfId="5" applyFont="1" applyBorder="1" applyAlignment="1">
      <alignment horizontal="center" vertical="center"/>
    </xf>
    <xf numFmtId="0" fontId="11" fillId="0" borderId="11" xfId="5" applyFont="1" applyBorder="1" applyAlignment="1">
      <alignment horizontal="center" vertical="center"/>
    </xf>
    <xf numFmtId="0" fontId="11" fillId="0" borderId="13" xfId="5" applyFont="1" applyBorder="1" applyAlignment="1">
      <alignment horizontal="center" vertical="center"/>
    </xf>
    <xf numFmtId="0" fontId="11" fillId="0" borderId="8" xfId="5" applyFont="1" applyBorder="1" applyAlignment="1">
      <alignment horizontal="center" vertical="center"/>
    </xf>
    <xf numFmtId="0" fontId="11" fillId="0" borderId="6" xfId="5" applyFont="1" applyBorder="1" applyAlignment="1">
      <alignment horizontal="center" vertical="center"/>
    </xf>
    <xf numFmtId="0" fontId="11" fillId="0" borderId="7" xfId="5" applyFont="1" applyBorder="1" applyAlignment="1">
      <alignment horizontal="center" vertical="center"/>
    </xf>
    <xf numFmtId="0" fontId="21" fillId="0" borderId="13" xfId="0" applyFont="1" applyBorder="1" applyAlignment="1">
      <alignment horizontal="center" vertical="center"/>
    </xf>
    <xf numFmtId="0" fontId="29" fillId="13" borderId="0" xfId="0" applyFont="1" applyFill="1" applyAlignment="1">
      <alignment horizontal="center" vertical="center"/>
    </xf>
    <xf numFmtId="0" fontId="29" fillId="0" borderId="0" xfId="0" applyFont="1" applyAlignment="1">
      <alignment horizontal="center" vertical="center"/>
    </xf>
    <xf numFmtId="0" fontId="30" fillId="4" borderId="10" xfId="3" applyFont="1" applyFill="1" applyBorder="1" applyAlignment="1">
      <alignment horizontal="center" vertical="center"/>
    </xf>
    <xf numFmtId="0" fontId="30" fillId="4" borderId="14" xfId="3" applyFont="1" applyFill="1" applyBorder="1" applyAlignment="1">
      <alignment horizontal="center" vertical="center"/>
    </xf>
    <xf numFmtId="0" fontId="30" fillId="4" borderId="0" xfId="3" applyFont="1" applyFill="1" applyAlignment="1">
      <alignment horizontal="center" vertical="center"/>
    </xf>
    <xf numFmtId="0" fontId="18" fillId="0" borderId="0" xfId="0" applyFont="1"/>
    <xf numFmtId="0" fontId="20" fillId="0" borderId="10" xfId="0" applyFont="1" applyBorder="1" applyAlignment="1">
      <alignment horizontal="center" vertical="center"/>
    </xf>
    <xf numFmtId="0" fontId="20" fillId="0" borderId="8" xfId="0" applyFont="1" applyBorder="1" applyAlignment="1">
      <alignment horizontal="center" vertical="center"/>
    </xf>
    <xf numFmtId="0" fontId="23" fillId="4" borderId="6" xfId="0" applyFont="1" applyFill="1" applyBorder="1" applyAlignment="1">
      <alignment horizontal="center"/>
    </xf>
    <xf numFmtId="0" fontId="0" fillId="0" borderId="5" xfId="0" applyBorder="1"/>
    <xf numFmtId="0" fontId="20" fillId="0" borderId="12" xfId="0" applyFont="1" applyBorder="1" applyAlignment="1">
      <alignment horizontal="center" vertical="center"/>
    </xf>
    <xf numFmtId="0" fontId="20" fillId="0" borderId="7" xfId="0" applyFont="1" applyBorder="1" applyAlignment="1">
      <alignment horizontal="center" vertical="center"/>
    </xf>
    <xf numFmtId="0" fontId="0" fillId="0" borderId="10" xfId="0" applyBorder="1"/>
    <xf numFmtId="0" fontId="0" fillId="0" borderId="14" xfId="0" applyBorder="1"/>
    <xf numFmtId="0" fontId="0" fillId="0" borderId="15" xfId="0" applyBorder="1"/>
    <xf numFmtId="0" fontId="20" fillId="0" borderId="5" xfId="0" applyFont="1" applyBorder="1" applyAlignment="1">
      <alignment horizontal="center" vertical="center"/>
    </xf>
    <xf numFmtId="0" fontId="20" fillId="0" borderId="6" xfId="0" applyFont="1" applyBorder="1" applyAlignment="1">
      <alignment horizontal="center" vertical="center"/>
    </xf>
    <xf numFmtId="0" fontId="31" fillId="0" borderId="6" xfId="0" applyFont="1" applyBorder="1" applyAlignment="1">
      <alignment horizontal="center" vertical="center"/>
    </xf>
    <xf numFmtId="0" fontId="0" fillId="0" borderId="11" xfId="0" applyBorder="1"/>
    <xf numFmtId="0" fontId="0" fillId="0" borderId="0" xfId="0" applyAlignment="1">
      <alignment horizontal="center" vertical="center"/>
    </xf>
    <xf numFmtId="0" fontId="31" fillId="0" borderId="7" xfId="0" applyFont="1" applyBorder="1" applyAlignment="1">
      <alignment horizontal="center" vertical="center"/>
    </xf>
    <xf numFmtId="0" fontId="0" fillId="0" borderId="12" xfId="0" applyBorder="1"/>
    <xf numFmtId="0" fontId="0" fillId="0" borderId="2" xfId="0" applyBorder="1"/>
    <xf numFmtId="0" fontId="0" fillId="0" borderId="13" xfId="0" applyBorder="1"/>
    <xf numFmtId="0" fontId="23" fillId="9" borderId="10" xfId="0" applyFont="1" applyFill="1" applyBorder="1" applyAlignment="1">
      <alignment horizontal="center"/>
    </xf>
    <xf numFmtId="0" fontId="23" fillId="10" borderId="14" xfId="0" applyFont="1" applyFill="1" applyBorder="1" applyAlignment="1">
      <alignment horizontal="center"/>
    </xf>
    <xf numFmtId="0" fontId="23" fillId="11" borderId="14" xfId="0" applyFont="1" applyFill="1" applyBorder="1" applyAlignment="1">
      <alignment horizontal="center"/>
    </xf>
    <xf numFmtId="0" fontId="23" fillId="12" borderId="15" xfId="0" applyFont="1" applyFill="1" applyBorder="1" applyAlignment="1">
      <alignment horizontal="center"/>
    </xf>
    <xf numFmtId="0" fontId="23" fillId="4" borderId="3" xfId="0" applyFont="1" applyFill="1" applyBorder="1" applyAlignment="1">
      <alignment horizontal="center" wrapText="1"/>
    </xf>
    <xf numFmtId="0" fontId="23" fillId="4" borderId="1" xfId="0" applyFont="1" applyFill="1" applyBorder="1" applyAlignment="1">
      <alignment horizontal="center" wrapText="1"/>
    </xf>
    <xf numFmtId="0" fontId="0" fillId="0" borderId="35" xfId="0" applyBorder="1" applyAlignment="1">
      <alignment horizontal="center" vertical="center"/>
    </xf>
    <xf numFmtId="0" fontId="0" fillId="0" borderId="22" xfId="0" applyBorder="1" applyAlignment="1">
      <alignment horizontal="center" vertical="center"/>
    </xf>
    <xf numFmtId="0" fontId="0" fillId="0" borderId="37" xfId="0" applyBorder="1" applyAlignment="1">
      <alignment horizontal="center" vertical="center"/>
    </xf>
    <xf numFmtId="0" fontId="0" fillId="13" borderId="0" xfId="0" applyFill="1" applyAlignment="1">
      <alignment horizontal="center" vertical="center"/>
    </xf>
    <xf numFmtId="0" fontId="23" fillId="0" borderId="0" xfId="0" applyFont="1" applyAlignment="1">
      <alignment horizontal="center"/>
    </xf>
    <xf numFmtId="0" fontId="31" fillId="0" borderId="36" xfId="0" applyFont="1" applyBorder="1" applyAlignment="1">
      <alignment horizontal="center" vertical="center"/>
    </xf>
    <xf numFmtId="0" fontId="31" fillId="0" borderId="23" xfId="0" applyFont="1" applyBorder="1" applyAlignment="1">
      <alignment horizontal="center" vertical="center"/>
    </xf>
    <xf numFmtId="0" fontId="31" fillId="0" borderId="38" xfId="0" applyFont="1" applyBorder="1" applyAlignment="1">
      <alignment horizontal="center" vertical="center"/>
    </xf>
    <xf numFmtId="0" fontId="31" fillId="13" borderId="0" xfId="0" applyFont="1" applyFill="1" applyAlignment="1">
      <alignment horizontal="center" vertical="center"/>
    </xf>
    <xf numFmtId="0" fontId="10" fillId="0" borderId="36" xfId="0" applyFont="1" applyBorder="1" applyAlignment="1">
      <alignment horizontal="center" vertical="center"/>
    </xf>
    <xf numFmtId="0" fontId="10" fillId="0" borderId="23" xfId="0" applyFont="1" applyBorder="1" applyAlignment="1">
      <alignment horizontal="center" vertical="center"/>
    </xf>
    <xf numFmtId="0" fontId="10" fillId="0" borderId="38" xfId="0" applyFont="1" applyBorder="1" applyAlignment="1">
      <alignment horizontal="center" vertical="center"/>
    </xf>
    <xf numFmtId="0" fontId="20" fillId="8" borderId="5" xfId="0" applyFont="1" applyFill="1" applyBorder="1" applyAlignment="1">
      <alignment horizontal="center" vertical="center"/>
    </xf>
    <xf numFmtId="0" fontId="0" fillId="0" borderId="36" xfId="0" applyBorder="1" applyAlignment="1">
      <alignment horizontal="center"/>
    </xf>
    <xf numFmtId="0" fontId="0" fillId="0" borderId="23" xfId="0" applyBorder="1" applyAlignment="1">
      <alignment horizontal="center"/>
    </xf>
    <xf numFmtId="0" fontId="0" fillId="0" borderId="38" xfId="0" applyBorder="1" applyAlignment="1">
      <alignment horizontal="center"/>
    </xf>
    <xf numFmtId="0" fontId="20" fillId="8" borderId="10" xfId="0" applyFont="1" applyFill="1" applyBorder="1" applyAlignment="1">
      <alignment horizontal="center" vertical="center"/>
    </xf>
    <xf numFmtId="0" fontId="20" fillId="8" borderId="12" xfId="0" applyFont="1" applyFill="1" applyBorder="1" applyAlignment="1">
      <alignment horizontal="center" vertical="center"/>
    </xf>
    <xf numFmtId="0" fontId="10" fillId="13" borderId="0" xfId="0" applyFont="1" applyFill="1" applyAlignment="1">
      <alignment horizontal="center" vertical="center"/>
    </xf>
    <xf numFmtId="0" fontId="20" fillId="8" borderId="2" xfId="0" applyFont="1" applyFill="1" applyBorder="1" applyAlignment="1">
      <alignment horizontal="center" vertical="center"/>
    </xf>
    <xf numFmtId="0" fontId="31" fillId="0" borderId="39" xfId="0" applyFont="1" applyBorder="1" applyAlignment="1">
      <alignment horizontal="center" vertical="center"/>
    </xf>
    <xf numFmtId="0" fontId="31" fillId="0" borderId="40" xfId="0" applyFont="1" applyBorder="1" applyAlignment="1">
      <alignment horizontal="center" vertical="center"/>
    </xf>
    <xf numFmtId="0" fontId="0" fillId="0" borderId="8" xfId="0" applyBorder="1"/>
    <xf numFmtId="0" fontId="0" fillId="0" borderId="6" xfId="0" applyBorder="1"/>
    <xf numFmtId="0" fontId="0" fillId="0" borderId="17" xfId="0" applyBorder="1"/>
    <xf numFmtId="0" fontId="0" fillId="0" borderId="18" xfId="0" applyBorder="1"/>
    <xf numFmtId="0" fontId="32" fillId="0" borderId="0" xfId="0" applyFont="1" applyAlignment="1">
      <alignment horizontal="left" vertical="center" wrapText="1"/>
    </xf>
    <xf numFmtId="0" fontId="32" fillId="0" borderId="18" xfId="0" applyFont="1" applyBorder="1" applyAlignment="1">
      <alignment horizontal="left" vertical="center" wrapText="1"/>
    </xf>
    <xf numFmtId="0" fontId="10" fillId="0" borderId="6" xfId="0" applyFont="1" applyBorder="1" applyAlignment="1">
      <alignment vertical="center"/>
    </xf>
    <xf numFmtId="0" fontId="32" fillId="0" borderId="17" xfId="0" applyFont="1" applyBorder="1" applyAlignment="1">
      <alignment horizontal="left" vertical="center"/>
    </xf>
    <xf numFmtId="0" fontId="32" fillId="0" borderId="0" xfId="0" applyFont="1" applyAlignment="1">
      <alignment horizontal="left" vertical="center"/>
    </xf>
    <xf numFmtId="0" fontId="20" fillId="8" borderId="5" xfId="0" applyFont="1" applyFill="1" applyBorder="1" applyAlignment="1">
      <alignment horizontal="center"/>
    </xf>
    <xf numFmtId="0" fontId="20" fillId="8" borderId="6" xfId="0" applyFont="1" applyFill="1" applyBorder="1" applyAlignment="1">
      <alignment horizontal="center"/>
    </xf>
    <xf numFmtId="0" fontId="32" fillId="0" borderId="18" xfId="0" applyFont="1" applyBorder="1" applyAlignment="1">
      <alignment horizontal="left" vertical="center"/>
    </xf>
    <xf numFmtId="0" fontId="20" fillId="8" borderId="12" xfId="0" applyFont="1" applyFill="1" applyBorder="1" applyAlignment="1">
      <alignment horizontal="center"/>
    </xf>
    <xf numFmtId="0" fontId="20" fillId="8" borderId="7" xfId="0" applyFont="1" applyFill="1" applyBorder="1" applyAlignment="1">
      <alignment horizontal="center"/>
    </xf>
    <xf numFmtId="0" fontId="20" fillId="0" borderId="15" xfId="0" applyFont="1" applyBorder="1" applyAlignment="1">
      <alignment horizontal="center" vertical="center"/>
    </xf>
    <xf numFmtId="0" fontId="20" fillId="0" borderId="11" xfId="0" applyFont="1" applyBorder="1" applyAlignment="1">
      <alignment horizontal="center" vertical="center"/>
    </xf>
    <xf numFmtId="0" fontId="20" fillId="8" borderId="11" xfId="0" applyFont="1" applyFill="1" applyBorder="1" applyAlignment="1">
      <alignment horizontal="center" vertical="center"/>
    </xf>
    <xf numFmtId="0" fontId="10" fillId="0" borderId="7" xfId="0" applyFont="1" applyBorder="1" applyAlignment="1">
      <alignment vertical="center"/>
    </xf>
    <xf numFmtId="0" fontId="32" fillId="0" borderId="19" xfId="0" applyFont="1" applyBorder="1" applyAlignment="1">
      <alignment horizontal="left" vertical="center" wrapText="1"/>
    </xf>
    <xf numFmtId="0" fontId="0" fillId="0" borderId="20" xfId="0" applyBorder="1"/>
    <xf numFmtId="0" fontId="0" fillId="0" borderId="21" xfId="0" applyBorder="1"/>
    <xf numFmtId="0" fontId="20" fillId="0" borderId="13" xfId="0" applyFont="1" applyBorder="1" applyAlignment="1">
      <alignment horizontal="center" vertical="center"/>
    </xf>
    <xf numFmtId="0" fontId="6" fillId="0" borderId="0" xfId="0" applyFont="1" applyAlignment="1">
      <alignment horizontal="center"/>
    </xf>
    <xf numFmtId="0" fontId="6" fillId="0" borderId="0" xfId="0" applyFont="1" applyAlignment="1">
      <alignment horizontal="left"/>
    </xf>
    <xf numFmtId="0" fontId="33" fillId="3"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11" fillId="0" borderId="1" xfId="0" applyFont="1" applyBorder="1" applyAlignment="1">
      <alignment horizontal="center" vertical="center"/>
    </xf>
    <xf numFmtId="0" fontId="1" fillId="0" borderId="0" xfId="0" applyFont="1" applyAlignment="1">
      <alignment horizontal="center" vertical="center" wrapText="1"/>
    </xf>
    <xf numFmtId="0" fontId="1" fillId="2" borderId="1" xfId="0" applyFont="1" applyFill="1" applyBorder="1" applyAlignment="1">
      <alignment horizontal="center" vertical="center"/>
    </xf>
    <xf numFmtId="0" fontId="7" fillId="13" borderId="1" xfId="0" applyFont="1" applyFill="1" applyBorder="1" applyAlignment="1">
      <alignment horizontal="center" vertical="center" wrapText="1"/>
    </xf>
    <xf numFmtId="0" fontId="33" fillId="0" borderId="0" xfId="0" applyFont="1" applyAlignment="1">
      <alignment wrapText="1"/>
    </xf>
    <xf numFmtId="0" fontId="11" fillId="0" borderId="0" xfId="0" applyFont="1" applyAlignment="1">
      <alignment wrapText="1"/>
    </xf>
    <xf numFmtId="0" fontId="33" fillId="19" borderId="1" xfId="0" applyFont="1" applyFill="1" applyBorder="1" applyAlignment="1">
      <alignment horizontal="center" vertical="center" wrapText="1"/>
    </xf>
    <xf numFmtId="0" fontId="33" fillId="18" borderId="4" xfId="0" applyFont="1" applyFill="1" applyBorder="1" applyAlignment="1">
      <alignment horizontal="center" vertical="center"/>
    </xf>
    <xf numFmtId="0" fontId="33" fillId="20" borderId="4" xfId="0" applyFont="1" applyFill="1" applyBorder="1" applyAlignment="1">
      <alignment horizontal="center" vertical="center"/>
    </xf>
    <xf numFmtId="0" fontId="33" fillId="20" borderId="13" xfId="0" applyFont="1" applyFill="1" applyBorder="1" applyAlignment="1">
      <alignment horizontal="center" vertical="center"/>
    </xf>
    <xf numFmtId="0" fontId="33" fillId="18" borderId="13" xfId="0" applyFont="1" applyFill="1" applyBorder="1" applyAlignment="1">
      <alignment horizontal="center" vertical="center"/>
    </xf>
    <xf numFmtId="0" fontId="11" fillId="19" borderId="7" xfId="0" applyFont="1" applyFill="1" applyBorder="1" applyAlignment="1">
      <alignment horizontal="center" vertical="center" wrapText="1"/>
    </xf>
    <xf numFmtId="0" fontId="11" fillId="0" borderId="13" xfId="0" applyFont="1" applyBorder="1" applyAlignment="1">
      <alignment horizontal="center" vertical="center" wrapText="1"/>
    </xf>
    <xf numFmtId="0" fontId="1"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1" fillId="0" borderId="0" xfId="0" applyFont="1" applyAlignment="1">
      <alignment horizontal="center" vertical="center"/>
    </xf>
    <xf numFmtId="0" fontId="33" fillId="0" borderId="0" xfId="0" applyFont="1" applyAlignment="1">
      <alignment horizontal="center" vertical="center"/>
    </xf>
    <xf numFmtId="0" fontId="1" fillId="0" borderId="0" xfId="0" applyFont="1" applyAlignment="1">
      <alignment vertical="center"/>
    </xf>
    <xf numFmtId="0" fontId="1" fillId="2" borderId="1" xfId="0" applyFont="1" applyFill="1" applyBorder="1" applyAlignment="1">
      <alignment vertical="center"/>
    </xf>
    <xf numFmtId="0" fontId="7" fillId="13" borderId="0" xfId="0" applyFont="1" applyFill="1" applyAlignment="1">
      <alignment horizontal="center" vertical="center" wrapText="1"/>
    </xf>
    <xf numFmtId="0" fontId="26" fillId="0" borderId="1" xfId="0" applyFont="1" applyBorder="1" applyAlignment="1">
      <alignment horizontal="center" vertical="center" wrapText="1"/>
    </xf>
    <xf numFmtId="0" fontId="7" fillId="0" borderId="0" xfId="0" applyFont="1" applyAlignment="1">
      <alignment wrapText="1"/>
    </xf>
    <xf numFmtId="0" fontId="26" fillId="0" borderId="0" xfId="0" applyFont="1" applyAlignment="1">
      <alignment wrapText="1"/>
    </xf>
    <xf numFmtId="0" fontId="7" fillId="0" borderId="1" xfId="0" applyFont="1" applyBorder="1" applyAlignment="1">
      <alignment horizontal="center" vertical="center"/>
    </xf>
    <xf numFmtId="0" fontId="11" fillId="13" borderId="1" xfId="0" applyFont="1" applyFill="1" applyBorder="1" applyAlignment="1">
      <alignment horizontal="center" vertical="center"/>
    </xf>
    <xf numFmtId="0" fontId="33" fillId="3" borderId="3" xfId="0" applyFont="1" applyFill="1" applyBorder="1" applyAlignment="1">
      <alignment horizontal="center" vertical="center"/>
    </xf>
    <xf numFmtId="0" fontId="34" fillId="0" borderId="1" xfId="0" applyFont="1" applyBorder="1" applyAlignment="1">
      <alignment horizontal="center" vertical="center" wrapText="1"/>
    </xf>
    <xf numFmtId="0" fontId="26" fillId="0" borderId="0" xfId="0" applyFont="1" applyAlignment="1">
      <alignment horizontal="center" vertical="center" wrapText="1"/>
    </xf>
    <xf numFmtId="0" fontId="18" fillId="0" borderId="0" xfId="0" applyFont="1" applyAlignment="1">
      <alignment horizontal="center"/>
    </xf>
    <xf numFmtId="0" fontId="0" fillId="0" borderId="8" xfId="0" applyBorder="1" applyAlignment="1">
      <alignment horizontal="center" vertical="center"/>
    </xf>
    <xf numFmtId="0" fontId="0" fillId="0" borderId="6" xfId="0" applyBorder="1" applyAlignment="1">
      <alignment horizontal="center" vertical="center"/>
    </xf>
    <xf numFmtId="0" fontId="20" fillId="8" borderId="8" xfId="0" applyFont="1" applyFill="1" applyBorder="1" applyAlignment="1">
      <alignment horizontal="center" vertical="center"/>
    </xf>
    <xf numFmtId="0" fontId="20" fillId="8" borderId="7" xfId="0" applyFont="1" applyFill="1" applyBorder="1" applyAlignment="1">
      <alignment horizontal="center" vertical="center"/>
    </xf>
    <xf numFmtId="0" fontId="20" fillId="8" borderId="6" xfId="0" applyFont="1" applyFill="1" applyBorder="1" applyAlignment="1">
      <alignment horizontal="center" vertical="center"/>
    </xf>
    <xf numFmtId="0" fontId="23" fillId="13" borderId="0" xfId="0" applyFont="1" applyFill="1" applyAlignment="1">
      <alignment horizontal="center"/>
    </xf>
    <xf numFmtId="0" fontId="26" fillId="0" borderId="12" xfId="0" applyFont="1" applyBorder="1" applyAlignment="1">
      <alignment horizontal="center" vertical="center"/>
    </xf>
    <xf numFmtId="0" fontId="26" fillId="0" borderId="7" xfId="0" applyFont="1" applyBorder="1" applyAlignment="1">
      <alignment horizontal="center" vertical="center"/>
    </xf>
    <xf numFmtId="0" fontId="23" fillId="4" borderId="10" xfId="0" applyFont="1" applyFill="1" applyBorder="1"/>
    <xf numFmtId="0" fontId="23" fillId="4" borderId="14" xfId="0" applyFont="1" applyFill="1" applyBorder="1"/>
    <xf numFmtId="0" fontId="23" fillId="4" borderId="15" xfId="0" applyFont="1" applyFill="1" applyBorder="1"/>
    <xf numFmtId="0" fontId="23" fillId="4" borderId="12" xfId="0" applyFont="1" applyFill="1" applyBorder="1"/>
    <xf numFmtId="0" fontId="23" fillId="4" borderId="2" xfId="0" applyFont="1" applyFill="1" applyBorder="1"/>
    <xf numFmtId="0" fontId="23" fillId="4" borderId="13" xfId="0" applyFont="1" applyFill="1" applyBorder="1"/>
    <xf numFmtId="0" fontId="23" fillId="13" borderId="0" xfId="0" applyFont="1" applyFill="1" applyAlignment="1">
      <alignment wrapText="1"/>
    </xf>
    <xf numFmtId="0" fontId="23" fillId="13" borderId="0" xfId="0" applyFont="1" applyFill="1"/>
    <xf numFmtId="0" fontId="2" fillId="0" borderId="12" xfId="0" applyFont="1" applyBorder="1" applyAlignment="1">
      <alignment horizontal="center" vertical="center"/>
    </xf>
    <xf numFmtId="0" fontId="2" fillId="0" borderId="7" xfId="0" applyFont="1" applyBorder="1" applyAlignment="1">
      <alignment horizontal="center" vertical="center"/>
    </xf>
    <xf numFmtId="0" fontId="5" fillId="0" borderId="0" xfId="0" applyFont="1"/>
    <xf numFmtId="0" fontId="1" fillId="5" borderId="3" xfId="0" applyFont="1" applyFill="1" applyBorder="1" applyAlignment="1">
      <alignment horizontal="center" vertical="center" wrapText="1"/>
    </xf>
    <xf numFmtId="0" fontId="1" fillId="0" borderId="1" xfId="0" applyFont="1" applyBorder="1" applyAlignment="1">
      <alignment horizontal="center" vertical="center"/>
    </xf>
    <xf numFmtId="0" fontId="22" fillId="0" borderId="1" xfId="4" applyFill="1" applyBorder="1" applyAlignment="1">
      <alignment horizontal="center" vertical="center"/>
    </xf>
    <xf numFmtId="0" fontId="33" fillId="21" borderId="0" xfId="0" applyFont="1" applyFill="1" applyAlignment="1">
      <alignment horizontal="center" vertical="center"/>
    </xf>
    <xf numFmtId="0" fontId="7" fillId="21" borderId="0" xfId="0" applyFont="1" applyFill="1" applyAlignment="1">
      <alignment horizontal="center" vertical="center" wrapText="1"/>
    </xf>
    <xf numFmtId="0" fontId="1" fillId="0" borderId="42" xfId="0" applyFont="1" applyBorder="1" applyAlignment="1">
      <alignment horizontal="center" vertical="center"/>
    </xf>
    <xf numFmtId="0" fontId="22" fillId="0" borderId="42" xfId="4" applyFill="1" applyBorder="1" applyAlignment="1">
      <alignment horizontal="center" vertical="center"/>
    </xf>
    <xf numFmtId="0" fontId="7" fillId="0" borderId="22" xfId="0" applyFont="1" applyBorder="1" applyAlignment="1">
      <alignment horizontal="center" vertical="center"/>
    </xf>
    <xf numFmtId="0" fontId="7" fillId="0" borderId="23" xfId="0" applyFont="1" applyBorder="1" applyAlignment="1">
      <alignment horizontal="center" vertical="center"/>
    </xf>
    <xf numFmtId="0" fontId="7" fillId="0" borderId="43" xfId="0" applyFont="1" applyBorder="1" applyAlignment="1">
      <alignment horizontal="center" vertical="center"/>
    </xf>
    <xf numFmtId="0" fontId="7" fillId="0" borderId="17" xfId="0" applyFont="1" applyBorder="1" applyAlignment="1">
      <alignment horizontal="center" vertical="center"/>
    </xf>
    <xf numFmtId="0" fontId="0" fillId="0" borderId="17" xfId="0" applyBorder="1" applyAlignment="1">
      <alignment horizontal="center"/>
    </xf>
    <xf numFmtId="0" fontId="7" fillId="0" borderId="19" xfId="0" applyFont="1" applyBorder="1" applyAlignment="1">
      <alignment horizontal="center" vertical="center"/>
    </xf>
    <xf numFmtId="0" fontId="8" fillId="4" borderId="3" xfId="0" applyFont="1" applyFill="1" applyBorder="1" applyAlignment="1">
      <alignment horizontal="center"/>
    </xf>
    <xf numFmtId="0" fontId="8" fillId="4" borderId="4" xfId="0" applyFont="1" applyFill="1" applyBorder="1" applyAlignment="1">
      <alignment horizontal="center"/>
    </xf>
    <xf numFmtId="0" fontId="8" fillId="4" borderId="3"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3" xfId="0" applyFont="1" applyFill="1" applyBorder="1" applyAlignment="1">
      <alignment horizontal="center" wrapText="1"/>
    </xf>
    <xf numFmtId="0" fontId="8" fillId="4" borderId="5" xfId="0" applyFont="1" applyFill="1" applyBorder="1" applyAlignment="1">
      <alignment horizontal="center"/>
    </xf>
    <xf numFmtId="0" fontId="8" fillId="4" borderId="0" xfId="0" applyFont="1" applyFill="1" applyAlignment="1">
      <alignment horizontal="center"/>
    </xf>
    <xf numFmtId="0" fontId="7" fillId="0" borderId="8"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21" fillId="8" borderId="8" xfId="0" applyFont="1" applyFill="1" applyBorder="1" applyAlignment="1">
      <alignment horizontal="center" vertical="center"/>
    </xf>
    <xf numFmtId="0" fontId="21" fillId="8" borderId="6" xfId="0" applyFont="1" applyFill="1" applyBorder="1" applyAlignment="1">
      <alignment horizontal="center" vertical="center"/>
    </xf>
    <xf numFmtId="0" fontId="21" fillId="8" borderId="7" xfId="0" applyFont="1" applyFill="1" applyBorder="1" applyAlignment="1">
      <alignment horizontal="center" vertical="center"/>
    </xf>
    <xf numFmtId="0" fontId="21" fillId="0" borderId="8" xfId="0" applyFont="1" applyBorder="1" applyAlignment="1">
      <alignment horizontal="center" vertical="center"/>
    </xf>
    <xf numFmtId="0" fontId="21" fillId="0" borderId="6" xfId="0" applyFont="1" applyBorder="1" applyAlignment="1">
      <alignment horizontal="center" vertical="center"/>
    </xf>
    <xf numFmtId="0" fontId="21" fillId="0" borderId="7" xfId="0" applyFont="1" applyBorder="1" applyAlignment="1">
      <alignment horizontal="center" vertical="center"/>
    </xf>
    <xf numFmtId="0" fontId="1" fillId="2" borderId="3"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4" xfId="0" applyFont="1" applyFill="1" applyBorder="1" applyAlignment="1">
      <alignment horizontal="center" vertical="center"/>
    </xf>
    <xf numFmtId="0" fontId="1" fillId="6" borderId="8" xfId="0" applyFont="1" applyFill="1" applyBorder="1" applyAlignment="1">
      <alignment horizontal="center" vertical="center" wrapText="1"/>
    </xf>
    <xf numFmtId="0" fontId="1" fillId="6" borderId="7"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0" borderId="0" xfId="0" applyFont="1" applyAlignment="1">
      <alignment horizontal="center" vertical="center"/>
    </xf>
    <xf numFmtId="0" fontId="33" fillId="18" borderId="3" xfId="0" applyFont="1" applyFill="1" applyBorder="1" applyAlignment="1">
      <alignment horizontal="center"/>
    </xf>
    <xf numFmtId="0" fontId="33" fillId="18" borderId="9" xfId="0" applyFont="1" applyFill="1" applyBorder="1" applyAlignment="1">
      <alignment horizontal="center"/>
    </xf>
    <xf numFmtId="0" fontId="33" fillId="18" borderId="4" xfId="0" applyFont="1" applyFill="1" applyBorder="1" applyAlignment="1">
      <alignment horizontal="center"/>
    </xf>
    <xf numFmtId="0" fontId="23" fillId="0" borderId="0" xfId="0" applyFont="1" applyAlignment="1">
      <alignment horizontal="center"/>
    </xf>
    <xf numFmtId="0" fontId="0" fillId="0" borderId="8"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20" fillId="8" borderId="8" xfId="0" applyFont="1" applyFill="1" applyBorder="1" applyAlignment="1">
      <alignment horizontal="center" vertical="center"/>
    </xf>
    <xf numFmtId="0" fontId="20" fillId="8" borderId="6" xfId="0" applyFont="1" applyFill="1" applyBorder="1" applyAlignment="1">
      <alignment horizontal="center" vertical="center"/>
    </xf>
    <xf numFmtId="0" fontId="20" fillId="8" borderId="7" xfId="0" applyFont="1" applyFill="1" applyBorder="1" applyAlignment="1">
      <alignment horizontal="center" vertical="center"/>
    </xf>
    <xf numFmtId="0" fontId="20" fillId="0" borderId="8" xfId="0" applyFont="1" applyBorder="1" applyAlignment="1">
      <alignment horizontal="center" vertical="center"/>
    </xf>
    <xf numFmtId="0" fontId="20" fillId="0" borderId="6" xfId="0" applyFont="1" applyBorder="1" applyAlignment="1">
      <alignment horizontal="center" vertical="center"/>
    </xf>
    <xf numFmtId="0" fontId="20" fillId="0" borderId="7" xfId="0" applyFont="1" applyBorder="1" applyAlignment="1">
      <alignment horizontal="center" vertical="center"/>
    </xf>
    <xf numFmtId="0" fontId="5" fillId="0" borderId="0" xfId="1" applyFont="1" applyAlignment="1">
      <alignment horizontal="center" vertical="center" wrapText="1"/>
    </xf>
  </cellXfs>
  <cellStyles count="6">
    <cellStyle name="Hiperlink" xfId="4" builtinId="8"/>
    <cellStyle name="Normal" xfId="0" builtinId="0"/>
    <cellStyle name="Normal 2" xfId="1" xr:uid="{5C987228-9C26-44FC-AC33-CF2B8C657AC3}"/>
    <cellStyle name="Normal 3" xfId="2" xr:uid="{1C40CA9C-8026-4673-9C8D-E62DAD20C20F}"/>
    <cellStyle name="Normal 4" xfId="3" xr:uid="{EF5C7D96-5681-424D-98AF-11D534CAB5EA}"/>
    <cellStyle name="Normal 5" xfId="5" xr:uid="{40B9A787-71AB-4D8D-9D95-1F1FB70CF669}"/>
  </cellStyles>
  <dxfs count="2">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A216C1B5-2E12-4018-902D-1CA77CBB2F54}"/>
  </tableStyles>
  <colors>
    <mruColors>
      <color rgb="FFD161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209551</xdr:colOff>
      <xdr:row>15</xdr:row>
      <xdr:rowOff>47624</xdr:rowOff>
    </xdr:from>
    <xdr:to>
      <xdr:col>22</xdr:col>
      <xdr:colOff>114300</xdr:colOff>
      <xdr:row>32</xdr:row>
      <xdr:rowOff>104774</xdr:rowOff>
    </xdr:to>
    <xdr:sp macro="" textlink="">
      <xdr:nvSpPr>
        <xdr:cNvPr id="2" name="Text Placeholder 2">
          <a:extLst>
            <a:ext uri="{FF2B5EF4-FFF2-40B4-BE49-F238E27FC236}">
              <a16:creationId xmlns:a16="http://schemas.microsoft.com/office/drawing/2014/main" id="{4477E9C1-895C-4633-8A11-B3F054C82C17}"/>
            </a:ext>
          </a:extLst>
        </xdr:cNvPr>
        <xdr:cNvSpPr>
          <a:spLocks noGrp="1"/>
        </xdr:cNvSpPr>
      </xdr:nvSpPr>
      <xdr:spPr>
        <a:xfrm>
          <a:off x="209551" y="4267199"/>
          <a:ext cx="13935074" cy="3133725"/>
        </a:xfrm>
        <a:prstGeom prst="rect">
          <a:avLst/>
        </a:prstGeom>
        <a:solidFill>
          <a:schemeClr val="bg1"/>
        </a:solidFill>
        <a:ln>
          <a:solidFill>
            <a:schemeClr val="tx1"/>
          </a:solidFill>
        </a:ln>
      </xdr:spPr>
      <xdr:txBody>
        <a:bodyPr vert="horz" wrap="square" lIns="0" tIns="0" rIns="0" bIns="0" rtlCol="0" anchor="b">
          <a:noAutofit/>
        </a:bodyPr>
        <a:lstStyle>
          <a:lvl1pPr marL="0" indent="0" algn="l" defTabSz="914400" rtl="0" eaLnBrk="1" latinLnBrk="0" hangingPunct="1">
            <a:lnSpc>
              <a:spcPct val="110000"/>
            </a:lnSpc>
            <a:spcBef>
              <a:spcPts val="0"/>
            </a:spcBef>
            <a:spcAft>
              <a:spcPts val="600"/>
            </a:spcAft>
            <a:buClr>
              <a:schemeClr val="tx2"/>
            </a:buClr>
            <a:buFont typeface="Arial"/>
            <a:buNone/>
            <a:defRPr sz="1600" kern="1200">
              <a:solidFill>
                <a:schemeClr val="bg2">
                  <a:lumMod val="10000"/>
                </a:schemeClr>
              </a:solidFill>
              <a:latin typeface="Century Gothic" charset="0"/>
              <a:ea typeface="Century Gothic" charset="0"/>
              <a:cs typeface="Century Gothic" charset="0"/>
            </a:defRPr>
          </a:lvl1pPr>
          <a:lvl2pPr marL="411480" indent="-137160" algn="l" defTabSz="914400" rtl="0" eaLnBrk="1" latinLnBrk="0" hangingPunct="1">
            <a:lnSpc>
              <a:spcPct val="110000"/>
            </a:lnSpc>
            <a:spcBef>
              <a:spcPts val="0"/>
            </a:spcBef>
            <a:spcAft>
              <a:spcPts val="600"/>
            </a:spcAft>
            <a:buClr>
              <a:schemeClr val="tx2"/>
            </a:buClr>
            <a:buFont typeface="Arial"/>
            <a:buChar char="•"/>
            <a:defRPr sz="1400" kern="1200">
              <a:solidFill>
                <a:schemeClr val="bg2">
                  <a:lumMod val="10000"/>
                </a:schemeClr>
              </a:solidFill>
              <a:latin typeface="Century Gothic" charset="0"/>
              <a:ea typeface="Century Gothic" charset="0"/>
              <a:cs typeface="Century Gothic" charset="0"/>
            </a:defRPr>
          </a:lvl2pPr>
          <a:lvl3pPr marL="960120" indent="-137160" algn="l" defTabSz="914400" rtl="0" eaLnBrk="1" latinLnBrk="0" hangingPunct="1">
            <a:lnSpc>
              <a:spcPct val="110000"/>
            </a:lnSpc>
            <a:spcBef>
              <a:spcPts val="0"/>
            </a:spcBef>
            <a:spcAft>
              <a:spcPts val="600"/>
            </a:spcAft>
            <a:buClr>
              <a:schemeClr val="accent1"/>
            </a:buClr>
            <a:buFont typeface="Arial"/>
            <a:buChar char="•"/>
            <a:defRPr sz="1050" kern="1200">
              <a:solidFill>
                <a:schemeClr val="tx1"/>
              </a:solidFill>
              <a:latin typeface="Century Gothic" charset="0"/>
              <a:ea typeface="Century Gothic" charset="0"/>
              <a:cs typeface="Century Gothic" charset="0"/>
            </a:defRPr>
          </a:lvl3pPr>
          <a:lvl4pPr marL="1600200" indent="-228600" algn="l" defTabSz="914400" rtl="0" eaLnBrk="1" latinLnBrk="0" hangingPunct="1">
            <a:lnSpc>
              <a:spcPct val="110000"/>
            </a:lnSpc>
            <a:spcBef>
              <a:spcPts val="0"/>
            </a:spcBef>
            <a:spcAft>
              <a:spcPts val="600"/>
            </a:spcAft>
            <a:buClr>
              <a:schemeClr val="accent1"/>
            </a:buClr>
            <a:buFont typeface="Arial"/>
            <a:buChar char="•"/>
            <a:defRPr sz="1050" kern="1200">
              <a:solidFill>
                <a:schemeClr val="tx1"/>
              </a:solidFill>
              <a:latin typeface="Century Gothic" charset="0"/>
              <a:ea typeface="Century Gothic" charset="0"/>
              <a:cs typeface="Century Gothic" charset="0"/>
            </a:defRPr>
          </a:lvl4pPr>
          <a:lvl5pPr marL="2057400" indent="-228600" algn="l" defTabSz="914400" rtl="0" eaLnBrk="1" latinLnBrk="0" hangingPunct="1">
            <a:lnSpc>
              <a:spcPct val="110000"/>
            </a:lnSpc>
            <a:spcBef>
              <a:spcPts val="0"/>
            </a:spcBef>
            <a:spcAft>
              <a:spcPts val="600"/>
            </a:spcAft>
            <a:buClr>
              <a:schemeClr val="accent1"/>
            </a:buClr>
            <a:buFont typeface="Arial"/>
            <a:buChar char="•"/>
            <a:defRPr sz="1050" kern="1200">
              <a:solidFill>
                <a:schemeClr val="tx1"/>
              </a:solidFill>
              <a:latin typeface="Century Gothic" charset="0"/>
              <a:ea typeface="Century Gothic" charset="0"/>
              <a:cs typeface="Century Gothic" charset="0"/>
            </a:defRPr>
          </a:lvl5pPr>
          <a:lvl6pPr marL="2514600" indent="-228600" algn="l" defTabSz="914400" rtl="0" eaLnBrk="1" latinLnBrk="0" hangingPunct="1">
            <a:lnSpc>
              <a:spcPct val="90000"/>
            </a:lnSpc>
            <a:spcBef>
              <a:spcPts val="500"/>
            </a:spcBef>
            <a:buFont typeface="Arial"/>
            <a:buChar char="•"/>
            <a:defRPr sz="1800" kern="1200">
              <a:solidFill>
                <a:schemeClr val="tx1"/>
              </a:solidFill>
              <a:latin typeface="+mn-lt"/>
              <a:ea typeface="+mn-ea"/>
              <a:cs typeface="+mn-cs"/>
            </a:defRPr>
          </a:lvl6pPr>
          <a:lvl7pPr marL="2971800" indent="-228600" algn="l" defTabSz="914400" rtl="0" eaLnBrk="1" latinLnBrk="0" hangingPunct="1">
            <a:lnSpc>
              <a:spcPct val="90000"/>
            </a:lnSpc>
            <a:spcBef>
              <a:spcPts val="500"/>
            </a:spcBef>
            <a:buFont typeface="Arial"/>
            <a:buChar char="•"/>
            <a:defRPr sz="1800" kern="1200">
              <a:solidFill>
                <a:schemeClr val="tx1"/>
              </a:solidFill>
              <a:latin typeface="+mn-lt"/>
              <a:ea typeface="+mn-ea"/>
              <a:cs typeface="+mn-cs"/>
            </a:defRPr>
          </a:lvl7pPr>
          <a:lvl8pPr marL="3429000" indent="-228600" algn="l" defTabSz="914400" rtl="0" eaLnBrk="1" latinLnBrk="0" hangingPunct="1">
            <a:lnSpc>
              <a:spcPct val="90000"/>
            </a:lnSpc>
            <a:spcBef>
              <a:spcPts val="500"/>
            </a:spcBef>
            <a:buFont typeface="Arial"/>
            <a:buChar char="•"/>
            <a:defRPr sz="1800" kern="1200">
              <a:solidFill>
                <a:schemeClr val="tx1"/>
              </a:solidFill>
              <a:latin typeface="+mn-lt"/>
              <a:ea typeface="+mn-ea"/>
              <a:cs typeface="+mn-cs"/>
            </a:defRPr>
          </a:lvl8pPr>
          <a:lvl9pPr marL="3886200" indent="-228600" algn="l" defTabSz="914400" rtl="0" eaLnBrk="1" latinLnBrk="0" hangingPunct="1">
            <a:lnSpc>
              <a:spcPct val="90000"/>
            </a:lnSpc>
            <a:spcBef>
              <a:spcPts val="500"/>
            </a:spcBef>
            <a:buFont typeface="Arial"/>
            <a:buChar char="•"/>
            <a:defRPr sz="1800" kern="1200">
              <a:solidFill>
                <a:schemeClr val="tx1"/>
              </a:solidFill>
              <a:latin typeface="+mn-lt"/>
              <a:ea typeface="+mn-ea"/>
              <a:cs typeface="+mn-cs"/>
            </a:defRPr>
          </a:lvl9pPr>
        </a:lstStyle>
        <a:p>
          <a:pPr>
            <a:buClr>
              <a:schemeClr val="accent1"/>
            </a:buClr>
          </a:pPr>
          <a:r>
            <a:rPr lang="en-US" sz="1600" b="1">
              <a:solidFill>
                <a:schemeClr val="accent1"/>
              </a:solidFill>
            </a:rPr>
            <a:t>The following requirements must be observed:</a:t>
          </a:r>
        </a:p>
        <a:p>
          <a:pPr>
            <a:buClr>
              <a:schemeClr val="accent1"/>
            </a:buClr>
          </a:pPr>
          <a:endParaRPr lang="en-US" sz="1600" b="1">
            <a:solidFill>
              <a:schemeClr val="accent1"/>
            </a:solidFill>
          </a:endParaRPr>
        </a:p>
        <a:p>
          <a:pPr marL="285750" indent="-285750">
            <a:buClr>
              <a:schemeClr val="accent1"/>
            </a:buClr>
            <a:buFont typeface="Wingdings" panose="05000000000000000000" pitchFamily="2" charset="2"/>
            <a:buChar char="ü"/>
          </a:pPr>
          <a:r>
            <a:rPr lang="en-GB" sz="1400"/>
            <a:t>In every convention, the </a:t>
          </a:r>
          <a:r>
            <a:rPr lang="en-GB" sz="1400" b="1" u="sng"/>
            <a:t>order of variables is material</a:t>
          </a:r>
          <a:r>
            <a:rPr lang="en-GB" sz="1400" b="1"/>
            <a:t> </a:t>
          </a:r>
          <a:r>
            <a:rPr lang="en-GB" sz="1400"/>
            <a:t>and </a:t>
          </a:r>
          <a:r>
            <a:rPr lang="en-GB" sz="1400" b="1"/>
            <a:t>should not be altered </a:t>
          </a:r>
          <a:r>
            <a:rPr lang="en-GB" sz="1400"/>
            <a:t>in any way.</a:t>
          </a:r>
        </a:p>
        <a:p>
          <a:pPr marL="285750" indent="-285750">
            <a:buClr>
              <a:schemeClr val="accent1"/>
            </a:buClr>
            <a:buFont typeface="Wingdings" panose="05000000000000000000" pitchFamily="2" charset="2"/>
            <a:buChar char="ü"/>
          </a:pPr>
          <a:r>
            <a:rPr lang="en-GB" sz="1400"/>
            <a:t>If there is no value to add to any of the field mentioned (i.e not applicable), you can add “X” there, just to make sure we have the right number of fields in the convention generated. This helps in aggregated reporting and to look for certain values at a certain position.</a:t>
          </a:r>
        </a:p>
        <a:p>
          <a:pPr marL="285750" indent="-285750">
            <a:buClr>
              <a:schemeClr val="accent1"/>
            </a:buClr>
            <a:buFont typeface="Wingdings" panose="05000000000000000000" pitchFamily="2" charset="2"/>
            <a:buChar char="ü"/>
          </a:pPr>
          <a:r>
            <a:rPr lang="en-GB" sz="1400"/>
            <a:t>Due to character limits some variables are abbreviated; accepted abbreviations have been provided and these definitions must be adhered to. Wherever possible existing variables and the associated predefined abbreviations should be used.</a:t>
          </a:r>
        </a:p>
        <a:p>
          <a:pPr marL="285750" indent="-285750">
            <a:buClr>
              <a:schemeClr val="accent1"/>
            </a:buClr>
            <a:buFont typeface="Wingdings" panose="05000000000000000000" pitchFamily="2" charset="2"/>
            <a:buChar char="ü"/>
          </a:pPr>
          <a:r>
            <a:rPr lang="en-GB" sz="1400"/>
            <a:t>An underscore (“_" ) is to be used as delimiter between variables for all</a:t>
          </a:r>
          <a:r>
            <a:rPr lang="en-GB" sz="1400" baseline="0"/>
            <a:t> the</a:t>
          </a:r>
          <a:r>
            <a:rPr lang="en-GB" sz="1400"/>
            <a:t> conventions</a:t>
          </a:r>
          <a:r>
            <a:rPr lang="en-GB" sz="1400" baseline="0"/>
            <a:t> at every level.</a:t>
          </a:r>
          <a:endParaRPr lang="en-GB" sz="1400"/>
        </a:p>
        <a:p>
          <a:pPr marL="285750" indent="-285750">
            <a:buClr>
              <a:schemeClr val="accent1"/>
            </a:buClr>
            <a:buFont typeface="Wingdings" panose="05000000000000000000" pitchFamily="2" charset="2"/>
            <a:buChar char="ü"/>
          </a:pPr>
          <a:r>
            <a:rPr lang="en-GB" sz="1400"/>
            <a:t>Do</a:t>
          </a:r>
          <a:r>
            <a:rPr lang="en-GB" sz="1400" baseline="0"/>
            <a:t> not put underscores in your free form text. </a:t>
          </a:r>
        </a:p>
        <a:p>
          <a:pPr marL="285750" indent="-285750">
            <a:buClr>
              <a:schemeClr val="accent1"/>
            </a:buClr>
            <a:buFont typeface="Wingdings" panose="05000000000000000000" pitchFamily="2" charset="2"/>
            <a:buChar char="ü"/>
          </a:pPr>
          <a:r>
            <a:rPr lang="en-GB" sz="1400" baseline="0"/>
            <a:t>Try to avoid using</a:t>
          </a:r>
          <a:r>
            <a:rPr lang="en-GB" sz="1400"/>
            <a:t> spaces in the text,</a:t>
          </a:r>
          <a:r>
            <a:rPr lang="en-GB" sz="1400" baseline="0"/>
            <a:t> instead you can use hyphens or use camel casing eg EssilorCampaignAlwaysOn.</a:t>
          </a:r>
          <a:endParaRPr lang="en-GB" sz="1400"/>
        </a:p>
        <a:p>
          <a:pPr marL="159143" indent="-159143">
            <a:buClr>
              <a:schemeClr val="accent1"/>
            </a:buClr>
          </a:pPr>
          <a:endParaRPr lang="en-US" sz="1400"/>
        </a:p>
        <a:p>
          <a:endParaRPr lang="en-GB" sz="1400"/>
        </a:p>
      </xdr:txBody>
    </xdr:sp>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countrycode.org/"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x:/r/sites/EssilorGlobal/_layouts/15/Doc.aspx?sourcedoc=%7B11468E32-7771-4769-8594-4817577D51B0%7D&amp;file=20211222%20-%20Media%20Ad%20Naming%20Convention%20for%20NEO%20Dashboard%20%20-%20v1.xlsx&amp;action=default&amp;mobileredirect=true&amp;cid=18c09563-d89b-441a-898c-490ca5d11608" TargetMode="External"/><Relationship Id="rId1" Type="http://schemas.openxmlformats.org/officeDocument/2006/relationships/hyperlink" Target="../../../../../../:x:/r/sites/EssilorGlobal/_layouts/15/Doc.aspx?sourcedoc=%7B11468E32-7771-4769-8594-4817577D51B0%7D&amp;file=20211222%20-%20Media%20Ad%20Naming%20Convention%20for%20NEO%20Dashboard%20%20-%20v1.xlsx&amp;action=default&amp;mobileredirect=true&amp;cid=18c09563-d89b-441a-898c-490ca5d11608"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countrycode.org/"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20F6F-417E-4B9B-B732-E0FC7A4ECC08}">
  <dimension ref="B3:D11"/>
  <sheetViews>
    <sheetView showGridLines="0" topLeftCell="A16" zoomScale="68" zoomScaleNormal="68" workbookViewId="0">
      <selection activeCell="Y20" sqref="Y20"/>
    </sheetView>
  </sheetViews>
  <sheetFormatPr defaultColWidth="8.54296875" defaultRowHeight="15.5" x14ac:dyDescent="0.35"/>
  <cols>
    <col min="1" max="2" width="8.54296875" style="1"/>
    <col min="3" max="3" width="27.453125" style="1" customWidth="1"/>
    <col min="4" max="16384" width="8.54296875" style="1"/>
  </cols>
  <sheetData>
    <row r="3" spans="2:4" x14ac:dyDescent="0.35">
      <c r="B3" s="2" t="s">
        <v>0</v>
      </c>
      <c r="C3" s="2"/>
    </row>
    <row r="4" spans="2:4" x14ac:dyDescent="0.35">
      <c r="B4" s="108">
        <v>1</v>
      </c>
      <c r="C4" s="25" t="s">
        <v>1</v>
      </c>
      <c r="D4" s="1" t="s">
        <v>2</v>
      </c>
    </row>
    <row r="5" spans="2:4" x14ac:dyDescent="0.35">
      <c r="B5" s="108">
        <v>2</v>
      </c>
      <c r="C5" s="25" t="s">
        <v>3</v>
      </c>
      <c r="D5" s="1" t="s">
        <v>4</v>
      </c>
    </row>
    <row r="6" spans="2:4" x14ac:dyDescent="0.35">
      <c r="B6" s="229">
        <v>3</v>
      </c>
      <c r="C6" s="230" t="s">
        <v>5</v>
      </c>
      <c r="D6" s="20" t="s">
        <v>6</v>
      </c>
    </row>
    <row r="7" spans="2:4" x14ac:dyDescent="0.35">
      <c r="B7" s="108">
        <v>4</v>
      </c>
      <c r="C7" s="25" t="s">
        <v>7</v>
      </c>
      <c r="D7" s="1" t="s">
        <v>8</v>
      </c>
    </row>
    <row r="11" spans="2:4" x14ac:dyDescent="0.35">
      <c r="B11" s="2" t="s">
        <v>9</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43149-E549-4F81-B9A5-52EA3D51D706}">
  <dimension ref="A1:C44"/>
  <sheetViews>
    <sheetView workbookViewId="0">
      <selection activeCell="B28" sqref="B28"/>
    </sheetView>
  </sheetViews>
  <sheetFormatPr defaultColWidth="68" defaultRowHeight="12" x14ac:dyDescent="0.35"/>
  <cols>
    <col min="1" max="1" width="29.453125" style="16" bestFit="1" customWidth="1"/>
    <col min="2" max="2" width="31.1796875" style="16" bestFit="1" customWidth="1"/>
    <col min="3" max="3" width="66.54296875" style="16" customWidth="1"/>
    <col min="4" max="16384" width="68" style="16"/>
  </cols>
  <sheetData>
    <row r="1" spans="1:3" x14ac:dyDescent="0.35">
      <c r="A1" s="15" t="s">
        <v>10</v>
      </c>
      <c r="B1" s="15" t="s">
        <v>11</v>
      </c>
      <c r="C1" s="15" t="s">
        <v>12</v>
      </c>
    </row>
    <row r="2" spans="1:3" x14ac:dyDescent="0.35">
      <c r="A2" s="16" t="s">
        <v>13</v>
      </c>
      <c r="B2" s="16" t="s">
        <v>14</v>
      </c>
    </row>
    <row r="3" spans="1:3" x14ac:dyDescent="0.35">
      <c r="A3" s="16" t="s">
        <v>15</v>
      </c>
      <c r="B3" s="16" t="s">
        <v>16</v>
      </c>
      <c r="C3" s="16" t="s">
        <v>17</v>
      </c>
    </row>
    <row r="4" spans="1:3" x14ac:dyDescent="0.35">
      <c r="A4" s="16" t="s">
        <v>18</v>
      </c>
      <c r="B4" s="16" t="s">
        <v>19</v>
      </c>
      <c r="C4" s="16" t="s">
        <v>20</v>
      </c>
    </row>
    <row r="5" spans="1:3" x14ac:dyDescent="0.35">
      <c r="A5" s="16" t="s">
        <v>21</v>
      </c>
      <c r="B5" s="16" t="s">
        <v>22</v>
      </c>
      <c r="C5" s="16" t="s">
        <v>23</v>
      </c>
    </row>
    <row r="6" spans="1:3" x14ac:dyDescent="0.35">
      <c r="A6" s="16" t="s">
        <v>24</v>
      </c>
      <c r="B6" s="16" t="s">
        <v>25</v>
      </c>
      <c r="C6" s="16" t="s">
        <v>25</v>
      </c>
    </row>
    <row r="7" spans="1:3" x14ac:dyDescent="0.35">
      <c r="A7" s="16" t="s">
        <v>26</v>
      </c>
      <c r="B7" s="16" t="s">
        <v>27</v>
      </c>
      <c r="C7" s="16" t="s">
        <v>28</v>
      </c>
    </row>
    <row r="8" spans="1:3" x14ac:dyDescent="0.35">
      <c r="A8" s="16" t="s">
        <v>29</v>
      </c>
      <c r="B8" s="16" t="s">
        <v>30</v>
      </c>
      <c r="C8" s="16" t="s">
        <v>31</v>
      </c>
    </row>
    <row r="9" spans="1:3" x14ac:dyDescent="0.35">
      <c r="A9" s="16" t="s">
        <v>32</v>
      </c>
      <c r="B9" s="16" t="s">
        <v>33</v>
      </c>
      <c r="C9" s="16" t="s">
        <v>34</v>
      </c>
    </row>
    <row r="10" spans="1:3" x14ac:dyDescent="0.3">
      <c r="A10" s="16" t="s">
        <v>35</v>
      </c>
      <c r="B10" s="16" t="s">
        <v>36</v>
      </c>
      <c r="C10" s="18" t="s">
        <v>37</v>
      </c>
    </row>
    <row r="11" spans="1:3" x14ac:dyDescent="0.35">
      <c r="A11" s="16" t="s">
        <v>38</v>
      </c>
      <c r="B11" s="16" t="s">
        <v>39</v>
      </c>
      <c r="C11" s="16" t="s">
        <v>40</v>
      </c>
    </row>
    <row r="12" spans="1:3" x14ac:dyDescent="0.35">
      <c r="A12" s="16" t="s">
        <v>41</v>
      </c>
      <c r="B12" s="16" t="s">
        <v>42</v>
      </c>
      <c r="C12" s="16" t="s">
        <v>43</v>
      </c>
    </row>
    <row r="13" spans="1:3" x14ac:dyDescent="0.35">
      <c r="A13" s="16" t="s">
        <v>44</v>
      </c>
      <c r="B13" s="16" t="s">
        <v>45</v>
      </c>
      <c r="C13" s="16" t="s">
        <v>46</v>
      </c>
    </row>
    <row r="14" spans="1:3" x14ac:dyDescent="0.35">
      <c r="A14" s="16" t="s">
        <v>47</v>
      </c>
      <c r="B14" s="16" t="s">
        <v>48</v>
      </c>
      <c r="C14" s="16" t="s">
        <v>49</v>
      </c>
    </row>
    <row r="15" spans="1:3" x14ac:dyDescent="0.35">
      <c r="A15" s="16" t="s">
        <v>50</v>
      </c>
      <c r="B15" s="16" t="s">
        <v>51</v>
      </c>
      <c r="C15" s="16" t="s">
        <v>52</v>
      </c>
    </row>
    <row r="16" spans="1:3" x14ac:dyDescent="0.35">
      <c r="A16" s="16" t="s">
        <v>53</v>
      </c>
      <c r="B16" s="16" t="s">
        <v>53</v>
      </c>
      <c r="C16" s="16" t="s">
        <v>54</v>
      </c>
    </row>
    <row r="17" spans="1:3" x14ac:dyDescent="0.35">
      <c r="A17" s="16" t="s">
        <v>55</v>
      </c>
      <c r="B17" s="16" t="s">
        <v>56</v>
      </c>
      <c r="C17" s="16" t="s">
        <v>57</v>
      </c>
    </row>
    <row r="18" spans="1:3" x14ac:dyDescent="0.35">
      <c r="A18" s="16" t="s">
        <v>58</v>
      </c>
      <c r="B18" s="16" t="s">
        <v>58</v>
      </c>
      <c r="C18" s="19" t="s">
        <v>59</v>
      </c>
    </row>
    <row r="19" spans="1:3" x14ac:dyDescent="0.35">
      <c r="A19" s="16" t="s">
        <v>60</v>
      </c>
      <c r="B19" s="16" t="s">
        <v>60</v>
      </c>
      <c r="C19" s="16" t="s">
        <v>61</v>
      </c>
    </row>
    <row r="20" spans="1:3" x14ac:dyDescent="0.35">
      <c r="A20" s="16" t="s">
        <v>62</v>
      </c>
      <c r="B20" s="16" t="s">
        <v>62</v>
      </c>
      <c r="C20" s="16">
        <v>123</v>
      </c>
    </row>
    <row r="21" spans="1:3" x14ac:dyDescent="0.35">
      <c r="A21" s="16" t="s">
        <v>63</v>
      </c>
      <c r="B21" s="16" t="s">
        <v>64</v>
      </c>
      <c r="C21" s="16" t="s">
        <v>65</v>
      </c>
    </row>
    <row r="22" spans="1:3" x14ac:dyDescent="0.35">
      <c r="A22" s="16" t="s">
        <v>66</v>
      </c>
      <c r="B22" s="16" t="s">
        <v>67</v>
      </c>
      <c r="C22" s="16" t="s">
        <v>68</v>
      </c>
    </row>
    <row r="23" spans="1:3" x14ac:dyDescent="0.35">
      <c r="A23" s="16" t="s">
        <v>69</v>
      </c>
      <c r="B23" s="16" t="s">
        <v>70</v>
      </c>
      <c r="C23" s="16" t="s">
        <v>70</v>
      </c>
    </row>
    <row r="24" spans="1:3" x14ac:dyDescent="0.35">
      <c r="A24" s="16" t="s">
        <v>71</v>
      </c>
      <c r="B24" s="16" t="s">
        <v>72</v>
      </c>
      <c r="C24" s="16" t="s">
        <v>73</v>
      </c>
    </row>
    <row r="25" spans="1:3" x14ac:dyDescent="0.35">
      <c r="A25" s="16" t="s">
        <v>74</v>
      </c>
      <c r="B25" s="16" t="s">
        <v>75</v>
      </c>
      <c r="C25" s="16" t="s">
        <v>76</v>
      </c>
    </row>
    <row r="26" spans="1:3" x14ac:dyDescent="0.35">
      <c r="A26" s="16" t="s">
        <v>77</v>
      </c>
      <c r="B26" s="16" t="s">
        <v>78</v>
      </c>
      <c r="C26" s="16" t="s">
        <v>79</v>
      </c>
    </row>
    <row r="27" spans="1:3" x14ac:dyDescent="0.35">
      <c r="A27" s="16" t="s">
        <v>80</v>
      </c>
      <c r="B27" s="16" t="s">
        <v>81</v>
      </c>
      <c r="C27" s="16" t="s">
        <v>82</v>
      </c>
    </row>
    <row r="28" spans="1:3" x14ac:dyDescent="0.35">
      <c r="A28" s="16" t="s">
        <v>83</v>
      </c>
      <c r="B28" s="16" t="s">
        <v>84</v>
      </c>
      <c r="C28" s="16" t="s">
        <v>85</v>
      </c>
    </row>
    <row r="29" spans="1:3" x14ac:dyDescent="0.35">
      <c r="A29" s="16" t="s">
        <v>86</v>
      </c>
      <c r="B29" s="16" t="s">
        <v>87</v>
      </c>
      <c r="C29" s="16" t="s">
        <v>88</v>
      </c>
    </row>
    <row r="30" spans="1:3" x14ac:dyDescent="0.35">
      <c r="A30" s="16" t="s">
        <v>89</v>
      </c>
      <c r="B30" s="16" t="s">
        <v>90</v>
      </c>
      <c r="C30" s="16" t="s">
        <v>91</v>
      </c>
    </row>
    <row r="31" spans="1:3" x14ac:dyDescent="0.35">
      <c r="A31" s="16" t="s">
        <v>92</v>
      </c>
      <c r="B31" s="16" t="s">
        <v>93</v>
      </c>
      <c r="C31" s="16" t="s">
        <v>94</v>
      </c>
    </row>
    <row r="32" spans="1:3" x14ac:dyDescent="0.35">
      <c r="A32" s="16" t="s">
        <v>95</v>
      </c>
      <c r="B32" s="16" t="s">
        <v>96</v>
      </c>
      <c r="C32" s="16" t="s">
        <v>97</v>
      </c>
    </row>
    <row r="33" spans="1:3" x14ac:dyDescent="0.35">
      <c r="A33" s="16" t="s">
        <v>98</v>
      </c>
      <c r="B33" s="16" t="s">
        <v>99</v>
      </c>
      <c r="C33" s="16" t="s">
        <v>100</v>
      </c>
    </row>
    <row r="34" spans="1:3" x14ac:dyDescent="0.35">
      <c r="A34" s="16" t="s">
        <v>101</v>
      </c>
      <c r="B34" s="16" t="s">
        <v>102</v>
      </c>
      <c r="C34" s="16" t="s">
        <v>103</v>
      </c>
    </row>
    <row r="35" spans="1:3" x14ac:dyDescent="0.35">
      <c r="A35" s="16" t="s">
        <v>104</v>
      </c>
      <c r="B35" s="16" t="s">
        <v>105</v>
      </c>
      <c r="C35" s="16" t="s">
        <v>106</v>
      </c>
    </row>
    <row r="36" spans="1:3" x14ac:dyDescent="0.35">
      <c r="A36" s="16" t="s">
        <v>107</v>
      </c>
      <c r="B36" s="16" t="s">
        <v>108</v>
      </c>
      <c r="C36" s="16" t="s">
        <v>109</v>
      </c>
    </row>
    <row r="37" spans="1:3" x14ac:dyDescent="0.35">
      <c r="A37" s="16" t="s">
        <v>110</v>
      </c>
      <c r="B37" s="16" t="s">
        <v>111</v>
      </c>
      <c r="C37" s="16" t="s">
        <v>112</v>
      </c>
    </row>
    <row r="38" spans="1:3" x14ac:dyDescent="0.35">
      <c r="A38" s="16" t="s">
        <v>113</v>
      </c>
      <c r="B38" s="16" t="s">
        <v>114</v>
      </c>
      <c r="C38" s="16" t="s">
        <v>115</v>
      </c>
    </row>
    <row r="39" spans="1:3" x14ac:dyDescent="0.35">
      <c r="A39" s="16" t="s">
        <v>116</v>
      </c>
      <c r="B39" s="16" t="s">
        <v>117</v>
      </c>
      <c r="C39" s="16" t="s">
        <v>118</v>
      </c>
    </row>
    <row r="40" spans="1:3" x14ac:dyDescent="0.35">
      <c r="A40" s="16" t="s">
        <v>119</v>
      </c>
      <c r="B40" s="16" t="s">
        <v>120</v>
      </c>
      <c r="C40" s="16" t="s">
        <v>121</v>
      </c>
    </row>
    <row r="41" spans="1:3" x14ac:dyDescent="0.35">
      <c r="A41" s="16" t="s">
        <v>122</v>
      </c>
      <c r="B41" s="16" t="s">
        <v>123</v>
      </c>
      <c r="C41" s="16" t="s">
        <v>124</v>
      </c>
    </row>
    <row r="42" spans="1:3" x14ac:dyDescent="0.35">
      <c r="A42" s="16" t="s">
        <v>125</v>
      </c>
      <c r="B42" s="16" t="s">
        <v>126</v>
      </c>
      <c r="C42" s="16">
        <v>2021</v>
      </c>
    </row>
    <row r="43" spans="1:3" x14ac:dyDescent="0.35">
      <c r="A43" s="16" t="s">
        <v>127</v>
      </c>
      <c r="B43" s="16" t="s">
        <v>126</v>
      </c>
      <c r="C43" s="16" t="s">
        <v>128</v>
      </c>
    </row>
    <row r="44" spans="1:3" x14ac:dyDescent="0.35">
      <c r="A44" s="17"/>
      <c r="B44" s="17"/>
      <c r="C44" s="17"/>
    </row>
  </sheetData>
  <autoFilter ref="A1:C42" xr:uid="{24A372BB-9658-4625-AA5C-87807AADAE04}"/>
  <sortState xmlns:xlrd2="http://schemas.microsoft.com/office/spreadsheetml/2017/richdata2" ref="A2:A66">
    <sortCondition ref="A2:A66"/>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4D966-0175-461D-80CD-C94CCF6B14B4}">
  <sheetPr>
    <tabColor rgb="FF00B050"/>
  </sheetPr>
  <dimension ref="A1:AF102"/>
  <sheetViews>
    <sheetView showGridLines="0" tabSelected="1" topLeftCell="J1" zoomScale="60" zoomScaleNormal="60" workbookViewId="0">
      <selection activeCell="J7" sqref="J7:J41"/>
    </sheetView>
  </sheetViews>
  <sheetFormatPr defaultColWidth="8.54296875" defaultRowHeight="15.5" x14ac:dyDescent="0.35"/>
  <cols>
    <col min="1" max="1" width="25" style="1" customWidth="1"/>
    <col min="2" max="2" width="8.54296875" style="1"/>
    <col min="3" max="3" width="2.54296875" style="1" customWidth="1"/>
    <col min="4" max="4" width="12.54296875" style="1" bestFit="1" customWidth="1"/>
    <col min="5" max="5" width="8.54296875" style="1"/>
    <col min="6" max="6" width="2.54296875" style="1" customWidth="1"/>
    <col min="7" max="7" width="39.81640625" style="1" bestFit="1" customWidth="1"/>
    <col min="8" max="8" width="8.54296875" style="1"/>
    <col min="9" max="9" width="5.1796875" style="1" customWidth="1"/>
    <col min="10" max="10" width="20.54296875" style="1" customWidth="1"/>
    <col min="11" max="11" width="21.453125" style="1" customWidth="1"/>
    <col min="12" max="12" width="48.81640625" style="1" customWidth="1"/>
    <col min="13" max="13" width="13.453125" style="1" customWidth="1"/>
    <col min="14" max="14" width="19.1796875" style="1" bestFit="1" customWidth="1"/>
    <col min="15" max="15" width="4.453125" style="1" customWidth="1"/>
    <col min="16" max="16" width="33.1796875" style="1" customWidth="1"/>
    <col min="17" max="17" width="23.54296875" style="1" customWidth="1"/>
    <col min="18" max="18" width="8.54296875" style="1"/>
    <col min="19" max="19" width="32.453125" style="1" customWidth="1"/>
    <col min="20" max="20" width="73.1796875" style="1" customWidth="1"/>
    <col min="21" max="21" width="8.54296875" style="1" customWidth="1"/>
    <col min="22" max="22" width="36.453125" style="1" bestFit="1" customWidth="1"/>
    <col min="23" max="23" width="10.81640625" style="1" customWidth="1"/>
    <col min="24" max="24" width="8.54296875" style="1" customWidth="1"/>
    <col min="25" max="25" width="13.54296875" style="1" bestFit="1" customWidth="1"/>
    <col min="26" max="26" width="12.81640625" style="1" customWidth="1"/>
    <col min="27" max="27" width="8.54296875" style="1"/>
    <col min="28" max="28" width="22.453125" style="1" bestFit="1" customWidth="1"/>
    <col min="29" max="30" width="8.54296875" style="1"/>
    <col min="31" max="31" width="16.1796875" style="1" customWidth="1"/>
    <col min="32" max="32" width="12" style="1" customWidth="1"/>
    <col min="33" max="16384" width="8.54296875" style="1"/>
  </cols>
  <sheetData>
    <row r="1" spans="1:32" x14ac:dyDescent="0.35">
      <c r="A1" s="2" t="s">
        <v>129</v>
      </c>
      <c r="B1" s="2"/>
      <c r="C1" s="2"/>
      <c r="D1" s="2"/>
      <c r="E1" s="2"/>
      <c r="F1" s="2"/>
      <c r="G1" s="2"/>
      <c r="H1" s="2"/>
      <c r="I1" s="2"/>
      <c r="J1" s="2"/>
      <c r="K1" s="2"/>
      <c r="L1" s="2"/>
      <c r="M1" s="2"/>
      <c r="N1" s="2"/>
      <c r="O1" s="2"/>
      <c r="P1" s="2"/>
      <c r="Q1" s="2"/>
    </row>
    <row r="2" spans="1:32" x14ac:dyDescent="0.35">
      <c r="A2" s="20" t="s">
        <v>130</v>
      </c>
    </row>
    <row r="3" spans="1:32" x14ac:dyDescent="0.35">
      <c r="A3" s="20" t="s">
        <v>131</v>
      </c>
    </row>
    <row r="4" spans="1:32" x14ac:dyDescent="0.35">
      <c r="B4" s="108"/>
    </row>
    <row r="5" spans="1:32" x14ac:dyDescent="0.35">
      <c r="A5" s="2" t="s">
        <v>132</v>
      </c>
      <c r="B5" s="2"/>
      <c r="C5" s="2"/>
      <c r="D5" s="2"/>
    </row>
    <row r="6" spans="1:32" s="2" customFormat="1" x14ac:dyDescent="0.35">
      <c r="A6" s="295" t="s">
        <v>38</v>
      </c>
      <c r="B6" s="296"/>
      <c r="C6" s="3"/>
      <c r="D6" s="297" t="s">
        <v>21</v>
      </c>
      <c r="E6" s="298"/>
      <c r="F6" s="107"/>
      <c r="G6" s="295" t="s">
        <v>53</v>
      </c>
      <c r="H6" s="296"/>
      <c r="I6" s="107"/>
      <c r="J6" s="30" t="s">
        <v>133</v>
      </c>
      <c r="K6" s="30" t="s">
        <v>134</v>
      </c>
      <c r="L6" s="31" t="s">
        <v>135</v>
      </c>
      <c r="M6" s="41" t="s">
        <v>136</v>
      </c>
      <c r="P6" s="295" t="s">
        <v>29</v>
      </c>
      <c r="Q6" s="296"/>
      <c r="S6" s="299" t="s">
        <v>32</v>
      </c>
      <c r="T6" s="296"/>
      <c r="V6" s="100" t="s">
        <v>137</v>
      </c>
      <c r="W6" s="101"/>
      <c r="Y6" s="295" t="s">
        <v>24</v>
      </c>
      <c r="Z6" s="296"/>
      <c r="AB6" s="295" t="s">
        <v>138</v>
      </c>
      <c r="AC6" s="296"/>
      <c r="AE6" s="300" t="s">
        <v>80</v>
      </c>
      <c r="AF6" s="301"/>
    </row>
    <row r="7" spans="1:32" s="2" customFormat="1" ht="15.65" customHeight="1" x14ac:dyDescent="0.35">
      <c r="A7" s="4" t="s">
        <v>139</v>
      </c>
      <c r="B7" s="4" t="s">
        <v>140</v>
      </c>
      <c r="C7" s="3"/>
      <c r="D7" s="4" t="s">
        <v>139</v>
      </c>
      <c r="E7" s="4" t="s">
        <v>140</v>
      </c>
      <c r="F7" s="107"/>
      <c r="G7" s="4" t="s">
        <v>139</v>
      </c>
      <c r="H7" s="4" t="s">
        <v>140</v>
      </c>
      <c r="I7" s="107"/>
      <c r="J7" s="302" t="s">
        <v>141</v>
      </c>
      <c r="K7" s="32" t="s">
        <v>142</v>
      </c>
      <c r="L7" s="109" t="s">
        <v>143</v>
      </c>
      <c r="M7" s="109" t="s">
        <v>144</v>
      </c>
      <c r="N7" s="1"/>
      <c r="O7" s="1"/>
      <c r="P7" s="4" t="s">
        <v>139</v>
      </c>
      <c r="Q7" s="4" t="s">
        <v>140</v>
      </c>
      <c r="S7" s="4" t="s">
        <v>139</v>
      </c>
      <c r="T7" s="4" t="s">
        <v>140</v>
      </c>
      <c r="V7" s="4" t="s">
        <v>139</v>
      </c>
      <c r="W7" s="4" t="s">
        <v>140</v>
      </c>
      <c r="Y7" s="4" t="s">
        <v>139</v>
      </c>
      <c r="Z7" s="4" t="s">
        <v>140</v>
      </c>
      <c r="AB7" s="4" t="s">
        <v>139</v>
      </c>
      <c r="AC7" s="4" t="s">
        <v>140</v>
      </c>
      <c r="AE7" s="4" t="s">
        <v>139</v>
      </c>
      <c r="AF7" s="4" t="s">
        <v>145</v>
      </c>
    </row>
    <row r="8" spans="1:32" ht="15.65" customHeight="1" x14ac:dyDescent="0.35">
      <c r="A8" s="10" t="s">
        <v>146</v>
      </c>
      <c r="B8" s="103" t="s">
        <v>147</v>
      </c>
      <c r="C8" s="5"/>
      <c r="D8" s="97" t="s">
        <v>141</v>
      </c>
      <c r="E8" s="97" t="s">
        <v>148</v>
      </c>
      <c r="G8" s="103" t="s">
        <v>149</v>
      </c>
      <c r="H8" s="146" t="s">
        <v>150</v>
      </c>
      <c r="J8" s="303"/>
      <c r="K8" s="102" t="s">
        <v>142</v>
      </c>
      <c r="L8" s="110" t="s">
        <v>151</v>
      </c>
      <c r="M8" s="110" t="s">
        <v>152</v>
      </c>
      <c r="P8" s="103" t="s">
        <v>153</v>
      </c>
      <c r="Q8" s="103" t="s">
        <v>154</v>
      </c>
      <c r="S8" s="14" t="s">
        <v>155</v>
      </c>
      <c r="T8" s="103" t="s">
        <v>156</v>
      </c>
      <c r="V8" s="291" t="s">
        <v>157</v>
      </c>
      <c r="W8" s="289" t="s">
        <v>158</v>
      </c>
      <c r="Y8" s="97" t="s">
        <v>159</v>
      </c>
      <c r="Z8" s="97" t="s">
        <v>159</v>
      </c>
      <c r="AB8" s="97" t="s">
        <v>160</v>
      </c>
      <c r="AC8" s="97" t="s">
        <v>161</v>
      </c>
      <c r="AE8" s="97" t="s">
        <v>162</v>
      </c>
      <c r="AF8" s="103" t="s">
        <v>163</v>
      </c>
    </row>
    <row r="9" spans="1:32" ht="15.65" customHeight="1" x14ac:dyDescent="0.35">
      <c r="A9" s="10" t="s">
        <v>164</v>
      </c>
      <c r="B9" s="97" t="s">
        <v>165</v>
      </c>
      <c r="C9" s="5"/>
      <c r="D9" s="97" t="s">
        <v>149</v>
      </c>
      <c r="E9" s="97" t="s">
        <v>166</v>
      </c>
      <c r="G9" s="97" t="s">
        <v>141</v>
      </c>
      <c r="H9" s="144" t="s">
        <v>167</v>
      </c>
      <c r="J9" s="303"/>
      <c r="K9" s="33" t="s">
        <v>168</v>
      </c>
      <c r="L9" s="99" t="s">
        <v>169</v>
      </c>
      <c r="M9" s="99" t="s">
        <v>170</v>
      </c>
      <c r="P9" s="13" t="s">
        <v>171</v>
      </c>
      <c r="Q9" s="97" t="s">
        <v>172</v>
      </c>
      <c r="S9" s="133" t="s">
        <v>173</v>
      </c>
      <c r="T9" s="97" t="s">
        <v>174</v>
      </c>
      <c r="V9" s="292" t="s">
        <v>175</v>
      </c>
      <c r="W9" s="290" t="s">
        <v>176</v>
      </c>
      <c r="Y9" s="97" t="s">
        <v>177</v>
      </c>
      <c r="Z9" s="97" t="s">
        <v>177</v>
      </c>
      <c r="AB9" s="97" t="s">
        <v>178</v>
      </c>
      <c r="AC9" s="97" t="s">
        <v>179</v>
      </c>
      <c r="AE9" s="97" t="s">
        <v>180</v>
      </c>
      <c r="AF9" s="97" t="s">
        <v>181</v>
      </c>
    </row>
    <row r="10" spans="1:32" ht="15.65" customHeight="1" x14ac:dyDescent="0.35">
      <c r="A10" s="9" t="s">
        <v>182</v>
      </c>
      <c r="B10" s="97" t="s">
        <v>183</v>
      </c>
      <c r="C10" s="5"/>
      <c r="D10" s="97" t="s">
        <v>184</v>
      </c>
      <c r="E10" s="97" t="s">
        <v>184</v>
      </c>
      <c r="G10" s="97" t="s">
        <v>185</v>
      </c>
      <c r="H10" s="144" t="s">
        <v>186</v>
      </c>
      <c r="J10" s="303"/>
      <c r="K10" s="99" t="s">
        <v>168</v>
      </c>
      <c r="L10" s="9" t="s">
        <v>187</v>
      </c>
      <c r="M10" s="99" t="s">
        <v>188</v>
      </c>
      <c r="P10" s="13" t="s">
        <v>189</v>
      </c>
      <c r="Q10" s="97" t="s">
        <v>190</v>
      </c>
      <c r="S10" s="133" t="s">
        <v>191</v>
      </c>
      <c r="T10" s="97" t="s">
        <v>192</v>
      </c>
      <c r="V10" s="292" t="s">
        <v>193</v>
      </c>
      <c r="W10" s="290" t="s">
        <v>194</v>
      </c>
      <c r="Y10" s="97" t="s">
        <v>195</v>
      </c>
      <c r="Z10" s="97" t="s">
        <v>196</v>
      </c>
      <c r="AB10" s="97" t="s">
        <v>197</v>
      </c>
      <c r="AC10" s="97" t="s">
        <v>198</v>
      </c>
      <c r="AE10" s="97" t="s">
        <v>199</v>
      </c>
      <c r="AF10" s="97" t="s">
        <v>200</v>
      </c>
    </row>
    <row r="11" spans="1:32" ht="15.65" customHeight="1" x14ac:dyDescent="0.35">
      <c r="A11" s="9" t="s">
        <v>201</v>
      </c>
      <c r="B11" s="97" t="s">
        <v>202</v>
      </c>
      <c r="C11" s="5"/>
      <c r="D11" s="97" t="s">
        <v>203</v>
      </c>
      <c r="E11" s="97" t="s">
        <v>204</v>
      </c>
      <c r="G11" s="97" t="s">
        <v>205</v>
      </c>
      <c r="H11" s="144" t="s">
        <v>206</v>
      </c>
      <c r="J11" s="303"/>
      <c r="K11" s="33" t="s">
        <v>185</v>
      </c>
      <c r="L11" s="99" t="s">
        <v>207</v>
      </c>
      <c r="M11" s="99" t="s">
        <v>208</v>
      </c>
      <c r="P11" s="85" t="s">
        <v>209</v>
      </c>
      <c r="Q11" s="85" t="s">
        <v>210</v>
      </c>
      <c r="S11" s="133" t="s">
        <v>211</v>
      </c>
      <c r="T11" s="97" t="s">
        <v>212</v>
      </c>
      <c r="V11" s="292" t="s">
        <v>185</v>
      </c>
      <c r="W11" s="290" t="s">
        <v>213</v>
      </c>
      <c r="Y11" s="97"/>
      <c r="Z11" s="97"/>
      <c r="AB11" s="6"/>
      <c r="AC11" s="6"/>
      <c r="AE11" s="97" t="s">
        <v>214</v>
      </c>
      <c r="AF11" s="97" t="s">
        <v>215</v>
      </c>
    </row>
    <row r="12" spans="1:32" ht="15.65" customHeight="1" x14ac:dyDescent="0.35">
      <c r="A12" s="9" t="s">
        <v>216</v>
      </c>
      <c r="B12" s="97" t="s">
        <v>217</v>
      </c>
      <c r="C12" s="5"/>
      <c r="D12" s="97" t="s">
        <v>218</v>
      </c>
      <c r="E12" s="97" t="s">
        <v>219</v>
      </c>
      <c r="G12" s="97" t="s">
        <v>143</v>
      </c>
      <c r="H12" s="144" t="s">
        <v>220</v>
      </c>
      <c r="J12" s="303"/>
      <c r="K12" s="32" t="s">
        <v>141</v>
      </c>
      <c r="L12" s="109" t="s">
        <v>221</v>
      </c>
      <c r="M12" s="109" t="s">
        <v>222</v>
      </c>
      <c r="P12" s="127"/>
      <c r="Q12" s="127"/>
      <c r="S12" s="133" t="s">
        <v>223</v>
      </c>
      <c r="T12" s="97" t="s">
        <v>224</v>
      </c>
      <c r="V12" s="292" t="s">
        <v>225</v>
      </c>
      <c r="W12" s="290" t="s">
        <v>226</v>
      </c>
      <c r="Y12" s="98"/>
      <c r="Z12" s="98"/>
      <c r="AB12" s="6"/>
      <c r="AC12" s="6"/>
      <c r="AE12" s="97" t="s">
        <v>227</v>
      </c>
      <c r="AF12" s="97" t="s">
        <v>228</v>
      </c>
    </row>
    <row r="13" spans="1:32" ht="15.65" customHeight="1" x14ac:dyDescent="0.35">
      <c r="A13" s="11" t="s">
        <v>229</v>
      </c>
      <c r="B13" s="97" t="s">
        <v>230</v>
      </c>
      <c r="C13" s="5"/>
      <c r="D13" s="98" t="s">
        <v>231</v>
      </c>
      <c r="E13" s="98" t="s">
        <v>231</v>
      </c>
      <c r="G13" s="97" t="s">
        <v>232</v>
      </c>
      <c r="H13" s="144" t="s">
        <v>233</v>
      </c>
      <c r="J13" s="303"/>
      <c r="K13" s="33" t="s">
        <v>234</v>
      </c>
      <c r="L13" s="99" t="s">
        <v>235</v>
      </c>
      <c r="M13" s="99" t="s">
        <v>236</v>
      </c>
      <c r="P13" s="128" t="s">
        <v>237</v>
      </c>
      <c r="Q13" s="128"/>
      <c r="S13" s="123" t="s">
        <v>238</v>
      </c>
      <c r="T13" s="97" t="s">
        <v>239</v>
      </c>
      <c r="V13" s="292" t="s">
        <v>240</v>
      </c>
      <c r="W13" s="290" t="s">
        <v>241</v>
      </c>
      <c r="Y13" s="8"/>
      <c r="AB13" s="6"/>
      <c r="AC13" s="6"/>
      <c r="AE13" s="97" t="s">
        <v>242</v>
      </c>
      <c r="AF13" s="97" t="s">
        <v>243</v>
      </c>
    </row>
    <row r="14" spans="1:32" ht="15.65" customHeight="1" x14ac:dyDescent="0.35">
      <c r="A14" s="11" t="s">
        <v>244</v>
      </c>
      <c r="B14" s="97" t="s">
        <v>245</v>
      </c>
      <c r="C14" s="5"/>
      <c r="D14" s="156"/>
      <c r="E14" s="156"/>
      <c r="G14" s="97" t="s">
        <v>246</v>
      </c>
      <c r="H14" s="144" t="s">
        <v>247</v>
      </c>
      <c r="J14" s="303"/>
      <c r="K14" s="33" t="s">
        <v>234</v>
      </c>
      <c r="L14" s="99" t="s">
        <v>248</v>
      </c>
      <c r="M14" s="99" t="s">
        <v>249</v>
      </c>
      <c r="P14" s="118" t="s">
        <v>250</v>
      </c>
      <c r="Q14" s="128"/>
      <c r="S14" s="123" t="s">
        <v>251</v>
      </c>
      <c r="T14" s="97" t="s">
        <v>252</v>
      </c>
      <c r="V14" s="292" t="s">
        <v>232</v>
      </c>
      <c r="W14" s="290" t="s">
        <v>253</v>
      </c>
      <c r="Y14" s="295" t="s">
        <v>83</v>
      </c>
      <c r="Z14" s="296"/>
      <c r="AB14" s="6"/>
      <c r="AC14" s="6"/>
      <c r="AE14" s="97" t="s">
        <v>254</v>
      </c>
      <c r="AF14" s="97" t="s">
        <v>255</v>
      </c>
    </row>
    <row r="15" spans="1:32" ht="15.65" customHeight="1" x14ac:dyDescent="0.35">
      <c r="A15" s="11" t="s">
        <v>256</v>
      </c>
      <c r="B15" s="97" t="s">
        <v>257</v>
      </c>
      <c r="C15" s="5"/>
      <c r="D15" s="155"/>
      <c r="E15" s="155"/>
      <c r="G15" s="97" t="s">
        <v>258</v>
      </c>
      <c r="H15" s="144" t="s">
        <v>259</v>
      </c>
      <c r="J15" s="303"/>
      <c r="K15" s="102" t="s">
        <v>234</v>
      </c>
      <c r="L15" s="110" t="s">
        <v>260</v>
      </c>
      <c r="M15" s="110" t="s">
        <v>261</v>
      </c>
      <c r="P15" s="136" t="s">
        <v>262</v>
      </c>
      <c r="Q15" s="129"/>
      <c r="S15" s="133" t="s">
        <v>263</v>
      </c>
      <c r="T15" s="97" t="s">
        <v>264</v>
      </c>
      <c r="V15" s="292" t="s">
        <v>246</v>
      </c>
      <c r="W15" s="290" t="s">
        <v>265</v>
      </c>
      <c r="Y15" s="4" t="s">
        <v>139</v>
      </c>
      <c r="Z15" s="4" t="s">
        <v>140</v>
      </c>
      <c r="AB15" s="6"/>
      <c r="AC15" s="6"/>
      <c r="AE15" s="97" t="s">
        <v>266</v>
      </c>
      <c r="AF15" s="97" t="s">
        <v>267</v>
      </c>
    </row>
    <row r="16" spans="1:32" ht="15.65" customHeight="1" x14ac:dyDescent="0.35">
      <c r="A16" s="11" t="s">
        <v>268</v>
      </c>
      <c r="B16" s="97" t="s">
        <v>269</v>
      </c>
      <c r="C16" s="5"/>
      <c r="D16" s="121"/>
      <c r="E16" s="121"/>
      <c r="G16" s="97" t="s">
        <v>231</v>
      </c>
      <c r="H16" s="144" t="s">
        <v>270</v>
      </c>
      <c r="J16" s="303"/>
      <c r="K16" s="269" t="s">
        <v>149</v>
      </c>
      <c r="L16" s="270" t="s">
        <v>271</v>
      </c>
      <c r="M16" s="270" t="s">
        <v>272</v>
      </c>
      <c r="N16" s="20" t="s">
        <v>273</v>
      </c>
      <c r="P16" s="118" t="s">
        <v>274</v>
      </c>
      <c r="Q16" s="126"/>
      <c r="S16" s="133" t="s">
        <v>275</v>
      </c>
      <c r="T16" s="97" t="s">
        <v>276</v>
      </c>
      <c r="V16" s="292" t="s">
        <v>231</v>
      </c>
      <c r="W16" s="290" t="s">
        <v>277</v>
      </c>
      <c r="Y16" s="151" t="s">
        <v>278</v>
      </c>
      <c r="Z16" s="148" t="s">
        <v>279</v>
      </c>
      <c r="AB16" s="6"/>
      <c r="AC16" s="6"/>
      <c r="AE16" s="97" t="s">
        <v>280</v>
      </c>
      <c r="AF16" s="97" t="s">
        <v>281</v>
      </c>
    </row>
    <row r="17" spans="1:32" ht="15.65" customHeight="1" x14ac:dyDescent="0.35">
      <c r="A17" s="11" t="s">
        <v>282</v>
      </c>
      <c r="B17" s="97" t="s">
        <v>283</v>
      </c>
      <c r="C17" s="5"/>
      <c r="D17" s="121"/>
      <c r="E17" s="121"/>
      <c r="G17" s="97" t="s">
        <v>284</v>
      </c>
      <c r="H17" s="144" t="s">
        <v>285</v>
      </c>
      <c r="J17" s="303"/>
      <c r="K17" s="33" t="s">
        <v>232</v>
      </c>
      <c r="L17" s="99" t="s">
        <v>232</v>
      </c>
      <c r="M17" s="99" t="s">
        <v>286</v>
      </c>
      <c r="P17" s="125" t="s">
        <v>287</v>
      </c>
      <c r="Q17" s="124"/>
      <c r="S17" s="133" t="s">
        <v>288</v>
      </c>
      <c r="T17" s="97" t="s">
        <v>289</v>
      </c>
      <c r="V17" s="292" t="s">
        <v>290</v>
      </c>
      <c r="W17" s="290" t="s">
        <v>291</v>
      </c>
      <c r="Y17" s="152" t="s">
        <v>292</v>
      </c>
      <c r="Z17" s="149" t="s">
        <v>293</v>
      </c>
      <c r="AB17" s="6"/>
      <c r="AC17" s="6"/>
      <c r="AE17" s="97" t="s">
        <v>294</v>
      </c>
      <c r="AF17" s="97" t="s">
        <v>295</v>
      </c>
    </row>
    <row r="18" spans="1:32" ht="15.65" customHeight="1" x14ac:dyDescent="0.35">
      <c r="A18" s="11" t="s">
        <v>296</v>
      </c>
      <c r="B18" s="97" t="s">
        <v>297</v>
      </c>
      <c r="C18" s="5"/>
      <c r="D18" s="121"/>
      <c r="E18" s="121"/>
      <c r="G18" s="97" t="s">
        <v>298</v>
      </c>
      <c r="H18" s="144" t="s">
        <v>299</v>
      </c>
      <c r="J18" s="303"/>
      <c r="K18" s="33" t="s">
        <v>232</v>
      </c>
      <c r="L18" s="99" t="s">
        <v>300</v>
      </c>
      <c r="M18" s="99" t="s">
        <v>301</v>
      </c>
      <c r="P18" s="118"/>
      <c r="Q18" s="112"/>
      <c r="S18" s="133" t="s">
        <v>302</v>
      </c>
      <c r="T18" s="97" t="s">
        <v>303</v>
      </c>
      <c r="V18" s="292" t="s">
        <v>304</v>
      </c>
      <c r="W18" s="290" t="s">
        <v>305</v>
      </c>
      <c r="Y18" s="152" t="s">
        <v>306</v>
      </c>
      <c r="Z18" s="149" t="s">
        <v>307</v>
      </c>
      <c r="AB18" s="6"/>
      <c r="AC18" s="6"/>
      <c r="AE18" s="97" t="s">
        <v>308</v>
      </c>
      <c r="AF18" s="97" t="s">
        <v>309</v>
      </c>
    </row>
    <row r="19" spans="1:32" ht="15.65" customHeight="1" x14ac:dyDescent="0.35">
      <c r="A19" s="11" t="s">
        <v>310</v>
      </c>
      <c r="B19" s="97" t="s">
        <v>311</v>
      </c>
      <c r="C19" s="5"/>
      <c r="D19" s="121"/>
      <c r="E19" s="121"/>
      <c r="G19" s="97" t="s">
        <v>312</v>
      </c>
      <c r="H19" s="144" t="s">
        <v>313</v>
      </c>
      <c r="J19" s="303"/>
      <c r="K19" s="32" t="s">
        <v>246</v>
      </c>
      <c r="L19" s="109" t="s">
        <v>246</v>
      </c>
      <c r="M19" s="109" t="s">
        <v>314</v>
      </c>
      <c r="P19" s="118"/>
      <c r="Q19" s="112"/>
      <c r="S19" s="133" t="s">
        <v>315</v>
      </c>
      <c r="T19" s="97" t="s">
        <v>316</v>
      </c>
      <c r="V19" s="292" t="s">
        <v>317</v>
      </c>
      <c r="W19" s="290" t="s">
        <v>318</v>
      </c>
      <c r="Y19" s="152" t="s">
        <v>319</v>
      </c>
      <c r="Z19" s="149" t="s">
        <v>319</v>
      </c>
      <c r="AB19" s="6"/>
      <c r="AC19" s="6"/>
      <c r="AE19" s="97" t="s">
        <v>320</v>
      </c>
      <c r="AF19" s="97" t="s">
        <v>321</v>
      </c>
    </row>
    <row r="20" spans="1:32" ht="15.65" customHeight="1" x14ac:dyDescent="0.35">
      <c r="A20" s="11" t="s">
        <v>322</v>
      </c>
      <c r="B20" s="97" t="s">
        <v>323</v>
      </c>
      <c r="C20" s="5"/>
      <c r="D20" s="121"/>
      <c r="E20" s="121"/>
      <c r="G20" s="97" t="s">
        <v>324</v>
      </c>
      <c r="H20" s="144" t="s">
        <v>325</v>
      </c>
      <c r="J20" s="303"/>
      <c r="K20" s="33" t="s">
        <v>326</v>
      </c>
      <c r="L20" s="99" t="s">
        <v>327</v>
      </c>
      <c r="M20" s="99" t="s">
        <v>328</v>
      </c>
      <c r="P20" s="118"/>
      <c r="Q20" s="112"/>
      <c r="S20" s="133" t="s">
        <v>329</v>
      </c>
      <c r="T20" s="97" t="s">
        <v>330</v>
      </c>
      <c r="V20" s="293" t="s">
        <v>331</v>
      </c>
      <c r="W20" s="290" t="s">
        <v>332</v>
      </c>
      <c r="Y20" s="152" t="s">
        <v>333</v>
      </c>
      <c r="Z20" s="149" t="s">
        <v>334</v>
      </c>
      <c r="AB20" s="6"/>
      <c r="AC20" s="6"/>
      <c r="AE20" s="97" t="s">
        <v>335</v>
      </c>
      <c r="AF20" s="97" t="s">
        <v>336</v>
      </c>
    </row>
    <row r="21" spans="1:32" ht="15.65" customHeight="1" x14ac:dyDescent="0.35">
      <c r="A21" s="11" t="s">
        <v>337</v>
      </c>
      <c r="B21" s="97" t="s">
        <v>338</v>
      </c>
      <c r="C21" s="5"/>
      <c r="D21" s="121"/>
      <c r="E21" s="121"/>
      <c r="G21" s="97" t="s">
        <v>339</v>
      </c>
      <c r="H21" s="144" t="s">
        <v>340</v>
      </c>
      <c r="J21" s="303"/>
      <c r="K21" s="102" t="s">
        <v>246</v>
      </c>
      <c r="L21" s="110" t="s">
        <v>341</v>
      </c>
      <c r="M21" s="110" t="s">
        <v>342</v>
      </c>
      <c r="P21" s="125"/>
      <c r="Q21" s="112"/>
      <c r="S21" s="133" t="s">
        <v>343</v>
      </c>
      <c r="T21" s="97" t="s">
        <v>344</v>
      </c>
      <c r="V21" s="292" t="s">
        <v>345</v>
      </c>
      <c r="W21" s="290" t="s">
        <v>346</v>
      </c>
      <c r="Y21" s="152" t="s">
        <v>347</v>
      </c>
      <c r="Z21" s="149" t="s">
        <v>348</v>
      </c>
      <c r="AB21" s="6"/>
      <c r="AC21" s="6"/>
      <c r="AE21" s="97" t="s">
        <v>349</v>
      </c>
      <c r="AF21" s="97" t="s">
        <v>350</v>
      </c>
    </row>
    <row r="22" spans="1:32" ht="15.65" customHeight="1" x14ac:dyDescent="0.35">
      <c r="A22" s="11" t="s">
        <v>351</v>
      </c>
      <c r="B22" s="97" t="s">
        <v>352</v>
      </c>
      <c r="C22" s="5"/>
      <c r="D22" s="121"/>
      <c r="E22" s="121"/>
      <c r="G22" s="97" t="s">
        <v>331</v>
      </c>
      <c r="H22" s="144" t="s">
        <v>353</v>
      </c>
      <c r="J22" s="303"/>
      <c r="K22" s="33" t="s">
        <v>284</v>
      </c>
      <c r="L22" s="99" t="s">
        <v>354</v>
      </c>
      <c r="M22" s="99" t="s">
        <v>355</v>
      </c>
      <c r="P22" s="125"/>
      <c r="Q22" s="112"/>
      <c r="S22" s="133" t="s">
        <v>356</v>
      </c>
      <c r="T22" s="97" t="s">
        <v>357</v>
      </c>
      <c r="V22" s="292" t="s">
        <v>218</v>
      </c>
      <c r="W22" s="290" t="s">
        <v>358</v>
      </c>
      <c r="Y22" s="152" t="s">
        <v>359</v>
      </c>
      <c r="Z22" s="149" t="s">
        <v>360</v>
      </c>
      <c r="AB22" s="7"/>
      <c r="AC22" s="7"/>
      <c r="AE22" s="97" t="s">
        <v>361</v>
      </c>
      <c r="AF22" s="97" t="s">
        <v>362</v>
      </c>
    </row>
    <row r="23" spans="1:32" ht="15.65" customHeight="1" x14ac:dyDescent="0.35">
      <c r="A23" s="11" t="s">
        <v>363</v>
      </c>
      <c r="B23" s="97" t="s">
        <v>364</v>
      </c>
      <c r="C23" s="5"/>
      <c r="D23" s="147"/>
      <c r="E23" s="147"/>
      <c r="G23" s="97" t="s">
        <v>345</v>
      </c>
      <c r="H23" s="144" t="s">
        <v>365</v>
      </c>
      <c r="J23" s="303"/>
      <c r="K23" s="34" t="s">
        <v>284</v>
      </c>
      <c r="L23" s="105" t="s">
        <v>366</v>
      </c>
      <c r="M23" s="105" t="s">
        <v>367</v>
      </c>
      <c r="P23" s="113"/>
      <c r="Q23" s="112"/>
      <c r="S23" s="133" t="s">
        <v>368</v>
      </c>
      <c r="T23" s="97" t="s">
        <v>369</v>
      </c>
      <c r="V23" s="292" t="s">
        <v>370</v>
      </c>
      <c r="W23" s="290" t="s">
        <v>370</v>
      </c>
      <c r="Y23" s="152" t="s">
        <v>371</v>
      </c>
      <c r="Z23" s="149" t="s">
        <v>372</v>
      </c>
      <c r="AE23" s="97" t="s">
        <v>373</v>
      </c>
      <c r="AF23" s="97" t="s">
        <v>374</v>
      </c>
    </row>
    <row r="24" spans="1:32" ht="15.65" customHeight="1" x14ac:dyDescent="0.35">
      <c r="A24" s="11" t="s">
        <v>375</v>
      </c>
      <c r="B24" s="97" t="s">
        <v>376</v>
      </c>
      <c r="C24" s="5"/>
      <c r="D24" s="120"/>
      <c r="E24" s="120"/>
      <c r="G24" s="97" t="s">
        <v>203</v>
      </c>
      <c r="H24" s="144" t="s">
        <v>377</v>
      </c>
      <c r="J24" s="303"/>
      <c r="K24" s="36" t="s">
        <v>298</v>
      </c>
      <c r="L24" s="104" t="s">
        <v>298</v>
      </c>
      <c r="M24" s="104" t="s">
        <v>378</v>
      </c>
      <c r="P24" s="113"/>
      <c r="Q24" s="112"/>
      <c r="S24" s="133" t="s">
        <v>379</v>
      </c>
      <c r="T24" s="97" t="s">
        <v>380</v>
      </c>
      <c r="V24" s="292" t="s">
        <v>203</v>
      </c>
      <c r="W24" s="290" t="s">
        <v>381</v>
      </c>
      <c r="Y24" s="152" t="s">
        <v>382</v>
      </c>
      <c r="Z24" s="149" t="s">
        <v>383</v>
      </c>
      <c r="AE24" s="97" t="s">
        <v>384</v>
      </c>
      <c r="AF24" s="97" t="s">
        <v>385</v>
      </c>
    </row>
    <row r="25" spans="1:32" ht="15.65" customHeight="1" x14ac:dyDescent="0.35">
      <c r="A25" s="11" t="s">
        <v>386</v>
      </c>
      <c r="B25" s="97" t="s">
        <v>387</v>
      </c>
      <c r="C25" s="5"/>
      <c r="D25" s="121"/>
      <c r="E25" s="121"/>
      <c r="G25" s="97" t="s">
        <v>218</v>
      </c>
      <c r="H25" s="144" t="s">
        <v>388</v>
      </c>
      <c r="J25" s="303"/>
      <c r="K25" s="35" t="s">
        <v>298</v>
      </c>
      <c r="L25" s="106" t="s">
        <v>389</v>
      </c>
      <c r="M25" s="106" t="s">
        <v>390</v>
      </c>
      <c r="P25" s="113"/>
      <c r="Q25" s="112"/>
      <c r="S25" s="133" t="s">
        <v>391</v>
      </c>
      <c r="T25" s="97" t="s">
        <v>392</v>
      </c>
      <c r="V25" s="292" t="s">
        <v>298</v>
      </c>
      <c r="W25" s="290" t="s">
        <v>393</v>
      </c>
      <c r="Y25" s="152" t="s">
        <v>394</v>
      </c>
      <c r="Z25" s="149" t="s">
        <v>395</v>
      </c>
      <c r="AE25" s="97" t="s">
        <v>396</v>
      </c>
      <c r="AF25" s="97" t="s">
        <v>397</v>
      </c>
    </row>
    <row r="26" spans="1:32" ht="15.65" customHeight="1" x14ac:dyDescent="0.35">
      <c r="A26" s="11" t="s">
        <v>398</v>
      </c>
      <c r="B26" s="97" t="s">
        <v>399</v>
      </c>
      <c r="C26" s="5"/>
      <c r="D26" s="121"/>
      <c r="E26" s="121"/>
      <c r="G26" s="97" t="s">
        <v>157</v>
      </c>
      <c r="H26" s="144" t="s">
        <v>400</v>
      </c>
      <c r="J26" s="303"/>
      <c r="K26" s="34" t="s">
        <v>312</v>
      </c>
      <c r="L26" s="105" t="s">
        <v>401</v>
      </c>
      <c r="M26" s="105" t="s">
        <v>402</v>
      </c>
      <c r="P26" s="113"/>
      <c r="Q26" s="112"/>
      <c r="S26" s="133" t="s">
        <v>403</v>
      </c>
      <c r="T26" s="97" t="s">
        <v>404</v>
      </c>
      <c r="V26" s="292" t="s">
        <v>312</v>
      </c>
      <c r="W26" s="290" t="s">
        <v>405</v>
      </c>
      <c r="Y26" s="152" t="s">
        <v>406</v>
      </c>
      <c r="Z26" s="149" t="s">
        <v>407</v>
      </c>
      <c r="AE26" s="97" t="s">
        <v>408</v>
      </c>
      <c r="AF26" s="97" t="s">
        <v>409</v>
      </c>
    </row>
    <row r="27" spans="1:32" ht="15.65" customHeight="1" x14ac:dyDescent="0.35">
      <c r="A27" s="11" t="s">
        <v>410</v>
      </c>
      <c r="B27" s="97" t="s">
        <v>411</v>
      </c>
      <c r="D27" s="121"/>
      <c r="E27" s="121"/>
      <c r="G27" s="143" t="s">
        <v>304</v>
      </c>
      <c r="H27" s="145" t="s">
        <v>412</v>
      </c>
      <c r="I27" s="115"/>
      <c r="J27" s="303"/>
      <c r="K27" s="33" t="s">
        <v>312</v>
      </c>
      <c r="L27" s="99" t="s">
        <v>413</v>
      </c>
      <c r="M27" s="99" t="s">
        <v>414</v>
      </c>
      <c r="P27" s="113"/>
      <c r="Q27" s="112"/>
      <c r="S27" s="134" t="s">
        <v>415</v>
      </c>
      <c r="T27" s="95" t="s">
        <v>416</v>
      </c>
      <c r="V27" s="292" t="s">
        <v>258</v>
      </c>
      <c r="W27" s="290" t="s">
        <v>417</v>
      </c>
      <c r="Y27" s="153" t="s">
        <v>418</v>
      </c>
      <c r="Z27" s="150" t="s">
        <v>419</v>
      </c>
      <c r="AE27" s="97" t="s">
        <v>420</v>
      </c>
      <c r="AF27" s="97" t="s">
        <v>421</v>
      </c>
    </row>
    <row r="28" spans="1:32" ht="15.65" customHeight="1" x14ac:dyDescent="0.35">
      <c r="A28" s="11" t="s">
        <v>422</v>
      </c>
      <c r="B28" s="97" t="s">
        <v>423</v>
      </c>
      <c r="D28" s="121"/>
      <c r="E28" s="121"/>
      <c r="G28" s="120"/>
      <c r="H28" s="120"/>
      <c r="I28" s="115"/>
      <c r="J28" s="303"/>
      <c r="K28" s="36" t="s">
        <v>424</v>
      </c>
      <c r="L28" s="104" t="s">
        <v>425</v>
      </c>
      <c r="M28" s="104" t="s">
        <v>426</v>
      </c>
      <c r="P28" s="113"/>
      <c r="Q28" s="112"/>
      <c r="S28" s="134" t="s">
        <v>427</v>
      </c>
      <c r="T28" s="95" t="s">
        <v>428</v>
      </c>
      <c r="V28" s="292" t="s">
        <v>429</v>
      </c>
      <c r="W28" s="290" t="s">
        <v>430</v>
      </c>
      <c r="AE28" s="98" t="s">
        <v>431</v>
      </c>
      <c r="AF28" s="98" t="s">
        <v>432</v>
      </c>
    </row>
    <row r="29" spans="1:32" ht="15.65" customHeight="1" x14ac:dyDescent="0.35">
      <c r="A29" s="11" t="s">
        <v>433</v>
      </c>
      <c r="B29" s="97" t="s">
        <v>198</v>
      </c>
      <c r="D29" s="121"/>
      <c r="E29" s="121"/>
      <c r="G29" s="120"/>
      <c r="H29" s="120"/>
      <c r="I29" s="115"/>
      <c r="J29" s="303"/>
      <c r="K29" s="35" t="s">
        <v>424</v>
      </c>
      <c r="L29" s="106" t="s">
        <v>434</v>
      </c>
      <c r="M29" s="106" t="s">
        <v>435</v>
      </c>
      <c r="P29" s="113"/>
      <c r="Q29" s="112"/>
      <c r="R29" s="115"/>
      <c r="S29" s="135" t="s">
        <v>436</v>
      </c>
      <c r="T29" s="84" t="s">
        <v>437</v>
      </c>
      <c r="U29" s="115"/>
      <c r="V29" s="292" t="s">
        <v>438</v>
      </c>
      <c r="W29" s="290" t="s">
        <v>439</v>
      </c>
      <c r="X29" s="115"/>
      <c r="Y29" s="115"/>
      <c r="Z29" s="115"/>
      <c r="AA29" s="115"/>
      <c r="AB29" s="115"/>
      <c r="AC29" s="115"/>
      <c r="AD29" s="115"/>
    </row>
    <row r="30" spans="1:32" ht="15.65" customHeight="1" x14ac:dyDescent="0.35">
      <c r="A30" s="11" t="s">
        <v>440</v>
      </c>
      <c r="B30" s="97" t="s">
        <v>441</v>
      </c>
      <c r="D30" s="119"/>
      <c r="E30" s="115"/>
      <c r="G30" s="121"/>
      <c r="H30" s="121"/>
      <c r="I30" s="115"/>
      <c r="J30" s="303"/>
      <c r="K30" s="34" t="s">
        <v>442</v>
      </c>
      <c r="L30" s="105" t="s">
        <v>443</v>
      </c>
      <c r="M30" s="104" t="s">
        <v>444</v>
      </c>
      <c r="P30" s="113"/>
      <c r="Q30" s="112"/>
      <c r="R30" s="115"/>
      <c r="S30" s="115"/>
      <c r="T30" s="115"/>
      <c r="U30" s="115"/>
      <c r="V30" s="292" t="s">
        <v>445</v>
      </c>
      <c r="W30" s="290" t="s">
        <v>446</v>
      </c>
      <c r="X30" s="115"/>
      <c r="Y30" s="115"/>
      <c r="Z30" s="115"/>
      <c r="AA30" s="115"/>
      <c r="AB30" s="115"/>
      <c r="AC30" s="115"/>
      <c r="AD30" s="115"/>
    </row>
    <row r="31" spans="1:32" ht="15.65" customHeight="1" x14ac:dyDescent="0.35">
      <c r="A31" s="11" t="s">
        <v>447</v>
      </c>
      <c r="B31" s="97" t="s">
        <v>448</v>
      </c>
      <c r="D31" s="147"/>
      <c r="E31" s="147"/>
      <c r="G31" s="121"/>
      <c r="H31" s="121"/>
      <c r="I31" s="115"/>
      <c r="J31" s="303"/>
      <c r="K31" s="34" t="s">
        <v>442</v>
      </c>
      <c r="L31" s="105" t="s">
        <v>449</v>
      </c>
      <c r="M31" s="106" t="s">
        <v>450</v>
      </c>
      <c r="P31" s="113"/>
      <c r="Q31" s="130"/>
      <c r="R31" s="115"/>
      <c r="S31" s="2" t="s">
        <v>451</v>
      </c>
      <c r="U31" s="115"/>
      <c r="V31" s="292" t="s">
        <v>452</v>
      </c>
      <c r="W31" s="290" t="s">
        <v>453</v>
      </c>
      <c r="X31" s="115"/>
      <c r="Y31" s="115"/>
      <c r="Z31" s="115"/>
      <c r="AA31" s="115"/>
      <c r="AB31" s="115"/>
      <c r="AC31" s="115"/>
      <c r="AD31" s="115"/>
    </row>
    <row r="32" spans="1:32" ht="15.65" customHeight="1" x14ac:dyDescent="0.35">
      <c r="A32" s="11" t="s">
        <v>454</v>
      </c>
      <c r="B32" s="97" t="s">
        <v>455</v>
      </c>
      <c r="D32" s="120"/>
      <c r="E32" s="120"/>
      <c r="G32" s="121"/>
      <c r="H32" s="121"/>
      <c r="I32" s="115"/>
      <c r="J32" s="303"/>
      <c r="K32" s="36" t="s">
        <v>205</v>
      </c>
      <c r="L32" s="104" t="s">
        <v>456</v>
      </c>
      <c r="M32" s="104" t="s">
        <v>457</v>
      </c>
      <c r="P32" s="113"/>
      <c r="Q32" s="115"/>
      <c r="R32" s="115"/>
      <c r="S32" s="23" t="s">
        <v>238</v>
      </c>
      <c r="T32" s="23" t="s">
        <v>458</v>
      </c>
      <c r="U32" s="115"/>
      <c r="V32" s="292" t="s">
        <v>459</v>
      </c>
      <c r="W32" s="290" t="s">
        <v>460</v>
      </c>
      <c r="X32" s="115"/>
      <c r="Y32" s="115"/>
      <c r="Z32" s="115"/>
      <c r="AA32" s="115"/>
      <c r="AB32" s="115"/>
      <c r="AC32" s="115"/>
      <c r="AD32" s="115"/>
      <c r="AE32" s="115"/>
    </row>
    <row r="33" spans="1:31" ht="15.65" customHeight="1" x14ac:dyDescent="0.35">
      <c r="A33" s="11" t="s">
        <v>461</v>
      </c>
      <c r="B33" s="97" t="s">
        <v>462</v>
      </c>
      <c r="D33" s="121"/>
      <c r="E33" s="121"/>
      <c r="G33" s="121"/>
      <c r="H33" s="121"/>
      <c r="I33" s="115"/>
      <c r="J33" s="303"/>
      <c r="K33" s="36" t="s">
        <v>205</v>
      </c>
      <c r="L33" s="105" t="s">
        <v>463</v>
      </c>
      <c r="M33" s="105" t="s">
        <v>464</v>
      </c>
      <c r="P33" s="113"/>
      <c r="Q33" s="115"/>
      <c r="R33" s="115"/>
      <c r="S33" s="6" t="s">
        <v>251</v>
      </c>
      <c r="T33" s="6" t="s">
        <v>465</v>
      </c>
      <c r="U33" s="115"/>
      <c r="V33" s="292" t="s">
        <v>205</v>
      </c>
      <c r="W33" s="290" t="s">
        <v>466</v>
      </c>
      <c r="X33" s="115"/>
      <c r="Y33" s="115"/>
      <c r="Z33" s="115"/>
      <c r="AA33" s="115"/>
      <c r="AB33" s="115"/>
      <c r="AC33" s="115"/>
      <c r="AD33" s="115"/>
      <c r="AE33" s="115"/>
    </row>
    <row r="34" spans="1:31" ht="15.65" customHeight="1" x14ac:dyDescent="0.35">
      <c r="A34" s="11" t="s">
        <v>467</v>
      </c>
      <c r="B34" s="97" t="s">
        <v>468</v>
      </c>
      <c r="D34" s="121"/>
      <c r="E34" s="121"/>
      <c r="G34" s="121"/>
      <c r="H34" s="121"/>
      <c r="I34" s="115"/>
      <c r="J34" s="303"/>
      <c r="K34" s="34" t="s">
        <v>205</v>
      </c>
      <c r="L34" s="105" t="s">
        <v>469</v>
      </c>
      <c r="M34" s="105" t="s">
        <v>470</v>
      </c>
      <c r="P34" s="113"/>
      <c r="Q34" s="115"/>
      <c r="R34" s="115"/>
      <c r="S34" s="6" t="s">
        <v>471</v>
      </c>
      <c r="T34" s="6" t="s">
        <v>472</v>
      </c>
      <c r="U34" s="115"/>
      <c r="V34" s="292" t="s">
        <v>473</v>
      </c>
      <c r="W34" s="290" t="s">
        <v>474</v>
      </c>
      <c r="X34" s="115"/>
      <c r="Y34" s="115"/>
      <c r="Z34" s="115"/>
      <c r="AA34" s="115"/>
      <c r="AB34" s="115"/>
      <c r="AC34" s="115"/>
      <c r="AD34" s="115"/>
      <c r="AE34" s="115"/>
    </row>
    <row r="35" spans="1:31" ht="15.65" customHeight="1" x14ac:dyDescent="0.35">
      <c r="A35" s="11" t="s">
        <v>475</v>
      </c>
      <c r="B35" s="97" t="s">
        <v>476</v>
      </c>
      <c r="D35" s="121"/>
      <c r="E35" s="121"/>
      <c r="G35" s="121"/>
      <c r="H35" s="121"/>
      <c r="I35" s="115"/>
      <c r="J35" s="303"/>
      <c r="K35" s="34" t="s">
        <v>205</v>
      </c>
      <c r="L35" s="105" t="s">
        <v>477</v>
      </c>
      <c r="M35" s="105" t="s">
        <v>478</v>
      </c>
      <c r="P35" s="113"/>
      <c r="Q35" s="117"/>
      <c r="R35" s="118"/>
      <c r="S35" s="21" t="s">
        <v>288</v>
      </c>
      <c r="T35" s="131" t="s">
        <v>479</v>
      </c>
      <c r="U35" s="115"/>
      <c r="V35" s="292" t="s">
        <v>480</v>
      </c>
      <c r="W35" s="290" t="s">
        <v>481</v>
      </c>
      <c r="X35" s="115"/>
      <c r="Y35" s="115"/>
      <c r="Z35" s="115"/>
      <c r="AA35" s="115"/>
      <c r="AB35" s="115"/>
      <c r="AC35" s="115"/>
      <c r="AD35" s="115"/>
      <c r="AE35" s="115"/>
    </row>
    <row r="36" spans="1:31" ht="15.65" customHeight="1" x14ac:dyDescent="0.35">
      <c r="A36" s="11" t="s">
        <v>482</v>
      </c>
      <c r="B36" s="97" t="s">
        <v>483</v>
      </c>
      <c r="D36" s="121"/>
      <c r="E36" s="121"/>
      <c r="G36" s="121"/>
      <c r="H36" s="121"/>
      <c r="I36" s="115"/>
      <c r="J36" s="303"/>
      <c r="K36" s="34" t="s">
        <v>205</v>
      </c>
      <c r="L36" s="105" t="s">
        <v>484</v>
      </c>
      <c r="M36" s="105" t="s">
        <v>485</v>
      </c>
      <c r="P36" s="113"/>
      <c r="Q36" s="117"/>
      <c r="R36" s="118"/>
      <c r="S36" s="21" t="s">
        <v>329</v>
      </c>
      <c r="T36" s="131" t="s">
        <v>486</v>
      </c>
      <c r="U36" s="115"/>
      <c r="V36" s="292" t="s">
        <v>469</v>
      </c>
      <c r="W36" s="290" t="s">
        <v>487</v>
      </c>
      <c r="X36" s="115"/>
      <c r="Y36" s="115"/>
      <c r="Z36" s="115"/>
      <c r="AA36" s="115"/>
      <c r="AB36" s="115"/>
      <c r="AC36" s="115"/>
      <c r="AD36" s="115"/>
      <c r="AE36" s="115"/>
    </row>
    <row r="37" spans="1:31" ht="15.65" customHeight="1" x14ac:dyDescent="0.35">
      <c r="A37" s="11" t="s">
        <v>488</v>
      </c>
      <c r="B37" s="97" t="s">
        <v>489</v>
      </c>
      <c r="D37" s="121"/>
      <c r="E37" s="121"/>
      <c r="G37" s="121"/>
      <c r="H37" s="121"/>
      <c r="I37" s="115"/>
      <c r="J37" s="303"/>
      <c r="K37" s="34" t="s">
        <v>205</v>
      </c>
      <c r="L37" s="105" t="s">
        <v>490</v>
      </c>
      <c r="M37" s="105" t="s">
        <v>491</v>
      </c>
      <c r="P37" s="114"/>
      <c r="Q37" s="117"/>
      <c r="R37" s="118"/>
      <c r="S37" s="21" t="s">
        <v>343</v>
      </c>
      <c r="T37" s="131" t="s">
        <v>492</v>
      </c>
      <c r="U37" s="115"/>
      <c r="V37" s="294" t="s">
        <v>284</v>
      </c>
      <c r="W37" s="22" t="s">
        <v>493</v>
      </c>
      <c r="X37" s="115"/>
      <c r="Y37" s="115"/>
      <c r="Z37" s="115"/>
      <c r="AA37" s="115"/>
      <c r="AB37" s="115"/>
      <c r="AC37" s="115"/>
      <c r="AD37" s="115"/>
      <c r="AE37" s="115"/>
    </row>
    <row r="38" spans="1:31" ht="15.65" customHeight="1" x14ac:dyDescent="0.35">
      <c r="A38" s="11" t="s">
        <v>494</v>
      </c>
      <c r="B38" s="97" t="s">
        <v>495</v>
      </c>
      <c r="D38" s="121"/>
      <c r="E38" s="121"/>
      <c r="G38" s="121"/>
      <c r="H38" s="121"/>
      <c r="I38" s="115"/>
      <c r="J38" s="303"/>
      <c r="K38" s="34" t="s">
        <v>205</v>
      </c>
      <c r="L38" s="99" t="s">
        <v>496</v>
      </c>
      <c r="M38" s="99" t="s">
        <v>497</v>
      </c>
      <c r="N38" s="1" t="s">
        <v>498</v>
      </c>
      <c r="P38" s="111"/>
      <c r="Q38" s="117"/>
      <c r="R38" s="118"/>
      <c r="S38" s="21" t="s">
        <v>356</v>
      </c>
      <c r="T38" s="131" t="s">
        <v>499</v>
      </c>
      <c r="U38" s="115"/>
      <c r="V38" s="115"/>
      <c r="W38" s="115"/>
      <c r="X38" s="115"/>
      <c r="Y38" s="115"/>
      <c r="Z38" s="115"/>
      <c r="AA38" s="115"/>
      <c r="AB38" s="115"/>
      <c r="AC38" s="115"/>
      <c r="AD38" s="115"/>
      <c r="AE38" s="115"/>
    </row>
    <row r="39" spans="1:31" ht="15.65" customHeight="1" x14ac:dyDescent="0.35">
      <c r="A39" s="11" t="s">
        <v>500</v>
      </c>
      <c r="B39" s="97" t="s">
        <v>501</v>
      </c>
      <c r="D39" s="115"/>
      <c r="E39" s="115"/>
      <c r="G39" s="121"/>
      <c r="H39" s="121"/>
      <c r="I39" s="115"/>
      <c r="J39" s="303"/>
      <c r="K39" s="34" t="s">
        <v>205</v>
      </c>
      <c r="L39" s="105" t="s">
        <v>502</v>
      </c>
      <c r="M39" s="105" t="s">
        <v>503</v>
      </c>
      <c r="N39" s="1" t="s">
        <v>504</v>
      </c>
      <c r="P39" s="115"/>
      <c r="Q39" s="117"/>
      <c r="R39" s="118"/>
      <c r="S39" s="21" t="s">
        <v>368</v>
      </c>
      <c r="T39" s="131" t="s">
        <v>505</v>
      </c>
      <c r="U39" s="115"/>
      <c r="V39" s="115"/>
      <c r="W39" s="115"/>
      <c r="X39" s="115"/>
      <c r="Y39" s="115"/>
      <c r="Z39" s="115"/>
      <c r="AA39" s="115"/>
      <c r="AB39" s="115"/>
      <c r="AC39" s="115"/>
      <c r="AD39" s="115"/>
      <c r="AE39" s="115"/>
    </row>
    <row r="40" spans="1:31" ht="15.65" customHeight="1" x14ac:dyDescent="0.35">
      <c r="A40" s="108" t="s">
        <v>396</v>
      </c>
      <c r="B40" s="97" t="s">
        <v>506</v>
      </c>
      <c r="G40" s="121"/>
      <c r="H40" s="121"/>
      <c r="I40" s="115"/>
      <c r="J40" s="303"/>
      <c r="K40" s="34" t="s">
        <v>205</v>
      </c>
      <c r="L40" s="105" t="s">
        <v>507</v>
      </c>
      <c r="M40" s="105" t="s">
        <v>508</v>
      </c>
      <c r="P40" s="115"/>
      <c r="Q40" s="117"/>
      <c r="R40" s="118"/>
      <c r="S40" s="21" t="s">
        <v>379</v>
      </c>
      <c r="T40" s="131" t="s">
        <v>509</v>
      </c>
      <c r="U40" s="115"/>
      <c r="V40" s="115"/>
      <c r="W40" s="115"/>
      <c r="X40" s="115"/>
      <c r="Y40" s="115"/>
      <c r="Z40" s="115"/>
      <c r="AA40" s="115"/>
      <c r="AB40" s="115"/>
      <c r="AC40" s="115"/>
      <c r="AD40" s="115"/>
      <c r="AE40" s="115"/>
    </row>
    <row r="41" spans="1:31" x14ac:dyDescent="0.35">
      <c r="A41" s="108" t="s">
        <v>408</v>
      </c>
      <c r="B41" s="97" t="s">
        <v>510</v>
      </c>
      <c r="G41" s="121"/>
      <c r="H41" s="121"/>
      <c r="I41" s="115"/>
      <c r="J41" s="304"/>
      <c r="K41" s="106" t="s">
        <v>205</v>
      </c>
      <c r="L41" s="42" t="s">
        <v>511</v>
      </c>
      <c r="M41" s="106" t="s">
        <v>512</v>
      </c>
      <c r="P41" s="115"/>
      <c r="Q41" s="117"/>
      <c r="R41" s="116"/>
      <c r="S41" s="96" t="s">
        <v>403</v>
      </c>
      <c r="T41" s="132" t="s">
        <v>513</v>
      </c>
      <c r="U41" s="115"/>
      <c r="V41" s="115"/>
      <c r="W41" s="115"/>
      <c r="X41" s="115"/>
      <c r="Y41" s="115"/>
      <c r="Z41" s="115"/>
      <c r="AA41" s="115"/>
      <c r="AB41" s="115"/>
      <c r="AC41" s="115"/>
      <c r="AD41" s="115"/>
      <c r="AE41" s="115"/>
    </row>
    <row r="42" spans="1:31" x14ac:dyDescent="0.35">
      <c r="A42" s="12" t="s">
        <v>514</v>
      </c>
      <c r="B42" s="98" t="s">
        <v>515</v>
      </c>
      <c r="G42" s="122"/>
      <c r="H42" s="121"/>
      <c r="I42" s="115"/>
      <c r="J42" s="308" t="s">
        <v>149</v>
      </c>
      <c r="K42" s="33" t="s">
        <v>149</v>
      </c>
      <c r="L42" s="99" t="s">
        <v>516</v>
      </c>
      <c r="M42" s="99" t="s">
        <v>517</v>
      </c>
      <c r="P42" s="115"/>
      <c r="Q42" s="115"/>
      <c r="R42" s="115"/>
      <c r="S42" s="115"/>
      <c r="T42" s="115"/>
      <c r="U42" s="115"/>
      <c r="V42" s="115"/>
      <c r="W42" s="115"/>
      <c r="X42" s="115"/>
      <c r="Y42" s="115"/>
      <c r="Z42" s="115"/>
      <c r="AA42" s="115"/>
      <c r="AB42" s="115"/>
      <c r="AC42" s="115"/>
      <c r="AD42" s="115"/>
      <c r="AE42" s="115"/>
    </row>
    <row r="43" spans="1:31" ht="15.65" customHeight="1" x14ac:dyDescent="0.35">
      <c r="A43" s="43" t="s">
        <v>518</v>
      </c>
      <c r="G43" s="121"/>
      <c r="H43" s="121"/>
      <c r="I43" s="115"/>
      <c r="J43" s="309"/>
      <c r="K43" s="33" t="s">
        <v>149</v>
      </c>
      <c r="L43" s="99" t="s">
        <v>519</v>
      </c>
      <c r="M43" s="99" t="s">
        <v>520</v>
      </c>
      <c r="P43" s="117"/>
      <c r="Q43" s="118"/>
      <c r="R43" s="115"/>
      <c r="S43" s="115"/>
      <c r="T43" s="115"/>
      <c r="U43" s="115"/>
      <c r="V43" s="115"/>
      <c r="W43" s="115"/>
      <c r="X43" s="115"/>
      <c r="Y43" s="115"/>
      <c r="Z43" s="115"/>
      <c r="AA43" s="115"/>
      <c r="AB43" s="115"/>
      <c r="AC43" s="115"/>
      <c r="AD43" s="115"/>
      <c r="AE43" s="115"/>
    </row>
    <row r="44" spans="1:31" x14ac:dyDescent="0.35">
      <c r="G44" s="121"/>
      <c r="H44" s="121"/>
      <c r="I44" s="115"/>
      <c r="J44" s="309"/>
      <c r="K44" s="33" t="s">
        <v>149</v>
      </c>
      <c r="L44" s="99" t="s">
        <v>521</v>
      </c>
      <c r="M44" s="99" t="s">
        <v>522</v>
      </c>
      <c r="P44" s="117"/>
      <c r="Q44" s="118"/>
      <c r="R44" s="115"/>
      <c r="S44" s="115"/>
      <c r="T44" s="115"/>
      <c r="U44" s="115"/>
      <c r="V44" s="115"/>
      <c r="W44" s="115"/>
      <c r="X44" s="115"/>
      <c r="Y44" s="115"/>
      <c r="Z44" s="115"/>
      <c r="AA44" s="115"/>
      <c r="AB44" s="115"/>
      <c r="AC44" s="115"/>
      <c r="AD44" s="115"/>
      <c r="AE44" s="115"/>
    </row>
    <row r="45" spans="1:31" x14ac:dyDescent="0.35">
      <c r="G45" s="121"/>
      <c r="H45" s="121"/>
      <c r="I45" s="115"/>
      <c r="J45" s="309"/>
      <c r="K45" s="33" t="s">
        <v>149</v>
      </c>
      <c r="L45" s="99" t="s">
        <v>523</v>
      </c>
      <c r="M45" s="99" t="s">
        <v>524</v>
      </c>
      <c r="P45" s="117"/>
      <c r="Q45" s="118"/>
      <c r="S45" s="115"/>
      <c r="T45" s="115"/>
      <c r="AE45" s="115"/>
    </row>
    <row r="46" spans="1:31" ht="15.65" customHeight="1" x14ac:dyDescent="0.35">
      <c r="G46" s="121"/>
      <c r="H46" s="121"/>
      <c r="I46" s="115"/>
      <c r="J46" s="309"/>
      <c r="K46" s="33" t="s">
        <v>149</v>
      </c>
      <c r="L46" s="99" t="s">
        <v>525</v>
      </c>
      <c r="M46" s="99" t="s">
        <v>526</v>
      </c>
      <c r="P46" s="117"/>
      <c r="Q46" s="118"/>
      <c r="AE46" s="115"/>
    </row>
    <row r="47" spans="1:31" ht="15.65" customHeight="1" x14ac:dyDescent="0.35">
      <c r="G47" s="121"/>
      <c r="H47" s="121"/>
      <c r="I47" s="115"/>
      <c r="J47" s="310"/>
      <c r="K47" s="102" t="s">
        <v>149</v>
      </c>
      <c r="L47" s="110" t="s">
        <v>527</v>
      </c>
      <c r="M47" s="110" t="s">
        <v>528</v>
      </c>
      <c r="P47" s="117"/>
      <c r="Q47" s="137"/>
    </row>
    <row r="48" spans="1:31" ht="15.65" customHeight="1" x14ac:dyDescent="0.35">
      <c r="G48" s="121"/>
      <c r="H48" s="121"/>
      <c r="I48" s="115"/>
      <c r="J48" s="305" t="s">
        <v>203</v>
      </c>
      <c r="K48" s="34" t="s">
        <v>203</v>
      </c>
      <c r="L48" s="99" t="s">
        <v>529</v>
      </c>
      <c r="M48" s="99" t="s">
        <v>530</v>
      </c>
      <c r="P48" s="117"/>
      <c r="Q48" s="137"/>
    </row>
    <row r="49" spans="4:19" x14ac:dyDescent="0.35">
      <c r="G49" s="121"/>
      <c r="H49" s="121"/>
      <c r="I49" s="115"/>
      <c r="J49" s="306"/>
      <c r="K49" s="34" t="s">
        <v>203</v>
      </c>
      <c r="L49" s="99" t="s">
        <v>531</v>
      </c>
      <c r="M49" s="99" t="s">
        <v>532</v>
      </c>
      <c r="P49" s="117"/>
      <c r="Q49" s="138"/>
    </row>
    <row r="50" spans="4:19" x14ac:dyDescent="0.35">
      <c r="G50" s="121"/>
      <c r="H50" s="121"/>
      <c r="I50" s="115"/>
      <c r="J50" s="306"/>
      <c r="K50" s="34" t="s">
        <v>203</v>
      </c>
      <c r="L50" s="105" t="s">
        <v>533</v>
      </c>
      <c r="M50" s="104" t="s">
        <v>534</v>
      </c>
      <c r="P50" s="115"/>
      <c r="R50" s="2"/>
    </row>
    <row r="51" spans="4:19" x14ac:dyDescent="0.35">
      <c r="G51" s="121"/>
      <c r="H51" s="121"/>
      <c r="I51" s="115"/>
      <c r="J51" s="307"/>
      <c r="K51" s="34" t="s">
        <v>203</v>
      </c>
      <c r="L51" s="105" t="s">
        <v>535</v>
      </c>
      <c r="M51" s="106" t="s">
        <v>536</v>
      </c>
      <c r="P51" s="115"/>
    </row>
    <row r="52" spans="4:19" x14ac:dyDescent="0.35">
      <c r="G52" s="121"/>
      <c r="H52" s="121"/>
      <c r="I52" s="115"/>
      <c r="J52" s="305" t="s">
        <v>231</v>
      </c>
      <c r="K52" s="36" t="s">
        <v>231</v>
      </c>
      <c r="L52" s="104" t="s">
        <v>537</v>
      </c>
      <c r="M52" s="104" t="s">
        <v>538</v>
      </c>
    </row>
    <row r="53" spans="4:19" x14ac:dyDescent="0.35">
      <c r="D53" s="8"/>
      <c r="E53" s="8"/>
      <c r="G53" s="121"/>
      <c r="H53" s="121"/>
      <c r="I53" s="115"/>
      <c r="J53" s="306"/>
      <c r="K53" s="39" t="s">
        <v>231</v>
      </c>
      <c r="L53" s="40" t="s">
        <v>539</v>
      </c>
      <c r="M53" s="40" t="s">
        <v>540</v>
      </c>
    </row>
    <row r="54" spans="4:19" x14ac:dyDescent="0.35">
      <c r="D54" s="8"/>
      <c r="E54" s="8"/>
      <c r="G54" s="121"/>
      <c r="H54" s="121"/>
      <c r="I54" s="115"/>
      <c r="J54" s="307"/>
      <c r="K54" s="37" t="s">
        <v>231</v>
      </c>
      <c r="L54" s="38" t="s">
        <v>541</v>
      </c>
      <c r="M54" s="38" t="s">
        <v>542</v>
      </c>
      <c r="R54" s="139"/>
    </row>
    <row r="55" spans="4:19" x14ac:dyDescent="0.35">
      <c r="D55" s="8"/>
      <c r="E55" s="8"/>
      <c r="G55" s="121"/>
      <c r="H55" s="121"/>
      <c r="I55" s="115"/>
      <c r="J55" s="302" t="s">
        <v>184</v>
      </c>
      <c r="K55" s="104" t="s">
        <v>324</v>
      </c>
      <c r="L55" s="104" t="s">
        <v>543</v>
      </c>
      <c r="M55" s="142" t="s">
        <v>544</v>
      </c>
      <c r="R55" s="139"/>
      <c r="S55" s="137"/>
    </row>
    <row r="56" spans="4:19" x14ac:dyDescent="0.35">
      <c r="D56" s="8"/>
      <c r="E56" s="8"/>
      <c r="G56" s="121"/>
      <c r="H56" s="121"/>
      <c r="I56" s="115"/>
      <c r="J56" s="303"/>
      <c r="K56" s="99" t="s">
        <v>324</v>
      </c>
      <c r="L56" s="99" t="s">
        <v>545</v>
      </c>
      <c r="M56" s="140" t="s">
        <v>546</v>
      </c>
      <c r="R56" s="139"/>
      <c r="S56" s="137"/>
    </row>
    <row r="57" spans="4:19" x14ac:dyDescent="0.35">
      <c r="D57" s="8"/>
      <c r="E57" s="8"/>
      <c r="G57" s="121"/>
      <c r="H57" s="121"/>
      <c r="I57" s="115"/>
      <c r="J57" s="303"/>
      <c r="K57" s="105" t="s">
        <v>331</v>
      </c>
      <c r="L57" s="105" t="s">
        <v>547</v>
      </c>
      <c r="M57" s="140" t="s">
        <v>548</v>
      </c>
      <c r="N57" s="27"/>
      <c r="O57" s="27"/>
      <c r="R57" s="139"/>
      <c r="S57" s="137"/>
    </row>
    <row r="58" spans="4:19" x14ac:dyDescent="0.35">
      <c r="D58" s="8"/>
      <c r="E58" s="8"/>
      <c r="G58" s="121"/>
      <c r="H58" s="121"/>
      <c r="I58" s="115"/>
      <c r="J58" s="303"/>
      <c r="K58" s="97" t="s">
        <v>345</v>
      </c>
      <c r="L58" s="105" t="s">
        <v>549</v>
      </c>
      <c r="M58" s="141" t="s">
        <v>550</v>
      </c>
      <c r="N58" s="27"/>
      <c r="O58" s="27"/>
      <c r="R58" s="139"/>
      <c r="S58" s="137"/>
    </row>
    <row r="59" spans="4:19" x14ac:dyDescent="0.35">
      <c r="D59" s="8"/>
      <c r="E59" s="8"/>
      <c r="G59" s="115"/>
      <c r="H59" s="115"/>
      <c r="I59" s="115"/>
      <c r="J59" s="303"/>
      <c r="K59" s="97" t="s">
        <v>339</v>
      </c>
      <c r="L59" s="105" t="s">
        <v>551</v>
      </c>
      <c r="M59" s="141" t="s">
        <v>552</v>
      </c>
      <c r="N59" s="27"/>
      <c r="O59" s="27"/>
      <c r="R59" s="139"/>
      <c r="S59" s="137"/>
    </row>
    <row r="60" spans="4:19" x14ac:dyDescent="0.35">
      <c r="D60" s="8"/>
      <c r="E60" s="8"/>
      <c r="J60" s="304"/>
      <c r="K60" s="110" t="s">
        <v>304</v>
      </c>
      <c r="L60" s="110" t="s">
        <v>553</v>
      </c>
      <c r="M60" s="154" t="s">
        <v>554</v>
      </c>
      <c r="N60" s="27"/>
      <c r="O60" s="27"/>
      <c r="R60" s="139"/>
      <c r="S60" s="137"/>
    </row>
    <row r="61" spans="4:19" x14ac:dyDescent="0.35">
      <c r="D61" s="8"/>
      <c r="E61" s="8"/>
      <c r="N61" s="27"/>
      <c r="O61" s="27"/>
      <c r="S61" s="138"/>
    </row>
    <row r="62" spans="4:19" x14ac:dyDescent="0.35">
      <c r="E62" s="8"/>
      <c r="N62" s="27"/>
      <c r="O62" s="27"/>
    </row>
    <row r="63" spans="4:19" x14ac:dyDescent="0.35">
      <c r="E63" s="8"/>
      <c r="N63" s="27"/>
      <c r="O63" s="27"/>
    </row>
    <row r="64" spans="4:19" x14ac:dyDescent="0.35">
      <c r="E64" s="8"/>
      <c r="N64" s="27"/>
      <c r="O64" s="27"/>
    </row>
    <row r="65" spans="5:15" x14ac:dyDescent="0.35">
      <c r="E65" s="8"/>
      <c r="N65" s="27"/>
      <c r="O65" s="27"/>
    </row>
    <row r="66" spans="5:15" x14ac:dyDescent="0.35">
      <c r="E66" s="8"/>
      <c r="H66" s="9"/>
      <c r="N66" s="27"/>
      <c r="O66" s="27"/>
    </row>
    <row r="67" spans="5:15" x14ac:dyDescent="0.35">
      <c r="E67" s="8"/>
      <c r="H67" s="9"/>
      <c r="N67" s="27"/>
      <c r="O67" s="27"/>
    </row>
    <row r="68" spans="5:15" x14ac:dyDescent="0.35">
      <c r="E68" s="8"/>
      <c r="H68" s="9"/>
      <c r="N68" s="27"/>
      <c r="O68" s="27"/>
    </row>
    <row r="69" spans="5:15" x14ac:dyDescent="0.35">
      <c r="E69" s="8"/>
      <c r="N69" s="27"/>
      <c r="O69" s="27"/>
    </row>
    <row r="70" spans="5:15" x14ac:dyDescent="0.35">
      <c r="E70" s="8"/>
      <c r="N70" s="28"/>
      <c r="O70" s="28"/>
    </row>
    <row r="71" spans="5:15" x14ac:dyDescent="0.35">
      <c r="E71" s="8"/>
      <c r="N71" s="28"/>
      <c r="O71" s="28"/>
    </row>
    <row r="72" spans="5:15" x14ac:dyDescent="0.35">
      <c r="L72" s="27"/>
      <c r="M72" s="27"/>
      <c r="N72" s="28"/>
      <c r="O72" s="28"/>
    </row>
    <row r="73" spans="5:15" x14ac:dyDescent="0.35">
      <c r="L73" s="27"/>
      <c r="M73" s="27"/>
      <c r="N73" s="28"/>
      <c r="O73" s="28"/>
    </row>
    <row r="74" spans="5:15" x14ac:dyDescent="0.35">
      <c r="L74" s="27"/>
      <c r="M74" s="27"/>
      <c r="N74" s="28"/>
      <c r="O74" s="28"/>
    </row>
    <row r="75" spans="5:15" x14ac:dyDescent="0.35">
      <c r="L75" s="27"/>
      <c r="M75" s="27"/>
      <c r="N75" s="28"/>
      <c r="O75" s="28"/>
    </row>
    <row r="76" spans="5:15" x14ac:dyDescent="0.35">
      <c r="L76" s="27"/>
      <c r="M76" s="27"/>
      <c r="N76" s="28"/>
      <c r="O76" s="28"/>
    </row>
    <row r="77" spans="5:15" x14ac:dyDescent="0.35">
      <c r="L77" s="27"/>
      <c r="M77" s="27"/>
      <c r="N77" s="28"/>
      <c r="O77" s="28"/>
    </row>
    <row r="78" spans="5:15" x14ac:dyDescent="0.35">
      <c r="L78" s="27"/>
      <c r="M78" s="27"/>
      <c r="N78" s="28"/>
      <c r="O78" s="28"/>
    </row>
    <row r="79" spans="5:15" x14ac:dyDescent="0.35">
      <c r="L79" s="27"/>
      <c r="M79" s="27"/>
      <c r="N79" s="28"/>
      <c r="O79" s="28"/>
    </row>
    <row r="80" spans="5:15" x14ac:dyDescent="0.35">
      <c r="L80" s="27"/>
      <c r="M80" s="27"/>
      <c r="N80" s="28"/>
      <c r="O80" s="28"/>
    </row>
    <row r="81" spans="12:15" x14ac:dyDescent="0.35">
      <c r="L81" s="27"/>
      <c r="M81" s="27"/>
      <c r="N81" s="28"/>
      <c r="O81" s="28"/>
    </row>
    <row r="82" spans="12:15" x14ac:dyDescent="0.35">
      <c r="L82" s="27"/>
      <c r="M82" s="27"/>
      <c r="N82" s="28"/>
      <c r="O82" s="28"/>
    </row>
    <row r="83" spans="12:15" x14ac:dyDescent="0.35">
      <c r="L83" s="27"/>
      <c r="M83" s="27"/>
      <c r="N83" s="28"/>
      <c r="O83" s="28"/>
    </row>
    <row r="84" spans="12:15" x14ac:dyDescent="0.35">
      <c r="L84" s="27"/>
      <c r="M84" s="27"/>
      <c r="N84" s="28"/>
      <c r="O84" s="28"/>
    </row>
    <row r="85" spans="12:15" x14ac:dyDescent="0.35">
      <c r="L85" s="28"/>
      <c r="M85" s="28"/>
      <c r="N85" s="28"/>
      <c r="O85" s="28"/>
    </row>
    <row r="86" spans="12:15" x14ac:dyDescent="0.35">
      <c r="L86" s="28"/>
      <c r="M86" s="28"/>
      <c r="N86" s="28"/>
      <c r="O86" s="28"/>
    </row>
    <row r="87" spans="12:15" x14ac:dyDescent="0.35">
      <c r="L87" s="28"/>
      <c r="M87" s="28"/>
      <c r="N87" s="29"/>
      <c r="O87" s="29"/>
    </row>
    <row r="88" spans="12:15" x14ac:dyDescent="0.35">
      <c r="L88" s="28"/>
      <c r="M88" s="28"/>
    </row>
    <row r="89" spans="12:15" x14ac:dyDescent="0.35">
      <c r="L89" s="28"/>
      <c r="M89" s="28"/>
    </row>
    <row r="90" spans="12:15" x14ac:dyDescent="0.35">
      <c r="L90" s="28"/>
      <c r="M90" s="28"/>
    </row>
    <row r="91" spans="12:15" x14ac:dyDescent="0.35">
      <c r="L91" s="28"/>
      <c r="M91" s="28"/>
    </row>
    <row r="92" spans="12:15" x14ac:dyDescent="0.35">
      <c r="L92" s="28"/>
      <c r="M92" s="28"/>
    </row>
    <row r="93" spans="12:15" x14ac:dyDescent="0.35">
      <c r="L93" s="28"/>
      <c r="M93" s="28"/>
    </row>
    <row r="94" spans="12:15" x14ac:dyDescent="0.35">
      <c r="L94" s="28"/>
      <c r="M94" s="28"/>
    </row>
    <row r="95" spans="12:15" x14ac:dyDescent="0.35">
      <c r="L95" s="28"/>
      <c r="M95" s="28"/>
    </row>
    <row r="96" spans="12:15" x14ac:dyDescent="0.35">
      <c r="L96" s="28"/>
      <c r="M96" s="28"/>
    </row>
    <row r="97" spans="12:13" x14ac:dyDescent="0.35">
      <c r="L97" s="28"/>
      <c r="M97" s="28"/>
    </row>
    <row r="98" spans="12:13" x14ac:dyDescent="0.35">
      <c r="L98" s="28"/>
      <c r="M98" s="28"/>
    </row>
    <row r="99" spans="12:13" x14ac:dyDescent="0.35">
      <c r="L99" s="28"/>
      <c r="M99" s="28"/>
    </row>
    <row r="100" spans="12:13" x14ac:dyDescent="0.35">
      <c r="L100" s="28"/>
      <c r="M100" s="28"/>
    </row>
    <row r="101" spans="12:13" x14ac:dyDescent="0.35">
      <c r="L101" s="28"/>
      <c r="M101" s="28"/>
    </row>
    <row r="102" spans="12:13" x14ac:dyDescent="0.35">
      <c r="L102" s="29"/>
      <c r="M102" s="29"/>
    </row>
  </sheetData>
  <sortState xmlns:xlrd2="http://schemas.microsoft.com/office/spreadsheetml/2017/richdata2" ref="G31:H61">
    <sortCondition ref="G31:G61"/>
  </sortState>
  <mergeCells count="14">
    <mergeCell ref="Y6:Z6"/>
    <mergeCell ref="Y14:Z14"/>
    <mergeCell ref="AB6:AC6"/>
    <mergeCell ref="AE6:AF6"/>
    <mergeCell ref="J55:J60"/>
    <mergeCell ref="J52:J54"/>
    <mergeCell ref="J48:J51"/>
    <mergeCell ref="J42:J47"/>
    <mergeCell ref="J7:J41"/>
    <mergeCell ref="A6:B6"/>
    <mergeCell ref="D6:E6"/>
    <mergeCell ref="G6:H6"/>
    <mergeCell ref="P6:Q6"/>
    <mergeCell ref="S6:T6"/>
  </mergeCells>
  <conditionalFormatting sqref="H46">
    <cfRule type="duplicateValues" dxfId="1" priority="3"/>
  </conditionalFormatting>
  <conditionalFormatting sqref="W24">
    <cfRule type="duplicateValues" dxfId="0" priority="1"/>
  </conditionalFormatting>
  <hyperlinks>
    <hyperlink ref="A43" r:id="rId1" xr:uid="{84AF76C1-EC93-49F5-AD4E-C90495B94781}"/>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9A0AB-A05B-4271-9436-76B22AEDACBC}">
  <dimension ref="B2:W106"/>
  <sheetViews>
    <sheetView showGridLines="0" topLeftCell="A62" zoomScale="80" zoomScaleNormal="80" workbookViewId="0">
      <selection activeCell="C78" sqref="C78"/>
    </sheetView>
  </sheetViews>
  <sheetFormatPr defaultColWidth="8.81640625" defaultRowHeight="15.5" x14ac:dyDescent="0.35"/>
  <cols>
    <col min="1" max="1" width="2.1796875" style="24" customWidth="1"/>
    <col min="2" max="2" width="120.1796875" style="24" customWidth="1"/>
    <col min="3" max="3" width="38" style="24" bestFit="1" customWidth="1"/>
    <col min="4" max="4" width="24.1796875" style="24" bestFit="1" customWidth="1"/>
    <col min="5" max="5" width="18.1796875" style="24" bestFit="1" customWidth="1"/>
    <col min="6" max="6" width="27.54296875" style="24" customWidth="1"/>
    <col min="7" max="7" width="22.1796875" style="24" bestFit="1" customWidth="1"/>
    <col min="8" max="8" width="26.453125" style="24" bestFit="1" customWidth="1"/>
    <col min="9" max="9" width="23.1796875" style="24" customWidth="1"/>
    <col min="10" max="10" width="36.453125" style="24" bestFit="1" customWidth="1"/>
    <col min="11" max="11" width="21.1796875" style="24" bestFit="1" customWidth="1"/>
    <col min="12" max="12" width="19.453125" style="24" bestFit="1" customWidth="1"/>
    <col min="13" max="13" width="19" style="24" bestFit="1" customWidth="1"/>
    <col min="14" max="15" width="37.1796875" style="24" bestFit="1" customWidth="1"/>
    <col min="16" max="16" width="25.453125" style="24" bestFit="1" customWidth="1"/>
    <col min="17" max="17" width="16.54296875" style="24" bestFit="1" customWidth="1"/>
    <col min="18" max="20" width="30.54296875" style="24" bestFit="1" customWidth="1"/>
    <col min="21" max="21" width="18" style="24" bestFit="1" customWidth="1"/>
    <col min="22" max="22" width="19.453125" style="24" bestFit="1" customWidth="1"/>
    <col min="23" max="23" width="9" style="24" customWidth="1"/>
    <col min="24" max="16384" width="8.81640625" style="24"/>
  </cols>
  <sheetData>
    <row r="2" spans="2:15" x14ac:dyDescent="0.35">
      <c r="B2" s="25" t="s">
        <v>555</v>
      </c>
    </row>
    <row r="3" spans="2:15" x14ac:dyDescent="0.35">
      <c r="B3" s="26" t="s">
        <v>556</v>
      </c>
      <c r="C3" s="26"/>
    </row>
    <row r="4" spans="2:15" x14ac:dyDescent="0.35">
      <c r="B4" s="26" t="s">
        <v>557</v>
      </c>
      <c r="C4" s="26"/>
    </row>
    <row r="5" spans="2:15" x14ac:dyDescent="0.35">
      <c r="B5" s="26" t="s">
        <v>558</v>
      </c>
    </row>
    <row r="6" spans="2:15" x14ac:dyDescent="0.35">
      <c r="B6" s="26" t="s">
        <v>559</v>
      </c>
    </row>
    <row r="7" spans="2:15" x14ac:dyDescent="0.35">
      <c r="B7" s="1" t="s">
        <v>560</v>
      </c>
    </row>
    <row r="8" spans="2:15" x14ac:dyDescent="0.35">
      <c r="B8" s="26" t="s">
        <v>561</v>
      </c>
    </row>
    <row r="9" spans="2:15" x14ac:dyDescent="0.35">
      <c r="B9" s="26" t="s">
        <v>562</v>
      </c>
    </row>
    <row r="10" spans="2:15" x14ac:dyDescent="0.35">
      <c r="B10" s="26"/>
    </row>
    <row r="11" spans="2:15" x14ac:dyDescent="0.35">
      <c r="B11" s="26"/>
    </row>
    <row r="12" spans="2:15" ht="15" customHeight="1" x14ac:dyDescent="0.35">
      <c r="B12" s="314" t="s">
        <v>563</v>
      </c>
    </row>
    <row r="13" spans="2:15" x14ac:dyDescent="0.35">
      <c r="B13" s="315"/>
      <c r="J13" s="231" t="s">
        <v>564</v>
      </c>
    </row>
    <row r="14" spans="2:15" x14ac:dyDescent="0.35">
      <c r="B14" s="232" t="s">
        <v>565</v>
      </c>
      <c r="C14" s="231" t="s">
        <v>566</v>
      </c>
      <c r="D14" s="231" t="s">
        <v>567</v>
      </c>
      <c r="E14" s="231" t="s">
        <v>568</v>
      </c>
      <c r="F14" s="231" t="s">
        <v>569</v>
      </c>
      <c r="G14" s="231" t="s">
        <v>134</v>
      </c>
      <c r="H14" s="231" t="s">
        <v>570</v>
      </c>
      <c r="I14" s="231" t="s">
        <v>571</v>
      </c>
      <c r="J14" s="231" t="s">
        <v>572</v>
      </c>
      <c r="K14" s="231" t="s">
        <v>573</v>
      </c>
      <c r="L14" s="231" t="s">
        <v>574</v>
      </c>
      <c r="M14" s="231" t="s">
        <v>575</v>
      </c>
      <c r="N14" s="231" t="s">
        <v>576</v>
      </c>
      <c r="O14" s="231" t="s">
        <v>577</v>
      </c>
    </row>
    <row r="15" spans="2:15" ht="15.65" customHeight="1" x14ac:dyDescent="0.35">
      <c r="B15" s="233" t="str">
        <f>_xlfn.CONCAT(C15,"_",D15,"_",E15,"_",F15,"_",G15,"_",H15,"_",I15,"_",J15,"_",K15,"_",L15,"_",M15,"_",N15,"_",O15)</f>
        <v>IT_2023_Q3_ESS_STE_B2C_ITA_STEL_AWR_PR_STL_NA_FLASHTALKING</v>
      </c>
      <c r="C15" s="234" t="s">
        <v>376</v>
      </c>
      <c r="D15" s="234">
        <v>2023</v>
      </c>
      <c r="E15" s="234" t="s">
        <v>578</v>
      </c>
      <c r="F15" s="234" t="s">
        <v>148</v>
      </c>
      <c r="G15" s="234" t="s">
        <v>259</v>
      </c>
      <c r="H15" s="234" t="s">
        <v>177</v>
      </c>
      <c r="I15" s="234" t="s">
        <v>295</v>
      </c>
      <c r="J15" s="234" t="s">
        <v>426</v>
      </c>
      <c r="K15" s="234" t="s">
        <v>154</v>
      </c>
      <c r="L15" s="234" t="s">
        <v>174</v>
      </c>
      <c r="M15" s="234" t="s">
        <v>417</v>
      </c>
      <c r="N15" s="233" t="s">
        <v>370</v>
      </c>
      <c r="O15" s="233" t="s">
        <v>579</v>
      </c>
    </row>
    <row r="17" spans="2:23" x14ac:dyDescent="0.35">
      <c r="B17" s="235"/>
      <c r="I17" s="311" t="s">
        <v>580</v>
      </c>
      <c r="J17" s="312"/>
      <c r="K17" s="312"/>
      <c r="L17" s="312"/>
      <c r="M17" s="312"/>
      <c r="N17" s="313"/>
    </row>
    <row r="18" spans="2:23" s="9" customFormat="1" x14ac:dyDescent="0.35">
      <c r="B18" s="232" t="s">
        <v>581</v>
      </c>
      <c r="C18" s="236" t="s">
        <v>582</v>
      </c>
      <c r="D18" s="231" t="s">
        <v>583</v>
      </c>
      <c r="E18" s="231" t="s">
        <v>584</v>
      </c>
      <c r="F18" s="231" t="s">
        <v>585</v>
      </c>
      <c r="G18" s="231" t="s">
        <v>586</v>
      </c>
      <c r="H18" s="231" t="s">
        <v>587</v>
      </c>
      <c r="I18" s="236" t="s">
        <v>572</v>
      </c>
      <c r="J18" s="236" t="s">
        <v>588</v>
      </c>
      <c r="K18" s="236" t="s">
        <v>589</v>
      </c>
      <c r="L18" s="236" t="s">
        <v>590</v>
      </c>
      <c r="M18" s="236" t="s">
        <v>591</v>
      </c>
      <c r="N18" s="236" t="s">
        <v>577</v>
      </c>
      <c r="O18" s="236" t="s">
        <v>592</v>
      </c>
      <c r="P18" s="236" t="s">
        <v>593</v>
      </c>
      <c r="Q18" s="236" t="s">
        <v>594</v>
      </c>
      <c r="R18" s="236" t="s">
        <v>595</v>
      </c>
      <c r="S18" s="236" t="s">
        <v>596</v>
      </c>
      <c r="T18" s="236" t="s">
        <v>597</v>
      </c>
      <c r="U18" s="236" t="s">
        <v>41</v>
      </c>
    </row>
    <row r="19" spans="2:23" ht="31" x14ac:dyDescent="0.35">
      <c r="B19" s="233" t="str">
        <f>_xlfn.CONCAT(C19,"_",D19,"_",E19,"_",F19,"_",G19,"_",H19,"_",I19,"_",J19,"_",K19,"_",L19,"_",M19,"_",N19,"_",O19,"_",P19,"_",Q19,"_",R19,"_",S19,"_",T19,"_",U19)</f>
        <v>PZ1234_VC_ESM_123_Content_DV360_VEE_PG__Cross Device_TV_Spotify_Run of Network_Behavioral_P45+_300x250_Standard_DRM_Awareness</v>
      </c>
      <c r="C19" s="233" t="s">
        <v>598</v>
      </c>
      <c r="D19" s="234" t="s">
        <v>206</v>
      </c>
      <c r="E19" s="234" t="s">
        <v>241</v>
      </c>
      <c r="F19" s="233">
        <v>123</v>
      </c>
      <c r="G19" s="233" t="s">
        <v>599</v>
      </c>
      <c r="H19" s="233" t="s">
        <v>600</v>
      </c>
      <c r="I19" s="234" t="s">
        <v>485</v>
      </c>
      <c r="J19" s="233" t="s">
        <v>601</v>
      </c>
      <c r="K19" s="233"/>
      <c r="L19" s="233" t="s">
        <v>602</v>
      </c>
      <c r="M19" s="237" t="s">
        <v>319</v>
      </c>
      <c r="N19" s="233" t="s">
        <v>603</v>
      </c>
      <c r="O19" s="233" t="s">
        <v>604</v>
      </c>
      <c r="P19" s="233" t="s">
        <v>605</v>
      </c>
      <c r="Q19" s="233" t="s">
        <v>606</v>
      </c>
      <c r="R19" s="233" t="s">
        <v>607</v>
      </c>
      <c r="S19" s="233" t="s">
        <v>608</v>
      </c>
      <c r="T19" s="233" t="s">
        <v>609</v>
      </c>
      <c r="U19" s="233" t="s">
        <v>153</v>
      </c>
    </row>
    <row r="21" spans="2:23" x14ac:dyDescent="0.35">
      <c r="B21" s="235"/>
      <c r="I21" s="311" t="s">
        <v>580</v>
      </c>
      <c r="J21" s="312"/>
      <c r="K21" s="312"/>
      <c r="L21" s="312"/>
      <c r="M21" s="312"/>
      <c r="N21" s="313"/>
    </row>
    <row r="22" spans="2:23" x14ac:dyDescent="0.35">
      <c r="B22" s="232" t="s">
        <v>610</v>
      </c>
      <c r="C22" s="236" t="s">
        <v>582</v>
      </c>
      <c r="D22" s="231" t="s">
        <v>583</v>
      </c>
      <c r="E22" s="231" t="s">
        <v>584</v>
      </c>
      <c r="F22" s="231" t="s">
        <v>585</v>
      </c>
      <c r="G22" s="231" t="s">
        <v>586</v>
      </c>
      <c r="H22" s="231" t="s">
        <v>587</v>
      </c>
      <c r="I22" s="236" t="s">
        <v>572</v>
      </c>
      <c r="J22" s="236" t="s">
        <v>611</v>
      </c>
      <c r="K22" s="236" t="s">
        <v>589</v>
      </c>
      <c r="L22" s="236" t="s">
        <v>590</v>
      </c>
      <c r="M22" s="236" t="s">
        <v>591</v>
      </c>
      <c r="N22" s="236" t="s">
        <v>577</v>
      </c>
      <c r="O22" s="236" t="s">
        <v>592</v>
      </c>
      <c r="P22" s="236" t="s">
        <v>593</v>
      </c>
      <c r="Q22" s="236" t="s">
        <v>594</v>
      </c>
      <c r="R22" s="236" t="s">
        <v>595</v>
      </c>
      <c r="S22" s="236" t="s">
        <v>596</v>
      </c>
      <c r="T22" s="236" t="s">
        <v>597</v>
      </c>
      <c r="U22" s="236" t="s">
        <v>41</v>
      </c>
    </row>
    <row r="23" spans="2:23" ht="31" x14ac:dyDescent="0.35">
      <c r="B23" s="233" t="str">
        <f>_xlfn.CONCAT(C23,"_",D23,"_",E23,"_",F23,"_",G23,"_",H23,"_",I23,"_",J23,"_",K23,"_",L23,"_",M23,"_",N23,"_",O23,"_",P23,"_",Q23,"_",R23,"_",S23,"_",T23,"_",U23)</f>
        <v>NA_STE_STL_NA_PROGRAMMATIC_FLASHTALKING_STEL_PG_ENCHANCED PARENTS_MOBILE_OLV_TTD_RUN OF NETWORK_CONTEXTUAL_P25+_9x16_STANDARD_NA_AWARENESS</v>
      </c>
      <c r="C23" s="233" t="s">
        <v>370</v>
      </c>
      <c r="D23" s="234" t="s">
        <v>259</v>
      </c>
      <c r="E23" s="234" t="s">
        <v>417</v>
      </c>
      <c r="F23" s="233" t="s">
        <v>370</v>
      </c>
      <c r="G23" s="233" t="s">
        <v>612</v>
      </c>
      <c r="H23" s="233" t="s">
        <v>579</v>
      </c>
      <c r="I23" s="234" t="s">
        <v>426</v>
      </c>
      <c r="J23" s="233" t="s">
        <v>601</v>
      </c>
      <c r="K23" s="233" t="s">
        <v>613</v>
      </c>
      <c r="L23" s="233" t="s">
        <v>614</v>
      </c>
      <c r="M23" s="237" t="s">
        <v>372</v>
      </c>
      <c r="N23" s="233" t="s">
        <v>615</v>
      </c>
      <c r="O23" s="233" t="s">
        <v>616</v>
      </c>
      <c r="P23" s="233" t="s">
        <v>617</v>
      </c>
      <c r="Q23" s="233" t="s">
        <v>618</v>
      </c>
      <c r="R23" s="233" t="s">
        <v>619</v>
      </c>
      <c r="S23" s="233" t="s">
        <v>620</v>
      </c>
      <c r="T23" s="233" t="s">
        <v>370</v>
      </c>
      <c r="U23" s="233" t="s">
        <v>621</v>
      </c>
    </row>
    <row r="24" spans="2:23" ht="31" x14ac:dyDescent="0.35">
      <c r="B24" s="233" t="str">
        <f>_xlfn.CONCAT(C24,"_",D24,"_",E24,"_",F24,"_",G24,"_",H24,"_",I24,"_",J24,"_",K24,"_",L24,"_",M24,"_",N24,"_",O24,"_",P24,"_",Q24,"_",R24,"_",S24,"_",T24,"_",U24)</f>
        <v>NA_STE_STL_NA_PROGRAMMATIC_FLASHTALKING_STEL_PG_ENCHANCED PARENTS_MOBILE_OLV_TTD_RUN OF NETWORK_CONTEXTUAL_P25+_9x17_STANDARD_NA_AWARENESS</v>
      </c>
      <c r="C24" s="233" t="s">
        <v>370</v>
      </c>
      <c r="D24" s="234" t="s">
        <v>259</v>
      </c>
      <c r="E24" s="234" t="s">
        <v>417</v>
      </c>
      <c r="F24" s="233" t="s">
        <v>370</v>
      </c>
      <c r="G24" s="233" t="s">
        <v>612</v>
      </c>
      <c r="H24" s="233" t="s">
        <v>579</v>
      </c>
      <c r="I24" s="234" t="s">
        <v>426</v>
      </c>
      <c r="J24" s="233" t="s">
        <v>601</v>
      </c>
      <c r="K24" s="233" t="s">
        <v>613</v>
      </c>
      <c r="L24" s="233" t="s">
        <v>614</v>
      </c>
      <c r="M24" s="237" t="s">
        <v>372</v>
      </c>
      <c r="N24" s="233" t="s">
        <v>615</v>
      </c>
      <c r="O24" s="233" t="s">
        <v>616</v>
      </c>
      <c r="P24" s="233" t="s">
        <v>617</v>
      </c>
      <c r="Q24" s="233" t="s">
        <v>618</v>
      </c>
      <c r="R24" s="233" t="s">
        <v>622</v>
      </c>
      <c r="S24" s="233" t="s">
        <v>620</v>
      </c>
      <c r="T24" s="233" t="s">
        <v>370</v>
      </c>
      <c r="U24" s="233" t="s">
        <v>621</v>
      </c>
    </row>
    <row r="25" spans="2:23" ht="31" x14ac:dyDescent="0.35">
      <c r="B25" s="233" t="str">
        <f>_xlfn.CONCAT(C25,"_",D25,"_",E25,"_",F25,"_",G25,"_",H25,"_",I25,"_",J25,"_",K25,"_",L25,"_",M25,"_",N25,"_",O25,"_",P25,"_",Q25,"_",R25,"_",S25,"_",T25,"_",U25)</f>
        <v>NA_STE_STL_NA_PROGRAMMATIC_FLASHTALKING_STEL_PG_ENCHANCED PARENTS_MOBILE_OLV_TTD_RUN OF NETWORK_CONTEXTUAL_P25+_9x18_STANDARD_NA_AWARENESS</v>
      </c>
      <c r="C25" s="233" t="s">
        <v>370</v>
      </c>
      <c r="D25" s="234" t="s">
        <v>259</v>
      </c>
      <c r="E25" s="234" t="s">
        <v>417</v>
      </c>
      <c r="F25" s="233" t="s">
        <v>370</v>
      </c>
      <c r="G25" s="233" t="s">
        <v>612</v>
      </c>
      <c r="H25" s="233" t="s">
        <v>579</v>
      </c>
      <c r="I25" s="234" t="s">
        <v>426</v>
      </c>
      <c r="J25" s="233" t="s">
        <v>601</v>
      </c>
      <c r="K25" s="233" t="s">
        <v>613</v>
      </c>
      <c r="L25" s="233" t="s">
        <v>614</v>
      </c>
      <c r="M25" s="237" t="s">
        <v>372</v>
      </c>
      <c r="N25" s="233" t="s">
        <v>615</v>
      </c>
      <c r="O25" s="233" t="s">
        <v>616</v>
      </c>
      <c r="P25" s="233" t="s">
        <v>617</v>
      </c>
      <c r="Q25" s="233" t="s">
        <v>618</v>
      </c>
      <c r="R25" s="233" t="s">
        <v>623</v>
      </c>
      <c r="S25" s="233" t="s">
        <v>620</v>
      </c>
      <c r="T25" s="233" t="s">
        <v>370</v>
      </c>
      <c r="U25" s="233" t="s">
        <v>621</v>
      </c>
    </row>
    <row r="26" spans="2:23" x14ac:dyDescent="0.35">
      <c r="B26" s="233" t="str">
        <f>_xlfn.CONCAT(C26,"_",D26,"_",E26,"_",F26,"_",G26,"_",H26,"_",I26,"_",J26,"_",K26,"_",L26,"_",M26,"_",N26,"_",O26,"_",P26,"_",Q26,"_",R26,"_",S26,"_",T26,"_",U26)</f>
        <v>__________________</v>
      </c>
    </row>
    <row r="29" spans="2:23" ht="14.5" customHeight="1" x14ac:dyDescent="0.35">
      <c r="B29" s="238"/>
      <c r="C29" s="239"/>
      <c r="D29" s="239"/>
      <c r="E29" s="239"/>
      <c r="F29" s="239"/>
      <c r="G29" s="239"/>
      <c r="H29" s="239"/>
      <c r="I29" s="318" t="s">
        <v>580</v>
      </c>
      <c r="J29" s="319"/>
      <c r="K29" s="319"/>
      <c r="L29" s="319"/>
      <c r="M29" s="319"/>
      <c r="N29" s="319"/>
      <c r="O29" s="319"/>
      <c r="P29" s="320"/>
      <c r="Q29" s="239"/>
      <c r="R29" s="239"/>
      <c r="S29" s="239"/>
      <c r="T29" s="239"/>
      <c r="U29" s="239"/>
      <c r="V29" s="239"/>
      <c r="W29" s="239"/>
    </row>
    <row r="30" spans="2:23" x14ac:dyDescent="0.35">
      <c r="B30" s="240" t="s">
        <v>624</v>
      </c>
      <c r="C30" s="241" t="s">
        <v>582</v>
      </c>
      <c r="D30" s="242" t="s">
        <v>134</v>
      </c>
      <c r="E30" s="242" t="s">
        <v>625</v>
      </c>
      <c r="F30" s="242" t="s">
        <v>585</v>
      </c>
      <c r="G30" s="242" t="s">
        <v>586</v>
      </c>
      <c r="H30" s="242" t="s">
        <v>587</v>
      </c>
      <c r="I30" s="243" t="s">
        <v>566</v>
      </c>
      <c r="J30" s="243" t="s">
        <v>567</v>
      </c>
      <c r="K30" s="244" t="s">
        <v>568</v>
      </c>
      <c r="L30" s="243" t="s">
        <v>570</v>
      </c>
      <c r="M30" s="243" t="s">
        <v>571</v>
      </c>
      <c r="N30" s="244" t="s">
        <v>572</v>
      </c>
      <c r="O30" s="243" t="s">
        <v>573</v>
      </c>
      <c r="P30" s="243" t="s">
        <v>574</v>
      </c>
      <c r="Q30" s="241" t="s">
        <v>592</v>
      </c>
      <c r="R30" s="241" t="s">
        <v>593</v>
      </c>
      <c r="S30" s="241" t="s">
        <v>594</v>
      </c>
      <c r="T30" s="241" t="s">
        <v>595</v>
      </c>
      <c r="U30" s="241" t="s">
        <v>596</v>
      </c>
      <c r="V30" s="241" t="s">
        <v>597</v>
      </c>
      <c r="W30" s="241" t="s">
        <v>41</v>
      </c>
    </row>
    <row r="31" spans="2:23" ht="31" x14ac:dyDescent="0.35">
      <c r="B31" s="245" t="s">
        <v>626</v>
      </c>
      <c r="C31" s="246" t="s">
        <v>598</v>
      </c>
      <c r="D31" s="234" t="s">
        <v>206</v>
      </c>
      <c r="E31" s="234" t="s">
        <v>241</v>
      </c>
      <c r="F31" s="246">
        <v>123</v>
      </c>
      <c r="G31" s="246" t="s">
        <v>599</v>
      </c>
      <c r="H31" s="246" t="s">
        <v>600</v>
      </c>
      <c r="I31" s="234" t="s">
        <v>165</v>
      </c>
      <c r="J31" s="246">
        <v>2021</v>
      </c>
      <c r="K31" s="246" t="s">
        <v>627</v>
      </c>
      <c r="L31" s="234" t="s">
        <v>177</v>
      </c>
      <c r="M31" s="234" t="s">
        <v>163</v>
      </c>
      <c r="N31" s="234" t="s">
        <v>485</v>
      </c>
      <c r="O31" s="234" t="s">
        <v>190</v>
      </c>
      <c r="P31" s="234" t="s">
        <v>264</v>
      </c>
      <c r="Q31" s="246" t="s">
        <v>604</v>
      </c>
      <c r="R31" s="246" t="s">
        <v>605</v>
      </c>
      <c r="S31" s="246" t="s">
        <v>606</v>
      </c>
      <c r="T31" s="246" t="s">
        <v>607</v>
      </c>
      <c r="U31" s="246" t="s">
        <v>608</v>
      </c>
      <c r="V31" s="246" t="s">
        <v>609</v>
      </c>
      <c r="W31" s="246" t="s">
        <v>153</v>
      </c>
    </row>
    <row r="34" spans="2:21" x14ac:dyDescent="0.35">
      <c r="B34" s="247" t="s">
        <v>628</v>
      </c>
      <c r="C34" s="231" t="s">
        <v>582</v>
      </c>
      <c r="D34" s="231" t="s">
        <v>566</v>
      </c>
      <c r="E34" s="231" t="s">
        <v>569</v>
      </c>
      <c r="F34" s="231" t="s">
        <v>629</v>
      </c>
      <c r="G34" s="231" t="s">
        <v>570</v>
      </c>
      <c r="H34" s="231" t="s">
        <v>571</v>
      </c>
      <c r="I34" s="231" t="s">
        <v>630</v>
      </c>
      <c r="J34" s="231" t="s">
        <v>631</v>
      </c>
      <c r="K34" s="231" t="s">
        <v>589</v>
      </c>
      <c r="L34" s="231" t="s">
        <v>632</v>
      </c>
      <c r="M34" s="231" t="s">
        <v>573</v>
      </c>
      <c r="N34" s="231" t="s">
        <v>574</v>
      </c>
      <c r="O34" s="231" t="s">
        <v>575</v>
      </c>
      <c r="P34" s="231" t="s">
        <v>633</v>
      </c>
      <c r="Q34" s="231" t="s">
        <v>634</v>
      </c>
      <c r="R34" s="231" t="s">
        <v>635</v>
      </c>
      <c r="S34" s="231" t="s">
        <v>593</v>
      </c>
    </row>
    <row r="35" spans="2:21" ht="31" x14ac:dyDescent="0.35">
      <c r="B35" s="248" t="str">
        <f>_xlfn.CONCAT(C35,"_",D35,"_",E35,"_",F35,"_",G35,"_",H35,"_",I35,"_",J35,"_",K35,"_",L35,"_",M35,"_",N35,"_",O35,"_",P35,"_",Q35,"_",R35,"_",S35)</f>
        <v>PZ1234_US_ESS_VC_B2C_ENG_2021_Q2_VEE_Optician Visitors_Cell 1_COV_WP_ESM_FACEBOOK.COM_TV_Multiplatform_Behavioral</v>
      </c>
      <c r="C35" s="233" t="s">
        <v>598</v>
      </c>
      <c r="D35" s="234" t="s">
        <v>165</v>
      </c>
      <c r="E35" s="234" t="s">
        <v>148</v>
      </c>
      <c r="F35" s="234" t="s">
        <v>206</v>
      </c>
      <c r="G35" s="234" t="s">
        <v>177</v>
      </c>
      <c r="H35" s="234" t="s">
        <v>163</v>
      </c>
      <c r="I35" s="233" t="s">
        <v>636</v>
      </c>
      <c r="J35" s="234" t="s">
        <v>485</v>
      </c>
      <c r="K35" s="233" t="s">
        <v>637</v>
      </c>
      <c r="L35" s="233" t="s">
        <v>638</v>
      </c>
      <c r="M35" s="234" t="s">
        <v>190</v>
      </c>
      <c r="N35" s="234" t="s">
        <v>303</v>
      </c>
      <c r="O35" s="234" t="s">
        <v>241</v>
      </c>
      <c r="P35" s="233" t="s">
        <v>639</v>
      </c>
      <c r="Q35" s="233" t="s">
        <v>319</v>
      </c>
      <c r="R35" s="233" t="s">
        <v>640</v>
      </c>
      <c r="S35" s="233" t="s">
        <v>605</v>
      </c>
    </row>
    <row r="37" spans="2:21" x14ac:dyDescent="0.35">
      <c r="B37" s="232" t="s">
        <v>641</v>
      </c>
      <c r="C37" s="249"/>
      <c r="D37" s="250"/>
      <c r="E37" s="250"/>
      <c r="F37" s="250"/>
      <c r="G37" s="250"/>
      <c r="H37" s="250"/>
      <c r="I37" s="249"/>
      <c r="J37" s="249"/>
      <c r="K37" s="249"/>
      <c r="L37" s="249"/>
      <c r="M37" s="249"/>
      <c r="N37" s="249"/>
      <c r="O37" s="249"/>
      <c r="P37" s="249"/>
      <c r="Q37" s="249"/>
      <c r="R37" s="249"/>
      <c r="S37" s="249"/>
      <c r="T37" s="249"/>
      <c r="U37" s="249"/>
    </row>
    <row r="38" spans="2:21" x14ac:dyDescent="0.35">
      <c r="B38" s="233"/>
    </row>
    <row r="39" spans="2:21" x14ac:dyDescent="0.35">
      <c r="B39" s="235"/>
    </row>
    <row r="40" spans="2:21" x14ac:dyDescent="0.35">
      <c r="B40" s="282" t="s">
        <v>642</v>
      </c>
      <c r="C40" s="287" t="s">
        <v>643</v>
      </c>
      <c r="D40" s="285"/>
      <c r="E40" s="285"/>
      <c r="F40" s="285"/>
      <c r="G40" s="285"/>
      <c r="H40" s="285"/>
      <c r="I40" s="285"/>
    </row>
    <row r="41" spans="2:21" x14ac:dyDescent="0.35">
      <c r="B41" s="233" t="s">
        <v>644</v>
      </c>
      <c r="C41" s="288" t="s">
        <v>645</v>
      </c>
      <c r="D41" s="286"/>
      <c r="E41" s="286"/>
      <c r="F41" s="286"/>
      <c r="G41" s="286"/>
      <c r="H41" s="286"/>
      <c r="I41" s="286"/>
    </row>
    <row r="42" spans="2:21" x14ac:dyDescent="0.35">
      <c r="B42" s="235"/>
    </row>
    <row r="43" spans="2:21" x14ac:dyDescent="0.35">
      <c r="B43" s="235"/>
    </row>
    <row r="44" spans="2:21" ht="14.5" customHeight="1" x14ac:dyDescent="0.35">
      <c r="B44" s="314" t="s">
        <v>600</v>
      </c>
    </row>
    <row r="45" spans="2:21" x14ac:dyDescent="0.35">
      <c r="B45" s="315"/>
      <c r="J45" s="231" t="s">
        <v>564</v>
      </c>
    </row>
    <row r="46" spans="2:21" x14ac:dyDescent="0.35">
      <c r="B46" s="232" t="s">
        <v>565</v>
      </c>
      <c r="C46" s="231" t="s">
        <v>566</v>
      </c>
      <c r="D46" s="231" t="s">
        <v>567</v>
      </c>
      <c r="E46" s="231" t="s">
        <v>568</v>
      </c>
      <c r="F46" s="231" t="s">
        <v>569</v>
      </c>
      <c r="G46" s="231" t="s">
        <v>134</v>
      </c>
      <c r="H46" s="231" t="s">
        <v>570</v>
      </c>
      <c r="I46" s="231" t="s">
        <v>571</v>
      </c>
      <c r="J46" s="231" t="s">
        <v>572</v>
      </c>
      <c r="K46" s="231" t="s">
        <v>573</v>
      </c>
      <c r="L46" s="231" t="s">
        <v>574</v>
      </c>
      <c r="M46" s="231" t="s">
        <v>575</v>
      </c>
      <c r="N46" s="231" t="s">
        <v>576</v>
      </c>
    </row>
    <row r="47" spans="2:21" x14ac:dyDescent="0.35">
      <c r="B47" s="233" t="str">
        <f>_xlfn.CONCAT(C47,"_",D47,"_",E47,"_",F47,"_",G47,"_",H47,"_",I47,"_",J47,"_",K47,"_",L47,"_",M47,"_",N47)</f>
        <v>NL_2022_Q2_ESS_EYE_B2C_DEU_ELHE_AWR_PR_EYZ_CONTEXTUAL</v>
      </c>
      <c r="C47" s="234" t="s">
        <v>411</v>
      </c>
      <c r="D47" s="234">
        <v>2022</v>
      </c>
      <c r="E47" s="234" t="s">
        <v>627</v>
      </c>
      <c r="F47" s="234" t="s">
        <v>148</v>
      </c>
      <c r="G47" s="234" t="s">
        <v>247</v>
      </c>
      <c r="H47" s="234" t="s">
        <v>177</v>
      </c>
      <c r="I47" s="234" t="s">
        <v>243</v>
      </c>
      <c r="J47" s="234" t="s">
        <v>328</v>
      </c>
      <c r="K47" s="234" t="s">
        <v>154</v>
      </c>
      <c r="L47" s="234" t="s">
        <v>174</v>
      </c>
      <c r="M47" s="234" t="s">
        <v>265</v>
      </c>
      <c r="N47" s="233" t="s">
        <v>617</v>
      </c>
    </row>
    <row r="48" spans="2:21" x14ac:dyDescent="0.35">
      <c r="B48" s="233"/>
    </row>
    <row r="49" spans="2:21" x14ac:dyDescent="0.35">
      <c r="B49" s="235"/>
      <c r="I49" s="251"/>
      <c r="J49" s="252" t="s">
        <v>564</v>
      </c>
      <c r="K49" s="251"/>
      <c r="L49" s="251"/>
      <c r="M49" s="251"/>
      <c r="N49" s="251"/>
    </row>
    <row r="50" spans="2:21" x14ac:dyDescent="0.35">
      <c r="B50" s="232" t="s">
        <v>646</v>
      </c>
      <c r="C50" s="231" t="s">
        <v>566</v>
      </c>
      <c r="D50" s="231" t="s">
        <v>567</v>
      </c>
      <c r="E50" s="231" t="s">
        <v>568</v>
      </c>
      <c r="F50" s="231" t="s">
        <v>569</v>
      </c>
      <c r="G50" s="231" t="s">
        <v>134</v>
      </c>
      <c r="H50" s="231" t="s">
        <v>570</v>
      </c>
      <c r="I50" s="231" t="s">
        <v>571</v>
      </c>
      <c r="J50" s="231" t="s">
        <v>572</v>
      </c>
      <c r="K50" s="231" t="s">
        <v>573</v>
      </c>
      <c r="L50" s="231" t="s">
        <v>574</v>
      </c>
      <c r="M50" s="231" t="s">
        <v>575</v>
      </c>
      <c r="N50" s="236" t="s">
        <v>591</v>
      </c>
      <c r="O50" s="236" t="s">
        <v>647</v>
      </c>
      <c r="P50" s="249"/>
      <c r="Q50" s="249"/>
      <c r="R50" s="249"/>
      <c r="S50" s="249"/>
      <c r="T50" s="249"/>
      <c r="U50" s="249"/>
    </row>
    <row r="51" spans="2:21" x14ac:dyDescent="0.35">
      <c r="B51" s="233" t="str">
        <f>_xlfn.CONCAT(C51,"_",D51,"_",E51,"_",F51,"_",G51,"_",H51,"_",I51,"_",J51,"_",K51,"_",L51,"_",M51,"_",N51,"_",O51)</f>
        <v>US_2021_Q2_ESS_VC_B2C_ENG_VEE_COV_WC_ESM_TV_tactic</v>
      </c>
      <c r="C51" s="234" t="s">
        <v>165</v>
      </c>
      <c r="D51" s="234">
        <v>2021</v>
      </c>
      <c r="E51" s="234" t="s">
        <v>627</v>
      </c>
      <c r="F51" s="234" t="s">
        <v>148</v>
      </c>
      <c r="G51" s="234" t="s">
        <v>206</v>
      </c>
      <c r="H51" s="234" t="s">
        <v>177</v>
      </c>
      <c r="I51" s="234" t="s">
        <v>163</v>
      </c>
      <c r="J51" s="234" t="s">
        <v>485</v>
      </c>
      <c r="K51" s="234" t="s">
        <v>190</v>
      </c>
      <c r="L51" s="234" t="s">
        <v>264</v>
      </c>
      <c r="M51" s="234" t="s">
        <v>241</v>
      </c>
      <c r="N51" s="237" t="s">
        <v>319</v>
      </c>
      <c r="O51" s="233" t="s">
        <v>648</v>
      </c>
    </row>
    <row r="52" spans="2:21" x14ac:dyDescent="0.35">
      <c r="B52" s="233"/>
      <c r="G52" s="253"/>
    </row>
    <row r="53" spans="2:21" x14ac:dyDescent="0.35">
      <c r="B53" s="235"/>
      <c r="I53" s="317"/>
      <c r="J53" s="317"/>
      <c r="K53" s="317"/>
      <c r="L53" s="317"/>
      <c r="M53" s="317"/>
      <c r="N53" s="317"/>
    </row>
    <row r="54" spans="2:21" x14ac:dyDescent="0.35">
      <c r="B54" s="232" t="s">
        <v>649</v>
      </c>
      <c r="C54" s="236" t="s">
        <v>650</v>
      </c>
      <c r="D54" s="236" t="s">
        <v>651</v>
      </c>
      <c r="E54" s="231" t="s">
        <v>590</v>
      </c>
      <c r="F54" s="231" t="s">
        <v>652</v>
      </c>
      <c r="G54" s="231" t="s">
        <v>653</v>
      </c>
      <c r="H54" s="231" t="s">
        <v>654</v>
      </c>
      <c r="I54" s="231" t="s">
        <v>655</v>
      </c>
      <c r="J54" s="236" t="s">
        <v>656</v>
      </c>
      <c r="K54" s="236" t="s">
        <v>657</v>
      </c>
      <c r="L54" s="249"/>
      <c r="M54" s="249"/>
      <c r="N54" s="249"/>
      <c r="O54" s="249"/>
      <c r="P54" s="249"/>
      <c r="Q54" s="249"/>
      <c r="R54" s="249"/>
      <c r="S54" s="249"/>
      <c r="T54" s="249"/>
      <c r="U54" s="249"/>
    </row>
    <row r="55" spans="2:21" x14ac:dyDescent="0.35">
      <c r="B55" s="233" t="str">
        <f>_xlfn.CONCAT(C55,"_",D55,"_",E55,"_",F55,"_",G55,"_",H55,"_",I55,"_",J55,"_",K55)</f>
        <v>Essilor FY22_TTD_PC/Mobile/Tablet_CTV_B2C_TTD_Retargeting_PROG_1P Data</v>
      </c>
      <c r="C55" s="233" t="s">
        <v>658</v>
      </c>
      <c r="D55" s="233" t="s">
        <v>615</v>
      </c>
      <c r="E55" s="233" t="s">
        <v>659</v>
      </c>
      <c r="F55" s="233" t="s">
        <v>660</v>
      </c>
      <c r="G55" s="233" t="s">
        <v>177</v>
      </c>
      <c r="H55" s="233" t="s">
        <v>615</v>
      </c>
      <c r="I55" s="233" t="s">
        <v>661</v>
      </c>
      <c r="J55" s="233" t="s">
        <v>662</v>
      </c>
      <c r="K55" s="233" t="s">
        <v>663</v>
      </c>
    </row>
    <row r="56" spans="2:21" x14ac:dyDescent="0.35">
      <c r="B56" s="235"/>
    </row>
    <row r="57" spans="2:21" x14ac:dyDescent="0.35">
      <c r="B57" s="235"/>
    </row>
    <row r="58" spans="2:21" x14ac:dyDescent="0.35">
      <c r="B58" s="235"/>
    </row>
    <row r="59" spans="2:21" x14ac:dyDescent="0.35">
      <c r="B59" s="314" t="s">
        <v>664</v>
      </c>
    </row>
    <row r="60" spans="2:21" x14ac:dyDescent="0.35">
      <c r="B60" s="315"/>
      <c r="J60" s="231" t="s">
        <v>665</v>
      </c>
    </row>
    <row r="61" spans="2:21" ht="42" customHeight="1" x14ac:dyDescent="0.35">
      <c r="B61" s="232" t="s">
        <v>666</v>
      </c>
      <c r="C61" s="231" t="s">
        <v>566</v>
      </c>
      <c r="D61" s="231" t="s">
        <v>567</v>
      </c>
      <c r="E61" s="231" t="s">
        <v>568</v>
      </c>
      <c r="F61" s="231" t="s">
        <v>569</v>
      </c>
      <c r="G61" s="231" t="s">
        <v>134</v>
      </c>
      <c r="H61" s="231" t="s">
        <v>570</v>
      </c>
      <c r="I61" s="231" t="s">
        <v>571</v>
      </c>
      <c r="J61" s="231" t="s">
        <v>572</v>
      </c>
      <c r="K61" s="231" t="s">
        <v>573</v>
      </c>
      <c r="L61" s="231" t="s">
        <v>574</v>
      </c>
      <c r="M61" s="231" t="s">
        <v>575</v>
      </c>
      <c r="N61" s="231" t="s">
        <v>577</v>
      </c>
    </row>
    <row r="62" spans="2:21" x14ac:dyDescent="0.35">
      <c r="B62" s="233" t="str">
        <f>_xlfn.CONCAT(C62,"_",D62,"_",E62,"_",F62,"_",G62,"_",H62,"_",I62,"_",J62,"_",K62,"_",L62,"_",M62,"_",N62)</f>
        <v>IT_2023_Q4_TRA_TRN_B2C_ENG_TRAN_AWR_VV_TRS_Videoviews_40L_</v>
      </c>
      <c r="C62" s="234" t="s">
        <v>376</v>
      </c>
      <c r="D62" s="234">
        <v>2023</v>
      </c>
      <c r="E62" s="234" t="s">
        <v>667</v>
      </c>
      <c r="F62" s="234" t="s">
        <v>166</v>
      </c>
      <c r="G62" s="234" t="s">
        <v>150</v>
      </c>
      <c r="H62" s="234" t="s">
        <v>177</v>
      </c>
      <c r="I62" s="234" t="s">
        <v>163</v>
      </c>
      <c r="J62" s="234" t="s">
        <v>517</v>
      </c>
      <c r="K62" s="234" t="s">
        <v>154</v>
      </c>
      <c r="L62" s="234" t="s">
        <v>416</v>
      </c>
      <c r="M62" s="234" t="s">
        <v>439</v>
      </c>
      <c r="N62" s="233" t="s">
        <v>668</v>
      </c>
    </row>
    <row r="63" spans="2:21" x14ac:dyDescent="0.35">
      <c r="B63" s="235"/>
      <c r="C63" s="235"/>
    </row>
    <row r="64" spans="2:21" x14ac:dyDescent="0.35">
      <c r="B64" s="235"/>
      <c r="I64" s="317"/>
      <c r="J64" s="317"/>
      <c r="K64" s="317"/>
      <c r="L64" s="317"/>
      <c r="M64" s="317"/>
      <c r="N64" s="317"/>
    </row>
    <row r="65" spans="2:21" x14ac:dyDescent="0.35">
      <c r="B65" s="247" t="s">
        <v>669</v>
      </c>
      <c r="C65" s="231" t="s">
        <v>582</v>
      </c>
      <c r="D65" s="231" t="s">
        <v>566</v>
      </c>
      <c r="E65" s="231" t="s">
        <v>569</v>
      </c>
      <c r="F65" s="231" t="s">
        <v>629</v>
      </c>
      <c r="G65" s="231" t="s">
        <v>570</v>
      </c>
      <c r="H65" s="231" t="s">
        <v>571</v>
      </c>
      <c r="I65" s="231" t="s">
        <v>630</v>
      </c>
      <c r="J65" s="231" t="s">
        <v>631</v>
      </c>
      <c r="K65" s="231" t="s">
        <v>589</v>
      </c>
      <c r="L65" s="231" t="s">
        <v>632</v>
      </c>
      <c r="M65" s="231" t="s">
        <v>573</v>
      </c>
      <c r="N65" s="231" t="s">
        <v>574</v>
      </c>
      <c r="O65" s="231" t="s">
        <v>575</v>
      </c>
      <c r="P65" s="231" t="s">
        <v>633</v>
      </c>
      <c r="Q65" s="231" t="s">
        <v>634</v>
      </c>
      <c r="R65" s="231" t="s">
        <v>635</v>
      </c>
      <c r="S65" s="231" t="s">
        <v>593</v>
      </c>
      <c r="T65" s="249"/>
      <c r="U65" s="249"/>
    </row>
    <row r="66" spans="2:21" ht="31" x14ac:dyDescent="0.35">
      <c r="B66" s="248" t="str">
        <f>_xlfn.CONCAT(C66,"_",D66,"_",E66,"_",F66,"_",G66,"_",H66,"_",I66,"_",J66,"_",K66,"_",L66,"_",M66,"_",N66,"_",O66,"_",P66,"_",Q66,"_",R66,"_",S66)</f>
        <v>PZ1234_US_ESS_VC_B2C_ENG_2021_Q2_VEE_Optician Visitors_Cell 1_COV_WC_ESM_FACEBOOK.COM_TV_Multiplatform_Behavioral</v>
      </c>
      <c r="C66" s="233" t="s">
        <v>598</v>
      </c>
      <c r="D66" s="234" t="s">
        <v>165</v>
      </c>
      <c r="E66" s="234" t="s">
        <v>148</v>
      </c>
      <c r="F66" s="234" t="s">
        <v>206</v>
      </c>
      <c r="G66" s="234" t="s">
        <v>177</v>
      </c>
      <c r="H66" s="234" t="s">
        <v>163</v>
      </c>
      <c r="I66" s="233" t="s">
        <v>636</v>
      </c>
      <c r="J66" s="234" t="s">
        <v>485</v>
      </c>
      <c r="K66" s="233" t="s">
        <v>637</v>
      </c>
      <c r="L66" s="233" t="s">
        <v>638</v>
      </c>
      <c r="M66" s="234" t="s">
        <v>190</v>
      </c>
      <c r="N66" s="234" t="s">
        <v>264</v>
      </c>
      <c r="O66" s="234" t="s">
        <v>241</v>
      </c>
      <c r="P66" s="233" t="s">
        <v>639</v>
      </c>
      <c r="Q66" s="233" t="s">
        <v>319</v>
      </c>
      <c r="R66" s="233" t="s">
        <v>640</v>
      </c>
      <c r="S66" s="233" t="s">
        <v>605</v>
      </c>
    </row>
    <row r="67" spans="2:21" x14ac:dyDescent="0.35">
      <c r="N67" s="24" t="s">
        <v>416</v>
      </c>
    </row>
    <row r="68" spans="2:21" x14ac:dyDescent="0.35">
      <c r="B68" s="232" t="s">
        <v>670</v>
      </c>
      <c r="C68" s="236" t="s">
        <v>631</v>
      </c>
      <c r="D68" s="236" t="s">
        <v>671</v>
      </c>
      <c r="E68" s="236" t="s">
        <v>672</v>
      </c>
      <c r="F68" s="236" t="s">
        <v>673</v>
      </c>
      <c r="G68" s="236" t="s">
        <v>674</v>
      </c>
      <c r="H68" s="236" t="s">
        <v>675</v>
      </c>
      <c r="I68" s="236" t="s">
        <v>676</v>
      </c>
      <c r="J68" s="236" t="s">
        <v>677</v>
      </c>
      <c r="K68" s="236" t="s">
        <v>577</v>
      </c>
    </row>
    <row r="69" spans="2:21" x14ac:dyDescent="0.35">
      <c r="B69" s="233" t="str">
        <f>_xlfn.CONCAT(C69,"_",D69,"_",E69,"_",F69,"_",G69,"_",H69,"_",I69,"_",J69,"_",K69)</f>
        <v>TRAN_B2C_Conversion_National_Pinterest_Feed_Retargeting_25.05.2023_NA</v>
      </c>
      <c r="C69" s="234" t="s">
        <v>517</v>
      </c>
      <c r="D69" s="233" t="s">
        <v>177</v>
      </c>
      <c r="E69" s="233" t="s">
        <v>189</v>
      </c>
      <c r="F69" s="233" t="s">
        <v>678</v>
      </c>
      <c r="G69" s="233" t="s">
        <v>679</v>
      </c>
      <c r="H69" s="233" t="s">
        <v>680</v>
      </c>
      <c r="I69" s="233" t="s">
        <v>661</v>
      </c>
      <c r="J69" s="233" t="s">
        <v>681</v>
      </c>
      <c r="K69" s="233" t="s">
        <v>370</v>
      </c>
    </row>
    <row r="70" spans="2:21" x14ac:dyDescent="0.35">
      <c r="C70" s="235"/>
    </row>
    <row r="71" spans="2:21" x14ac:dyDescent="0.35">
      <c r="B71" s="282" t="s">
        <v>682</v>
      </c>
      <c r="C71" s="283" t="s">
        <v>643</v>
      </c>
      <c r="D71" s="249"/>
      <c r="E71" s="250"/>
      <c r="F71" s="250"/>
      <c r="G71" s="250"/>
      <c r="H71" s="250"/>
      <c r="I71" s="249"/>
      <c r="J71" s="249"/>
      <c r="K71" s="249"/>
    </row>
    <row r="72" spans="2:21" x14ac:dyDescent="0.35">
      <c r="B72" s="233" t="s">
        <v>644</v>
      </c>
      <c r="C72" s="284" t="s">
        <v>645</v>
      </c>
    </row>
    <row r="73" spans="2:21" x14ac:dyDescent="0.35">
      <c r="C73" s="235"/>
    </row>
    <row r="75" spans="2:21" ht="14.5" customHeight="1" x14ac:dyDescent="0.35">
      <c r="B75" s="314" t="s">
        <v>683</v>
      </c>
    </row>
    <row r="76" spans="2:21" x14ac:dyDescent="0.35">
      <c r="B76" s="315"/>
    </row>
    <row r="77" spans="2:21" x14ac:dyDescent="0.35">
      <c r="B77" s="232" t="s">
        <v>565</v>
      </c>
      <c r="C77" s="231" t="s">
        <v>566</v>
      </c>
      <c r="D77" s="231" t="s">
        <v>567</v>
      </c>
      <c r="E77" s="231" t="s">
        <v>568</v>
      </c>
      <c r="F77" s="231" t="s">
        <v>569</v>
      </c>
      <c r="G77" s="231" t="s">
        <v>134</v>
      </c>
      <c r="H77" s="231" t="s">
        <v>570</v>
      </c>
      <c r="I77" s="231" t="s">
        <v>571</v>
      </c>
      <c r="J77" s="231" t="s">
        <v>631</v>
      </c>
      <c r="K77" s="231" t="s">
        <v>573</v>
      </c>
      <c r="L77" s="231" t="s">
        <v>574</v>
      </c>
      <c r="M77" s="231" t="s">
        <v>575</v>
      </c>
      <c r="N77" s="231" t="s">
        <v>684</v>
      </c>
      <c r="O77" s="231" t="s">
        <v>685</v>
      </c>
      <c r="P77" s="231" t="s">
        <v>686</v>
      </c>
      <c r="Q77" s="231" t="s">
        <v>671</v>
      </c>
      <c r="R77" s="231" t="s">
        <v>687</v>
      </c>
      <c r="S77" s="231" t="s">
        <v>688</v>
      </c>
      <c r="T77" s="250"/>
    </row>
    <row r="78" spans="2:21" x14ac:dyDescent="0.35">
      <c r="B78" s="233" t="str">
        <f>_xlfn.CONCAT(C78,"_",D78,"_",E78,"_",F78,"_",G78,"_",H78,"_",I78,"_",J78,"_",K78,"_",L78,"_",M78,"_",N78,"_",O78,"_",P78,"_",Q78,"_",R78,"_",S78)</f>
        <v>AU_2023_Q1_NIK_VC_B2C_FRA_TRAN_AWR_RE_TRS_NA_GDN_Google_NA_NA_DISCOVERY-CAMPAIGN</v>
      </c>
      <c r="C78" s="234" t="s">
        <v>183</v>
      </c>
      <c r="D78" s="234">
        <v>2023</v>
      </c>
      <c r="E78" s="234" t="s">
        <v>128</v>
      </c>
      <c r="F78" s="234" t="s">
        <v>204</v>
      </c>
      <c r="G78" s="234" t="s">
        <v>206</v>
      </c>
      <c r="H78" s="234" t="s">
        <v>177</v>
      </c>
      <c r="I78" s="234" t="s">
        <v>181</v>
      </c>
      <c r="J78" s="234" t="s">
        <v>517</v>
      </c>
      <c r="K78" s="234" t="s">
        <v>154</v>
      </c>
      <c r="L78" s="234" t="s">
        <v>156</v>
      </c>
      <c r="M78" s="234" t="s">
        <v>439</v>
      </c>
      <c r="N78" s="233" t="s">
        <v>370</v>
      </c>
      <c r="O78" s="233" t="s">
        <v>689</v>
      </c>
      <c r="P78" s="233" t="s">
        <v>690</v>
      </c>
      <c r="Q78" s="233" t="s">
        <v>370</v>
      </c>
      <c r="R78" s="233" t="s">
        <v>370</v>
      </c>
      <c r="S78" s="233" t="s">
        <v>691</v>
      </c>
    </row>
    <row r="80" spans="2:21" x14ac:dyDescent="0.35">
      <c r="B80" s="232" t="s">
        <v>692</v>
      </c>
      <c r="C80" s="236" t="s">
        <v>693</v>
      </c>
    </row>
    <row r="81" spans="2:17" x14ac:dyDescent="0.35">
      <c r="B81" s="233" t="str">
        <f>_xlfn.CONCAT(C81)</f>
        <v xml:space="preserve">Based on campign </v>
      </c>
      <c r="C81" s="254" t="s">
        <v>694</v>
      </c>
    </row>
    <row r="82" spans="2:17" x14ac:dyDescent="0.35">
      <c r="B82" s="233"/>
      <c r="C82" s="254"/>
    </row>
    <row r="83" spans="2:17" x14ac:dyDescent="0.35">
      <c r="B83" s="232" t="s">
        <v>695</v>
      </c>
      <c r="C83" s="236" t="s">
        <v>566</v>
      </c>
      <c r="D83" s="231" t="s">
        <v>571</v>
      </c>
      <c r="E83" s="231" t="s">
        <v>569</v>
      </c>
      <c r="F83" s="231" t="s">
        <v>671</v>
      </c>
      <c r="G83" s="231" t="s">
        <v>696</v>
      </c>
      <c r="H83" s="236" t="s">
        <v>697</v>
      </c>
    </row>
    <row r="84" spans="2:17" x14ac:dyDescent="0.35">
      <c r="B84" s="233" t="str">
        <f>_xlfn.CONCAT(C84,"_",D84,"_",E84,"_",F84,"_",G84,"_",H84)</f>
        <v>FR_FRA_TRA_NA_Static_AD-1</v>
      </c>
      <c r="C84" s="254" t="s">
        <v>283</v>
      </c>
      <c r="D84" s="254" t="s">
        <v>181</v>
      </c>
      <c r="E84" s="234" t="s">
        <v>166</v>
      </c>
      <c r="F84" s="254" t="s">
        <v>370</v>
      </c>
      <c r="G84" s="254" t="s">
        <v>698</v>
      </c>
      <c r="H84" s="254" t="s">
        <v>699</v>
      </c>
    </row>
    <row r="86" spans="2:17" x14ac:dyDescent="0.35">
      <c r="B86" s="235"/>
      <c r="C86" s="255"/>
      <c r="D86" s="255"/>
      <c r="E86" s="255"/>
      <c r="F86" s="255"/>
      <c r="G86" s="255"/>
      <c r="H86" s="255"/>
      <c r="I86" s="255"/>
      <c r="J86" s="255"/>
      <c r="K86" s="255"/>
      <c r="L86" s="255"/>
      <c r="M86" s="255"/>
      <c r="N86" s="256"/>
      <c r="O86" s="256"/>
      <c r="P86" s="256"/>
      <c r="Q86" s="256"/>
    </row>
    <row r="87" spans="2:17" ht="14.5" customHeight="1" x14ac:dyDescent="0.35">
      <c r="B87" s="316" t="s">
        <v>700</v>
      </c>
    </row>
    <row r="88" spans="2:17" x14ac:dyDescent="0.35">
      <c r="B88" s="316"/>
    </row>
    <row r="89" spans="2:17" x14ac:dyDescent="0.35">
      <c r="B89" s="232" t="s">
        <v>565</v>
      </c>
      <c r="C89" s="231" t="s">
        <v>566</v>
      </c>
      <c r="D89" s="231" t="s">
        <v>567</v>
      </c>
      <c r="E89" s="231" t="s">
        <v>568</v>
      </c>
      <c r="F89" s="231" t="s">
        <v>569</v>
      </c>
      <c r="G89" s="231" t="s">
        <v>134</v>
      </c>
      <c r="H89" s="231" t="s">
        <v>570</v>
      </c>
      <c r="I89" s="231" t="s">
        <v>571</v>
      </c>
      <c r="J89" s="231" t="s">
        <v>631</v>
      </c>
      <c r="K89" s="231" t="s">
        <v>573</v>
      </c>
      <c r="L89" s="231" t="s">
        <v>574</v>
      </c>
      <c r="M89" s="231" t="s">
        <v>575</v>
      </c>
      <c r="N89" s="231" t="s">
        <v>576</v>
      </c>
      <c r="O89" s="231" t="s">
        <v>701</v>
      </c>
    </row>
    <row r="90" spans="2:17" x14ac:dyDescent="0.35">
      <c r="B90" s="257" t="str">
        <f>_xlfn.CONCAT(C90,"_",D90,"_",E90,"_",F90,"_",G90,"_",H90,"_",I90,"_",J90,"_",K90,"_",L90,"_",M90,"_",N90,"_",O90)</f>
        <v>GB_2022_Q4_ESS_EYE_B2C_ENG_EYEZ_AWR_PR_NA_NA_NON-SKIPPABLE-PRISMA:O-3KE5J</v>
      </c>
      <c r="C90" s="234" t="s">
        <v>501</v>
      </c>
      <c r="D90" s="233">
        <v>2022</v>
      </c>
      <c r="E90" s="233" t="s">
        <v>667</v>
      </c>
      <c r="F90" s="234" t="s">
        <v>148</v>
      </c>
      <c r="G90" s="234" t="s">
        <v>247</v>
      </c>
      <c r="H90" s="234" t="s">
        <v>177</v>
      </c>
      <c r="I90" s="234" t="s">
        <v>163</v>
      </c>
      <c r="J90" s="234" t="s">
        <v>314</v>
      </c>
      <c r="K90" s="258" t="s">
        <v>154</v>
      </c>
      <c r="L90" s="234" t="s">
        <v>174</v>
      </c>
      <c r="M90" s="234" t="s">
        <v>370</v>
      </c>
      <c r="N90" s="234" t="s">
        <v>370</v>
      </c>
      <c r="O90" s="234" t="s">
        <v>702</v>
      </c>
    </row>
    <row r="92" spans="2:17" x14ac:dyDescent="0.35">
      <c r="B92" s="232" t="s">
        <v>692</v>
      </c>
      <c r="C92" s="231" t="s">
        <v>566</v>
      </c>
      <c r="D92" s="231" t="s">
        <v>567</v>
      </c>
      <c r="E92" s="231" t="s">
        <v>568</v>
      </c>
      <c r="F92" s="231" t="s">
        <v>569</v>
      </c>
      <c r="G92" s="231" t="s">
        <v>134</v>
      </c>
      <c r="H92" s="231" t="s">
        <v>570</v>
      </c>
      <c r="I92" s="231" t="s">
        <v>571</v>
      </c>
      <c r="J92" s="231" t="s">
        <v>631</v>
      </c>
      <c r="K92" s="231" t="s">
        <v>573</v>
      </c>
      <c r="L92" s="231" t="s">
        <v>574</v>
      </c>
      <c r="M92" s="231" t="s">
        <v>575</v>
      </c>
      <c r="N92" s="231" t="s">
        <v>701</v>
      </c>
      <c r="O92" s="231" t="s">
        <v>55</v>
      </c>
      <c r="P92" s="231" t="s">
        <v>13</v>
      </c>
    </row>
    <row r="93" spans="2:17" x14ac:dyDescent="0.35">
      <c r="B93" s="257" t="str">
        <f>_xlfn.CONCAT(C93,"_",D93,"_",E93,"_",F93,"_",G93,"_",H93,"_",I93,"_",J93,"_",K93,"_",L93,"_",M93,"_",N93,"_",O93,"_",P93)</f>
        <v>GB_2022_Q4_ESS_EYE_B2C_ENG_EYEZ_AWR_PR_NA_NON-SKIPPABLE_Multiplatform_Interests</v>
      </c>
      <c r="C93" s="234" t="s">
        <v>501</v>
      </c>
      <c r="D93" s="233">
        <v>2022</v>
      </c>
      <c r="E93" s="233" t="s">
        <v>667</v>
      </c>
      <c r="F93" s="234" t="s">
        <v>148</v>
      </c>
      <c r="G93" s="234" t="s">
        <v>247</v>
      </c>
      <c r="H93" s="234" t="s">
        <v>177</v>
      </c>
      <c r="I93" s="234" t="s">
        <v>163</v>
      </c>
      <c r="J93" s="234" t="s">
        <v>314</v>
      </c>
      <c r="K93" s="258" t="s">
        <v>154</v>
      </c>
      <c r="L93" s="234" t="s">
        <v>174</v>
      </c>
      <c r="M93" s="234" t="s">
        <v>370</v>
      </c>
      <c r="N93" s="234" t="s">
        <v>703</v>
      </c>
      <c r="O93" s="233" t="s">
        <v>640</v>
      </c>
      <c r="P93" s="233" t="s">
        <v>704</v>
      </c>
    </row>
    <row r="94" spans="2:17" x14ac:dyDescent="0.35">
      <c r="B94" s="233"/>
      <c r="C94" s="254"/>
    </row>
    <row r="95" spans="2:17" x14ac:dyDescent="0.35">
      <c r="B95" s="232" t="s">
        <v>705</v>
      </c>
      <c r="C95" s="236" t="s">
        <v>706</v>
      </c>
      <c r="D95" s="259" t="s">
        <v>642</v>
      </c>
      <c r="E95" s="231" t="s">
        <v>707</v>
      </c>
      <c r="F95" s="250"/>
      <c r="G95" s="250"/>
      <c r="H95" s="249"/>
    </row>
    <row r="96" spans="2:17" ht="31" x14ac:dyDescent="0.35">
      <c r="B96" s="233" t="str">
        <f>_xlfn.CONCAT(C96,"_",D96,"_",E96)</f>
        <v>Affinity 45-64_Essilor Creative Taxonomy_:15</v>
      </c>
      <c r="C96" s="233" t="s">
        <v>708</v>
      </c>
      <c r="D96" s="233" t="s">
        <v>709</v>
      </c>
      <c r="E96" s="260" t="s">
        <v>710</v>
      </c>
      <c r="F96" s="261"/>
      <c r="G96" s="261"/>
      <c r="H96" s="261"/>
    </row>
    <row r="98" spans="2:21" x14ac:dyDescent="0.35">
      <c r="B98" s="235"/>
      <c r="C98" s="255"/>
      <c r="D98" s="255"/>
      <c r="E98" s="255"/>
      <c r="F98" s="255"/>
      <c r="G98" s="255"/>
      <c r="H98" s="255"/>
      <c r="I98" s="255"/>
      <c r="J98" s="255"/>
      <c r="K98" s="255"/>
      <c r="L98" s="255"/>
      <c r="M98" s="255"/>
      <c r="N98" s="256"/>
      <c r="O98" s="256"/>
    </row>
    <row r="104" spans="2:21" x14ac:dyDescent="0.35">
      <c r="B104" s="235"/>
      <c r="I104" s="311" t="s">
        <v>580</v>
      </c>
      <c r="J104" s="312"/>
      <c r="K104" s="312"/>
      <c r="L104" s="312"/>
      <c r="M104" s="312"/>
      <c r="N104" s="313"/>
    </row>
    <row r="105" spans="2:21" x14ac:dyDescent="0.35">
      <c r="B105" s="232" t="s">
        <v>581</v>
      </c>
      <c r="C105" s="236" t="s">
        <v>582</v>
      </c>
      <c r="D105" s="231" t="s">
        <v>583</v>
      </c>
      <c r="E105" s="231" t="s">
        <v>584</v>
      </c>
      <c r="F105" s="231" t="s">
        <v>585</v>
      </c>
      <c r="G105" s="231" t="s">
        <v>586</v>
      </c>
      <c r="H105" s="231" t="s">
        <v>587</v>
      </c>
      <c r="I105" s="236" t="s">
        <v>572</v>
      </c>
      <c r="J105" s="236" t="s">
        <v>588</v>
      </c>
      <c r="K105" s="236" t="s">
        <v>589</v>
      </c>
      <c r="L105" s="236" t="s">
        <v>590</v>
      </c>
      <c r="M105" s="236" t="s">
        <v>591</v>
      </c>
      <c r="N105" s="236" t="s">
        <v>577</v>
      </c>
      <c r="O105" s="236" t="s">
        <v>592</v>
      </c>
      <c r="P105" s="236" t="s">
        <v>593</v>
      </c>
      <c r="Q105" s="236" t="s">
        <v>594</v>
      </c>
      <c r="R105" s="236" t="s">
        <v>595</v>
      </c>
      <c r="S105" s="236" t="s">
        <v>596</v>
      </c>
      <c r="T105" s="236" t="s">
        <v>597</v>
      </c>
      <c r="U105" s="236" t="s">
        <v>41</v>
      </c>
    </row>
    <row r="106" spans="2:21" ht="31" x14ac:dyDescent="0.35">
      <c r="B106" s="233" t="str">
        <f>_xlfn.CONCAT(C106,"_",D106,"_",E106,"_",F106,"_",G106,"_",H106,"_",I106,"_",J106,"_",K106,"_",L106,"_",M106,"_",N106,"_",O106,"_",P106,"_",Q106,"_",R106,"_",S106,"_",T106,"_",U106)</f>
        <v>PZ1234_VC_ESM_123_Content_DV360_VEE_PMP_Optician Visitors_Mobile_TV_Free-Form_Run of Network_Behavioral_P45+_300x250_Standard_DRM_Awareness</v>
      </c>
      <c r="C106" s="233" t="s">
        <v>598</v>
      </c>
      <c r="D106" s="234" t="s">
        <v>206</v>
      </c>
      <c r="E106" s="234" t="s">
        <v>241</v>
      </c>
      <c r="F106" s="233">
        <v>123</v>
      </c>
      <c r="G106" s="233" t="s">
        <v>599</v>
      </c>
      <c r="H106" s="233" t="s">
        <v>600</v>
      </c>
      <c r="I106" s="234" t="s">
        <v>485</v>
      </c>
      <c r="J106" s="233" t="s">
        <v>711</v>
      </c>
      <c r="K106" s="233" t="s">
        <v>637</v>
      </c>
      <c r="L106" s="233" t="s">
        <v>712</v>
      </c>
      <c r="M106" s="237" t="s">
        <v>319</v>
      </c>
      <c r="N106" s="233" t="s">
        <v>69</v>
      </c>
      <c r="O106" s="233" t="s">
        <v>604</v>
      </c>
      <c r="P106" s="233" t="s">
        <v>605</v>
      </c>
      <c r="Q106" s="233" t="s">
        <v>606</v>
      </c>
      <c r="R106" s="233" t="s">
        <v>607</v>
      </c>
      <c r="S106" s="233" t="s">
        <v>608</v>
      </c>
      <c r="T106" s="233" t="s">
        <v>609</v>
      </c>
      <c r="U106" s="233" t="s">
        <v>153</v>
      </c>
    </row>
  </sheetData>
  <mergeCells count="11">
    <mergeCell ref="I104:N104"/>
    <mergeCell ref="B75:B76"/>
    <mergeCell ref="B87:B88"/>
    <mergeCell ref="B12:B13"/>
    <mergeCell ref="I17:N17"/>
    <mergeCell ref="I64:N64"/>
    <mergeCell ref="I53:N53"/>
    <mergeCell ref="I21:N21"/>
    <mergeCell ref="B44:B45"/>
    <mergeCell ref="B59:B60"/>
    <mergeCell ref="I29:P29"/>
  </mergeCells>
  <phoneticPr fontId="35" type="noConversion"/>
  <dataValidations count="1">
    <dataValidation type="list" showDropDown="1" sqref="N93" xr:uid="{9CD9B309-6675-42E5-8E0D-A4C6596A0E9D}">
      <formula1>$H$35:$H$56</formula1>
    </dataValidation>
  </dataValidations>
  <hyperlinks>
    <hyperlink ref="C72" r:id="rId1" xr:uid="{8F9ABE0E-FB52-4D81-8EC4-DE9A3C736320}"/>
    <hyperlink ref="C41" r:id="rId2" xr:uid="{3ED894F3-E6B5-4DAD-BB03-8FC0B96440B0}"/>
  </hyperlinks>
  <pageMargins left="0.7" right="0.7" top="0.75" bottom="0.75" header="0.3" footer="0.3"/>
  <pageSetup paperSize="119" orientation="portrait" r:id="rId3"/>
  <extLst>
    <ext xmlns:x14="http://schemas.microsoft.com/office/spreadsheetml/2009/9/main" uri="{CCE6A557-97BC-4b89-ADB6-D9C93CAAB3DF}">
      <x14:dataValidations xmlns:xm="http://schemas.microsoft.com/office/excel/2006/main" count="13">
        <x14:dataValidation type="list" allowBlank="1" showInputMessage="1" showErrorMessage="1" xr:uid="{8A431DA5-A038-4AA6-9113-83BE169D249C}">
          <x14:formula1>
            <xm:f>'3.References'!$Q$8:$Q$11</xm:f>
          </x14:formula1>
          <xm:sqref>K15 K78 K90 K62 O31 M66 K51 M35 K47 K93</xm:sqref>
        </x14:dataValidation>
        <x14:dataValidation type="list" allowBlank="1" showInputMessage="1" showErrorMessage="1" xr:uid="{7787CEB6-2F4A-4331-AB87-E65B2883675E}">
          <x14:formula1>
            <xm:f>'3.References'!$E$8:$E$13</xm:f>
          </x14:formula1>
          <xm:sqref>F15 F90 E84 E35 F47 F51 F62 E66 F78 F93</xm:sqref>
        </x14:dataValidation>
        <x14:dataValidation type="list" allowBlank="1" showInputMessage="1" showErrorMessage="1" xr:uid="{8AF38897-38EA-44B7-A55E-1876382FE95F}">
          <x14:formula1>
            <xm:f>'3.References'!$Q$17:$Q$34</xm:f>
          </x14:formula1>
          <xm:sqref>N35</xm:sqref>
        </x14:dataValidation>
        <x14:dataValidation type="list" allowBlank="1" showInputMessage="1" showErrorMessage="1" xr:uid="{F669CCEB-C9B5-4140-879C-2DAEF476E778}">
          <x14:formula1>
            <xm:f>'3.References'!$E$33:$E$38</xm:f>
          </x14:formula1>
          <xm:sqref>Q35 Q66</xm:sqref>
        </x14:dataValidation>
        <x14:dataValidation type="list" showDropDown="1" xr:uid="{DB5C256E-AD03-406E-8CC3-BCC1BACD5110}">
          <x14:formula1>
            <xm:f>'3.References'!$H$30:$H$57</xm:f>
          </x14:formula1>
          <xm:sqref>N90:O90</xm:sqref>
        </x14:dataValidation>
        <x14:dataValidation type="list" allowBlank="1" showInputMessage="1" showErrorMessage="1" xr:uid="{B0BF5D68-C69E-4A0F-B48C-88D117CD3377}">
          <x14:formula1>
            <xm:f>'3.References'!$H$8:$H$27</xm:f>
          </x14:formula1>
          <xm:sqref>G15 G90 D19 D23:D25 D31 F35 G47 G51 G62 F66 G78 D106 G93</xm:sqref>
        </x14:dataValidation>
        <x14:dataValidation type="list" allowBlank="1" showInputMessage="1" showErrorMessage="1" xr:uid="{CA6411DC-7202-4D1D-9ECE-278F497D672C}">
          <x14:formula1>
            <xm:f>'3.References'!$Z$8:$Z$10</xm:f>
          </x14:formula1>
          <xm:sqref>H15 L31 H90 H78 G66 H62 H51 H47 G35 H93</xm:sqref>
        </x14:dataValidation>
        <x14:dataValidation type="list" allowBlank="1" showInputMessage="1" showErrorMessage="1" xr:uid="{D7A14B6E-A055-47A4-81F2-96F5C92EC8E0}">
          <x14:formula1>
            <xm:f>'3.References'!$W$8:$W$36</xm:f>
          </x14:formula1>
          <xm:sqref>M15 E106 M90 M78 O66 M62 M51 M47 E19 E23:E25 E31 O35 M93</xm:sqref>
        </x14:dataValidation>
        <x14:dataValidation type="list" allowBlank="1" showInputMessage="1" showErrorMessage="1" xr:uid="{B4723C11-12D3-4E0A-A327-C7A5E3F9E100}">
          <x14:formula1>
            <xm:f>'3.References'!$Z$16:$Z$26</xm:f>
          </x14:formula1>
          <xm:sqref>M19 N51 M23:M25 M106</xm:sqref>
        </x14:dataValidation>
        <x14:dataValidation type="list" allowBlank="1" showInputMessage="1" showErrorMessage="1" xr:uid="{EA87FE64-CF85-44C1-BB07-8E866B630182}">
          <x14:formula1>
            <xm:f>'3.References'!$AF$8:$AF$28</xm:f>
          </x14:formula1>
          <xm:sqref>I15 M31 H66 H35 I90 I78 I62 I51 I47 I93</xm:sqref>
        </x14:dataValidation>
        <x14:dataValidation type="list" allowBlank="1" showInputMessage="1" showErrorMessage="1" error="Please select the country" xr:uid="{1461FAB8-DBD0-4606-AE13-57FBAADBC324}">
          <x14:formula1>
            <xm:f>'3.References'!$B$8:$B$42</xm:f>
          </x14:formula1>
          <xm:sqref>C15 C47 D35 C51 C62 C78 C90 D66 I31 C93</xm:sqref>
        </x14:dataValidation>
        <x14:dataValidation type="list" allowBlank="1" showInputMessage="1" showErrorMessage="1" xr:uid="{B804FC7F-2A37-44A6-BC68-CD5F4A9D3A4A}">
          <x14:formula1>
            <xm:f>'3.References'!$T$8:$T$29</xm:f>
          </x14:formula1>
          <xm:sqref>L15 L93 L47 L51 L62 N66 L78 L90 P31</xm:sqref>
        </x14:dataValidation>
        <x14:dataValidation type="list" allowBlank="1" showInputMessage="1" showErrorMessage="1" xr:uid="{005B6E29-B9D0-4BB1-9359-B0065893F56A}">
          <x14:formula1>
            <xm:f>'3.References'!$M$7:$M$60</xm:f>
          </x14:formula1>
          <xm:sqref>J15 J93 I19 I23:I25 N31 J35 J47 J51 J62 J66 J78 J90 I106 C69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630FA-6581-4085-9183-62EA5F6AC071}">
  <sheetPr>
    <tabColor rgb="FF0070C0"/>
  </sheetPr>
  <dimension ref="A1:Q96"/>
  <sheetViews>
    <sheetView showGridLines="0" topLeftCell="A39" zoomScale="70" zoomScaleNormal="70" workbookViewId="0">
      <selection activeCell="B7" sqref="B7:B41"/>
    </sheetView>
  </sheetViews>
  <sheetFormatPr defaultColWidth="8.54296875" defaultRowHeight="14.5" x14ac:dyDescent="0.35"/>
  <cols>
    <col min="1" max="1" width="5.1796875" customWidth="1"/>
    <col min="2" max="2" width="21.453125" customWidth="1"/>
    <col min="3" max="3" width="35.54296875" bestFit="1" customWidth="1"/>
    <col min="4" max="4" width="38.453125" bestFit="1" customWidth="1"/>
    <col min="5" max="5" width="9.54296875" bestFit="1" customWidth="1"/>
    <col min="6" max="6" width="25.1796875" customWidth="1"/>
    <col min="7" max="7" width="25.453125" customWidth="1"/>
    <col min="8" max="8" width="24.54296875" customWidth="1"/>
    <col min="9" max="9" width="29.81640625" customWidth="1"/>
    <col min="10" max="10" width="32.453125" customWidth="1"/>
    <col min="11" max="11" width="26.54296875" customWidth="1"/>
    <col min="12" max="12" width="20.1796875" customWidth="1"/>
    <col min="13" max="13" width="17.1796875" customWidth="1"/>
    <col min="14" max="14" width="17.54296875" customWidth="1"/>
    <col min="15" max="15" width="9.1796875" customWidth="1"/>
  </cols>
  <sheetData>
    <row r="1" spans="1:17" x14ac:dyDescent="0.35">
      <c r="A1" s="160"/>
      <c r="B1" s="160"/>
      <c r="C1" s="160"/>
      <c r="D1" s="160"/>
      <c r="E1" s="160"/>
      <c r="F1" s="160"/>
      <c r="G1" s="160"/>
      <c r="H1" s="160"/>
      <c r="I1" s="160"/>
      <c r="J1" s="160"/>
      <c r="K1" s="160"/>
      <c r="L1" s="160"/>
    </row>
    <row r="5" spans="1:17" x14ac:dyDescent="0.35">
      <c r="H5" t="s">
        <v>713</v>
      </c>
    </row>
    <row r="6" spans="1:17" s="160" customFormat="1" x14ac:dyDescent="0.35">
      <c r="A6" s="262"/>
      <c r="B6" s="157" t="s">
        <v>133</v>
      </c>
      <c r="C6" s="157" t="s">
        <v>134</v>
      </c>
      <c r="D6" s="158" t="s">
        <v>135</v>
      </c>
      <c r="E6" s="159" t="s">
        <v>136</v>
      </c>
      <c r="G6" s="271" t="s">
        <v>29</v>
      </c>
      <c r="H6" s="272"/>
      <c r="I6" s="272"/>
      <c r="J6" s="272"/>
      <c r="K6" s="272"/>
      <c r="L6" s="273"/>
      <c r="M6"/>
      <c r="N6"/>
      <c r="O6"/>
      <c r="P6"/>
      <c r="Q6"/>
    </row>
    <row r="7" spans="1:17" s="160" customFormat="1" ht="14.5" customHeight="1" x14ac:dyDescent="0.35">
      <c r="A7" s="262"/>
      <c r="B7" s="322" t="s">
        <v>141</v>
      </c>
      <c r="C7" s="161" t="s">
        <v>142</v>
      </c>
      <c r="D7" s="162" t="s">
        <v>143</v>
      </c>
      <c r="E7" s="162" t="s">
        <v>144</v>
      </c>
      <c r="F7"/>
      <c r="G7" s="163" t="s">
        <v>139</v>
      </c>
      <c r="H7" s="274" t="s">
        <v>714</v>
      </c>
      <c r="I7" s="275"/>
      <c r="J7" s="275"/>
      <c r="K7" s="276"/>
      <c r="L7" s="163" t="s">
        <v>715</v>
      </c>
      <c r="N7"/>
      <c r="O7"/>
      <c r="P7"/>
      <c r="Q7"/>
    </row>
    <row r="8" spans="1:17" ht="14.5" customHeight="1" x14ac:dyDescent="0.35">
      <c r="A8" s="164"/>
      <c r="B8" s="323"/>
      <c r="C8" s="165" t="s">
        <v>142</v>
      </c>
      <c r="D8" s="166" t="s">
        <v>151</v>
      </c>
      <c r="E8" s="166" t="s">
        <v>152</v>
      </c>
      <c r="G8" s="263" t="s">
        <v>153</v>
      </c>
      <c r="H8" s="167" t="s">
        <v>716</v>
      </c>
      <c r="I8" s="168"/>
      <c r="J8" s="168"/>
      <c r="K8" s="169"/>
      <c r="L8" s="263" t="s">
        <v>154</v>
      </c>
    </row>
    <row r="9" spans="1:17" ht="14.5" customHeight="1" x14ac:dyDescent="0.35">
      <c r="A9" s="164"/>
      <c r="B9" s="323"/>
      <c r="C9" s="170" t="s">
        <v>168</v>
      </c>
      <c r="D9" s="171" t="s">
        <v>169</v>
      </c>
      <c r="E9" s="171" t="s">
        <v>170</v>
      </c>
      <c r="G9" s="172" t="s">
        <v>171</v>
      </c>
      <c r="H9" s="164" t="s">
        <v>717</v>
      </c>
      <c r="K9" s="173"/>
      <c r="L9" s="264" t="s">
        <v>172</v>
      </c>
    </row>
    <row r="10" spans="1:17" ht="14.5" customHeight="1" x14ac:dyDescent="0.35">
      <c r="B10" s="323"/>
      <c r="C10" s="171" t="s">
        <v>168</v>
      </c>
      <c r="D10" s="174" t="s">
        <v>187</v>
      </c>
      <c r="E10" s="171" t="s">
        <v>188</v>
      </c>
      <c r="G10" s="172" t="s">
        <v>189</v>
      </c>
      <c r="H10" s="164" t="s">
        <v>718</v>
      </c>
      <c r="K10" s="173"/>
      <c r="L10" s="264" t="s">
        <v>190</v>
      </c>
    </row>
    <row r="11" spans="1:17" ht="14.5" customHeight="1" x14ac:dyDescent="0.35">
      <c r="B11" s="323"/>
      <c r="C11" s="170" t="s">
        <v>185</v>
      </c>
      <c r="D11" s="171" t="s">
        <v>207</v>
      </c>
      <c r="E11" s="171" t="s">
        <v>208</v>
      </c>
      <c r="G11" s="175" t="s">
        <v>209</v>
      </c>
      <c r="H11" s="176" t="s">
        <v>719</v>
      </c>
      <c r="I11" s="177"/>
      <c r="J11" s="177"/>
      <c r="K11" s="178"/>
      <c r="L11" s="175" t="s">
        <v>210</v>
      </c>
    </row>
    <row r="12" spans="1:17" ht="14.5" customHeight="1" x14ac:dyDescent="0.35">
      <c r="B12" s="323"/>
      <c r="C12" s="161" t="s">
        <v>141</v>
      </c>
      <c r="D12" s="162" t="s">
        <v>221</v>
      </c>
      <c r="E12" s="162" t="s">
        <v>222</v>
      </c>
    </row>
    <row r="13" spans="1:17" ht="14.5" customHeight="1" x14ac:dyDescent="0.35">
      <c r="B13" s="323"/>
      <c r="C13" s="170" t="s">
        <v>234</v>
      </c>
      <c r="D13" s="171" t="s">
        <v>235</v>
      </c>
      <c r="E13" s="171" t="s">
        <v>236</v>
      </c>
      <c r="G13" s="179" t="s">
        <v>621</v>
      </c>
      <c r="H13" s="180" t="s">
        <v>720</v>
      </c>
      <c r="I13" s="181" t="s">
        <v>721</v>
      </c>
      <c r="J13" s="182" t="s">
        <v>722</v>
      </c>
    </row>
    <row r="14" spans="1:17" ht="14.5" customHeight="1" x14ac:dyDescent="0.35">
      <c r="B14" s="323"/>
      <c r="C14" s="170" t="s">
        <v>234</v>
      </c>
      <c r="D14" s="171" t="s">
        <v>248</v>
      </c>
      <c r="E14" s="171" t="s">
        <v>249</v>
      </c>
      <c r="G14" s="183" t="s">
        <v>32</v>
      </c>
      <c r="H14" s="183" t="s">
        <v>32</v>
      </c>
      <c r="I14" s="183" t="s">
        <v>32</v>
      </c>
      <c r="J14" s="184" t="s">
        <v>32</v>
      </c>
      <c r="K14" s="277"/>
      <c r="L14" s="278"/>
    </row>
    <row r="15" spans="1:17" ht="20.5" customHeight="1" x14ac:dyDescent="0.35">
      <c r="B15" s="323"/>
      <c r="C15" s="165" t="s">
        <v>234</v>
      </c>
      <c r="D15" s="166" t="s">
        <v>260</v>
      </c>
      <c r="E15" s="166" t="s">
        <v>261</v>
      </c>
      <c r="G15" s="163" t="s">
        <v>139</v>
      </c>
      <c r="H15" s="163" t="s">
        <v>139</v>
      </c>
      <c r="I15" s="163" t="s">
        <v>139</v>
      </c>
      <c r="J15" s="163" t="s">
        <v>139</v>
      </c>
      <c r="K15" s="268"/>
      <c r="L15" s="268"/>
      <c r="M15" s="160"/>
      <c r="N15" s="321"/>
      <c r="O15" s="321"/>
    </row>
    <row r="16" spans="1:17" ht="14.5" customHeight="1" x14ac:dyDescent="0.35">
      <c r="B16" s="323"/>
      <c r="C16" s="279" t="s">
        <v>149</v>
      </c>
      <c r="D16" s="280" t="s">
        <v>271</v>
      </c>
      <c r="E16" s="280" t="s">
        <v>272</v>
      </c>
      <c r="F16" s="281" t="s">
        <v>273</v>
      </c>
      <c r="G16" s="185" t="s">
        <v>155</v>
      </c>
      <c r="H16" s="186"/>
      <c r="I16" s="186"/>
      <c r="J16" s="187"/>
      <c r="K16" s="188"/>
      <c r="L16" s="188"/>
      <c r="M16" s="160"/>
      <c r="N16" s="189"/>
      <c r="O16" s="189"/>
    </row>
    <row r="17" spans="2:15" ht="14.5" customHeight="1" x14ac:dyDescent="0.35">
      <c r="B17" s="323"/>
      <c r="C17" s="170" t="s">
        <v>232</v>
      </c>
      <c r="D17" s="171" t="s">
        <v>232</v>
      </c>
      <c r="E17" s="171" t="s">
        <v>286</v>
      </c>
      <c r="G17" s="190" t="s">
        <v>173</v>
      </c>
      <c r="H17" s="191"/>
      <c r="I17" s="191"/>
      <c r="J17" s="192"/>
      <c r="K17" s="193"/>
      <c r="L17" s="188"/>
      <c r="N17" s="174"/>
      <c r="O17" s="174"/>
    </row>
    <row r="18" spans="2:15" ht="14.5" customHeight="1" x14ac:dyDescent="0.35">
      <c r="B18" s="323"/>
      <c r="C18" s="170" t="s">
        <v>232</v>
      </c>
      <c r="D18" s="171" t="s">
        <v>300</v>
      </c>
      <c r="E18" s="171" t="s">
        <v>301</v>
      </c>
      <c r="G18" s="190"/>
      <c r="H18" s="191" t="s">
        <v>191</v>
      </c>
      <c r="I18" s="191" t="s">
        <v>191</v>
      </c>
      <c r="J18" s="192"/>
      <c r="K18" s="193"/>
      <c r="L18" s="188"/>
      <c r="N18" s="174"/>
      <c r="O18" s="174"/>
    </row>
    <row r="19" spans="2:15" ht="14.5" customHeight="1" x14ac:dyDescent="0.35">
      <c r="B19" s="323"/>
      <c r="C19" s="161" t="s">
        <v>246</v>
      </c>
      <c r="D19" s="162" t="s">
        <v>246</v>
      </c>
      <c r="E19" s="162" t="s">
        <v>314</v>
      </c>
      <c r="G19" s="190"/>
      <c r="H19" s="191" t="s">
        <v>223</v>
      </c>
      <c r="I19" s="191"/>
      <c r="J19" s="192"/>
      <c r="K19" s="193"/>
      <c r="L19" s="188"/>
      <c r="N19" s="174"/>
      <c r="O19" s="174"/>
    </row>
    <row r="20" spans="2:15" ht="14.5" customHeight="1" x14ac:dyDescent="0.35">
      <c r="B20" s="323"/>
      <c r="C20" s="161" t="s">
        <v>246</v>
      </c>
      <c r="D20" s="171" t="s">
        <v>327</v>
      </c>
      <c r="E20" s="171" t="s">
        <v>328</v>
      </c>
      <c r="G20" s="194"/>
      <c r="H20" s="195" t="s">
        <v>427</v>
      </c>
      <c r="I20" s="195"/>
      <c r="J20" s="196"/>
      <c r="K20" s="122"/>
      <c r="L20" s="188"/>
      <c r="N20" s="174"/>
      <c r="O20" s="174"/>
    </row>
    <row r="21" spans="2:15" ht="14.5" customHeight="1" x14ac:dyDescent="0.35">
      <c r="B21" s="323"/>
      <c r="C21" s="165" t="s">
        <v>246</v>
      </c>
      <c r="D21" s="166" t="s">
        <v>341</v>
      </c>
      <c r="E21" s="166" t="s">
        <v>342</v>
      </c>
      <c r="G21" s="198"/>
      <c r="H21" s="199" t="s">
        <v>238</v>
      </c>
      <c r="I21" s="199"/>
      <c r="J21" s="200"/>
      <c r="K21" s="122"/>
      <c r="L21" s="188"/>
      <c r="N21" s="174"/>
      <c r="O21" s="174"/>
    </row>
    <row r="22" spans="2:15" ht="14.5" customHeight="1" x14ac:dyDescent="0.35">
      <c r="B22" s="323"/>
      <c r="C22" s="170" t="s">
        <v>284</v>
      </c>
      <c r="D22" s="171" t="s">
        <v>354</v>
      </c>
      <c r="E22" s="171" t="s">
        <v>355</v>
      </c>
      <c r="G22" s="190"/>
      <c r="H22" s="192" t="s">
        <v>315</v>
      </c>
      <c r="I22" s="192" t="s">
        <v>315</v>
      </c>
      <c r="J22" s="192" t="s">
        <v>315</v>
      </c>
      <c r="K22" s="193"/>
      <c r="L22" s="188"/>
      <c r="N22" s="174"/>
      <c r="O22" s="174"/>
    </row>
    <row r="23" spans="2:15" ht="14.5" customHeight="1" x14ac:dyDescent="0.35">
      <c r="B23" s="323"/>
      <c r="C23" s="197" t="s">
        <v>284</v>
      </c>
      <c r="D23" s="267" t="s">
        <v>366</v>
      </c>
      <c r="E23" s="267" t="s">
        <v>367</v>
      </c>
      <c r="G23" s="198"/>
      <c r="H23" s="199"/>
      <c r="I23" s="199" t="s">
        <v>251</v>
      </c>
      <c r="J23" s="199" t="s">
        <v>251</v>
      </c>
      <c r="K23" s="193"/>
      <c r="L23" s="188"/>
      <c r="N23" s="174"/>
      <c r="O23" s="174"/>
    </row>
    <row r="24" spans="2:15" ht="14.5" customHeight="1" x14ac:dyDescent="0.35">
      <c r="B24" s="323"/>
      <c r="C24" s="201" t="s">
        <v>298</v>
      </c>
      <c r="D24" s="265" t="s">
        <v>298</v>
      </c>
      <c r="E24" s="265" t="s">
        <v>378</v>
      </c>
      <c r="G24" s="190"/>
      <c r="H24" s="191"/>
      <c r="I24" s="191" t="s">
        <v>263</v>
      </c>
      <c r="J24" s="191" t="s">
        <v>263</v>
      </c>
      <c r="K24" s="193"/>
      <c r="L24" s="188"/>
      <c r="N24" s="174"/>
      <c r="O24" s="174"/>
    </row>
    <row r="25" spans="2:15" ht="14.5" customHeight="1" x14ac:dyDescent="0.35">
      <c r="B25" s="323"/>
      <c r="C25" s="202" t="s">
        <v>298</v>
      </c>
      <c r="D25" s="266" t="s">
        <v>389</v>
      </c>
      <c r="E25" s="266" t="s">
        <v>390</v>
      </c>
      <c r="G25" s="190"/>
      <c r="H25" s="191"/>
      <c r="I25" s="191" t="s">
        <v>275</v>
      </c>
      <c r="J25" s="191" t="s">
        <v>275</v>
      </c>
      <c r="K25" s="193"/>
      <c r="L25" s="188"/>
      <c r="N25" s="174"/>
      <c r="O25" s="174"/>
    </row>
    <row r="26" spans="2:15" ht="14.5" customHeight="1" x14ac:dyDescent="0.35">
      <c r="B26" s="323"/>
      <c r="C26" s="197" t="s">
        <v>312</v>
      </c>
      <c r="D26" s="267" t="s">
        <v>401</v>
      </c>
      <c r="E26" s="267" t="s">
        <v>402</v>
      </c>
      <c r="G26" s="190"/>
      <c r="H26" s="191"/>
      <c r="I26" s="191" t="s">
        <v>288</v>
      </c>
      <c r="J26" s="191" t="s">
        <v>288</v>
      </c>
      <c r="K26" s="193"/>
      <c r="L26" s="188"/>
      <c r="N26" s="174"/>
      <c r="O26" s="174"/>
    </row>
    <row r="27" spans="2:15" ht="14.5" customHeight="1" x14ac:dyDescent="0.35">
      <c r="B27" s="323"/>
      <c r="C27" s="170" t="s">
        <v>312</v>
      </c>
      <c r="D27" s="171" t="s">
        <v>413</v>
      </c>
      <c r="E27" s="171" t="s">
        <v>414</v>
      </c>
      <c r="G27" s="190"/>
      <c r="H27" s="191"/>
      <c r="I27" s="191" t="s">
        <v>302</v>
      </c>
      <c r="J27" s="191" t="s">
        <v>302</v>
      </c>
      <c r="K27" s="193"/>
      <c r="L27" s="188"/>
      <c r="N27" s="174"/>
      <c r="O27" s="174"/>
    </row>
    <row r="28" spans="2:15" ht="14.5" customHeight="1" x14ac:dyDescent="0.35">
      <c r="B28" s="323"/>
      <c r="C28" s="201" t="s">
        <v>424</v>
      </c>
      <c r="D28" s="265" t="s">
        <v>425</v>
      </c>
      <c r="E28" s="265" t="s">
        <v>426</v>
      </c>
      <c r="G28" s="190"/>
      <c r="H28" s="191"/>
      <c r="I28" s="191" t="s">
        <v>329</v>
      </c>
      <c r="J28" s="191" t="s">
        <v>329</v>
      </c>
      <c r="K28" s="193"/>
      <c r="L28" s="188"/>
      <c r="N28" s="174"/>
      <c r="O28" s="174"/>
    </row>
    <row r="29" spans="2:15" ht="14.5" customHeight="1" x14ac:dyDescent="0.35">
      <c r="B29" s="323"/>
      <c r="C29" s="202" t="s">
        <v>424</v>
      </c>
      <c r="D29" s="266" t="s">
        <v>434</v>
      </c>
      <c r="E29" s="266" t="s">
        <v>435</v>
      </c>
      <c r="G29" s="190"/>
      <c r="H29" s="191"/>
      <c r="I29" s="191" t="s">
        <v>343</v>
      </c>
      <c r="J29" s="191" t="s">
        <v>343</v>
      </c>
      <c r="K29" s="193"/>
      <c r="L29" s="188"/>
      <c r="N29" s="174"/>
      <c r="O29" s="174"/>
    </row>
    <row r="30" spans="2:15" ht="14.5" customHeight="1" x14ac:dyDescent="0.35">
      <c r="B30" s="323"/>
      <c r="C30" s="197" t="s">
        <v>442</v>
      </c>
      <c r="D30" s="267" t="s">
        <v>443</v>
      </c>
      <c r="E30" s="265" t="s">
        <v>444</v>
      </c>
      <c r="G30" s="190"/>
      <c r="H30" s="191"/>
      <c r="I30" s="191" t="s">
        <v>356</v>
      </c>
      <c r="J30" s="191" t="s">
        <v>356</v>
      </c>
      <c r="K30" s="193"/>
      <c r="L30" s="188"/>
      <c r="N30" s="174"/>
      <c r="O30" s="174"/>
    </row>
    <row r="31" spans="2:15" ht="14.5" customHeight="1" x14ac:dyDescent="0.35">
      <c r="B31" s="323"/>
      <c r="C31" s="197" t="s">
        <v>442</v>
      </c>
      <c r="D31" s="267" t="s">
        <v>449</v>
      </c>
      <c r="E31" s="266" t="s">
        <v>450</v>
      </c>
      <c r="G31" s="190"/>
      <c r="H31" s="191"/>
      <c r="I31" s="191" t="s">
        <v>379</v>
      </c>
      <c r="J31" s="191" t="s">
        <v>379</v>
      </c>
      <c r="K31" s="193"/>
      <c r="L31" s="188"/>
      <c r="N31" s="174"/>
      <c r="O31" s="174"/>
    </row>
    <row r="32" spans="2:15" ht="14.5" customHeight="1" x14ac:dyDescent="0.35">
      <c r="B32" s="323"/>
      <c r="C32" s="201" t="s">
        <v>205</v>
      </c>
      <c r="D32" s="265" t="s">
        <v>456</v>
      </c>
      <c r="E32" s="265" t="s">
        <v>457</v>
      </c>
      <c r="G32" s="190"/>
      <c r="H32" s="191"/>
      <c r="I32" s="191" t="s">
        <v>391</v>
      </c>
      <c r="J32" s="191" t="s">
        <v>391</v>
      </c>
      <c r="K32" s="193"/>
      <c r="L32" s="188"/>
      <c r="N32" s="174"/>
      <c r="O32" s="174"/>
    </row>
    <row r="33" spans="2:15" ht="14.5" customHeight="1" x14ac:dyDescent="0.35">
      <c r="B33" s="323"/>
      <c r="C33" s="197" t="s">
        <v>205</v>
      </c>
      <c r="D33" s="267" t="s">
        <v>463</v>
      </c>
      <c r="E33" s="267" t="s">
        <v>464</v>
      </c>
      <c r="G33" s="190"/>
      <c r="H33" s="191"/>
      <c r="I33" s="191" t="s">
        <v>403</v>
      </c>
      <c r="J33" s="191" t="s">
        <v>403</v>
      </c>
      <c r="K33" s="193"/>
      <c r="L33" s="188"/>
      <c r="N33" s="174"/>
      <c r="O33" s="174"/>
    </row>
    <row r="34" spans="2:15" ht="14.5" customHeight="1" x14ac:dyDescent="0.35">
      <c r="B34" s="323"/>
      <c r="C34" s="197" t="s">
        <v>205</v>
      </c>
      <c r="D34" s="267" t="s">
        <v>469</v>
      </c>
      <c r="E34" s="267" t="s">
        <v>470</v>
      </c>
      <c r="G34" s="194"/>
      <c r="H34" s="195"/>
      <c r="I34" s="195" t="s">
        <v>415</v>
      </c>
      <c r="J34" s="195" t="s">
        <v>415</v>
      </c>
      <c r="K34" s="203"/>
      <c r="L34" s="203"/>
      <c r="N34" s="174"/>
      <c r="O34" s="174"/>
    </row>
    <row r="35" spans="2:15" ht="15.65" customHeight="1" x14ac:dyDescent="0.35">
      <c r="B35" s="323"/>
      <c r="C35" s="197" t="s">
        <v>205</v>
      </c>
      <c r="D35" s="267" t="s">
        <v>477</v>
      </c>
      <c r="E35" s="267" t="s">
        <v>478</v>
      </c>
      <c r="G35" s="198"/>
      <c r="H35" s="199"/>
      <c r="I35" s="199" t="s">
        <v>436</v>
      </c>
      <c r="J35" s="199" t="s">
        <v>436</v>
      </c>
      <c r="K35" s="203"/>
      <c r="L35" s="203"/>
      <c r="N35" s="174"/>
      <c r="O35" s="174"/>
    </row>
    <row r="36" spans="2:15" ht="15.65" customHeight="1" x14ac:dyDescent="0.35">
      <c r="B36" s="323"/>
      <c r="C36" s="197" t="s">
        <v>205</v>
      </c>
      <c r="D36" s="267" t="s">
        <v>484</v>
      </c>
      <c r="E36" s="267" t="s">
        <v>485</v>
      </c>
      <c r="G36" s="205"/>
      <c r="H36" s="206"/>
      <c r="I36" s="206" t="s">
        <v>368</v>
      </c>
      <c r="J36" s="206" t="s">
        <v>368</v>
      </c>
      <c r="K36" s="122"/>
      <c r="L36" s="122"/>
    </row>
    <row r="37" spans="2:15" ht="15.65" customHeight="1" x14ac:dyDescent="0.35">
      <c r="B37" s="323"/>
      <c r="C37" s="197" t="s">
        <v>205</v>
      </c>
      <c r="D37" s="267" t="s">
        <v>490</v>
      </c>
      <c r="E37" s="267" t="s">
        <v>491</v>
      </c>
    </row>
    <row r="38" spans="2:15" ht="15.65" customHeight="1" x14ac:dyDescent="0.35">
      <c r="B38" s="323"/>
      <c r="C38" s="197" t="s">
        <v>205</v>
      </c>
      <c r="D38" s="171" t="s">
        <v>496</v>
      </c>
      <c r="E38" s="171" t="s">
        <v>497</v>
      </c>
      <c r="G38" t="s">
        <v>451</v>
      </c>
    </row>
    <row r="39" spans="2:15" ht="15.65" customHeight="1" x14ac:dyDescent="0.35">
      <c r="B39" s="323"/>
      <c r="C39" s="197" t="s">
        <v>205</v>
      </c>
      <c r="D39" s="267" t="s">
        <v>502</v>
      </c>
      <c r="E39" s="267" t="s">
        <v>503</v>
      </c>
      <c r="G39" s="207" t="s">
        <v>723</v>
      </c>
      <c r="H39" s="168" t="s">
        <v>724</v>
      </c>
      <c r="I39" s="168"/>
      <c r="J39" s="169"/>
    </row>
    <row r="40" spans="2:15" ht="14.5" customHeight="1" x14ac:dyDescent="0.35">
      <c r="B40" s="323"/>
      <c r="C40" s="197" t="s">
        <v>205</v>
      </c>
      <c r="D40" s="267" t="s">
        <v>507</v>
      </c>
      <c r="E40" s="267" t="s">
        <v>508</v>
      </c>
      <c r="G40" s="208" t="s">
        <v>238</v>
      </c>
      <c r="H40" s="209" t="s">
        <v>458</v>
      </c>
      <c r="J40" s="210"/>
    </row>
    <row r="41" spans="2:15" x14ac:dyDescent="0.35">
      <c r="B41" s="324"/>
      <c r="C41" s="266" t="s">
        <v>205</v>
      </c>
      <c r="D41" s="204" t="s">
        <v>511</v>
      </c>
      <c r="E41" s="266" t="s">
        <v>512</v>
      </c>
      <c r="G41" s="208" t="s">
        <v>251</v>
      </c>
      <c r="H41" s="209" t="s">
        <v>465</v>
      </c>
      <c r="J41" s="210"/>
      <c r="M41" s="211"/>
      <c r="N41" s="211"/>
    </row>
    <row r="42" spans="2:15" x14ac:dyDescent="0.35">
      <c r="B42" s="328" t="s">
        <v>149</v>
      </c>
      <c r="C42" s="170" t="s">
        <v>149</v>
      </c>
      <c r="D42" s="171" t="s">
        <v>516</v>
      </c>
      <c r="E42" s="171" t="s">
        <v>517</v>
      </c>
      <c r="G42" s="208" t="s">
        <v>471</v>
      </c>
      <c r="H42" s="209" t="s">
        <v>472</v>
      </c>
      <c r="I42" s="211"/>
      <c r="J42" s="212"/>
      <c r="M42" s="211"/>
      <c r="N42" s="211"/>
    </row>
    <row r="43" spans="2:15" ht="15.65" customHeight="1" x14ac:dyDescent="0.35">
      <c r="B43" s="329"/>
      <c r="C43" s="170" t="s">
        <v>149</v>
      </c>
      <c r="D43" s="171" t="s">
        <v>521</v>
      </c>
      <c r="E43" s="171" t="s">
        <v>522</v>
      </c>
      <c r="G43" s="213" t="s">
        <v>288</v>
      </c>
      <c r="H43" s="214" t="s">
        <v>479</v>
      </c>
      <c r="I43" s="211"/>
      <c r="J43" s="212"/>
      <c r="M43" s="215"/>
      <c r="N43" s="215"/>
    </row>
    <row r="44" spans="2:15" x14ac:dyDescent="0.35">
      <c r="B44" s="329"/>
      <c r="C44" s="170" t="s">
        <v>149</v>
      </c>
      <c r="D44" s="171" t="s">
        <v>519</v>
      </c>
      <c r="E44" s="171" t="s">
        <v>520</v>
      </c>
      <c r="G44" s="213" t="s">
        <v>329</v>
      </c>
      <c r="H44" s="214" t="s">
        <v>486</v>
      </c>
      <c r="I44" s="215"/>
      <c r="J44" s="218"/>
      <c r="M44" s="211"/>
      <c r="N44" s="211"/>
    </row>
    <row r="45" spans="2:15" ht="14.5" customHeight="1" x14ac:dyDescent="0.35">
      <c r="B45" s="329"/>
      <c r="C45" s="170" t="s">
        <v>149</v>
      </c>
      <c r="D45" s="171" t="s">
        <v>523</v>
      </c>
      <c r="E45" s="171" t="s">
        <v>524</v>
      </c>
      <c r="G45" s="213" t="s">
        <v>343</v>
      </c>
      <c r="H45" s="214" t="s">
        <v>492</v>
      </c>
      <c r="I45" s="211"/>
      <c r="J45" s="212"/>
      <c r="M45" s="211"/>
      <c r="N45" s="211"/>
    </row>
    <row r="46" spans="2:15" ht="14.5" customHeight="1" x14ac:dyDescent="0.35">
      <c r="B46" s="329"/>
      <c r="C46" s="170" t="s">
        <v>149</v>
      </c>
      <c r="D46" s="171" t="s">
        <v>525</v>
      </c>
      <c r="E46" s="171" t="s">
        <v>526</v>
      </c>
      <c r="G46" s="213" t="s">
        <v>356</v>
      </c>
      <c r="H46" s="214" t="s">
        <v>499</v>
      </c>
      <c r="I46" s="211"/>
      <c r="J46" s="212"/>
      <c r="M46" s="211"/>
      <c r="N46" s="211"/>
    </row>
    <row r="47" spans="2:15" ht="14.5" customHeight="1" x14ac:dyDescent="0.35">
      <c r="B47" s="330"/>
      <c r="C47" s="165" t="s">
        <v>149</v>
      </c>
      <c r="D47" s="166" t="s">
        <v>527</v>
      </c>
      <c r="E47" s="166" t="s">
        <v>528</v>
      </c>
      <c r="G47" s="213" t="s">
        <v>368</v>
      </c>
      <c r="H47" s="214" t="s">
        <v>505</v>
      </c>
      <c r="I47" s="211"/>
      <c r="J47" s="212"/>
      <c r="M47" s="211"/>
      <c r="N47" s="211"/>
    </row>
    <row r="48" spans="2:15" ht="14.5" customHeight="1" x14ac:dyDescent="0.35">
      <c r="B48" s="325" t="s">
        <v>203</v>
      </c>
      <c r="C48" s="197" t="s">
        <v>203</v>
      </c>
      <c r="D48" s="171" t="s">
        <v>529</v>
      </c>
      <c r="E48" s="171" t="s">
        <v>530</v>
      </c>
      <c r="G48" s="213" t="s">
        <v>379</v>
      </c>
      <c r="H48" s="214" t="s">
        <v>509</v>
      </c>
      <c r="I48" s="211"/>
      <c r="J48" s="212"/>
    </row>
    <row r="49" spans="2:10" ht="15.5" x14ac:dyDescent="0.35">
      <c r="B49" s="326"/>
      <c r="C49" s="34" t="s">
        <v>203</v>
      </c>
      <c r="D49" s="99" t="s">
        <v>531</v>
      </c>
      <c r="E49" s="99" t="s">
        <v>532</v>
      </c>
      <c r="G49" s="224" t="s">
        <v>403</v>
      </c>
      <c r="H49" s="225" t="s">
        <v>513</v>
      </c>
      <c r="I49" s="226"/>
      <c r="J49" s="227"/>
    </row>
    <row r="50" spans="2:10" x14ac:dyDescent="0.35">
      <c r="B50" s="326"/>
      <c r="C50" s="197" t="s">
        <v>203</v>
      </c>
      <c r="D50" s="267" t="s">
        <v>533</v>
      </c>
      <c r="E50" s="265" t="s">
        <v>534</v>
      </c>
    </row>
    <row r="51" spans="2:10" x14ac:dyDescent="0.35">
      <c r="B51" s="327"/>
      <c r="C51" s="197" t="s">
        <v>203</v>
      </c>
      <c r="D51" s="267" t="s">
        <v>535</v>
      </c>
      <c r="E51" s="266" t="s">
        <v>536</v>
      </c>
    </row>
    <row r="52" spans="2:10" x14ac:dyDescent="0.35">
      <c r="B52" s="325" t="s">
        <v>231</v>
      </c>
      <c r="C52" s="201" t="s">
        <v>231</v>
      </c>
      <c r="D52" s="265" t="s">
        <v>537</v>
      </c>
      <c r="E52" s="265" t="s">
        <v>538</v>
      </c>
    </row>
    <row r="53" spans="2:10" x14ac:dyDescent="0.35">
      <c r="B53" s="326"/>
      <c r="C53" s="216" t="s">
        <v>231</v>
      </c>
      <c r="D53" s="217" t="s">
        <v>539</v>
      </c>
      <c r="E53" s="217" t="s">
        <v>540</v>
      </c>
    </row>
    <row r="54" spans="2:10" x14ac:dyDescent="0.35">
      <c r="B54" s="327"/>
      <c r="C54" s="219" t="s">
        <v>231</v>
      </c>
      <c r="D54" s="220" t="s">
        <v>541</v>
      </c>
      <c r="E54" s="220" t="s">
        <v>542</v>
      </c>
    </row>
    <row r="55" spans="2:10" x14ac:dyDescent="0.35">
      <c r="B55" s="322" t="s">
        <v>184</v>
      </c>
      <c r="C55" s="265" t="s">
        <v>324</v>
      </c>
      <c r="D55" s="265" t="s">
        <v>543</v>
      </c>
      <c r="E55" s="221" t="s">
        <v>544</v>
      </c>
    </row>
    <row r="56" spans="2:10" x14ac:dyDescent="0.35">
      <c r="B56" s="323"/>
      <c r="C56" s="171" t="s">
        <v>324</v>
      </c>
      <c r="D56" s="171" t="s">
        <v>545</v>
      </c>
      <c r="E56" s="222" t="s">
        <v>546</v>
      </c>
    </row>
    <row r="57" spans="2:10" x14ac:dyDescent="0.35">
      <c r="B57" s="323"/>
      <c r="C57" s="267" t="s">
        <v>331</v>
      </c>
      <c r="D57" s="267" t="s">
        <v>547</v>
      </c>
      <c r="E57" s="222" t="s">
        <v>548</v>
      </c>
      <c r="F57" s="27"/>
    </row>
    <row r="58" spans="2:10" x14ac:dyDescent="0.35">
      <c r="B58" s="323"/>
      <c r="C58" s="264" t="s">
        <v>345</v>
      </c>
      <c r="D58" s="267" t="s">
        <v>549</v>
      </c>
      <c r="E58" s="223" t="s">
        <v>550</v>
      </c>
      <c r="F58" s="27"/>
    </row>
    <row r="59" spans="2:10" x14ac:dyDescent="0.35">
      <c r="B59" s="323"/>
      <c r="C59" s="264" t="s">
        <v>339</v>
      </c>
      <c r="D59" s="267" t="s">
        <v>551</v>
      </c>
      <c r="E59" s="223" t="s">
        <v>552</v>
      </c>
      <c r="F59" s="27"/>
    </row>
    <row r="60" spans="2:10" x14ac:dyDescent="0.35">
      <c r="B60" s="324"/>
      <c r="C60" s="166" t="s">
        <v>304</v>
      </c>
      <c r="D60" s="166" t="s">
        <v>553</v>
      </c>
      <c r="E60" s="228" t="s">
        <v>554</v>
      </c>
      <c r="F60" s="27"/>
    </row>
    <row r="61" spans="2:10" x14ac:dyDescent="0.35">
      <c r="F61" s="27"/>
    </row>
    <row r="62" spans="2:10" x14ac:dyDescent="0.35">
      <c r="F62" s="27"/>
    </row>
    <row r="63" spans="2:10" x14ac:dyDescent="0.35">
      <c r="F63" s="27"/>
    </row>
    <row r="64" spans="2:10" x14ac:dyDescent="0.35">
      <c r="E64" s="27"/>
      <c r="F64" s="27"/>
    </row>
    <row r="65" spans="3:6" x14ac:dyDescent="0.35">
      <c r="E65" s="27"/>
      <c r="F65" s="27"/>
    </row>
    <row r="66" spans="3:6" x14ac:dyDescent="0.35">
      <c r="C66" s="27"/>
      <c r="D66" s="27"/>
      <c r="E66" s="27"/>
      <c r="F66" s="27"/>
    </row>
    <row r="67" spans="3:6" x14ac:dyDescent="0.35">
      <c r="C67" s="27"/>
      <c r="D67" s="27"/>
      <c r="E67" s="27"/>
      <c r="F67" s="27"/>
    </row>
    <row r="68" spans="3:6" x14ac:dyDescent="0.35">
      <c r="C68" s="27"/>
      <c r="D68" s="27"/>
      <c r="E68" s="27"/>
      <c r="F68" s="27"/>
    </row>
    <row r="69" spans="3:6" x14ac:dyDescent="0.35">
      <c r="C69" s="27"/>
      <c r="D69" s="27"/>
      <c r="E69" s="27"/>
      <c r="F69" s="27"/>
    </row>
    <row r="70" spans="3:6" x14ac:dyDescent="0.35">
      <c r="C70" s="27"/>
      <c r="D70" s="27"/>
      <c r="E70" s="27"/>
      <c r="F70" s="28"/>
    </row>
    <row r="71" spans="3:6" x14ac:dyDescent="0.35">
      <c r="C71" s="27"/>
      <c r="D71" s="27"/>
      <c r="E71" s="27"/>
      <c r="F71" s="28"/>
    </row>
    <row r="72" spans="3:6" x14ac:dyDescent="0.35">
      <c r="C72" s="27"/>
      <c r="D72" s="27"/>
      <c r="E72" s="27"/>
      <c r="F72" s="28"/>
    </row>
    <row r="73" spans="3:6" x14ac:dyDescent="0.35">
      <c r="C73" s="27"/>
      <c r="D73" s="27"/>
      <c r="E73" s="27"/>
      <c r="F73" s="28"/>
    </row>
    <row r="74" spans="3:6" x14ac:dyDescent="0.35">
      <c r="C74" s="27"/>
      <c r="D74" s="27"/>
      <c r="E74" s="27"/>
      <c r="F74" s="28"/>
    </row>
    <row r="75" spans="3:6" x14ac:dyDescent="0.35">
      <c r="C75" s="27"/>
      <c r="D75" s="27"/>
      <c r="E75" s="27"/>
      <c r="F75" s="28"/>
    </row>
    <row r="76" spans="3:6" x14ac:dyDescent="0.35">
      <c r="C76" s="27"/>
      <c r="D76" s="27"/>
      <c r="E76" s="27"/>
      <c r="F76" s="28"/>
    </row>
    <row r="77" spans="3:6" x14ac:dyDescent="0.35">
      <c r="C77" s="27"/>
      <c r="D77" s="27"/>
      <c r="E77" s="28"/>
      <c r="F77" s="28"/>
    </row>
    <row r="78" spans="3:6" x14ac:dyDescent="0.35">
      <c r="C78" s="27"/>
      <c r="D78" s="27"/>
      <c r="E78" s="28"/>
      <c r="F78" s="28"/>
    </row>
    <row r="79" spans="3:6" x14ac:dyDescent="0.35">
      <c r="C79" s="28"/>
      <c r="D79" s="28"/>
      <c r="E79" s="28"/>
      <c r="F79" s="28"/>
    </row>
    <row r="80" spans="3:6" x14ac:dyDescent="0.35">
      <c r="C80" s="28"/>
      <c r="D80" s="28"/>
      <c r="E80" s="28"/>
      <c r="F80" s="28"/>
    </row>
    <row r="81" spans="3:6" x14ac:dyDescent="0.35">
      <c r="C81" s="28"/>
      <c r="D81" s="28"/>
      <c r="E81" s="28"/>
      <c r="F81" s="28"/>
    </row>
    <row r="82" spans="3:6" x14ac:dyDescent="0.35">
      <c r="C82" s="28"/>
      <c r="D82" s="28"/>
      <c r="E82" s="28"/>
      <c r="F82" s="28"/>
    </row>
    <row r="83" spans="3:6" x14ac:dyDescent="0.35">
      <c r="C83" s="28"/>
      <c r="D83" s="28"/>
      <c r="E83" s="28"/>
      <c r="F83" s="28"/>
    </row>
    <row r="84" spans="3:6" x14ac:dyDescent="0.35">
      <c r="C84" s="28"/>
      <c r="D84" s="28"/>
      <c r="E84" s="28"/>
      <c r="F84" s="28"/>
    </row>
    <row r="85" spans="3:6" x14ac:dyDescent="0.35">
      <c r="C85" s="28"/>
      <c r="D85" s="28"/>
      <c r="E85" s="28"/>
      <c r="F85" s="28"/>
    </row>
    <row r="86" spans="3:6" x14ac:dyDescent="0.35">
      <c r="C86" s="28"/>
      <c r="D86" s="28"/>
      <c r="E86" s="28"/>
      <c r="F86" s="28"/>
    </row>
    <row r="87" spans="3:6" x14ac:dyDescent="0.35">
      <c r="C87" s="28"/>
      <c r="D87" s="28"/>
      <c r="E87" s="28"/>
      <c r="F87" s="29"/>
    </row>
    <row r="88" spans="3:6" x14ac:dyDescent="0.35">
      <c r="C88" s="28"/>
      <c r="D88" s="28"/>
      <c r="E88" s="28"/>
    </row>
    <row r="89" spans="3:6" x14ac:dyDescent="0.35">
      <c r="C89" s="28"/>
      <c r="D89" s="28"/>
      <c r="E89" s="28"/>
    </row>
    <row r="90" spans="3:6" x14ac:dyDescent="0.35">
      <c r="C90" s="28"/>
      <c r="D90" s="28"/>
      <c r="E90" s="28"/>
    </row>
    <row r="91" spans="3:6" x14ac:dyDescent="0.35">
      <c r="C91" s="28"/>
      <c r="D91" s="28"/>
      <c r="E91" s="28"/>
    </row>
    <row r="92" spans="3:6" x14ac:dyDescent="0.35">
      <c r="C92" s="28"/>
      <c r="D92" s="28"/>
      <c r="E92" s="28"/>
    </row>
    <row r="93" spans="3:6" x14ac:dyDescent="0.35">
      <c r="C93" s="28"/>
      <c r="D93" s="28"/>
      <c r="E93" s="28"/>
    </row>
    <row r="94" spans="3:6" x14ac:dyDescent="0.35">
      <c r="C94" s="28"/>
      <c r="D94" s="28"/>
      <c r="E94" s="29"/>
    </row>
    <row r="95" spans="3:6" x14ac:dyDescent="0.35">
      <c r="C95" s="28"/>
      <c r="D95" s="28"/>
    </row>
    <row r="96" spans="3:6" x14ac:dyDescent="0.35">
      <c r="C96" s="29"/>
      <c r="D96" s="29"/>
    </row>
  </sheetData>
  <mergeCells count="6">
    <mergeCell ref="N15:O15"/>
    <mergeCell ref="B55:B60"/>
    <mergeCell ref="B52:B54"/>
    <mergeCell ref="B48:B51"/>
    <mergeCell ref="B42:B47"/>
    <mergeCell ref="B7:B41"/>
  </mergeCells>
  <hyperlinks>
    <hyperlink ref="A39" r:id="rId1" display="https://countrycode.org/" xr:uid="{3AB28FAC-4032-40DF-A4AD-1B9ED35CC37D}"/>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B4F64-250E-47E7-857B-F0A0DD5E3A45}">
  <sheetPr>
    <tabColor rgb="FF808080"/>
  </sheetPr>
  <dimension ref="A1:G41"/>
  <sheetViews>
    <sheetView zoomScale="70" zoomScaleNormal="70" workbookViewId="0">
      <selection activeCell="B15" sqref="B15"/>
    </sheetView>
  </sheetViews>
  <sheetFormatPr defaultColWidth="10.54296875" defaultRowHeight="14.5" x14ac:dyDescent="0.35"/>
  <cols>
    <col min="1" max="1" width="15.81640625" style="44" customWidth="1"/>
    <col min="2" max="2" width="22.54296875" style="44" customWidth="1"/>
    <col min="3" max="3" width="39.81640625" style="44" customWidth="1"/>
    <col min="4" max="4" width="4.54296875" style="44" customWidth="1"/>
    <col min="5" max="5" width="72.54296875" style="44" customWidth="1"/>
    <col min="6" max="6" width="57.453125" style="44" customWidth="1"/>
    <col min="7" max="7" width="55.54296875" style="44" customWidth="1"/>
    <col min="8" max="16384" width="10.54296875" style="44"/>
  </cols>
  <sheetData>
    <row r="1" spans="1:7" ht="89.15" customHeight="1" x14ac:dyDescent="0.35">
      <c r="A1" s="331" t="s">
        <v>725</v>
      </c>
      <c r="B1" s="331"/>
      <c r="C1" s="331"/>
    </row>
    <row r="3" spans="1:7" ht="15" thickBot="1" x14ac:dyDescent="0.4">
      <c r="A3" s="48" t="s">
        <v>21</v>
      </c>
      <c r="B3" s="48" t="s">
        <v>726</v>
      </c>
      <c r="C3" s="48" t="s">
        <v>727</v>
      </c>
      <c r="E3" s="86" t="s">
        <v>728</v>
      </c>
      <c r="F3" s="45" t="s">
        <v>729</v>
      </c>
      <c r="G3" s="45" t="s">
        <v>730</v>
      </c>
    </row>
    <row r="4" spans="1:7" ht="15.5" x14ac:dyDescent="0.35">
      <c r="A4" s="50" t="s">
        <v>141</v>
      </c>
      <c r="B4" s="60" t="s">
        <v>205</v>
      </c>
      <c r="C4" s="71" t="s">
        <v>473</v>
      </c>
      <c r="E4" s="44" t="s">
        <v>731</v>
      </c>
      <c r="F4" s="44" t="s">
        <v>732</v>
      </c>
      <c r="G4" s="44" t="s">
        <v>733</v>
      </c>
    </row>
    <row r="5" spans="1:7" ht="15.5" x14ac:dyDescent="0.35">
      <c r="A5" s="51" t="s">
        <v>141</v>
      </c>
      <c r="B5" s="61" t="s">
        <v>205</v>
      </c>
      <c r="C5" s="72" t="s">
        <v>480</v>
      </c>
      <c r="E5" s="44" t="s">
        <v>731</v>
      </c>
      <c r="F5" s="44" t="s">
        <v>732</v>
      </c>
      <c r="G5" s="44" t="s">
        <v>733</v>
      </c>
    </row>
    <row r="6" spans="1:7" ht="15.5" x14ac:dyDescent="0.35">
      <c r="A6" s="51" t="s">
        <v>141</v>
      </c>
      <c r="B6" s="61" t="s">
        <v>143</v>
      </c>
      <c r="C6" s="72" t="s">
        <v>175</v>
      </c>
      <c r="E6" s="44" t="s">
        <v>734</v>
      </c>
      <c r="F6" s="44" t="s">
        <v>735</v>
      </c>
      <c r="G6" s="44" t="s">
        <v>736</v>
      </c>
    </row>
    <row r="7" spans="1:7" ht="15.5" x14ac:dyDescent="0.35">
      <c r="A7" s="51" t="s">
        <v>141</v>
      </c>
      <c r="B7" s="61" t="s">
        <v>143</v>
      </c>
      <c r="C7" s="72" t="s">
        <v>193</v>
      </c>
      <c r="E7" s="44" t="s">
        <v>734</v>
      </c>
      <c r="F7" s="44" t="s">
        <v>735</v>
      </c>
      <c r="G7" s="44" t="s">
        <v>737</v>
      </c>
    </row>
    <row r="8" spans="1:7" ht="15.5" x14ac:dyDescent="0.35">
      <c r="A8" s="51" t="s">
        <v>234</v>
      </c>
      <c r="B8" s="61" t="s">
        <v>232</v>
      </c>
      <c r="C8" s="72" t="s">
        <v>232</v>
      </c>
    </row>
    <row r="9" spans="1:7" ht="15.5" x14ac:dyDescent="0.35">
      <c r="A9" s="51" t="s">
        <v>141</v>
      </c>
      <c r="B9" s="61" t="s">
        <v>246</v>
      </c>
      <c r="C9" s="72" t="s">
        <v>246</v>
      </c>
      <c r="E9" s="87" t="s">
        <v>738</v>
      </c>
      <c r="F9" s="44" t="s">
        <v>739</v>
      </c>
      <c r="G9" s="44" t="s">
        <v>740</v>
      </c>
    </row>
    <row r="10" spans="1:7" ht="15.5" x14ac:dyDescent="0.35">
      <c r="A10" s="51" t="s">
        <v>141</v>
      </c>
      <c r="B10" s="61" t="s">
        <v>258</v>
      </c>
      <c r="C10" s="72" t="s">
        <v>258</v>
      </c>
      <c r="E10" s="87" t="s">
        <v>741</v>
      </c>
      <c r="F10" s="44" t="s">
        <v>742</v>
      </c>
      <c r="G10" s="44" t="s">
        <v>743</v>
      </c>
    </row>
    <row r="11" spans="1:7" ht="15.5" x14ac:dyDescent="0.35">
      <c r="A11" s="51" t="s">
        <v>141</v>
      </c>
      <c r="B11" s="61" t="s">
        <v>284</v>
      </c>
      <c r="C11" s="73" t="s">
        <v>284</v>
      </c>
      <c r="E11" s="87" t="s">
        <v>744</v>
      </c>
      <c r="F11" s="44" t="s">
        <v>745</v>
      </c>
      <c r="G11" s="44" t="s">
        <v>746</v>
      </c>
    </row>
    <row r="12" spans="1:7" ht="15.5" x14ac:dyDescent="0.35">
      <c r="A12" s="51" t="s">
        <v>141</v>
      </c>
      <c r="B12" s="61" t="s">
        <v>298</v>
      </c>
      <c r="C12" s="72" t="s">
        <v>298</v>
      </c>
      <c r="E12" s="87" t="s">
        <v>747</v>
      </c>
      <c r="F12" s="44" t="s">
        <v>748</v>
      </c>
      <c r="G12" s="44" t="s">
        <v>749</v>
      </c>
    </row>
    <row r="13" spans="1:7" ht="15.5" x14ac:dyDescent="0.35">
      <c r="A13" s="51" t="s">
        <v>141</v>
      </c>
      <c r="B13" s="61" t="s">
        <v>750</v>
      </c>
      <c r="C13" s="72" t="s">
        <v>312</v>
      </c>
      <c r="E13" s="87" t="s">
        <v>751</v>
      </c>
    </row>
    <row r="14" spans="1:7" ht="15.5" x14ac:dyDescent="0.35">
      <c r="A14" s="51" t="s">
        <v>141</v>
      </c>
      <c r="B14" s="61" t="s">
        <v>168</v>
      </c>
      <c r="C14" s="72" t="s">
        <v>185</v>
      </c>
      <c r="E14" s="87" t="s">
        <v>752</v>
      </c>
      <c r="G14" s="44" t="s">
        <v>753</v>
      </c>
    </row>
    <row r="15" spans="1:7" ht="15.5" x14ac:dyDescent="0.35">
      <c r="A15" s="51" t="s">
        <v>141</v>
      </c>
      <c r="B15" s="61" t="s">
        <v>141</v>
      </c>
      <c r="C15" s="72" t="s">
        <v>225</v>
      </c>
      <c r="E15" s="44" t="s">
        <v>754</v>
      </c>
      <c r="G15" s="44" t="s">
        <v>755</v>
      </c>
    </row>
    <row r="16" spans="1:7" ht="15.5" x14ac:dyDescent="0.35">
      <c r="A16" s="51" t="s">
        <v>141</v>
      </c>
      <c r="B16" s="61" t="s">
        <v>234</v>
      </c>
      <c r="C16" s="72" t="s">
        <v>240</v>
      </c>
      <c r="E16" s="87" t="s">
        <v>756</v>
      </c>
    </row>
    <row r="17" spans="1:7" ht="16" thickBot="1" x14ac:dyDescent="0.4">
      <c r="A17" s="52" t="s">
        <v>141</v>
      </c>
      <c r="B17" s="62" t="s">
        <v>757</v>
      </c>
      <c r="C17" s="74" t="s">
        <v>157</v>
      </c>
    </row>
    <row r="18" spans="1:7" ht="29" x14ac:dyDescent="0.35">
      <c r="A18" s="93" t="s">
        <v>149</v>
      </c>
      <c r="B18" s="94" t="s">
        <v>149</v>
      </c>
      <c r="C18" s="75" t="s">
        <v>445</v>
      </c>
      <c r="E18" s="88" t="s">
        <v>758</v>
      </c>
      <c r="F18" s="44" t="s">
        <v>759</v>
      </c>
      <c r="G18" s="44" t="s">
        <v>760</v>
      </c>
    </row>
    <row r="19" spans="1:7" s="91" customFormat="1" ht="29" x14ac:dyDescent="0.35">
      <c r="A19" s="89" t="s">
        <v>149</v>
      </c>
      <c r="B19" s="90" t="s">
        <v>149</v>
      </c>
      <c r="C19" s="76" t="s">
        <v>452</v>
      </c>
      <c r="E19" s="92" t="s">
        <v>761</v>
      </c>
    </row>
    <row r="20" spans="1:7" ht="15.5" x14ac:dyDescent="0.35">
      <c r="A20" s="53" t="s">
        <v>149</v>
      </c>
      <c r="B20" s="63" t="s">
        <v>149</v>
      </c>
      <c r="C20" s="76" t="s">
        <v>459</v>
      </c>
      <c r="E20" s="87" t="s">
        <v>762</v>
      </c>
      <c r="F20" s="44" t="s">
        <v>759</v>
      </c>
      <c r="G20" s="44" t="s">
        <v>763</v>
      </c>
    </row>
    <row r="21" spans="1:7" ht="15.5" x14ac:dyDescent="0.35">
      <c r="A21" s="53" t="s">
        <v>149</v>
      </c>
      <c r="B21" s="63" t="s">
        <v>149</v>
      </c>
      <c r="C21" s="76" t="s">
        <v>438</v>
      </c>
      <c r="E21" s="87" t="s">
        <v>764</v>
      </c>
    </row>
    <row r="22" spans="1:7" ht="16" thickBot="1" x14ac:dyDescent="0.4">
      <c r="A22" s="54" t="s">
        <v>149</v>
      </c>
      <c r="B22" s="64" t="s">
        <v>149</v>
      </c>
      <c r="C22" s="77" t="s">
        <v>429</v>
      </c>
      <c r="E22" s="87" t="s">
        <v>765</v>
      </c>
    </row>
    <row r="23" spans="1:7" ht="29" x14ac:dyDescent="0.35">
      <c r="A23" s="55" t="s">
        <v>184</v>
      </c>
      <c r="B23" s="65" t="s">
        <v>339</v>
      </c>
      <c r="C23" s="78" t="s">
        <v>290</v>
      </c>
      <c r="E23" s="88" t="s">
        <v>766</v>
      </c>
      <c r="F23" s="46" t="s">
        <v>767</v>
      </c>
      <c r="G23" s="44" t="s">
        <v>768</v>
      </c>
    </row>
    <row r="24" spans="1:7" ht="29" x14ac:dyDescent="0.35">
      <c r="A24" s="56" t="s">
        <v>184</v>
      </c>
      <c r="B24" s="66" t="s">
        <v>304</v>
      </c>
      <c r="C24" s="79" t="s">
        <v>304</v>
      </c>
      <c r="E24" s="88" t="s">
        <v>769</v>
      </c>
      <c r="F24" s="46" t="s">
        <v>767</v>
      </c>
      <c r="G24" s="44" t="s">
        <v>768</v>
      </c>
    </row>
    <row r="25" spans="1:7" ht="29" x14ac:dyDescent="0.35">
      <c r="A25" s="56" t="s">
        <v>184</v>
      </c>
      <c r="B25" s="66" t="s">
        <v>324</v>
      </c>
      <c r="C25" s="79" t="s">
        <v>317</v>
      </c>
      <c r="E25" s="88" t="s">
        <v>770</v>
      </c>
      <c r="F25" s="46" t="s">
        <v>767</v>
      </c>
      <c r="G25" s="44" t="s">
        <v>768</v>
      </c>
    </row>
    <row r="26" spans="1:7" ht="15.5" x14ac:dyDescent="0.35">
      <c r="A26" s="56" t="s">
        <v>184</v>
      </c>
      <c r="B26" s="66" t="s">
        <v>331</v>
      </c>
      <c r="C26" s="79" t="s">
        <v>547</v>
      </c>
      <c r="E26" s="88" t="s">
        <v>771</v>
      </c>
      <c r="F26" s="46"/>
    </row>
    <row r="27" spans="1:7" ht="29.5" thickBot="1" x14ac:dyDescent="0.4">
      <c r="A27" s="57" t="s">
        <v>184</v>
      </c>
      <c r="B27" s="67" t="s">
        <v>772</v>
      </c>
      <c r="C27" s="80" t="s">
        <v>345</v>
      </c>
      <c r="E27" s="88" t="s">
        <v>773</v>
      </c>
      <c r="F27" s="46" t="s">
        <v>774</v>
      </c>
      <c r="G27" s="44" t="s">
        <v>768</v>
      </c>
    </row>
    <row r="28" spans="1:7" ht="16" thickBot="1" x14ac:dyDescent="0.4">
      <c r="A28" s="58" t="s">
        <v>203</v>
      </c>
      <c r="B28" s="68" t="s">
        <v>203</v>
      </c>
      <c r="C28" s="81" t="s">
        <v>203</v>
      </c>
    </row>
    <row r="29" spans="1:7" ht="16" thickBot="1" x14ac:dyDescent="0.4">
      <c r="A29" s="59" t="s">
        <v>218</v>
      </c>
      <c r="B29" s="69" t="s">
        <v>218</v>
      </c>
      <c r="C29" s="82" t="s">
        <v>218</v>
      </c>
    </row>
    <row r="30" spans="1:7" ht="16" thickBot="1" x14ac:dyDescent="0.4">
      <c r="A30" s="49" t="s">
        <v>231</v>
      </c>
      <c r="B30" s="70" t="s">
        <v>231</v>
      </c>
      <c r="C30" s="83" t="s">
        <v>231</v>
      </c>
    </row>
    <row r="31" spans="1:7" ht="15.5" x14ac:dyDescent="0.35">
      <c r="C31" s="10"/>
    </row>
    <row r="32" spans="1:7" x14ac:dyDescent="0.35">
      <c r="A32" s="47"/>
      <c r="B32" s="47"/>
    </row>
    <row r="34" spans="1:3" x14ac:dyDescent="0.35">
      <c r="A34" s="47"/>
      <c r="B34" s="47"/>
      <c r="C34" s="47"/>
    </row>
    <row r="35" spans="1:3" x14ac:dyDescent="0.35">
      <c r="A35" s="47"/>
      <c r="B35" s="47"/>
      <c r="C35" s="47"/>
    </row>
    <row r="36" spans="1:3" x14ac:dyDescent="0.35">
      <c r="A36" s="47"/>
      <c r="B36" s="47"/>
      <c r="C36" s="47"/>
    </row>
    <row r="37" spans="1:3" x14ac:dyDescent="0.35">
      <c r="A37"/>
      <c r="B37"/>
      <c r="C37"/>
    </row>
    <row r="38" spans="1:3" x14ac:dyDescent="0.35">
      <c r="A38" s="47"/>
      <c r="B38" s="47"/>
      <c r="C38" s="47"/>
    </row>
    <row r="40" spans="1:3" x14ac:dyDescent="0.35">
      <c r="A40"/>
      <c r="B40"/>
      <c r="C40"/>
    </row>
    <row r="41" spans="1:3" x14ac:dyDescent="0.35">
      <c r="A41" s="47"/>
      <c r="B41" s="47"/>
      <c r="C41" s="47"/>
    </row>
  </sheetData>
  <autoFilter ref="A3:G3" xr:uid="{AD930E41-D783-49A9-B854-377A2986B959}"/>
  <mergeCells count="1">
    <mergeCell ref="A1:C1"/>
  </mergeCells>
  <pageMargins left="0.7" right="0.7" top="0.75" bottom="0.75" header="0.3" footer="0.3"/>
  <pageSetup paperSize="9" orientation="portrait"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96539AB1A4E774AAE58AF365C960C24" ma:contentTypeVersion="17" ma:contentTypeDescription="Create a new document." ma:contentTypeScope="" ma:versionID="42a883a70c1245d8065e3911bfbe195f">
  <xsd:schema xmlns:xsd="http://www.w3.org/2001/XMLSchema" xmlns:xs="http://www.w3.org/2001/XMLSchema" xmlns:p="http://schemas.microsoft.com/office/2006/metadata/properties" xmlns:ns2="7b3f3f02-1492-4135-aed5-4a9313d2b240" xmlns:ns3="b20a52f4-bbc3-4dd1-8b34-1590abc18d18" targetNamespace="http://schemas.microsoft.com/office/2006/metadata/properties" ma:root="true" ma:fieldsID="cf425a28cf0d746dfa67fb47801819b2" ns2:_="" ns3:_="">
    <xsd:import namespace="7b3f3f02-1492-4135-aed5-4a9313d2b240"/>
    <xsd:import namespace="b20a52f4-bbc3-4dd1-8b34-1590abc18d1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3f3f02-1492-4135-aed5-4a9313d2b2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cb8c6112-a551-416c-b446-07c3fc3d0d4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20a52f4-bbc3-4dd1-8b34-1590abc18d1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ea3123cd-bad8-4528-99fd-cded974138d8}" ma:internalName="TaxCatchAll" ma:showField="CatchAllData" ma:web="b20a52f4-bbc3-4dd1-8b34-1590abc18d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b20a52f4-bbc3-4dd1-8b34-1590abc18d18">
      <UserInfo>
        <DisplayName>Tanuj Manoharan</DisplayName>
        <AccountId>118</AccountId>
        <AccountType/>
      </UserInfo>
      <UserInfo>
        <DisplayName>SharingLinks.d3bfde29-647f-480d-9477-36611d2cdb2a.OrganizationEdit.93e3ff7f-4c0b-4440-a290-5883c093a263</DisplayName>
        <AccountId>185</AccountId>
        <AccountType/>
      </UserInfo>
      <UserInfo>
        <DisplayName>Christine Wang</DisplayName>
        <AccountId>133</AccountId>
        <AccountType/>
      </UserInfo>
      <UserInfo>
        <DisplayName>Olia Galkina</DisplayName>
        <AccountId>355</AccountId>
        <AccountType/>
      </UserInfo>
      <UserInfo>
        <DisplayName>Lorenzo Drumond</DisplayName>
        <AccountId>370</AccountId>
        <AccountType/>
      </UserInfo>
      <UserInfo>
        <DisplayName>Linus Dmello</DisplayName>
        <AccountId>352</AccountId>
        <AccountType/>
      </UserInfo>
      <UserInfo>
        <DisplayName>Calypso Pailler</DisplayName>
        <AccountId>483</AccountId>
        <AccountType/>
      </UserInfo>
      <UserInfo>
        <DisplayName>Liberata Dsouza</DisplayName>
        <AccountId>351</AccountId>
        <AccountType/>
      </UserInfo>
      <UserInfo>
        <DisplayName>Richa Bajpai</DisplayName>
        <AccountId>541</AccountId>
        <AccountType/>
      </UserInfo>
      <UserInfo>
        <DisplayName>Prince Kandwal</DisplayName>
        <AccountId>532</AccountId>
        <AccountType/>
      </UserInfo>
      <UserInfo>
        <DisplayName>Audrey Detroye</DisplayName>
        <AccountId>10</AccountId>
        <AccountType/>
      </UserInfo>
      <UserInfo>
        <DisplayName>Felipe Lima</DisplayName>
        <AccountId>578</AccountId>
        <AccountType/>
      </UserInfo>
      <UserInfo>
        <DisplayName>Natalia Asevedo</DisplayName>
        <AccountId>597</AccountId>
        <AccountType/>
      </UserInfo>
      <UserInfo>
        <DisplayName>Carla Assumpcao</DisplayName>
        <AccountId>591</AccountId>
        <AccountType/>
      </UserInfo>
      <UserInfo>
        <DisplayName>Luiz Jorge</DisplayName>
        <AccountId>566</AccountId>
        <AccountType/>
      </UserInfo>
      <UserInfo>
        <DisplayName>Glaucia Tanaka</DisplayName>
        <AccountId>579</AccountId>
        <AccountType/>
      </UserInfo>
      <UserInfo>
        <DisplayName>Guillermo Lezama</DisplayName>
        <AccountId>221</AccountId>
        <AccountType/>
      </UserInfo>
      <UserInfo>
        <DisplayName>Leticia Silva</DisplayName>
        <AccountId>452</AccountId>
        <AccountType/>
      </UserInfo>
      <UserInfo>
        <DisplayName>Edinaldo Oliveira</DisplayName>
        <AccountId>598</AccountId>
        <AccountType/>
      </UserInfo>
      <UserInfo>
        <DisplayName>Wilson Silva</DisplayName>
        <AccountId>580</AccountId>
        <AccountType/>
      </UserInfo>
      <UserInfo>
        <DisplayName>Tito Marques</DisplayName>
        <AccountId>599</AccountId>
        <AccountType/>
      </UserInfo>
      <UserInfo>
        <DisplayName>Beatriz Rogatis</DisplayName>
        <AccountId>568</AccountId>
        <AccountType/>
      </UserInfo>
      <UserInfo>
        <DisplayName>Bruno Felix</DisplayName>
        <AccountId>581</AccountId>
        <AccountType/>
      </UserInfo>
      <UserInfo>
        <DisplayName>Bruna Silva</DisplayName>
        <AccountId>280</AccountId>
        <AccountType/>
      </UserInfo>
      <UserInfo>
        <DisplayName>Marina Campos</DisplayName>
        <AccountId>499</AccountId>
        <AccountType/>
      </UserInfo>
      <UserInfo>
        <DisplayName>Isabela Silva</DisplayName>
        <AccountId>563</AccountId>
        <AccountType/>
      </UserInfo>
      <UserInfo>
        <DisplayName>Natalia Ferreira</DisplayName>
        <AccountId>609</AccountId>
        <AccountType/>
      </UserInfo>
      <UserInfo>
        <DisplayName>Shiv Pratap Singh</DisplayName>
        <AccountId>670</AccountId>
        <AccountType/>
      </UserInfo>
      <UserInfo>
        <DisplayName>Ritu Karn</DisplayName>
        <AccountId>490</AccountId>
        <AccountType/>
      </UserInfo>
      <UserInfo>
        <DisplayName>Yoktene Huang</DisplayName>
        <AccountId>671</AccountId>
        <AccountType/>
      </UserInfo>
      <UserInfo>
        <DisplayName>Jade Breton</DisplayName>
        <AccountId>604</AccountId>
        <AccountType/>
      </UserInfo>
      <UserInfo>
        <DisplayName>Thiago Andrade</DisplayName>
        <AccountId>676</AccountId>
        <AccountType/>
      </UserInfo>
      <UserInfo>
        <DisplayName>Mia Hoang</DisplayName>
        <AccountId>680</AccountId>
        <AccountType/>
      </UserInfo>
      <UserInfo>
        <DisplayName>Gustavo Hamamoto</DisplayName>
        <AccountId>681</AccountId>
        <AccountType/>
      </UserInfo>
      <UserInfo>
        <DisplayName>Diego Lopezdehan</DisplayName>
        <AccountId>700</AccountId>
        <AccountType/>
      </UserInfo>
      <UserInfo>
        <DisplayName>Christian Osorio Diez</DisplayName>
        <AccountId>718</AccountId>
        <AccountType/>
      </UserInfo>
      <UserInfo>
        <DisplayName>Marguerite Joffet</DisplayName>
        <AccountId>719</AccountId>
        <AccountType/>
      </UserInfo>
      <UserInfo>
        <DisplayName>Melissa Louvrier</DisplayName>
        <AccountId>720</AccountId>
        <AccountType/>
      </UserInfo>
      <UserInfo>
        <DisplayName>Pauline Pacault</DisplayName>
        <AccountId>721</AccountId>
        <AccountType/>
      </UserInfo>
      <UserInfo>
        <DisplayName>Sviatlana Favennec</DisplayName>
        <AccountId>722</AccountId>
        <AccountType/>
      </UserInfo>
      <UserInfo>
        <DisplayName>Maeva Favier</DisplayName>
        <AccountId>723</AccountId>
        <AccountType/>
      </UserInfo>
      <UserInfo>
        <DisplayName>Julie Lemaire</DisplayName>
        <AccountId>724</AccountId>
        <AccountType/>
      </UserInfo>
      <UserInfo>
        <DisplayName>Lucile Buvat</DisplayName>
        <AccountId>725</AccountId>
        <AccountType/>
      </UserInfo>
      <UserInfo>
        <DisplayName>Sofia Derni</DisplayName>
        <AccountId>726</AccountId>
        <AccountType/>
      </UserInfo>
      <UserInfo>
        <DisplayName>Gisele Boer</DisplayName>
        <AccountId>728</AccountId>
        <AccountType/>
      </UserInfo>
    </SharedWithUsers>
    <lcf76f155ced4ddcb4097134ff3c332f xmlns="7b3f3f02-1492-4135-aed5-4a9313d2b240">
      <Terms xmlns="http://schemas.microsoft.com/office/infopath/2007/PartnerControls"/>
    </lcf76f155ced4ddcb4097134ff3c332f>
    <TaxCatchAll xmlns="b20a52f4-bbc3-4dd1-8b34-1590abc18d18" xsi:nil="true"/>
  </documentManagement>
</p:properties>
</file>

<file path=customXml/itemProps1.xml><?xml version="1.0" encoding="utf-8"?>
<ds:datastoreItem xmlns:ds="http://schemas.openxmlformats.org/officeDocument/2006/customXml" ds:itemID="{7D27F318-22AD-42A1-8C49-44ABACAC2E9A}">
  <ds:schemaRefs>
    <ds:schemaRef ds:uri="http://schemas.microsoft.com/sharepoint/v3/contenttype/forms"/>
  </ds:schemaRefs>
</ds:datastoreItem>
</file>

<file path=customXml/itemProps2.xml><?xml version="1.0" encoding="utf-8"?>
<ds:datastoreItem xmlns:ds="http://schemas.openxmlformats.org/officeDocument/2006/customXml" ds:itemID="{AFC7E774-6FB7-47EF-A6FC-9A2F575F11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3f3f02-1492-4135-aed5-4a9313d2b240"/>
    <ds:schemaRef ds:uri="b20a52f4-bbc3-4dd1-8b34-1590abc18d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2C58263-5A76-4D57-A9CA-610374C95F09}">
  <ds:schemaRefs>
    <ds:schemaRef ds:uri="http://schemas.microsoft.com/office/2006/metadata/properties"/>
    <ds:schemaRef ds:uri="http://schemas.microsoft.com/office/infopath/2007/PartnerControls"/>
    <ds:schemaRef ds:uri="b20a52f4-bbc3-4dd1-8b34-1590abc18d18"/>
    <ds:schemaRef ds:uri="7b3f3f02-1492-4135-aed5-4a9313d2b240"/>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Planilhas</vt:lpstr>
      </vt:variant>
      <vt:variant>
        <vt:i4>6</vt:i4>
      </vt:variant>
    </vt:vector>
  </HeadingPairs>
  <TitlesOfParts>
    <vt:vector size="6" baseType="lpstr">
      <vt:lpstr>1.Introduction</vt:lpstr>
      <vt:lpstr>2.Definition</vt:lpstr>
      <vt:lpstr>3.References</vt:lpstr>
      <vt:lpstr>4.Global Naming Conventions</vt:lpstr>
      <vt:lpstr>5.References Mapping</vt:lpstr>
      <vt:lpstr>6.Essilor Group Brands 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Bradley Bortner</dc:creator>
  <cp:keywords/>
  <dc:description/>
  <cp:lastModifiedBy>Felipe Lima</cp:lastModifiedBy>
  <cp:revision/>
  <dcterms:created xsi:type="dcterms:W3CDTF">2018-03-29T13:01:43Z</dcterms:created>
  <dcterms:modified xsi:type="dcterms:W3CDTF">2024-02-06T13:59:39Z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0x010100B96539AB1A4E774AAE58AF365C960C24</vt:lpwstr>
  </property>
  <property fmtid="{D5CDD505-2E9C-101B-9397-08002B2CF9AE}" pid="3" name="AuthorIds_UIVersion_27136">
    <vt:lpwstr>422</vt:lpwstr>
  </property>
  <property fmtid="{D5CDD505-2E9C-101B-9397-08002B2CF9AE}" pid="4" name="WorkbookGuid">
    <vt:lpwstr>a539928d-e5d3-4f91-a4fb-fa5abeef60db</vt:lpwstr>
  </property>
  <property fmtid="{D5CDD505-2E9C-101B-9397-08002B2CF9AE}" pid="5" name="Order">
    <vt:r8>900</vt:r8>
  </property>
  <property fmtid="{D5CDD505-2E9C-101B-9397-08002B2CF9AE}" pid="6" name="xd_Signature">
    <vt:bool>false</vt:bool>
  </property>
  <property fmtid="{D5CDD505-2E9C-101B-9397-08002B2CF9AE}" pid="7" name="xd_ProgID">
    <vt:lpwstr/>
  </property>
  <property fmtid="{D5CDD505-2E9C-101B-9397-08002B2CF9AE}" pid="8" name="_ExtendedDescription">
    <vt:lpwstr/>
  </property>
  <property fmtid="{D5CDD505-2E9C-101B-9397-08002B2CF9AE}" pid="9" name="ComplianceAssetId">
    <vt:lpwstr/>
  </property>
  <property fmtid="{D5CDD505-2E9C-101B-9397-08002B2CF9AE}" pid="10" name="TemplateUrl">
    <vt:lpwstr/>
  </property>
  <property fmtid="{D5CDD505-2E9C-101B-9397-08002B2CF9AE}" pid="11" name="MediaServiceImageTags">
    <vt:lpwstr/>
  </property>
</Properties>
</file>