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onectados.sharepoint.com/sites/sigaif/Documentos Compartilhados/Gerência de Negócios/GENOG - EXPERIÊNCIA_ENGAJAMENTO E CONVERSÃO/Campanhas/IF/Planilha/"/>
    </mc:Choice>
  </mc:AlternateContent>
  <xr:revisionPtr revIDLastSave="0" documentId="8_{EED6158F-0BB8-4DF5-9D58-907F2130843A}" xr6:coauthVersionLast="47" xr6:coauthVersionMax="47" xr10:uidLastSave="{00000000-0000-0000-0000-000000000000}"/>
  <bookViews>
    <workbookView xWindow="-120" yWindow="-120" windowWidth="19440" windowHeight="10440" tabRatio="524" xr2:uid="{00000000-000D-0000-FFFF-FFFF00000000}"/>
  </bookViews>
  <sheets>
    <sheet name="Planejamento" sheetId="1" r:id="rId1"/>
    <sheet name="Gráf. 1 - visão anual" sheetId="2" r:id="rId2"/>
    <sheet name="Gráf. 2 - dist. de despesas" sheetId="3" r:id="rId3"/>
  </sheets>
  <definedNames>
    <definedName name="_xlchart.v1.0" hidden="1">Planejamento!$C$26:$D$38</definedName>
    <definedName name="_xlchart.v1.1" hidden="1">Planejamento!$Q$26:$Q$38</definedName>
    <definedName name="_xlchart.v1.10" hidden="1">Planejamento!$C$76:$D$82</definedName>
    <definedName name="_xlchart.v1.11" hidden="1">Planejamento!$Q$76:$Q$82</definedName>
    <definedName name="_xlchart.v1.12" hidden="1">Planejamento!$C$86:$D$90</definedName>
    <definedName name="_xlchart.v1.13" hidden="1">Planejamento!$Q$86:$Q$90</definedName>
    <definedName name="_xlchart.v1.14" hidden="1">Planejamento!$C$94:$D$98</definedName>
    <definedName name="_xlchart.v1.15" hidden="1">Planejamento!$Q$94:$Q$98</definedName>
    <definedName name="_xlchart.v1.2" hidden="1">Planejamento!$C$42:$D$49</definedName>
    <definedName name="_xlchart.v1.3" hidden="1">Planejamento!$Q$42:$Q$49</definedName>
    <definedName name="_xlchart.v1.4" hidden="1">Planejamento!$C$53:$D$57</definedName>
    <definedName name="_xlchart.v1.5" hidden="1">Planejamento!$Q$53:$Q$57</definedName>
    <definedName name="_xlchart.v1.6" hidden="1">Planejamento!$C$61:$D$65</definedName>
    <definedName name="_xlchart.v1.7" hidden="1">Planejamento!$Q$61:$Q$65</definedName>
    <definedName name="_xlchart.v1.8" hidden="1">Planejamento!$C$69:$D$72</definedName>
    <definedName name="_xlchart.v1.9" hidden="1">Planejamento!$Q$69:$Q$72</definedName>
    <definedName name="SUM">Planejamento!$E$105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Q7" i="1"/>
  <c r="Q8" i="1"/>
  <c r="Q9" i="1"/>
  <c r="Q10" i="1"/>
  <c r="Q11" i="1"/>
  <c r="Q12" i="1"/>
  <c r="Q13" i="1"/>
  <c r="E14" i="1"/>
  <c r="E103" i="1" s="1"/>
  <c r="F14" i="1"/>
  <c r="F103" i="1" s="1"/>
  <c r="G14" i="1"/>
  <c r="G103" i="1" s="1"/>
  <c r="H14" i="1"/>
  <c r="H103" i="1" s="1"/>
  <c r="I14" i="1"/>
  <c r="I103" i="1" s="1"/>
  <c r="J103" i="1"/>
  <c r="K14" i="1"/>
  <c r="K103" i="1" s="1"/>
  <c r="L14" i="1"/>
  <c r="L103" i="1" s="1"/>
  <c r="M14" i="1"/>
  <c r="N14" i="1"/>
  <c r="N103" i="1" s="1"/>
  <c r="O14" i="1"/>
  <c r="O103" i="1" s="1"/>
  <c r="P14" i="1"/>
  <c r="P103" i="1" s="1"/>
  <c r="Q17" i="1"/>
  <c r="Q18" i="1"/>
  <c r="Q19" i="1"/>
  <c r="Q20" i="1"/>
  <c r="E21" i="1"/>
  <c r="E104" i="1" s="1"/>
  <c r="F21" i="1"/>
  <c r="F104" i="1" s="1"/>
  <c r="G21" i="1"/>
  <c r="H21" i="1"/>
  <c r="H104" i="1" s="1"/>
  <c r="I21" i="1"/>
  <c r="I104" i="1" s="1"/>
  <c r="J21" i="1"/>
  <c r="K21" i="1"/>
  <c r="L21" i="1"/>
  <c r="L104" i="1" s="1"/>
  <c r="M21" i="1"/>
  <c r="M104" i="1" s="1"/>
  <c r="N21" i="1"/>
  <c r="N104" i="1" s="1"/>
  <c r="O21" i="1"/>
  <c r="P21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E39" i="1"/>
  <c r="F39" i="1"/>
  <c r="G39" i="1"/>
  <c r="H39" i="1"/>
  <c r="I39" i="1"/>
  <c r="J39" i="1"/>
  <c r="K39" i="1"/>
  <c r="L39" i="1"/>
  <c r="M39" i="1"/>
  <c r="N39" i="1"/>
  <c r="O39" i="1"/>
  <c r="P39" i="1"/>
  <c r="Q42" i="1"/>
  <c r="Q43" i="1"/>
  <c r="Q44" i="1"/>
  <c r="Q45" i="1"/>
  <c r="Q46" i="1"/>
  <c r="Q47" i="1"/>
  <c r="Q48" i="1"/>
  <c r="Q49" i="1"/>
  <c r="E50" i="1"/>
  <c r="F50" i="1"/>
  <c r="G50" i="1"/>
  <c r="H50" i="1"/>
  <c r="I50" i="1"/>
  <c r="J50" i="1"/>
  <c r="K50" i="1"/>
  <c r="L50" i="1"/>
  <c r="M50" i="1"/>
  <c r="N50" i="1"/>
  <c r="O50" i="1"/>
  <c r="P50" i="1"/>
  <c r="Q53" i="1"/>
  <c r="Q54" i="1"/>
  <c r="Q55" i="1"/>
  <c r="Q56" i="1"/>
  <c r="Q57" i="1"/>
  <c r="E58" i="1"/>
  <c r="F58" i="1"/>
  <c r="G58" i="1"/>
  <c r="H58" i="1"/>
  <c r="I58" i="1"/>
  <c r="J58" i="1"/>
  <c r="K58" i="1"/>
  <c r="L58" i="1"/>
  <c r="M58" i="1"/>
  <c r="N58" i="1"/>
  <c r="O58" i="1"/>
  <c r="P58" i="1"/>
  <c r="Q61" i="1"/>
  <c r="Q62" i="1"/>
  <c r="Q63" i="1"/>
  <c r="Q64" i="1"/>
  <c r="Q65" i="1"/>
  <c r="E66" i="1"/>
  <c r="F66" i="1"/>
  <c r="G66" i="1"/>
  <c r="H66" i="1"/>
  <c r="I66" i="1"/>
  <c r="J66" i="1"/>
  <c r="K66" i="1"/>
  <c r="L66" i="1"/>
  <c r="M66" i="1"/>
  <c r="N66" i="1"/>
  <c r="O66" i="1"/>
  <c r="P66" i="1"/>
  <c r="Q69" i="1"/>
  <c r="Q70" i="1"/>
  <c r="Q71" i="1"/>
  <c r="Q72" i="1"/>
  <c r="E73" i="1"/>
  <c r="F73" i="1"/>
  <c r="G73" i="1"/>
  <c r="H73" i="1"/>
  <c r="I73" i="1"/>
  <c r="J73" i="1"/>
  <c r="K73" i="1"/>
  <c r="L73" i="1"/>
  <c r="M73" i="1"/>
  <c r="N73" i="1"/>
  <c r="O73" i="1"/>
  <c r="P73" i="1"/>
  <c r="Q76" i="1"/>
  <c r="Q77" i="1"/>
  <c r="Q78" i="1"/>
  <c r="Q79" i="1"/>
  <c r="Q80" i="1"/>
  <c r="Q81" i="1"/>
  <c r="Q82" i="1"/>
  <c r="E83" i="1"/>
  <c r="F83" i="1"/>
  <c r="G83" i="1"/>
  <c r="H83" i="1"/>
  <c r="I83" i="1"/>
  <c r="J83" i="1"/>
  <c r="K83" i="1"/>
  <c r="L83" i="1"/>
  <c r="M83" i="1"/>
  <c r="N83" i="1"/>
  <c r="O83" i="1"/>
  <c r="P83" i="1"/>
  <c r="Q86" i="1"/>
  <c r="Q87" i="1"/>
  <c r="Q88" i="1"/>
  <c r="Q89" i="1"/>
  <c r="Q90" i="1"/>
  <c r="E91" i="1"/>
  <c r="F91" i="1"/>
  <c r="G91" i="1"/>
  <c r="H91" i="1"/>
  <c r="I91" i="1"/>
  <c r="J91" i="1"/>
  <c r="K91" i="1"/>
  <c r="L91" i="1"/>
  <c r="M91" i="1"/>
  <c r="N91" i="1"/>
  <c r="O91" i="1"/>
  <c r="P91" i="1"/>
  <c r="Q94" i="1"/>
  <c r="Q95" i="1"/>
  <c r="Q96" i="1"/>
  <c r="Q97" i="1"/>
  <c r="Q98" i="1"/>
  <c r="E99" i="1"/>
  <c r="F99" i="1"/>
  <c r="G99" i="1"/>
  <c r="H99" i="1"/>
  <c r="I99" i="1"/>
  <c r="J99" i="1"/>
  <c r="K99" i="1"/>
  <c r="L99" i="1"/>
  <c r="M99" i="1"/>
  <c r="N99" i="1"/>
  <c r="O99" i="1"/>
  <c r="P99" i="1"/>
  <c r="M103" i="1"/>
  <c r="M108" i="1" s="1"/>
  <c r="G104" i="1"/>
  <c r="J104" i="1"/>
  <c r="K104" i="1"/>
  <c r="O104" i="1"/>
  <c r="N108" i="1" l="1"/>
  <c r="L108" i="1"/>
  <c r="K108" i="1"/>
  <c r="J108" i="1"/>
  <c r="I108" i="1"/>
  <c r="H108" i="1"/>
  <c r="G108" i="1"/>
  <c r="F108" i="1"/>
  <c r="O108" i="1"/>
  <c r="Q91" i="1"/>
  <c r="Q21" i="1"/>
  <c r="F105" i="1"/>
  <c r="F109" i="1" s="1"/>
  <c r="Q73" i="1"/>
  <c r="E105" i="1"/>
  <c r="E109" i="1" s="1"/>
  <c r="P105" i="1"/>
  <c r="P109" i="1" s="1"/>
  <c r="J105" i="1"/>
  <c r="J106" i="1" s="1"/>
  <c r="P104" i="1"/>
  <c r="O105" i="1"/>
  <c r="O109" i="1" s="1"/>
  <c r="N105" i="1"/>
  <c r="N109" i="1" s="1"/>
  <c r="Q83" i="1"/>
  <c r="Q66" i="1"/>
  <c r="M105" i="1"/>
  <c r="M109" i="1" s="1"/>
  <c r="L105" i="1"/>
  <c r="L109" i="1" s="1"/>
  <c r="G105" i="1"/>
  <c r="G106" i="1" s="1"/>
  <c r="K105" i="1"/>
  <c r="K106" i="1" s="1"/>
  <c r="Q58" i="1"/>
  <c r="Q39" i="1"/>
  <c r="I105" i="1"/>
  <c r="I109" i="1" s="1"/>
  <c r="Q50" i="1"/>
  <c r="H105" i="1"/>
  <c r="H106" i="1" s="1"/>
  <c r="Q103" i="1"/>
  <c r="E108" i="1"/>
  <c r="Q99" i="1"/>
  <c r="Q14" i="1"/>
  <c r="Q104" i="1" l="1"/>
  <c r="P108" i="1"/>
  <c r="E106" i="1"/>
  <c r="F106" i="1"/>
  <c r="P106" i="1"/>
  <c r="J109" i="1"/>
  <c r="O106" i="1"/>
  <c r="I106" i="1"/>
  <c r="M106" i="1"/>
  <c r="H109" i="1"/>
  <c r="G109" i="1"/>
  <c r="Q105" i="1"/>
  <c r="N106" i="1"/>
  <c r="K109" i="1"/>
  <c r="L106" i="1"/>
  <c r="Q106" i="1" l="1"/>
</calcChain>
</file>

<file path=xl/sharedStrings.xml><?xml version="1.0" encoding="utf-8"?>
<sst xmlns="http://schemas.openxmlformats.org/spreadsheetml/2006/main" count="121" uniqueCount="102">
  <si>
    <t>Planejamento Financeiro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</si>
  <si>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</si>
  <si>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</si>
  <si>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</si>
  <si>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</si>
  <si>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</si>
  <si>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</si>
  <si>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</si>
  <si>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</si>
  <si>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</si>
  <si>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</si>
  <si>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</si>
  <si>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</si>
  <si>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ANUAL</t>
  </si>
  <si>
    <t>Entradas e Investimentos</t>
  </si>
  <si>
    <t>Receitas</t>
  </si>
  <si>
    <t>Descrição</t>
  </si>
  <si>
    <t>Salário</t>
  </si>
  <si>
    <t>13º salário / férias</t>
  </si>
  <si>
    <t>PLR, Bônus e Outros</t>
  </si>
  <si>
    <t>Receita com imóveis</t>
  </si>
  <si>
    <t>Freelas</t>
  </si>
  <si>
    <t>Pensão/Aposentadoria</t>
  </si>
  <si>
    <t>Outros</t>
  </si>
  <si>
    <t>Total de entradas</t>
  </si>
  <si>
    <t>Investimentos</t>
  </si>
  <si>
    <t>Reserva de Emergência</t>
  </si>
  <si>
    <t>Previdência/Aposentadoria</t>
  </si>
  <si>
    <t>Títulos de Renda Fixa</t>
  </si>
  <si>
    <t>Renda Variável</t>
  </si>
  <si>
    <t>Total de investimentos</t>
  </si>
  <si>
    <t>Despesas Fixas, Variáveis e Extras</t>
  </si>
  <si>
    <t>Moradia</t>
  </si>
  <si>
    <t>Aluguel</t>
  </si>
  <si>
    <t>Condomínio</t>
  </si>
  <si>
    <t>IPTU</t>
  </si>
  <si>
    <t>Financiamento da casa</t>
  </si>
  <si>
    <t>Seguro Residencial</t>
  </si>
  <si>
    <t>VARIÁVEIS</t>
  </si>
  <si>
    <t>Diarista/Mensalista 💲</t>
  </si>
  <si>
    <t>Streamings 💲</t>
  </si>
  <si>
    <t>Luz 💲</t>
  </si>
  <si>
    <t>Água 💲</t>
  </si>
  <si>
    <t>Telefone/Celular 💲</t>
  </si>
  <si>
    <t>Gás 💲</t>
  </si>
  <si>
    <t>Internet/TV 💲</t>
  </si>
  <si>
    <t>Total de Despesas com Moradia</t>
  </si>
  <si>
    <t>Transporte</t>
  </si>
  <si>
    <t>Financiamento do Carro</t>
  </si>
  <si>
    <t>Seguro Automotivo</t>
  </si>
  <si>
    <t>IPVA</t>
  </si>
  <si>
    <t>Transporte Público (Metrô/Ônibus) 💲</t>
  </si>
  <si>
    <t>Táxi/Uber/99 💲</t>
  </si>
  <si>
    <t>Estacionamento 💲</t>
  </si>
  <si>
    <t>Combustível 💲</t>
  </si>
  <si>
    <t>Total de Despesas com Transporte</t>
  </si>
  <si>
    <t>Saúde</t>
  </si>
  <si>
    <t>Plano de Saúde</t>
  </si>
  <si>
    <t>Seguro de Vida</t>
  </si>
  <si>
    <t>Medicamentos/Farmácia</t>
  </si>
  <si>
    <t>Tratamentos Diversos</t>
  </si>
  <si>
    <t>Total de Despesas com Saúde</t>
  </si>
  <si>
    <t>Educação</t>
  </si>
  <si>
    <t>Creche/Escola/Colégio</t>
  </si>
  <si>
    <t>Faculdade/Universidade</t>
  </si>
  <si>
    <t>VAR.</t>
  </si>
  <si>
    <t>Material Escolar💲</t>
  </si>
  <si>
    <t>Cursos Extras</t>
  </si>
  <si>
    <t>Total de Despesas com Educação</t>
  </si>
  <si>
    <t>Alimentação</t>
  </si>
  <si>
    <t>Supermercado/Feira</t>
  </si>
  <si>
    <t>Cafés e Restaurantes 💲</t>
  </si>
  <si>
    <t>Delivery 💲</t>
  </si>
  <si>
    <t>Total de Despesas com Alimentação</t>
  </si>
  <si>
    <t>Gastos Pessoais e Entretenimento</t>
  </si>
  <si>
    <t>Roupas e Acessórios 💲</t>
  </si>
  <si>
    <t>Presentes 💲</t>
  </si>
  <si>
    <t>Viagens 💲</t>
  </si>
  <si>
    <t>Shows/Teatro 💲</t>
  </si>
  <si>
    <t>Cinema 💲</t>
  </si>
  <si>
    <t>Bares/Restaurantes/Vida Noturna 💲</t>
  </si>
  <si>
    <t>Total de Despesas Pessoais/Entretenimento</t>
  </si>
  <si>
    <t>Beleza e Cuidado Pessoal</t>
  </si>
  <si>
    <t>Manicure/Pedicure</t>
  </si>
  <si>
    <t>Cuidados com Cabelo e/ou Barba</t>
  </si>
  <si>
    <t>Depilação/Estética</t>
  </si>
  <si>
    <t>Academia</t>
  </si>
  <si>
    <t>Total de Despesas com Beleza</t>
  </si>
  <si>
    <t>Pets</t>
  </si>
  <si>
    <t>Veterinário/Medicamentos</t>
  </si>
  <si>
    <t>Petshop (Alimentação/Higiene/Brinquedos)</t>
  </si>
  <si>
    <t>Creche</t>
  </si>
  <si>
    <t>Total de Despesas com Pets</t>
  </si>
  <si>
    <t>Balanço</t>
  </si>
  <si>
    <t>Total em Receitas</t>
  </si>
  <si>
    <t>Total em Investimentos</t>
  </si>
  <si>
    <t>Total em Despesas</t>
  </si>
  <si>
    <t>Saldo</t>
  </si>
  <si>
    <t>Quanto do meu orçamento eu invisto</t>
  </si>
  <si>
    <t>Quanto do meu orçamento é despesa</t>
  </si>
  <si>
    <t>Clique para conferir nossas dicas para utilizar melhor sua planilha</t>
  </si>
  <si>
    <t>Quer investir com inteligência? Aprenda a fazer render o dinheirinho que sobra todo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</si>
</sst>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FF5200"/>
      <name val="Helvetica"/>
      <family val="2"/>
    </font>
    <font>
      <b/>
      <sz val="8"/>
      <color rgb="FFEAE2D9"/>
      <name val="Helvetica"/>
      <family val="2"/>
    </font>
    <font>
      <b/>
      <sz val="16"/>
      <color theme="1"/>
      <name val="Helvetica"/>
      <family val="2"/>
    </font>
    <font>
      <b/>
      <sz val="14"/>
      <color theme="1"/>
      <name val="Helvetica"/>
      <family val="2"/>
    </font>
    <font>
      <i/>
      <sz val="10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theme="0"/>
      <name val="Helvetica"/>
      <family val="2"/>
    </font>
    <font>
      <sz val="12"/>
      <color theme="1"/>
      <name val="Helvetica"/>
      <family val="2"/>
    </font>
    <font>
      <b/>
      <sz val="11"/>
      <color rgb="FF008256"/>
      <name val="Helvetica"/>
      <family val="2"/>
    </font>
    <font>
      <b/>
      <sz val="11"/>
      <color rgb="FF0070C0"/>
      <name val="Helvetica"/>
      <family val="2"/>
    </font>
    <font>
      <b/>
      <sz val="14"/>
      <color theme="0"/>
      <name val="Helvetica"/>
      <family val="2"/>
    </font>
    <font>
      <b/>
      <sz val="20"/>
      <color rgb="FFFF5200"/>
      <name val="Helvetica"/>
      <family val="2"/>
    </font>
    <font>
      <sz val="11"/>
      <color rgb="FFCD7B43"/>
      <name val="Calibri"/>
      <family val="2"/>
      <scheme val="minor"/>
    </font>
    <font>
      <b/>
      <sz val="11"/>
      <color rgb="FFCD7B43"/>
      <name val="Helvetica"/>
      <family val="2"/>
    </font>
    <font>
      <b/>
      <sz val="10"/>
      <color theme="0"/>
      <name val="Helvetica"/>
      <family val="2"/>
    </font>
    <font>
      <sz val="11"/>
      <color rgb="FF2D5857"/>
      <name val="Calibri"/>
      <family val="2"/>
      <scheme val="minor"/>
    </font>
    <font>
      <b/>
      <sz val="11"/>
      <color rgb="FF2D5857"/>
      <name val="Helvetica"/>
      <family val="2"/>
    </font>
    <font>
      <b/>
      <sz val="11"/>
      <color rgb="FFFF795B"/>
      <name val="Helvetica"/>
      <family val="2"/>
    </font>
    <font>
      <sz val="16"/>
      <color theme="1"/>
      <name val="Helvetica"/>
      <family val="2"/>
    </font>
    <font>
      <b/>
      <u/>
      <sz val="16"/>
      <color rgb="FF003234"/>
      <name val="Helvetica"/>
      <family val="2"/>
    </font>
    <font>
      <b/>
      <sz val="11"/>
      <color rgb="FF2D5857"/>
      <name val="Helvetica"/>
    </font>
    <font>
      <b/>
      <sz val="11"/>
      <color rgb="FFFF795B"/>
      <name val="Helvetica"/>
    </font>
    <font>
      <b/>
      <sz val="11"/>
      <color rgb="FFCD7B43"/>
      <name val="Helvetica"/>
    </font>
    <font>
      <b/>
      <sz val="10"/>
      <color theme="1"/>
      <name val="Helvetica"/>
      <family val="2"/>
    </font>
    <font>
      <b/>
      <sz val="13"/>
      <color theme="1"/>
      <name val="Helvetica"/>
      <family val="2"/>
    </font>
    <font>
      <sz val="11"/>
      <color theme="1"/>
      <name val="Helvetica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1"/>
      <color theme="1"/>
      <name val="Helvetica"/>
    </font>
    <font>
      <b/>
      <sz val="12"/>
      <color rgb="FFFF5200"/>
      <name val="Arial"/>
      <family val="2"/>
    </font>
    <font>
      <b/>
      <sz val="11"/>
      <color theme="1"/>
      <name val="Arial"/>
      <family val="2"/>
    </font>
    <font>
      <b/>
      <sz val="11"/>
      <color rgb="FF003234"/>
      <name val="Arial"/>
      <family val="2"/>
    </font>
    <font>
      <b/>
      <sz val="11"/>
      <color rgb="FFC17F4E"/>
      <name val="Arial"/>
      <family val="2"/>
    </font>
    <font>
      <b/>
      <sz val="11"/>
      <color rgb="FFFF795B"/>
      <name val="Arial"/>
      <family val="2"/>
    </font>
    <font>
      <b/>
      <sz val="11"/>
      <color theme="8" tint="-0.249977111117893"/>
      <name val="Arial"/>
      <family val="2"/>
    </font>
    <font>
      <b/>
      <sz val="11"/>
      <color theme="9" tint="-0.249977111117893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52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2D9"/>
        <bgColor indexed="64"/>
      </patternFill>
    </fill>
    <fill>
      <patternFill patternType="solid">
        <fgColor rgb="FF00B465"/>
        <bgColor indexed="64"/>
      </patternFill>
    </fill>
    <fill>
      <patternFill patternType="solid">
        <fgColor rgb="FFA4C2B9"/>
        <bgColor indexed="64"/>
      </patternFill>
    </fill>
    <fill>
      <patternFill patternType="solid">
        <fgColor rgb="FFC1E1D7"/>
        <bgColor indexed="64"/>
      </patternFill>
    </fill>
    <fill>
      <patternFill patternType="solid">
        <fgColor rgb="FF9193FF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EAEAFF"/>
        <bgColor indexed="64"/>
      </patternFill>
    </fill>
    <fill>
      <patternFill patternType="solid">
        <fgColor rgb="FFCD7B43"/>
        <bgColor indexed="64"/>
      </patternFill>
    </fill>
    <fill>
      <patternFill patternType="solid">
        <fgColor rgb="FFF0E1C5"/>
        <bgColor indexed="64"/>
      </patternFill>
    </fill>
    <fill>
      <patternFill patternType="solid">
        <fgColor rgb="FFF6EEE0"/>
        <bgColor indexed="64"/>
      </patternFill>
    </fill>
    <fill>
      <patternFill patternType="solid">
        <fgColor rgb="FFFF795B"/>
        <bgColor indexed="64"/>
      </patternFill>
    </fill>
    <fill>
      <patternFill patternType="solid">
        <fgColor rgb="FF008256"/>
        <bgColor indexed="64"/>
      </patternFill>
    </fill>
    <fill>
      <patternFill patternType="solid">
        <fgColor rgb="FF2D5857"/>
        <bgColor indexed="64"/>
      </patternFill>
    </fill>
    <fill>
      <patternFill patternType="solid">
        <fgColor rgb="FFC9EAE0"/>
        <bgColor indexed="64"/>
      </patternFill>
    </fill>
    <fill>
      <patternFill patternType="solid">
        <fgColor rgb="FFE6FFF7"/>
        <bgColor indexed="64"/>
      </patternFill>
    </fill>
    <fill>
      <patternFill patternType="solid">
        <fgColor rgb="FFFFAF95"/>
        <bgColor indexed="64"/>
      </patternFill>
    </fill>
    <fill>
      <patternFill patternType="solid">
        <fgColor rgb="FFFFD6C9"/>
        <bgColor indexed="64"/>
      </patternFill>
    </fill>
    <fill>
      <patternFill patternType="solid">
        <fgColor rgb="FF00B466"/>
        <bgColor indexed="64"/>
      </patternFill>
    </fill>
    <fill>
      <patternFill patternType="solid">
        <fgColor rgb="FFFF27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DD8FC"/>
        <bgColor indexed="64"/>
      </patternFill>
    </fill>
    <fill>
      <patternFill patternType="solid">
        <fgColor rgb="FFF4B9AF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BE2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theme="0" tint="-0.249977111117893"/>
      </bottom>
      <diagonal/>
    </border>
    <border>
      <left/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000000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0" fillId="28" borderId="0" xfId="0" applyFill="1"/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 vertical="center" indent="1"/>
      <protection locked="0"/>
    </xf>
    <xf numFmtId="164" fontId="3" fillId="0" borderId="0" xfId="0" applyNumberFormat="1" applyFont="1" applyProtection="1"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textRotation="90" wrapText="1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Protection="1"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22" fillId="0" borderId="0" xfId="0" applyFont="1" applyAlignment="1" applyProtection="1">
      <alignment vertical="center" textRotation="90" wrapText="1"/>
      <protection locked="0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10" fontId="10" fillId="26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0" fontId="0" fillId="0" borderId="0" xfId="0" applyNumberFormat="1" applyProtection="1">
      <protection locked="0"/>
    </xf>
    <xf numFmtId="10" fontId="10" fillId="23" borderId="1" xfId="0" applyNumberFormat="1" applyFont="1" applyFill="1" applyBorder="1" applyAlignment="1">
      <alignment horizontal="center" vertical="center"/>
    </xf>
    <xf numFmtId="164" fontId="24" fillId="0" borderId="0" xfId="0" applyNumberFormat="1" applyFont="1" applyAlignment="1">
      <alignment vertical="center"/>
    </xf>
    <xf numFmtId="164" fontId="28" fillId="0" borderId="0" xfId="0" applyNumberFormat="1" applyFont="1" applyAlignment="1">
      <alignment vertical="center"/>
    </xf>
    <xf numFmtId="164" fontId="21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164" fontId="25" fillId="0" borderId="0" xfId="0" applyNumberFormat="1" applyFont="1" applyAlignment="1">
      <alignment vertical="center"/>
    </xf>
    <xf numFmtId="164" fontId="29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164" fontId="17" fillId="0" borderId="4" xfId="0" applyNumberFormat="1" applyFont="1" applyBorder="1" applyAlignment="1">
      <alignment vertical="center"/>
    </xf>
    <xf numFmtId="164" fontId="17" fillId="0" borderId="5" xfId="0" applyNumberFormat="1" applyFont="1" applyBorder="1" applyAlignment="1">
      <alignment vertical="center"/>
    </xf>
    <xf numFmtId="164" fontId="33" fillId="6" borderId="0" xfId="0" applyNumberFormat="1" applyFont="1" applyFill="1" applyAlignment="1" applyProtection="1">
      <alignment vertical="center"/>
      <protection locked="0"/>
    </xf>
    <xf numFmtId="164" fontId="33" fillId="7" borderId="4" xfId="0" applyNumberFormat="1" applyFont="1" applyFill="1" applyBorder="1" applyAlignment="1" applyProtection="1">
      <alignment vertical="center"/>
      <protection locked="0"/>
    </xf>
    <xf numFmtId="164" fontId="33" fillId="6" borderId="4" xfId="0" applyNumberFormat="1" applyFont="1" applyFill="1" applyBorder="1" applyAlignment="1" applyProtection="1">
      <alignment vertical="center"/>
      <protection locked="0"/>
    </xf>
    <xf numFmtId="164" fontId="34" fillId="9" borderId="0" xfId="0" applyNumberFormat="1" applyFont="1" applyFill="1" applyAlignment="1" applyProtection="1">
      <alignment vertical="center"/>
      <protection locked="0"/>
    </xf>
    <xf numFmtId="164" fontId="34" fillId="10" borderId="0" xfId="0" applyNumberFormat="1" applyFont="1" applyFill="1" applyAlignment="1" applyProtection="1">
      <alignment vertical="center"/>
      <protection locked="0"/>
    </xf>
    <xf numFmtId="164" fontId="34" fillId="10" borderId="4" xfId="0" applyNumberFormat="1" applyFont="1" applyFill="1" applyBorder="1" applyAlignment="1" applyProtection="1">
      <alignment vertical="center"/>
      <protection locked="0"/>
    </xf>
    <xf numFmtId="164" fontId="34" fillId="9" borderId="4" xfId="0" applyNumberFormat="1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64" fontId="33" fillId="12" borderId="4" xfId="0" applyNumberFormat="1" applyFont="1" applyFill="1" applyBorder="1" applyAlignment="1" applyProtection="1">
      <alignment vertical="center"/>
      <protection locked="0"/>
    </xf>
    <xf numFmtId="164" fontId="33" fillId="13" borderId="4" xfId="0" applyNumberFormat="1" applyFont="1" applyFill="1" applyBorder="1" applyAlignment="1" applyProtection="1">
      <alignment vertical="center"/>
      <protection locked="0"/>
    </xf>
    <xf numFmtId="164" fontId="34" fillId="17" borderId="4" xfId="0" applyNumberFormat="1" applyFont="1" applyFill="1" applyBorder="1" applyAlignment="1" applyProtection="1">
      <alignment vertical="center"/>
      <protection locked="0"/>
    </xf>
    <xf numFmtId="164" fontId="34" fillId="18" borderId="4" xfId="0" applyNumberFormat="1" applyFont="1" applyFill="1" applyBorder="1" applyAlignment="1" applyProtection="1">
      <alignment vertical="center"/>
      <protection locked="0"/>
    </xf>
    <xf numFmtId="164" fontId="34" fillId="17" borderId="0" xfId="0" applyNumberFormat="1" applyFont="1" applyFill="1" applyAlignment="1" applyProtection="1">
      <alignment vertical="center"/>
      <protection locked="0"/>
    </xf>
    <xf numFmtId="164" fontId="34" fillId="18" borderId="0" xfId="0" applyNumberFormat="1" applyFont="1" applyFill="1" applyAlignment="1" applyProtection="1">
      <alignment vertical="center"/>
      <protection locked="0"/>
    </xf>
    <xf numFmtId="164" fontId="34" fillId="19" borderId="0" xfId="0" applyNumberFormat="1" applyFont="1" applyFill="1" applyAlignment="1" applyProtection="1">
      <alignment vertical="center"/>
      <protection locked="0"/>
    </xf>
    <xf numFmtId="164" fontId="34" fillId="19" borderId="4" xfId="0" applyNumberFormat="1" applyFont="1" applyFill="1" applyBorder="1" applyAlignment="1" applyProtection="1">
      <alignment vertical="center"/>
      <protection locked="0"/>
    </xf>
    <xf numFmtId="164" fontId="34" fillId="20" borderId="0" xfId="0" applyNumberFormat="1" applyFont="1" applyFill="1" applyAlignment="1" applyProtection="1">
      <alignment vertical="center"/>
      <protection locked="0"/>
    </xf>
    <xf numFmtId="164" fontId="34" fillId="20" borderId="4" xfId="0" applyNumberFormat="1" applyFont="1" applyFill="1" applyBorder="1" applyAlignment="1" applyProtection="1">
      <alignment vertical="center"/>
      <protection locked="0"/>
    </xf>
    <xf numFmtId="164" fontId="34" fillId="13" borderId="4" xfId="0" applyNumberFormat="1" applyFont="1" applyFill="1" applyBorder="1" applyAlignment="1" applyProtection="1">
      <alignment vertical="center"/>
      <protection locked="0"/>
    </xf>
    <xf numFmtId="164" fontId="34" fillId="12" borderId="4" xfId="0" applyNumberFormat="1" applyFont="1" applyFill="1" applyBorder="1" applyAlignment="1" applyProtection="1">
      <alignment vertical="center"/>
      <protection locked="0"/>
    </xf>
    <xf numFmtId="164" fontId="34" fillId="13" borderId="0" xfId="0" applyNumberFormat="1" applyFont="1" applyFill="1" applyAlignment="1" applyProtection="1">
      <alignment vertical="center"/>
      <protection locked="0"/>
    </xf>
    <xf numFmtId="164" fontId="34" fillId="12" borderId="0" xfId="0" applyNumberFormat="1" applyFont="1" applyFill="1" applyAlignment="1" applyProtection="1">
      <alignment vertical="center"/>
      <protection locked="0"/>
    </xf>
    <xf numFmtId="164" fontId="34" fillId="18" borderId="1" xfId="0" applyNumberFormat="1" applyFont="1" applyFill="1" applyBorder="1" applyAlignment="1">
      <alignment vertical="center"/>
    </xf>
    <xf numFmtId="164" fontId="34" fillId="24" borderId="2" xfId="0" applyNumberFormat="1" applyFont="1" applyFill="1" applyBorder="1" applyAlignment="1">
      <alignment vertical="center"/>
    </xf>
    <xf numFmtId="164" fontId="33" fillId="25" borderId="2" xfId="0" applyNumberFormat="1" applyFont="1" applyFill="1" applyBorder="1" applyAlignment="1">
      <alignment vertical="center"/>
    </xf>
    <xf numFmtId="164" fontId="36" fillId="27" borderId="3" xfId="0" applyNumberFormat="1" applyFont="1" applyFill="1" applyBorder="1" applyAlignment="1">
      <alignment vertical="center"/>
    </xf>
    <xf numFmtId="0" fontId="1" fillId="29" borderId="0" xfId="0" applyFont="1" applyFill="1" applyAlignment="1" applyProtection="1">
      <alignment vertical="center"/>
      <protection locked="0"/>
    </xf>
    <xf numFmtId="164" fontId="34" fillId="9" borderId="5" xfId="0" applyNumberFormat="1" applyFont="1" applyFill="1" applyBorder="1" applyAlignment="1" applyProtection="1">
      <alignment vertical="center"/>
      <protection locked="0"/>
    </xf>
    <xf numFmtId="0" fontId="1" fillId="30" borderId="0" xfId="0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4" fontId="38" fillId="28" borderId="0" xfId="0" applyNumberFormat="1" applyFont="1" applyFill="1" applyAlignment="1">
      <alignment vertical="center"/>
    </xf>
    <xf numFmtId="164" fontId="33" fillId="6" borderId="5" xfId="0" applyNumberFormat="1" applyFont="1" applyFill="1" applyBorder="1" applyAlignment="1" applyProtection="1">
      <alignment vertical="center"/>
      <protection locked="0"/>
    </xf>
    <xf numFmtId="164" fontId="34" fillId="18" borderId="7" xfId="0" applyNumberFormat="1" applyFont="1" applyFill="1" applyBorder="1" applyAlignment="1">
      <alignment vertical="center"/>
    </xf>
    <xf numFmtId="164" fontId="34" fillId="24" borderId="8" xfId="0" applyNumberFormat="1" applyFont="1" applyFill="1" applyBorder="1" applyAlignment="1">
      <alignment vertical="center"/>
    </xf>
    <xf numFmtId="164" fontId="34" fillId="25" borderId="8" xfId="0" applyNumberFormat="1" applyFont="1" applyFill="1" applyBorder="1" applyAlignment="1">
      <alignment vertical="center"/>
    </xf>
    <xf numFmtId="164" fontId="35" fillId="27" borderId="9" xfId="0" applyNumberFormat="1" applyFont="1" applyFill="1" applyBorder="1" applyAlignment="1">
      <alignment vertical="center"/>
    </xf>
    <xf numFmtId="164" fontId="33" fillId="25" borderId="8" xfId="0" applyNumberFormat="1" applyFont="1" applyFill="1" applyBorder="1" applyAlignment="1">
      <alignment vertical="center"/>
    </xf>
    <xf numFmtId="164" fontId="36" fillId="27" borderId="9" xfId="0" applyNumberFormat="1" applyFont="1" applyFill="1" applyBorder="1" applyAlignment="1">
      <alignment vertical="center"/>
    </xf>
    <xf numFmtId="164" fontId="38" fillId="0" borderId="0" xfId="0" applyNumberFormat="1" applyFont="1" applyAlignment="1">
      <alignment vertical="center"/>
    </xf>
    <xf numFmtId="164" fontId="39" fillId="0" borderId="0" xfId="0" applyNumberFormat="1" applyFont="1" applyAlignment="1">
      <alignment vertical="center"/>
    </xf>
    <xf numFmtId="164" fontId="40" fillId="0" borderId="0" xfId="0" applyNumberFormat="1" applyFont="1" applyAlignment="1">
      <alignment vertical="center"/>
    </xf>
    <xf numFmtId="164" fontId="41" fillId="0" borderId="0" xfId="0" applyNumberFormat="1" applyFont="1" applyAlignment="1">
      <alignment vertical="center"/>
    </xf>
    <xf numFmtId="164" fontId="42" fillId="0" borderId="0" xfId="0" applyNumberFormat="1" applyFont="1" applyAlignment="1">
      <alignment vertical="center"/>
    </xf>
    <xf numFmtId="164" fontId="16" fillId="0" borderId="4" xfId="0" applyNumberFormat="1" applyFont="1" applyBorder="1" applyAlignment="1">
      <alignment vertical="center"/>
    </xf>
    <xf numFmtId="164" fontId="16" fillId="0" borderId="5" xfId="0" applyNumberFormat="1" applyFont="1" applyBorder="1" applyAlignment="1">
      <alignment vertical="center"/>
    </xf>
    <xf numFmtId="164" fontId="43" fillId="0" borderId="0" xfId="0" applyNumberFormat="1" applyFont="1" applyAlignment="1">
      <alignment vertical="center"/>
    </xf>
    <xf numFmtId="0" fontId="32" fillId="23" borderId="1" xfId="0" applyFont="1" applyFill="1" applyBorder="1" applyAlignment="1" applyProtection="1">
      <alignment horizontal="left" vertical="center" indent="1"/>
      <protection locked="0"/>
    </xf>
    <xf numFmtId="0" fontId="32" fillId="26" borderId="3" xfId="0" applyFont="1" applyFill="1" applyBorder="1" applyAlignment="1" applyProtection="1">
      <alignment horizontal="left" vertical="center" indent="1"/>
      <protection locked="0"/>
    </xf>
    <xf numFmtId="0" fontId="15" fillId="6" borderId="0" xfId="0" applyFont="1" applyFill="1" applyAlignment="1" applyProtection="1">
      <alignment vertical="center"/>
      <protection locked="0"/>
    </xf>
    <xf numFmtId="0" fontId="15" fillId="7" borderId="0" xfId="0" applyFont="1" applyFill="1" applyAlignment="1" applyProtection="1">
      <alignment vertical="center"/>
      <protection locked="0"/>
    </xf>
    <xf numFmtId="0" fontId="15" fillId="7" borderId="6" xfId="0" applyFont="1" applyFill="1" applyBorder="1" applyAlignment="1" applyProtection="1">
      <alignment vertical="center"/>
      <protection locked="0"/>
    </xf>
    <xf numFmtId="0" fontId="15" fillId="6" borderId="6" xfId="0" applyFont="1" applyFill="1" applyBorder="1" applyAlignment="1" applyProtection="1">
      <alignment vertical="center"/>
      <protection locked="0"/>
    </xf>
    <xf numFmtId="0" fontId="16" fillId="0" borderId="0" xfId="0" applyFont="1" applyAlignment="1" applyProtection="1">
      <alignment horizontal="right" vertical="center" indent="1"/>
      <protection locked="0"/>
    </xf>
    <xf numFmtId="0" fontId="16" fillId="0" borderId="6" xfId="0" applyFont="1" applyBorder="1" applyAlignment="1" applyProtection="1">
      <alignment horizontal="right" vertical="center" indent="1"/>
      <protection locked="0"/>
    </xf>
    <xf numFmtId="0" fontId="18" fillId="5" borderId="0" xfId="0" applyFont="1" applyFill="1" applyAlignment="1" applyProtection="1">
      <alignment horizontal="center" vertical="center" textRotation="90" wrapText="1"/>
      <protection locked="0"/>
    </xf>
    <xf numFmtId="0" fontId="18" fillId="5" borderId="1" xfId="0" applyFont="1" applyFill="1" applyBorder="1" applyAlignment="1" applyProtection="1">
      <alignment horizontal="center" vertical="center" textRotation="90" wrapText="1"/>
      <protection locked="0"/>
    </xf>
    <xf numFmtId="0" fontId="11" fillId="4" borderId="0" xfId="0" applyFont="1" applyFill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right" vertical="center" indent="1"/>
      <protection locked="0"/>
    </xf>
    <xf numFmtId="0" fontId="18" fillId="8" borderId="0" xfId="0" applyFont="1" applyFill="1" applyAlignment="1" applyProtection="1">
      <alignment horizontal="center" vertical="center" textRotation="90"/>
      <protection locked="0"/>
    </xf>
    <xf numFmtId="0" fontId="15" fillId="9" borderId="0" xfId="0" applyFont="1" applyFill="1" applyAlignment="1" applyProtection="1">
      <alignment horizontal="left" vertical="center"/>
      <protection locked="0"/>
    </xf>
    <xf numFmtId="0" fontId="15" fillId="10" borderId="0" xfId="0" applyFont="1" applyFill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22" fillId="15" borderId="0" xfId="0" applyFont="1" applyFill="1" applyAlignment="1" applyProtection="1">
      <alignment horizontal="center" vertical="center" textRotation="90" wrapText="1"/>
      <protection locked="0"/>
    </xf>
    <xf numFmtId="0" fontId="15" fillId="13" borderId="0" xfId="0" applyFont="1" applyFill="1" applyAlignment="1" applyProtection="1">
      <alignment horizontal="left" vertical="center"/>
      <protection locked="0"/>
    </xf>
    <xf numFmtId="0" fontId="15" fillId="13" borderId="6" xfId="0" applyFont="1" applyFill="1" applyBorder="1" applyAlignment="1" applyProtection="1">
      <alignment horizontal="left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13" fillId="14" borderId="0" xfId="0" applyFont="1" applyFill="1" applyAlignment="1" applyProtection="1">
      <alignment horizontal="center" vertical="center"/>
      <protection locked="0"/>
    </xf>
    <xf numFmtId="0" fontId="19" fillId="3" borderId="0" xfId="0" applyFont="1" applyFill="1" applyAlignment="1" applyProtection="1">
      <alignment horizontal="left" vertical="center" wrapText="1" indent="10"/>
      <protection locked="0"/>
    </xf>
    <xf numFmtId="0" fontId="15" fillId="12" borderId="0" xfId="0" applyFont="1" applyFill="1" applyAlignment="1" applyProtection="1">
      <alignment horizontal="left" vertical="center"/>
      <protection locked="0"/>
    </xf>
    <xf numFmtId="0" fontId="15" fillId="12" borderId="6" xfId="0" applyFont="1" applyFill="1" applyBorder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right" vertical="center" inden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8" fillId="11" borderId="0" xfId="0" applyFont="1" applyFill="1" applyAlignment="1" applyProtection="1">
      <alignment horizontal="center" vertical="center" textRotation="90"/>
      <protection locked="0"/>
    </xf>
    <xf numFmtId="0" fontId="18" fillId="11" borderId="1" xfId="0" applyFont="1" applyFill="1" applyBorder="1" applyAlignment="1" applyProtection="1">
      <alignment horizontal="center" vertical="center" textRotation="90"/>
      <protection locked="0"/>
    </xf>
    <xf numFmtId="0" fontId="15" fillId="20" borderId="0" xfId="0" applyFont="1" applyFill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right" vertical="center" indent="1"/>
      <protection locked="0"/>
    </xf>
    <xf numFmtId="0" fontId="18" fillId="14" borderId="0" xfId="0" applyFont="1" applyFill="1" applyAlignment="1" applyProtection="1">
      <alignment horizontal="center" vertical="center" textRotation="90"/>
      <protection locked="0"/>
    </xf>
    <xf numFmtId="0" fontId="15" fillId="19" borderId="0" xfId="0" applyFont="1" applyFill="1" applyAlignment="1" applyProtection="1">
      <alignment horizontal="left" vertical="center"/>
      <protection locked="0"/>
    </xf>
    <xf numFmtId="0" fontId="18" fillId="16" borderId="0" xfId="0" applyFont="1" applyFill="1" applyAlignment="1" applyProtection="1">
      <alignment horizontal="center" vertical="center" textRotation="90"/>
      <protection locked="0"/>
    </xf>
    <xf numFmtId="0" fontId="15" fillId="17" borderId="0" xfId="0" applyFont="1" applyFill="1" applyAlignment="1" applyProtection="1">
      <alignment horizontal="left" vertical="center"/>
      <protection locked="0"/>
    </xf>
    <xf numFmtId="0" fontId="15" fillId="18" borderId="0" xfId="0" applyFont="1" applyFill="1" applyAlignment="1" applyProtection="1">
      <alignment horizontal="left" vertical="center"/>
      <protection locked="0"/>
    </xf>
    <xf numFmtId="0" fontId="15" fillId="18" borderId="6" xfId="0" applyFont="1" applyFill="1" applyBorder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right" vertical="center" indent="1"/>
      <protection locked="0"/>
    </xf>
    <xf numFmtId="0" fontId="22" fillId="0" borderId="0" xfId="0" applyFont="1" applyAlignment="1" applyProtection="1">
      <alignment horizontal="center" vertical="center" textRotation="90" wrapText="1"/>
      <protection locked="0"/>
    </xf>
    <xf numFmtId="0" fontId="18" fillId="14" borderId="0" xfId="0" applyFont="1" applyFill="1" applyAlignment="1" applyProtection="1">
      <alignment horizontal="center" vertical="center" textRotation="90" wrapText="1"/>
      <protection locked="0"/>
    </xf>
    <xf numFmtId="0" fontId="18" fillId="11" borderId="0" xfId="0" applyFont="1" applyFill="1" applyAlignment="1" applyProtection="1">
      <alignment horizontal="center" vertical="center" textRotation="90" wrapText="1"/>
      <protection locked="0"/>
    </xf>
    <xf numFmtId="0" fontId="37" fillId="3" borderId="0" xfId="0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4" fillId="21" borderId="1" xfId="0" applyFont="1" applyFill="1" applyBorder="1" applyAlignment="1" applyProtection="1">
      <alignment horizontal="left" vertical="center"/>
      <protection locked="0"/>
    </xf>
    <xf numFmtId="0" fontId="14" fillId="8" borderId="2" xfId="0" applyFont="1" applyFill="1" applyBorder="1" applyAlignment="1" applyProtection="1">
      <alignment horizontal="left" vertical="center"/>
      <protection locked="0"/>
    </xf>
    <xf numFmtId="0" fontId="14" fillId="22" borderId="2" xfId="0" applyFont="1" applyFill="1" applyBorder="1" applyAlignment="1" applyProtection="1">
      <alignment horizontal="left" vertical="center"/>
      <protection locked="0"/>
    </xf>
    <xf numFmtId="0" fontId="31" fillId="27" borderId="3" xfId="0" applyFont="1" applyFill="1" applyBorder="1" applyAlignment="1" applyProtection="1">
      <alignment horizontal="right" vertical="center" indent="1"/>
      <protection locked="0"/>
    </xf>
    <xf numFmtId="0" fontId="27" fillId="14" borderId="0" xfId="1" applyFont="1" applyFill="1" applyAlignment="1" applyProtection="1">
      <alignment horizontal="center" vertical="center"/>
      <protection locked="0"/>
    </xf>
    <xf numFmtId="0" fontId="27" fillId="19" borderId="0" xfId="1" applyFont="1" applyFill="1" applyAlignment="1" applyProtection="1">
      <alignment horizontal="center" vertical="center"/>
      <protection locked="0"/>
    </xf>
  </cellXfs>
  <cellStyles count="2">
    <cellStyle name="Hyperlink" xfId="1" xr:uid="{00000000-000B-0000-0000-000008000000}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17F4E"/>
      <color rgb="FF003234"/>
      <color rgb="FFFF795B"/>
      <color rgb="FFEBE2D9"/>
      <color rgb="FFFF5200"/>
      <color rgb="FFFFAF95"/>
      <color rgb="FFB5B5B5"/>
      <color rgb="FFEFEFEF"/>
      <color rgb="FF76967C"/>
      <color rgb="FF919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Receitas, Investimentos, Despesas e Saldo ao longo do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Planejamento!$A$103</c:f>
              <c:strCache>
                <c:ptCount val="1"/>
                <c:pt idx="0">
                  <c:v>Total em Receitas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D966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Planejamento!$B$1:$P$1</c15:sqref>
                  </c15:fullRef>
                </c:ext>
              </c:extLst>
              <c:f>Planejamento!$E$1:$P$1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Planejamento!$B$103:$P$103</c15:sqref>
                  </c15:fullRef>
                </c:ext>
              </c:extLst>
              <c:f>Planejamento!$E$103:$P$103</c:f>
              <c:numCache>
                <c:formatCode>General</c:formatCode>
                <c:ptCount val="12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  <c:pt idx="11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4-40CE-8F1E-E510C6A6A02F}"/>
            </c:ext>
          </c:extLst>
        </c:ser>
        <c:ser>
          <c:idx val="2"/>
          <c:order val="1"/>
          <c:tx>
            <c:strRef>
              <c:f>Planejamento!$A$104</c:f>
              <c:strCache>
                <c:ptCount val="1"/>
                <c:pt idx="0">
                  <c:v>Total em Investimentos</c:v>
                </c:pt>
              </c:strCache>
            </c:strRef>
          </c:tx>
          <c:spPr>
            <a:ln w="28575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Planejamento!$B$1:$P$1</c15:sqref>
                  </c15:fullRef>
                </c:ext>
              </c:extLst>
              <c:f>Planejamento!$E$1:$P$1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Planejamento!$B$104:$P$104</c15:sqref>
                  </c15:fullRef>
                </c:ext>
              </c:extLst>
              <c:f>Planejamento!$E$104:$P$104</c:f>
              <c:numCache>
                <c:formatCode>General</c:formatCode>
                <c:ptCount val="12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  <c:pt idx="11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4-40CE-8F1E-E510C6A6A02F}"/>
            </c:ext>
          </c:extLst>
        </c:ser>
        <c:ser>
          <c:idx val="3"/>
          <c:order val="2"/>
          <c:tx>
            <c:strRef>
              <c:f>Planejamento!$A$105</c:f>
              <c:strCache>
                <c:ptCount val="1"/>
                <c:pt idx="0">
                  <c:v>Total em Despesas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Planejamento!$B$1:$P$1</c15:sqref>
                  </c15:fullRef>
                </c:ext>
              </c:extLst>
              <c:f>Planejamento!$E$1:$P$1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Planejamento!$B$105:$P$105</c15:sqref>
                  </c15:fullRef>
                </c:ext>
              </c:extLst>
              <c:f>Planejamento!$E$105:$P$105</c:f>
              <c:numCache>
                <c:formatCode>General</c:formatCode>
                <c:ptCount val="12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  <c:pt idx="11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4-40CE-8F1E-E510C6A6A02F}"/>
            </c:ext>
          </c:extLst>
        </c:ser>
        <c:ser>
          <c:idx val="0"/>
          <c:order val="3"/>
          <c:tx>
            <c:strRef>
              <c:f>Planejamento!$A$106</c:f>
              <c:strCache>
                <c:ptCount val="1"/>
                <c:pt idx="0">
                  <c:v>Saldo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Planejamento!$B$1:$P$1</c15:sqref>
                  </c15:fullRef>
                </c:ext>
              </c:extLst>
              <c:f>Planejamento!$E$1:$P$1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Planejamento!$B$106:$P$106</c15:sqref>
                  </c15:fullRef>
                </c:ext>
              </c:extLst>
              <c:f>Planejamento!$E$106:$P$106</c:f>
              <c:numCache>
                <c:formatCode>General</c:formatCode>
                <c:ptCount val="12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  <c:pt idx="11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84-40CE-8F1E-E510C6A6A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750047"/>
        <c:axId val="1609822415"/>
      </c:lineChart>
      <c:catAx>
        <c:axId val="48775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484D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9822415"/>
        <c:crosses val="autoZero"/>
        <c:auto val="1"/>
        <c:lblAlgn val="ctr"/>
        <c:lblOffset val="100"/>
        <c:noMultiLvlLbl val="0"/>
      </c:catAx>
      <c:valAx>
        <c:axId val="16098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DEDED"/>
              </a:solidFill>
              <a:prstDash val="solid"/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484D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77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855190901015509"/>
          <c:y val="0.10601336302895323"/>
          <c:w val="0.58185325720078862"/>
          <c:h val="5.0670314317614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Distribuição das despesas - base anual</a:t>
            </a:r>
          </a:p>
        </c:rich>
      </c:tx>
      <c:layout>
        <c:manualLayout>
          <c:xMode val="edge"/>
          <c:yMode val="edge"/>
          <c:x val="0.2987640418543438"/>
          <c:y val="2.360026041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ln>
                <a:noFill/>
              </a:ln>
              <a:solidFill>
                <a:schemeClr val="tx1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11747504061375"/>
          <c:y val="0.27660497461181838"/>
          <c:w val="0.75769963528003881"/>
          <c:h val="0.618602546177055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D2-406C-9AF9-19DC80A6EE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D2-406C-9AF9-19DC80A6EE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D2-406C-9AF9-19DC80A6EE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D2-406C-9AF9-19DC80A6EE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D2-406C-9AF9-19DC80A6EE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D2-406C-9AF9-19DC80A6EE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D2-406C-9AF9-19DC80A6EE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D2-406C-9AF9-19DC80A6EE61}"/>
              </c:ext>
            </c:extLst>
          </c:dPt>
          <c:dLbls>
            <c:dLbl>
              <c:idx val="5"/>
              <c:layout>
                <c:manualLayout>
                  <c:x val="-0.10111739992735046"/>
                  <c:y val="-2.98276792503740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0FC75239-0DDA-4222-BE01-0E80026C3742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b="1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
</a:t>
                    </a:r>
                    <a:fld id="{77BFD177-65A7-4756-A305-6D7ACC0FB27D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 b="1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52167423257528"/>
                      <c:h val="4.049844236760124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71D2-406C-9AF9-19DC80A6EE61}"/>
                </c:ext>
              </c:extLst>
            </c:dLbl>
            <c:dLbl>
              <c:idx val="6"/>
              <c:layout>
                <c:manualLayout>
                  <c:x val="7.6666530461282564E-2"/>
                  <c:y val="-2.96763313464321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D2-406C-9AF9-19DC80A6EE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(Planejamento!$A$25,Planejamento!$A$41,Planejamento!$A$52,Planejamento!$A$60,Planejamento!$A$68,Planejamento!$A$75,Planejamento!$A$85,Planejamento!$A$93)</c:f>
              <c:strCache>
                <c:ptCount val="8"/>
                <c:pt idx="0">
                  <c:v>Moradia</c:v>
                </c:pt>
                <c:pt idx="1">
                  <c:v>Transporte</c:v>
                </c:pt>
                <c:pt idx="2">
                  <c:v>Saúde</c:v>
                </c:pt>
                <c:pt idx="3">
                  <c:v>Educação</c:v>
                </c:pt>
                <c:pt idx="4">
                  <c:v>Alimentação</c:v>
                </c:pt>
                <c:pt idx="5">
                  <c:v>Gastos Pessoais e Entretenimento</c:v>
                </c:pt>
                <c:pt idx="6">
                  <c:v>Beleza e Cuidado Pessoal</c:v>
                </c:pt>
                <c:pt idx="7">
                  <c:v>Pets</c:v>
                </c:pt>
              </c:strCache>
            </c:strRef>
          </c:cat>
          <c:val>
            <c:numRef>
              <c:f>(Planejamento!$Q$39,Planejamento!$Q$50,Planejamento!$Q$58,Planejamento!$Q$66,Planejamento!$Q$73,Planejamento!$Q$83,Planejamento!$Q$91,Planejamento!$Q$99)</c:f>
              <c:numCache>
                <c:formatCode>_-[$R$-416]\ * #,##0.00_-;\-[$R$-416]\ * #,##0.00_-;_-[$R$-416]\ 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1D2-406C-9AF9-19DC80A6EE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ln>
                <a:noFill/>
              </a:ln>
              <a:solidFill>
                <a:schemeClr val="tx1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Moradia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Moradia</a:t>
          </a:r>
        </a:p>
      </cx:txPr>
    </cx:title>
    <cx:plotArea>
      <cx:plotAreaRegion>
        <cx:series layoutId="treemap" uniqueId="{70A988D6-B75F-42E5-B8E7-E2510AB50DB7}">
          <cx:tx>
            <cx:txData>
              <cx:f/>
              <cx:v/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Transporte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Transporte</a:t>
          </a:r>
        </a:p>
      </cx:txPr>
    </cx:title>
    <cx:plotArea>
      <cx:plotAreaRegion>
        <cx:series layoutId="treemap" uniqueId="{C6928B2D-5DF5-4B9B-B4F9-A12E519AD7E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Saúde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Saúde</a:t>
          </a:r>
        </a:p>
      </cx:txPr>
    </cx:title>
    <cx:plotArea>
      <cx:plotAreaRegion>
        <cx:series layoutId="treemap" uniqueId="{979E5772-86BF-4A60-A391-B167FD821A59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Educação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Educação</a:t>
          </a:r>
        </a:p>
      </cx:txPr>
    </cx:title>
    <cx:plotArea>
      <cx:plotAreaRegion>
        <cx:series layoutId="treemap" uniqueId="{57211B92-CABA-4B88-A647-08D371B80C40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0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_xlchart.v1.9</cx:f>
      </cx:numDim>
    </cx:data>
  </cx:chartData>
  <cx:chart>
    <cx:title pos="t" align="ctr" overlay="0">
      <cx:tx>
        <cx:txData>
          <cx:v>Alimentação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Alimentação</a:t>
          </a:r>
        </a:p>
      </cx:txPr>
    </cx:title>
    <cx:plotArea>
      <cx:plotAreaRegion>
        <cx:series layoutId="treemap" uniqueId="{59C14722-AD6B-4134-B013-625EC0A57E8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_xlchart.v1.11</cx:f>
      </cx:numDim>
    </cx:data>
  </cx:chartData>
  <cx:chart>
    <cx:title pos="t" align="ctr" overlay="0">
      <cx:tx>
        <cx:txData>
          <cx:v>Gastos pessoais e Entretenimento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Gastos pessoais e Entretenimento</a:t>
          </a:r>
        </a:p>
      </cx:txPr>
    </cx:title>
    <cx:plotArea>
      <cx:plotAreaRegion>
        <cx:series layoutId="treemap" uniqueId="{CA7BE9A8-42EF-43D1-9E34-214E4D2FE08E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_xlchart.v1.13</cx:f>
      </cx:numDim>
    </cx:data>
  </cx:chartData>
  <cx:chart>
    <cx:title pos="t" align="ctr" overlay="0">
      <cx:tx>
        <cx:txData>
          <cx:v>Beleza e cuidado pessoal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Beleza e cuidado pessoal</a:t>
          </a:r>
        </a:p>
      </cx:txPr>
    </cx:title>
    <cx:plotArea>
      <cx:plotAreaRegion>
        <cx:series layoutId="treemap" uniqueId="{7BB30646-B855-4F63-8ECA-83ECEAA416CF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_xlchart.v1.15</cx:f>
      </cx:numDim>
    </cx:data>
  </cx:chartData>
  <cx:chart>
    <cx:title pos="t" align="ctr" overlay="0">
      <cx:tx>
        <cx:txData>
          <cx:v>Pets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Pets</a:t>
          </a:r>
        </a:p>
      </cx:txPr>
    </cx:title>
    <cx:plotArea>
      <cx:plotAreaRegion>
        <cx:series layoutId="treemap" uniqueId="{40C88CED-C9CE-4EA0-9688-7C8E9FDFD7EB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7.xml"/><Relationship Id="rId3" Type="http://schemas.microsoft.com/office/2014/relationships/chartEx" Target="../charts/chartEx2.xml"/><Relationship Id="rId7" Type="http://schemas.microsoft.com/office/2014/relationships/chartEx" Target="../charts/chartEx6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microsoft.com/office/2014/relationships/chartEx" Target="../charts/chartEx3.xml"/><Relationship Id="rId9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179918</xdr:colOff>
      <xdr:row>0</xdr:row>
      <xdr:rowOff>95250</xdr:rowOff>
    </xdr:from>
    <xdr:to>
      <xdr:col>0</xdr:col>
      <xdr:colOff>582578</xdr:colOff>
      <xdr:row>1</xdr:row>
      <xdr:rowOff>311150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357A8-3F5C-E9CD-A817-F6932DE64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8" y="95250"/>
          <a:ext cx="396310" cy="60325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110</xdr:row>
      <xdr:rowOff>219075</xdr:rowOff>
    </xdr:from>
    <xdr:to>
      <xdr:col>3</xdr:col>
      <xdr:colOff>400050</xdr:colOff>
      <xdr:row>113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72559F-421C-4D1D-49D6-FE6080B9A00B}"/>
            </a:ext>
            <a:ext uri="{147F2762-F138-4A5C-976F-8EAC2B608ADB}">
              <a16:predDERef xmlns:a16="http://schemas.microsoft.com/office/drawing/2014/main" pred="{2B4357A8-3F5C-E9CD-A817-F6932DE64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31137225"/>
          <a:ext cx="2333625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27215</xdr:rowOff>
    </xdr:from>
    <xdr:to>
      <xdr:col>18</xdr:col>
      <xdr:colOff>0</xdr:colOff>
      <xdr:row>25</xdr:row>
      <xdr:rowOff>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388FB8FA-C7F3-45D7-9A93-2164F89F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0</xdr:row>
      <xdr:rowOff>114300</xdr:rowOff>
    </xdr:from>
    <xdr:to>
      <xdr:col>10</xdr:col>
      <xdr:colOff>552451</xdr:colOff>
      <xdr:row>43</xdr:row>
      <xdr:rowOff>76200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6C5C079F-0DC3-4086-BDFE-5CEC00C28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600074</xdr:colOff>
      <xdr:row>0</xdr:row>
      <xdr:rowOff>114300</xdr:rowOff>
    </xdr:from>
    <xdr:to>
      <xdr:col>21</xdr:col>
      <xdr:colOff>28874</xdr:colOff>
      <xdr:row>21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8DDBF86-AD7E-4C58-9103-C4B77E7D80CC}"/>
                </a:ext>
                <a:ext uri="{147F2762-F138-4A5C-976F-8EAC2B608ADB}">
                  <a16:predDERef xmlns:a16="http://schemas.microsoft.com/office/drawing/2014/main" pred="{6C5C079F-0DC3-4086-BDFE-5CEC00C28E9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10</xdr:col>
      <xdr:colOff>600074</xdr:colOff>
      <xdr:row>22</xdr:row>
      <xdr:rowOff>9525</xdr:rowOff>
    </xdr:from>
    <xdr:to>
      <xdr:col>21</xdr:col>
      <xdr:colOff>28874</xdr:colOff>
      <xdr:row>43</xdr:row>
      <xdr:rowOff>77025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1044BBC-333B-4FB1-AE4F-6B23BC763C96}"/>
                </a:ext>
                <a:ext uri="{147F2762-F138-4A5C-976F-8EAC2B608ADB}">
                  <a16:predDERef xmlns:a16="http://schemas.microsoft.com/office/drawing/2014/main" pred="{18DDBF86-AD7E-4C58-9103-C4B77E7D80C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48986</xdr:colOff>
      <xdr:row>0</xdr:row>
      <xdr:rowOff>115660</xdr:rowOff>
    </xdr:from>
    <xdr:to>
      <xdr:col>31</xdr:col>
      <xdr:colOff>60172</xdr:colOff>
      <xdr:row>21</xdr:row>
      <xdr:rowOff>183160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278A95C-0DBC-4F02-8950-4A64EE4E9045}"/>
                </a:ext>
                <a:ext uri="{147F2762-F138-4A5C-976F-8EAC2B608ADB}">
                  <a16:predDERef xmlns:a16="http://schemas.microsoft.com/office/drawing/2014/main" pred="{91044BBC-333B-4FB1-AE4F-6B23BC763C9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31</xdr:col>
      <xdr:colOff>90502</xdr:colOff>
      <xdr:row>22</xdr:row>
      <xdr:rowOff>19047</xdr:rowOff>
    </xdr:from>
    <xdr:to>
      <xdr:col>41</xdr:col>
      <xdr:colOff>128902</xdr:colOff>
      <xdr:row>43</xdr:row>
      <xdr:rowOff>86547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038916C-50D1-4754-B97F-45E34F422A08}"/>
                </a:ext>
                <a:ext uri="{147F2762-F138-4A5C-976F-8EAC2B608ADB}">
                  <a16:predDERef xmlns:a16="http://schemas.microsoft.com/office/drawing/2014/main" pred="{E278A95C-0DBC-4F02-8950-4A64EE4E904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60779</xdr:colOff>
      <xdr:row>22</xdr:row>
      <xdr:rowOff>19956</xdr:rowOff>
    </xdr:from>
    <xdr:to>
      <xdr:col>31</xdr:col>
      <xdr:colOff>71965</xdr:colOff>
      <xdr:row>43</xdr:row>
      <xdr:rowOff>87456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077D115-4C66-48DE-A4A3-37818B97C9C8}"/>
                </a:ext>
                <a:ext uri="{147F2762-F138-4A5C-976F-8EAC2B608ADB}">
                  <a16:predDERef xmlns:a16="http://schemas.microsoft.com/office/drawing/2014/main" pred="{D038916C-50D1-4754-B97F-45E34F422A0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31</xdr:col>
      <xdr:colOff>90490</xdr:colOff>
      <xdr:row>0</xdr:row>
      <xdr:rowOff>107950</xdr:rowOff>
    </xdr:from>
    <xdr:to>
      <xdr:col>41</xdr:col>
      <xdr:colOff>128890</xdr:colOff>
      <xdr:row>21</xdr:row>
      <xdr:rowOff>175450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8B016FCD-950F-4350-BEC9-CD992DC901BE}"/>
                </a:ext>
                <a:ext uri="{147F2762-F138-4A5C-976F-8EAC2B608ADB}">
                  <a16:predDERef xmlns:a16="http://schemas.microsoft.com/office/drawing/2014/main" pred="{5077D115-4C66-48DE-A4A3-37818B97C9C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41</xdr:col>
      <xdr:colOff>155574</xdr:colOff>
      <xdr:row>0</xdr:row>
      <xdr:rowOff>117474</xdr:rowOff>
    </xdr:from>
    <xdr:to>
      <xdr:col>51</xdr:col>
      <xdr:colOff>257474</xdr:colOff>
      <xdr:row>21</xdr:row>
      <xdr:rowOff>184974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03246159-52B5-4954-917F-B2DE5E43EFFE}"/>
                </a:ext>
                <a:ext uri="{147F2762-F138-4A5C-976F-8EAC2B608ADB}">
                  <a16:predDERef xmlns:a16="http://schemas.microsoft.com/office/drawing/2014/main" pred="{8B016FCD-950F-4350-BEC9-CD992DC901B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  <xdr:twoCellAnchor>
    <xdr:from>
      <xdr:col>41</xdr:col>
      <xdr:colOff>155574</xdr:colOff>
      <xdr:row>22</xdr:row>
      <xdr:rowOff>19049</xdr:rowOff>
    </xdr:from>
    <xdr:to>
      <xdr:col>51</xdr:col>
      <xdr:colOff>257474</xdr:colOff>
      <xdr:row>43</xdr:row>
      <xdr:rowOff>86549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10AB6DA2-EB8B-4E5C-AAEE-95AFADD6FF3D}"/>
                </a:ext>
                <a:ext uri="{147F2762-F138-4A5C-976F-8EAC2B608ADB}">
                  <a16:predDERef xmlns:a16="http://schemas.microsoft.com/office/drawing/2014/main" pred="{03246159-52B5-4954-917F-B2DE5E43EFF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189A5E6A-89CC-47DA-9074-BBF46D241B7A}"/>
  <namedSheetView name="Exibição 2" id="{389194C7-4C48-4D8F-87E2-F5FABD04EB65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ligenciafinanceira.com.br/planejamento-financeiro/?i=0,0462363602737193" TargetMode="External"/><Relationship Id="rId2" Type="http://schemas.openxmlformats.org/officeDocument/2006/relationships/hyperlink" Target="https://inteligenciafinanceira.com.br/financas/planilhas-de-controle-financeiro/como-usar-planilha-de-planejamento-financeiro/" TargetMode="External"/><Relationship Id="rId1" Type="http://schemas.openxmlformats.org/officeDocument/2006/relationships/hyperlink" Target="https://www.youtube.com/watch?v=n2o5XXmLsPU" TargetMode="External"/><Relationship Id="rId5" Type="http://schemas.microsoft.com/office/2019/04/relationships/namedSheetView" Target="../namedSheetViews/namedSheetView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8"/>
  <sheetViews>
    <sheetView showGridLines="0" tabSelected="1" zoomScale="70" zoomScaleNormal="70" workbookViewId="0">
      <pane xSplit="4" ySplit="3" topLeftCell="E19" activePane="bottomRight" state="frozen"/>
      <selection pane="bottomRight" activeCell="F32" sqref="F32"/>
      <selection pane="bottomLeft" activeCell="A4" sqref="A4"/>
      <selection pane="topRight" activeCell="E1" sqref="E1"/>
    </sheetView>
  </sheetViews>
  <sheetFormatPr defaultColWidth="8.85546875" defaultRowHeight="15"/>
  <cols>
    <col min="1" max="1" width="9.85546875" style="2" customWidth="1"/>
    <col min="2" max="2" width="2.42578125" style="2" customWidth="1"/>
    <col min="3" max="3" width="24.85546875" style="25" customWidth="1"/>
    <col min="4" max="4" width="16" style="2" customWidth="1"/>
    <col min="5" max="5" width="20.5703125" style="2" customWidth="1"/>
    <col min="6" max="10" width="20.5703125" style="2" bestFit="1" customWidth="1"/>
    <col min="11" max="11" width="20.5703125" style="2" customWidth="1"/>
    <col min="12" max="16" width="20.5703125" style="2" bestFit="1" customWidth="1"/>
    <col min="17" max="17" width="23.140625" style="63" bestFit="1" customWidth="1"/>
    <col min="18" max="16384" width="8.85546875" style="2"/>
  </cols>
  <sheetData>
    <row r="1" spans="1:17" ht="30" customHeight="1">
      <c r="A1" s="106" t="s">
        <v>0</v>
      </c>
      <c r="B1" s="106"/>
      <c r="C1" s="106"/>
      <c r="D1" s="106"/>
      <c r="E1" s="104" t="s">
        <v>1</v>
      </c>
      <c r="F1" s="105" t="s">
        <v>2</v>
      </c>
      <c r="G1" s="104" t="s">
        <v>3</v>
      </c>
      <c r="H1" s="105" t="s">
        <v>4</v>
      </c>
      <c r="I1" s="104" t="s">
        <v>5</v>
      </c>
      <c r="J1" s="105" t="s">
        <v>6</v>
      </c>
      <c r="K1" s="104" t="s">
        <v>7</v>
      </c>
      <c r="L1" s="105" t="s">
        <v>8</v>
      </c>
      <c r="M1" s="104" t="s">
        <v>9</v>
      </c>
      <c r="N1" s="105" t="s">
        <v>10</v>
      </c>
      <c r="O1" s="104" t="s">
        <v>11</v>
      </c>
      <c r="P1" s="105" t="s">
        <v>12</v>
      </c>
      <c r="Q1" s="125" t="s">
        <v>13</v>
      </c>
    </row>
    <row r="2" spans="1:17" ht="30" customHeight="1">
      <c r="A2" s="106"/>
      <c r="B2" s="106"/>
      <c r="C2" s="106"/>
      <c r="D2" s="106"/>
      <c r="E2" s="104"/>
      <c r="F2" s="105"/>
      <c r="G2" s="104"/>
      <c r="H2" s="105"/>
      <c r="I2" s="104"/>
      <c r="J2" s="105"/>
      <c r="K2" s="104"/>
      <c r="L2" s="105"/>
      <c r="M2" s="104"/>
      <c r="N2" s="105"/>
      <c r="O2" s="104"/>
      <c r="P2" s="105"/>
      <c r="Q2" s="125"/>
    </row>
    <row r="3" spans="1:17" ht="15.9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3"/>
      <c r="Q3" s="3"/>
    </row>
    <row r="4" spans="1:17" ht="30" customHeight="1">
      <c r="A4" s="93" t="s">
        <v>14</v>
      </c>
      <c r="B4" s="93"/>
      <c r="C4" s="93"/>
      <c r="D4" s="9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5"/>
    </row>
    <row r="5" spans="1:17" ht="9.9499999999999993" customHeight="1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3"/>
    </row>
    <row r="6" spans="1:17" ht="20.100000000000001" customHeight="1">
      <c r="A6" s="91" t="s">
        <v>15</v>
      </c>
      <c r="B6" s="7"/>
      <c r="C6" s="99" t="s">
        <v>16</v>
      </c>
      <c r="D6" s="9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3"/>
    </row>
    <row r="7" spans="1:17" ht="21.95" customHeight="1">
      <c r="A7" s="91"/>
      <c r="B7" s="7"/>
      <c r="C7" s="85" t="s">
        <v>17</v>
      </c>
      <c r="D7" s="85"/>
      <c r="E7" s="37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68">
        <v>0</v>
      </c>
      <c r="N7" s="37">
        <v>0</v>
      </c>
      <c r="O7" s="68">
        <v>0</v>
      </c>
      <c r="P7" s="37">
        <v>0</v>
      </c>
      <c r="Q7" s="67">
        <f t="shared" ref="Q7:Q14" si="0">SUM(E7:P7)</f>
        <v>0</v>
      </c>
    </row>
    <row r="8" spans="1:17" ht="21.95" customHeight="1">
      <c r="A8" s="91"/>
      <c r="B8" s="7"/>
      <c r="C8" s="86" t="s">
        <v>18</v>
      </c>
      <c r="D8" s="87"/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67">
        <f t="shared" si="0"/>
        <v>0</v>
      </c>
    </row>
    <row r="9" spans="1:17" ht="21.95" customHeight="1">
      <c r="A9" s="91"/>
      <c r="B9" s="7"/>
      <c r="C9" s="85" t="s">
        <v>19</v>
      </c>
      <c r="D9" s="85"/>
      <c r="E9" s="37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67">
        <f t="shared" si="0"/>
        <v>0</v>
      </c>
    </row>
    <row r="10" spans="1:17" ht="21.95" customHeight="1">
      <c r="A10" s="91"/>
      <c r="B10" s="7"/>
      <c r="C10" s="86" t="s">
        <v>20</v>
      </c>
      <c r="D10" s="87"/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67">
        <f t="shared" si="0"/>
        <v>0</v>
      </c>
    </row>
    <row r="11" spans="1:17" ht="21.95" customHeight="1">
      <c r="A11" s="91"/>
      <c r="B11" s="7"/>
      <c r="C11" s="85" t="s">
        <v>21</v>
      </c>
      <c r="D11" s="88"/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67">
        <f t="shared" si="0"/>
        <v>0</v>
      </c>
    </row>
    <row r="12" spans="1:17" ht="21.95" customHeight="1">
      <c r="A12" s="91"/>
      <c r="B12" s="7"/>
      <c r="C12" s="86" t="s">
        <v>22</v>
      </c>
      <c r="D12" s="87"/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67">
        <f t="shared" si="0"/>
        <v>0</v>
      </c>
    </row>
    <row r="13" spans="1:17" ht="21.95" customHeight="1">
      <c r="A13" s="92"/>
      <c r="B13" s="7"/>
      <c r="C13" s="85" t="s">
        <v>23</v>
      </c>
      <c r="D13" s="85"/>
      <c r="E13" s="37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67">
        <f t="shared" si="0"/>
        <v>0</v>
      </c>
    </row>
    <row r="14" spans="1:17" ht="27.95" customHeight="1">
      <c r="A14" s="9"/>
      <c r="B14" s="10"/>
      <c r="C14" s="89" t="s">
        <v>24</v>
      </c>
      <c r="D14" s="90"/>
      <c r="E14" s="80">
        <f t="shared" ref="E14:O14" si="1">SUM(E7:E13)</f>
        <v>0</v>
      </c>
      <c r="F14" s="80">
        <f t="shared" si="1"/>
        <v>0</v>
      </c>
      <c r="G14" s="80">
        <f t="shared" si="1"/>
        <v>0</v>
      </c>
      <c r="H14" s="80">
        <f t="shared" si="1"/>
        <v>0</v>
      </c>
      <c r="I14" s="80">
        <f t="shared" si="1"/>
        <v>0</v>
      </c>
      <c r="J14" s="80">
        <f>SUM(J7:J13)</f>
        <v>0</v>
      </c>
      <c r="K14" s="80">
        <f t="shared" si="1"/>
        <v>0</v>
      </c>
      <c r="L14" s="80">
        <f t="shared" si="1"/>
        <v>0</v>
      </c>
      <c r="M14" s="81">
        <f t="shared" si="1"/>
        <v>0</v>
      </c>
      <c r="N14" s="81">
        <f t="shared" si="1"/>
        <v>0</v>
      </c>
      <c r="O14" s="81">
        <f t="shared" si="1"/>
        <v>0</v>
      </c>
      <c r="P14" s="80">
        <f t="shared" ref="P14" si="2">SUM(P7:P13)</f>
        <v>0</v>
      </c>
      <c r="Q14" s="82">
        <f t="shared" si="0"/>
        <v>0</v>
      </c>
    </row>
    <row r="15" spans="1:17" ht="15.95" customHeight="1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3"/>
      <c r="Q15" s="3"/>
    </row>
    <row r="16" spans="1:17" ht="21.95" customHeight="1">
      <c r="A16" s="96" t="s">
        <v>25</v>
      </c>
      <c r="B16" s="10"/>
      <c r="C16" s="99" t="s">
        <v>16</v>
      </c>
      <c r="D16" s="99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3"/>
    </row>
    <row r="17" spans="1:17" ht="21.95" customHeight="1">
      <c r="A17" s="96"/>
      <c r="B17" s="94"/>
      <c r="C17" s="97" t="s">
        <v>26</v>
      </c>
      <c r="D17" s="97"/>
      <c r="E17" s="40">
        <v>0</v>
      </c>
      <c r="F17" s="64">
        <v>0</v>
      </c>
      <c r="G17" s="40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67">
        <f>SUM(E17:P17)</f>
        <v>0</v>
      </c>
    </row>
    <row r="18" spans="1:17" ht="21.95" customHeight="1">
      <c r="A18" s="96"/>
      <c r="B18" s="94"/>
      <c r="C18" s="98" t="s">
        <v>27</v>
      </c>
      <c r="D18" s="98"/>
      <c r="E18" s="41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67">
        <f>SUM(E18:P18)</f>
        <v>0</v>
      </c>
    </row>
    <row r="19" spans="1:17" ht="21.95" customHeight="1">
      <c r="A19" s="96"/>
      <c r="B19" s="94"/>
      <c r="C19" s="97" t="s">
        <v>28</v>
      </c>
      <c r="D19" s="97"/>
      <c r="E19" s="40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67">
        <f>SUM(E19:P19)</f>
        <v>0</v>
      </c>
    </row>
    <row r="20" spans="1:17" ht="21.95" customHeight="1">
      <c r="A20" s="96"/>
      <c r="B20" s="94"/>
      <c r="C20" s="98" t="s">
        <v>29</v>
      </c>
      <c r="D20" s="98"/>
      <c r="E20" s="41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67">
        <f>SUM(E20:P20)</f>
        <v>0</v>
      </c>
    </row>
    <row r="21" spans="1:17" ht="27.95" customHeight="1">
      <c r="A21" s="10"/>
      <c r="B21" s="94"/>
      <c r="C21" s="95" t="s">
        <v>30</v>
      </c>
      <c r="D21" s="95"/>
      <c r="E21" s="34">
        <f>SUM(E17:E20)</f>
        <v>0</v>
      </c>
      <c r="F21" s="35">
        <f t="shared" ref="F21:O21" si="3">SUM(F17:F20)</f>
        <v>0</v>
      </c>
      <c r="G21" s="35">
        <f t="shared" si="3"/>
        <v>0</v>
      </c>
      <c r="H21" s="36">
        <f t="shared" si="3"/>
        <v>0</v>
      </c>
      <c r="I21" s="35">
        <f t="shared" si="3"/>
        <v>0</v>
      </c>
      <c r="J21" s="36">
        <f t="shared" si="3"/>
        <v>0</v>
      </c>
      <c r="K21" s="35">
        <f t="shared" si="3"/>
        <v>0</v>
      </c>
      <c r="L21" s="36">
        <f t="shared" si="3"/>
        <v>0</v>
      </c>
      <c r="M21" s="35">
        <f t="shared" si="3"/>
        <v>0</v>
      </c>
      <c r="N21" s="36">
        <f t="shared" si="3"/>
        <v>0</v>
      </c>
      <c r="O21" s="35">
        <f t="shared" si="3"/>
        <v>0</v>
      </c>
      <c r="P21" s="35">
        <f t="shared" ref="P21" si="4">SUM(P17:P20)</f>
        <v>0</v>
      </c>
      <c r="Q21" s="79">
        <f>SUM(E21:P21)</f>
        <v>0</v>
      </c>
    </row>
    <row r="22" spans="1:17" ht="15.9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3"/>
      <c r="Q22" s="3"/>
    </row>
    <row r="23" spans="1:17" ht="30" customHeight="1">
      <c r="A23" s="93" t="s">
        <v>31</v>
      </c>
      <c r="B23" s="93"/>
      <c r="C23" s="93"/>
      <c r="D23" s="93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65"/>
    </row>
    <row r="24" spans="1:17" s="110" customFormat="1" ht="9.9499999999999993" customHeight="1"/>
    <row r="25" spans="1:17" s="12" customFormat="1" ht="21.95" customHeight="1">
      <c r="A25" s="111" t="s">
        <v>32</v>
      </c>
      <c r="C25" s="99" t="s">
        <v>16</v>
      </c>
      <c r="D25" s="99"/>
    </row>
    <row r="26" spans="1:17" ht="21.95" customHeight="1">
      <c r="A26" s="111"/>
      <c r="B26" s="13"/>
      <c r="C26" s="107" t="s">
        <v>33</v>
      </c>
      <c r="D26" s="108"/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67">
        <f t="shared" ref="Q26:Q39" si="5">SUM(E26:P26)</f>
        <v>0</v>
      </c>
    </row>
    <row r="27" spans="1:17" ht="21.95" customHeight="1">
      <c r="A27" s="111"/>
      <c r="B27" s="13"/>
      <c r="C27" s="101" t="s">
        <v>34</v>
      </c>
      <c r="D27" s="102"/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67">
        <f t="shared" si="5"/>
        <v>0</v>
      </c>
    </row>
    <row r="28" spans="1:17" ht="21.95" customHeight="1">
      <c r="A28" s="111"/>
      <c r="B28" s="13"/>
      <c r="C28" s="107" t="s">
        <v>35</v>
      </c>
      <c r="D28" s="108"/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67">
        <f t="shared" si="5"/>
        <v>0</v>
      </c>
    </row>
    <row r="29" spans="1:17" ht="21.95" customHeight="1">
      <c r="A29" s="111"/>
      <c r="B29" s="13"/>
      <c r="C29" s="101" t="s">
        <v>36</v>
      </c>
      <c r="D29" s="102"/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67">
        <f t="shared" si="5"/>
        <v>0</v>
      </c>
    </row>
    <row r="30" spans="1:17" ht="21.95" customHeight="1">
      <c r="A30" s="111"/>
      <c r="B30" s="13"/>
      <c r="C30" s="107" t="s">
        <v>37</v>
      </c>
      <c r="D30" s="108"/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67">
        <f t="shared" si="5"/>
        <v>0</v>
      </c>
    </row>
    <row r="31" spans="1:17" ht="21.95" customHeight="1">
      <c r="A31" s="111"/>
      <c r="B31" s="100" t="s">
        <v>38</v>
      </c>
      <c r="C31" s="101" t="s">
        <v>39</v>
      </c>
      <c r="D31" s="102"/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67">
        <f t="shared" si="5"/>
        <v>0</v>
      </c>
    </row>
    <row r="32" spans="1:17" ht="21.95" customHeight="1">
      <c r="A32" s="111"/>
      <c r="B32" s="100"/>
      <c r="C32" s="107" t="s">
        <v>40</v>
      </c>
      <c r="D32" s="108"/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67">
        <f t="shared" si="5"/>
        <v>0</v>
      </c>
    </row>
    <row r="33" spans="1:17" ht="21.95" customHeight="1">
      <c r="A33" s="111"/>
      <c r="B33" s="100"/>
      <c r="C33" s="101" t="s">
        <v>41</v>
      </c>
      <c r="D33" s="102"/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67">
        <f t="shared" si="5"/>
        <v>0</v>
      </c>
    </row>
    <row r="34" spans="1:17" ht="21.95" customHeight="1">
      <c r="A34" s="111"/>
      <c r="B34" s="100"/>
      <c r="C34" s="107" t="s">
        <v>42</v>
      </c>
      <c r="D34" s="108"/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67">
        <f t="shared" si="5"/>
        <v>0</v>
      </c>
    </row>
    <row r="35" spans="1:17" ht="21.95" customHeight="1">
      <c r="A35" s="111"/>
      <c r="B35" s="100"/>
      <c r="C35" s="101" t="s">
        <v>43</v>
      </c>
      <c r="D35" s="102"/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67">
        <f t="shared" si="5"/>
        <v>0</v>
      </c>
    </row>
    <row r="36" spans="1:17" ht="21.95" customHeight="1">
      <c r="A36" s="111"/>
      <c r="B36" s="100"/>
      <c r="C36" s="107" t="s">
        <v>44</v>
      </c>
      <c r="D36" s="108"/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67">
        <f t="shared" si="5"/>
        <v>0</v>
      </c>
    </row>
    <row r="37" spans="1:17" ht="21.95" customHeight="1">
      <c r="A37" s="111"/>
      <c r="B37" s="100"/>
      <c r="C37" s="101" t="s">
        <v>45</v>
      </c>
      <c r="D37" s="102"/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67">
        <f t="shared" si="5"/>
        <v>0</v>
      </c>
    </row>
    <row r="38" spans="1:17" ht="21.95" customHeight="1">
      <c r="A38" s="112"/>
      <c r="B38" s="14"/>
      <c r="C38" s="107" t="s">
        <v>23</v>
      </c>
      <c r="D38" s="108"/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67">
        <f t="shared" si="5"/>
        <v>0</v>
      </c>
    </row>
    <row r="39" spans="1:17" s="16" customFormat="1" ht="27.95" customHeight="1">
      <c r="A39" s="15"/>
      <c r="B39" s="15"/>
      <c r="C39" s="109" t="s">
        <v>46</v>
      </c>
      <c r="D39" s="109"/>
      <c r="E39" s="30">
        <f t="shared" ref="E39:O39" si="6">SUM(E26:E38)</f>
        <v>0</v>
      </c>
      <c r="F39" s="31">
        <f t="shared" si="6"/>
        <v>0</v>
      </c>
      <c r="G39" s="31">
        <f t="shared" si="6"/>
        <v>0</v>
      </c>
      <c r="H39" s="31">
        <f t="shared" si="6"/>
        <v>0</v>
      </c>
      <c r="I39" s="31">
        <f t="shared" si="6"/>
        <v>0</v>
      </c>
      <c r="J39" s="31">
        <f t="shared" si="6"/>
        <v>0</v>
      </c>
      <c r="K39" s="31">
        <f t="shared" si="6"/>
        <v>0</v>
      </c>
      <c r="L39" s="31">
        <f t="shared" si="6"/>
        <v>0</v>
      </c>
      <c r="M39" s="31">
        <f t="shared" si="6"/>
        <v>0</v>
      </c>
      <c r="N39" s="31">
        <f t="shared" si="6"/>
        <v>0</v>
      </c>
      <c r="O39" s="31">
        <f t="shared" si="6"/>
        <v>0</v>
      </c>
      <c r="P39" s="31">
        <f t="shared" ref="P39" si="7">SUM(P26:P38)</f>
        <v>0</v>
      </c>
      <c r="Q39" s="77">
        <f t="shared" si="5"/>
        <v>0</v>
      </c>
    </row>
    <row r="40" spans="1:17" ht="15.9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3"/>
      <c r="Q40" s="3"/>
    </row>
    <row r="41" spans="1:17" s="12" customFormat="1" ht="21.95" customHeight="1">
      <c r="A41" s="117" t="s">
        <v>47</v>
      </c>
      <c r="C41" s="99" t="s">
        <v>16</v>
      </c>
      <c r="D41" s="99"/>
    </row>
    <row r="42" spans="1:17" ht="21.95" customHeight="1">
      <c r="A42" s="117"/>
      <c r="B42" s="13"/>
      <c r="C42" s="118" t="s">
        <v>48</v>
      </c>
      <c r="D42" s="118"/>
      <c r="E42" s="49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67">
        <f t="shared" ref="Q42:Q50" si="8">SUM(E42:P42)</f>
        <v>0</v>
      </c>
    </row>
    <row r="43" spans="1:17" ht="21.95" customHeight="1">
      <c r="A43" s="117"/>
      <c r="B43" s="13"/>
      <c r="C43" s="119" t="s">
        <v>49</v>
      </c>
      <c r="D43" s="120"/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67">
        <f t="shared" si="8"/>
        <v>0</v>
      </c>
    </row>
    <row r="44" spans="1:17" ht="21.95" customHeight="1">
      <c r="A44" s="117"/>
      <c r="B44" s="13"/>
      <c r="C44" s="118" t="s">
        <v>50</v>
      </c>
      <c r="D44" s="118"/>
      <c r="E44" s="49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67">
        <f t="shared" si="8"/>
        <v>0</v>
      </c>
    </row>
    <row r="45" spans="1:17" ht="21.95" customHeight="1">
      <c r="A45" s="117"/>
      <c r="B45" s="100" t="s">
        <v>38</v>
      </c>
      <c r="C45" s="119" t="s">
        <v>51</v>
      </c>
      <c r="D45" s="119"/>
      <c r="E45" s="50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  <c r="Q45" s="67">
        <f t="shared" si="8"/>
        <v>0</v>
      </c>
    </row>
    <row r="46" spans="1:17" ht="21.95" customHeight="1">
      <c r="A46" s="117"/>
      <c r="B46" s="100"/>
      <c r="C46" s="118" t="s">
        <v>52</v>
      </c>
      <c r="D46" s="118"/>
      <c r="E46" s="49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67">
        <f t="shared" si="8"/>
        <v>0</v>
      </c>
    </row>
    <row r="47" spans="1:17" ht="21.95" customHeight="1">
      <c r="A47" s="117"/>
      <c r="B47" s="100"/>
      <c r="C47" s="119" t="s">
        <v>53</v>
      </c>
      <c r="D47" s="120"/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>
        <v>0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  <c r="Q47" s="67">
        <f t="shared" si="8"/>
        <v>0</v>
      </c>
    </row>
    <row r="48" spans="1:17" ht="21.95" customHeight="1">
      <c r="A48" s="117"/>
      <c r="B48" s="100"/>
      <c r="C48" s="118" t="s">
        <v>54</v>
      </c>
      <c r="D48" s="118"/>
      <c r="E48" s="49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67">
        <f t="shared" si="8"/>
        <v>0</v>
      </c>
    </row>
    <row r="49" spans="1:17" ht="21.95" customHeight="1">
      <c r="A49" s="117"/>
      <c r="B49" s="14"/>
      <c r="C49" s="119" t="s">
        <v>23</v>
      </c>
      <c r="D49" s="119"/>
      <c r="E49" s="50">
        <v>0</v>
      </c>
      <c r="F49" s="48">
        <v>0</v>
      </c>
      <c r="G49" s="48">
        <v>0</v>
      </c>
      <c r="H49" s="48">
        <v>0</v>
      </c>
      <c r="I49" s="48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67">
        <f t="shared" si="8"/>
        <v>0</v>
      </c>
    </row>
    <row r="50" spans="1:17" s="18" customFormat="1" ht="27.95" customHeight="1">
      <c r="A50" s="17"/>
      <c r="B50" s="17"/>
      <c r="C50" s="114" t="s">
        <v>55</v>
      </c>
      <c r="D50" s="114"/>
      <c r="E50" s="28">
        <f t="shared" ref="E50:O50" si="9">SUM(E42:E49)</f>
        <v>0</v>
      </c>
      <c r="F50" s="29">
        <f t="shared" si="9"/>
        <v>0</v>
      </c>
      <c r="G50" s="29">
        <f t="shared" si="9"/>
        <v>0</v>
      </c>
      <c r="H50" s="29">
        <f t="shared" si="9"/>
        <v>0</v>
      </c>
      <c r="I50" s="29">
        <f t="shared" si="9"/>
        <v>0</v>
      </c>
      <c r="J50" s="29">
        <f t="shared" si="9"/>
        <v>0</v>
      </c>
      <c r="K50" s="29">
        <f t="shared" si="9"/>
        <v>0</v>
      </c>
      <c r="L50" s="29">
        <f t="shared" si="9"/>
        <v>0</v>
      </c>
      <c r="M50" s="29">
        <f t="shared" si="9"/>
        <v>0</v>
      </c>
      <c r="N50" s="29">
        <f t="shared" si="9"/>
        <v>0</v>
      </c>
      <c r="O50" s="29">
        <f t="shared" si="9"/>
        <v>0</v>
      </c>
      <c r="P50" s="29">
        <f t="shared" ref="P50" si="10">SUM(P42:P49)</f>
        <v>0</v>
      </c>
      <c r="Q50" s="76">
        <f t="shared" si="8"/>
        <v>0</v>
      </c>
    </row>
    <row r="51" spans="1:17" ht="15.9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3"/>
      <c r="Q51" s="3"/>
    </row>
    <row r="52" spans="1:17" ht="21.95" customHeight="1">
      <c r="A52" s="115" t="s">
        <v>56</v>
      </c>
      <c r="B52" s="12"/>
      <c r="C52" s="99" t="s">
        <v>16</v>
      </c>
      <c r="D52" s="99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3"/>
    </row>
    <row r="53" spans="1:17" ht="21.95" customHeight="1">
      <c r="A53" s="115"/>
      <c r="B53" s="13"/>
      <c r="C53" s="116" t="s">
        <v>57</v>
      </c>
      <c r="D53" s="116"/>
      <c r="E53" s="51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67">
        <f t="shared" ref="Q53:Q58" si="11">SUM(E53:P53)</f>
        <v>0</v>
      </c>
    </row>
    <row r="54" spans="1:17" ht="21.95" customHeight="1">
      <c r="A54" s="115"/>
      <c r="B54" s="13"/>
      <c r="C54" s="113" t="s">
        <v>58</v>
      </c>
      <c r="D54" s="113"/>
      <c r="E54" s="53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0</v>
      </c>
      <c r="Q54" s="67">
        <f t="shared" si="11"/>
        <v>0</v>
      </c>
    </row>
    <row r="55" spans="1:17" ht="21.95" customHeight="1">
      <c r="A55" s="115"/>
      <c r="B55" s="122"/>
      <c r="C55" s="116" t="s">
        <v>59</v>
      </c>
      <c r="D55" s="116"/>
      <c r="E55" s="51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67">
        <f t="shared" si="11"/>
        <v>0</v>
      </c>
    </row>
    <row r="56" spans="1:17" ht="21.95" customHeight="1">
      <c r="A56" s="115"/>
      <c r="B56" s="122"/>
      <c r="C56" s="113" t="s">
        <v>60</v>
      </c>
      <c r="D56" s="113"/>
      <c r="E56" s="53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0</v>
      </c>
      <c r="P56" s="54">
        <v>0</v>
      </c>
      <c r="Q56" s="67">
        <f t="shared" si="11"/>
        <v>0</v>
      </c>
    </row>
    <row r="57" spans="1:17" ht="21.95" customHeight="1">
      <c r="A57" s="115"/>
      <c r="B57" s="122"/>
      <c r="C57" s="116" t="s">
        <v>23</v>
      </c>
      <c r="D57" s="116"/>
      <c r="E57" s="51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67">
        <f t="shared" si="11"/>
        <v>0</v>
      </c>
    </row>
    <row r="58" spans="1:17" ht="27.95" customHeight="1">
      <c r="A58" s="17"/>
      <c r="B58" s="17"/>
      <c r="C58" s="121" t="s">
        <v>61</v>
      </c>
      <c r="D58" s="121"/>
      <c r="E58" s="32">
        <f t="shared" ref="E58:O58" si="12">SUM(E53:E57)</f>
        <v>0</v>
      </c>
      <c r="F58" s="33">
        <f t="shared" si="12"/>
        <v>0</v>
      </c>
      <c r="G58" s="33">
        <f t="shared" si="12"/>
        <v>0</v>
      </c>
      <c r="H58" s="33">
        <f t="shared" si="12"/>
        <v>0</v>
      </c>
      <c r="I58" s="33">
        <f t="shared" si="12"/>
        <v>0</v>
      </c>
      <c r="J58" s="33">
        <f t="shared" si="12"/>
        <v>0</v>
      </c>
      <c r="K58" s="33">
        <f t="shared" si="12"/>
        <v>0</v>
      </c>
      <c r="L58" s="33">
        <f t="shared" si="12"/>
        <v>0</v>
      </c>
      <c r="M58" s="33">
        <f t="shared" si="12"/>
        <v>0</v>
      </c>
      <c r="N58" s="33">
        <f t="shared" si="12"/>
        <v>0</v>
      </c>
      <c r="O58" s="33">
        <f t="shared" si="12"/>
        <v>0</v>
      </c>
      <c r="P58" s="33">
        <f t="shared" ref="P58" si="13">SUM(P53:P57)</f>
        <v>0</v>
      </c>
      <c r="Q58" s="78">
        <f t="shared" si="11"/>
        <v>0</v>
      </c>
    </row>
    <row r="59" spans="1:17" ht="15.9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3"/>
      <c r="Q59" s="3"/>
    </row>
    <row r="60" spans="1:17" ht="21.95" customHeight="1">
      <c r="A60" s="111" t="s">
        <v>62</v>
      </c>
      <c r="B60" s="12"/>
      <c r="C60" s="99" t="s">
        <v>16</v>
      </c>
      <c r="D60" s="99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3"/>
    </row>
    <row r="61" spans="1:17" ht="21.95" customHeight="1">
      <c r="A61" s="111"/>
      <c r="B61" s="13"/>
      <c r="C61" s="101" t="s">
        <v>63</v>
      </c>
      <c r="D61" s="101"/>
      <c r="E61" s="57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5">
        <v>0</v>
      </c>
      <c r="M61" s="55">
        <v>0</v>
      </c>
      <c r="N61" s="55">
        <v>0</v>
      </c>
      <c r="O61" s="55">
        <v>0</v>
      </c>
      <c r="P61" s="55">
        <v>0</v>
      </c>
      <c r="Q61" s="67">
        <f t="shared" ref="Q61:Q66" si="14">SUM(E61:P61)</f>
        <v>0</v>
      </c>
    </row>
    <row r="62" spans="1:17" ht="21.95" customHeight="1">
      <c r="A62" s="111"/>
      <c r="B62" s="13"/>
      <c r="C62" s="107" t="s">
        <v>64</v>
      </c>
      <c r="D62" s="107"/>
      <c r="E62" s="58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67">
        <f t="shared" si="14"/>
        <v>0</v>
      </c>
    </row>
    <row r="63" spans="1:17" ht="21.95" customHeight="1">
      <c r="A63" s="111"/>
      <c r="B63" s="100" t="s">
        <v>65</v>
      </c>
      <c r="C63" s="101" t="s">
        <v>66</v>
      </c>
      <c r="D63" s="101"/>
      <c r="E63" s="57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67">
        <f t="shared" si="14"/>
        <v>0</v>
      </c>
    </row>
    <row r="64" spans="1:17" ht="21.95" customHeight="1">
      <c r="A64" s="111"/>
      <c r="B64" s="100"/>
      <c r="C64" s="107" t="s">
        <v>67</v>
      </c>
      <c r="D64" s="107"/>
      <c r="E64" s="58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67">
        <f t="shared" si="14"/>
        <v>0</v>
      </c>
    </row>
    <row r="65" spans="1:17" ht="21.95" customHeight="1">
      <c r="A65" s="111"/>
      <c r="B65" s="100"/>
      <c r="C65" s="101" t="s">
        <v>23</v>
      </c>
      <c r="D65" s="101"/>
      <c r="E65" s="57">
        <v>0</v>
      </c>
      <c r="F65" s="55">
        <v>0</v>
      </c>
      <c r="G65" s="55">
        <v>0</v>
      </c>
      <c r="H65" s="55">
        <v>0</v>
      </c>
      <c r="I65" s="55">
        <v>0</v>
      </c>
      <c r="J65" s="55">
        <v>0</v>
      </c>
      <c r="K65" s="55">
        <v>0</v>
      </c>
      <c r="L65" s="55">
        <v>0</v>
      </c>
      <c r="M65" s="55">
        <v>0</v>
      </c>
      <c r="N65" s="55">
        <v>0</v>
      </c>
      <c r="O65" s="55">
        <v>0</v>
      </c>
      <c r="P65" s="55">
        <v>0</v>
      </c>
      <c r="Q65" s="67">
        <f t="shared" si="14"/>
        <v>0</v>
      </c>
    </row>
    <row r="66" spans="1:17" ht="27.95" customHeight="1">
      <c r="A66" s="17"/>
      <c r="B66" s="17"/>
      <c r="C66" s="109" t="s">
        <v>68</v>
      </c>
      <c r="D66" s="109"/>
      <c r="E66" s="30">
        <f t="shared" ref="E66:O66" si="15">SUM(E61:E65)</f>
        <v>0</v>
      </c>
      <c r="F66" s="31">
        <f t="shared" si="15"/>
        <v>0</v>
      </c>
      <c r="G66" s="31">
        <f t="shared" si="15"/>
        <v>0</v>
      </c>
      <c r="H66" s="31">
        <f t="shared" si="15"/>
        <v>0</v>
      </c>
      <c r="I66" s="31">
        <f t="shared" si="15"/>
        <v>0</v>
      </c>
      <c r="J66" s="31">
        <f t="shared" si="15"/>
        <v>0</v>
      </c>
      <c r="K66" s="31">
        <f t="shared" si="15"/>
        <v>0</v>
      </c>
      <c r="L66" s="31">
        <f t="shared" si="15"/>
        <v>0</v>
      </c>
      <c r="M66" s="31">
        <f t="shared" si="15"/>
        <v>0</v>
      </c>
      <c r="N66" s="31">
        <f t="shared" si="15"/>
        <v>0</v>
      </c>
      <c r="O66" s="31">
        <f t="shared" si="15"/>
        <v>0</v>
      </c>
      <c r="P66" s="31">
        <f t="shared" ref="P66" si="16">SUM(P61:P65)</f>
        <v>0</v>
      </c>
      <c r="Q66" s="77">
        <f t="shared" si="14"/>
        <v>0</v>
      </c>
    </row>
    <row r="67" spans="1:17" ht="15.9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3"/>
      <c r="Q67" s="3"/>
    </row>
    <row r="68" spans="1:17" ht="21.95" customHeight="1">
      <c r="A68" s="117" t="s">
        <v>69</v>
      </c>
      <c r="B68" s="12"/>
      <c r="C68" s="99" t="s">
        <v>16</v>
      </c>
      <c r="D68" s="99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3"/>
    </row>
    <row r="69" spans="1:17" ht="21.95" customHeight="1">
      <c r="A69" s="117"/>
      <c r="B69" s="13"/>
      <c r="C69" s="119" t="s">
        <v>70</v>
      </c>
      <c r="D69" s="119"/>
      <c r="E69" s="50">
        <v>0</v>
      </c>
      <c r="F69" s="48">
        <v>0</v>
      </c>
      <c r="G69" s="48">
        <v>0</v>
      </c>
      <c r="H69" s="48">
        <v>0</v>
      </c>
      <c r="I69" s="48">
        <v>0</v>
      </c>
      <c r="J69" s="48">
        <v>0</v>
      </c>
      <c r="K69" s="48">
        <v>0</v>
      </c>
      <c r="L69" s="48">
        <v>0</v>
      </c>
      <c r="M69" s="48">
        <v>0</v>
      </c>
      <c r="N69" s="48">
        <v>0</v>
      </c>
      <c r="O69" s="48">
        <v>0</v>
      </c>
      <c r="P69" s="48">
        <v>0</v>
      </c>
      <c r="Q69" s="67">
        <f>SUM(E69:P69)</f>
        <v>0</v>
      </c>
    </row>
    <row r="70" spans="1:17" ht="21.95" customHeight="1">
      <c r="A70" s="117"/>
      <c r="B70" s="13"/>
      <c r="C70" s="118" t="s">
        <v>71</v>
      </c>
      <c r="D70" s="118"/>
      <c r="E70" s="49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67">
        <f>SUM(E70:P70)</f>
        <v>0</v>
      </c>
    </row>
    <row r="71" spans="1:17" ht="21.95" customHeight="1">
      <c r="A71" s="117"/>
      <c r="B71" s="19"/>
      <c r="C71" s="119" t="s">
        <v>72</v>
      </c>
      <c r="D71" s="119"/>
      <c r="E71" s="50">
        <v>0</v>
      </c>
      <c r="F71" s="48">
        <v>0</v>
      </c>
      <c r="G71" s="48">
        <v>0</v>
      </c>
      <c r="H71" s="48">
        <v>0</v>
      </c>
      <c r="I71" s="48">
        <v>0</v>
      </c>
      <c r="J71" s="48">
        <v>0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  <c r="Q71" s="67">
        <f>SUM(E71:P71)</f>
        <v>0</v>
      </c>
    </row>
    <row r="72" spans="1:17" ht="21.95" customHeight="1">
      <c r="A72" s="117"/>
      <c r="B72" s="19"/>
      <c r="C72" s="118" t="s">
        <v>23</v>
      </c>
      <c r="D72" s="118"/>
      <c r="E72" s="49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67">
        <f>SUM(E72:P72)</f>
        <v>0</v>
      </c>
    </row>
    <row r="73" spans="1:17" s="18" customFormat="1" ht="27.95" customHeight="1">
      <c r="A73" s="17"/>
      <c r="B73" s="17"/>
      <c r="C73" s="114" t="s">
        <v>73</v>
      </c>
      <c r="D73" s="114"/>
      <c r="E73" s="28">
        <f t="shared" ref="E73:O73" si="17">SUM(E69:E72)</f>
        <v>0</v>
      </c>
      <c r="F73" s="29">
        <f t="shared" si="17"/>
        <v>0</v>
      </c>
      <c r="G73" s="29">
        <f t="shared" si="17"/>
        <v>0</v>
      </c>
      <c r="H73" s="29">
        <f t="shared" si="17"/>
        <v>0</v>
      </c>
      <c r="I73" s="29">
        <f t="shared" si="17"/>
        <v>0</v>
      </c>
      <c r="J73" s="29">
        <f t="shared" si="17"/>
        <v>0</v>
      </c>
      <c r="K73" s="29">
        <f t="shared" si="17"/>
        <v>0</v>
      </c>
      <c r="L73" s="29">
        <f t="shared" si="17"/>
        <v>0</v>
      </c>
      <c r="M73" s="29">
        <f t="shared" si="17"/>
        <v>0</v>
      </c>
      <c r="N73" s="29">
        <f t="shared" si="17"/>
        <v>0</v>
      </c>
      <c r="O73" s="29">
        <f t="shared" si="17"/>
        <v>0</v>
      </c>
      <c r="P73" s="29">
        <f t="shared" ref="P73" si="18">SUM(P69:P72)</f>
        <v>0</v>
      </c>
      <c r="Q73" s="76">
        <f>SUM(E73:P73)</f>
        <v>0</v>
      </c>
    </row>
    <row r="74" spans="1:17" ht="15.9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3"/>
      <c r="Q74" s="3"/>
    </row>
    <row r="75" spans="1:17" ht="21.95" customHeight="1">
      <c r="A75" s="123" t="s">
        <v>74</v>
      </c>
      <c r="B75" s="12"/>
      <c r="C75" s="99" t="s">
        <v>16</v>
      </c>
      <c r="D75" s="99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3"/>
    </row>
    <row r="76" spans="1:17" ht="21.95" customHeight="1">
      <c r="A76" s="123"/>
      <c r="B76" s="13"/>
      <c r="C76" s="116" t="s">
        <v>75</v>
      </c>
      <c r="D76" s="116"/>
      <c r="E76" s="51">
        <v>0</v>
      </c>
      <c r="F76" s="52">
        <v>0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  <c r="Q76" s="67">
        <f t="shared" ref="Q76:Q83" si="19">SUM(E76:P76)</f>
        <v>0</v>
      </c>
    </row>
    <row r="77" spans="1:17" ht="21.95" customHeight="1">
      <c r="A77" s="123"/>
      <c r="B77" s="13"/>
      <c r="C77" s="113" t="s">
        <v>76</v>
      </c>
      <c r="D77" s="113"/>
      <c r="E77" s="53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67">
        <f t="shared" si="19"/>
        <v>0</v>
      </c>
    </row>
    <row r="78" spans="1:17" ht="21.95" customHeight="1">
      <c r="A78" s="123"/>
      <c r="B78" s="19"/>
      <c r="C78" s="116" t="s">
        <v>77</v>
      </c>
      <c r="D78" s="116"/>
      <c r="E78" s="51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67">
        <f t="shared" si="19"/>
        <v>0</v>
      </c>
    </row>
    <row r="79" spans="1:17" ht="21.95" customHeight="1">
      <c r="A79" s="123"/>
      <c r="B79" s="19"/>
      <c r="C79" s="113" t="s">
        <v>78</v>
      </c>
      <c r="D79" s="113"/>
      <c r="E79" s="53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67">
        <f t="shared" si="19"/>
        <v>0</v>
      </c>
    </row>
    <row r="80" spans="1:17" ht="21.95" customHeight="1">
      <c r="A80" s="123"/>
      <c r="B80" s="19"/>
      <c r="C80" s="116" t="s">
        <v>79</v>
      </c>
      <c r="D80" s="116"/>
      <c r="E80" s="51">
        <v>0</v>
      </c>
      <c r="F80" s="52">
        <v>0</v>
      </c>
      <c r="G80" s="52">
        <v>0</v>
      </c>
      <c r="H80" s="52">
        <v>0</v>
      </c>
      <c r="I80" s="52">
        <v>0</v>
      </c>
      <c r="J80" s="52">
        <v>0</v>
      </c>
      <c r="K80" s="52">
        <v>0</v>
      </c>
      <c r="L80" s="52">
        <v>0</v>
      </c>
      <c r="M80" s="52">
        <v>0</v>
      </c>
      <c r="N80" s="52">
        <v>0</v>
      </c>
      <c r="O80" s="52">
        <v>0</v>
      </c>
      <c r="P80" s="52">
        <v>0</v>
      </c>
      <c r="Q80" s="67">
        <f t="shared" si="19"/>
        <v>0</v>
      </c>
    </row>
    <row r="81" spans="1:17" ht="21.95" customHeight="1">
      <c r="A81" s="123"/>
      <c r="B81" s="19"/>
      <c r="C81" s="113" t="s">
        <v>80</v>
      </c>
      <c r="D81" s="113"/>
      <c r="E81" s="53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4">
        <v>0</v>
      </c>
      <c r="O81" s="54">
        <v>0</v>
      </c>
      <c r="P81" s="54">
        <v>0</v>
      </c>
      <c r="Q81" s="67">
        <f t="shared" si="19"/>
        <v>0</v>
      </c>
    </row>
    <row r="82" spans="1:17" ht="21.95" customHeight="1">
      <c r="A82" s="123"/>
      <c r="B82" s="19"/>
      <c r="C82" s="116" t="s">
        <v>23</v>
      </c>
      <c r="D82" s="116"/>
      <c r="E82" s="51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67">
        <f t="shared" si="19"/>
        <v>0</v>
      </c>
    </row>
    <row r="83" spans="1:17" ht="27.95" customHeight="1">
      <c r="A83" s="17"/>
      <c r="B83" s="17"/>
      <c r="C83" s="121" t="s">
        <v>81</v>
      </c>
      <c r="D83" s="121"/>
      <c r="E83" s="32">
        <f t="shared" ref="E83:O83" si="20">SUM(E76:E82)</f>
        <v>0</v>
      </c>
      <c r="F83" s="33">
        <f t="shared" si="20"/>
        <v>0</v>
      </c>
      <c r="G83" s="33">
        <f t="shared" si="20"/>
        <v>0</v>
      </c>
      <c r="H83" s="33">
        <f t="shared" si="20"/>
        <v>0</v>
      </c>
      <c r="I83" s="33">
        <f t="shared" si="20"/>
        <v>0</v>
      </c>
      <c r="J83" s="33">
        <f t="shared" si="20"/>
        <v>0</v>
      </c>
      <c r="K83" s="33">
        <f t="shared" si="20"/>
        <v>0</v>
      </c>
      <c r="L83" s="33">
        <f t="shared" si="20"/>
        <v>0</v>
      </c>
      <c r="M83" s="33">
        <f t="shared" si="20"/>
        <v>0</v>
      </c>
      <c r="N83" s="33">
        <f t="shared" si="20"/>
        <v>0</v>
      </c>
      <c r="O83" s="33">
        <f t="shared" si="20"/>
        <v>0</v>
      </c>
      <c r="P83" s="33">
        <f t="shared" ref="P83" si="21">SUM(P76:P82)</f>
        <v>0</v>
      </c>
      <c r="Q83" s="78">
        <f t="shared" si="19"/>
        <v>0</v>
      </c>
    </row>
    <row r="84" spans="1:17" ht="15.9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3"/>
      <c r="Q84" s="3"/>
    </row>
    <row r="85" spans="1:17" ht="21.95" customHeight="1">
      <c r="A85" s="124" t="s">
        <v>82</v>
      </c>
      <c r="B85" s="110"/>
      <c r="C85" s="99" t="s">
        <v>16</v>
      </c>
      <c r="D85" s="99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3"/>
    </row>
    <row r="86" spans="1:17" ht="21.95" customHeight="1">
      <c r="A86" s="124"/>
      <c r="B86" s="110"/>
      <c r="C86" s="101" t="s">
        <v>83</v>
      </c>
      <c r="D86" s="101"/>
      <c r="E86" s="57">
        <v>0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5">
        <v>0</v>
      </c>
      <c r="P86" s="55">
        <v>0</v>
      </c>
      <c r="Q86" s="67">
        <f t="shared" ref="Q86:Q90" si="22">SUM(E86:P86)</f>
        <v>0</v>
      </c>
    </row>
    <row r="87" spans="1:17" ht="21.95" customHeight="1">
      <c r="A87" s="124"/>
      <c r="B87" s="110"/>
      <c r="C87" s="107" t="s">
        <v>84</v>
      </c>
      <c r="D87" s="107"/>
      <c r="E87" s="58">
        <v>0</v>
      </c>
      <c r="F87" s="56">
        <v>0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0</v>
      </c>
      <c r="M87" s="56">
        <v>0</v>
      </c>
      <c r="N87" s="56">
        <v>0</v>
      </c>
      <c r="O87" s="56">
        <v>0</v>
      </c>
      <c r="P87" s="56">
        <v>0</v>
      </c>
      <c r="Q87" s="67">
        <f t="shared" si="22"/>
        <v>0</v>
      </c>
    </row>
    <row r="88" spans="1:17" ht="21.95" customHeight="1">
      <c r="A88" s="124"/>
      <c r="B88" s="110"/>
      <c r="C88" s="101" t="s">
        <v>85</v>
      </c>
      <c r="D88" s="101"/>
      <c r="E88" s="57">
        <v>0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5">
        <v>0</v>
      </c>
      <c r="P88" s="55">
        <v>0</v>
      </c>
      <c r="Q88" s="67">
        <f t="shared" si="22"/>
        <v>0</v>
      </c>
    </row>
    <row r="89" spans="1:17" ht="21.95" customHeight="1">
      <c r="A89" s="124"/>
      <c r="B89" s="110"/>
      <c r="C89" s="107" t="s">
        <v>86</v>
      </c>
      <c r="D89" s="107"/>
      <c r="E89" s="58">
        <v>0</v>
      </c>
      <c r="F89" s="56">
        <v>0</v>
      </c>
      <c r="G89" s="56">
        <v>0</v>
      </c>
      <c r="H89" s="56">
        <v>0</v>
      </c>
      <c r="I89" s="56">
        <v>0</v>
      </c>
      <c r="J89" s="56">
        <v>0</v>
      </c>
      <c r="K89" s="56">
        <v>0</v>
      </c>
      <c r="L89" s="56">
        <v>0</v>
      </c>
      <c r="M89" s="56">
        <v>0</v>
      </c>
      <c r="N89" s="56">
        <v>0</v>
      </c>
      <c r="O89" s="56">
        <v>0</v>
      </c>
      <c r="P89" s="56">
        <v>0</v>
      </c>
      <c r="Q89" s="67">
        <f t="shared" si="22"/>
        <v>0</v>
      </c>
    </row>
    <row r="90" spans="1:17" ht="21.95" customHeight="1">
      <c r="A90" s="124"/>
      <c r="B90" s="110"/>
      <c r="C90" s="101" t="s">
        <v>23</v>
      </c>
      <c r="D90" s="101"/>
      <c r="E90" s="57">
        <v>0</v>
      </c>
      <c r="F90" s="55">
        <v>0</v>
      </c>
      <c r="G90" s="55">
        <v>0</v>
      </c>
      <c r="H90" s="55">
        <v>0</v>
      </c>
      <c r="I90" s="55">
        <v>0</v>
      </c>
      <c r="J90" s="55">
        <v>0</v>
      </c>
      <c r="K90" s="55">
        <v>0</v>
      </c>
      <c r="L90" s="55">
        <v>0</v>
      </c>
      <c r="M90" s="55">
        <v>0</v>
      </c>
      <c r="N90" s="55">
        <v>0</v>
      </c>
      <c r="O90" s="55">
        <v>0</v>
      </c>
      <c r="P90" s="55">
        <v>0</v>
      </c>
      <c r="Q90" s="67">
        <f t="shared" si="22"/>
        <v>0</v>
      </c>
    </row>
    <row r="91" spans="1:17" ht="27.95" customHeight="1">
      <c r="A91" s="17"/>
      <c r="B91" s="17"/>
      <c r="C91" s="109" t="s">
        <v>87</v>
      </c>
      <c r="D91" s="109"/>
      <c r="E91" s="30">
        <f t="shared" ref="E91:O91" si="23">SUM(E86:E90)</f>
        <v>0</v>
      </c>
      <c r="F91" s="31">
        <f t="shared" si="23"/>
        <v>0</v>
      </c>
      <c r="G91" s="31">
        <f t="shared" si="23"/>
        <v>0</v>
      </c>
      <c r="H91" s="31">
        <f t="shared" si="23"/>
        <v>0</v>
      </c>
      <c r="I91" s="31">
        <f t="shared" si="23"/>
        <v>0</v>
      </c>
      <c r="J91" s="31">
        <f t="shared" si="23"/>
        <v>0</v>
      </c>
      <c r="K91" s="31">
        <f t="shared" si="23"/>
        <v>0</v>
      </c>
      <c r="L91" s="31">
        <f t="shared" si="23"/>
        <v>0</v>
      </c>
      <c r="M91" s="31">
        <f t="shared" si="23"/>
        <v>0</v>
      </c>
      <c r="N91" s="31">
        <f t="shared" si="23"/>
        <v>0</v>
      </c>
      <c r="O91" s="31">
        <f t="shared" si="23"/>
        <v>0</v>
      </c>
      <c r="P91" s="31">
        <f t="shared" ref="P91" si="24">SUM(P86:P90)</f>
        <v>0</v>
      </c>
      <c r="Q91" s="77">
        <f>SUM(E91:P91)</f>
        <v>0</v>
      </c>
    </row>
    <row r="92" spans="1:17" ht="15.9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3"/>
      <c r="Q92" s="3"/>
    </row>
    <row r="93" spans="1:17" ht="21.95" customHeight="1">
      <c r="A93" s="117" t="s">
        <v>88</v>
      </c>
      <c r="B93" s="12"/>
      <c r="C93" s="99" t="s">
        <v>16</v>
      </c>
      <c r="D93" s="99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3"/>
    </row>
    <row r="94" spans="1:17" ht="21.95" customHeight="1">
      <c r="A94" s="117"/>
      <c r="B94" s="13"/>
      <c r="C94" s="119" t="s">
        <v>89</v>
      </c>
      <c r="D94" s="119"/>
      <c r="E94" s="50">
        <v>0</v>
      </c>
      <c r="F94" s="48">
        <v>0</v>
      </c>
      <c r="G94" s="48">
        <v>0</v>
      </c>
      <c r="H94" s="48">
        <v>0</v>
      </c>
      <c r="I94" s="48">
        <v>0</v>
      </c>
      <c r="J94" s="48">
        <v>0</v>
      </c>
      <c r="K94" s="48">
        <v>0</v>
      </c>
      <c r="L94" s="48">
        <v>0</v>
      </c>
      <c r="M94" s="48">
        <v>0</v>
      </c>
      <c r="N94" s="48">
        <v>0</v>
      </c>
      <c r="O94" s="48">
        <v>0</v>
      </c>
      <c r="P94" s="48">
        <v>0</v>
      </c>
      <c r="Q94" s="67">
        <f t="shared" ref="Q94:Q99" si="25">SUM(E94:P94)</f>
        <v>0</v>
      </c>
    </row>
    <row r="95" spans="1:17" ht="21.95" customHeight="1">
      <c r="A95" s="117"/>
      <c r="B95" s="13"/>
      <c r="C95" s="118" t="s">
        <v>57</v>
      </c>
      <c r="D95" s="118"/>
      <c r="E95" s="49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67">
        <f t="shared" si="25"/>
        <v>0</v>
      </c>
    </row>
    <row r="96" spans="1:17" ht="21.95" customHeight="1">
      <c r="A96" s="117"/>
      <c r="B96" s="13"/>
      <c r="C96" s="119" t="s">
        <v>90</v>
      </c>
      <c r="D96" s="119"/>
      <c r="E96" s="50">
        <v>0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  <c r="Q96" s="67">
        <f t="shared" si="25"/>
        <v>0</v>
      </c>
    </row>
    <row r="97" spans="1:17" ht="21.95" customHeight="1">
      <c r="A97" s="117"/>
      <c r="B97" s="19"/>
      <c r="C97" s="118" t="s">
        <v>91</v>
      </c>
      <c r="D97" s="118"/>
      <c r="E97" s="49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  <c r="Q97" s="67">
        <f t="shared" si="25"/>
        <v>0</v>
      </c>
    </row>
    <row r="98" spans="1:17" ht="21.95" customHeight="1">
      <c r="A98" s="117"/>
      <c r="B98" s="19"/>
      <c r="C98" s="119" t="s">
        <v>23</v>
      </c>
      <c r="D98" s="119"/>
      <c r="E98" s="50">
        <v>0</v>
      </c>
      <c r="F98" s="48">
        <v>0</v>
      </c>
      <c r="G98" s="48">
        <v>0</v>
      </c>
      <c r="H98" s="48">
        <v>0</v>
      </c>
      <c r="I98" s="48">
        <v>0</v>
      </c>
      <c r="J98" s="48">
        <v>0</v>
      </c>
      <c r="K98" s="48">
        <v>0</v>
      </c>
      <c r="L98" s="48">
        <v>0</v>
      </c>
      <c r="M98" s="48">
        <v>0</v>
      </c>
      <c r="N98" s="48">
        <v>0</v>
      </c>
      <c r="O98" s="48">
        <v>0</v>
      </c>
      <c r="P98" s="48">
        <v>0</v>
      </c>
      <c r="Q98" s="67">
        <f t="shared" si="25"/>
        <v>0</v>
      </c>
    </row>
    <row r="99" spans="1:17" s="18" customFormat="1" ht="27.95" customHeight="1">
      <c r="A99" s="17"/>
      <c r="B99" s="17"/>
      <c r="C99" s="114" t="s">
        <v>92</v>
      </c>
      <c r="D99" s="114"/>
      <c r="E99" s="28">
        <f t="shared" ref="E99:O99" si="26">SUM(E94:E98)</f>
        <v>0</v>
      </c>
      <c r="F99" s="29">
        <f t="shared" si="26"/>
        <v>0</v>
      </c>
      <c r="G99" s="29">
        <f t="shared" si="26"/>
        <v>0</v>
      </c>
      <c r="H99" s="29">
        <f t="shared" si="26"/>
        <v>0</v>
      </c>
      <c r="I99" s="29">
        <f t="shared" si="26"/>
        <v>0</v>
      </c>
      <c r="J99" s="29">
        <f t="shared" si="26"/>
        <v>0</v>
      </c>
      <c r="K99" s="29">
        <f t="shared" si="26"/>
        <v>0</v>
      </c>
      <c r="L99" s="29">
        <f t="shared" si="26"/>
        <v>0</v>
      </c>
      <c r="M99" s="29">
        <f t="shared" si="26"/>
        <v>0</v>
      </c>
      <c r="N99" s="29">
        <f t="shared" si="26"/>
        <v>0</v>
      </c>
      <c r="O99" s="29">
        <f t="shared" si="26"/>
        <v>0</v>
      </c>
      <c r="P99" s="29">
        <f t="shared" ref="P99" si="27">SUM(P94:P98)</f>
        <v>0</v>
      </c>
      <c r="Q99" s="76">
        <f t="shared" si="25"/>
        <v>0</v>
      </c>
    </row>
    <row r="100" spans="1:17" ht="15.9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3"/>
      <c r="Q100" s="3"/>
    </row>
    <row r="101" spans="1:17" ht="30" customHeight="1">
      <c r="A101" s="93" t="s">
        <v>93</v>
      </c>
      <c r="B101" s="93"/>
      <c r="C101" s="93"/>
      <c r="D101" s="9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3"/>
    </row>
    <row r="102" spans="1:17" s="110" customFormat="1" ht="9.9499999999999993" customHeight="1"/>
    <row r="103" spans="1:17" s="20" customFormat="1" ht="21.95" customHeight="1">
      <c r="A103" s="128" t="s">
        <v>94</v>
      </c>
      <c r="B103" s="128"/>
      <c r="C103" s="128"/>
      <c r="D103" s="128"/>
      <c r="E103" s="69">
        <f t="shared" ref="E103:O103" si="28">E14</f>
        <v>0</v>
      </c>
      <c r="F103" s="69">
        <f t="shared" si="28"/>
        <v>0</v>
      </c>
      <c r="G103" s="69">
        <f>G14</f>
        <v>0</v>
      </c>
      <c r="H103" s="69">
        <f t="shared" si="28"/>
        <v>0</v>
      </c>
      <c r="I103" s="69">
        <f t="shared" si="28"/>
        <v>0</v>
      </c>
      <c r="J103" s="69">
        <f>J14</f>
        <v>0</v>
      </c>
      <c r="K103" s="69">
        <f t="shared" si="28"/>
        <v>0</v>
      </c>
      <c r="L103" s="69">
        <f t="shared" si="28"/>
        <v>0</v>
      </c>
      <c r="M103" s="69">
        <f t="shared" si="28"/>
        <v>0</v>
      </c>
      <c r="N103" s="69">
        <f t="shared" si="28"/>
        <v>0</v>
      </c>
      <c r="O103" s="69">
        <f t="shared" si="28"/>
        <v>0</v>
      </c>
      <c r="P103" s="59">
        <f t="shared" ref="P103" si="29">P14</f>
        <v>0</v>
      </c>
      <c r="Q103" s="67">
        <f>SUM(E103:P103)</f>
        <v>0</v>
      </c>
    </row>
    <row r="104" spans="1:17" s="20" customFormat="1" ht="21.95" customHeight="1">
      <c r="A104" s="129" t="s">
        <v>95</v>
      </c>
      <c r="B104" s="129"/>
      <c r="C104" s="129"/>
      <c r="D104" s="129"/>
      <c r="E104" s="70">
        <f>E21</f>
        <v>0</v>
      </c>
      <c r="F104" s="70">
        <f t="shared" ref="F104:O104" si="30">F21</f>
        <v>0</v>
      </c>
      <c r="G104" s="70">
        <f t="shared" si="30"/>
        <v>0</v>
      </c>
      <c r="H104" s="70">
        <f t="shared" si="30"/>
        <v>0</v>
      </c>
      <c r="I104" s="70">
        <f t="shared" si="30"/>
        <v>0</v>
      </c>
      <c r="J104" s="70">
        <f t="shared" si="30"/>
        <v>0</v>
      </c>
      <c r="K104" s="70">
        <f t="shared" si="30"/>
        <v>0</v>
      </c>
      <c r="L104" s="70">
        <f t="shared" si="30"/>
        <v>0</v>
      </c>
      <c r="M104" s="70">
        <f t="shared" si="30"/>
        <v>0</v>
      </c>
      <c r="N104" s="70">
        <f t="shared" si="30"/>
        <v>0</v>
      </c>
      <c r="O104" s="70">
        <f t="shared" si="30"/>
        <v>0</v>
      </c>
      <c r="P104" s="60">
        <f t="shared" ref="P104" si="31">P21</f>
        <v>0</v>
      </c>
      <c r="Q104" s="67">
        <f>SUM(E104:P104)</f>
        <v>0</v>
      </c>
    </row>
    <row r="105" spans="1:17" s="20" customFormat="1" ht="21.95" customHeight="1">
      <c r="A105" s="130" t="s">
        <v>96</v>
      </c>
      <c r="B105" s="130"/>
      <c r="C105" s="130"/>
      <c r="D105" s="130"/>
      <c r="E105" s="71">
        <f t="shared" ref="E105:O105" si="32">SUM(E99,E91,E83,E73,E66,E58,E50,E39)</f>
        <v>0</v>
      </c>
      <c r="F105" s="73">
        <f t="shared" si="32"/>
        <v>0</v>
      </c>
      <c r="G105" s="73">
        <f t="shared" si="32"/>
        <v>0</v>
      </c>
      <c r="H105" s="73">
        <f t="shared" si="32"/>
        <v>0</v>
      </c>
      <c r="I105" s="73">
        <f t="shared" si="32"/>
        <v>0</v>
      </c>
      <c r="J105" s="73">
        <f t="shared" si="32"/>
        <v>0</v>
      </c>
      <c r="K105" s="73">
        <f t="shared" si="32"/>
        <v>0</v>
      </c>
      <c r="L105" s="73">
        <f t="shared" si="32"/>
        <v>0</v>
      </c>
      <c r="M105" s="73">
        <f t="shared" si="32"/>
        <v>0</v>
      </c>
      <c r="N105" s="73">
        <f t="shared" si="32"/>
        <v>0</v>
      </c>
      <c r="O105" s="73">
        <f t="shared" si="32"/>
        <v>0</v>
      </c>
      <c r="P105" s="61">
        <f t="shared" ref="P105" si="33">SUM(P99,P91,P83,P73,P66,P58,P50,P39)</f>
        <v>0</v>
      </c>
      <c r="Q105" s="67">
        <f>SUM(E105:P105)</f>
        <v>0</v>
      </c>
    </row>
    <row r="106" spans="1:17" s="21" customFormat="1" ht="27.95" customHeight="1">
      <c r="A106" s="131" t="s">
        <v>97</v>
      </c>
      <c r="B106" s="131"/>
      <c r="C106" s="131"/>
      <c r="D106" s="131"/>
      <c r="E106" s="72">
        <f>SUM(E103-E104)-E105</f>
        <v>0</v>
      </c>
      <c r="F106" s="74">
        <f>SUM(F103-F104)-F105</f>
        <v>0</v>
      </c>
      <c r="G106" s="74">
        <f>SUM(G103-G104)-G105</f>
        <v>0</v>
      </c>
      <c r="H106" s="74">
        <f>SUM(H103-H104)-H105</f>
        <v>0</v>
      </c>
      <c r="I106" s="74">
        <f>SUM(I103-I104)-I105</f>
        <v>0</v>
      </c>
      <c r="J106" s="74">
        <f t="shared" ref="J106:O106" si="34">SUM(J103-J104)-J105</f>
        <v>0</v>
      </c>
      <c r="K106" s="74">
        <f t="shared" si="34"/>
        <v>0</v>
      </c>
      <c r="L106" s="74">
        <f t="shared" si="34"/>
        <v>0</v>
      </c>
      <c r="M106" s="74">
        <f t="shared" si="34"/>
        <v>0</v>
      </c>
      <c r="N106" s="74">
        <f t="shared" si="34"/>
        <v>0</v>
      </c>
      <c r="O106" s="74">
        <f t="shared" si="34"/>
        <v>0</v>
      </c>
      <c r="P106" s="62">
        <f t="shared" ref="P106" si="35">SUM(P103-P104)-P105</f>
        <v>0</v>
      </c>
      <c r="Q106" s="75">
        <f>SUM(E106:P106)</f>
        <v>0</v>
      </c>
    </row>
    <row r="107" spans="1:17" ht="32.1" customHeight="1">
      <c r="A107" s="10"/>
      <c r="B107" s="10"/>
      <c r="C107" s="22"/>
      <c r="D107" s="3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3"/>
    </row>
    <row r="108" spans="1:17" s="23" customFormat="1" ht="32.1" customHeight="1">
      <c r="A108" s="83" t="s">
        <v>98</v>
      </c>
      <c r="B108" s="83"/>
      <c r="C108" s="83"/>
      <c r="D108" s="83"/>
      <c r="E108" s="27" t="str">
        <f t="shared" ref="E108:P108" si="36">IFERROR(E104/E103,"0%")</f>
        <v>0%</v>
      </c>
      <c r="F108" s="27" t="str">
        <f t="shared" si="36"/>
        <v>0%</v>
      </c>
      <c r="G108" s="27" t="str">
        <f t="shared" si="36"/>
        <v>0%</v>
      </c>
      <c r="H108" s="27" t="str">
        <f t="shared" si="36"/>
        <v>0%</v>
      </c>
      <c r="I108" s="27" t="str">
        <f t="shared" si="36"/>
        <v>0%</v>
      </c>
      <c r="J108" s="27" t="str">
        <f t="shared" si="36"/>
        <v>0%</v>
      </c>
      <c r="K108" s="27" t="str">
        <f t="shared" si="36"/>
        <v>0%</v>
      </c>
      <c r="L108" s="27" t="str">
        <f t="shared" si="36"/>
        <v>0%</v>
      </c>
      <c r="M108" s="27" t="str">
        <f t="shared" si="36"/>
        <v>0%</v>
      </c>
      <c r="N108" s="27" t="str">
        <f t="shared" si="36"/>
        <v>0%</v>
      </c>
      <c r="O108" s="27" t="str">
        <f t="shared" si="36"/>
        <v>0%</v>
      </c>
      <c r="P108" s="27" t="str">
        <f t="shared" si="36"/>
        <v>0%</v>
      </c>
      <c r="Q108" s="66"/>
    </row>
    <row r="109" spans="1:17" s="23" customFormat="1" ht="32.1" customHeight="1">
      <c r="A109" s="84" t="s">
        <v>99</v>
      </c>
      <c r="B109" s="84"/>
      <c r="C109" s="84"/>
      <c r="D109" s="84"/>
      <c r="E109" s="24" t="str">
        <f t="shared" ref="E109:O109" si="37">IFERROR(E105/E103,"0%")</f>
        <v>0%</v>
      </c>
      <c r="F109" s="24" t="str">
        <f t="shared" si="37"/>
        <v>0%</v>
      </c>
      <c r="G109" s="24" t="str">
        <f t="shared" si="37"/>
        <v>0%</v>
      </c>
      <c r="H109" s="24" t="str">
        <f t="shared" si="37"/>
        <v>0%</v>
      </c>
      <c r="I109" s="24" t="str">
        <f t="shared" si="37"/>
        <v>0%</v>
      </c>
      <c r="J109" s="24" t="str">
        <f t="shared" si="37"/>
        <v>0%</v>
      </c>
      <c r="K109" s="24" t="str">
        <f t="shared" si="37"/>
        <v>0%</v>
      </c>
      <c r="L109" s="24" t="str">
        <f t="shared" si="37"/>
        <v>0%</v>
      </c>
      <c r="M109" s="24" t="str">
        <f t="shared" si="37"/>
        <v>0%</v>
      </c>
      <c r="N109" s="24" t="str">
        <f t="shared" si="37"/>
        <v>0%</v>
      </c>
      <c r="O109" s="24" t="str">
        <f t="shared" si="37"/>
        <v>0%</v>
      </c>
      <c r="P109" s="24" t="str">
        <f t="shared" ref="P109" si="38">IFERROR(P105/P103,"0%")</f>
        <v>0%</v>
      </c>
      <c r="Q109" s="66"/>
    </row>
    <row r="110" spans="1:17" ht="32.1" customHeight="1">
      <c r="E110" s="26"/>
      <c r="Q110" s="3"/>
    </row>
    <row r="111" spans="1:17" ht="21.95" customHeight="1">
      <c r="A111" s="127"/>
      <c r="B111" s="127"/>
      <c r="C111" s="127"/>
      <c r="D111" s="127"/>
      <c r="E111" s="132" t="s">
        <v>100</v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</row>
    <row r="112" spans="1:17" ht="21.95" customHeight="1">
      <c r="A112" s="127"/>
      <c r="B112" s="127"/>
      <c r="C112" s="127"/>
      <c r="D112" s="127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</row>
    <row r="113" spans="1:17" ht="21.95" customHeight="1">
      <c r="A113" s="127"/>
      <c r="B113" s="127"/>
      <c r="C113" s="127"/>
      <c r="D113" s="127"/>
      <c r="E113" s="133" t="s">
        <v>101</v>
      </c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</row>
    <row r="114" spans="1:17" ht="21.95" customHeight="1">
      <c r="A114" s="127"/>
      <c r="B114" s="127"/>
      <c r="C114" s="127"/>
      <c r="D114" s="127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</row>
    <row r="115" spans="1:17">
      <c r="Q115" s="3"/>
    </row>
    <row r="116" spans="1:17">
      <c r="Q116" s="3"/>
    </row>
    <row r="117" spans="1:17">
      <c r="Q117" s="3"/>
    </row>
    <row r="118" spans="1:17">
      <c r="Q118" s="3"/>
    </row>
    <row r="119" spans="1:17">
      <c r="Q119" s="3"/>
    </row>
    <row r="120" spans="1:17">
      <c r="Q120" s="3"/>
    </row>
    <row r="121" spans="1:17">
      <c r="Q121" s="3"/>
    </row>
    <row r="122" spans="1:17">
      <c r="Q122" s="3"/>
    </row>
    <row r="123" spans="1:17">
      <c r="Q123" s="3"/>
    </row>
    <row r="124" spans="1:17">
      <c r="Q124" s="3"/>
    </row>
    <row r="125" spans="1:17">
      <c r="Q125" s="3"/>
    </row>
    <row r="126" spans="1:17">
      <c r="Q126" s="3"/>
    </row>
    <row r="127" spans="1:17">
      <c r="Q127" s="3"/>
    </row>
    <row r="128" spans="1:17">
      <c r="Q128" s="3"/>
    </row>
    <row r="129" spans="17:17">
      <c r="Q129" s="3"/>
    </row>
    <row r="130" spans="17:17">
      <c r="Q130" s="3"/>
    </row>
    <row r="131" spans="17:17">
      <c r="Q131" s="3"/>
    </row>
    <row r="132" spans="17:17">
      <c r="Q132" s="3"/>
    </row>
    <row r="133" spans="17:17">
      <c r="Q133" s="3"/>
    </row>
    <row r="134" spans="17:17">
      <c r="Q134" s="3"/>
    </row>
    <row r="135" spans="17:17">
      <c r="Q135" s="3"/>
    </row>
    <row r="136" spans="17:17">
      <c r="Q136" s="3"/>
    </row>
    <row r="137" spans="17:17">
      <c r="Q137" s="3"/>
    </row>
    <row r="138" spans="17:17">
      <c r="Q138" s="3"/>
    </row>
    <row r="139" spans="17:17">
      <c r="Q139" s="3"/>
    </row>
    <row r="140" spans="17:17">
      <c r="Q140" s="3"/>
    </row>
    <row r="141" spans="17:17">
      <c r="Q141" s="3"/>
    </row>
    <row r="142" spans="17:17">
      <c r="Q142" s="3"/>
    </row>
    <row r="143" spans="17:17">
      <c r="Q143" s="3"/>
    </row>
    <row r="144" spans="17:17">
      <c r="Q144" s="3"/>
    </row>
    <row r="145" spans="17:17">
      <c r="Q145" s="3"/>
    </row>
    <row r="146" spans="17:17">
      <c r="Q146" s="3"/>
    </row>
    <row r="147" spans="17:17">
      <c r="Q147" s="3"/>
    </row>
    <row r="148" spans="17:17">
      <c r="Q148" s="3"/>
    </row>
    <row r="149" spans="17:17">
      <c r="Q149" s="3"/>
    </row>
    <row r="150" spans="17:17">
      <c r="Q150" s="3"/>
    </row>
    <row r="151" spans="17:17">
      <c r="Q151" s="3"/>
    </row>
    <row r="152" spans="17:17">
      <c r="Q152" s="3"/>
    </row>
    <row r="153" spans="17:17">
      <c r="Q153" s="3"/>
    </row>
    <row r="154" spans="17:17">
      <c r="Q154" s="3"/>
    </row>
    <row r="155" spans="17:17">
      <c r="Q155" s="3"/>
    </row>
    <row r="156" spans="17:17">
      <c r="Q156" s="3"/>
    </row>
    <row r="157" spans="17:17">
      <c r="Q157" s="3"/>
    </row>
    <row r="158" spans="17:17">
      <c r="Q158" s="3"/>
    </row>
    <row r="159" spans="17:17">
      <c r="Q159" s="3"/>
    </row>
    <row r="160" spans="17:17">
      <c r="Q160" s="3"/>
    </row>
    <row r="161" spans="17:17">
      <c r="Q161" s="3"/>
    </row>
    <row r="162" spans="17:17">
      <c r="Q162" s="3"/>
    </row>
    <row r="163" spans="17:17">
      <c r="Q163" s="3"/>
    </row>
    <row r="164" spans="17:17">
      <c r="Q164" s="3"/>
    </row>
    <row r="165" spans="17:17">
      <c r="Q165" s="3"/>
    </row>
    <row r="166" spans="17:17">
      <c r="Q166" s="3"/>
    </row>
    <row r="167" spans="17:17">
      <c r="Q167" s="3"/>
    </row>
    <row r="168" spans="17:17">
      <c r="Q168" s="3"/>
    </row>
    <row r="169" spans="17:17">
      <c r="Q169" s="3"/>
    </row>
    <row r="170" spans="17:17">
      <c r="Q170" s="3"/>
    </row>
    <row r="171" spans="17:17">
      <c r="Q171" s="3"/>
    </row>
    <row r="172" spans="17:17">
      <c r="Q172" s="3"/>
    </row>
    <row r="173" spans="17:17">
      <c r="Q173" s="3"/>
    </row>
    <row r="174" spans="17:17">
      <c r="Q174" s="3"/>
    </row>
    <row r="175" spans="17:17">
      <c r="Q175" s="3"/>
    </row>
    <row r="176" spans="17:17">
      <c r="Q176" s="3"/>
    </row>
    <row r="177" spans="17:17">
      <c r="Q177" s="3"/>
    </row>
    <row r="178" spans="17:17">
      <c r="Q178" s="3"/>
    </row>
    <row r="179" spans="17:17">
      <c r="Q179" s="3"/>
    </row>
    <row r="180" spans="17:17">
      <c r="Q180" s="3"/>
    </row>
    <row r="181" spans="17:17">
      <c r="Q181" s="3"/>
    </row>
    <row r="182" spans="17:17">
      <c r="Q182" s="3"/>
    </row>
    <row r="183" spans="17:17">
      <c r="Q183" s="3"/>
    </row>
    <row r="184" spans="17:17">
      <c r="Q184" s="3"/>
    </row>
    <row r="185" spans="17:17">
      <c r="Q185" s="3"/>
    </row>
    <row r="186" spans="17:17">
      <c r="Q186" s="3"/>
    </row>
    <row r="187" spans="17:17">
      <c r="Q187" s="3"/>
    </row>
    <row r="188" spans="17:17">
      <c r="Q188" s="3"/>
    </row>
    <row r="189" spans="17:17">
      <c r="Q189" s="3"/>
    </row>
    <row r="190" spans="17:17">
      <c r="Q190" s="3"/>
    </row>
    <row r="191" spans="17:17">
      <c r="Q191" s="3"/>
    </row>
    <row r="192" spans="17:17">
      <c r="Q192" s="3"/>
    </row>
    <row r="193" spans="17:17">
      <c r="Q193" s="3"/>
    </row>
    <row r="194" spans="17:17">
      <c r="Q194" s="3"/>
    </row>
    <row r="195" spans="17:17">
      <c r="Q195" s="3"/>
    </row>
    <row r="196" spans="17:17">
      <c r="Q196" s="3"/>
    </row>
    <row r="197" spans="17:17">
      <c r="Q197" s="3"/>
    </row>
    <row r="198" spans="17:17">
      <c r="Q198" s="3"/>
    </row>
    <row r="199" spans="17:17">
      <c r="Q199" s="3"/>
    </row>
    <row r="200" spans="17:17">
      <c r="Q200" s="3"/>
    </row>
    <row r="201" spans="17:17">
      <c r="Q201" s="3"/>
    </row>
    <row r="202" spans="17:17">
      <c r="Q202" s="3"/>
    </row>
    <row r="203" spans="17:17">
      <c r="Q203" s="3"/>
    </row>
    <row r="204" spans="17:17">
      <c r="Q204" s="3"/>
    </row>
    <row r="205" spans="17:17">
      <c r="Q205" s="3"/>
    </row>
    <row r="206" spans="17:17">
      <c r="Q206" s="3"/>
    </row>
    <row r="207" spans="17:17">
      <c r="Q207" s="3"/>
    </row>
    <row r="208" spans="17:17">
      <c r="Q208" s="3"/>
    </row>
    <row r="209" spans="17:17">
      <c r="Q209" s="3"/>
    </row>
    <row r="210" spans="17:17">
      <c r="Q210" s="3"/>
    </row>
    <row r="211" spans="17:17">
      <c r="Q211" s="3"/>
    </row>
    <row r="212" spans="17:17">
      <c r="Q212" s="3"/>
    </row>
    <row r="213" spans="17:17">
      <c r="Q213" s="3"/>
    </row>
    <row r="214" spans="17:17">
      <c r="Q214" s="3"/>
    </row>
    <row r="215" spans="17:17">
      <c r="Q215" s="3"/>
    </row>
    <row r="216" spans="17:17">
      <c r="Q216" s="3"/>
    </row>
    <row r="217" spans="17:17">
      <c r="Q217" s="3"/>
    </row>
    <row r="218" spans="17:17">
      <c r="Q218" s="3"/>
    </row>
    <row r="219" spans="17:17">
      <c r="Q219" s="3"/>
    </row>
    <row r="220" spans="17:17">
      <c r="Q220" s="3"/>
    </row>
    <row r="221" spans="17:17">
      <c r="Q221" s="3"/>
    </row>
    <row r="222" spans="17:17">
      <c r="Q222" s="3"/>
    </row>
    <row r="223" spans="17:17">
      <c r="Q223" s="3"/>
    </row>
    <row r="224" spans="17:17">
      <c r="Q224" s="3"/>
    </row>
    <row r="225" spans="17:17">
      <c r="Q225" s="3"/>
    </row>
    <row r="226" spans="17:17">
      <c r="Q226" s="3"/>
    </row>
    <row r="227" spans="17:17">
      <c r="Q227" s="3"/>
    </row>
    <row r="228" spans="17:17">
      <c r="Q228" s="3"/>
    </row>
    <row r="229" spans="17:17">
      <c r="Q229" s="3"/>
    </row>
    <row r="230" spans="17:17">
      <c r="Q230" s="3"/>
    </row>
    <row r="231" spans="17:17">
      <c r="Q231" s="3"/>
    </row>
    <row r="232" spans="17:17">
      <c r="Q232" s="3"/>
    </row>
    <row r="233" spans="17:17">
      <c r="Q233" s="3"/>
    </row>
    <row r="234" spans="17:17">
      <c r="Q234" s="3"/>
    </row>
    <row r="235" spans="17:17">
      <c r="Q235" s="3"/>
    </row>
    <row r="236" spans="17:17">
      <c r="Q236" s="3"/>
    </row>
    <row r="237" spans="17:17">
      <c r="Q237" s="3"/>
    </row>
    <row r="238" spans="17:17">
      <c r="Q238" s="3"/>
    </row>
    <row r="239" spans="17:17">
      <c r="Q239" s="3"/>
    </row>
    <row r="240" spans="17:17">
      <c r="Q240" s="3"/>
    </row>
    <row r="241" spans="17:17">
      <c r="Q241" s="3"/>
    </row>
    <row r="242" spans="17:17">
      <c r="Q242" s="3"/>
    </row>
    <row r="243" spans="17:17">
      <c r="Q243" s="3"/>
    </row>
    <row r="244" spans="17:17">
      <c r="Q244" s="3"/>
    </row>
    <row r="245" spans="17:17">
      <c r="Q245" s="3"/>
    </row>
    <row r="246" spans="17:17">
      <c r="Q246" s="3"/>
    </row>
    <row r="247" spans="17:17">
      <c r="Q247" s="3"/>
    </row>
    <row r="248" spans="17:17">
      <c r="Q248" s="3"/>
    </row>
  </sheetData>
  <sheetProtection algorithmName="SHA-512" hashValue="ChNWUwZ0re7qbqn5fEf8jMU9kbq88smCapPtGDDZQCCkX/T4PbZ9BzrFTXyrDRErycAyG1DOA4psa6QIODn/0Q==" saltValue="9SB9FbklZhXz1rCDB+87QA==" spinCount="100000" sheet="1" objects="1" scenarios="1"/>
  <mergeCells count="139">
    <mergeCell ref="Q1:Q2"/>
    <mergeCell ref="E23:P23"/>
    <mergeCell ref="P1:P2"/>
    <mergeCell ref="A111:D114"/>
    <mergeCell ref="A102:XFD102"/>
    <mergeCell ref="A103:D103"/>
    <mergeCell ref="A104:D104"/>
    <mergeCell ref="A105:D105"/>
    <mergeCell ref="A106:D106"/>
    <mergeCell ref="C99:D99"/>
    <mergeCell ref="C95:D95"/>
    <mergeCell ref="B85:B90"/>
    <mergeCell ref="A101:D101"/>
    <mergeCell ref="C91:D91"/>
    <mergeCell ref="A92:O92"/>
    <mergeCell ref="A93:A98"/>
    <mergeCell ref="C93:D93"/>
    <mergeCell ref="C94:D94"/>
    <mergeCell ref="C96:D96"/>
    <mergeCell ref="C97:D97"/>
    <mergeCell ref="E111:Q112"/>
    <mergeCell ref="E113:Q114"/>
    <mergeCell ref="C98:D98"/>
    <mergeCell ref="C83:D83"/>
    <mergeCell ref="C80:D80"/>
    <mergeCell ref="C76:D76"/>
    <mergeCell ref="C77:D77"/>
    <mergeCell ref="C78:D78"/>
    <mergeCell ref="C79:D79"/>
    <mergeCell ref="C82:D82"/>
    <mergeCell ref="C81:D81"/>
    <mergeCell ref="A84:O84"/>
    <mergeCell ref="A85:A90"/>
    <mergeCell ref="C85:D85"/>
    <mergeCell ref="C86:D86"/>
    <mergeCell ref="C87:D87"/>
    <mergeCell ref="C88:D88"/>
    <mergeCell ref="C89:D89"/>
    <mergeCell ref="C90:D90"/>
    <mergeCell ref="C68:D68"/>
    <mergeCell ref="C69:D69"/>
    <mergeCell ref="C70:D70"/>
    <mergeCell ref="C71:D71"/>
    <mergeCell ref="C72:D72"/>
    <mergeCell ref="C58:D58"/>
    <mergeCell ref="A100:O100"/>
    <mergeCell ref="B55:B57"/>
    <mergeCell ref="A59:O59"/>
    <mergeCell ref="A60:A65"/>
    <mergeCell ref="C60:D60"/>
    <mergeCell ref="C61:D61"/>
    <mergeCell ref="C62:D62"/>
    <mergeCell ref="B63:B65"/>
    <mergeCell ref="C63:D63"/>
    <mergeCell ref="C64:D64"/>
    <mergeCell ref="C65:D65"/>
    <mergeCell ref="C66:D66"/>
    <mergeCell ref="A67:O67"/>
    <mergeCell ref="A68:A72"/>
    <mergeCell ref="C73:D73"/>
    <mergeCell ref="A74:O74"/>
    <mergeCell ref="A75:A82"/>
    <mergeCell ref="C75:D75"/>
    <mergeCell ref="C54:D54"/>
    <mergeCell ref="C50:D50"/>
    <mergeCell ref="B45:B48"/>
    <mergeCell ref="A51:O51"/>
    <mergeCell ref="A52:A57"/>
    <mergeCell ref="C55:D55"/>
    <mergeCell ref="C56:D56"/>
    <mergeCell ref="C57:D57"/>
    <mergeCell ref="A41:A49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2:D52"/>
    <mergeCell ref="C53:D53"/>
    <mergeCell ref="C36:D36"/>
    <mergeCell ref="C35:D35"/>
    <mergeCell ref="C34:D34"/>
    <mergeCell ref="C39:D39"/>
    <mergeCell ref="A24:XFD24"/>
    <mergeCell ref="A25:A38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8:D38"/>
    <mergeCell ref="O1:O2"/>
    <mergeCell ref="A4:D4"/>
    <mergeCell ref="C6:D6"/>
    <mergeCell ref="C7:D7"/>
    <mergeCell ref="C8:D8"/>
    <mergeCell ref="J1:J2"/>
    <mergeCell ref="K1:K2"/>
    <mergeCell ref="L1:L2"/>
    <mergeCell ref="M1:M2"/>
    <mergeCell ref="N1:N2"/>
    <mergeCell ref="E1:E2"/>
    <mergeCell ref="F1:F2"/>
    <mergeCell ref="G1:G2"/>
    <mergeCell ref="H1:H2"/>
    <mergeCell ref="I1:I2"/>
    <mergeCell ref="A1:D2"/>
    <mergeCell ref="A108:D108"/>
    <mergeCell ref="A109:D109"/>
    <mergeCell ref="C9:D9"/>
    <mergeCell ref="C10:D10"/>
    <mergeCell ref="C11:D11"/>
    <mergeCell ref="C12:D12"/>
    <mergeCell ref="C13:D13"/>
    <mergeCell ref="C14:D14"/>
    <mergeCell ref="A6:A13"/>
    <mergeCell ref="A23:D23"/>
    <mergeCell ref="A22:O22"/>
    <mergeCell ref="C21:D21"/>
    <mergeCell ref="A15:O15"/>
    <mergeCell ref="A16:A20"/>
    <mergeCell ref="B17:B21"/>
    <mergeCell ref="C17:D17"/>
    <mergeCell ref="C18:D18"/>
    <mergeCell ref="C19:D19"/>
    <mergeCell ref="C20:D20"/>
    <mergeCell ref="C16:D16"/>
    <mergeCell ref="A40:O40"/>
    <mergeCell ref="B31:B37"/>
    <mergeCell ref="C37:D37"/>
    <mergeCell ref="E101:P101"/>
  </mergeCells>
  <conditionalFormatting sqref="E106:P106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E113:O114" r:id="rId1" display="Quer investir com inteligência? Aprenda a fazer render o dinheirinho que sobra todo mês" xr:uid="{D507EA38-1E7D-514D-A0FA-952560D83633}"/>
    <hyperlink ref="E111:O112" r:id="rId2" display="Clique para conferir nossas dicas para utilizar melhor sua planilha" xr:uid="{EDD8CC4F-4F2D-4129-BB17-06E464D35EAE}"/>
    <hyperlink ref="P113:P114" r:id="rId3" display="https://inteligenciafinanceira.com.br/planejamento-financeiro/?i=0,0462363602737193" xr:uid="{9267AAE0-1211-4B51-B403-55601604EF40}"/>
  </hyperlinks>
  <pageMargins left="0.7" right="0.7" top="0.75" bottom="0.75" header="0.3" footer="0.3"/>
  <headerFooter>
    <oddFooter>&amp;L_x000D_&amp;1#&amp;"Calibri"&amp;9&amp;K000000 Corporativo | Interno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50E7-1D9B-4EE9-8F43-2757041C2B36}">
  <dimension ref="A1:R37"/>
  <sheetViews>
    <sheetView showGridLines="0" showRowColHeaders="0" zoomScale="70" zoomScaleNormal="70" workbookViewId="0">
      <selection activeCell="R25" sqref="R25"/>
    </sheetView>
  </sheetViews>
  <sheetFormatPr defaultColWidth="0" defaultRowHeight="15" zeroHeight="1"/>
  <cols>
    <col min="1" max="1" width="9.85546875" customWidth="1"/>
    <col min="2" max="17" width="9.140625" customWidth="1"/>
    <col min="18" max="18" width="14.42578125" customWidth="1"/>
    <col min="19" max="16384" width="9.140625" hidden="1"/>
  </cols>
  <sheetData>
    <row r="1" customFormat="1"/>
    <row r="2" customFormat="1"/>
    <row r="3" customFormat="1"/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 hidden="1"/>
    <row r="27" customFormat="1" hidden="1"/>
    <row r="28" customFormat="1" hidden="1"/>
    <row r="29" customFormat="1" hidden="1"/>
    <row r="30" customFormat="1" hidden="1"/>
    <row r="31" customFormat="1" hidden="1"/>
    <row r="32" customFormat="1" hidden="1"/>
    <row r="33" customFormat="1" hidden="1"/>
    <row r="34" customFormat="1" hidden="1"/>
    <row r="35" customFormat="1" hidden="1"/>
    <row r="36" customFormat="1" hidden="1"/>
    <row r="37" customFormat="1" hidden="1"/>
  </sheetData>
  <pageMargins left="0.511811024" right="0.511811024" top="0.78740157499999996" bottom="0.78740157499999996" header="0.31496062000000002" footer="0.31496062000000002"/>
  <headerFooter>
    <oddFooter>&amp;L_x000D_&amp;1#&amp;"Calibri"&amp;9&amp;K000000 Corporativo | Interno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911D-38AF-4E54-B969-B3BC2FA8816F}">
  <dimension ref="A1:AZ44"/>
  <sheetViews>
    <sheetView showGridLines="0" showRowColHeaders="0" zoomScale="70" zoomScaleNormal="70" workbookViewId="0"/>
  </sheetViews>
  <sheetFormatPr defaultColWidth="0" defaultRowHeight="15" zeroHeight="1"/>
  <cols>
    <col min="1" max="52" width="9.140625" customWidth="1"/>
    <col min="53" max="16384" width="9.140625" hidden="1"/>
  </cols>
  <sheetData>
    <row r="1" spans="1:5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</sheetData>
  <pageMargins left="0.511811024" right="0.511811024" top="0.78740157499999996" bottom="0.78740157499999996" header="0.31496062000000002" footer="0.31496062000000002"/>
  <headerFooter>
    <oddFooter>&amp;L_x000D_&amp;1#&amp;"Calibri"&amp;9&amp;K000000 Corporativo | Interno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bf3eb-2f47-4d38-91a2-80e9e31a4daf" xsi:nil="true"/>
    <lcf76f155ced4ddcb4097134ff3c332f xmlns="911167cc-ea81-4c60-a2f6-0df97ba6bc9c">
      <Terms xmlns="http://schemas.microsoft.com/office/infopath/2007/PartnerControls"/>
    </lcf76f155ced4ddcb4097134ff3c332f>
    <SharedWithUsers xmlns="d1fbf3eb-2f47-4d38-91a2-80e9e31a4daf">
      <UserInfo>
        <DisplayName>Jadyr Magalhaes Pavao Junio</DisplayName>
        <AccountId>16</AccountId>
        <AccountType/>
      </UserInfo>
      <UserInfo>
        <DisplayName>Marcelo Adelar Rafognatto Andr</DisplayName>
        <AccountId>57</AccountId>
        <AccountType/>
      </UserInfo>
      <UserInfo>
        <DisplayName>Victor Ferraz Torelli</DisplayName>
        <AccountId>35</AccountId>
        <AccountType/>
      </UserInfo>
      <UserInfo>
        <DisplayName>Thais Canedo Motta</DisplayName>
        <AccountId>34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A05DDF16A0E945968696A28222A918" ma:contentTypeVersion="14" ma:contentTypeDescription="Crie um novo documento." ma:contentTypeScope="" ma:versionID="fa3d62a1358260dd6cca1da1cffceae7">
  <xsd:schema xmlns:xsd="http://www.w3.org/2001/XMLSchema" xmlns:xs="http://www.w3.org/2001/XMLSchema" xmlns:p="http://schemas.microsoft.com/office/2006/metadata/properties" xmlns:ns2="911167cc-ea81-4c60-a2f6-0df97ba6bc9c" xmlns:ns3="d1fbf3eb-2f47-4d38-91a2-80e9e31a4daf" targetNamespace="http://schemas.microsoft.com/office/2006/metadata/properties" ma:root="true" ma:fieldsID="d4df2100b58779135ac1c6c73fdd24b6" ns2:_="" ns3:_="">
    <xsd:import namespace="911167cc-ea81-4c60-a2f6-0df97ba6bc9c"/>
    <xsd:import namespace="d1fbf3eb-2f47-4d38-91a2-80e9e31a4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167cc-ea81-4c60-a2f6-0df97ba6bc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50beca-b328-4607-a8b4-7a69b88987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bf3eb-2f47-4d38-91a2-80e9e31a4da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5fba8dd-2ed2-41a9-8717-684edb1f35f3}" ma:internalName="TaxCatchAll" ma:showField="CatchAllData" ma:web="d1fbf3eb-2f47-4d38-91a2-80e9e31a4d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AAC45D-65E6-4555-AC43-D3D0106C2F3B}"/>
</file>

<file path=customXml/itemProps2.xml><?xml version="1.0" encoding="utf-8"?>
<ds:datastoreItem xmlns:ds="http://schemas.openxmlformats.org/officeDocument/2006/customXml" ds:itemID="{67AB7D20-6FF3-4A7F-818B-A8CD097AEC61}"/>
</file>

<file path=customXml/itemProps3.xml><?xml version="1.0" encoding="utf-8"?>
<ds:datastoreItem xmlns:ds="http://schemas.openxmlformats.org/officeDocument/2006/customXml" ds:itemID="{BB825680-40E6-4C59-AAB8-7F46BE55F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Jadyr Magalhaes Pavao Junio</dc:creator>
  <cp:keywords/>
  <dc:description/>
  <cp:lastModifiedBy/>
  <cp:revision/>
  <dcterms:created xsi:type="dcterms:W3CDTF">2023-07-28T20:19:15Z</dcterms:created>
  <dcterms:modified xsi:type="dcterms:W3CDTF">2023-12-01T13:51:31Z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0x010100CCA05DDF16A0E945968696A28222A918</vt:lpwstr>
  </property>
  <property fmtid="{D5CDD505-2E9C-101B-9397-08002B2CF9AE}" pid="3" name="MediaServiceImageTags">
    <vt:lpwstr/>
  </property>
  <property fmtid="{D5CDD505-2E9C-101B-9397-08002B2CF9AE}" pid="4" name="MSIP_Label_4fc996bf-6aee-415c-aa4c-e35ad0009c67_Enabled">
    <vt:lpwstr>true</vt:lpwstr>
  </property>
  <property fmtid="{D5CDD505-2E9C-101B-9397-08002B2CF9AE}" pid="5" name="MSIP_Label_4fc996bf-6aee-415c-aa4c-e35ad0009c67_SetDate">
    <vt:lpwstr>2023-10-04T17:23:36Z</vt:lpwstr>
  </property>
  <property fmtid="{D5CDD505-2E9C-101B-9397-08002B2CF9AE}" pid="6" name="MSIP_Label_4fc996bf-6aee-415c-aa4c-e35ad0009c67_Method">
    <vt:lpwstr>Standard</vt:lpwstr>
  </property>
  <property fmtid="{D5CDD505-2E9C-101B-9397-08002B2CF9AE}" pid="7" name="MSIP_Label_4fc996bf-6aee-415c-aa4c-e35ad0009c67_Name">
    <vt:lpwstr>Compartilhamento Interno</vt:lpwstr>
  </property>
  <property fmtid="{D5CDD505-2E9C-101B-9397-08002B2CF9AE}" pid="8" name="MSIP_Label_4fc996bf-6aee-415c-aa4c-e35ad0009c67_SiteId">
    <vt:lpwstr>591669a0-183f-49a5-98f4-9aa0d0b63d81</vt:lpwstr>
  </property>
  <property fmtid="{D5CDD505-2E9C-101B-9397-08002B2CF9AE}" pid="9" name="MSIP_Label_4fc996bf-6aee-415c-aa4c-e35ad0009c67_ActionId">
    <vt:lpwstr>fb2b20a2-9158-47de-8777-01ba5fb7c747</vt:lpwstr>
  </property>
  <property fmtid="{D5CDD505-2E9C-101B-9397-08002B2CF9AE}" pid="10" name="MSIP_Label_4fc996bf-6aee-415c-aa4c-e35ad0009c67_ContentBits">
    <vt:lpwstr>2</vt:lpwstr>
  </property>
</Properties>
</file>