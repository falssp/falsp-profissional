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ção Datalake" sheetId="1" r:id="rId4"/>
    <sheet state="visible" name="Dados_modelo" sheetId="2" r:id="rId5"/>
    <sheet state="visible" name="2302" sheetId="3" r:id="rId6"/>
    <sheet state="visible" name="2402" sheetId="4" r:id="rId7"/>
    <sheet state="visible" name="2502" sheetId="5" r:id="rId8"/>
    <sheet state="visible" name="2602" sheetId="6" r:id="rId9"/>
    <sheet state="visible" name="27 e 2802" sheetId="7" r:id="rId10"/>
  </sheets>
  <definedNames/>
  <calcPr/>
</workbook>
</file>

<file path=xl/sharedStrings.xml><?xml version="1.0" encoding="utf-8"?>
<sst xmlns="http://schemas.openxmlformats.org/spreadsheetml/2006/main" count="502" uniqueCount="63">
  <si>
    <t>Tipo</t>
  </si>
  <si>
    <t>Verificação</t>
  </si>
  <si>
    <t>Destinatário</t>
  </si>
  <si>
    <t>Interno</t>
  </si>
  <si>
    <t>Objetivo</t>
  </si>
  <si>
    <t>validar se os dados do bigquery estão de acordo com as ferramentas</t>
  </si>
  <si>
    <t>Periodicidade</t>
  </si>
  <si>
    <t>diário</t>
  </si>
  <si>
    <t>Observações</t>
  </si>
  <si>
    <t>Como fazer</t>
  </si>
  <si>
    <t>temos um dash que nos informa os valores registrados na base do BigQuery</t>
  </si>
  <si>
    <t>temos as métricas correspondentes a todas as fontes de dados que utilizamos</t>
  </si>
  <si>
    <t>o que devemos fazer é conferir se os valores do bigquery (presentes no dash) estão de acordo com os valores nativas da plataformas que registram estas métricas</t>
  </si>
  <si>
    <t>Dash</t>
  </si>
  <si>
    <t>https://datastudio.google.com/u/0/reporting/a9da2a3e-7af4-4cef-a99f-c13cbbbab20e/page/bmeMB</t>
  </si>
  <si>
    <t>O que devemos validar:</t>
  </si>
  <si>
    <t>Origem de Dados</t>
  </si>
  <si>
    <t>Métrica</t>
  </si>
  <si>
    <t>Observação</t>
  </si>
  <si>
    <t>Onde Conferir</t>
  </si>
  <si>
    <t>Google Analytics</t>
  </si>
  <si>
    <t>Vendas</t>
  </si>
  <si>
    <t>https://analytics.google.com/analytics/web/template?uid=raLhq7T4T2Oyi_8p73WOvQ</t>
  </si>
  <si>
    <t>Visitas</t>
  </si>
  <si>
    <t>https://analytics.google.com/analytics/web/template?uid=qaadtGIFRQ6rcj8JBc3SPg</t>
  </si>
  <si>
    <t>Campaign Manager</t>
  </si>
  <si>
    <t>Impressões</t>
  </si>
  <si>
    <t>(excluir SITE (DCM) contém: facebook|gdn|smart|discovery|kayak)</t>
  </si>
  <si>
    <t>https://ddm.google.com/analytics/dfa/?defaultDs=4673126%3A8792&amp;hl=en&amp;zx=cwr428d4jegc#explorer/delivery-overview/4673480%3A8792/</t>
  </si>
  <si>
    <t>Cliques</t>
  </si>
  <si>
    <t>(excluir SITE CM contém: search)</t>
  </si>
  <si>
    <t>Google Ads</t>
  </si>
  <si>
    <t>Investimento</t>
  </si>
  <si>
    <t>https://ads.google.com/aw/accounts?ocid=59150774&amp;euid=287266717&amp;__u=4192127733&amp;uscid=79885548&amp;__c=4890970252&amp;authuser=0</t>
  </si>
  <si>
    <t>Facebook</t>
  </si>
  <si>
    <t>https://business.facebook.com/adsmanager/reporting/business_view?act=1449709501871493&amp;business_id=837801102899307&amp;event_source=flyout_menu&amp;selected_report_id=3157574504255277</t>
  </si>
  <si>
    <t>Bing</t>
  </si>
  <si>
    <t>https://ui.ads.microsoft.com/Campaign/AccountsSummary?cid=12173619&amp;uid=107103021#customer/12173619/accounts-summary/performance</t>
  </si>
  <si>
    <t>Verizon Gemini</t>
  </si>
  <si>
    <t>https://gemini.yahoo.com/advertiser/accounts</t>
  </si>
  <si>
    <t>RTB</t>
  </si>
  <si>
    <t>https://panel.rtbhouse.com/#/dashboard/I90IE7KY9ArYibRvnB2l?groupBy=day&amp;rangeName=CUSTOM&amp;countConvention=ATTRIBUTED&amp;dayFrom=2020-06-01&amp;dayTo=2020-07-01</t>
  </si>
  <si>
    <t>Taboola</t>
  </si>
  <si>
    <t>https://backstage.taboola.com/backstage/</t>
  </si>
  <si>
    <t>Criteo</t>
  </si>
  <si>
    <t>https://marketing.criteo.com/analytics/dashboards/mc-overview/?advertiserId=11367</t>
  </si>
  <si>
    <t>DV360</t>
  </si>
  <si>
    <t>https://displayvideo.google.com/#ng_nav/p/182131/reporting</t>
  </si>
  <si>
    <t>Views</t>
  </si>
  <si>
    <t>quando rodarmos video apenas</t>
  </si>
  <si>
    <t>Datalake</t>
  </si>
  <si>
    <t>GA (Google Analytics)</t>
  </si>
  <si>
    <t>CM (Campaing Manager)</t>
  </si>
  <si>
    <t>D-1</t>
  </si>
  <si>
    <t>D-2</t>
  </si>
  <si>
    <t>D-3</t>
  </si>
  <si>
    <t>D-4</t>
  </si>
  <si>
    <t>D-5</t>
  </si>
  <si>
    <t>D-6</t>
  </si>
  <si>
    <t>D-7</t>
  </si>
  <si>
    <t>FaceAds</t>
  </si>
  <si>
    <t>RTB House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</si>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</sst>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"/>
  </numFmts>
  <fonts count="11">
    <font>
      <sz val="10.0"/>
      <color rgb="FF000000"/>
      <name val="Arial"/>
    </font>
    <font>
      <sz val="11.0"/>
      <color rgb="FF000000"/>
      <name val="Calibri"/>
    </font>
    <font>
      <color theme="1"/>
      <name val="Arial"/>
    </font>
    <font>
      <b/>
      <sz val="11.0"/>
      <color rgb="FF000000"/>
      <name val="Calibri"/>
    </font>
    <font/>
    <font>
      <u/>
      <color rgb="FF000000"/>
      <name val="Roboto"/>
    </font>
    <font>
      <b/>
      <i/>
      <sz val="11.0"/>
      <color rgb="FF000000"/>
      <name val="Calibri"/>
    </font>
    <font>
      <i/>
      <sz val="11.0"/>
      <color rgb="FF000000"/>
      <name val="Calibri"/>
    </font>
    <font>
      <u/>
      <sz val="11.0"/>
      <color rgb="FF000000"/>
      <name val="Calibri"/>
    </font>
    <font>
      <u/>
      <sz val="11.0"/>
      <color rgb="FF000000"/>
      <name val="Calibri"/>
    </font>
    <font>
      <u/>
      <sz val="11.0"/>
      <color rgb="FF00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3" fillId="0" fontId="4" numFmtId="0" xfId="0" applyBorder="1" applyFont="1"/>
    <xf borderId="2" fillId="0" fontId="3" numFmtId="0" xfId="0" applyAlignment="1" applyBorder="1" applyFont="1">
      <alignment readingOrder="0" shrinkToFit="0" vertical="center" wrapText="0"/>
    </xf>
    <xf borderId="4" fillId="0" fontId="4" numFmtId="0" xfId="0" applyBorder="1" applyFont="1"/>
    <xf borderId="2" fillId="0" fontId="1" numFmtId="0" xfId="0" applyAlignment="1" applyBorder="1" applyFont="1">
      <alignment shrinkToFit="0" vertical="center" wrapText="0"/>
    </xf>
    <xf borderId="5" fillId="2" fontId="5" numFmtId="0" xfId="0" applyAlignment="1" applyBorder="1" applyFill="1" applyFont="1">
      <alignment readingOrder="0"/>
    </xf>
    <xf borderId="5" fillId="0" fontId="4" numFmtId="0" xfId="0" applyBorder="1" applyFont="1"/>
    <xf borderId="6" fillId="0" fontId="4" numFmtId="0" xfId="0" applyBorder="1" applyFont="1"/>
    <xf borderId="1" fillId="3" fontId="3" numFmtId="0" xfId="0" applyAlignment="1" applyBorder="1" applyFill="1" applyFon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7" fillId="0" fontId="7" numFmtId="0" xfId="0" applyAlignment="1" applyBorder="1" applyFont="1">
      <alignment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8" fillId="0" fontId="4" numFmtId="0" xfId="0" applyBorder="1" applyFont="1"/>
    <xf borderId="1" fillId="0" fontId="7" numFmtId="0" xfId="0" applyAlignment="1" applyBorder="1" applyFont="1">
      <alignment readingOrder="0" shrinkToFit="0" vertical="center" wrapText="0"/>
    </xf>
    <xf borderId="7" fillId="0" fontId="9" numFmtId="0" xfId="0" applyAlignment="1" applyBorder="1" applyFont="1">
      <alignment horizontal="left" readingOrder="0" shrinkToFit="0" vertical="center" wrapText="0"/>
    </xf>
    <xf borderId="9" fillId="0" fontId="4" numFmtId="0" xfId="0" applyBorder="1" applyFont="1"/>
    <xf borderId="1" fillId="0" fontId="7" numFmtId="0" xfId="0" applyAlignment="1" applyBorder="1" applyFont="1">
      <alignment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0" fillId="2" fontId="2" numFmtId="3" xfId="0" applyAlignment="1" applyFont="1" applyNumberFormat="1">
      <alignment horizontal="center"/>
    </xf>
    <xf borderId="7" fillId="2" fontId="2" numFmtId="3" xfId="0" applyAlignment="1" applyBorder="1" applyFont="1" applyNumberFormat="1">
      <alignment horizontal="center"/>
    </xf>
    <xf borderId="2" fillId="2" fontId="2" numFmtId="3" xfId="0" applyAlignment="1" applyBorder="1" applyFont="1" applyNumberFormat="1">
      <alignment horizontal="center" readingOrder="0"/>
    </xf>
    <xf borderId="7" fillId="2" fontId="2" numFmtId="3" xfId="0" applyAlignment="1" applyBorder="1" applyFont="1" applyNumberFormat="1">
      <alignment horizontal="center" readingOrder="0"/>
    </xf>
    <xf borderId="0" fillId="2" fontId="2" numFmtId="3" xfId="0" applyFont="1" applyNumberFormat="1"/>
    <xf borderId="1" fillId="2" fontId="2" numFmtId="3" xfId="0" applyAlignment="1" applyBorder="1" applyFont="1" applyNumberFormat="1">
      <alignment horizontal="center" readingOrder="0"/>
    </xf>
    <xf borderId="1" fillId="2" fontId="2" numFmtId="3" xfId="0" applyAlignment="1" applyBorder="1" applyFont="1" applyNumberFormat="1">
      <alignment horizontal="center"/>
    </xf>
    <xf borderId="1" fillId="2" fontId="2" numFmtId="0" xfId="0" applyBorder="1" applyFont="1"/>
    <xf borderId="7" fillId="2" fontId="2" numFmtId="164" xfId="0" applyAlignment="1" applyBorder="1" applyFont="1" applyNumberFormat="1">
      <alignment horizontal="center"/>
    </xf>
    <xf borderId="7" fillId="2" fontId="2" numFmtId="164" xfId="0" applyAlignment="1" applyBorder="1" applyFont="1" applyNumberFormat="1">
      <alignment horizontal="center" readingOrder="0"/>
    </xf>
    <xf borderId="0" fillId="2" fontId="2" numFmtId="164" xfId="0" applyFont="1" applyNumberFormat="1"/>
    <xf borderId="1" fillId="2" fontId="2" numFmtId="164" xfId="0" applyAlignment="1" applyBorder="1" applyFont="1" applyNumberFormat="1">
      <alignment horizontal="center" readingOrder="0"/>
    </xf>
    <xf borderId="1" fillId="2" fontId="2" numFmtId="164" xfId="0" applyAlignment="1" applyBorder="1" applyFont="1" applyNumberFormat="1">
      <alignment horizontal="center"/>
    </xf>
    <xf borderId="1" fillId="4" fontId="2" numFmtId="3" xfId="0" applyAlignment="1" applyBorder="1" applyFill="1" applyFont="1" applyNumberFormat="1">
      <alignment horizontal="center" readingOrder="0"/>
    </xf>
    <xf borderId="0" fillId="2" fontId="2" numFmtId="164" xfId="0" applyAlignment="1" applyFont="1" applyNumberFormat="1">
      <alignment horizontal="center"/>
    </xf>
    <xf borderId="0" fillId="2" fontId="2" numFmtId="3" xfId="0" applyAlignment="1" applyFont="1" applyNumberFormat="1">
      <alignment horizontal="center" readingOrder="0"/>
    </xf>
    <xf borderId="0" fillId="2" fontId="2" numFmtId="164" xfId="0" applyAlignment="1" applyFont="1" applyNumberFormat="1">
      <alignment horizontal="center" readingOrder="0"/>
    </xf>
    <xf borderId="1" fillId="2" fontId="4" numFmtId="3" xfId="0" applyAlignment="1" applyBorder="1" applyFont="1" applyNumberFormat="1">
      <alignment horizontal="center" readingOrder="0"/>
    </xf>
    <xf borderId="1" fillId="4" fontId="4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marketing.criteo.com/analytics/dashboards/mc-overview/?advertiserId=11367" TargetMode="External"/><Relationship Id="rId10" Type="http://schemas.openxmlformats.org/officeDocument/2006/relationships/hyperlink" Target="https://backstage.taboola.com/backstage/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isplayvideo.google.com/" TargetMode="External"/><Relationship Id="rId1" Type="http://schemas.openxmlformats.org/officeDocument/2006/relationships/hyperlink" Target="https://datastudio.google.com/u/0/reporting/a9da2a3e-7af4-4cef-a99f-c13cbbbab20e/page/bmeMB" TargetMode="External"/><Relationship Id="rId2" Type="http://schemas.openxmlformats.org/officeDocument/2006/relationships/hyperlink" Target="https://analytics.google.com/analytics/web/template?uid=raLhq7T4T2Oyi_8p73WOvQ" TargetMode="External"/><Relationship Id="rId3" Type="http://schemas.openxmlformats.org/officeDocument/2006/relationships/hyperlink" Target="https://analytics.google.com/analytics/web/template?uid=qaadtGIFRQ6rcj8JBc3SPg" TargetMode="External"/><Relationship Id="rId4" Type="http://schemas.openxmlformats.org/officeDocument/2006/relationships/hyperlink" Target="https://ddm.google.com/analytics/dfa/?defaultDs=4673126%3A8792&amp;hl=en&amp;zx=cwr428d4jegc" TargetMode="External"/><Relationship Id="rId9" Type="http://schemas.openxmlformats.org/officeDocument/2006/relationships/hyperlink" Target="https://panel.rtbhouse.com/" TargetMode="External"/><Relationship Id="rId5" Type="http://schemas.openxmlformats.org/officeDocument/2006/relationships/hyperlink" Target="https://ads.google.com/aw/accounts?ocid=59150774&amp;euid=287266717&amp;__u=4192127733&amp;uscid=79885548&amp;__c=4890970252&amp;authuser=0" TargetMode="External"/><Relationship Id="rId6" Type="http://schemas.openxmlformats.org/officeDocument/2006/relationships/hyperlink" Target="https://business.facebook.com/adsmanager/reporting/business_view?act=1449709501871493&amp;business_id=837801102899307&amp;event_source=flyout_menu&amp;selected_report_id=3157574504255277" TargetMode="External"/><Relationship Id="rId7" Type="http://schemas.openxmlformats.org/officeDocument/2006/relationships/hyperlink" Target="https://ui.ads.microsoft.com/Campaign/AccountsSummary?cid=12173619&amp;uid=107103021" TargetMode="External"/><Relationship Id="rId8" Type="http://schemas.openxmlformats.org/officeDocument/2006/relationships/hyperlink" Target="https://gemini.yahoo.com/advertiser/accounts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2" max="2" width="25.57"/>
    <col customWidth="1" min="3" max="3" width="59.14"/>
    <col customWidth="1" min="4" max="4" width="58.14"/>
    <col customWidth="1" min="5" max="5" width="170.86"/>
  </cols>
  <sheetData>
    <row r="1">
      <c r="A1" s="1"/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1"/>
      <c r="B2" s="3" t="s">
        <v>0</v>
      </c>
      <c r="C2" s="4" t="s">
        <v>1</v>
      </c>
      <c r="D2" s="5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1"/>
      <c r="B3" s="3" t="s">
        <v>2</v>
      </c>
      <c r="C3" s="4" t="s">
        <v>3</v>
      </c>
      <c r="D3" s="5"/>
      <c r="E3" s="1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"/>
      <c r="B4" s="3" t="s">
        <v>4</v>
      </c>
      <c r="C4" s="4" t="s">
        <v>5</v>
      </c>
      <c r="D4" s="5"/>
      <c r="E4" s="1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"/>
      <c r="B5" s="3" t="s">
        <v>6</v>
      </c>
      <c r="C5" s="4" t="s">
        <v>7</v>
      </c>
      <c r="D5" s="5"/>
      <c r="E5" s="1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"/>
      <c r="B6" s="3" t="s">
        <v>8</v>
      </c>
      <c r="C6" s="4"/>
      <c r="D6" s="5"/>
      <c r="E6" s="1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"/>
      <c r="B7" s="1"/>
      <c r="C7" s="1"/>
      <c r="D7" s="1"/>
      <c r="E7" s="1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"/>
      <c r="B8" s="1"/>
      <c r="C8" s="1"/>
      <c r="D8" s="1"/>
      <c r="E8" s="1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"/>
      <c r="B9" s="6" t="s">
        <v>9</v>
      </c>
      <c r="C9" s="7"/>
      <c r="D9" s="7"/>
      <c r="E9" s="5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"/>
      <c r="B10" s="4" t="s">
        <v>10</v>
      </c>
      <c r="C10" s="7"/>
      <c r="D10" s="7"/>
      <c r="E10" s="5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"/>
      <c r="B11" s="4" t="s">
        <v>11</v>
      </c>
      <c r="C11" s="7"/>
      <c r="D11" s="7"/>
      <c r="E11" s="5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1"/>
      <c r="B12" s="4" t="s">
        <v>12</v>
      </c>
      <c r="C12" s="7"/>
      <c r="D12" s="7"/>
      <c r="E12" s="5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1"/>
      <c r="B13" s="8"/>
      <c r="C13" s="7"/>
      <c r="D13" s="7"/>
      <c r="E13" s="5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1"/>
      <c r="B14" s="4" t="s">
        <v>13</v>
      </c>
      <c r="C14" s="9" t="s">
        <v>14</v>
      </c>
      <c r="D14" s="10"/>
      <c r="E14" s="11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1"/>
      <c r="B15" s="1"/>
      <c r="C15" s="1"/>
      <c r="D15" s="1"/>
      <c r="E15" s="1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1"/>
      <c r="B16" s="4" t="s">
        <v>15</v>
      </c>
      <c r="C16" s="7"/>
      <c r="D16" s="7"/>
      <c r="E16" s="5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1"/>
      <c r="B17" s="12" t="s">
        <v>16</v>
      </c>
      <c r="C17" s="12" t="s">
        <v>17</v>
      </c>
      <c r="D17" s="13" t="s">
        <v>18</v>
      </c>
      <c r="E17" s="12" t="s">
        <v>19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1"/>
      <c r="B18" s="14" t="s">
        <v>20</v>
      </c>
      <c r="C18" s="15" t="s">
        <v>21</v>
      </c>
      <c r="D18" s="16"/>
      <c r="E18" s="17" t="s">
        <v>22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"/>
      <c r="B19" s="18"/>
      <c r="C19" s="15" t="s">
        <v>23</v>
      </c>
      <c r="D19" s="18"/>
      <c r="E19" s="17" t="s">
        <v>24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"/>
      <c r="B20" s="14" t="s">
        <v>25</v>
      </c>
      <c r="C20" s="15" t="s">
        <v>26</v>
      </c>
      <c r="D20" s="19" t="s">
        <v>27</v>
      </c>
      <c r="E20" s="20" t="s">
        <v>28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1"/>
      <c r="B21" s="18"/>
      <c r="C21" s="15" t="s">
        <v>29</v>
      </c>
      <c r="D21" s="19" t="s">
        <v>30</v>
      </c>
      <c r="E21" s="1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1"/>
      <c r="B22" s="14" t="s">
        <v>31</v>
      </c>
      <c r="C22" s="15" t="s">
        <v>32</v>
      </c>
      <c r="D22" s="16"/>
      <c r="E22" s="20" t="s">
        <v>33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1"/>
      <c r="B23" s="21"/>
      <c r="C23" s="15" t="s">
        <v>26</v>
      </c>
      <c r="D23" s="21"/>
      <c r="E23" s="21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1"/>
      <c r="B24" s="18"/>
      <c r="C24" s="15" t="s">
        <v>29</v>
      </c>
      <c r="D24" s="18"/>
      <c r="E24" s="1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1"/>
      <c r="B25" s="14" t="s">
        <v>34</v>
      </c>
      <c r="C25" s="15" t="s">
        <v>32</v>
      </c>
      <c r="D25" s="16"/>
      <c r="E25" s="20" t="s">
        <v>35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1"/>
      <c r="B26" s="18"/>
      <c r="C26" s="15" t="s">
        <v>26</v>
      </c>
      <c r="D26" s="18"/>
      <c r="E26" s="1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1"/>
      <c r="B27" s="14" t="s">
        <v>36</v>
      </c>
      <c r="C27" s="15" t="s">
        <v>32</v>
      </c>
      <c r="D27" s="16"/>
      <c r="E27" s="20" t="s">
        <v>37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1"/>
      <c r="B28" s="18"/>
      <c r="C28" s="15" t="s">
        <v>26</v>
      </c>
      <c r="D28" s="18"/>
      <c r="E28" s="1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1"/>
      <c r="B29" s="15" t="s">
        <v>38</v>
      </c>
      <c r="C29" s="15" t="s">
        <v>32</v>
      </c>
      <c r="D29" s="22"/>
      <c r="E29" s="23" t="s">
        <v>39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1"/>
      <c r="B30" s="15" t="s">
        <v>40</v>
      </c>
      <c r="C30" s="15" t="s">
        <v>32</v>
      </c>
      <c r="D30" s="22"/>
      <c r="E30" s="23" t="s">
        <v>41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1"/>
      <c r="B31" s="15" t="s">
        <v>42</v>
      </c>
      <c r="C31" s="15" t="s">
        <v>32</v>
      </c>
      <c r="D31" s="22"/>
      <c r="E31" s="23" t="s">
        <v>43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1"/>
      <c r="B32" s="15" t="s">
        <v>44</v>
      </c>
      <c r="C32" s="15" t="s">
        <v>32</v>
      </c>
      <c r="D32" s="22"/>
      <c r="E32" s="17" t="s">
        <v>45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1"/>
      <c r="B33" s="14" t="s">
        <v>46</v>
      </c>
      <c r="C33" s="15" t="s">
        <v>32</v>
      </c>
      <c r="D33" s="22"/>
      <c r="E33" s="20" t="s">
        <v>47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1"/>
      <c r="B34" s="18"/>
      <c r="C34" s="15" t="s">
        <v>48</v>
      </c>
      <c r="D34" s="19" t="s">
        <v>49</v>
      </c>
      <c r="E34" s="18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7">
    <mergeCell ref="C2:D2"/>
    <mergeCell ref="C3:D3"/>
    <mergeCell ref="C4:D4"/>
    <mergeCell ref="C5:D5"/>
    <mergeCell ref="C6:D6"/>
    <mergeCell ref="B9:E9"/>
    <mergeCell ref="B10:E10"/>
    <mergeCell ref="B11:E11"/>
    <mergeCell ref="B12:E12"/>
    <mergeCell ref="B13:E13"/>
    <mergeCell ref="C14:E14"/>
    <mergeCell ref="B16:E16"/>
    <mergeCell ref="B18:B19"/>
    <mergeCell ref="D18:D19"/>
    <mergeCell ref="B25:B26"/>
    <mergeCell ref="B27:B28"/>
    <mergeCell ref="B33:B34"/>
    <mergeCell ref="D27:D28"/>
    <mergeCell ref="E27:E28"/>
    <mergeCell ref="E33:E34"/>
    <mergeCell ref="B20:B21"/>
    <mergeCell ref="E20:E21"/>
    <mergeCell ref="B22:B24"/>
    <mergeCell ref="D22:D24"/>
    <mergeCell ref="E22:E24"/>
    <mergeCell ref="D25:D26"/>
    <mergeCell ref="E25:E26"/>
  </mergeCells>
  <hyperlinks>
    <hyperlink r:id="rId1" ref="C14"/>
    <hyperlink r:id="rId2" ref="E18"/>
    <hyperlink r:id="rId3" ref="E19"/>
    <hyperlink r:id="rId4" location="explorer/delivery-overview/4673480%3A8792/" ref="E20"/>
    <hyperlink r:id="rId5" ref="E22"/>
    <hyperlink r:id="rId6" ref="E25"/>
    <hyperlink r:id="rId7" location="customer/12173619/accounts-summary/performance" ref="E27"/>
    <hyperlink r:id="rId8" ref="E29"/>
    <hyperlink r:id="rId9" location="/dashboard/I90IE7KY9ArYibRvnB2l?groupBy=day&amp;rangeName=CUSTOM&amp;countConvention=ATTRIBUTED&amp;dayFrom=2020-06-01&amp;dayTo=2020-07-01" ref="E30"/>
    <hyperlink r:id="rId10" ref="E31"/>
    <hyperlink r:id="rId11" ref="E32"/>
    <hyperlink r:id="rId12" location="ng_nav/p/182131/reporting" ref="E33"/>
  </hyperlinks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2" width="4.43"/>
    <col customWidth="1" min="3" max="3" width="12.0"/>
    <col customWidth="1" min="4" max="4" width="20.0"/>
    <col customWidth="1" min="5" max="5" width="4.43"/>
    <col customWidth="1" min="6" max="6" width="12.0"/>
    <col customWidth="1" min="7" max="7" width="20.0"/>
    <col customWidth="1" min="8" max="8" width="4.43"/>
    <col customWidth="1" min="9" max="9" width="12.0"/>
    <col customWidth="1" min="10" max="10" width="22.57"/>
    <col customWidth="1" min="11" max="11" width="4.43"/>
    <col customWidth="1" min="12" max="12" width="12.0"/>
    <col customWidth="1" min="13" max="13" width="22.57"/>
    <col customWidth="1" min="14" max="14" width="4.43"/>
    <col customWidth="1" min="15" max="15" width="12.0"/>
    <col customWidth="1" min="16" max="16" width="11.0"/>
  </cols>
  <sheetData>
    <row r="1">
      <c r="A1" s="24"/>
    </row>
    <row r="3">
      <c r="A3" s="24"/>
      <c r="B3" s="25"/>
      <c r="C3" s="26" t="s">
        <v>21</v>
      </c>
      <c r="D3" s="5"/>
      <c r="E3" s="27"/>
      <c r="F3" s="26" t="s">
        <v>23</v>
      </c>
      <c r="G3" s="5"/>
      <c r="H3" s="27"/>
      <c r="I3" s="26" t="s">
        <v>26</v>
      </c>
      <c r="J3" s="5"/>
      <c r="K3" s="27"/>
      <c r="L3" s="26" t="s">
        <v>29</v>
      </c>
      <c r="M3" s="5"/>
      <c r="N3" s="28"/>
      <c r="O3" s="28"/>
      <c r="P3" s="28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4">
      <c r="A4" s="24"/>
      <c r="B4" s="18"/>
      <c r="C4" s="29" t="s">
        <v>50</v>
      </c>
      <c r="D4" s="29" t="s">
        <v>51</v>
      </c>
      <c r="E4" s="18"/>
      <c r="F4" s="29" t="str">
        <f t="shared" ref="F4:G4" si="1">C4</f>
        <v>Datalake</v>
      </c>
      <c r="G4" s="29" t="str">
        <f t="shared" si="1"/>
        <v>GA (Google Analytics)</v>
      </c>
      <c r="H4" s="18"/>
      <c r="I4" s="29" t="str">
        <f>F4</f>
        <v>Datalake</v>
      </c>
      <c r="J4" s="29" t="s">
        <v>52</v>
      </c>
      <c r="K4" s="18"/>
      <c r="L4" s="29" t="str">
        <f t="shared" ref="L4:M4" si="2">I4</f>
        <v>Datalake</v>
      </c>
      <c r="M4" s="29" t="str">
        <f t="shared" si="2"/>
        <v>CM (Campaing Manager)</v>
      </c>
      <c r="N4" s="28"/>
      <c r="O4" s="28"/>
      <c r="P4" s="28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</row>
    <row r="5">
      <c r="A5" s="24"/>
      <c r="B5" s="29" t="s">
        <v>53</v>
      </c>
      <c r="C5" s="29"/>
      <c r="D5" s="30"/>
      <c r="E5" s="30" t="str">
        <f t="shared" ref="E5:E11" si="3">B5</f>
        <v>D-1</v>
      </c>
      <c r="F5" s="29"/>
      <c r="G5" s="30"/>
      <c r="H5" s="30" t="str">
        <f t="shared" ref="H5:H11" si="4">E5</f>
        <v>D-1</v>
      </c>
      <c r="I5" s="29"/>
      <c r="J5" s="31"/>
      <c r="K5" s="30" t="str">
        <f t="shared" ref="K5:K11" si="5">H5</f>
        <v>D-1</v>
      </c>
      <c r="L5" s="29"/>
      <c r="M5" s="29"/>
      <c r="N5" s="28"/>
      <c r="O5" s="28"/>
      <c r="P5" s="28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</row>
    <row r="6">
      <c r="A6" s="24"/>
      <c r="B6" s="29" t="s">
        <v>54</v>
      </c>
      <c r="C6" s="29"/>
      <c r="D6" s="30"/>
      <c r="E6" s="30" t="str">
        <f t="shared" si="3"/>
        <v>D-2</v>
      </c>
      <c r="F6" s="29"/>
      <c r="G6" s="30"/>
      <c r="H6" s="30" t="str">
        <f t="shared" si="4"/>
        <v>D-2</v>
      </c>
      <c r="I6" s="29"/>
      <c r="J6" s="31"/>
      <c r="K6" s="30" t="str">
        <f t="shared" si="5"/>
        <v>D-2</v>
      </c>
      <c r="L6" s="29"/>
      <c r="M6" s="29"/>
      <c r="N6" s="28"/>
      <c r="O6" s="28"/>
      <c r="P6" s="28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</row>
    <row r="7">
      <c r="A7" s="24"/>
      <c r="B7" s="29" t="s">
        <v>55</v>
      </c>
      <c r="C7" s="29"/>
      <c r="D7" s="30"/>
      <c r="E7" s="30" t="str">
        <f t="shared" si="3"/>
        <v>D-3</v>
      </c>
      <c r="F7" s="29"/>
      <c r="G7" s="30"/>
      <c r="H7" s="30" t="str">
        <f t="shared" si="4"/>
        <v>D-3</v>
      </c>
      <c r="I7" s="29"/>
      <c r="J7" s="30"/>
      <c r="K7" s="30" t="str">
        <f t="shared" si="5"/>
        <v>D-3</v>
      </c>
      <c r="L7" s="29"/>
      <c r="M7" s="29"/>
      <c r="N7" s="28"/>
      <c r="O7" s="28"/>
      <c r="P7" s="28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>
      <c r="A8" s="24"/>
      <c r="B8" s="29" t="s">
        <v>56</v>
      </c>
      <c r="C8" s="29"/>
      <c r="D8" s="30"/>
      <c r="E8" s="30" t="str">
        <f t="shared" si="3"/>
        <v>D-4</v>
      </c>
      <c r="F8" s="29"/>
      <c r="G8" s="30"/>
      <c r="H8" s="30" t="str">
        <f t="shared" si="4"/>
        <v>D-4</v>
      </c>
      <c r="I8" s="29"/>
      <c r="J8" s="30"/>
      <c r="K8" s="30" t="str">
        <f t="shared" si="5"/>
        <v>D-4</v>
      </c>
      <c r="L8" s="29"/>
      <c r="M8" s="29"/>
      <c r="N8" s="28"/>
      <c r="O8" s="28"/>
      <c r="P8" s="28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</row>
    <row r="9">
      <c r="A9" s="24"/>
      <c r="B9" s="29" t="s">
        <v>57</v>
      </c>
      <c r="C9" s="29"/>
      <c r="D9" s="30"/>
      <c r="E9" s="30" t="str">
        <f t="shared" si="3"/>
        <v>D-5</v>
      </c>
      <c r="F9" s="29"/>
      <c r="G9" s="30"/>
      <c r="H9" s="30" t="str">
        <f t="shared" si="4"/>
        <v>D-5</v>
      </c>
      <c r="I9" s="29"/>
      <c r="J9" s="30"/>
      <c r="K9" s="30" t="str">
        <f t="shared" si="5"/>
        <v>D-5</v>
      </c>
      <c r="L9" s="29"/>
      <c r="M9" s="30"/>
      <c r="N9" s="28"/>
      <c r="O9" s="28"/>
      <c r="P9" s="28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>
      <c r="A10" s="24"/>
      <c r="B10" s="29" t="s">
        <v>58</v>
      </c>
      <c r="C10" s="29"/>
      <c r="D10" s="30"/>
      <c r="E10" s="30" t="str">
        <f t="shared" si="3"/>
        <v>D-6</v>
      </c>
      <c r="F10" s="29"/>
      <c r="G10" s="30"/>
      <c r="H10" s="30" t="str">
        <f t="shared" si="4"/>
        <v>D-6</v>
      </c>
      <c r="I10" s="29"/>
      <c r="J10" s="30"/>
      <c r="K10" s="30" t="str">
        <f t="shared" si="5"/>
        <v>D-6</v>
      </c>
      <c r="L10" s="29"/>
      <c r="M10" s="30"/>
      <c r="N10" s="28"/>
      <c r="O10" s="28"/>
      <c r="P10" s="28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</row>
    <row r="11">
      <c r="A11" s="24"/>
      <c r="B11" s="29" t="s">
        <v>59</v>
      </c>
      <c r="C11" s="29"/>
      <c r="D11" s="30"/>
      <c r="E11" s="30" t="str">
        <f t="shared" si="3"/>
        <v>D-7</v>
      </c>
      <c r="F11" s="29"/>
      <c r="G11" s="30"/>
      <c r="H11" s="30" t="str">
        <f t="shared" si="4"/>
        <v>D-7</v>
      </c>
      <c r="I11" s="29"/>
      <c r="J11" s="30"/>
      <c r="K11" s="30" t="str">
        <f t="shared" si="5"/>
        <v>D-7</v>
      </c>
      <c r="L11" s="29"/>
      <c r="M11" s="30"/>
      <c r="N11" s="28"/>
      <c r="O11" s="28"/>
      <c r="P11" s="28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</row>
    <row r="12">
      <c r="A12" s="24"/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>
      <c r="A13" s="24"/>
      <c r="B13" s="25"/>
      <c r="C13" s="26" t="s">
        <v>32</v>
      </c>
      <c r="D13" s="5"/>
      <c r="E13" s="25"/>
      <c r="F13" s="26" t="s">
        <v>23</v>
      </c>
      <c r="G13" s="5"/>
      <c r="H13" s="25"/>
      <c r="I13" s="26" t="s">
        <v>26</v>
      </c>
      <c r="J13" s="5"/>
      <c r="K13" s="25"/>
      <c r="L13" s="26" t="s">
        <v>29</v>
      </c>
      <c r="M13" s="5"/>
      <c r="N13" s="25"/>
      <c r="O13" s="26" t="s">
        <v>32</v>
      </c>
      <c r="P13" s="5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</row>
    <row r="14">
      <c r="A14" s="24"/>
      <c r="B14" s="18"/>
      <c r="C14" s="29" t="s">
        <v>50</v>
      </c>
      <c r="D14" s="29" t="s">
        <v>46</v>
      </c>
      <c r="E14" s="18"/>
      <c r="F14" s="29" t="s">
        <v>50</v>
      </c>
      <c r="G14" s="29" t="s">
        <v>46</v>
      </c>
      <c r="H14" s="18"/>
      <c r="I14" s="29" t="s">
        <v>50</v>
      </c>
      <c r="J14" s="29" t="s">
        <v>60</v>
      </c>
      <c r="K14" s="18"/>
      <c r="L14" s="29" t="s">
        <v>50</v>
      </c>
      <c r="M14" s="29" t="s">
        <v>60</v>
      </c>
      <c r="N14" s="18"/>
      <c r="O14" s="29" t="s">
        <v>50</v>
      </c>
      <c r="P14" s="29" t="s">
        <v>60</v>
      </c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</row>
    <row r="15">
      <c r="A15" s="24"/>
      <c r="B15" s="30" t="str">
        <f>B5</f>
        <v>D-1</v>
      </c>
      <c r="C15" s="30"/>
      <c r="D15" s="30"/>
      <c r="E15" s="30" t="str">
        <f t="shared" ref="E15:E21" si="6">B15</f>
        <v>D-1</v>
      </c>
      <c r="F15" s="30"/>
      <c r="G15" s="30"/>
      <c r="H15" s="30" t="str">
        <f t="shared" ref="H15:H21" si="7">E15</f>
        <v>D-1</v>
      </c>
      <c r="I15" s="29"/>
      <c r="J15" s="29"/>
      <c r="K15" s="30" t="str">
        <f t="shared" ref="K15:K21" si="8">H15</f>
        <v>D-1</v>
      </c>
      <c r="L15" s="30"/>
      <c r="M15" s="30"/>
      <c r="N15" s="30" t="str">
        <f t="shared" ref="N15:N21" si="9">K15</f>
        <v>D-1</v>
      </c>
      <c r="O15" s="29"/>
      <c r="P15" s="29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</row>
    <row r="16">
      <c r="A16" s="24"/>
      <c r="B16" s="29" t="s">
        <v>54</v>
      </c>
      <c r="C16" s="30"/>
      <c r="D16" s="30"/>
      <c r="E16" s="30" t="str">
        <f t="shared" si="6"/>
        <v>D-2</v>
      </c>
      <c r="F16" s="30"/>
      <c r="G16" s="30"/>
      <c r="H16" s="30" t="str">
        <f t="shared" si="7"/>
        <v>D-2</v>
      </c>
      <c r="I16" s="29"/>
      <c r="J16" s="29"/>
      <c r="K16" s="30" t="str">
        <f t="shared" si="8"/>
        <v>D-2</v>
      </c>
      <c r="L16" s="30"/>
      <c r="M16" s="30"/>
      <c r="N16" s="30" t="str">
        <f t="shared" si="9"/>
        <v>D-2</v>
      </c>
      <c r="O16" s="29"/>
      <c r="P16" s="29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</row>
    <row r="17">
      <c r="A17" s="24"/>
      <c r="B17" s="29" t="s">
        <v>55</v>
      </c>
      <c r="C17" s="30"/>
      <c r="D17" s="30"/>
      <c r="E17" s="30" t="str">
        <f t="shared" si="6"/>
        <v>D-3</v>
      </c>
      <c r="F17" s="30"/>
      <c r="G17" s="30"/>
      <c r="H17" s="30" t="str">
        <f t="shared" si="7"/>
        <v>D-3</v>
      </c>
      <c r="I17" s="29"/>
      <c r="J17" s="29"/>
      <c r="K17" s="30" t="str">
        <f t="shared" si="8"/>
        <v>D-3</v>
      </c>
      <c r="L17" s="30"/>
      <c r="M17" s="30"/>
      <c r="N17" s="30" t="str">
        <f t="shared" si="9"/>
        <v>D-3</v>
      </c>
      <c r="O17" s="29"/>
      <c r="P17" s="29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</row>
    <row r="18">
      <c r="A18" s="24"/>
      <c r="B18" s="29" t="s">
        <v>56</v>
      </c>
      <c r="C18" s="30"/>
      <c r="D18" s="30"/>
      <c r="E18" s="30" t="str">
        <f t="shared" si="6"/>
        <v>D-4</v>
      </c>
      <c r="F18" s="30"/>
      <c r="G18" s="30"/>
      <c r="H18" s="30" t="str">
        <f t="shared" si="7"/>
        <v>D-4</v>
      </c>
      <c r="I18" s="29"/>
      <c r="J18" s="29"/>
      <c r="K18" s="30" t="str">
        <f t="shared" si="8"/>
        <v>D-4</v>
      </c>
      <c r="L18" s="30"/>
      <c r="M18" s="30"/>
      <c r="N18" s="30" t="str">
        <f t="shared" si="9"/>
        <v>D-4</v>
      </c>
      <c r="O18" s="29"/>
      <c r="P18" s="29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</row>
    <row r="19">
      <c r="A19" s="24"/>
      <c r="B19" s="29" t="s">
        <v>57</v>
      </c>
      <c r="C19" s="30"/>
      <c r="D19" s="30"/>
      <c r="E19" s="30" t="str">
        <f t="shared" si="6"/>
        <v>D-5</v>
      </c>
      <c r="F19" s="30"/>
      <c r="G19" s="30"/>
      <c r="H19" s="30" t="str">
        <f t="shared" si="7"/>
        <v>D-5</v>
      </c>
      <c r="I19" s="29"/>
      <c r="J19" s="29"/>
      <c r="K19" s="30" t="str">
        <f t="shared" si="8"/>
        <v>D-5</v>
      </c>
      <c r="L19" s="30"/>
      <c r="M19" s="30"/>
      <c r="N19" s="30" t="str">
        <f t="shared" si="9"/>
        <v>D-5</v>
      </c>
      <c r="O19" s="29"/>
      <c r="P19" s="29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</row>
    <row r="20">
      <c r="A20" s="24"/>
      <c r="B20" s="29" t="s">
        <v>58</v>
      </c>
      <c r="C20" s="30"/>
      <c r="D20" s="30"/>
      <c r="E20" s="30" t="str">
        <f t="shared" si="6"/>
        <v>D-6</v>
      </c>
      <c r="F20" s="30"/>
      <c r="G20" s="30"/>
      <c r="H20" s="30" t="str">
        <f t="shared" si="7"/>
        <v>D-6</v>
      </c>
      <c r="I20" s="29"/>
      <c r="J20" s="29"/>
      <c r="K20" s="30" t="str">
        <f t="shared" si="8"/>
        <v>D-6</v>
      </c>
      <c r="L20" s="30"/>
      <c r="M20" s="30"/>
      <c r="N20" s="30" t="str">
        <f t="shared" si="9"/>
        <v>D-6</v>
      </c>
      <c r="O20" s="29"/>
      <c r="P20" s="29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</row>
    <row r="21">
      <c r="A21" s="24"/>
      <c r="B21" s="29" t="s">
        <v>59</v>
      </c>
      <c r="C21" s="30"/>
      <c r="D21" s="30"/>
      <c r="E21" s="30" t="str">
        <f t="shared" si="6"/>
        <v>D-7</v>
      </c>
      <c r="F21" s="30"/>
      <c r="G21" s="30"/>
      <c r="H21" s="30" t="str">
        <f t="shared" si="7"/>
        <v>D-7</v>
      </c>
      <c r="I21" s="29"/>
      <c r="J21" s="29"/>
      <c r="K21" s="30" t="str">
        <f t="shared" si="8"/>
        <v>D-7</v>
      </c>
      <c r="L21" s="30"/>
      <c r="M21" s="30"/>
      <c r="N21" s="30" t="str">
        <f t="shared" si="9"/>
        <v>D-7</v>
      </c>
      <c r="O21" s="29"/>
      <c r="P21" s="29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</row>
    <row r="22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</row>
    <row r="23">
      <c r="A23" s="24"/>
      <c r="B23" s="25"/>
      <c r="C23" s="26" t="s">
        <v>26</v>
      </c>
      <c r="D23" s="5"/>
      <c r="E23" s="25"/>
      <c r="F23" s="26" t="s">
        <v>29</v>
      </c>
      <c r="G23" s="5"/>
      <c r="H23" s="25"/>
      <c r="I23" s="26" t="s">
        <v>32</v>
      </c>
      <c r="J23" s="5"/>
      <c r="K23" s="30"/>
      <c r="L23" s="26" t="s">
        <v>32</v>
      </c>
      <c r="M23" s="5"/>
      <c r="N23" s="25"/>
      <c r="O23" s="26" t="s">
        <v>32</v>
      </c>
      <c r="P23" s="5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</row>
    <row r="24">
      <c r="A24" s="24"/>
      <c r="B24" s="18"/>
      <c r="C24" s="29" t="s">
        <v>50</v>
      </c>
      <c r="D24" s="29" t="s">
        <v>36</v>
      </c>
      <c r="E24" s="18"/>
      <c r="F24" s="29" t="s">
        <v>50</v>
      </c>
      <c r="G24" s="29" t="s">
        <v>36</v>
      </c>
      <c r="H24" s="18"/>
      <c r="I24" s="29" t="s">
        <v>50</v>
      </c>
      <c r="J24" s="29" t="s">
        <v>36</v>
      </c>
      <c r="K24" s="30"/>
      <c r="L24" s="30" t="str">
        <f>L4</f>
        <v>Datalake</v>
      </c>
      <c r="M24" s="29" t="s">
        <v>38</v>
      </c>
      <c r="N24" s="18"/>
      <c r="O24" s="30" t="str">
        <f>I24</f>
        <v>Datalake</v>
      </c>
      <c r="P24" s="29" t="s">
        <v>61</v>
      </c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</row>
    <row r="25">
      <c r="A25" s="24"/>
      <c r="B25" s="30" t="str">
        <f t="shared" ref="B25:B31" si="10">B15</f>
        <v>D-1</v>
      </c>
      <c r="C25" s="29"/>
      <c r="D25" s="29"/>
      <c r="E25" s="30" t="str">
        <f t="shared" ref="E25:E31" si="11">B25</f>
        <v>D-1</v>
      </c>
      <c r="F25" s="29"/>
      <c r="G25" s="29"/>
      <c r="H25" s="30" t="str">
        <f t="shared" ref="H25:H31" si="12">E25</f>
        <v>D-1</v>
      </c>
      <c r="I25" s="29"/>
      <c r="J25" s="29"/>
      <c r="K25" s="30" t="str">
        <f t="shared" ref="K25:K31" si="13">K5</f>
        <v>D-1</v>
      </c>
      <c r="L25" s="29">
        <v>949.0</v>
      </c>
      <c r="M25" s="30"/>
      <c r="N25" s="30" t="str">
        <f t="shared" ref="N25:N31" si="14">H25</f>
        <v>D-1</v>
      </c>
      <c r="O25" s="29"/>
      <c r="P25" s="29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</row>
    <row r="26">
      <c r="A26" s="24"/>
      <c r="B26" s="30" t="str">
        <f t="shared" si="10"/>
        <v>D-2</v>
      </c>
      <c r="C26" s="29"/>
      <c r="D26" s="29"/>
      <c r="E26" s="30" t="str">
        <f t="shared" si="11"/>
        <v>D-2</v>
      </c>
      <c r="F26" s="29"/>
      <c r="G26" s="29"/>
      <c r="H26" s="30" t="str">
        <f t="shared" si="12"/>
        <v>D-2</v>
      </c>
      <c r="I26" s="29"/>
      <c r="J26" s="29"/>
      <c r="K26" s="30" t="str">
        <f t="shared" si="13"/>
        <v>D-2</v>
      </c>
      <c r="L26" s="29">
        <v>148.0</v>
      </c>
      <c r="M26" s="30"/>
      <c r="N26" s="30" t="str">
        <f t="shared" si="14"/>
        <v>D-2</v>
      </c>
      <c r="O26" s="29"/>
      <c r="P26" s="29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</row>
    <row r="27">
      <c r="A27" s="24"/>
      <c r="B27" s="30" t="str">
        <f t="shared" si="10"/>
        <v>D-3</v>
      </c>
      <c r="C27" s="29"/>
      <c r="D27" s="29"/>
      <c r="E27" s="30" t="str">
        <f t="shared" si="11"/>
        <v>D-3</v>
      </c>
      <c r="F27" s="29"/>
      <c r="G27" s="29"/>
      <c r="H27" s="30" t="str">
        <f t="shared" si="12"/>
        <v>D-3</v>
      </c>
      <c r="I27" s="29"/>
      <c r="J27" s="29"/>
      <c r="K27" s="30" t="str">
        <f t="shared" si="13"/>
        <v>D-3</v>
      </c>
      <c r="L27" s="29">
        <v>149.0</v>
      </c>
      <c r="M27" s="30"/>
      <c r="N27" s="30" t="str">
        <f t="shared" si="14"/>
        <v>D-3</v>
      </c>
      <c r="O27" s="29"/>
      <c r="P27" s="29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</row>
    <row r="28">
      <c r="A28" s="24"/>
      <c r="B28" s="30" t="str">
        <f t="shared" si="10"/>
        <v>D-4</v>
      </c>
      <c r="C28" s="29"/>
      <c r="D28" s="29"/>
      <c r="E28" s="30" t="str">
        <f t="shared" si="11"/>
        <v>D-4</v>
      </c>
      <c r="F28" s="29"/>
      <c r="G28" s="29"/>
      <c r="H28" s="30" t="str">
        <f t="shared" si="12"/>
        <v>D-4</v>
      </c>
      <c r="I28" s="29"/>
      <c r="J28" s="29"/>
      <c r="K28" s="30" t="str">
        <f t="shared" si="13"/>
        <v>D-4</v>
      </c>
      <c r="L28" s="29">
        <v>151.0</v>
      </c>
      <c r="M28" s="30"/>
      <c r="N28" s="30" t="str">
        <f t="shared" si="14"/>
        <v>D-4</v>
      </c>
      <c r="O28" s="29"/>
      <c r="P28" s="29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</row>
    <row r="29">
      <c r="A29" s="24"/>
      <c r="B29" s="30" t="str">
        <f t="shared" si="10"/>
        <v>D-5</v>
      </c>
      <c r="C29" s="29"/>
      <c r="D29" s="29"/>
      <c r="E29" s="30" t="str">
        <f t="shared" si="11"/>
        <v>D-5</v>
      </c>
      <c r="F29" s="29"/>
      <c r="G29" s="29"/>
      <c r="H29" s="30" t="str">
        <f t="shared" si="12"/>
        <v>D-5</v>
      </c>
      <c r="I29" s="29"/>
      <c r="J29" s="29"/>
      <c r="K29" s="30" t="str">
        <f t="shared" si="13"/>
        <v>D-5</v>
      </c>
      <c r="L29" s="29">
        <v>147.0</v>
      </c>
      <c r="M29" s="30"/>
      <c r="N29" s="30" t="str">
        <f t="shared" si="14"/>
        <v>D-5</v>
      </c>
      <c r="O29" s="29"/>
      <c r="P29" s="29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</row>
    <row r="30">
      <c r="A30" s="24"/>
      <c r="B30" s="30" t="str">
        <f t="shared" si="10"/>
        <v>D-6</v>
      </c>
      <c r="C30" s="29"/>
      <c r="D30" s="29"/>
      <c r="E30" s="30" t="str">
        <f t="shared" si="11"/>
        <v>D-6</v>
      </c>
      <c r="F30" s="29"/>
      <c r="G30" s="29"/>
      <c r="H30" s="30" t="str">
        <f t="shared" si="12"/>
        <v>D-6</v>
      </c>
      <c r="I30" s="29"/>
      <c r="J30" s="29"/>
      <c r="K30" s="30" t="str">
        <f t="shared" si="13"/>
        <v>D-6</v>
      </c>
      <c r="L30" s="29">
        <v>161.0</v>
      </c>
      <c r="M30" s="30"/>
      <c r="N30" s="30" t="str">
        <f t="shared" si="14"/>
        <v>D-6</v>
      </c>
      <c r="O30" s="29"/>
      <c r="P30" s="29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</row>
    <row r="31">
      <c r="A31" s="24"/>
      <c r="B31" s="30" t="str">
        <f t="shared" si="10"/>
        <v>D-7</v>
      </c>
      <c r="C31" s="29"/>
      <c r="D31" s="29"/>
      <c r="E31" s="30" t="str">
        <f t="shared" si="11"/>
        <v>D-7</v>
      </c>
      <c r="F31" s="29"/>
      <c r="G31" s="29"/>
      <c r="H31" s="30" t="str">
        <f t="shared" si="12"/>
        <v>D-7</v>
      </c>
      <c r="I31" s="29"/>
      <c r="J31" s="29"/>
      <c r="K31" s="30" t="str">
        <f t="shared" si="13"/>
        <v>D-7</v>
      </c>
      <c r="L31" s="29">
        <v>401.0</v>
      </c>
      <c r="M31" s="30"/>
      <c r="N31" s="30" t="str">
        <f t="shared" si="14"/>
        <v>D-7</v>
      </c>
      <c r="O31" s="29"/>
      <c r="P31" s="29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</row>
    <row r="32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</row>
    <row r="33">
      <c r="A33" s="24"/>
      <c r="B33" s="25"/>
      <c r="C33" s="26" t="s">
        <v>32</v>
      </c>
      <c r="D33" s="5"/>
      <c r="E33" s="25"/>
      <c r="F33" s="26" t="s">
        <v>32</v>
      </c>
      <c r="G33" s="5"/>
      <c r="H33" s="25"/>
      <c r="I33" s="26" t="s">
        <v>26</v>
      </c>
      <c r="J33" s="5"/>
      <c r="K33" s="25"/>
      <c r="L33" s="26" t="s">
        <v>29</v>
      </c>
      <c r="M33" s="5"/>
      <c r="N33" s="25"/>
      <c r="O33" s="26" t="s">
        <v>32</v>
      </c>
      <c r="P33" s="5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</row>
    <row r="34">
      <c r="A34" s="24"/>
      <c r="B34" s="18"/>
      <c r="C34" s="30" t="str">
        <f>C14</f>
        <v>Datalake</v>
      </c>
      <c r="D34" s="29" t="s">
        <v>42</v>
      </c>
      <c r="E34" s="18"/>
      <c r="F34" s="30" t="str">
        <f>C34</f>
        <v>Datalake</v>
      </c>
      <c r="G34" s="29" t="s">
        <v>44</v>
      </c>
      <c r="H34" s="18"/>
      <c r="I34" s="29" t="s">
        <v>50</v>
      </c>
      <c r="J34" s="29" t="s">
        <v>31</v>
      </c>
      <c r="K34" s="18"/>
      <c r="L34" s="29" t="s">
        <v>50</v>
      </c>
      <c r="M34" s="29" t="s">
        <v>31</v>
      </c>
      <c r="N34" s="18"/>
      <c r="O34" s="29" t="s">
        <v>50</v>
      </c>
      <c r="P34" s="29" t="s">
        <v>31</v>
      </c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</row>
    <row r="35">
      <c r="A35" s="24"/>
      <c r="B35" s="30" t="str">
        <f t="shared" ref="B35:B41" si="15">B25</f>
        <v>D-1</v>
      </c>
      <c r="C35" s="30"/>
      <c r="D35" s="30"/>
      <c r="E35" s="30" t="str">
        <f t="shared" ref="E35:E41" si="16">B35</f>
        <v>D-1</v>
      </c>
      <c r="F35" s="30"/>
      <c r="G35" s="30"/>
      <c r="H35" s="30" t="str">
        <f t="shared" ref="H35:H41" si="17">E35</f>
        <v>D-1</v>
      </c>
      <c r="I35" s="29"/>
      <c r="J35" s="29"/>
      <c r="K35" s="30" t="str">
        <f t="shared" ref="K35:K41" si="18">H35</f>
        <v>D-1</v>
      </c>
      <c r="L35" s="29"/>
      <c r="M35" s="29"/>
      <c r="N35" s="30" t="str">
        <f t="shared" ref="N35:N41" si="19">K35</f>
        <v>D-1</v>
      </c>
      <c r="O35" s="29"/>
      <c r="P35" s="29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</row>
    <row r="36">
      <c r="A36" s="24"/>
      <c r="B36" s="30" t="str">
        <f t="shared" si="15"/>
        <v>D-2</v>
      </c>
      <c r="C36" s="30"/>
      <c r="D36" s="30"/>
      <c r="E36" s="30" t="str">
        <f t="shared" si="16"/>
        <v>D-2</v>
      </c>
      <c r="F36" s="30"/>
      <c r="G36" s="30"/>
      <c r="H36" s="30" t="str">
        <f t="shared" si="17"/>
        <v>D-2</v>
      </c>
      <c r="I36" s="29"/>
      <c r="J36" s="29"/>
      <c r="K36" s="30" t="str">
        <f t="shared" si="18"/>
        <v>D-2</v>
      </c>
      <c r="L36" s="29"/>
      <c r="M36" s="29"/>
      <c r="N36" s="30" t="str">
        <f t="shared" si="19"/>
        <v>D-2</v>
      </c>
      <c r="O36" s="29"/>
      <c r="P36" s="29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</row>
    <row r="37">
      <c r="A37" s="24"/>
      <c r="B37" s="30" t="str">
        <f t="shared" si="15"/>
        <v>D-3</v>
      </c>
      <c r="C37" s="30"/>
      <c r="D37" s="30"/>
      <c r="E37" s="30" t="str">
        <f t="shared" si="16"/>
        <v>D-3</v>
      </c>
      <c r="F37" s="30"/>
      <c r="G37" s="30"/>
      <c r="H37" s="30" t="str">
        <f t="shared" si="17"/>
        <v>D-3</v>
      </c>
      <c r="I37" s="29"/>
      <c r="J37" s="29"/>
      <c r="K37" s="30" t="str">
        <f t="shared" si="18"/>
        <v>D-3</v>
      </c>
      <c r="L37" s="29"/>
      <c r="M37" s="29"/>
      <c r="N37" s="30" t="str">
        <f t="shared" si="19"/>
        <v>D-3</v>
      </c>
      <c r="O37" s="29"/>
      <c r="P37" s="29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</row>
    <row r="38">
      <c r="A38" s="24"/>
      <c r="B38" s="30" t="str">
        <f t="shared" si="15"/>
        <v>D-4</v>
      </c>
      <c r="C38" s="30"/>
      <c r="D38" s="30"/>
      <c r="E38" s="30" t="str">
        <f t="shared" si="16"/>
        <v>D-4</v>
      </c>
      <c r="F38" s="30"/>
      <c r="G38" s="30"/>
      <c r="H38" s="30" t="str">
        <f t="shared" si="17"/>
        <v>D-4</v>
      </c>
      <c r="I38" s="29"/>
      <c r="J38" s="29"/>
      <c r="K38" s="30" t="str">
        <f t="shared" si="18"/>
        <v>D-4</v>
      </c>
      <c r="L38" s="29"/>
      <c r="M38" s="29"/>
      <c r="N38" s="30" t="str">
        <f t="shared" si="19"/>
        <v>D-4</v>
      </c>
      <c r="O38" s="29"/>
      <c r="P38" s="29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</row>
    <row r="39">
      <c r="A39" s="24"/>
      <c r="B39" s="30" t="str">
        <f t="shared" si="15"/>
        <v>D-5</v>
      </c>
      <c r="C39" s="30"/>
      <c r="D39" s="30"/>
      <c r="E39" s="30" t="str">
        <f t="shared" si="16"/>
        <v>D-5</v>
      </c>
      <c r="F39" s="30"/>
      <c r="G39" s="30"/>
      <c r="H39" s="30" t="str">
        <f t="shared" si="17"/>
        <v>D-5</v>
      </c>
      <c r="I39" s="29"/>
      <c r="J39" s="29"/>
      <c r="K39" s="30" t="str">
        <f t="shared" si="18"/>
        <v>D-5</v>
      </c>
      <c r="L39" s="29"/>
      <c r="M39" s="29"/>
      <c r="N39" s="30" t="str">
        <f t="shared" si="19"/>
        <v>D-5</v>
      </c>
      <c r="O39" s="29"/>
      <c r="P39" s="29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</row>
    <row r="40">
      <c r="A40" s="24"/>
      <c r="B40" s="30" t="str">
        <f t="shared" si="15"/>
        <v>D-6</v>
      </c>
      <c r="C40" s="30"/>
      <c r="D40" s="30"/>
      <c r="E40" s="30" t="str">
        <f t="shared" si="16"/>
        <v>D-6</v>
      </c>
      <c r="F40" s="30"/>
      <c r="G40" s="30"/>
      <c r="H40" s="30" t="str">
        <f t="shared" si="17"/>
        <v>D-6</v>
      </c>
      <c r="I40" s="29"/>
      <c r="J40" s="29"/>
      <c r="K40" s="30" t="str">
        <f t="shared" si="18"/>
        <v>D-6</v>
      </c>
      <c r="L40" s="29"/>
      <c r="M40" s="29"/>
      <c r="N40" s="30" t="str">
        <f t="shared" si="19"/>
        <v>D-6</v>
      </c>
      <c r="O40" s="29"/>
      <c r="P40" s="29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</row>
    <row r="41">
      <c r="A41" s="24"/>
      <c r="B41" s="30" t="str">
        <f t="shared" si="15"/>
        <v>D-7</v>
      </c>
      <c r="C41" s="30"/>
      <c r="D41" s="30"/>
      <c r="E41" s="30" t="str">
        <f t="shared" si="16"/>
        <v>D-7</v>
      </c>
      <c r="F41" s="30"/>
      <c r="G41" s="30"/>
      <c r="H41" s="30" t="str">
        <f t="shared" si="17"/>
        <v>D-7</v>
      </c>
      <c r="I41" s="29"/>
      <c r="J41" s="29"/>
      <c r="K41" s="30" t="str">
        <f t="shared" si="18"/>
        <v>D-7</v>
      </c>
      <c r="L41" s="29"/>
      <c r="M41" s="29"/>
      <c r="N41" s="30" t="str">
        <f t="shared" si="19"/>
        <v>D-7</v>
      </c>
      <c r="O41" s="29"/>
      <c r="P41" s="29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</row>
    <row r="42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</row>
    <row r="43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</row>
    <row r="44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</row>
    <row r="45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</row>
    <row r="46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</row>
    <row r="47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</row>
    <row r="48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</row>
    <row r="49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</row>
    <row r="50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</row>
    <row r="5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</row>
    <row r="52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</row>
    <row r="53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</row>
    <row r="54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</row>
    <row r="55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</row>
    <row r="56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</row>
    <row r="57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</row>
    <row r="58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</row>
    <row r="59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</row>
    <row r="60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</row>
    <row r="6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</row>
    <row r="62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</row>
    <row r="63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</row>
    <row r="64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</row>
    <row r="65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</row>
    <row r="66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</row>
    <row r="67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</row>
    <row r="68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</row>
    <row r="69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</row>
    <row r="70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</row>
    <row r="7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</row>
    <row r="72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</row>
    <row r="73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</row>
    <row r="74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</row>
    <row r="75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</row>
    <row r="76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</row>
    <row r="77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</row>
    <row r="78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</row>
    <row r="79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</row>
    <row r="80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</row>
    <row r="8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</row>
    <row r="82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</row>
    <row r="83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  <row r="84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</row>
    <row r="85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</row>
    <row r="86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</row>
    <row r="87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</row>
    <row r="88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</row>
    <row r="89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</row>
    <row r="90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</row>
    <row r="9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</row>
    <row r="9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</row>
    <row r="93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</row>
    <row r="94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</row>
    <row r="95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</row>
    <row r="96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</row>
    <row r="97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</row>
    <row r="98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</row>
    <row r="99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</row>
    <row r="100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</row>
    <row r="10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</row>
    <row r="10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</row>
    <row r="103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</row>
    <row r="104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</row>
    <row r="105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</row>
    <row r="106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</row>
    <row r="107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</row>
    <row r="108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</row>
    <row r="109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</row>
    <row r="110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</row>
    <row r="11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</row>
    <row r="11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</row>
    <row r="113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</row>
    <row r="114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</row>
    <row r="115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</row>
    <row r="116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</row>
    <row r="117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</row>
    <row r="118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</row>
    <row r="119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</row>
    <row r="120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</row>
    <row r="12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</row>
    <row r="12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</row>
    <row r="123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</row>
    <row r="124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</row>
    <row r="125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</row>
    <row r="126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</row>
    <row r="127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</row>
    <row r="128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</row>
    <row r="129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</row>
    <row r="130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</row>
    <row r="13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</row>
    <row r="1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</row>
    <row r="133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</row>
    <row r="134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4"/>
      <c r="AF134" s="24"/>
    </row>
    <row r="135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</row>
    <row r="136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4"/>
      <c r="AF136" s="24"/>
    </row>
    <row r="137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4"/>
      <c r="AF137" s="24"/>
    </row>
    <row r="138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4"/>
      <c r="AF138" s="24"/>
    </row>
    <row r="139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</row>
    <row r="140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</row>
    <row r="14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</row>
    <row r="142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</row>
    <row r="143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</row>
    <row r="144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4"/>
    </row>
    <row r="145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</row>
    <row r="146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</row>
    <row r="147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</row>
    <row r="148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</row>
    <row r="149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</row>
    <row r="150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</row>
    <row r="15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</row>
    <row r="152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</row>
    <row r="15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</row>
    <row r="154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</row>
    <row r="155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</row>
    <row r="156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</row>
    <row r="157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</row>
    <row r="158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</row>
    <row r="159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</row>
    <row r="160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</row>
    <row r="16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</row>
    <row r="162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</row>
    <row r="16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</row>
    <row r="164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</row>
    <row r="165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</row>
    <row r="166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</row>
    <row r="167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</row>
    <row r="168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</row>
    <row r="169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</row>
    <row r="170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</row>
    <row r="17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</row>
    <row r="172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</row>
    <row r="173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</row>
    <row r="174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</row>
    <row r="175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</row>
    <row r="176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</row>
    <row r="177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</row>
    <row r="178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</row>
    <row r="179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</row>
    <row r="180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</row>
    <row r="18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</row>
    <row r="182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</row>
    <row r="183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</row>
    <row r="184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</row>
    <row r="185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</row>
    <row r="186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</row>
    <row r="187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</row>
    <row r="188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</row>
    <row r="189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</row>
    <row r="190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</row>
    <row r="19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</row>
    <row r="192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</row>
    <row r="193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</row>
    <row r="194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</row>
    <row r="195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</row>
    <row r="196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</row>
    <row r="197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</row>
    <row r="198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</row>
    <row r="199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</row>
    <row r="200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</row>
    <row r="20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</row>
    <row r="202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</row>
    <row r="203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</row>
    <row r="204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</row>
    <row r="205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</row>
    <row r="206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</row>
    <row r="207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</row>
    <row r="208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</row>
    <row r="209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</row>
    <row r="210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</row>
    <row r="21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</row>
    <row r="212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</row>
    <row r="213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</row>
    <row r="214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</row>
    <row r="215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</row>
    <row r="216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</row>
    <row r="217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</row>
    <row r="218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</row>
    <row r="219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</row>
    <row r="220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</row>
    <row r="22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</row>
    <row r="222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</row>
    <row r="223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</row>
    <row r="224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</row>
    <row r="225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</row>
    <row r="226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</row>
    <row r="227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</row>
    <row r="228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</row>
    <row r="229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</row>
    <row r="230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</row>
    <row r="23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</row>
    <row r="232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</row>
    <row r="233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</row>
    <row r="234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</row>
    <row r="235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</row>
    <row r="236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</row>
    <row r="237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</row>
    <row r="238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</row>
    <row r="239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</row>
    <row r="240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</row>
    <row r="24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</row>
    <row r="242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</row>
    <row r="243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</row>
    <row r="244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</row>
    <row r="245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</row>
    <row r="246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</row>
    <row r="247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</row>
    <row r="248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</row>
    <row r="249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</row>
    <row r="250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</row>
    <row r="25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</row>
    <row r="252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</row>
    <row r="253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</row>
    <row r="254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</row>
    <row r="255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</row>
    <row r="256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</row>
    <row r="257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</row>
    <row r="258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</row>
    <row r="259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</row>
    <row r="260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</row>
    <row r="26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</row>
    <row r="262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</row>
    <row r="263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</row>
    <row r="264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</row>
    <row r="265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</row>
    <row r="266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</row>
    <row r="280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</row>
    <row r="28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</row>
    <row r="282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</row>
    <row r="283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</row>
    <row r="284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</row>
    <row r="285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</row>
    <row r="286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</row>
    <row r="287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</row>
    <row r="288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</row>
    <row r="289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</row>
    <row r="290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</row>
    <row r="29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</row>
    <row r="292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</row>
    <row r="293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</row>
    <row r="294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</row>
    <row r="295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</row>
    <row r="296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</row>
    <row r="297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</row>
    <row r="298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</row>
    <row r="299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</row>
    <row r="300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</row>
    <row r="30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</row>
    <row r="302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</row>
    <row r="303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</row>
    <row r="304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</row>
    <row r="305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</row>
    <row r="306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</row>
    <row r="307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</row>
    <row r="308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</row>
    <row r="309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</row>
    <row r="310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</row>
    <row r="31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</row>
    <row r="312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</row>
    <row r="313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</row>
    <row r="314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</row>
    <row r="315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</row>
    <row r="316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</row>
    <row r="317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</row>
    <row r="318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</row>
    <row r="319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</row>
    <row r="320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</row>
    <row r="32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</row>
    <row r="322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</row>
    <row r="323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</row>
    <row r="324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</row>
    <row r="325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</row>
    <row r="326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</row>
    <row r="327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</row>
    <row r="328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</row>
    <row r="329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</row>
    <row r="330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</row>
    <row r="33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</row>
    <row r="332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</row>
    <row r="333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</row>
    <row r="334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</row>
    <row r="335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</row>
    <row r="336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</row>
    <row r="337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</row>
    <row r="338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</row>
    <row r="339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</row>
    <row r="340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</row>
    <row r="34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</row>
    <row r="342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</row>
    <row r="343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</row>
    <row r="344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</row>
    <row r="345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</row>
    <row r="346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</row>
    <row r="347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</row>
    <row r="348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</row>
    <row r="349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</row>
    <row r="350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</row>
    <row r="35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</row>
    <row r="352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</row>
    <row r="353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</row>
    <row r="354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</row>
    <row r="355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</row>
    <row r="356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</row>
    <row r="357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</row>
    <row r="358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</row>
    <row r="359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</row>
    <row r="360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</row>
    <row r="36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</row>
    <row r="362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</row>
    <row r="363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</row>
    <row r="364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</row>
    <row r="365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</row>
    <row r="366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</row>
    <row r="367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</row>
    <row r="368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</row>
    <row r="369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</row>
    <row r="370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</row>
    <row r="37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</row>
    <row r="372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</row>
    <row r="373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</row>
    <row r="374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</row>
    <row r="375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</row>
    <row r="376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</row>
    <row r="377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</row>
    <row r="378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</row>
    <row r="379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</row>
    <row r="380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</row>
    <row r="38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</row>
    <row r="382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</row>
    <row r="383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</row>
    <row r="384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</row>
    <row r="385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</row>
    <row r="386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</row>
    <row r="387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</row>
    <row r="1001">
      <c r="A1001" s="24"/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</row>
    <row r="1002">
      <c r="A1002" s="24"/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</row>
  </sheetData>
  <mergeCells count="38">
    <mergeCell ref="A1:AF2"/>
    <mergeCell ref="B3:B4"/>
    <mergeCell ref="C3:D3"/>
    <mergeCell ref="E3:E4"/>
    <mergeCell ref="F3:G3"/>
    <mergeCell ref="H3:H4"/>
    <mergeCell ref="K3:K4"/>
    <mergeCell ref="I13:J13"/>
    <mergeCell ref="K13:K14"/>
    <mergeCell ref="N13:N14"/>
    <mergeCell ref="O13:P13"/>
    <mergeCell ref="I3:J3"/>
    <mergeCell ref="L3:M3"/>
    <mergeCell ref="C13:D13"/>
    <mergeCell ref="E13:E14"/>
    <mergeCell ref="F13:G13"/>
    <mergeCell ref="H13:H14"/>
    <mergeCell ref="L13:M13"/>
    <mergeCell ref="L23:M23"/>
    <mergeCell ref="N23:N24"/>
    <mergeCell ref="O23:P23"/>
    <mergeCell ref="B13:B14"/>
    <mergeCell ref="B23:B24"/>
    <mergeCell ref="C23:D23"/>
    <mergeCell ref="E23:E24"/>
    <mergeCell ref="F23:G23"/>
    <mergeCell ref="H23:H24"/>
    <mergeCell ref="I23:J23"/>
    <mergeCell ref="L33:M33"/>
    <mergeCell ref="N33:N34"/>
    <mergeCell ref="O33:P33"/>
    <mergeCell ref="B33:B34"/>
    <mergeCell ref="C33:D33"/>
    <mergeCell ref="E33:E34"/>
    <mergeCell ref="F33:G33"/>
    <mergeCell ref="H33:H34"/>
    <mergeCell ref="I33:J33"/>
    <mergeCell ref="K33:K3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" width="4.43"/>
    <col customWidth="1" min="2" max="2" width="5.86"/>
    <col customWidth="1" min="3" max="3" width="12.0"/>
    <col customWidth="1" min="4" max="4" width="20.0"/>
    <col customWidth="1" min="5" max="5" width="5.86"/>
    <col customWidth="1" min="6" max="6" width="12.0"/>
    <col customWidth="1" min="7" max="7" width="20.0"/>
    <col customWidth="1" min="8" max="8" width="5.86"/>
    <col customWidth="1" min="9" max="9" width="12.0"/>
    <col customWidth="1" min="10" max="10" width="22.57"/>
    <col customWidth="1" min="11" max="11" width="5.86"/>
    <col customWidth="1" min="12" max="12" width="12.0"/>
    <col customWidth="1" min="13" max="13" width="22.57"/>
    <col customWidth="1" min="14" max="14" width="5.86"/>
    <col customWidth="1" min="15" max="15" width="12.0"/>
    <col customWidth="1" min="16" max="16" width="11.14"/>
  </cols>
  <sheetData>
    <row r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</row>
    <row r="2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>
      <c r="A3" s="24"/>
      <c r="B3" s="32"/>
      <c r="C3" s="26" t="s">
        <v>21</v>
      </c>
      <c r="D3" s="5"/>
      <c r="E3" s="33"/>
      <c r="F3" s="26" t="s">
        <v>23</v>
      </c>
      <c r="G3" s="5"/>
      <c r="H3" s="33"/>
      <c r="I3" s="26" t="s">
        <v>26</v>
      </c>
      <c r="J3" s="5"/>
      <c r="K3" s="33"/>
      <c r="L3" s="26" t="s">
        <v>29</v>
      </c>
      <c r="M3" s="5"/>
      <c r="N3" s="34"/>
      <c r="O3" s="28"/>
      <c r="P3" s="28"/>
      <c r="Q3" s="24"/>
    </row>
    <row r="4">
      <c r="A4" s="24"/>
      <c r="B4" s="18"/>
      <c r="C4" s="29" t="s">
        <v>50</v>
      </c>
      <c r="D4" s="29" t="s">
        <v>51</v>
      </c>
      <c r="E4" s="18"/>
      <c r="F4" s="29" t="str">
        <f t="shared" ref="F4:G4" si="1">C4</f>
        <v>Datalake</v>
      </c>
      <c r="G4" s="29" t="str">
        <f t="shared" si="1"/>
        <v>GA (Google Analytics)</v>
      </c>
      <c r="H4" s="18"/>
      <c r="I4" s="29" t="str">
        <f>F4</f>
        <v>Datalake</v>
      </c>
      <c r="J4" s="29" t="s">
        <v>52</v>
      </c>
      <c r="K4" s="18"/>
      <c r="L4" s="29" t="str">
        <f t="shared" ref="L4:M4" si="2">I4</f>
        <v>Datalake</v>
      </c>
      <c r="M4" s="29" t="str">
        <f t="shared" si="2"/>
        <v>CM (Campaing Manager)</v>
      </c>
      <c r="N4" s="34"/>
      <c r="O4" s="28"/>
      <c r="P4" s="28"/>
      <c r="Q4" s="24"/>
    </row>
    <row r="5">
      <c r="A5" s="24"/>
      <c r="B5" s="35">
        <v>44249.0</v>
      </c>
      <c r="C5" s="29">
        <v>817999.0</v>
      </c>
      <c r="D5" s="29">
        <v>817998.94</v>
      </c>
      <c r="E5" s="36">
        <f t="shared" ref="E5:E11" si="3">B5</f>
        <v>44249</v>
      </c>
      <c r="F5" s="37">
        <v>72925.0</v>
      </c>
      <c r="G5" s="37">
        <v>72928.0</v>
      </c>
      <c r="H5" s="36">
        <f t="shared" ref="H5:H11" si="4">E5</f>
        <v>44249</v>
      </c>
      <c r="I5" s="29">
        <v>311931.0</v>
      </c>
      <c r="J5" s="29">
        <v>311931.0</v>
      </c>
      <c r="K5" s="36">
        <f t="shared" ref="K5:K11" si="5">H5</f>
        <v>44249</v>
      </c>
      <c r="L5" s="37">
        <v>16146.0</v>
      </c>
      <c r="M5" s="37">
        <v>16148.0</v>
      </c>
      <c r="N5" s="34"/>
      <c r="O5" s="28"/>
      <c r="P5" s="28"/>
      <c r="Q5" s="24"/>
    </row>
    <row r="6">
      <c r="A6" s="24"/>
      <c r="B6" s="35">
        <v>44248.0</v>
      </c>
      <c r="C6" s="29">
        <v>727843.0</v>
      </c>
      <c r="D6" s="29">
        <v>727842.62</v>
      </c>
      <c r="E6" s="36">
        <f t="shared" si="3"/>
        <v>44248</v>
      </c>
      <c r="F6" s="37">
        <v>50338.0</v>
      </c>
      <c r="G6" s="37">
        <v>50351.0</v>
      </c>
      <c r="H6" s="36">
        <f t="shared" si="4"/>
        <v>44248</v>
      </c>
      <c r="I6" s="29">
        <v>180700.0</v>
      </c>
      <c r="J6" s="29">
        <v>180700.0</v>
      </c>
      <c r="K6" s="36">
        <f t="shared" si="5"/>
        <v>44248</v>
      </c>
      <c r="L6" s="37">
        <v>12070.0</v>
      </c>
      <c r="M6" s="37">
        <v>12072.0</v>
      </c>
      <c r="N6" s="34"/>
      <c r="O6" s="28"/>
      <c r="P6" s="28"/>
      <c r="Q6" s="24"/>
    </row>
    <row r="7">
      <c r="A7" s="24"/>
      <c r="B7" s="35">
        <v>44247.0</v>
      </c>
      <c r="C7" s="29">
        <v>729766.0</v>
      </c>
      <c r="D7" s="29">
        <v>729765.97</v>
      </c>
      <c r="E7" s="36">
        <f t="shared" si="3"/>
        <v>44247</v>
      </c>
      <c r="F7" s="37">
        <v>49542.0</v>
      </c>
      <c r="G7" s="37">
        <v>49550.0</v>
      </c>
      <c r="H7" s="36">
        <f t="shared" si="4"/>
        <v>44247</v>
      </c>
      <c r="I7" s="29">
        <v>222233.0</v>
      </c>
      <c r="J7" s="29">
        <v>222233.0</v>
      </c>
      <c r="K7" s="36">
        <f t="shared" si="5"/>
        <v>44247</v>
      </c>
      <c r="L7" s="29">
        <v>11646.0</v>
      </c>
      <c r="M7" s="29">
        <v>11646.0</v>
      </c>
      <c r="N7" s="34"/>
      <c r="O7" s="28"/>
      <c r="P7" s="28"/>
      <c r="Q7" s="24"/>
    </row>
    <row r="8">
      <c r="A8" s="24"/>
      <c r="B8" s="35">
        <v>44246.0</v>
      </c>
      <c r="C8" s="29">
        <v>747433.0</v>
      </c>
      <c r="D8" s="29">
        <v>747433.34</v>
      </c>
      <c r="E8" s="36">
        <f t="shared" si="3"/>
        <v>44246</v>
      </c>
      <c r="F8" s="37">
        <v>51665.0</v>
      </c>
      <c r="G8" s="37">
        <v>51667.0</v>
      </c>
      <c r="H8" s="36">
        <f t="shared" si="4"/>
        <v>44246</v>
      </c>
      <c r="I8" s="29">
        <v>326153.0</v>
      </c>
      <c r="J8" s="29">
        <v>326153.0</v>
      </c>
      <c r="K8" s="36">
        <f t="shared" si="5"/>
        <v>44246</v>
      </c>
      <c r="L8" s="37">
        <v>10451.0</v>
      </c>
      <c r="M8" s="37">
        <v>10453.0</v>
      </c>
      <c r="N8" s="34"/>
      <c r="O8" s="28"/>
      <c r="P8" s="28"/>
      <c r="Q8" s="24"/>
    </row>
    <row r="9">
      <c r="A9" s="24"/>
      <c r="B9" s="35">
        <v>44245.0</v>
      </c>
      <c r="C9" s="29">
        <v>725490.0</v>
      </c>
      <c r="D9" s="29">
        <v>725490.07</v>
      </c>
      <c r="E9" s="36">
        <f t="shared" si="3"/>
        <v>44245</v>
      </c>
      <c r="F9" s="29">
        <v>76048.0</v>
      </c>
      <c r="G9" s="29">
        <v>76048.0</v>
      </c>
      <c r="H9" s="36">
        <f t="shared" si="4"/>
        <v>44245</v>
      </c>
      <c r="I9" s="29">
        <v>355355.0</v>
      </c>
      <c r="J9" s="29">
        <v>355355.0</v>
      </c>
      <c r="K9" s="36">
        <f t="shared" si="5"/>
        <v>44245</v>
      </c>
      <c r="L9" s="29">
        <v>26489.0</v>
      </c>
      <c r="M9" s="29">
        <v>26489.0</v>
      </c>
      <c r="N9" s="34"/>
      <c r="O9" s="28"/>
      <c r="P9" s="28"/>
      <c r="Q9" s="24"/>
    </row>
    <row r="10">
      <c r="A10" s="24"/>
      <c r="B10" s="35">
        <v>44244.0</v>
      </c>
      <c r="C10" s="29">
        <v>680639.0</v>
      </c>
      <c r="D10" s="29">
        <v>680639.29</v>
      </c>
      <c r="E10" s="36">
        <f t="shared" si="3"/>
        <v>44244</v>
      </c>
      <c r="F10" s="29">
        <v>72106.0</v>
      </c>
      <c r="G10" s="29">
        <v>72106.0</v>
      </c>
      <c r="H10" s="36">
        <f t="shared" si="4"/>
        <v>44244</v>
      </c>
      <c r="I10" s="29">
        <v>337922.0</v>
      </c>
      <c r="J10" s="29">
        <v>337922.0</v>
      </c>
      <c r="K10" s="36">
        <f t="shared" si="5"/>
        <v>44244</v>
      </c>
      <c r="L10" s="29">
        <v>18961.0</v>
      </c>
      <c r="M10" s="29">
        <v>18961.0</v>
      </c>
      <c r="N10" s="34"/>
      <c r="O10" s="28"/>
      <c r="P10" s="28"/>
      <c r="Q10" s="24"/>
    </row>
    <row r="11">
      <c r="A11" s="24"/>
      <c r="B11" s="35">
        <v>44243.0</v>
      </c>
      <c r="C11" s="29">
        <v>667544.0</v>
      </c>
      <c r="D11" s="29">
        <v>667543.9</v>
      </c>
      <c r="E11" s="36">
        <f t="shared" si="3"/>
        <v>44243</v>
      </c>
      <c r="F11" s="29">
        <v>57720.0</v>
      </c>
      <c r="G11" s="29">
        <v>57720.0</v>
      </c>
      <c r="H11" s="36">
        <f t="shared" si="4"/>
        <v>44243</v>
      </c>
      <c r="I11" s="29">
        <v>268217.0</v>
      </c>
      <c r="J11" s="29">
        <v>268217.0</v>
      </c>
      <c r="K11" s="36">
        <f t="shared" si="5"/>
        <v>44243</v>
      </c>
      <c r="L11" s="37">
        <v>8213.0</v>
      </c>
      <c r="M11" s="37">
        <v>8214.0</v>
      </c>
      <c r="N11" s="34"/>
      <c r="O11" s="28"/>
      <c r="P11" s="28"/>
      <c r="Q11" s="24"/>
    </row>
    <row r="12">
      <c r="A12" s="24"/>
      <c r="B12" s="38"/>
      <c r="C12" s="24"/>
      <c r="D12" s="24"/>
      <c r="E12" s="38"/>
      <c r="F12" s="24"/>
      <c r="G12" s="24"/>
      <c r="H12" s="38"/>
      <c r="I12" s="24"/>
      <c r="J12" s="24"/>
      <c r="K12" s="38"/>
      <c r="L12" s="24"/>
      <c r="M12" s="24"/>
      <c r="N12" s="38"/>
      <c r="O12" s="24"/>
      <c r="P12" s="24"/>
      <c r="Q12" s="24"/>
    </row>
    <row r="13">
      <c r="A13" s="24"/>
      <c r="B13" s="32"/>
      <c r="C13" s="26" t="s">
        <v>32</v>
      </c>
      <c r="D13" s="5"/>
      <c r="E13" s="32"/>
      <c r="F13" s="26" t="s">
        <v>23</v>
      </c>
      <c r="G13" s="5"/>
      <c r="H13" s="32"/>
      <c r="I13" s="26" t="s">
        <v>26</v>
      </c>
      <c r="J13" s="5"/>
      <c r="K13" s="32"/>
      <c r="L13" s="26" t="s">
        <v>29</v>
      </c>
      <c r="M13" s="5"/>
      <c r="N13" s="32"/>
      <c r="O13" s="26" t="s">
        <v>32</v>
      </c>
      <c r="P13" s="5"/>
      <c r="Q13" s="24"/>
    </row>
    <row r="14">
      <c r="A14" s="24"/>
      <c r="B14" s="18"/>
      <c r="C14" s="29" t="s">
        <v>50</v>
      </c>
      <c r="D14" s="29" t="s">
        <v>46</v>
      </c>
      <c r="E14" s="18"/>
      <c r="F14" s="29" t="s">
        <v>50</v>
      </c>
      <c r="G14" s="29" t="s">
        <v>46</v>
      </c>
      <c r="H14" s="18"/>
      <c r="I14" s="29" t="s">
        <v>50</v>
      </c>
      <c r="J14" s="29" t="s">
        <v>60</v>
      </c>
      <c r="K14" s="18"/>
      <c r="L14" s="29" t="s">
        <v>50</v>
      </c>
      <c r="M14" s="29" t="s">
        <v>60</v>
      </c>
      <c r="N14" s="18"/>
      <c r="O14" s="29" t="s">
        <v>50</v>
      </c>
      <c r="P14" s="29" t="s">
        <v>60</v>
      </c>
      <c r="Q14" s="24"/>
    </row>
    <row r="15">
      <c r="A15" s="24"/>
      <c r="B15" s="36">
        <f t="shared" ref="B15:B21" si="6">B5</f>
        <v>44249</v>
      </c>
      <c r="C15" s="29">
        <v>99.0</v>
      </c>
      <c r="D15" s="30"/>
      <c r="E15" s="36">
        <f t="shared" ref="E15:E21" si="7">B15</f>
        <v>44249</v>
      </c>
      <c r="F15" s="30"/>
      <c r="G15" s="30"/>
      <c r="H15" s="36">
        <f t="shared" ref="H15:H21" si="8">E15</f>
        <v>44249</v>
      </c>
      <c r="I15" s="29">
        <v>56868.0</v>
      </c>
      <c r="J15" s="29"/>
      <c r="K15" s="36">
        <f t="shared" ref="K15:K21" si="9">H15</f>
        <v>44249</v>
      </c>
      <c r="L15" s="30"/>
      <c r="M15" s="30"/>
      <c r="N15" s="36">
        <f t="shared" ref="N15:N21" si="10">K15</f>
        <v>44249</v>
      </c>
      <c r="O15" s="29">
        <v>353.99</v>
      </c>
      <c r="P15" s="29"/>
      <c r="Q15" s="24"/>
    </row>
    <row r="16">
      <c r="A16" s="24"/>
      <c r="B16" s="36">
        <f t="shared" si="6"/>
        <v>44248</v>
      </c>
      <c r="C16" s="30"/>
      <c r="D16" s="30"/>
      <c r="E16" s="36">
        <f t="shared" si="7"/>
        <v>44248</v>
      </c>
      <c r="F16" s="30"/>
      <c r="G16" s="30"/>
      <c r="H16" s="36">
        <f t="shared" si="8"/>
        <v>44248</v>
      </c>
      <c r="I16" s="29">
        <v>396694.0</v>
      </c>
      <c r="J16" s="29"/>
      <c r="K16" s="36">
        <f t="shared" si="9"/>
        <v>44248</v>
      </c>
      <c r="L16" s="30"/>
      <c r="M16" s="30"/>
      <c r="N16" s="36">
        <f t="shared" si="10"/>
        <v>44248</v>
      </c>
      <c r="O16" s="29">
        <v>3429.9</v>
      </c>
      <c r="P16" s="29"/>
      <c r="Q16" s="24"/>
    </row>
    <row r="17">
      <c r="A17" s="24"/>
      <c r="B17" s="36">
        <f t="shared" si="6"/>
        <v>44247</v>
      </c>
      <c r="C17" s="30"/>
      <c r="D17" s="30"/>
      <c r="E17" s="36">
        <f t="shared" si="7"/>
        <v>44247</v>
      </c>
      <c r="F17" s="30"/>
      <c r="G17" s="30"/>
      <c r="H17" s="36">
        <f t="shared" si="8"/>
        <v>44247</v>
      </c>
      <c r="I17" s="29">
        <v>684047.0</v>
      </c>
      <c r="J17" s="29"/>
      <c r="K17" s="36">
        <f t="shared" si="9"/>
        <v>44247</v>
      </c>
      <c r="L17" s="30"/>
      <c r="M17" s="30"/>
      <c r="N17" s="36">
        <f t="shared" si="10"/>
        <v>44247</v>
      </c>
      <c r="O17" s="29">
        <v>6878.13</v>
      </c>
      <c r="P17" s="29"/>
      <c r="Q17" s="24"/>
    </row>
    <row r="18">
      <c r="A18" s="24"/>
      <c r="B18" s="36">
        <f t="shared" si="6"/>
        <v>44246</v>
      </c>
      <c r="C18" s="30"/>
      <c r="D18" s="30"/>
      <c r="E18" s="36">
        <f t="shared" si="7"/>
        <v>44246</v>
      </c>
      <c r="F18" s="30"/>
      <c r="G18" s="30"/>
      <c r="H18" s="36">
        <f t="shared" si="8"/>
        <v>44246</v>
      </c>
      <c r="I18" s="29">
        <v>43796.0</v>
      </c>
      <c r="J18" s="29"/>
      <c r="K18" s="36">
        <f t="shared" si="9"/>
        <v>44246</v>
      </c>
      <c r="L18" s="30"/>
      <c r="M18" s="30"/>
      <c r="N18" s="36">
        <f t="shared" si="10"/>
        <v>44246</v>
      </c>
      <c r="O18" s="29">
        <v>359.96</v>
      </c>
      <c r="P18" s="29"/>
      <c r="Q18" s="24"/>
    </row>
    <row r="19">
      <c r="A19" s="24"/>
      <c r="B19" s="36">
        <f t="shared" si="6"/>
        <v>44245</v>
      </c>
      <c r="C19" s="29">
        <v>440.0</v>
      </c>
      <c r="D19" s="30"/>
      <c r="E19" s="36">
        <f t="shared" si="7"/>
        <v>44245</v>
      </c>
      <c r="F19" s="30"/>
      <c r="G19" s="30"/>
      <c r="H19" s="36">
        <f t="shared" si="8"/>
        <v>44245</v>
      </c>
      <c r="I19" s="29">
        <v>179364.0</v>
      </c>
      <c r="J19" s="29"/>
      <c r="K19" s="36">
        <f t="shared" si="9"/>
        <v>44245</v>
      </c>
      <c r="L19" s="30"/>
      <c r="M19" s="30"/>
      <c r="N19" s="36">
        <f t="shared" si="10"/>
        <v>44245</v>
      </c>
      <c r="O19" s="29">
        <v>1285.16</v>
      </c>
      <c r="P19" s="29"/>
      <c r="Q19" s="24"/>
    </row>
    <row r="20">
      <c r="A20" s="24"/>
      <c r="B20" s="36">
        <f t="shared" si="6"/>
        <v>44244</v>
      </c>
      <c r="C20" s="29">
        <v>67.0</v>
      </c>
      <c r="D20" s="30"/>
      <c r="E20" s="36">
        <f t="shared" si="7"/>
        <v>44244</v>
      </c>
      <c r="F20" s="30"/>
      <c r="G20" s="30"/>
      <c r="H20" s="36">
        <f t="shared" si="8"/>
        <v>44244</v>
      </c>
      <c r="I20" s="29">
        <v>224894.0</v>
      </c>
      <c r="J20" s="29"/>
      <c r="K20" s="36">
        <f t="shared" si="9"/>
        <v>44244</v>
      </c>
      <c r="L20" s="30"/>
      <c r="M20" s="30"/>
      <c r="N20" s="36">
        <f t="shared" si="10"/>
        <v>44244</v>
      </c>
      <c r="O20" s="29">
        <v>1339.03</v>
      </c>
      <c r="P20" s="29"/>
      <c r="Q20" s="24"/>
    </row>
    <row r="21">
      <c r="A21" s="24"/>
      <c r="B21" s="36">
        <f t="shared" si="6"/>
        <v>44243</v>
      </c>
      <c r="C21" s="30"/>
      <c r="D21" s="30"/>
      <c r="E21" s="36">
        <f t="shared" si="7"/>
        <v>44243</v>
      </c>
      <c r="F21" s="30"/>
      <c r="G21" s="30"/>
      <c r="H21" s="36">
        <f t="shared" si="8"/>
        <v>44243</v>
      </c>
      <c r="I21" s="29">
        <v>545831.0</v>
      </c>
      <c r="J21" s="29"/>
      <c r="K21" s="36">
        <f t="shared" si="9"/>
        <v>44243</v>
      </c>
      <c r="L21" s="30"/>
      <c r="M21" s="30"/>
      <c r="N21" s="36">
        <f t="shared" si="10"/>
        <v>44243</v>
      </c>
      <c r="O21" s="29">
        <v>4224.21</v>
      </c>
      <c r="P21" s="29"/>
      <c r="Q21" s="24"/>
    </row>
    <row r="22">
      <c r="A22" s="24"/>
      <c r="B22" s="38"/>
      <c r="C22" s="24"/>
      <c r="D22" s="24"/>
      <c r="E22" s="38"/>
      <c r="F22" s="24"/>
      <c r="G22" s="24"/>
      <c r="H22" s="38"/>
      <c r="I22" s="24"/>
      <c r="J22" s="24"/>
      <c r="K22" s="38"/>
      <c r="L22" s="24"/>
      <c r="M22" s="24"/>
      <c r="N22" s="38"/>
      <c r="O22" s="24"/>
      <c r="P22" s="24"/>
      <c r="Q22" s="24"/>
    </row>
    <row r="23">
      <c r="A23" s="24"/>
      <c r="B23" s="32"/>
      <c r="C23" s="26" t="s">
        <v>26</v>
      </c>
      <c r="D23" s="5"/>
      <c r="E23" s="32"/>
      <c r="F23" s="26" t="s">
        <v>29</v>
      </c>
      <c r="G23" s="5"/>
      <c r="H23" s="32"/>
      <c r="I23" s="26" t="s">
        <v>32</v>
      </c>
      <c r="J23" s="5"/>
      <c r="K23" s="36"/>
      <c r="L23" s="26" t="s">
        <v>32</v>
      </c>
      <c r="M23" s="5"/>
      <c r="N23" s="32"/>
      <c r="O23" s="26" t="s">
        <v>32</v>
      </c>
      <c r="P23" s="5"/>
      <c r="Q23" s="24"/>
    </row>
    <row r="24">
      <c r="A24" s="24"/>
      <c r="B24" s="18"/>
      <c r="C24" s="29" t="s">
        <v>50</v>
      </c>
      <c r="D24" s="29" t="s">
        <v>36</v>
      </c>
      <c r="E24" s="18"/>
      <c r="F24" s="29" t="s">
        <v>50</v>
      </c>
      <c r="G24" s="29" t="s">
        <v>36</v>
      </c>
      <c r="H24" s="18"/>
      <c r="I24" s="29" t="s">
        <v>50</v>
      </c>
      <c r="J24" s="29" t="s">
        <v>36</v>
      </c>
      <c r="K24" s="36"/>
      <c r="L24" s="30" t="str">
        <f>L4</f>
        <v>Datalake</v>
      </c>
      <c r="M24" s="29" t="s">
        <v>38</v>
      </c>
      <c r="N24" s="18"/>
      <c r="O24" s="30" t="str">
        <f>I24</f>
        <v>Datalake</v>
      </c>
      <c r="P24" s="29" t="s">
        <v>61</v>
      </c>
      <c r="Q24" s="24"/>
    </row>
    <row r="25">
      <c r="A25" s="24"/>
      <c r="B25" s="36">
        <f t="shared" ref="B25:B31" si="11">B15</f>
        <v>44249</v>
      </c>
      <c r="C25" s="29">
        <v>24433.0</v>
      </c>
      <c r="D25" s="29">
        <v>24433.0</v>
      </c>
      <c r="E25" s="36">
        <f t="shared" ref="E25:E31" si="12">B25</f>
        <v>44249</v>
      </c>
      <c r="F25" s="29">
        <v>3557.0</v>
      </c>
      <c r="G25" s="29">
        <v>3557.0</v>
      </c>
      <c r="H25" s="36">
        <f t="shared" ref="H25:H31" si="13">E25</f>
        <v>44249</v>
      </c>
      <c r="I25" s="29">
        <v>3561.06</v>
      </c>
      <c r="J25" s="29">
        <v>3561.06</v>
      </c>
      <c r="K25" s="36">
        <f t="shared" ref="K25:K31" si="14">K5</f>
        <v>44249</v>
      </c>
      <c r="L25" s="29">
        <v>523.897001</v>
      </c>
      <c r="M25" s="30"/>
      <c r="N25" s="36">
        <f t="shared" ref="N25:N31" si="15">H25</f>
        <v>44249</v>
      </c>
      <c r="O25" s="29">
        <v>342.14</v>
      </c>
      <c r="P25" s="29">
        <v>342.16</v>
      </c>
      <c r="Q25" s="24"/>
    </row>
    <row r="26">
      <c r="A26" s="24"/>
      <c r="B26" s="36">
        <f t="shared" si="11"/>
        <v>44248</v>
      </c>
      <c r="C26" s="29">
        <v>15879.0</v>
      </c>
      <c r="D26" s="29">
        <v>15879.0</v>
      </c>
      <c r="E26" s="36">
        <f t="shared" si="12"/>
        <v>44248</v>
      </c>
      <c r="F26" s="29">
        <v>2282.0</v>
      </c>
      <c r="G26" s="29">
        <v>2282.0</v>
      </c>
      <c r="H26" s="36">
        <f t="shared" si="13"/>
        <v>44248</v>
      </c>
      <c r="I26" s="29">
        <v>2677.49</v>
      </c>
      <c r="J26" s="29">
        <v>2677.49</v>
      </c>
      <c r="K26" s="36">
        <f t="shared" si="14"/>
        <v>44248</v>
      </c>
      <c r="L26" s="29">
        <v>635.427463</v>
      </c>
      <c r="M26" s="30"/>
      <c r="N26" s="36">
        <f t="shared" si="15"/>
        <v>44248</v>
      </c>
      <c r="O26" s="29">
        <v>282.14</v>
      </c>
      <c r="P26" s="29">
        <v>282.16</v>
      </c>
      <c r="Q26" s="24"/>
    </row>
    <row r="27">
      <c r="A27" s="24"/>
      <c r="B27" s="36">
        <f t="shared" si="11"/>
        <v>44247</v>
      </c>
      <c r="C27" s="29">
        <v>10117.0</v>
      </c>
      <c r="D27" s="29">
        <v>10117.0</v>
      </c>
      <c r="E27" s="36">
        <f t="shared" si="12"/>
        <v>44247</v>
      </c>
      <c r="F27" s="29">
        <v>1818.0</v>
      </c>
      <c r="G27" s="29">
        <v>1818.0</v>
      </c>
      <c r="H27" s="36">
        <f t="shared" si="13"/>
        <v>44247</v>
      </c>
      <c r="I27" s="29">
        <v>2128.09</v>
      </c>
      <c r="J27" s="29">
        <v>2128.09</v>
      </c>
      <c r="K27" s="36">
        <f t="shared" si="14"/>
        <v>44247</v>
      </c>
      <c r="L27" s="29">
        <v>746.829537</v>
      </c>
      <c r="M27" s="30"/>
      <c r="N27" s="36">
        <f t="shared" si="15"/>
        <v>44247</v>
      </c>
      <c r="O27" s="29">
        <v>440.2</v>
      </c>
      <c r="P27" s="29">
        <v>440.21</v>
      </c>
      <c r="Q27" s="24"/>
    </row>
    <row r="28">
      <c r="A28" s="24"/>
      <c r="B28" s="36">
        <f t="shared" si="11"/>
        <v>44246</v>
      </c>
      <c r="C28" s="29">
        <v>14556.0</v>
      </c>
      <c r="D28" s="29">
        <v>14556.0</v>
      </c>
      <c r="E28" s="36">
        <f t="shared" si="12"/>
        <v>44246</v>
      </c>
      <c r="F28" s="29">
        <v>2386.0</v>
      </c>
      <c r="G28" s="29">
        <v>2386.0</v>
      </c>
      <c r="H28" s="36">
        <f t="shared" si="13"/>
        <v>44246</v>
      </c>
      <c r="I28" s="29">
        <v>2349.33</v>
      </c>
      <c r="J28" s="29">
        <v>2349.33</v>
      </c>
      <c r="K28" s="36">
        <f t="shared" si="14"/>
        <v>44246</v>
      </c>
      <c r="L28" s="29">
        <v>797.879467</v>
      </c>
      <c r="M28" s="30"/>
      <c r="N28" s="36">
        <f t="shared" si="15"/>
        <v>44246</v>
      </c>
      <c r="O28" s="29">
        <v>223.82</v>
      </c>
      <c r="P28" s="29">
        <v>223.83</v>
      </c>
      <c r="Q28" s="24"/>
    </row>
    <row r="29">
      <c r="A29" s="24"/>
      <c r="B29" s="36">
        <f t="shared" si="11"/>
        <v>44245</v>
      </c>
      <c r="C29" s="29">
        <v>17267.0</v>
      </c>
      <c r="D29" s="29">
        <v>17267.0</v>
      </c>
      <c r="E29" s="36">
        <f t="shared" si="12"/>
        <v>44245</v>
      </c>
      <c r="F29" s="29">
        <v>2853.0</v>
      </c>
      <c r="G29" s="29">
        <v>2853.0</v>
      </c>
      <c r="H29" s="36">
        <f t="shared" si="13"/>
        <v>44245</v>
      </c>
      <c r="I29" s="29">
        <v>2997.62</v>
      </c>
      <c r="J29" s="29">
        <v>2997.62</v>
      </c>
      <c r="K29" s="36">
        <f t="shared" si="14"/>
        <v>44245</v>
      </c>
      <c r="L29" s="29">
        <v>429.396077</v>
      </c>
      <c r="M29" s="30"/>
      <c r="N29" s="36">
        <f t="shared" si="15"/>
        <v>44245</v>
      </c>
      <c r="O29" s="29">
        <v>370.32</v>
      </c>
      <c r="P29" s="29">
        <v>370.31</v>
      </c>
      <c r="Q29" s="24"/>
    </row>
    <row r="30">
      <c r="A30" s="24"/>
      <c r="B30" s="36">
        <f t="shared" si="11"/>
        <v>44244</v>
      </c>
      <c r="C30" s="29">
        <v>17523.0</v>
      </c>
      <c r="D30" s="29">
        <v>17523.0</v>
      </c>
      <c r="E30" s="36">
        <f t="shared" si="12"/>
        <v>44244</v>
      </c>
      <c r="F30" s="29">
        <v>2975.0</v>
      </c>
      <c r="G30" s="29">
        <v>2975.0</v>
      </c>
      <c r="H30" s="36">
        <f t="shared" si="13"/>
        <v>44244</v>
      </c>
      <c r="I30" s="29">
        <v>3031.33</v>
      </c>
      <c r="J30" s="29">
        <v>3031.33</v>
      </c>
      <c r="K30" s="36">
        <f t="shared" si="14"/>
        <v>44244</v>
      </c>
      <c r="L30" s="29">
        <v>447.978903</v>
      </c>
      <c r="M30" s="30"/>
      <c r="N30" s="36">
        <f t="shared" si="15"/>
        <v>44244</v>
      </c>
      <c r="O30" s="29">
        <v>208.38</v>
      </c>
      <c r="P30" s="29">
        <v>208.37</v>
      </c>
      <c r="Q30" s="24"/>
    </row>
    <row r="31">
      <c r="A31" s="24"/>
      <c r="B31" s="36">
        <f t="shared" si="11"/>
        <v>44243</v>
      </c>
      <c r="C31" s="29">
        <v>15858.0</v>
      </c>
      <c r="D31" s="29">
        <v>15858.0</v>
      </c>
      <c r="E31" s="36">
        <f t="shared" si="12"/>
        <v>44243</v>
      </c>
      <c r="F31" s="29">
        <v>2499.0</v>
      </c>
      <c r="G31" s="29">
        <v>2499.0</v>
      </c>
      <c r="H31" s="36">
        <f t="shared" si="13"/>
        <v>44243</v>
      </c>
      <c r="I31" s="29">
        <v>2420.59</v>
      </c>
      <c r="J31" s="29">
        <v>2420.59</v>
      </c>
      <c r="K31" s="36">
        <f t="shared" si="14"/>
        <v>44243</v>
      </c>
      <c r="L31" s="29">
        <v>590.042872</v>
      </c>
      <c r="M31" s="30"/>
      <c r="N31" s="36">
        <f t="shared" si="15"/>
        <v>44243</v>
      </c>
      <c r="O31" s="29">
        <v>193.77</v>
      </c>
      <c r="P31" s="29">
        <v>193.78</v>
      </c>
      <c r="Q31" s="24"/>
    </row>
    <row r="32">
      <c r="A32" s="24"/>
      <c r="B32" s="38"/>
      <c r="C32" s="24"/>
      <c r="D32" s="24"/>
      <c r="E32" s="38"/>
      <c r="F32" s="24"/>
      <c r="G32" s="24"/>
      <c r="H32" s="38"/>
      <c r="I32" s="24"/>
      <c r="J32" s="24"/>
      <c r="K32" s="38"/>
      <c r="L32" s="24"/>
      <c r="M32" s="24"/>
      <c r="N32" s="38"/>
      <c r="O32" s="24"/>
      <c r="P32" s="24"/>
      <c r="Q32" s="24"/>
    </row>
    <row r="33">
      <c r="A33" s="24"/>
      <c r="B33" s="32"/>
      <c r="C33" s="26" t="s">
        <v>32</v>
      </c>
      <c r="D33" s="5"/>
      <c r="E33" s="32"/>
      <c r="F33" s="26" t="s">
        <v>32</v>
      </c>
      <c r="G33" s="5"/>
      <c r="H33" s="32"/>
      <c r="I33" s="26" t="s">
        <v>26</v>
      </c>
      <c r="J33" s="5"/>
      <c r="K33" s="32"/>
      <c r="L33" s="26" t="s">
        <v>29</v>
      </c>
      <c r="M33" s="5"/>
      <c r="N33" s="32"/>
      <c r="O33" s="26" t="s">
        <v>32</v>
      </c>
      <c r="P33" s="5"/>
      <c r="Q33" s="24"/>
    </row>
    <row r="34">
      <c r="A34" s="24"/>
      <c r="B34" s="18"/>
      <c r="C34" s="30" t="str">
        <f>C14</f>
        <v>Datalake</v>
      </c>
      <c r="D34" s="29" t="s">
        <v>42</v>
      </c>
      <c r="E34" s="18"/>
      <c r="F34" s="30" t="str">
        <f>C34</f>
        <v>Datalake</v>
      </c>
      <c r="G34" s="29" t="s">
        <v>44</v>
      </c>
      <c r="H34" s="18"/>
      <c r="I34" s="29" t="s">
        <v>50</v>
      </c>
      <c r="J34" s="29" t="s">
        <v>31</v>
      </c>
      <c r="K34" s="18"/>
      <c r="L34" s="29" t="s">
        <v>50</v>
      </c>
      <c r="M34" s="29" t="s">
        <v>31</v>
      </c>
      <c r="N34" s="18"/>
      <c r="O34" s="29" t="s">
        <v>50</v>
      </c>
      <c r="P34" s="29" t="s">
        <v>31</v>
      </c>
      <c r="Q34" s="24"/>
    </row>
    <row r="35">
      <c r="A35" s="24"/>
      <c r="B35" s="36">
        <f t="shared" ref="B35:B41" si="16">B25</f>
        <v>44249</v>
      </c>
      <c r="C35" s="30"/>
      <c r="D35" s="30"/>
      <c r="E35" s="36">
        <f t="shared" ref="E35:E41" si="17">B35</f>
        <v>44249</v>
      </c>
      <c r="F35" s="30"/>
      <c r="G35" s="30"/>
      <c r="H35" s="36">
        <f t="shared" ref="H35:H41" si="18">E35</f>
        <v>44249</v>
      </c>
      <c r="I35" s="29">
        <v>522990.0</v>
      </c>
      <c r="J35" s="29">
        <v>522990.0</v>
      </c>
      <c r="K35" s="36">
        <f t="shared" ref="K35:K41" si="19">H35</f>
        <v>44249</v>
      </c>
      <c r="L35" s="29">
        <v>58173.0</v>
      </c>
      <c r="M35" s="29">
        <v>58173.0</v>
      </c>
      <c r="N35" s="36">
        <f t="shared" ref="N35:N41" si="20">K35</f>
        <v>44249</v>
      </c>
      <c r="O35" s="29">
        <v>43125.94189</v>
      </c>
      <c r="P35" s="29">
        <v>43125.94</v>
      </c>
      <c r="Q35" s="24"/>
    </row>
    <row r="36">
      <c r="A36" s="24"/>
      <c r="B36" s="36">
        <f t="shared" si="16"/>
        <v>44248</v>
      </c>
      <c r="C36" s="30"/>
      <c r="D36" s="30"/>
      <c r="E36" s="36">
        <f t="shared" si="17"/>
        <v>44248</v>
      </c>
      <c r="F36" s="30"/>
      <c r="G36" s="30"/>
      <c r="H36" s="36">
        <f t="shared" si="18"/>
        <v>44248</v>
      </c>
      <c r="I36" s="29">
        <v>268333.0</v>
      </c>
      <c r="J36" s="29">
        <v>268333.0</v>
      </c>
      <c r="K36" s="36">
        <f t="shared" si="19"/>
        <v>44248</v>
      </c>
      <c r="L36" s="29">
        <v>36452.0</v>
      </c>
      <c r="M36" s="29">
        <v>36452.0</v>
      </c>
      <c r="N36" s="36">
        <f t="shared" si="20"/>
        <v>44248</v>
      </c>
      <c r="O36" s="29">
        <v>22416.44209</v>
      </c>
      <c r="P36" s="29">
        <v>22416.44</v>
      </c>
      <c r="Q36" s="24"/>
    </row>
    <row r="37">
      <c r="A37" s="24"/>
      <c r="B37" s="36">
        <f t="shared" si="16"/>
        <v>44247</v>
      </c>
      <c r="C37" s="30"/>
      <c r="D37" s="30"/>
      <c r="E37" s="36">
        <f t="shared" si="17"/>
        <v>44247</v>
      </c>
      <c r="F37" s="30"/>
      <c r="G37" s="30"/>
      <c r="H37" s="36">
        <f t="shared" si="18"/>
        <v>44247</v>
      </c>
      <c r="I37" s="29">
        <v>251316.0</v>
      </c>
      <c r="J37" s="29">
        <v>251315.0</v>
      </c>
      <c r="K37" s="36">
        <f t="shared" si="19"/>
        <v>44247</v>
      </c>
      <c r="L37" s="29">
        <v>36380.0</v>
      </c>
      <c r="M37" s="29">
        <v>36380.0</v>
      </c>
      <c r="N37" s="36">
        <f t="shared" si="20"/>
        <v>44247</v>
      </c>
      <c r="O37" s="29">
        <v>25411.18346</v>
      </c>
      <c r="P37" s="29">
        <v>25411.18</v>
      </c>
      <c r="Q37" s="24"/>
    </row>
    <row r="38">
      <c r="A38" s="24"/>
      <c r="B38" s="36">
        <f t="shared" si="16"/>
        <v>44246</v>
      </c>
      <c r="C38" s="30"/>
      <c r="D38" s="30"/>
      <c r="E38" s="36">
        <f t="shared" si="17"/>
        <v>44246</v>
      </c>
      <c r="F38" s="30"/>
      <c r="G38" s="30"/>
      <c r="H38" s="36">
        <f t="shared" si="18"/>
        <v>44246</v>
      </c>
      <c r="I38" s="29">
        <v>438052.0</v>
      </c>
      <c r="J38" s="29">
        <v>438052.0</v>
      </c>
      <c r="K38" s="36">
        <f t="shared" si="19"/>
        <v>44246</v>
      </c>
      <c r="L38" s="29">
        <v>39631.0</v>
      </c>
      <c r="M38" s="29">
        <v>39631.0</v>
      </c>
      <c r="N38" s="36">
        <f t="shared" si="20"/>
        <v>44246</v>
      </c>
      <c r="O38" s="29">
        <v>29699.91617</v>
      </c>
      <c r="P38" s="29">
        <v>29699.92</v>
      </c>
      <c r="Q38" s="24"/>
    </row>
    <row r="39">
      <c r="A39" s="24"/>
      <c r="B39" s="36">
        <f t="shared" si="16"/>
        <v>44245</v>
      </c>
      <c r="C39" s="30"/>
      <c r="D39" s="30"/>
      <c r="E39" s="36">
        <f t="shared" si="17"/>
        <v>44245</v>
      </c>
      <c r="F39" s="30"/>
      <c r="G39" s="30"/>
      <c r="H39" s="36">
        <f t="shared" si="18"/>
        <v>44245</v>
      </c>
      <c r="I39" s="29">
        <v>680590.0</v>
      </c>
      <c r="J39" s="29">
        <v>680590.0</v>
      </c>
      <c r="K39" s="36">
        <f t="shared" si="19"/>
        <v>44245</v>
      </c>
      <c r="L39" s="29">
        <v>51374.0</v>
      </c>
      <c r="M39" s="29">
        <v>51374.0</v>
      </c>
      <c r="N39" s="36">
        <f t="shared" si="20"/>
        <v>44245</v>
      </c>
      <c r="O39" s="29">
        <v>37197.54504</v>
      </c>
      <c r="P39" s="29">
        <v>37197.55</v>
      </c>
      <c r="Q39" s="24"/>
    </row>
    <row r="40">
      <c r="A40" s="24"/>
      <c r="B40" s="36">
        <f t="shared" si="16"/>
        <v>44244</v>
      </c>
      <c r="C40" s="30"/>
      <c r="D40" s="30"/>
      <c r="E40" s="36">
        <f t="shared" si="17"/>
        <v>44244</v>
      </c>
      <c r="F40" s="30"/>
      <c r="G40" s="30"/>
      <c r="H40" s="36">
        <f t="shared" si="18"/>
        <v>44244</v>
      </c>
      <c r="I40" s="29">
        <v>883726.0</v>
      </c>
      <c r="J40" s="29">
        <v>883726.0</v>
      </c>
      <c r="K40" s="36">
        <f t="shared" si="19"/>
        <v>44244</v>
      </c>
      <c r="L40" s="29">
        <v>52670.0</v>
      </c>
      <c r="M40" s="29">
        <v>52670.0</v>
      </c>
      <c r="N40" s="36">
        <f t="shared" si="20"/>
        <v>44244</v>
      </c>
      <c r="O40" s="29">
        <v>36029.32019</v>
      </c>
      <c r="P40" s="29">
        <v>36029.32</v>
      </c>
      <c r="Q40" s="24"/>
    </row>
    <row r="41">
      <c r="A41" s="24"/>
      <c r="B41" s="36">
        <f t="shared" si="16"/>
        <v>44243</v>
      </c>
      <c r="C41" s="30"/>
      <c r="D41" s="30"/>
      <c r="E41" s="36">
        <f t="shared" si="17"/>
        <v>44243</v>
      </c>
      <c r="F41" s="30"/>
      <c r="G41" s="30"/>
      <c r="H41" s="36">
        <f t="shared" si="18"/>
        <v>44243</v>
      </c>
      <c r="I41" s="29">
        <v>472200.0</v>
      </c>
      <c r="J41" s="29">
        <v>472200.0</v>
      </c>
      <c r="K41" s="36">
        <f t="shared" si="19"/>
        <v>44243</v>
      </c>
      <c r="L41" s="37">
        <v>47020.0</v>
      </c>
      <c r="M41" s="37">
        <v>47019.0</v>
      </c>
      <c r="N41" s="36">
        <f t="shared" si="20"/>
        <v>44243</v>
      </c>
      <c r="O41" s="29">
        <v>29932.0</v>
      </c>
      <c r="P41" s="29">
        <v>29931.68</v>
      </c>
      <c r="Q41" s="24"/>
    </row>
    <row r="42">
      <c r="A42" s="24"/>
      <c r="B42" s="38"/>
      <c r="C42" s="24"/>
      <c r="D42" s="24"/>
      <c r="E42" s="38"/>
      <c r="F42" s="24"/>
      <c r="G42" s="24"/>
      <c r="H42" s="38"/>
      <c r="I42" s="24"/>
      <c r="J42" s="24"/>
      <c r="K42" s="38"/>
      <c r="L42" s="24"/>
      <c r="M42" s="24"/>
      <c r="N42" s="38"/>
      <c r="O42" s="24"/>
      <c r="P42" s="24"/>
      <c r="Q42" s="24"/>
    </row>
  </sheetData>
  <mergeCells count="37">
    <mergeCell ref="C3:D3"/>
    <mergeCell ref="E3:E4"/>
    <mergeCell ref="F3:G3"/>
    <mergeCell ref="H3:H4"/>
    <mergeCell ref="I3:J3"/>
    <mergeCell ref="K3:K4"/>
    <mergeCell ref="L3:M3"/>
    <mergeCell ref="I13:J13"/>
    <mergeCell ref="L13:M13"/>
    <mergeCell ref="N13:N14"/>
    <mergeCell ref="O13:P13"/>
    <mergeCell ref="B3:B4"/>
    <mergeCell ref="B13:B14"/>
    <mergeCell ref="C13:D13"/>
    <mergeCell ref="E13:E14"/>
    <mergeCell ref="F13:G13"/>
    <mergeCell ref="H13:H14"/>
    <mergeCell ref="K13:K14"/>
    <mergeCell ref="L23:M23"/>
    <mergeCell ref="O23:P23"/>
    <mergeCell ref="B23:B24"/>
    <mergeCell ref="C23:D23"/>
    <mergeCell ref="E23:E24"/>
    <mergeCell ref="F23:G23"/>
    <mergeCell ref="H23:H24"/>
    <mergeCell ref="I23:J23"/>
    <mergeCell ref="N23:N24"/>
    <mergeCell ref="L33:M33"/>
    <mergeCell ref="N33:N34"/>
    <mergeCell ref="O33:P33"/>
    <mergeCell ref="B33:B34"/>
    <mergeCell ref="C33:D33"/>
    <mergeCell ref="E33:E34"/>
    <mergeCell ref="F33:G33"/>
    <mergeCell ref="H33:H34"/>
    <mergeCell ref="I33:J33"/>
    <mergeCell ref="K33:K3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" width="4.43"/>
    <col customWidth="1" min="2" max="2" width="5.86"/>
    <col customWidth="1" min="3" max="3" width="12.0"/>
    <col customWidth="1" min="4" max="4" width="20.0"/>
    <col customWidth="1" min="5" max="5" width="5.86"/>
    <col customWidth="1" min="6" max="6" width="12.0"/>
    <col customWidth="1" min="7" max="7" width="20.0"/>
    <col customWidth="1" min="8" max="8" width="5.86"/>
    <col customWidth="1" min="9" max="9" width="12.0"/>
    <col customWidth="1" min="10" max="10" width="22.57"/>
    <col customWidth="1" min="11" max="11" width="5.86"/>
    <col customWidth="1" min="12" max="12" width="12.0"/>
    <col customWidth="1" min="13" max="13" width="22.57"/>
    <col customWidth="1" min="14" max="14" width="5.86"/>
    <col customWidth="1" min="15" max="15" width="12.0"/>
    <col customWidth="1" min="16" max="16" width="11.0"/>
  </cols>
  <sheetData>
    <row r="1">
      <c r="A1" s="24"/>
      <c r="B1" s="38"/>
      <c r="C1" s="24"/>
      <c r="D1" s="24"/>
      <c r="E1" s="38"/>
      <c r="F1" s="24"/>
      <c r="G1" s="24"/>
      <c r="H1" s="38"/>
      <c r="I1" s="24"/>
      <c r="J1" s="24"/>
      <c r="K1" s="38"/>
      <c r="L1" s="24"/>
      <c r="M1" s="24"/>
      <c r="N1" s="38"/>
      <c r="O1" s="24"/>
      <c r="P1" s="24"/>
      <c r="Q1" s="24"/>
    </row>
    <row r="2">
      <c r="A2" s="24"/>
      <c r="B2" s="38"/>
      <c r="C2" s="39"/>
      <c r="D2" s="39"/>
      <c r="E2" s="40"/>
      <c r="F2" s="39"/>
      <c r="G2" s="39"/>
      <c r="H2" s="40"/>
      <c r="I2" s="39"/>
      <c r="J2" s="39"/>
      <c r="K2" s="40"/>
      <c r="L2" s="39"/>
      <c r="M2" s="39"/>
      <c r="N2" s="38"/>
      <c r="O2" s="24"/>
      <c r="P2" s="24"/>
      <c r="Q2" s="24"/>
    </row>
    <row r="3">
      <c r="A3" s="24"/>
      <c r="B3" s="32"/>
      <c r="C3" s="26" t="s">
        <v>21</v>
      </c>
      <c r="D3" s="5"/>
      <c r="E3" s="33"/>
      <c r="F3" s="26" t="s">
        <v>23</v>
      </c>
      <c r="G3" s="5"/>
      <c r="H3" s="33"/>
      <c r="I3" s="26" t="s">
        <v>26</v>
      </c>
      <c r="J3" s="5"/>
      <c r="K3" s="33"/>
      <c r="L3" s="26" t="s">
        <v>29</v>
      </c>
      <c r="M3" s="5"/>
      <c r="N3" s="34"/>
      <c r="O3" s="28"/>
      <c r="P3" s="28"/>
      <c r="Q3" s="24"/>
    </row>
    <row r="4">
      <c r="A4" s="24"/>
      <c r="B4" s="18"/>
      <c r="C4" s="29" t="s">
        <v>50</v>
      </c>
      <c r="D4" s="29" t="s">
        <v>51</v>
      </c>
      <c r="E4" s="18"/>
      <c r="F4" s="29" t="str">
        <f t="shared" ref="F4:G4" si="1">C4</f>
        <v>Datalake</v>
      </c>
      <c r="G4" s="29" t="str">
        <f t="shared" si="1"/>
        <v>GA (Google Analytics)</v>
      </c>
      <c r="H4" s="18"/>
      <c r="I4" s="29" t="str">
        <f>F4</f>
        <v>Datalake</v>
      </c>
      <c r="J4" s="29" t="s">
        <v>52</v>
      </c>
      <c r="K4" s="18"/>
      <c r="L4" s="29" t="str">
        <f t="shared" ref="L4:M4" si="2">I4</f>
        <v>Datalake</v>
      </c>
      <c r="M4" s="29" t="str">
        <f t="shared" si="2"/>
        <v>CM (Campaing Manager)</v>
      </c>
      <c r="N4" s="34"/>
      <c r="O4" s="28"/>
      <c r="P4" s="28"/>
      <c r="Q4" s="24"/>
    </row>
    <row r="5">
      <c r="A5" s="24"/>
      <c r="B5" s="35">
        <v>44250.0</v>
      </c>
      <c r="C5" s="37">
        <v>742171.0</v>
      </c>
      <c r="D5" s="37">
        <v>742762.26</v>
      </c>
      <c r="E5" s="36">
        <f t="shared" ref="E5:E11" si="3">B5</f>
        <v>44250</v>
      </c>
      <c r="F5" s="37">
        <v>71372.0</v>
      </c>
      <c r="G5" s="37">
        <v>71862.0</v>
      </c>
      <c r="H5" s="36">
        <f t="shared" ref="H5:H11" si="4">E5</f>
        <v>44250</v>
      </c>
      <c r="I5" s="29">
        <v>178785.0</v>
      </c>
      <c r="J5" s="29">
        <v>178785.0</v>
      </c>
      <c r="K5" s="36">
        <f t="shared" ref="K5:K11" si="5">H5</f>
        <v>44250</v>
      </c>
      <c r="L5" s="37">
        <v>12940.0</v>
      </c>
      <c r="M5" s="37">
        <v>12941.0</v>
      </c>
      <c r="N5" s="34"/>
      <c r="O5" s="28"/>
      <c r="P5" s="28"/>
      <c r="Q5" s="24"/>
    </row>
    <row r="6">
      <c r="A6" s="24"/>
      <c r="B6" s="35">
        <v>44249.0</v>
      </c>
      <c r="C6" s="29">
        <v>817999.0</v>
      </c>
      <c r="D6" s="29">
        <v>817998.94</v>
      </c>
      <c r="E6" s="36">
        <f t="shared" si="3"/>
        <v>44249</v>
      </c>
      <c r="F6" s="37">
        <v>72925.0</v>
      </c>
      <c r="G6" s="37">
        <v>72928.0</v>
      </c>
      <c r="H6" s="36">
        <f t="shared" si="4"/>
        <v>44249</v>
      </c>
      <c r="I6" s="29">
        <v>311931.0</v>
      </c>
      <c r="J6" s="29">
        <v>311931.0</v>
      </c>
      <c r="K6" s="36">
        <f t="shared" si="5"/>
        <v>44249</v>
      </c>
      <c r="L6" s="37">
        <v>16146.0</v>
      </c>
      <c r="M6" s="37">
        <v>16148.0</v>
      </c>
      <c r="N6" s="34"/>
      <c r="O6" s="28"/>
      <c r="P6" s="28"/>
      <c r="Q6" s="24"/>
    </row>
    <row r="7">
      <c r="A7" s="24"/>
      <c r="B7" s="35">
        <v>44248.0</v>
      </c>
      <c r="C7" s="29">
        <v>727843.0</v>
      </c>
      <c r="D7" s="29">
        <v>727842.62</v>
      </c>
      <c r="E7" s="36">
        <f t="shared" si="3"/>
        <v>44248</v>
      </c>
      <c r="F7" s="37">
        <v>50338.0</v>
      </c>
      <c r="G7" s="37">
        <v>50351.0</v>
      </c>
      <c r="H7" s="36">
        <f t="shared" si="4"/>
        <v>44248</v>
      </c>
      <c r="I7" s="29">
        <v>180700.0</v>
      </c>
      <c r="J7" s="29">
        <v>180700.0</v>
      </c>
      <c r="K7" s="36">
        <f t="shared" si="5"/>
        <v>44248</v>
      </c>
      <c r="L7" s="37">
        <v>12070.0</v>
      </c>
      <c r="M7" s="37">
        <v>12072.0</v>
      </c>
      <c r="N7" s="34"/>
      <c r="O7" s="28"/>
      <c r="P7" s="28"/>
      <c r="Q7" s="24"/>
    </row>
    <row r="8">
      <c r="A8" s="24"/>
      <c r="B8" s="35">
        <v>44247.0</v>
      </c>
      <c r="C8" s="29">
        <v>729766.0</v>
      </c>
      <c r="D8" s="29">
        <v>729765.97</v>
      </c>
      <c r="E8" s="36">
        <f t="shared" si="3"/>
        <v>44247</v>
      </c>
      <c r="F8" s="37">
        <v>49542.0</v>
      </c>
      <c r="G8" s="37">
        <v>49550.0</v>
      </c>
      <c r="H8" s="36">
        <f t="shared" si="4"/>
        <v>44247</v>
      </c>
      <c r="I8" s="29">
        <v>222233.0</v>
      </c>
      <c r="J8" s="29">
        <v>222233.0</v>
      </c>
      <c r="K8" s="36">
        <f t="shared" si="5"/>
        <v>44247</v>
      </c>
      <c r="L8" s="29">
        <v>11646.0</v>
      </c>
      <c r="M8" s="29">
        <v>11646.0</v>
      </c>
      <c r="N8" s="34"/>
      <c r="O8" s="28"/>
      <c r="P8" s="28"/>
      <c r="Q8" s="24"/>
    </row>
    <row r="9">
      <c r="A9" s="24"/>
      <c r="B9" s="35">
        <v>44246.0</v>
      </c>
      <c r="C9" s="29">
        <v>747433.0</v>
      </c>
      <c r="D9" s="29">
        <v>747433.34</v>
      </c>
      <c r="E9" s="36">
        <f t="shared" si="3"/>
        <v>44246</v>
      </c>
      <c r="F9" s="37">
        <v>51665.0</v>
      </c>
      <c r="G9" s="37">
        <v>51667.0</v>
      </c>
      <c r="H9" s="36">
        <f t="shared" si="4"/>
        <v>44246</v>
      </c>
      <c r="I9" s="29">
        <v>326153.0</v>
      </c>
      <c r="J9" s="29">
        <v>326153.0</v>
      </c>
      <c r="K9" s="36">
        <f t="shared" si="5"/>
        <v>44246</v>
      </c>
      <c r="L9" s="37">
        <v>10451.0</v>
      </c>
      <c r="M9" s="37">
        <v>10453.0</v>
      </c>
      <c r="N9" s="34"/>
      <c r="O9" s="28"/>
      <c r="P9" s="28"/>
      <c r="Q9" s="24"/>
    </row>
    <row r="10">
      <c r="A10" s="24"/>
      <c r="B10" s="35">
        <v>44245.0</v>
      </c>
      <c r="C10" s="29">
        <v>725490.0</v>
      </c>
      <c r="D10" s="29">
        <v>725490.07</v>
      </c>
      <c r="E10" s="36">
        <f t="shared" si="3"/>
        <v>44245</v>
      </c>
      <c r="F10" s="29">
        <v>76048.0</v>
      </c>
      <c r="G10" s="29">
        <v>76048.0</v>
      </c>
      <c r="H10" s="36">
        <f t="shared" si="4"/>
        <v>44245</v>
      </c>
      <c r="I10" s="29">
        <v>355355.0</v>
      </c>
      <c r="J10" s="29">
        <v>355355.0</v>
      </c>
      <c r="K10" s="36">
        <f t="shared" si="5"/>
        <v>44245</v>
      </c>
      <c r="L10" s="29">
        <v>26489.0</v>
      </c>
      <c r="M10" s="29">
        <v>26489.0</v>
      </c>
      <c r="N10" s="34"/>
      <c r="O10" s="28"/>
      <c r="P10" s="28"/>
      <c r="Q10" s="24"/>
    </row>
    <row r="11">
      <c r="A11" s="24"/>
      <c r="B11" s="35">
        <v>44244.0</v>
      </c>
      <c r="C11" s="29">
        <v>680639.0</v>
      </c>
      <c r="D11" s="29">
        <v>680639.29</v>
      </c>
      <c r="E11" s="36">
        <f t="shared" si="3"/>
        <v>44244</v>
      </c>
      <c r="F11" s="29">
        <v>72106.0</v>
      </c>
      <c r="G11" s="29">
        <v>72106.0</v>
      </c>
      <c r="H11" s="36">
        <f t="shared" si="4"/>
        <v>44244</v>
      </c>
      <c r="I11" s="29">
        <v>337922.0</v>
      </c>
      <c r="J11" s="29">
        <v>337922.0</v>
      </c>
      <c r="K11" s="36">
        <f t="shared" si="5"/>
        <v>44244</v>
      </c>
      <c r="L11" s="29">
        <v>18961.0</v>
      </c>
      <c r="M11" s="29">
        <v>18961.0</v>
      </c>
      <c r="N11" s="34"/>
      <c r="O11" s="28"/>
      <c r="P11" s="28"/>
      <c r="Q11" s="24"/>
    </row>
    <row r="12">
      <c r="A12" s="24"/>
      <c r="B12" s="38"/>
      <c r="C12" s="24"/>
      <c r="D12" s="24"/>
      <c r="E12" s="38"/>
      <c r="F12" s="24"/>
      <c r="G12" s="24"/>
      <c r="H12" s="38"/>
      <c r="I12" s="24"/>
      <c r="J12" s="24"/>
      <c r="K12" s="38"/>
      <c r="L12" s="24"/>
      <c r="M12" s="24"/>
      <c r="N12" s="38"/>
      <c r="O12" s="24"/>
      <c r="P12" s="24"/>
      <c r="Q12" s="24"/>
    </row>
    <row r="13">
      <c r="A13" s="24"/>
      <c r="B13" s="32"/>
      <c r="C13" s="26" t="s">
        <v>32</v>
      </c>
      <c r="D13" s="5"/>
      <c r="E13" s="32"/>
      <c r="F13" s="26" t="s">
        <v>23</v>
      </c>
      <c r="G13" s="5"/>
      <c r="H13" s="32"/>
      <c r="I13" s="26" t="s">
        <v>26</v>
      </c>
      <c r="J13" s="5"/>
      <c r="K13" s="32"/>
      <c r="L13" s="26" t="s">
        <v>29</v>
      </c>
      <c r="M13" s="5"/>
      <c r="N13" s="32"/>
      <c r="O13" s="26" t="s">
        <v>32</v>
      </c>
      <c r="P13" s="5"/>
      <c r="Q13" s="24"/>
    </row>
    <row r="14">
      <c r="A14" s="24"/>
      <c r="B14" s="18"/>
      <c r="C14" s="29" t="s">
        <v>50</v>
      </c>
      <c r="D14" s="29" t="s">
        <v>46</v>
      </c>
      <c r="E14" s="18"/>
      <c r="F14" s="29" t="s">
        <v>50</v>
      </c>
      <c r="G14" s="29" t="s">
        <v>46</v>
      </c>
      <c r="H14" s="18"/>
      <c r="I14" s="29" t="s">
        <v>50</v>
      </c>
      <c r="J14" s="29" t="s">
        <v>60</v>
      </c>
      <c r="K14" s="18"/>
      <c r="L14" s="29" t="s">
        <v>50</v>
      </c>
      <c r="M14" s="29" t="s">
        <v>60</v>
      </c>
      <c r="N14" s="18"/>
      <c r="O14" s="29" t="s">
        <v>50</v>
      </c>
      <c r="P14" s="29" t="s">
        <v>60</v>
      </c>
      <c r="Q14" s="24"/>
    </row>
    <row r="15">
      <c r="A15" s="24"/>
      <c r="B15" s="36">
        <f t="shared" ref="B15:B21" si="6">B5</f>
        <v>44250</v>
      </c>
      <c r="C15" s="29">
        <v>482.0</v>
      </c>
      <c r="D15" s="30"/>
      <c r="E15" s="36">
        <f t="shared" ref="E15:E21" si="7">B15</f>
        <v>44250</v>
      </c>
      <c r="F15" s="30"/>
      <c r="G15" s="30"/>
      <c r="H15" s="36">
        <f t="shared" ref="H15:H21" si="8">E15</f>
        <v>44250</v>
      </c>
      <c r="I15" s="29">
        <v>345069.0</v>
      </c>
      <c r="J15" s="29"/>
      <c r="K15" s="36">
        <f t="shared" ref="K15:K21" si="9">H15</f>
        <v>44250</v>
      </c>
      <c r="L15" s="30"/>
      <c r="M15" s="30"/>
      <c r="N15" s="36">
        <f t="shared" ref="N15:N21" si="10">K15</f>
        <v>44250</v>
      </c>
      <c r="O15" s="29">
        <v>3247.0</v>
      </c>
      <c r="P15" s="29"/>
      <c r="Q15" s="24"/>
    </row>
    <row r="16">
      <c r="A16" s="24"/>
      <c r="B16" s="36">
        <f t="shared" si="6"/>
        <v>44249</v>
      </c>
      <c r="C16" s="29">
        <v>99.0</v>
      </c>
      <c r="D16" s="30"/>
      <c r="E16" s="36">
        <f t="shared" si="7"/>
        <v>44249</v>
      </c>
      <c r="F16" s="30"/>
      <c r="G16" s="30"/>
      <c r="H16" s="36">
        <f t="shared" si="8"/>
        <v>44249</v>
      </c>
      <c r="I16" s="29">
        <v>56868.0</v>
      </c>
      <c r="J16" s="29"/>
      <c r="K16" s="36">
        <f t="shared" si="9"/>
        <v>44249</v>
      </c>
      <c r="L16" s="30"/>
      <c r="M16" s="30"/>
      <c r="N16" s="36">
        <f t="shared" si="10"/>
        <v>44249</v>
      </c>
      <c r="O16" s="29">
        <v>353.99</v>
      </c>
      <c r="P16" s="29"/>
      <c r="Q16" s="24"/>
    </row>
    <row r="17">
      <c r="A17" s="24"/>
      <c r="B17" s="36">
        <f t="shared" si="6"/>
        <v>44248</v>
      </c>
      <c r="C17" s="30"/>
      <c r="D17" s="30"/>
      <c r="E17" s="36">
        <f t="shared" si="7"/>
        <v>44248</v>
      </c>
      <c r="F17" s="30"/>
      <c r="G17" s="30"/>
      <c r="H17" s="36">
        <f t="shared" si="8"/>
        <v>44248</v>
      </c>
      <c r="I17" s="29">
        <v>396694.0</v>
      </c>
      <c r="J17" s="29"/>
      <c r="K17" s="36">
        <f t="shared" si="9"/>
        <v>44248</v>
      </c>
      <c r="L17" s="30"/>
      <c r="M17" s="30"/>
      <c r="N17" s="36">
        <f t="shared" si="10"/>
        <v>44248</v>
      </c>
      <c r="O17" s="29">
        <v>3429.9</v>
      </c>
      <c r="P17" s="29"/>
      <c r="Q17" s="24"/>
    </row>
    <row r="18">
      <c r="A18" s="24"/>
      <c r="B18" s="36">
        <f t="shared" si="6"/>
        <v>44247</v>
      </c>
      <c r="C18" s="30"/>
      <c r="D18" s="30"/>
      <c r="E18" s="36">
        <f t="shared" si="7"/>
        <v>44247</v>
      </c>
      <c r="F18" s="30"/>
      <c r="G18" s="30"/>
      <c r="H18" s="36">
        <f t="shared" si="8"/>
        <v>44247</v>
      </c>
      <c r="I18" s="29">
        <v>684047.0</v>
      </c>
      <c r="J18" s="29"/>
      <c r="K18" s="36">
        <f t="shared" si="9"/>
        <v>44247</v>
      </c>
      <c r="L18" s="30"/>
      <c r="M18" s="30"/>
      <c r="N18" s="36">
        <f t="shared" si="10"/>
        <v>44247</v>
      </c>
      <c r="O18" s="29">
        <v>6878.13</v>
      </c>
      <c r="P18" s="29"/>
      <c r="Q18" s="24"/>
    </row>
    <row r="19">
      <c r="A19" s="24"/>
      <c r="B19" s="36">
        <f t="shared" si="6"/>
        <v>44246</v>
      </c>
      <c r="C19" s="30"/>
      <c r="D19" s="30"/>
      <c r="E19" s="36">
        <f t="shared" si="7"/>
        <v>44246</v>
      </c>
      <c r="F19" s="30"/>
      <c r="G19" s="30"/>
      <c r="H19" s="36">
        <f t="shared" si="8"/>
        <v>44246</v>
      </c>
      <c r="I19" s="29">
        <v>43796.0</v>
      </c>
      <c r="J19" s="29"/>
      <c r="K19" s="36">
        <f t="shared" si="9"/>
        <v>44246</v>
      </c>
      <c r="L19" s="30"/>
      <c r="M19" s="30"/>
      <c r="N19" s="36">
        <f t="shared" si="10"/>
        <v>44246</v>
      </c>
      <c r="O19" s="29">
        <v>359.96</v>
      </c>
      <c r="P19" s="29"/>
      <c r="Q19" s="24"/>
    </row>
    <row r="20">
      <c r="A20" s="24"/>
      <c r="B20" s="36">
        <f t="shared" si="6"/>
        <v>44245</v>
      </c>
      <c r="C20" s="29">
        <v>440.0</v>
      </c>
      <c r="D20" s="30"/>
      <c r="E20" s="36">
        <f t="shared" si="7"/>
        <v>44245</v>
      </c>
      <c r="F20" s="30"/>
      <c r="G20" s="30"/>
      <c r="H20" s="36">
        <f t="shared" si="8"/>
        <v>44245</v>
      </c>
      <c r="I20" s="29">
        <v>179364.0</v>
      </c>
      <c r="J20" s="29"/>
      <c r="K20" s="36">
        <f t="shared" si="9"/>
        <v>44245</v>
      </c>
      <c r="L20" s="30"/>
      <c r="M20" s="30"/>
      <c r="N20" s="36">
        <f t="shared" si="10"/>
        <v>44245</v>
      </c>
      <c r="O20" s="29">
        <v>1285.16</v>
      </c>
      <c r="P20" s="29"/>
      <c r="Q20" s="24"/>
    </row>
    <row r="21">
      <c r="A21" s="24"/>
      <c r="B21" s="36">
        <f t="shared" si="6"/>
        <v>44244</v>
      </c>
      <c r="C21" s="29">
        <v>67.0</v>
      </c>
      <c r="D21" s="30"/>
      <c r="E21" s="36">
        <f t="shared" si="7"/>
        <v>44244</v>
      </c>
      <c r="F21" s="30"/>
      <c r="G21" s="30"/>
      <c r="H21" s="36">
        <f t="shared" si="8"/>
        <v>44244</v>
      </c>
      <c r="I21" s="29">
        <v>224894.0</v>
      </c>
      <c r="J21" s="29"/>
      <c r="K21" s="36">
        <f t="shared" si="9"/>
        <v>44244</v>
      </c>
      <c r="L21" s="30"/>
      <c r="M21" s="30"/>
      <c r="N21" s="36">
        <f t="shared" si="10"/>
        <v>44244</v>
      </c>
      <c r="O21" s="29">
        <v>1339.03</v>
      </c>
      <c r="P21" s="29"/>
      <c r="Q21" s="24"/>
    </row>
    <row r="22">
      <c r="A22" s="24"/>
      <c r="B22" s="38"/>
      <c r="C22" s="24"/>
      <c r="D22" s="24"/>
      <c r="E22" s="38"/>
      <c r="F22" s="24"/>
      <c r="G22" s="24"/>
      <c r="H22" s="38"/>
      <c r="I22" s="24"/>
      <c r="J22" s="24"/>
      <c r="K22" s="38"/>
      <c r="L22" s="24"/>
      <c r="M22" s="24"/>
      <c r="N22" s="38"/>
      <c r="O22" s="24"/>
      <c r="P22" s="24"/>
      <c r="Q22" s="24"/>
    </row>
    <row r="23">
      <c r="A23" s="24"/>
      <c r="B23" s="32"/>
      <c r="C23" s="26" t="s">
        <v>26</v>
      </c>
      <c r="D23" s="5"/>
      <c r="E23" s="32"/>
      <c r="F23" s="26" t="s">
        <v>29</v>
      </c>
      <c r="G23" s="5"/>
      <c r="H23" s="32"/>
      <c r="I23" s="26" t="s">
        <v>32</v>
      </c>
      <c r="J23" s="5"/>
      <c r="K23" s="36"/>
      <c r="L23" s="26" t="s">
        <v>32</v>
      </c>
      <c r="M23" s="5"/>
      <c r="N23" s="32"/>
      <c r="O23" s="26" t="s">
        <v>32</v>
      </c>
      <c r="P23" s="5"/>
      <c r="Q23" s="24"/>
    </row>
    <row r="24">
      <c r="A24" s="24"/>
      <c r="B24" s="18"/>
      <c r="C24" s="29" t="s">
        <v>50</v>
      </c>
      <c r="D24" s="29" t="s">
        <v>36</v>
      </c>
      <c r="E24" s="18"/>
      <c r="F24" s="29" t="s">
        <v>50</v>
      </c>
      <c r="G24" s="29" t="s">
        <v>36</v>
      </c>
      <c r="H24" s="18"/>
      <c r="I24" s="29" t="s">
        <v>50</v>
      </c>
      <c r="J24" s="29" t="s">
        <v>36</v>
      </c>
      <c r="K24" s="36"/>
      <c r="L24" s="30" t="str">
        <f>L4</f>
        <v>Datalake</v>
      </c>
      <c r="M24" s="29" t="s">
        <v>38</v>
      </c>
      <c r="N24" s="18"/>
      <c r="O24" s="30" t="str">
        <f>I24</f>
        <v>Datalake</v>
      </c>
      <c r="P24" s="29" t="s">
        <v>61</v>
      </c>
      <c r="Q24" s="24"/>
    </row>
    <row r="25">
      <c r="A25" s="24"/>
      <c r="B25" s="36">
        <f t="shared" ref="B25:B31" si="11">B15</f>
        <v>44250</v>
      </c>
      <c r="C25" s="29">
        <v>21123.0</v>
      </c>
      <c r="D25" s="29">
        <v>21123.0</v>
      </c>
      <c r="E25" s="36">
        <f t="shared" ref="E25:E31" si="12">B25</f>
        <v>44250</v>
      </c>
      <c r="F25" s="29">
        <v>2764.0</v>
      </c>
      <c r="G25" s="29">
        <v>2764.0</v>
      </c>
      <c r="H25" s="36">
        <f t="shared" ref="H25:H31" si="13">E25</f>
        <v>44250</v>
      </c>
      <c r="I25" s="29">
        <v>2773.87</v>
      </c>
      <c r="J25" s="29">
        <v>2773.87</v>
      </c>
      <c r="K25" s="36">
        <f t="shared" ref="K25:K31" si="14">K5</f>
        <v>44250</v>
      </c>
      <c r="L25" s="29">
        <v>325.0</v>
      </c>
      <c r="M25" s="30"/>
      <c r="N25" s="36">
        <f t="shared" ref="N25:N31" si="15">H25</f>
        <v>44250</v>
      </c>
      <c r="O25" s="29">
        <v>192.0</v>
      </c>
      <c r="P25" s="29">
        <v>192.0</v>
      </c>
      <c r="Q25" s="24"/>
    </row>
    <row r="26">
      <c r="A26" s="24"/>
      <c r="B26" s="36">
        <f t="shared" si="11"/>
        <v>44249</v>
      </c>
      <c r="C26" s="29">
        <v>24433.0</v>
      </c>
      <c r="D26" s="29">
        <v>24433.0</v>
      </c>
      <c r="E26" s="36">
        <f t="shared" si="12"/>
        <v>44249</v>
      </c>
      <c r="F26" s="29">
        <v>3557.0</v>
      </c>
      <c r="G26" s="29">
        <v>3557.0</v>
      </c>
      <c r="H26" s="36">
        <f t="shared" si="13"/>
        <v>44249</v>
      </c>
      <c r="I26" s="29">
        <v>3561.06</v>
      </c>
      <c r="J26" s="29">
        <v>3561.06</v>
      </c>
      <c r="K26" s="36">
        <f t="shared" si="14"/>
        <v>44249</v>
      </c>
      <c r="L26" s="29">
        <v>523.897001</v>
      </c>
      <c r="M26" s="30"/>
      <c r="N26" s="36">
        <f t="shared" si="15"/>
        <v>44249</v>
      </c>
      <c r="O26" s="29">
        <v>342.14</v>
      </c>
      <c r="P26" s="29">
        <v>342.16</v>
      </c>
      <c r="Q26" s="24"/>
    </row>
    <row r="27">
      <c r="A27" s="24"/>
      <c r="B27" s="36">
        <f t="shared" si="11"/>
        <v>44248</v>
      </c>
      <c r="C27" s="29">
        <v>15879.0</v>
      </c>
      <c r="D27" s="29">
        <v>15879.0</v>
      </c>
      <c r="E27" s="36">
        <f t="shared" si="12"/>
        <v>44248</v>
      </c>
      <c r="F27" s="29">
        <v>2282.0</v>
      </c>
      <c r="G27" s="29">
        <v>2282.0</v>
      </c>
      <c r="H27" s="36">
        <f t="shared" si="13"/>
        <v>44248</v>
      </c>
      <c r="I27" s="29">
        <v>2677.49</v>
      </c>
      <c r="J27" s="29">
        <v>2677.49</v>
      </c>
      <c r="K27" s="36">
        <f t="shared" si="14"/>
        <v>44248</v>
      </c>
      <c r="L27" s="29">
        <v>635.427463</v>
      </c>
      <c r="M27" s="30"/>
      <c r="N27" s="36">
        <f t="shared" si="15"/>
        <v>44248</v>
      </c>
      <c r="O27" s="29">
        <v>282.14</v>
      </c>
      <c r="P27" s="29">
        <v>282.16</v>
      </c>
      <c r="Q27" s="24"/>
    </row>
    <row r="28">
      <c r="A28" s="24"/>
      <c r="B28" s="36">
        <f t="shared" si="11"/>
        <v>44247</v>
      </c>
      <c r="C28" s="29">
        <v>10117.0</v>
      </c>
      <c r="D28" s="29">
        <v>10117.0</v>
      </c>
      <c r="E28" s="36">
        <f t="shared" si="12"/>
        <v>44247</v>
      </c>
      <c r="F28" s="29">
        <v>1818.0</v>
      </c>
      <c r="G28" s="29">
        <v>1818.0</v>
      </c>
      <c r="H28" s="36">
        <f t="shared" si="13"/>
        <v>44247</v>
      </c>
      <c r="I28" s="29">
        <v>2128.09</v>
      </c>
      <c r="J28" s="29">
        <v>2128.09</v>
      </c>
      <c r="K28" s="36">
        <f t="shared" si="14"/>
        <v>44247</v>
      </c>
      <c r="L28" s="29">
        <v>746.829537</v>
      </c>
      <c r="M28" s="30"/>
      <c r="N28" s="36">
        <f t="shared" si="15"/>
        <v>44247</v>
      </c>
      <c r="O28" s="29">
        <v>440.2</v>
      </c>
      <c r="P28" s="29">
        <v>440.21</v>
      </c>
      <c r="Q28" s="24"/>
    </row>
    <row r="29">
      <c r="A29" s="24"/>
      <c r="B29" s="36">
        <f t="shared" si="11"/>
        <v>44246</v>
      </c>
      <c r="C29" s="29">
        <v>14556.0</v>
      </c>
      <c r="D29" s="29">
        <v>14556.0</v>
      </c>
      <c r="E29" s="36">
        <f t="shared" si="12"/>
        <v>44246</v>
      </c>
      <c r="F29" s="29">
        <v>2386.0</v>
      </c>
      <c r="G29" s="29">
        <v>2386.0</v>
      </c>
      <c r="H29" s="36">
        <f t="shared" si="13"/>
        <v>44246</v>
      </c>
      <c r="I29" s="29">
        <v>2349.33</v>
      </c>
      <c r="J29" s="29">
        <v>2349.33</v>
      </c>
      <c r="K29" s="36">
        <f t="shared" si="14"/>
        <v>44246</v>
      </c>
      <c r="L29" s="29">
        <v>797.879467</v>
      </c>
      <c r="M29" s="30"/>
      <c r="N29" s="36">
        <f t="shared" si="15"/>
        <v>44246</v>
      </c>
      <c r="O29" s="29">
        <v>223.82</v>
      </c>
      <c r="P29" s="29">
        <v>223.83</v>
      </c>
      <c r="Q29" s="24"/>
    </row>
    <row r="30">
      <c r="A30" s="24"/>
      <c r="B30" s="36">
        <f t="shared" si="11"/>
        <v>44245</v>
      </c>
      <c r="C30" s="29">
        <v>17267.0</v>
      </c>
      <c r="D30" s="29">
        <v>17267.0</v>
      </c>
      <c r="E30" s="36">
        <f t="shared" si="12"/>
        <v>44245</v>
      </c>
      <c r="F30" s="29">
        <v>2853.0</v>
      </c>
      <c r="G30" s="29">
        <v>2853.0</v>
      </c>
      <c r="H30" s="36">
        <f t="shared" si="13"/>
        <v>44245</v>
      </c>
      <c r="I30" s="29">
        <v>2997.62</v>
      </c>
      <c r="J30" s="29">
        <v>2997.62</v>
      </c>
      <c r="K30" s="36">
        <f t="shared" si="14"/>
        <v>44245</v>
      </c>
      <c r="L30" s="29">
        <v>429.396077</v>
      </c>
      <c r="M30" s="30"/>
      <c r="N30" s="36">
        <f t="shared" si="15"/>
        <v>44245</v>
      </c>
      <c r="O30" s="29">
        <v>370.32</v>
      </c>
      <c r="P30" s="29">
        <v>370.31</v>
      </c>
      <c r="Q30" s="24"/>
    </row>
    <row r="31">
      <c r="A31" s="24"/>
      <c r="B31" s="36">
        <f t="shared" si="11"/>
        <v>44244</v>
      </c>
      <c r="C31" s="29">
        <v>17523.0</v>
      </c>
      <c r="D31" s="29">
        <v>17523.0</v>
      </c>
      <c r="E31" s="36">
        <f t="shared" si="12"/>
        <v>44244</v>
      </c>
      <c r="F31" s="29">
        <v>2975.0</v>
      </c>
      <c r="G31" s="29">
        <v>2975.0</v>
      </c>
      <c r="H31" s="36">
        <f t="shared" si="13"/>
        <v>44244</v>
      </c>
      <c r="I31" s="29">
        <v>3031.33</v>
      </c>
      <c r="J31" s="29">
        <v>3031.33</v>
      </c>
      <c r="K31" s="36">
        <f t="shared" si="14"/>
        <v>44244</v>
      </c>
      <c r="L31" s="29">
        <v>447.978903</v>
      </c>
      <c r="M31" s="30"/>
      <c r="N31" s="36">
        <f t="shared" si="15"/>
        <v>44244</v>
      </c>
      <c r="O31" s="29">
        <v>208.38</v>
      </c>
      <c r="P31" s="29">
        <v>208.37</v>
      </c>
      <c r="Q31" s="24"/>
    </row>
    <row r="32">
      <c r="A32" s="24"/>
      <c r="B32" s="38"/>
      <c r="C32" s="24"/>
      <c r="D32" s="24"/>
      <c r="E32" s="38"/>
      <c r="F32" s="24"/>
      <c r="G32" s="24"/>
      <c r="H32" s="38"/>
      <c r="I32" s="24"/>
      <c r="J32" s="24"/>
      <c r="K32" s="38"/>
      <c r="L32" s="24"/>
      <c r="M32" s="24"/>
      <c r="N32" s="38"/>
      <c r="O32" s="24"/>
      <c r="P32" s="24"/>
      <c r="Q32" s="24"/>
    </row>
    <row r="33">
      <c r="A33" s="24"/>
      <c r="B33" s="32"/>
      <c r="C33" s="26" t="s">
        <v>32</v>
      </c>
      <c r="D33" s="5"/>
      <c r="E33" s="32"/>
      <c r="F33" s="26" t="s">
        <v>32</v>
      </c>
      <c r="G33" s="5"/>
      <c r="H33" s="32"/>
      <c r="I33" s="26" t="s">
        <v>26</v>
      </c>
      <c r="J33" s="5"/>
      <c r="K33" s="32"/>
      <c r="L33" s="26" t="s">
        <v>29</v>
      </c>
      <c r="M33" s="5"/>
      <c r="N33" s="32"/>
      <c r="O33" s="26" t="s">
        <v>32</v>
      </c>
      <c r="P33" s="5"/>
      <c r="Q33" s="24"/>
    </row>
    <row r="34">
      <c r="A34" s="24"/>
      <c r="B34" s="18"/>
      <c r="C34" s="30" t="str">
        <f>C14</f>
        <v>Datalake</v>
      </c>
      <c r="D34" s="29" t="s">
        <v>42</v>
      </c>
      <c r="E34" s="18"/>
      <c r="F34" s="30" t="str">
        <f>C34</f>
        <v>Datalake</v>
      </c>
      <c r="G34" s="29" t="s">
        <v>44</v>
      </c>
      <c r="H34" s="18"/>
      <c r="I34" s="29" t="s">
        <v>50</v>
      </c>
      <c r="J34" s="29" t="s">
        <v>31</v>
      </c>
      <c r="K34" s="18"/>
      <c r="L34" s="29" t="s">
        <v>50</v>
      </c>
      <c r="M34" s="29" t="s">
        <v>31</v>
      </c>
      <c r="N34" s="18"/>
      <c r="O34" s="29" t="s">
        <v>50</v>
      </c>
      <c r="P34" s="29" t="s">
        <v>31</v>
      </c>
      <c r="Q34" s="24"/>
    </row>
    <row r="35">
      <c r="A35" s="24"/>
      <c r="B35" s="36">
        <f t="shared" ref="B35:B41" si="16">B25</f>
        <v>44250</v>
      </c>
      <c r="C35" s="30"/>
      <c r="D35" s="30"/>
      <c r="E35" s="36">
        <f t="shared" ref="E35:E41" si="17">B35</f>
        <v>44250</v>
      </c>
      <c r="F35" s="30"/>
      <c r="G35" s="30"/>
      <c r="H35" s="36">
        <f t="shared" ref="H35:H41" si="18">E35</f>
        <v>44250</v>
      </c>
      <c r="I35" s="37">
        <v>771855.0</v>
      </c>
      <c r="J35" s="37">
        <v>771994.0</v>
      </c>
      <c r="K35" s="36">
        <f t="shared" ref="K35:K41" si="19">H35</f>
        <v>44250</v>
      </c>
      <c r="L35" s="37">
        <v>61947.0</v>
      </c>
      <c r="M35" s="37">
        <v>61996.0</v>
      </c>
      <c r="N35" s="36">
        <f t="shared" ref="N35:N41" si="20">K35</f>
        <v>44250</v>
      </c>
      <c r="O35" s="37">
        <v>45285.35761</v>
      </c>
      <c r="P35" s="37">
        <v>45294.49</v>
      </c>
      <c r="Q35" s="24"/>
    </row>
    <row r="36">
      <c r="A36" s="24"/>
      <c r="B36" s="36">
        <f t="shared" si="16"/>
        <v>44249</v>
      </c>
      <c r="C36" s="30"/>
      <c r="D36" s="30"/>
      <c r="E36" s="36">
        <f t="shared" si="17"/>
        <v>44249</v>
      </c>
      <c r="F36" s="30"/>
      <c r="G36" s="30"/>
      <c r="H36" s="36">
        <f t="shared" si="18"/>
        <v>44249</v>
      </c>
      <c r="I36" s="29">
        <v>522990.0</v>
      </c>
      <c r="J36" s="29">
        <v>522990.0</v>
      </c>
      <c r="K36" s="36">
        <f t="shared" si="19"/>
        <v>44249</v>
      </c>
      <c r="L36" s="29">
        <v>58173.0</v>
      </c>
      <c r="M36" s="29">
        <v>58173.0</v>
      </c>
      <c r="N36" s="36">
        <f t="shared" si="20"/>
        <v>44249</v>
      </c>
      <c r="O36" s="29">
        <v>43125.94189</v>
      </c>
      <c r="P36" s="29">
        <v>43125.94</v>
      </c>
      <c r="Q36" s="24"/>
    </row>
    <row r="37">
      <c r="A37" s="24"/>
      <c r="B37" s="36">
        <f t="shared" si="16"/>
        <v>44248</v>
      </c>
      <c r="C37" s="30"/>
      <c r="D37" s="30"/>
      <c r="E37" s="36">
        <f t="shared" si="17"/>
        <v>44248</v>
      </c>
      <c r="F37" s="30"/>
      <c r="G37" s="30"/>
      <c r="H37" s="36">
        <f t="shared" si="18"/>
        <v>44248</v>
      </c>
      <c r="I37" s="29">
        <v>268333.0</v>
      </c>
      <c r="J37" s="29">
        <v>268333.0</v>
      </c>
      <c r="K37" s="36">
        <f t="shared" si="19"/>
        <v>44248</v>
      </c>
      <c r="L37" s="29">
        <v>36452.0</v>
      </c>
      <c r="M37" s="29">
        <v>36452.0</v>
      </c>
      <c r="N37" s="36">
        <f t="shared" si="20"/>
        <v>44248</v>
      </c>
      <c r="O37" s="29">
        <v>22416.44209</v>
      </c>
      <c r="P37" s="29">
        <v>22416.44</v>
      </c>
      <c r="Q37" s="24"/>
    </row>
    <row r="38">
      <c r="A38" s="24"/>
      <c r="B38" s="36">
        <f t="shared" si="16"/>
        <v>44247</v>
      </c>
      <c r="C38" s="30"/>
      <c r="D38" s="30"/>
      <c r="E38" s="36">
        <f t="shared" si="17"/>
        <v>44247</v>
      </c>
      <c r="F38" s="30"/>
      <c r="G38" s="30"/>
      <c r="H38" s="36">
        <f t="shared" si="18"/>
        <v>44247</v>
      </c>
      <c r="I38" s="37">
        <v>251316.0</v>
      </c>
      <c r="J38" s="37">
        <v>251315.0</v>
      </c>
      <c r="K38" s="36">
        <f t="shared" si="19"/>
        <v>44247</v>
      </c>
      <c r="L38" s="29">
        <v>36380.0</v>
      </c>
      <c r="M38" s="29">
        <v>36380.0</v>
      </c>
      <c r="N38" s="36">
        <f t="shared" si="20"/>
        <v>44247</v>
      </c>
      <c r="O38" s="29">
        <v>25411.18346</v>
      </c>
      <c r="P38" s="29">
        <v>25411.18</v>
      </c>
      <c r="Q38" s="24"/>
    </row>
    <row r="39">
      <c r="A39" s="24"/>
      <c r="B39" s="36">
        <f t="shared" si="16"/>
        <v>44246</v>
      </c>
      <c r="C39" s="30"/>
      <c r="D39" s="30"/>
      <c r="E39" s="36">
        <f t="shared" si="17"/>
        <v>44246</v>
      </c>
      <c r="F39" s="30"/>
      <c r="G39" s="30"/>
      <c r="H39" s="36">
        <f t="shared" si="18"/>
        <v>44246</v>
      </c>
      <c r="I39" s="29">
        <v>438052.0</v>
      </c>
      <c r="J39" s="29">
        <v>438052.0</v>
      </c>
      <c r="K39" s="36">
        <f t="shared" si="19"/>
        <v>44246</v>
      </c>
      <c r="L39" s="29">
        <v>39631.0</v>
      </c>
      <c r="M39" s="29">
        <v>39631.0</v>
      </c>
      <c r="N39" s="36">
        <f t="shared" si="20"/>
        <v>44246</v>
      </c>
      <c r="O39" s="29">
        <v>29699.91617</v>
      </c>
      <c r="P39" s="29">
        <v>29699.92</v>
      </c>
      <c r="Q39" s="24"/>
    </row>
    <row r="40">
      <c r="A40" s="24"/>
      <c r="B40" s="36">
        <f t="shared" si="16"/>
        <v>44245</v>
      </c>
      <c r="C40" s="30"/>
      <c r="D40" s="30"/>
      <c r="E40" s="36">
        <f t="shared" si="17"/>
        <v>44245</v>
      </c>
      <c r="F40" s="30"/>
      <c r="G40" s="30"/>
      <c r="H40" s="36">
        <f t="shared" si="18"/>
        <v>44245</v>
      </c>
      <c r="I40" s="29">
        <v>680590.0</v>
      </c>
      <c r="J40" s="29">
        <v>680590.0</v>
      </c>
      <c r="K40" s="36">
        <f t="shared" si="19"/>
        <v>44245</v>
      </c>
      <c r="L40" s="29">
        <v>51374.0</v>
      </c>
      <c r="M40" s="29">
        <v>51374.0</v>
      </c>
      <c r="N40" s="36">
        <f t="shared" si="20"/>
        <v>44245</v>
      </c>
      <c r="O40" s="29">
        <v>37197.54504</v>
      </c>
      <c r="P40" s="29">
        <v>37197.55</v>
      </c>
      <c r="Q40" s="24"/>
    </row>
    <row r="41">
      <c r="A41" s="24"/>
      <c r="B41" s="36">
        <f t="shared" si="16"/>
        <v>44244</v>
      </c>
      <c r="C41" s="30"/>
      <c r="D41" s="30"/>
      <c r="E41" s="36">
        <f t="shared" si="17"/>
        <v>44244</v>
      </c>
      <c r="F41" s="30"/>
      <c r="G41" s="30"/>
      <c r="H41" s="36">
        <f t="shared" si="18"/>
        <v>44244</v>
      </c>
      <c r="I41" s="29">
        <v>883726.0</v>
      </c>
      <c r="J41" s="29">
        <v>883726.0</v>
      </c>
      <c r="K41" s="36">
        <f t="shared" si="19"/>
        <v>44244</v>
      </c>
      <c r="L41" s="29">
        <v>52670.0</v>
      </c>
      <c r="M41" s="29">
        <v>52670.0</v>
      </c>
      <c r="N41" s="36">
        <f t="shared" si="20"/>
        <v>44244</v>
      </c>
      <c r="O41" s="29">
        <v>36029.32019</v>
      </c>
      <c r="P41" s="29">
        <v>36029.32</v>
      </c>
      <c r="Q41" s="24"/>
    </row>
    <row r="42">
      <c r="A42" s="24"/>
      <c r="B42" s="38"/>
      <c r="C42" s="24"/>
      <c r="D42" s="24"/>
      <c r="E42" s="38"/>
      <c r="F42" s="24"/>
      <c r="G42" s="24"/>
      <c r="H42" s="38"/>
      <c r="I42" s="24"/>
      <c r="J42" s="24"/>
      <c r="K42" s="38"/>
      <c r="L42" s="24"/>
      <c r="M42" s="24"/>
      <c r="N42" s="38"/>
      <c r="O42" s="24"/>
      <c r="P42" s="24"/>
      <c r="Q42" s="24"/>
    </row>
  </sheetData>
  <mergeCells count="37">
    <mergeCell ref="C3:D3"/>
    <mergeCell ref="E3:E4"/>
    <mergeCell ref="F3:G3"/>
    <mergeCell ref="H3:H4"/>
    <mergeCell ref="I3:J3"/>
    <mergeCell ref="K3:K4"/>
    <mergeCell ref="L3:M3"/>
    <mergeCell ref="I13:J13"/>
    <mergeCell ref="L13:M13"/>
    <mergeCell ref="N13:N14"/>
    <mergeCell ref="O13:P13"/>
    <mergeCell ref="B3:B4"/>
    <mergeCell ref="B13:B14"/>
    <mergeCell ref="C13:D13"/>
    <mergeCell ref="E13:E14"/>
    <mergeCell ref="F13:G13"/>
    <mergeCell ref="H13:H14"/>
    <mergeCell ref="K13:K14"/>
    <mergeCell ref="L23:M23"/>
    <mergeCell ref="O23:P23"/>
    <mergeCell ref="B23:B24"/>
    <mergeCell ref="C23:D23"/>
    <mergeCell ref="E23:E24"/>
    <mergeCell ref="F23:G23"/>
    <mergeCell ref="H23:H24"/>
    <mergeCell ref="I23:J23"/>
    <mergeCell ref="N23:N24"/>
    <mergeCell ref="L33:M33"/>
    <mergeCell ref="N33:N34"/>
    <mergeCell ref="O33:P33"/>
    <mergeCell ref="B33:B34"/>
    <mergeCell ref="C33:D33"/>
    <mergeCell ref="E33:E34"/>
    <mergeCell ref="F33:G33"/>
    <mergeCell ref="H33:H34"/>
    <mergeCell ref="I33:J33"/>
    <mergeCell ref="K33:K3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" width="4.43"/>
    <col customWidth="1" min="2" max="2" width="5.86"/>
    <col customWidth="1" min="3" max="3" width="12.0"/>
    <col customWidth="1" min="4" max="4" width="20.0"/>
    <col customWidth="1" min="5" max="5" width="5.86"/>
    <col customWidth="1" min="6" max="6" width="12.0"/>
    <col customWidth="1" min="7" max="7" width="20.0"/>
    <col customWidth="1" min="8" max="8" width="5.86"/>
    <col customWidth="1" min="9" max="9" width="12.0"/>
    <col customWidth="1" min="10" max="10" width="22.57"/>
    <col customWidth="1" min="11" max="11" width="5.86"/>
    <col customWidth="1" min="12" max="12" width="12.0"/>
    <col customWidth="1" min="13" max="13" width="22.57"/>
    <col customWidth="1" min="14" max="14" width="5.86"/>
    <col customWidth="1" min="15" max="15" width="12.0"/>
    <col customWidth="1" min="16" max="16" width="11.0"/>
  </cols>
  <sheetData>
    <row r="1">
      <c r="A1" s="24"/>
      <c r="B1" s="38"/>
      <c r="C1" s="24"/>
      <c r="D1" s="24"/>
      <c r="E1" s="38"/>
      <c r="F1" s="24"/>
      <c r="G1" s="24"/>
      <c r="H1" s="38"/>
      <c r="I1" s="24"/>
      <c r="J1" s="24"/>
      <c r="K1" s="38"/>
      <c r="L1" s="24"/>
      <c r="M1" s="24"/>
      <c r="N1" s="38"/>
      <c r="O1" s="24"/>
      <c r="P1" s="24"/>
      <c r="Q1" s="24"/>
    </row>
    <row r="2">
      <c r="A2" s="24"/>
      <c r="B2" s="38"/>
      <c r="C2" s="39"/>
      <c r="D2" s="39"/>
      <c r="E2" s="40"/>
      <c r="F2" s="39"/>
      <c r="G2" s="39"/>
      <c r="H2" s="40"/>
      <c r="I2" s="39"/>
      <c r="J2" s="39"/>
      <c r="K2" s="40"/>
      <c r="L2" s="39"/>
      <c r="M2" s="39"/>
      <c r="N2" s="38"/>
      <c r="O2" s="24"/>
      <c r="P2" s="24"/>
      <c r="Q2" s="24"/>
    </row>
    <row r="3">
      <c r="A3" s="24"/>
      <c r="B3" s="32"/>
      <c r="C3" s="26" t="s">
        <v>21</v>
      </c>
      <c r="D3" s="5"/>
      <c r="E3" s="33"/>
      <c r="F3" s="26" t="s">
        <v>23</v>
      </c>
      <c r="G3" s="5"/>
      <c r="H3" s="33"/>
      <c r="I3" s="26" t="s">
        <v>26</v>
      </c>
      <c r="J3" s="5"/>
      <c r="K3" s="33"/>
      <c r="L3" s="26" t="s">
        <v>29</v>
      </c>
      <c r="M3" s="5"/>
      <c r="N3" s="34"/>
      <c r="O3" s="28"/>
      <c r="P3" s="28"/>
      <c r="Q3" s="24"/>
    </row>
    <row r="4">
      <c r="A4" s="24"/>
      <c r="B4" s="18"/>
      <c r="C4" s="29" t="s">
        <v>50</v>
      </c>
      <c r="D4" s="29" t="s">
        <v>51</v>
      </c>
      <c r="E4" s="18"/>
      <c r="F4" s="29" t="str">
        <f t="shared" ref="F4:G4" si="1">C4</f>
        <v>Datalake</v>
      </c>
      <c r="G4" s="29" t="str">
        <f t="shared" si="1"/>
        <v>GA (Google Analytics)</v>
      </c>
      <c r="H4" s="18"/>
      <c r="I4" s="29" t="str">
        <f>F4</f>
        <v>Datalake</v>
      </c>
      <c r="J4" s="29" t="s">
        <v>52</v>
      </c>
      <c r="K4" s="18"/>
      <c r="L4" s="29" t="str">
        <f t="shared" ref="L4:M4" si="2">I4</f>
        <v>Datalake</v>
      </c>
      <c r="M4" s="29" t="str">
        <f t="shared" si="2"/>
        <v>CM (Campaing Manager)</v>
      </c>
      <c r="N4" s="34"/>
      <c r="O4" s="28"/>
      <c r="P4" s="28"/>
      <c r="Q4" s="24"/>
    </row>
    <row r="5">
      <c r="A5" s="24"/>
      <c r="B5" s="35">
        <v>44251.0</v>
      </c>
      <c r="C5" s="29">
        <v>693139.0</v>
      </c>
      <c r="D5" s="29">
        <v>693138.82</v>
      </c>
      <c r="E5" s="36">
        <f t="shared" ref="E5:E11" si="3">B5</f>
        <v>44251</v>
      </c>
      <c r="F5" s="37">
        <v>69388.0</v>
      </c>
      <c r="G5" s="37">
        <v>69412.0</v>
      </c>
      <c r="H5" s="36">
        <f t="shared" ref="H5:H11" si="4">E5</f>
        <v>44251</v>
      </c>
      <c r="I5" s="29">
        <v>178237.0</v>
      </c>
      <c r="J5" s="29">
        <v>178237.0</v>
      </c>
      <c r="K5" s="36">
        <f t="shared" ref="K5:K11" si="5">H5</f>
        <v>44251</v>
      </c>
      <c r="L5" s="37">
        <v>21122.0</v>
      </c>
      <c r="M5" s="37">
        <v>21124.0</v>
      </c>
      <c r="N5" s="34"/>
      <c r="O5" s="28"/>
      <c r="P5" s="28"/>
      <c r="Q5" s="24"/>
    </row>
    <row r="6">
      <c r="A6" s="24"/>
      <c r="B6" s="35">
        <f t="shared" ref="B6:B11" si="6">B5-1</f>
        <v>44250</v>
      </c>
      <c r="C6" s="37">
        <v>742171.0</v>
      </c>
      <c r="D6" s="37">
        <v>742762.26</v>
      </c>
      <c r="E6" s="36">
        <f t="shared" si="3"/>
        <v>44250</v>
      </c>
      <c r="F6" s="37">
        <v>71372.0</v>
      </c>
      <c r="G6" s="37">
        <v>71862.0</v>
      </c>
      <c r="H6" s="36">
        <f t="shared" si="4"/>
        <v>44250</v>
      </c>
      <c r="I6" s="29">
        <v>178785.0</v>
      </c>
      <c r="J6" s="29">
        <v>178785.0</v>
      </c>
      <c r="K6" s="36">
        <f t="shared" si="5"/>
        <v>44250</v>
      </c>
      <c r="L6" s="37">
        <v>12940.0</v>
      </c>
      <c r="M6" s="37">
        <v>12941.0</v>
      </c>
      <c r="N6" s="34"/>
      <c r="O6" s="28"/>
      <c r="P6" s="28"/>
      <c r="Q6" s="24"/>
    </row>
    <row r="7">
      <c r="A7" s="24"/>
      <c r="B7" s="35">
        <f t="shared" si="6"/>
        <v>44249</v>
      </c>
      <c r="C7" s="29">
        <v>817999.0</v>
      </c>
      <c r="D7" s="29">
        <v>817998.94</v>
      </c>
      <c r="E7" s="36">
        <f t="shared" si="3"/>
        <v>44249</v>
      </c>
      <c r="F7" s="37">
        <v>72925.0</v>
      </c>
      <c r="G7" s="37">
        <v>72928.0</v>
      </c>
      <c r="H7" s="36">
        <f t="shared" si="4"/>
        <v>44249</v>
      </c>
      <c r="I7" s="29">
        <v>311931.0</v>
      </c>
      <c r="J7" s="29">
        <v>311931.0</v>
      </c>
      <c r="K7" s="36">
        <f t="shared" si="5"/>
        <v>44249</v>
      </c>
      <c r="L7" s="37">
        <v>16146.0</v>
      </c>
      <c r="M7" s="37">
        <v>16148.0</v>
      </c>
      <c r="N7" s="34"/>
      <c r="O7" s="28"/>
      <c r="P7" s="28"/>
      <c r="Q7" s="24"/>
    </row>
    <row r="8">
      <c r="A8" s="24"/>
      <c r="B8" s="35">
        <f t="shared" si="6"/>
        <v>44248</v>
      </c>
      <c r="C8" s="29">
        <v>727843.0</v>
      </c>
      <c r="D8" s="29">
        <v>727842.62</v>
      </c>
      <c r="E8" s="36">
        <f t="shared" si="3"/>
        <v>44248</v>
      </c>
      <c r="F8" s="37">
        <v>50338.0</v>
      </c>
      <c r="G8" s="37">
        <v>50351.0</v>
      </c>
      <c r="H8" s="36">
        <f t="shared" si="4"/>
        <v>44248</v>
      </c>
      <c r="I8" s="29">
        <v>180700.0</v>
      </c>
      <c r="J8" s="29">
        <v>180700.0</v>
      </c>
      <c r="K8" s="36">
        <f t="shared" si="5"/>
        <v>44248</v>
      </c>
      <c r="L8" s="37">
        <v>12070.0</v>
      </c>
      <c r="M8" s="37">
        <v>12072.0</v>
      </c>
      <c r="N8" s="34"/>
      <c r="O8" s="28"/>
      <c r="P8" s="28"/>
      <c r="Q8" s="24"/>
    </row>
    <row r="9">
      <c r="A9" s="24"/>
      <c r="B9" s="35">
        <f t="shared" si="6"/>
        <v>44247</v>
      </c>
      <c r="C9" s="29">
        <v>729766.0</v>
      </c>
      <c r="D9" s="29">
        <v>729765.97</v>
      </c>
      <c r="E9" s="36">
        <f t="shared" si="3"/>
        <v>44247</v>
      </c>
      <c r="F9" s="37">
        <v>49542.0</v>
      </c>
      <c r="G9" s="37">
        <v>49550.0</v>
      </c>
      <c r="H9" s="36">
        <f t="shared" si="4"/>
        <v>44247</v>
      </c>
      <c r="I9" s="29">
        <v>222233.0</v>
      </c>
      <c r="J9" s="29">
        <v>222233.0</v>
      </c>
      <c r="K9" s="36">
        <f t="shared" si="5"/>
        <v>44247</v>
      </c>
      <c r="L9" s="29">
        <v>11646.0</v>
      </c>
      <c r="M9" s="29">
        <v>11646.0</v>
      </c>
      <c r="N9" s="34"/>
      <c r="O9" s="28"/>
      <c r="P9" s="28"/>
      <c r="Q9" s="24"/>
    </row>
    <row r="10">
      <c r="A10" s="24"/>
      <c r="B10" s="35">
        <f t="shared" si="6"/>
        <v>44246</v>
      </c>
      <c r="C10" s="29">
        <v>747433.0</v>
      </c>
      <c r="D10" s="29">
        <v>747433.34</v>
      </c>
      <c r="E10" s="36">
        <f t="shared" si="3"/>
        <v>44246</v>
      </c>
      <c r="F10" s="37">
        <v>51665.0</v>
      </c>
      <c r="G10" s="37">
        <v>51667.0</v>
      </c>
      <c r="H10" s="36">
        <f t="shared" si="4"/>
        <v>44246</v>
      </c>
      <c r="I10" s="29">
        <v>326153.0</v>
      </c>
      <c r="J10" s="29">
        <v>326153.0</v>
      </c>
      <c r="K10" s="36">
        <f t="shared" si="5"/>
        <v>44246</v>
      </c>
      <c r="L10" s="37">
        <v>10451.0</v>
      </c>
      <c r="M10" s="37">
        <v>10453.0</v>
      </c>
      <c r="N10" s="34"/>
      <c r="O10" s="28"/>
      <c r="P10" s="28"/>
      <c r="Q10" s="24"/>
    </row>
    <row r="11">
      <c r="A11" s="24"/>
      <c r="B11" s="35">
        <f t="shared" si="6"/>
        <v>44245</v>
      </c>
      <c r="C11" s="29">
        <v>725490.0</v>
      </c>
      <c r="D11" s="29">
        <v>725490.07</v>
      </c>
      <c r="E11" s="36">
        <f t="shared" si="3"/>
        <v>44245</v>
      </c>
      <c r="F11" s="29">
        <v>76048.0</v>
      </c>
      <c r="G11" s="29">
        <v>76048.0</v>
      </c>
      <c r="H11" s="36">
        <f t="shared" si="4"/>
        <v>44245</v>
      </c>
      <c r="I11" s="29">
        <v>355355.0</v>
      </c>
      <c r="J11" s="29">
        <v>355355.0</v>
      </c>
      <c r="K11" s="36">
        <f t="shared" si="5"/>
        <v>44245</v>
      </c>
      <c r="L11" s="29">
        <v>26489.0</v>
      </c>
      <c r="M11" s="29">
        <v>26489.0</v>
      </c>
      <c r="N11" s="34"/>
      <c r="O11" s="28"/>
      <c r="P11" s="28"/>
      <c r="Q11" s="24"/>
    </row>
    <row r="12">
      <c r="A12" s="24"/>
      <c r="B12" s="38"/>
      <c r="C12" s="24"/>
      <c r="D12" s="24"/>
      <c r="E12" s="38"/>
      <c r="F12" s="24"/>
      <c r="G12" s="24"/>
      <c r="H12" s="38"/>
      <c r="I12" s="24"/>
      <c r="J12" s="24"/>
      <c r="K12" s="38"/>
      <c r="L12" s="24"/>
      <c r="M12" s="24"/>
      <c r="N12" s="38"/>
      <c r="O12" s="24"/>
      <c r="P12" s="24"/>
      <c r="Q12" s="24"/>
    </row>
    <row r="13">
      <c r="A13" s="24"/>
      <c r="B13" s="32"/>
      <c r="C13" s="26" t="s">
        <v>32</v>
      </c>
      <c r="D13" s="5"/>
      <c r="E13" s="32"/>
      <c r="F13" s="26" t="s">
        <v>23</v>
      </c>
      <c r="G13" s="5"/>
      <c r="H13" s="32"/>
      <c r="I13" s="26" t="s">
        <v>26</v>
      </c>
      <c r="J13" s="5"/>
      <c r="K13" s="32"/>
      <c r="L13" s="26" t="s">
        <v>29</v>
      </c>
      <c r="M13" s="5"/>
      <c r="N13" s="32"/>
      <c r="O13" s="26" t="s">
        <v>32</v>
      </c>
      <c r="P13" s="5"/>
      <c r="Q13" s="24"/>
    </row>
    <row r="14">
      <c r="A14" s="24"/>
      <c r="B14" s="18"/>
      <c r="C14" s="29" t="s">
        <v>50</v>
      </c>
      <c r="D14" s="29" t="s">
        <v>46</v>
      </c>
      <c r="E14" s="18"/>
      <c r="F14" s="29" t="s">
        <v>50</v>
      </c>
      <c r="G14" s="29" t="s">
        <v>46</v>
      </c>
      <c r="H14" s="18"/>
      <c r="I14" s="29" t="s">
        <v>50</v>
      </c>
      <c r="J14" s="29" t="s">
        <v>60</v>
      </c>
      <c r="K14" s="18"/>
      <c r="L14" s="29" t="s">
        <v>50</v>
      </c>
      <c r="M14" s="29" t="s">
        <v>60</v>
      </c>
      <c r="N14" s="18"/>
      <c r="O14" s="29" t="s">
        <v>50</v>
      </c>
      <c r="P14" s="29" t="s">
        <v>60</v>
      </c>
      <c r="Q14" s="24"/>
    </row>
    <row r="15">
      <c r="A15" s="24"/>
      <c r="B15" s="36">
        <f t="shared" ref="B15:B21" si="7">B5</f>
        <v>44251</v>
      </c>
      <c r="C15" s="29" t="s">
        <v>62</v>
      </c>
      <c r="D15" s="30"/>
      <c r="E15" s="36">
        <f t="shared" ref="E15:E21" si="8">B15</f>
        <v>44251</v>
      </c>
      <c r="F15" s="29" t="s">
        <v>62</v>
      </c>
      <c r="G15" s="30"/>
      <c r="H15" s="36">
        <f t="shared" ref="H15:H21" si="9">E15</f>
        <v>44251</v>
      </c>
      <c r="I15" s="37">
        <v>485048.0</v>
      </c>
      <c r="J15" s="37">
        <v>489822.0</v>
      </c>
      <c r="K15" s="36">
        <f t="shared" ref="K15:K21" si="10">H15</f>
        <v>44251</v>
      </c>
      <c r="L15" s="37" t="s">
        <v>62</v>
      </c>
      <c r="M15" s="37">
        <v>12.0</v>
      </c>
      <c r="N15" s="36">
        <f t="shared" ref="N15:N21" si="11">K15</f>
        <v>44251</v>
      </c>
      <c r="O15" s="37">
        <v>4096.0</v>
      </c>
      <c r="P15" s="37">
        <v>4108.97</v>
      </c>
      <c r="Q15" s="24"/>
    </row>
    <row r="16">
      <c r="A16" s="24"/>
      <c r="B16" s="36">
        <f t="shared" si="7"/>
        <v>44250</v>
      </c>
      <c r="C16" s="29">
        <v>482.0</v>
      </c>
      <c r="D16" s="30"/>
      <c r="E16" s="36">
        <f t="shared" si="8"/>
        <v>44250</v>
      </c>
      <c r="F16" s="29" t="s">
        <v>62</v>
      </c>
      <c r="G16" s="30"/>
      <c r="H16" s="36">
        <f t="shared" si="9"/>
        <v>44250</v>
      </c>
      <c r="I16" s="37">
        <v>345069.0</v>
      </c>
      <c r="J16" s="37">
        <v>345604.0</v>
      </c>
      <c r="K16" s="36">
        <f t="shared" si="10"/>
        <v>44250</v>
      </c>
      <c r="L16" s="37" t="s">
        <v>62</v>
      </c>
      <c r="M16" s="37">
        <v>12.0</v>
      </c>
      <c r="N16" s="36">
        <f t="shared" si="11"/>
        <v>44250</v>
      </c>
      <c r="O16" s="37">
        <v>3247.0</v>
      </c>
      <c r="P16" s="37">
        <v>3252.45</v>
      </c>
      <c r="Q16" s="24"/>
    </row>
    <row r="17">
      <c r="A17" s="24"/>
      <c r="B17" s="36">
        <f t="shared" si="7"/>
        <v>44249</v>
      </c>
      <c r="C17" s="29">
        <v>99.0</v>
      </c>
      <c r="D17" s="30"/>
      <c r="E17" s="36">
        <f t="shared" si="8"/>
        <v>44249</v>
      </c>
      <c r="F17" s="29" t="s">
        <v>62</v>
      </c>
      <c r="G17" s="30"/>
      <c r="H17" s="36">
        <f t="shared" si="9"/>
        <v>44249</v>
      </c>
      <c r="I17" s="37">
        <v>56868.0</v>
      </c>
      <c r="J17" s="37">
        <v>548505.0</v>
      </c>
      <c r="K17" s="36">
        <f t="shared" si="10"/>
        <v>44249</v>
      </c>
      <c r="L17" s="37" t="s">
        <v>62</v>
      </c>
      <c r="M17" s="37">
        <v>12.0</v>
      </c>
      <c r="N17" s="36">
        <f t="shared" si="11"/>
        <v>44249</v>
      </c>
      <c r="O17" s="37">
        <v>353.99</v>
      </c>
      <c r="P17" s="37">
        <v>4233.13</v>
      </c>
      <c r="Q17" s="24"/>
    </row>
    <row r="18">
      <c r="A18" s="24"/>
      <c r="B18" s="36">
        <f t="shared" si="7"/>
        <v>44248</v>
      </c>
      <c r="C18" s="29" t="s">
        <v>62</v>
      </c>
      <c r="D18" s="30"/>
      <c r="E18" s="36">
        <f t="shared" si="8"/>
        <v>44248</v>
      </c>
      <c r="F18" s="29" t="s">
        <v>62</v>
      </c>
      <c r="G18" s="30"/>
      <c r="H18" s="36">
        <f t="shared" si="9"/>
        <v>44248</v>
      </c>
      <c r="I18" s="37">
        <v>396694.0</v>
      </c>
      <c r="J18" s="37">
        <v>224895.0</v>
      </c>
      <c r="K18" s="36">
        <f t="shared" si="10"/>
        <v>44248</v>
      </c>
      <c r="L18" s="37" t="s">
        <v>62</v>
      </c>
      <c r="M18" s="37">
        <v>12.0</v>
      </c>
      <c r="N18" s="36">
        <f t="shared" si="11"/>
        <v>44248</v>
      </c>
      <c r="O18" s="37">
        <v>3429.9</v>
      </c>
      <c r="P18" s="37">
        <v>1339.05</v>
      </c>
      <c r="Q18" s="24"/>
    </row>
    <row r="19">
      <c r="A19" s="24"/>
      <c r="B19" s="36">
        <f t="shared" si="7"/>
        <v>44247</v>
      </c>
      <c r="C19" s="29" t="s">
        <v>62</v>
      </c>
      <c r="D19" s="30"/>
      <c r="E19" s="36">
        <f t="shared" si="8"/>
        <v>44247</v>
      </c>
      <c r="F19" s="29" t="s">
        <v>62</v>
      </c>
      <c r="G19" s="30"/>
      <c r="H19" s="36">
        <f t="shared" si="9"/>
        <v>44247</v>
      </c>
      <c r="I19" s="37">
        <v>684047.0</v>
      </c>
      <c r="J19" s="37">
        <v>179364.0</v>
      </c>
      <c r="K19" s="36">
        <f t="shared" si="10"/>
        <v>44247</v>
      </c>
      <c r="L19" s="37" t="s">
        <v>62</v>
      </c>
      <c r="M19" s="37">
        <v>12.0</v>
      </c>
      <c r="N19" s="36">
        <f t="shared" si="11"/>
        <v>44247</v>
      </c>
      <c r="O19" s="37">
        <v>6878.13</v>
      </c>
      <c r="P19" s="37">
        <v>1285.16</v>
      </c>
      <c r="Q19" s="24"/>
    </row>
    <row r="20">
      <c r="A20" s="24"/>
      <c r="B20" s="36">
        <f t="shared" si="7"/>
        <v>44246</v>
      </c>
      <c r="C20" s="29" t="s">
        <v>62</v>
      </c>
      <c r="D20" s="30"/>
      <c r="E20" s="36">
        <f t="shared" si="8"/>
        <v>44246</v>
      </c>
      <c r="F20" s="29" t="s">
        <v>62</v>
      </c>
      <c r="G20" s="30"/>
      <c r="H20" s="36">
        <f t="shared" si="9"/>
        <v>44246</v>
      </c>
      <c r="I20" s="29">
        <v>43796.0</v>
      </c>
      <c r="J20" s="29">
        <v>43796.0</v>
      </c>
      <c r="K20" s="36">
        <f t="shared" si="10"/>
        <v>44246</v>
      </c>
      <c r="L20" s="37" t="s">
        <v>62</v>
      </c>
      <c r="M20" s="37">
        <v>12.0</v>
      </c>
      <c r="N20" s="36">
        <f t="shared" si="11"/>
        <v>44246</v>
      </c>
      <c r="O20" s="29">
        <v>359.96</v>
      </c>
      <c r="P20" s="29">
        <v>359.96</v>
      </c>
      <c r="Q20" s="24"/>
    </row>
    <row r="21">
      <c r="A21" s="24"/>
      <c r="B21" s="36">
        <f t="shared" si="7"/>
        <v>44245</v>
      </c>
      <c r="C21" s="29">
        <v>440.0</v>
      </c>
      <c r="D21" s="30"/>
      <c r="E21" s="36">
        <f t="shared" si="8"/>
        <v>44245</v>
      </c>
      <c r="F21" s="29" t="s">
        <v>62</v>
      </c>
      <c r="G21" s="30"/>
      <c r="H21" s="36">
        <f t="shared" si="9"/>
        <v>44245</v>
      </c>
      <c r="I21" s="37">
        <v>179364.0</v>
      </c>
      <c r="J21" s="37">
        <v>684047.0</v>
      </c>
      <c r="K21" s="36">
        <f t="shared" si="10"/>
        <v>44245</v>
      </c>
      <c r="L21" s="37" t="s">
        <v>62</v>
      </c>
      <c r="M21" s="37">
        <v>12.0</v>
      </c>
      <c r="N21" s="36">
        <f t="shared" si="11"/>
        <v>44245</v>
      </c>
      <c r="O21" s="37">
        <v>1285.16</v>
      </c>
      <c r="P21" s="37">
        <v>6878.13</v>
      </c>
      <c r="Q21" s="24"/>
    </row>
    <row r="22">
      <c r="A22" s="24"/>
      <c r="B22" s="38"/>
      <c r="C22" s="24"/>
      <c r="D22" s="24"/>
      <c r="E22" s="38"/>
      <c r="F22" s="24"/>
      <c r="G22" s="24"/>
      <c r="H22" s="38"/>
      <c r="I22" s="24"/>
      <c r="J22" s="24"/>
      <c r="K22" s="38"/>
      <c r="L22" s="24"/>
      <c r="M22" s="24"/>
      <c r="N22" s="38"/>
      <c r="O22" s="24"/>
      <c r="P22" s="24"/>
      <c r="Q22" s="24"/>
    </row>
    <row r="23">
      <c r="A23" s="24"/>
      <c r="B23" s="32"/>
      <c r="C23" s="26" t="s">
        <v>26</v>
      </c>
      <c r="D23" s="5"/>
      <c r="E23" s="32"/>
      <c r="F23" s="26" t="s">
        <v>29</v>
      </c>
      <c r="G23" s="5"/>
      <c r="H23" s="32"/>
      <c r="I23" s="26" t="s">
        <v>32</v>
      </c>
      <c r="J23" s="5"/>
      <c r="K23" s="36"/>
      <c r="L23" s="26" t="s">
        <v>32</v>
      </c>
      <c r="M23" s="5"/>
      <c r="N23" s="32"/>
      <c r="O23" s="26" t="s">
        <v>32</v>
      </c>
      <c r="P23" s="5"/>
      <c r="Q23" s="24"/>
    </row>
    <row r="24">
      <c r="A24" s="24"/>
      <c r="B24" s="18"/>
      <c r="C24" s="29" t="s">
        <v>50</v>
      </c>
      <c r="D24" s="29" t="s">
        <v>36</v>
      </c>
      <c r="E24" s="18"/>
      <c r="F24" s="29" t="s">
        <v>50</v>
      </c>
      <c r="G24" s="29" t="s">
        <v>36</v>
      </c>
      <c r="H24" s="18"/>
      <c r="I24" s="29" t="s">
        <v>50</v>
      </c>
      <c r="J24" s="29" t="s">
        <v>36</v>
      </c>
      <c r="K24" s="36"/>
      <c r="L24" s="30" t="str">
        <f>L4</f>
        <v>Datalake</v>
      </c>
      <c r="M24" s="29" t="s">
        <v>38</v>
      </c>
      <c r="N24" s="18"/>
      <c r="O24" s="30" t="str">
        <f>I24</f>
        <v>Datalake</v>
      </c>
      <c r="P24" s="29" t="s">
        <v>61</v>
      </c>
      <c r="Q24" s="24"/>
    </row>
    <row r="25">
      <c r="A25" s="24"/>
      <c r="B25" s="36">
        <f t="shared" ref="B25:B31" si="12">B15</f>
        <v>44251</v>
      </c>
      <c r="C25" s="29">
        <v>19996.0</v>
      </c>
      <c r="D25" s="29">
        <v>19996.0</v>
      </c>
      <c r="E25" s="36">
        <f t="shared" ref="E25:E31" si="13">B25</f>
        <v>44251</v>
      </c>
      <c r="F25" s="29">
        <v>2767.0</v>
      </c>
      <c r="G25" s="29">
        <v>2767.0</v>
      </c>
      <c r="H25" s="36">
        <f t="shared" ref="H25:H31" si="14">E25</f>
        <v>44251</v>
      </c>
      <c r="I25" s="29">
        <v>3054.67</v>
      </c>
      <c r="J25" s="29">
        <v>3054.67</v>
      </c>
      <c r="K25" s="36">
        <f t="shared" ref="K25:K31" si="15">K5</f>
        <v>44251</v>
      </c>
      <c r="L25" s="29">
        <v>446.0</v>
      </c>
      <c r="M25" s="30"/>
      <c r="N25" s="36">
        <f t="shared" ref="N25:N31" si="16">H25</f>
        <v>44251</v>
      </c>
      <c r="O25" s="29">
        <v>453.0</v>
      </c>
      <c r="P25" s="29">
        <v>453.0</v>
      </c>
      <c r="Q25" s="24"/>
    </row>
    <row r="26">
      <c r="A26" s="24"/>
      <c r="B26" s="36">
        <f t="shared" si="12"/>
        <v>44250</v>
      </c>
      <c r="C26" s="29">
        <v>21123.0</v>
      </c>
      <c r="D26" s="29">
        <v>21123.0</v>
      </c>
      <c r="E26" s="36">
        <f t="shared" si="13"/>
        <v>44250</v>
      </c>
      <c r="F26" s="29">
        <v>2764.0</v>
      </c>
      <c r="G26" s="29">
        <v>2764.0</v>
      </c>
      <c r="H26" s="36">
        <f t="shared" si="14"/>
        <v>44250</v>
      </c>
      <c r="I26" s="29">
        <v>2773.87</v>
      </c>
      <c r="J26" s="29">
        <v>2773.87</v>
      </c>
      <c r="K26" s="36">
        <f t="shared" si="15"/>
        <v>44250</v>
      </c>
      <c r="L26" s="29">
        <v>325.0</v>
      </c>
      <c r="M26" s="30"/>
      <c r="N26" s="36">
        <f t="shared" si="16"/>
        <v>44250</v>
      </c>
      <c r="O26" s="29">
        <v>192.0</v>
      </c>
      <c r="P26" s="29">
        <v>192.0</v>
      </c>
      <c r="Q26" s="24"/>
    </row>
    <row r="27">
      <c r="A27" s="24"/>
      <c r="B27" s="36">
        <f t="shared" si="12"/>
        <v>44249</v>
      </c>
      <c r="C27" s="29">
        <v>24433.0</v>
      </c>
      <c r="D27" s="29">
        <v>24433.0</v>
      </c>
      <c r="E27" s="36">
        <f t="shared" si="13"/>
        <v>44249</v>
      </c>
      <c r="F27" s="29">
        <v>3557.0</v>
      </c>
      <c r="G27" s="29">
        <v>3557.0</v>
      </c>
      <c r="H27" s="36">
        <f t="shared" si="14"/>
        <v>44249</v>
      </c>
      <c r="I27" s="29">
        <v>3561.06</v>
      </c>
      <c r="J27" s="29">
        <v>3561.06</v>
      </c>
      <c r="K27" s="36">
        <f t="shared" si="15"/>
        <v>44249</v>
      </c>
      <c r="L27" s="29">
        <v>523.897001</v>
      </c>
      <c r="M27" s="30"/>
      <c r="N27" s="36">
        <f t="shared" si="16"/>
        <v>44249</v>
      </c>
      <c r="O27" s="29">
        <v>342.14</v>
      </c>
      <c r="P27" s="29">
        <v>342.16</v>
      </c>
      <c r="Q27" s="24"/>
    </row>
    <row r="28">
      <c r="A28" s="24"/>
      <c r="B28" s="36">
        <f t="shared" si="12"/>
        <v>44248</v>
      </c>
      <c r="C28" s="29">
        <v>15879.0</v>
      </c>
      <c r="D28" s="29">
        <v>15879.0</v>
      </c>
      <c r="E28" s="36">
        <f t="shared" si="13"/>
        <v>44248</v>
      </c>
      <c r="F28" s="29">
        <v>2282.0</v>
      </c>
      <c r="G28" s="29">
        <v>2282.0</v>
      </c>
      <c r="H28" s="36">
        <f t="shared" si="14"/>
        <v>44248</v>
      </c>
      <c r="I28" s="29">
        <v>2677.49</v>
      </c>
      <c r="J28" s="29">
        <v>2677.49</v>
      </c>
      <c r="K28" s="36">
        <f t="shared" si="15"/>
        <v>44248</v>
      </c>
      <c r="L28" s="29">
        <v>635.427463</v>
      </c>
      <c r="M28" s="30"/>
      <c r="N28" s="36">
        <f t="shared" si="16"/>
        <v>44248</v>
      </c>
      <c r="O28" s="29">
        <v>282.14</v>
      </c>
      <c r="P28" s="29">
        <v>282.16</v>
      </c>
      <c r="Q28" s="24"/>
    </row>
    <row r="29">
      <c r="A29" s="24"/>
      <c r="B29" s="36">
        <f t="shared" si="12"/>
        <v>44247</v>
      </c>
      <c r="C29" s="29">
        <v>10117.0</v>
      </c>
      <c r="D29" s="29">
        <v>10117.0</v>
      </c>
      <c r="E29" s="36">
        <f t="shared" si="13"/>
        <v>44247</v>
      </c>
      <c r="F29" s="29">
        <v>1818.0</v>
      </c>
      <c r="G29" s="29">
        <v>1818.0</v>
      </c>
      <c r="H29" s="36">
        <f t="shared" si="14"/>
        <v>44247</v>
      </c>
      <c r="I29" s="29">
        <v>2128.09</v>
      </c>
      <c r="J29" s="29">
        <v>2128.09</v>
      </c>
      <c r="K29" s="36">
        <f t="shared" si="15"/>
        <v>44247</v>
      </c>
      <c r="L29" s="29">
        <v>746.829537</v>
      </c>
      <c r="M29" s="30"/>
      <c r="N29" s="36">
        <f t="shared" si="16"/>
        <v>44247</v>
      </c>
      <c r="O29" s="29">
        <v>440.2</v>
      </c>
      <c r="P29" s="29">
        <v>440.21</v>
      </c>
      <c r="Q29" s="24"/>
    </row>
    <row r="30">
      <c r="A30" s="24"/>
      <c r="B30" s="36">
        <f t="shared" si="12"/>
        <v>44246</v>
      </c>
      <c r="C30" s="29">
        <v>14556.0</v>
      </c>
      <c r="D30" s="29">
        <v>14556.0</v>
      </c>
      <c r="E30" s="36">
        <f t="shared" si="13"/>
        <v>44246</v>
      </c>
      <c r="F30" s="29">
        <v>2386.0</v>
      </c>
      <c r="G30" s="29">
        <v>2386.0</v>
      </c>
      <c r="H30" s="36">
        <f t="shared" si="14"/>
        <v>44246</v>
      </c>
      <c r="I30" s="29">
        <v>2349.33</v>
      </c>
      <c r="J30" s="29">
        <v>2349.33</v>
      </c>
      <c r="K30" s="36">
        <f t="shared" si="15"/>
        <v>44246</v>
      </c>
      <c r="L30" s="29">
        <v>797.879467</v>
      </c>
      <c r="M30" s="30"/>
      <c r="N30" s="36">
        <f t="shared" si="16"/>
        <v>44246</v>
      </c>
      <c r="O30" s="29">
        <v>223.82</v>
      </c>
      <c r="P30" s="29">
        <v>223.83</v>
      </c>
      <c r="Q30" s="24"/>
    </row>
    <row r="31">
      <c r="A31" s="24"/>
      <c r="B31" s="36">
        <f t="shared" si="12"/>
        <v>44245</v>
      </c>
      <c r="C31" s="29">
        <v>17267.0</v>
      </c>
      <c r="D31" s="29">
        <v>17267.0</v>
      </c>
      <c r="E31" s="36">
        <f t="shared" si="13"/>
        <v>44245</v>
      </c>
      <c r="F31" s="29">
        <v>2853.0</v>
      </c>
      <c r="G31" s="29">
        <v>2853.0</v>
      </c>
      <c r="H31" s="36">
        <f t="shared" si="14"/>
        <v>44245</v>
      </c>
      <c r="I31" s="29">
        <v>2997.62</v>
      </c>
      <c r="J31" s="29">
        <v>2997.62</v>
      </c>
      <c r="K31" s="36">
        <f t="shared" si="15"/>
        <v>44245</v>
      </c>
      <c r="L31" s="29">
        <v>429.396077</v>
      </c>
      <c r="M31" s="30"/>
      <c r="N31" s="36">
        <f t="shared" si="16"/>
        <v>44245</v>
      </c>
      <c r="O31" s="29">
        <v>370.32</v>
      </c>
      <c r="P31" s="29">
        <v>370.31</v>
      </c>
      <c r="Q31" s="24"/>
    </row>
    <row r="32">
      <c r="A32" s="24"/>
      <c r="B32" s="38"/>
      <c r="C32" s="24"/>
      <c r="D32" s="24"/>
      <c r="E32" s="38"/>
      <c r="F32" s="24"/>
      <c r="G32" s="24"/>
      <c r="H32" s="38"/>
      <c r="I32" s="24"/>
      <c r="J32" s="24"/>
      <c r="K32" s="38"/>
      <c r="L32" s="24"/>
      <c r="M32" s="24"/>
      <c r="N32" s="38"/>
      <c r="O32" s="24"/>
      <c r="P32" s="24"/>
      <c r="Q32" s="24"/>
    </row>
    <row r="33">
      <c r="A33" s="24"/>
      <c r="B33" s="32"/>
      <c r="C33" s="26" t="s">
        <v>32</v>
      </c>
      <c r="D33" s="5"/>
      <c r="E33" s="32"/>
      <c r="F33" s="26" t="s">
        <v>32</v>
      </c>
      <c r="G33" s="5"/>
      <c r="H33" s="32"/>
      <c r="I33" s="26" t="s">
        <v>26</v>
      </c>
      <c r="J33" s="5"/>
      <c r="K33" s="32"/>
      <c r="L33" s="26" t="s">
        <v>29</v>
      </c>
      <c r="M33" s="5"/>
      <c r="N33" s="32"/>
      <c r="O33" s="26" t="s">
        <v>32</v>
      </c>
      <c r="P33" s="5"/>
      <c r="Q33" s="24"/>
    </row>
    <row r="34">
      <c r="A34" s="24"/>
      <c r="B34" s="18"/>
      <c r="C34" s="30" t="str">
        <f>C14</f>
        <v>Datalake</v>
      </c>
      <c r="D34" s="29" t="s">
        <v>42</v>
      </c>
      <c r="E34" s="18"/>
      <c r="F34" s="30" t="str">
        <f>C34</f>
        <v>Datalake</v>
      </c>
      <c r="G34" s="29" t="s">
        <v>44</v>
      </c>
      <c r="H34" s="18"/>
      <c r="I34" s="29" t="s">
        <v>50</v>
      </c>
      <c r="J34" s="29" t="s">
        <v>31</v>
      </c>
      <c r="K34" s="18"/>
      <c r="L34" s="29" t="s">
        <v>50</v>
      </c>
      <c r="M34" s="29" t="s">
        <v>31</v>
      </c>
      <c r="N34" s="18"/>
      <c r="O34" s="29" t="s">
        <v>50</v>
      </c>
      <c r="P34" s="29" t="s">
        <v>31</v>
      </c>
      <c r="Q34" s="24"/>
    </row>
    <row r="35">
      <c r="A35" s="24"/>
      <c r="B35" s="36">
        <f t="shared" ref="B35:B41" si="17">B25</f>
        <v>44251</v>
      </c>
      <c r="C35" s="29" t="s">
        <v>62</v>
      </c>
      <c r="D35" s="29" t="s">
        <v>62</v>
      </c>
      <c r="E35" s="36">
        <f t="shared" ref="E35:E41" si="18">B35</f>
        <v>44251</v>
      </c>
      <c r="F35" s="29" t="s">
        <v>62</v>
      </c>
      <c r="G35" s="29" t="s">
        <v>62</v>
      </c>
      <c r="H35" s="36">
        <f t="shared" ref="H35:H41" si="19">E35</f>
        <v>44251</v>
      </c>
      <c r="I35" s="37">
        <v>686507.0</v>
      </c>
      <c r="J35" s="37">
        <v>686548.0</v>
      </c>
      <c r="K35" s="36">
        <f t="shared" ref="K35:K41" si="20">H35</f>
        <v>44251</v>
      </c>
      <c r="L35" s="37">
        <v>59254.0</v>
      </c>
      <c r="M35" s="37">
        <v>59382.0</v>
      </c>
      <c r="N35" s="36">
        <f t="shared" ref="N35:N41" si="21">K35</f>
        <v>44251</v>
      </c>
      <c r="O35" s="37">
        <v>39061.0</v>
      </c>
      <c r="P35" s="37">
        <v>39095.95</v>
      </c>
      <c r="Q35" s="24"/>
    </row>
    <row r="36">
      <c r="A36" s="24"/>
      <c r="B36" s="36">
        <f t="shared" si="17"/>
        <v>44250</v>
      </c>
      <c r="C36" s="29" t="s">
        <v>62</v>
      </c>
      <c r="D36" s="29" t="s">
        <v>62</v>
      </c>
      <c r="E36" s="36">
        <f t="shared" si="18"/>
        <v>44250</v>
      </c>
      <c r="F36" s="29" t="s">
        <v>62</v>
      </c>
      <c r="G36" s="29" t="s">
        <v>62</v>
      </c>
      <c r="H36" s="36">
        <f t="shared" si="19"/>
        <v>44250</v>
      </c>
      <c r="I36" s="37">
        <v>771855.0</v>
      </c>
      <c r="J36" s="37">
        <v>771994.0</v>
      </c>
      <c r="K36" s="36">
        <f t="shared" si="20"/>
        <v>44250</v>
      </c>
      <c r="L36" s="37">
        <v>61947.0</v>
      </c>
      <c r="M36" s="37">
        <v>61996.0</v>
      </c>
      <c r="N36" s="36">
        <f t="shared" si="21"/>
        <v>44250</v>
      </c>
      <c r="O36" s="37">
        <v>45285.35761</v>
      </c>
      <c r="P36" s="37">
        <v>45294.49</v>
      </c>
      <c r="Q36" s="24"/>
    </row>
    <row r="37">
      <c r="A37" s="24"/>
      <c r="B37" s="36">
        <f t="shared" si="17"/>
        <v>44249</v>
      </c>
      <c r="C37" s="29" t="s">
        <v>62</v>
      </c>
      <c r="D37" s="29" t="s">
        <v>62</v>
      </c>
      <c r="E37" s="36">
        <f t="shared" si="18"/>
        <v>44249</v>
      </c>
      <c r="F37" s="29" t="s">
        <v>62</v>
      </c>
      <c r="G37" s="29" t="s">
        <v>62</v>
      </c>
      <c r="H37" s="36">
        <f t="shared" si="19"/>
        <v>44249</v>
      </c>
      <c r="I37" s="29">
        <v>522990.0</v>
      </c>
      <c r="J37" s="29">
        <v>522990.0</v>
      </c>
      <c r="K37" s="36">
        <f t="shared" si="20"/>
        <v>44249</v>
      </c>
      <c r="L37" s="29">
        <v>58173.0</v>
      </c>
      <c r="M37" s="29">
        <v>58173.0</v>
      </c>
      <c r="N37" s="36">
        <f t="shared" si="21"/>
        <v>44249</v>
      </c>
      <c r="O37" s="29">
        <v>43125.94189</v>
      </c>
      <c r="P37" s="29">
        <v>43125.94</v>
      </c>
      <c r="Q37" s="24"/>
    </row>
    <row r="38">
      <c r="A38" s="24"/>
      <c r="B38" s="36">
        <f t="shared" si="17"/>
        <v>44248</v>
      </c>
      <c r="C38" s="29" t="s">
        <v>62</v>
      </c>
      <c r="D38" s="29" t="s">
        <v>62</v>
      </c>
      <c r="E38" s="36">
        <f t="shared" si="18"/>
        <v>44248</v>
      </c>
      <c r="F38" s="29" t="s">
        <v>62</v>
      </c>
      <c r="G38" s="29" t="s">
        <v>62</v>
      </c>
      <c r="H38" s="36">
        <f t="shared" si="19"/>
        <v>44248</v>
      </c>
      <c r="I38" s="29">
        <v>268333.0</v>
      </c>
      <c r="J38" s="29">
        <v>268333.0</v>
      </c>
      <c r="K38" s="36">
        <f t="shared" si="20"/>
        <v>44248</v>
      </c>
      <c r="L38" s="29">
        <v>36452.0</v>
      </c>
      <c r="M38" s="29">
        <v>36452.0</v>
      </c>
      <c r="N38" s="36">
        <f t="shared" si="21"/>
        <v>44248</v>
      </c>
      <c r="O38" s="29">
        <v>22416.44209</v>
      </c>
      <c r="P38" s="29">
        <v>22416.44</v>
      </c>
      <c r="Q38" s="24"/>
    </row>
    <row r="39">
      <c r="A39" s="24"/>
      <c r="B39" s="36">
        <f t="shared" si="17"/>
        <v>44247</v>
      </c>
      <c r="C39" s="29" t="s">
        <v>62</v>
      </c>
      <c r="D39" s="29" t="s">
        <v>62</v>
      </c>
      <c r="E39" s="36">
        <f t="shared" si="18"/>
        <v>44247</v>
      </c>
      <c r="F39" s="29" t="s">
        <v>62</v>
      </c>
      <c r="G39" s="29" t="s">
        <v>62</v>
      </c>
      <c r="H39" s="36">
        <f t="shared" si="19"/>
        <v>44247</v>
      </c>
      <c r="I39" s="37">
        <v>251316.0</v>
      </c>
      <c r="J39" s="37">
        <v>251315.0</v>
      </c>
      <c r="K39" s="36">
        <f t="shared" si="20"/>
        <v>44247</v>
      </c>
      <c r="L39" s="29">
        <v>36380.0</v>
      </c>
      <c r="M39" s="29">
        <v>36380.0</v>
      </c>
      <c r="N39" s="36">
        <f t="shared" si="21"/>
        <v>44247</v>
      </c>
      <c r="O39" s="29">
        <v>25411.18346</v>
      </c>
      <c r="P39" s="29">
        <v>25411.18</v>
      </c>
      <c r="Q39" s="24"/>
    </row>
    <row r="40">
      <c r="A40" s="24"/>
      <c r="B40" s="36">
        <f t="shared" si="17"/>
        <v>44246</v>
      </c>
      <c r="C40" s="29" t="s">
        <v>62</v>
      </c>
      <c r="D40" s="29" t="s">
        <v>62</v>
      </c>
      <c r="E40" s="36">
        <f t="shared" si="18"/>
        <v>44246</v>
      </c>
      <c r="F40" s="29" t="s">
        <v>62</v>
      </c>
      <c r="G40" s="29" t="s">
        <v>62</v>
      </c>
      <c r="H40" s="36">
        <f t="shared" si="19"/>
        <v>44246</v>
      </c>
      <c r="I40" s="29">
        <v>438052.0</v>
      </c>
      <c r="J40" s="29">
        <v>438052.0</v>
      </c>
      <c r="K40" s="36">
        <f t="shared" si="20"/>
        <v>44246</v>
      </c>
      <c r="L40" s="29">
        <v>39631.0</v>
      </c>
      <c r="M40" s="29">
        <v>39631.0</v>
      </c>
      <c r="N40" s="36">
        <f t="shared" si="21"/>
        <v>44246</v>
      </c>
      <c r="O40" s="29">
        <v>29699.91617</v>
      </c>
      <c r="P40" s="29">
        <v>29699.92</v>
      </c>
      <c r="Q40" s="24"/>
    </row>
    <row r="41">
      <c r="A41" s="24"/>
      <c r="B41" s="36">
        <f t="shared" si="17"/>
        <v>44245</v>
      </c>
      <c r="C41" s="29" t="s">
        <v>62</v>
      </c>
      <c r="D41" s="29" t="s">
        <v>62</v>
      </c>
      <c r="E41" s="36">
        <f t="shared" si="18"/>
        <v>44245</v>
      </c>
      <c r="F41" s="29" t="s">
        <v>62</v>
      </c>
      <c r="G41" s="29" t="s">
        <v>62</v>
      </c>
      <c r="H41" s="36">
        <f t="shared" si="19"/>
        <v>44245</v>
      </c>
      <c r="I41" s="29">
        <v>680590.0</v>
      </c>
      <c r="J41" s="29">
        <v>680590.0</v>
      </c>
      <c r="K41" s="36">
        <f t="shared" si="20"/>
        <v>44245</v>
      </c>
      <c r="L41" s="29">
        <v>51374.0</v>
      </c>
      <c r="M41" s="29">
        <v>51374.0</v>
      </c>
      <c r="N41" s="36">
        <f t="shared" si="21"/>
        <v>44245</v>
      </c>
      <c r="O41" s="29">
        <v>37197.54504</v>
      </c>
      <c r="P41" s="29">
        <v>37197.55</v>
      </c>
      <c r="Q41" s="24"/>
    </row>
    <row r="42">
      <c r="A42" s="24"/>
      <c r="B42" s="38"/>
      <c r="C42" s="24"/>
      <c r="D42" s="24"/>
      <c r="E42" s="38"/>
      <c r="F42" s="24"/>
      <c r="G42" s="24"/>
      <c r="H42" s="38"/>
      <c r="I42" s="24"/>
      <c r="J42" s="24"/>
      <c r="K42" s="38"/>
      <c r="L42" s="24"/>
      <c r="M42" s="24"/>
      <c r="N42" s="38"/>
      <c r="O42" s="24"/>
      <c r="P42" s="24"/>
      <c r="Q42" s="24"/>
    </row>
  </sheetData>
  <mergeCells count="37">
    <mergeCell ref="C3:D3"/>
    <mergeCell ref="E3:E4"/>
    <mergeCell ref="F3:G3"/>
    <mergeCell ref="H3:H4"/>
    <mergeCell ref="I3:J3"/>
    <mergeCell ref="K3:K4"/>
    <mergeCell ref="L3:M3"/>
    <mergeCell ref="I13:J13"/>
    <mergeCell ref="L13:M13"/>
    <mergeCell ref="N13:N14"/>
    <mergeCell ref="O13:P13"/>
    <mergeCell ref="B3:B4"/>
    <mergeCell ref="B13:B14"/>
    <mergeCell ref="C13:D13"/>
    <mergeCell ref="E13:E14"/>
    <mergeCell ref="F13:G13"/>
    <mergeCell ref="H13:H14"/>
    <mergeCell ref="K13:K14"/>
    <mergeCell ref="L23:M23"/>
    <mergeCell ref="O23:P23"/>
    <mergeCell ref="B23:B24"/>
    <mergeCell ref="C23:D23"/>
    <mergeCell ref="E23:E24"/>
    <mergeCell ref="F23:G23"/>
    <mergeCell ref="H23:H24"/>
    <mergeCell ref="I23:J23"/>
    <mergeCell ref="N23:N24"/>
    <mergeCell ref="L33:M33"/>
    <mergeCell ref="N33:N34"/>
    <mergeCell ref="O33:P33"/>
    <mergeCell ref="B33:B34"/>
    <mergeCell ref="C33:D33"/>
    <mergeCell ref="E33:E34"/>
    <mergeCell ref="F33:G33"/>
    <mergeCell ref="H33:H34"/>
    <mergeCell ref="I33:J33"/>
    <mergeCell ref="K33:K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" width="4.43"/>
    <col customWidth="1" min="2" max="2" width="5.86"/>
    <col customWidth="1" min="3" max="3" width="12.0"/>
    <col customWidth="1" min="4" max="4" width="20.0"/>
    <col customWidth="1" min="5" max="5" width="5.86"/>
    <col customWidth="1" min="6" max="6" width="12.0"/>
    <col customWidth="1" min="7" max="7" width="20.0"/>
    <col customWidth="1" min="8" max="8" width="5.86"/>
    <col customWidth="1" min="9" max="9" width="12.0"/>
    <col customWidth="1" min="10" max="10" width="22.57"/>
    <col customWidth="1" min="11" max="11" width="5.86"/>
    <col customWidth="1" min="12" max="12" width="12.0"/>
    <col customWidth="1" min="13" max="13" width="22.57"/>
    <col customWidth="1" min="14" max="14" width="5.86"/>
    <col customWidth="1" min="15" max="15" width="12.0"/>
    <col customWidth="1" min="16" max="16" width="11.0"/>
  </cols>
  <sheetData>
    <row r="1">
      <c r="A1" s="24"/>
      <c r="B1" s="38"/>
      <c r="C1" s="24"/>
      <c r="D1" s="24"/>
      <c r="E1" s="38"/>
      <c r="F1" s="24"/>
      <c r="G1" s="24"/>
      <c r="H1" s="38"/>
      <c r="I1" s="24"/>
      <c r="J1" s="24"/>
      <c r="K1" s="38"/>
      <c r="L1" s="24"/>
      <c r="M1" s="24"/>
      <c r="N1" s="38"/>
      <c r="O1" s="24"/>
      <c r="P1" s="24"/>
      <c r="Q1" s="24"/>
    </row>
    <row r="2">
      <c r="A2" s="24"/>
      <c r="B2" s="38"/>
      <c r="C2" s="39"/>
      <c r="D2" s="39"/>
      <c r="E2" s="40"/>
      <c r="F2" s="39"/>
      <c r="G2" s="39"/>
      <c r="H2" s="40"/>
      <c r="I2" s="39"/>
      <c r="J2" s="39"/>
      <c r="K2" s="40"/>
      <c r="L2" s="39"/>
      <c r="M2" s="39"/>
      <c r="N2" s="38"/>
      <c r="O2" s="24"/>
      <c r="P2" s="24"/>
      <c r="Q2" s="24"/>
    </row>
    <row r="3">
      <c r="A3" s="24"/>
      <c r="B3" s="32"/>
      <c r="C3" s="26" t="s">
        <v>21</v>
      </c>
      <c r="D3" s="5"/>
      <c r="E3" s="33"/>
      <c r="F3" s="26" t="s">
        <v>23</v>
      </c>
      <c r="G3" s="5"/>
      <c r="H3" s="33"/>
      <c r="I3" s="26" t="s">
        <v>26</v>
      </c>
      <c r="J3" s="5"/>
      <c r="K3" s="33"/>
      <c r="L3" s="26" t="s">
        <v>29</v>
      </c>
      <c r="M3" s="5"/>
      <c r="N3" s="34"/>
      <c r="O3" s="28"/>
      <c r="P3" s="28"/>
      <c r="Q3" s="24"/>
    </row>
    <row r="4">
      <c r="A4" s="24"/>
      <c r="B4" s="18"/>
      <c r="C4" s="29" t="s">
        <v>50</v>
      </c>
      <c r="D4" s="29" t="s">
        <v>51</v>
      </c>
      <c r="E4" s="18"/>
      <c r="F4" s="29" t="str">
        <f t="shared" ref="F4:G4" si="1">C4</f>
        <v>Datalake</v>
      </c>
      <c r="G4" s="29" t="str">
        <f t="shared" si="1"/>
        <v>GA (Google Analytics)</v>
      </c>
      <c r="H4" s="18"/>
      <c r="I4" s="29" t="str">
        <f>F4</f>
        <v>Datalake</v>
      </c>
      <c r="J4" s="29" t="s">
        <v>52</v>
      </c>
      <c r="K4" s="18"/>
      <c r="L4" s="29" t="str">
        <f t="shared" ref="L4:M4" si="2">I4</f>
        <v>Datalake</v>
      </c>
      <c r="M4" s="29" t="str">
        <f t="shared" si="2"/>
        <v>CM (Campaing Manager)</v>
      </c>
      <c r="N4" s="34"/>
      <c r="O4" s="28"/>
      <c r="P4" s="28"/>
      <c r="Q4" s="24"/>
    </row>
    <row r="5">
      <c r="A5" s="24"/>
      <c r="B5" s="35">
        <v>44252.0</v>
      </c>
      <c r="C5" s="29">
        <v>691305.0</v>
      </c>
      <c r="D5" s="29">
        <v>691304.82</v>
      </c>
      <c r="E5" s="36">
        <f t="shared" ref="E5:E11" si="3">B5</f>
        <v>44252</v>
      </c>
      <c r="F5" s="37">
        <v>75192.0</v>
      </c>
      <c r="G5" s="37">
        <v>75211.0</v>
      </c>
      <c r="H5" s="36">
        <f t="shared" ref="H5:H11" si="4">E5</f>
        <v>44252</v>
      </c>
      <c r="I5" s="29">
        <v>171932.0</v>
      </c>
      <c r="J5" s="29">
        <v>171932.0</v>
      </c>
      <c r="K5" s="36">
        <f t="shared" ref="K5:K11" si="5">H5</f>
        <v>44252</v>
      </c>
      <c r="L5" s="37">
        <v>26276.0</v>
      </c>
      <c r="M5" s="37">
        <v>26277.0</v>
      </c>
      <c r="N5" s="34"/>
      <c r="O5" s="28"/>
      <c r="P5" s="28"/>
      <c r="Q5" s="24"/>
    </row>
    <row r="6">
      <c r="A6" s="24"/>
      <c r="B6" s="35">
        <f t="shared" ref="B6:B11" si="6">B5-1</f>
        <v>44251</v>
      </c>
      <c r="C6" s="29">
        <v>693139.0</v>
      </c>
      <c r="D6" s="29">
        <v>693138.82</v>
      </c>
      <c r="E6" s="36">
        <f t="shared" si="3"/>
        <v>44251</v>
      </c>
      <c r="F6" s="37">
        <v>69388.0</v>
      </c>
      <c r="G6" s="37">
        <v>69412.0</v>
      </c>
      <c r="H6" s="36">
        <f t="shared" si="4"/>
        <v>44251</v>
      </c>
      <c r="I6" s="29">
        <v>178237.0</v>
      </c>
      <c r="J6" s="29">
        <v>178237.0</v>
      </c>
      <c r="K6" s="36">
        <f t="shared" si="5"/>
        <v>44251</v>
      </c>
      <c r="L6" s="37">
        <v>21122.0</v>
      </c>
      <c r="M6" s="37">
        <v>21124.0</v>
      </c>
      <c r="N6" s="34"/>
      <c r="O6" s="28"/>
      <c r="P6" s="28"/>
      <c r="Q6" s="24"/>
    </row>
    <row r="7">
      <c r="A7" s="24"/>
      <c r="B7" s="35">
        <f t="shared" si="6"/>
        <v>44250</v>
      </c>
      <c r="C7" s="37">
        <v>742171.0</v>
      </c>
      <c r="D7" s="37">
        <v>742762.26</v>
      </c>
      <c r="E7" s="36">
        <f t="shared" si="3"/>
        <v>44250</v>
      </c>
      <c r="F7" s="37">
        <v>71372.0</v>
      </c>
      <c r="G7" s="37">
        <v>71862.0</v>
      </c>
      <c r="H7" s="36">
        <f t="shared" si="4"/>
        <v>44250</v>
      </c>
      <c r="I7" s="29">
        <v>178785.0</v>
      </c>
      <c r="J7" s="29">
        <v>178785.0</v>
      </c>
      <c r="K7" s="36">
        <f t="shared" si="5"/>
        <v>44250</v>
      </c>
      <c r="L7" s="37">
        <v>12940.0</v>
      </c>
      <c r="M7" s="37">
        <v>12941.0</v>
      </c>
      <c r="N7" s="34"/>
      <c r="O7" s="28"/>
      <c r="P7" s="28"/>
      <c r="Q7" s="24"/>
    </row>
    <row r="8">
      <c r="A8" s="24"/>
      <c r="B8" s="35">
        <f t="shared" si="6"/>
        <v>44249</v>
      </c>
      <c r="C8" s="29">
        <v>817999.0</v>
      </c>
      <c r="D8" s="29">
        <v>817998.94</v>
      </c>
      <c r="E8" s="36">
        <f t="shared" si="3"/>
        <v>44249</v>
      </c>
      <c r="F8" s="37">
        <v>72925.0</v>
      </c>
      <c r="G8" s="37">
        <v>72928.0</v>
      </c>
      <c r="H8" s="36">
        <f t="shared" si="4"/>
        <v>44249</v>
      </c>
      <c r="I8" s="29">
        <v>311931.0</v>
      </c>
      <c r="J8" s="29">
        <v>311931.0</v>
      </c>
      <c r="K8" s="36">
        <f t="shared" si="5"/>
        <v>44249</v>
      </c>
      <c r="L8" s="37">
        <v>16146.0</v>
      </c>
      <c r="M8" s="37">
        <v>16148.0</v>
      </c>
      <c r="N8" s="34"/>
      <c r="O8" s="28"/>
      <c r="P8" s="28"/>
      <c r="Q8" s="24"/>
    </row>
    <row r="9">
      <c r="A9" s="24"/>
      <c r="B9" s="35">
        <f t="shared" si="6"/>
        <v>44248</v>
      </c>
      <c r="C9" s="29">
        <v>727843.0</v>
      </c>
      <c r="D9" s="29">
        <v>727842.62</v>
      </c>
      <c r="E9" s="36">
        <f t="shared" si="3"/>
        <v>44248</v>
      </c>
      <c r="F9" s="37">
        <v>50338.0</v>
      </c>
      <c r="G9" s="37">
        <v>50351.0</v>
      </c>
      <c r="H9" s="36">
        <f t="shared" si="4"/>
        <v>44248</v>
      </c>
      <c r="I9" s="29">
        <v>180700.0</v>
      </c>
      <c r="J9" s="29">
        <v>180700.0</v>
      </c>
      <c r="K9" s="36">
        <f t="shared" si="5"/>
        <v>44248</v>
      </c>
      <c r="L9" s="37">
        <v>12070.0</v>
      </c>
      <c r="M9" s="37">
        <v>12072.0</v>
      </c>
      <c r="N9" s="34"/>
      <c r="O9" s="28"/>
      <c r="P9" s="28"/>
      <c r="Q9" s="24"/>
    </row>
    <row r="10">
      <c r="A10" s="24"/>
      <c r="B10" s="35">
        <f t="shared" si="6"/>
        <v>44247</v>
      </c>
      <c r="C10" s="29">
        <v>729766.0</v>
      </c>
      <c r="D10" s="29">
        <v>729765.97</v>
      </c>
      <c r="E10" s="36">
        <f t="shared" si="3"/>
        <v>44247</v>
      </c>
      <c r="F10" s="37">
        <v>49542.0</v>
      </c>
      <c r="G10" s="37">
        <v>49550.0</v>
      </c>
      <c r="H10" s="36">
        <f t="shared" si="4"/>
        <v>44247</v>
      </c>
      <c r="I10" s="29">
        <v>222233.0</v>
      </c>
      <c r="J10" s="29">
        <v>222233.0</v>
      </c>
      <c r="K10" s="36">
        <f t="shared" si="5"/>
        <v>44247</v>
      </c>
      <c r="L10" s="29">
        <v>11646.0</v>
      </c>
      <c r="M10" s="29">
        <v>11646.0</v>
      </c>
      <c r="N10" s="34"/>
      <c r="O10" s="28"/>
      <c r="P10" s="28"/>
      <c r="Q10" s="24"/>
    </row>
    <row r="11">
      <c r="A11" s="24"/>
      <c r="B11" s="35">
        <f t="shared" si="6"/>
        <v>44246</v>
      </c>
      <c r="C11" s="29">
        <v>747433.0</v>
      </c>
      <c r="D11" s="29">
        <v>747433.34</v>
      </c>
      <c r="E11" s="36">
        <f t="shared" si="3"/>
        <v>44246</v>
      </c>
      <c r="F11" s="37">
        <v>51665.0</v>
      </c>
      <c r="G11" s="37">
        <v>51667.0</v>
      </c>
      <c r="H11" s="36">
        <f t="shared" si="4"/>
        <v>44246</v>
      </c>
      <c r="I11" s="29">
        <v>326153.0</v>
      </c>
      <c r="J11" s="29">
        <v>326153.0</v>
      </c>
      <c r="K11" s="36">
        <f t="shared" si="5"/>
        <v>44246</v>
      </c>
      <c r="L11" s="37">
        <v>10451.0</v>
      </c>
      <c r="M11" s="37">
        <v>10453.0</v>
      </c>
      <c r="N11" s="34"/>
      <c r="O11" s="28"/>
      <c r="P11" s="28"/>
      <c r="Q11" s="24"/>
    </row>
    <row r="12">
      <c r="A12" s="24"/>
      <c r="B12" s="38"/>
      <c r="C12" s="24"/>
      <c r="D12" s="24"/>
      <c r="E12" s="38"/>
      <c r="F12" s="24"/>
      <c r="G12" s="24"/>
      <c r="H12" s="38"/>
      <c r="I12" s="24"/>
      <c r="J12" s="24"/>
      <c r="K12" s="38"/>
      <c r="L12" s="24"/>
      <c r="M12" s="24"/>
      <c r="N12" s="38"/>
      <c r="O12" s="24"/>
      <c r="P12" s="24"/>
      <c r="Q12" s="24"/>
    </row>
    <row r="13">
      <c r="A13" s="24"/>
      <c r="B13" s="32"/>
      <c r="C13" s="26" t="s">
        <v>32</v>
      </c>
      <c r="D13" s="5"/>
      <c r="E13" s="32"/>
      <c r="F13" s="26" t="s">
        <v>23</v>
      </c>
      <c r="G13" s="5"/>
      <c r="H13" s="32"/>
      <c r="I13" s="26" t="s">
        <v>26</v>
      </c>
      <c r="J13" s="5"/>
      <c r="K13" s="32"/>
      <c r="L13" s="26" t="s">
        <v>29</v>
      </c>
      <c r="M13" s="5"/>
      <c r="N13" s="32"/>
      <c r="O13" s="26" t="s">
        <v>32</v>
      </c>
      <c r="P13" s="5"/>
      <c r="Q13" s="24"/>
    </row>
    <row r="14">
      <c r="A14" s="24"/>
      <c r="B14" s="18"/>
      <c r="C14" s="29" t="s">
        <v>50</v>
      </c>
      <c r="D14" s="29" t="s">
        <v>46</v>
      </c>
      <c r="E14" s="18"/>
      <c r="F14" s="29" t="s">
        <v>50</v>
      </c>
      <c r="G14" s="29" t="s">
        <v>46</v>
      </c>
      <c r="H14" s="18"/>
      <c r="I14" s="29" t="s">
        <v>50</v>
      </c>
      <c r="J14" s="29" t="s">
        <v>60</v>
      </c>
      <c r="K14" s="18"/>
      <c r="L14" s="29" t="s">
        <v>50</v>
      </c>
      <c r="M14" s="29" t="s">
        <v>60</v>
      </c>
      <c r="N14" s="18"/>
      <c r="O14" s="29" t="s">
        <v>50</v>
      </c>
      <c r="P14" s="29" t="s">
        <v>60</v>
      </c>
      <c r="Q14" s="24"/>
    </row>
    <row r="15">
      <c r="A15" s="24"/>
      <c r="B15" s="36">
        <f t="shared" ref="B15:B21" si="7">B5</f>
        <v>44252</v>
      </c>
      <c r="C15" s="29" t="s">
        <v>62</v>
      </c>
      <c r="D15" s="30"/>
      <c r="E15" s="36">
        <f t="shared" ref="E15:E21" si="8">B15</f>
        <v>44252</v>
      </c>
      <c r="F15" s="29" t="s">
        <v>62</v>
      </c>
      <c r="G15" s="30"/>
      <c r="H15" s="36">
        <f t="shared" ref="H15:H21" si="9">E15</f>
        <v>44252</v>
      </c>
      <c r="I15" s="37">
        <v>889867.0</v>
      </c>
      <c r="J15" s="37">
        <v>890986.0</v>
      </c>
      <c r="K15" s="36">
        <f t="shared" ref="K15:K21" si="10">H15</f>
        <v>44252</v>
      </c>
      <c r="L15" s="37" t="s">
        <v>62</v>
      </c>
      <c r="M15" s="37">
        <v>12.0</v>
      </c>
      <c r="N15" s="36">
        <f t="shared" ref="N15:N21" si="11">K15</f>
        <v>44252</v>
      </c>
      <c r="O15" s="37">
        <v>9633.0</v>
      </c>
      <c r="P15" s="37">
        <v>9647.43</v>
      </c>
      <c r="Q15" s="24"/>
    </row>
    <row r="16">
      <c r="A16" s="24"/>
      <c r="B16" s="36">
        <f t="shared" si="7"/>
        <v>44251</v>
      </c>
      <c r="C16" s="29" t="s">
        <v>62</v>
      </c>
      <c r="D16" s="30"/>
      <c r="E16" s="36">
        <f t="shared" si="8"/>
        <v>44251</v>
      </c>
      <c r="F16" s="29" t="s">
        <v>62</v>
      </c>
      <c r="G16" s="30"/>
      <c r="H16" s="36">
        <f t="shared" si="9"/>
        <v>44251</v>
      </c>
      <c r="I16" s="37">
        <v>485048.0</v>
      </c>
      <c r="J16" s="37">
        <v>489822.0</v>
      </c>
      <c r="K16" s="36">
        <f t="shared" si="10"/>
        <v>44251</v>
      </c>
      <c r="L16" s="37" t="s">
        <v>62</v>
      </c>
      <c r="M16" s="37">
        <v>12.0</v>
      </c>
      <c r="N16" s="36">
        <f t="shared" si="11"/>
        <v>44251</v>
      </c>
      <c r="O16" s="37">
        <v>4096.0</v>
      </c>
      <c r="P16" s="37">
        <v>4108.97</v>
      </c>
      <c r="Q16" s="24"/>
    </row>
    <row r="17">
      <c r="A17" s="24"/>
      <c r="B17" s="36">
        <f t="shared" si="7"/>
        <v>44250</v>
      </c>
      <c r="C17" s="29">
        <v>482.0</v>
      </c>
      <c r="D17" s="30"/>
      <c r="E17" s="36">
        <f t="shared" si="8"/>
        <v>44250</v>
      </c>
      <c r="F17" s="29" t="s">
        <v>62</v>
      </c>
      <c r="G17" s="30"/>
      <c r="H17" s="36">
        <f t="shared" si="9"/>
        <v>44250</v>
      </c>
      <c r="I17" s="37">
        <v>345069.0</v>
      </c>
      <c r="J17" s="37">
        <v>345604.0</v>
      </c>
      <c r="K17" s="36">
        <f t="shared" si="10"/>
        <v>44250</v>
      </c>
      <c r="L17" s="37" t="s">
        <v>62</v>
      </c>
      <c r="M17" s="37">
        <v>12.0</v>
      </c>
      <c r="N17" s="36">
        <f t="shared" si="11"/>
        <v>44250</v>
      </c>
      <c r="O17" s="37">
        <v>3247.0</v>
      </c>
      <c r="P17" s="37">
        <v>3252.45</v>
      </c>
      <c r="Q17" s="24"/>
    </row>
    <row r="18">
      <c r="A18" s="24"/>
      <c r="B18" s="36">
        <f t="shared" si="7"/>
        <v>44249</v>
      </c>
      <c r="C18" s="29">
        <v>99.0</v>
      </c>
      <c r="D18" s="30"/>
      <c r="E18" s="36">
        <f t="shared" si="8"/>
        <v>44249</v>
      </c>
      <c r="F18" s="29" t="s">
        <v>62</v>
      </c>
      <c r="G18" s="30"/>
      <c r="H18" s="36">
        <f t="shared" si="9"/>
        <v>44249</v>
      </c>
      <c r="I18" s="37">
        <v>56868.0</v>
      </c>
      <c r="J18" s="37">
        <v>548505.0</v>
      </c>
      <c r="K18" s="36">
        <f t="shared" si="10"/>
        <v>44249</v>
      </c>
      <c r="L18" s="37" t="s">
        <v>62</v>
      </c>
      <c r="M18" s="37">
        <v>12.0</v>
      </c>
      <c r="N18" s="36">
        <f t="shared" si="11"/>
        <v>44249</v>
      </c>
      <c r="O18" s="37">
        <v>353.99</v>
      </c>
      <c r="P18" s="37">
        <v>4233.13</v>
      </c>
      <c r="Q18" s="24"/>
    </row>
    <row r="19">
      <c r="A19" s="24"/>
      <c r="B19" s="36">
        <f t="shared" si="7"/>
        <v>44248</v>
      </c>
      <c r="C19" s="29" t="s">
        <v>62</v>
      </c>
      <c r="D19" s="30"/>
      <c r="E19" s="36">
        <f t="shared" si="8"/>
        <v>44248</v>
      </c>
      <c r="F19" s="29" t="s">
        <v>62</v>
      </c>
      <c r="G19" s="30"/>
      <c r="H19" s="36">
        <f t="shared" si="9"/>
        <v>44248</v>
      </c>
      <c r="I19" s="37">
        <v>396694.0</v>
      </c>
      <c r="J19" s="37">
        <v>224895.0</v>
      </c>
      <c r="K19" s="36">
        <f t="shared" si="10"/>
        <v>44248</v>
      </c>
      <c r="L19" s="37" t="s">
        <v>62</v>
      </c>
      <c r="M19" s="37">
        <v>12.0</v>
      </c>
      <c r="N19" s="36">
        <f t="shared" si="11"/>
        <v>44248</v>
      </c>
      <c r="O19" s="37">
        <v>3429.9</v>
      </c>
      <c r="P19" s="37">
        <v>1339.05</v>
      </c>
      <c r="Q19" s="24"/>
    </row>
    <row r="20">
      <c r="A20" s="24"/>
      <c r="B20" s="36">
        <f t="shared" si="7"/>
        <v>44247</v>
      </c>
      <c r="C20" s="29" t="s">
        <v>62</v>
      </c>
      <c r="D20" s="30"/>
      <c r="E20" s="36">
        <f t="shared" si="8"/>
        <v>44247</v>
      </c>
      <c r="F20" s="29" t="s">
        <v>62</v>
      </c>
      <c r="G20" s="30"/>
      <c r="H20" s="36">
        <f t="shared" si="9"/>
        <v>44247</v>
      </c>
      <c r="I20" s="37">
        <v>684047.0</v>
      </c>
      <c r="J20" s="37">
        <v>179364.0</v>
      </c>
      <c r="K20" s="36">
        <f t="shared" si="10"/>
        <v>44247</v>
      </c>
      <c r="L20" s="37" t="s">
        <v>62</v>
      </c>
      <c r="M20" s="37">
        <v>12.0</v>
      </c>
      <c r="N20" s="36">
        <f t="shared" si="11"/>
        <v>44247</v>
      </c>
      <c r="O20" s="37">
        <v>6878.13</v>
      </c>
      <c r="P20" s="37">
        <v>1285.16</v>
      </c>
      <c r="Q20" s="24"/>
    </row>
    <row r="21">
      <c r="A21" s="24"/>
      <c r="B21" s="36">
        <f t="shared" si="7"/>
        <v>44246</v>
      </c>
      <c r="C21" s="29" t="s">
        <v>62</v>
      </c>
      <c r="D21" s="30"/>
      <c r="E21" s="36">
        <f t="shared" si="8"/>
        <v>44246</v>
      </c>
      <c r="F21" s="29" t="s">
        <v>62</v>
      </c>
      <c r="G21" s="30"/>
      <c r="H21" s="36">
        <f t="shared" si="9"/>
        <v>44246</v>
      </c>
      <c r="I21" s="29">
        <v>43796.0</v>
      </c>
      <c r="J21" s="29">
        <v>43796.0</v>
      </c>
      <c r="K21" s="36">
        <f t="shared" si="10"/>
        <v>44246</v>
      </c>
      <c r="L21" s="37" t="s">
        <v>62</v>
      </c>
      <c r="M21" s="37">
        <v>12.0</v>
      </c>
      <c r="N21" s="36">
        <f t="shared" si="11"/>
        <v>44246</v>
      </c>
      <c r="O21" s="29">
        <v>359.96</v>
      </c>
      <c r="P21" s="29">
        <v>359.96</v>
      </c>
      <c r="Q21" s="24"/>
    </row>
    <row r="22">
      <c r="A22" s="24"/>
      <c r="B22" s="38"/>
      <c r="C22" s="24"/>
      <c r="D22" s="24"/>
      <c r="E22" s="38"/>
      <c r="F22" s="24"/>
      <c r="G22" s="24"/>
      <c r="H22" s="38"/>
      <c r="I22" s="24"/>
      <c r="J22" s="24"/>
      <c r="K22" s="38"/>
      <c r="L22" s="24"/>
      <c r="M22" s="24"/>
      <c r="N22" s="38"/>
      <c r="O22" s="24"/>
      <c r="P22" s="24"/>
      <c r="Q22" s="24"/>
    </row>
    <row r="23">
      <c r="A23" s="24"/>
      <c r="B23" s="32"/>
      <c r="C23" s="26" t="s">
        <v>26</v>
      </c>
      <c r="D23" s="5"/>
      <c r="E23" s="32"/>
      <c r="F23" s="26" t="s">
        <v>29</v>
      </c>
      <c r="G23" s="5"/>
      <c r="H23" s="32"/>
      <c r="I23" s="26" t="s">
        <v>32</v>
      </c>
      <c r="J23" s="5"/>
      <c r="K23" s="36"/>
      <c r="L23" s="26" t="s">
        <v>32</v>
      </c>
      <c r="M23" s="5"/>
      <c r="N23" s="32"/>
      <c r="O23" s="26" t="s">
        <v>32</v>
      </c>
      <c r="P23" s="5"/>
      <c r="Q23" s="24"/>
    </row>
    <row r="24">
      <c r="A24" s="24"/>
      <c r="B24" s="18"/>
      <c r="C24" s="29" t="s">
        <v>50</v>
      </c>
      <c r="D24" s="29" t="s">
        <v>36</v>
      </c>
      <c r="E24" s="18"/>
      <c r="F24" s="29" t="s">
        <v>50</v>
      </c>
      <c r="G24" s="29" t="s">
        <v>36</v>
      </c>
      <c r="H24" s="18"/>
      <c r="I24" s="29" t="s">
        <v>50</v>
      </c>
      <c r="J24" s="29" t="s">
        <v>36</v>
      </c>
      <c r="K24" s="36"/>
      <c r="L24" s="30" t="str">
        <f>L4</f>
        <v>Datalake</v>
      </c>
      <c r="M24" s="29" t="s">
        <v>38</v>
      </c>
      <c r="N24" s="18"/>
      <c r="O24" s="30" t="str">
        <f>I24</f>
        <v>Datalake</v>
      </c>
      <c r="P24" s="29" t="s">
        <v>61</v>
      </c>
      <c r="Q24" s="24"/>
    </row>
    <row r="25">
      <c r="A25" s="24"/>
      <c r="B25" s="36">
        <f t="shared" ref="B25:B31" si="12">B15</f>
        <v>44252</v>
      </c>
      <c r="C25" s="29">
        <v>18261.0</v>
      </c>
      <c r="D25" s="29">
        <v>18261.0</v>
      </c>
      <c r="E25" s="36">
        <f t="shared" ref="E25:E31" si="13">B25</f>
        <v>44252</v>
      </c>
      <c r="F25" s="29">
        <v>2261.0</v>
      </c>
      <c r="G25" s="29">
        <v>2261.0</v>
      </c>
      <c r="H25" s="36">
        <f t="shared" ref="H25:H31" si="14">E25</f>
        <v>44252</v>
      </c>
      <c r="I25" s="29">
        <v>2420.7</v>
      </c>
      <c r="J25" s="29">
        <v>2420.7</v>
      </c>
      <c r="K25" s="36">
        <f t="shared" ref="K25:K31" si="15">K5</f>
        <v>44252</v>
      </c>
      <c r="L25" s="29">
        <v>446.0</v>
      </c>
      <c r="M25" s="30"/>
      <c r="N25" s="36">
        <f t="shared" ref="N25:N31" si="16">H25</f>
        <v>44252</v>
      </c>
      <c r="O25" s="29">
        <v>390.0</v>
      </c>
      <c r="P25" s="29">
        <v>390.0</v>
      </c>
      <c r="Q25" s="24"/>
    </row>
    <row r="26">
      <c r="A26" s="24"/>
      <c r="B26" s="36">
        <f t="shared" si="12"/>
        <v>44251</v>
      </c>
      <c r="C26" s="29">
        <v>19996.0</v>
      </c>
      <c r="D26" s="29">
        <v>19996.0</v>
      </c>
      <c r="E26" s="36">
        <f t="shared" si="13"/>
        <v>44251</v>
      </c>
      <c r="F26" s="29">
        <v>2767.0</v>
      </c>
      <c r="G26" s="29">
        <v>2767.0</v>
      </c>
      <c r="H26" s="36">
        <f t="shared" si="14"/>
        <v>44251</v>
      </c>
      <c r="I26" s="29">
        <v>3054.67</v>
      </c>
      <c r="J26" s="29">
        <v>3054.67</v>
      </c>
      <c r="K26" s="36">
        <f t="shared" si="15"/>
        <v>44251</v>
      </c>
      <c r="L26" s="29">
        <v>446.0</v>
      </c>
      <c r="M26" s="30"/>
      <c r="N26" s="36">
        <f t="shared" si="16"/>
        <v>44251</v>
      </c>
      <c r="O26" s="29">
        <v>453.0</v>
      </c>
      <c r="P26" s="29">
        <v>453.0</v>
      </c>
      <c r="Q26" s="24"/>
    </row>
    <row r="27">
      <c r="A27" s="24"/>
      <c r="B27" s="36">
        <f t="shared" si="12"/>
        <v>44250</v>
      </c>
      <c r="C27" s="29">
        <v>21123.0</v>
      </c>
      <c r="D27" s="29">
        <v>21123.0</v>
      </c>
      <c r="E27" s="36">
        <f t="shared" si="13"/>
        <v>44250</v>
      </c>
      <c r="F27" s="29">
        <v>2764.0</v>
      </c>
      <c r="G27" s="29">
        <v>2764.0</v>
      </c>
      <c r="H27" s="36">
        <f t="shared" si="14"/>
        <v>44250</v>
      </c>
      <c r="I27" s="29">
        <v>2773.87</v>
      </c>
      <c r="J27" s="29">
        <v>2773.87</v>
      </c>
      <c r="K27" s="36">
        <f t="shared" si="15"/>
        <v>44250</v>
      </c>
      <c r="L27" s="29">
        <v>325.0</v>
      </c>
      <c r="M27" s="30"/>
      <c r="N27" s="36">
        <f t="shared" si="16"/>
        <v>44250</v>
      </c>
      <c r="O27" s="29">
        <v>192.0</v>
      </c>
      <c r="P27" s="29">
        <v>192.0</v>
      </c>
      <c r="Q27" s="24"/>
    </row>
    <row r="28">
      <c r="A28" s="24"/>
      <c r="B28" s="36">
        <f t="shared" si="12"/>
        <v>44249</v>
      </c>
      <c r="C28" s="29">
        <v>24433.0</v>
      </c>
      <c r="D28" s="29">
        <v>24433.0</v>
      </c>
      <c r="E28" s="36">
        <f t="shared" si="13"/>
        <v>44249</v>
      </c>
      <c r="F28" s="29">
        <v>3557.0</v>
      </c>
      <c r="G28" s="29">
        <v>3557.0</v>
      </c>
      <c r="H28" s="36">
        <f t="shared" si="14"/>
        <v>44249</v>
      </c>
      <c r="I28" s="29">
        <v>3561.06</v>
      </c>
      <c r="J28" s="29">
        <v>3561.06</v>
      </c>
      <c r="K28" s="36">
        <f t="shared" si="15"/>
        <v>44249</v>
      </c>
      <c r="L28" s="29">
        <v>523.897001</v>
      </c>
      <c r="M28" s="30"/>
      <c r="N28" s="36">
        <f t="shared" si="16"/>
        <v>44249</v>
      </c>
      <c r="O28" s="29">
        <v>342.14</v>
      </c>
      <c r="P28" s="29">
        <v>342.16</v>
      </c>
      <c r="Q28" s="24"/>
    </row>
    <row r="29">
      <c r="A29" s="24"/>
      <c r="B29" s="36">
        <f t="shared" si="12"/>
        <v>44248</v>
      </c>
      <c r="C29" s="29">
        <v>15879.0</v>
      </c>
      <c r="D29" s="29">
        <v>15879.0</v>
      </c>
      <c r="E29" s="36">
        <f t="shared" si="13"/>
        <v>44248</v>
      </c>
      <c r="F29" s="29">
        <v>2282.0</v>
      </c>
      <c r="G29" s="29">
        <v>2282.0</v>
      </c>
      <c r="H29" s="36">
        <f t="shared" si="14"/>
        <v>44248</v>
      </c>
      <c r="I29" s="29">
        <v>2677.49</v>
      </c>
      <c r="J29" s="29">
        <v>2677.49</v>
      </c>
      <c r="K29" s="36">
        <f t="shared" si="15"/>
        <v>44248</v>
      </c>
      <c r="L29" s="29">
        <v>635.427463</v>
      </c>
      <c r="M29" s="30"/>
      <c r="N29" s="36">
        <f t="shared" si="16"/>
        <v>44248</v>
      </c>
      <c r="O29" s="29">
        <v>282.14</v>
      </c>
      <c r="P29" s="29">
        <v>282.16</v>
      </c>
      <c r="Q29" s="24"/>
    </row>
    <row r="30">
      <c r="A30" s="24"/>
      <c r="B30" s="36">
        <f t="shared" si="12"/>
        <v>44247</v>
      </c>
      <c r="C30" s="29">
        <v>10117.0</v>
      </c>
      <c r="D30" s="29">
        <v>10117.0</v>
      </c>
      <c r="E30" s="36">
        <f t="shared" si="13"/>
        <v>44247</v>
      </c>
      <c r="F30" s="29">
        <v>1818.0</v>
      </c>
      <c r="G30" s="29">
        <v>1818.0</v>
      </c>
      <c r="H30" s="36">
        <f t="shared" si="14"/>
        <v>44247</v>
      </c>
      <c r="I30" s="29">
        <v>2128.09</v>
      </c>
      <c r="J30" s="29">
        <v>2128.09</v>
      </c>
      <c r="K30" s="36">
        <f t="shared" si="15"/>
        <v>44247</v>
      </c>
      <c r="L30" s="29">
        <v>746.829537</v>
      </c>
      <c r="M30" s="30"/>
      <c r="N30" s="36">
        <f t="shared" si="16"/>
        <v>44247</v>
      </c>
      <c r="O30" s="29">
        <v>440.2</v>
      </c>
      <c r="P30" s="29">
        <v>440.21</v>
      </c>
      <c r="Q30" s="24"/>
    </row>
    <row r="31">
      <c r="A31" s="24"/>
      <c r="B31" s="36">
        <f t="shared" si="12"/>
        <v>44246</v>
      </c>
      <c r="C31" s="29">
        <v>14556.0</v>
      </c>
      <c r="D31" s="29">
        <v>14556.0</v>
      </c>
      <c r="E31" s="36">
        <f t="shared" si="13"/>
        <v>44246</v>
      </c>
      <c r="F31" s="29">
        <v>2386.0</v>
      </c>
      <c r="G31" s="29">
        <v>2386.0</v>
      </c>
      <c r="H31" s="36">
        <f t="shared" si="14"/>
        <v>44246</v>
      </c>
      <c r="I31" s="29">
        <v>2349.33</v>
      </c>
      <c r="J31" s="29">
        <v>2349.33</v>
      </c>
      <c r="K31" s="36">
        <f t="shared" si="15"/>
        <v>44246</v>
      </c>
      <c r="L31" s="29">
        <v>797.879467</v>
      </c>
      <c r="M31" s="30"/>
      <c r="N31" s="36">
        <f t="shared" si="16"/>
        <v>44246</v>
      </c>
      <c r="O31" s="29">
        <v>223.82</v>
      </c>
      <c r="P31" s="29">
        <v>223.83</v>
      </c>
      <c r="Q31" s="24"/>
    </row>
    <row r="32">
      <c r="A32" s="24"/>
      <c r="B32" s="38"/>
      <c r="C32" s="24"/>
      <c r="D32" s="24"/>
      <c r="E32" s="38"/>
      <c r="F32" s="24"/>
      <c r="G32" s="24"/>
      <c r="H32" s="38"/>
      <c r="I32" s="24"/>
      <c r="J32" s="24"/>
      <c r="K32" s="38"/>
      <c r="L32" s="24"/>
      <c r="M32" s="24"/>
      <c r="N32" s="38"/>
      <c r="O32" s="24"/>
      <c r="P32" s="24"/>
      <c r="Q32" s="24"/>
    </row>
    <row r="33">
      <c r="A33" s="24"/>
      <c r="B33" s="32"/>
      <c r="C33" s="26" t="s">
        <v>32</v>
      </c>
      <c r="D33" s="5"/>
      <c r="E33" s="32"/>
      <c r="F33" s="26" t="s">
        <v>32</v>
      </c>
      <c r="G33" s="5"/>
      <c r="H33" s="32"/>
      <c r="I33" s="26" t="s">
        <v>26</v>
      </c>
      <c r="J33" s="5"/>
      <c r="K33" s="32"/>
      <c r="L33" s="26" t="s">
        <v>29</v>
      </c>
      <c r="M33" s="5"/>
      <c r="N33" s="32"/>
      <c r="O33" s="26" t="s">
        <v>32</v>
      </c>
      <c r="P33" s="5"/>
      <c r="Q33" s="24"/>
    </row>
    <row r="34">
      <c r="A34" s="24"/>
      <c r="B34" s="18"/>
      <c r="C34" s="30" t="str">
        <f>C14</f>
        <v>Datalake</v>
      </c>
      <c r="D34" s="29" t="s">
        <v>42</v>
      </c>
      <c r="E34" s="18"/>
      <c r="F34" s="30" t="str">
        <f>C34</f>
        <v>Datalake</v>
      </c>
      <c r="G34" s="29" t="s">
        <v>44</v>
      </c>
      <c r="H34" s="18"/>
      <c r="I34" s="29" t="s">
        <v>50</v>
      </c>
      <c r="J34" s="29" t="s">
        <v>31</v>
      </c>
      <c r="K34" s="18"/>
      <c r="L34" s="29" t="s">
        <v>50</v>
      </c>
      <c r="M34" s="29" t="s">
        <v>31</v>
      </c>
      <c r="N34" s="18"/>
      <c r="O34" s="29" t="s">
        <v>50</v>
      </c>
      <c r="P34" s="29" t="s">
        <v>31</v>
      </c>
      <c r="Q34" s="24"/>
    </row>
    <row r="35">
      <c r="A35" s="24"/>
      <c r="B35" s="36">
        <f t="shared" ref="B35:B41" si="17">B25</f>
        <v>44252</v>
      </c>
      <c r="C35" s="29" t="s">
        <v>62</v>
      </c>
      <c r="D35" s="29" t="s">
        <v>62</v>
      </c>
      <c r="E35" s="36">
        <f t="shared" ref="E35:E41" si="18">B35</f>
        <v>44252</v>
      </c>
      <c r="F35" s="29" t="s">
        <v>62</v>
      </c>
      <c r="G35" s="29" t="s">
        <v>62</v>
      </c>
      <c r="H35" s="36">
        <f t="shared" ref="H35:H41" si="19">E35</f>
        <v>44252</v>
      </c>
      <c r="I35" s="37">
        <v>782777.0</v>
      </c>
      <c r="J35" s="37">
        <v>782975.0</v>
      </c>
      <c r="K35" s="36">
        <f t="shared" ref="K35:K41" si="20">H35</f>
        <v>44252</v>
      </c>
      <c r="L35" s="37">
        <v>57003.0</v>
      </c>
      <c r="M35" s="37">
        <v>57031.0</v>
      </c>
      <c r="N35" s="36">
        <f t="shared" ref="N35:N41" si="21">K35</f>
        <v>44252</v>
      </c>
      <c r="O35" s="37">
        <v>36629.0</v>
      </c>
      <c r="P35" s="37">
        <v>36634.1</v>
      </c>
      <c r="Q35" s="24"/>
    </row>
    <row r="36">
      <c r="A36" s="24"/>
      <c r="B36" s="36">
        <f t="shared" si="17"/>
        <v>44251</v>
      </c>
      <c r="C36" s="29" t="s">
        <v>62</v>
      </c>
      <c r="D36" s="29" t="s">
        <v>62</v>
      </c>
      <c r="E36" s="36">
        <f t="shared" si="18"/>
        <v>44251</v>
      </c>
      <c r="F36" s="29" t="s">
        <v>62</v>
      </c>
      <c r="G36" s="29" t="s">
        <v>62</v>
      </c>
      <c r="H36" s="36">
        <f t="shared" si="19"/>
        <v>44251</v>
      </c>
      <c r="I36" s="37">
        <v>686507.0</v>
      </c>
      <c r="J36" s="37">
        <v>686548.0</v>
      </c>
      <c r="K36" s="36">
        <f t="shared" si="20"/>
        <v>44251</v>
      </c>
      <c r="L36" s="37">
        <v>59254.0</v>
      </c>
      <c r="M36" s="37">
        <v>59382.0</v>
      </c>
      <c r="N36" s="36">
        <f t="shared" si="21"/>
        <v>44251</v>
      </c>
      <c r="O36" s="37">
        <v>39061.0</v>
      </c>
      <c r="P36" s="37">
        <v>39095.95</v>
      </c>
      <c r="Q36" s="24"/>
    </row>
    <row r="37">
      <c r="A37" s="24"/>
      <c r="B37" s="36">
        <f t="shared" si="17"/>
        <v>44250</v>
      </c>
      <c r="C37" s="29" t="s">
        <v>62</v>
      </c>
      <c r="D37" s="29" t="s">
        <v>62</v>
      </c>
      <c r="E37" s="36">
        <f t="shared" si="18"/>
        <v>44250</v>
      </c>
      <c r="F37" s="29" t="s">
        <v>62</v>
      </c>
      <c r="G37" s="29" t="s">
        <v>62</v>
      </c>
      <c r="H37" s="36">
        <f t="shared" si="19"/>
        <v>44250</v>
      </c>
      <c r="I37" s="37">
        <v>771855.0</v>
      </c>
      <c r="J37" s="37">
        <v>771994.0</v>
      </c>
      <c r="K37" s="36">
        <f t="shared" si="20"/>
        <v>44250</v>
      </c>
      <c r="L37" s="37">
        <v>61947.0</v>
      </c>
      <c r="M37" s="37">
        <v>61996.0</v>
      </c>
      <c r="N37" s="36">
        <f t="shared" si="21"/>
        <v>44250</v>
      </c>
      <c r="O37" s="37">
        <v>45285.35761</v>
      </c>
      <c r="P37" s="37">
        <v>45294.49</v>
      </c>
      <c r="Q37" s="24"/>
    </row>
    <row r="38">
      <c r="A38" s="24"/>
      <c r="B38" s="36">
        <f t="shared" si="17"/>
        <v>44249</v>
      </c>
      <c r="C38" s="29" t="s">
        <v>62</v>
      </c>
      <c r="D38" s="29" t="s">
        <v>62</v>
      </c>
      <c r="E38" s="36">
        <f t="shared" si="18"/>
        <v>44249</v>
      </c>
      <c r="F38" s="29" t="s">
        <v>62</v>
      </c>
      <c r="G38" s="29" t="s">
        <v>62</v>
      </c>
      <c r="H38" s="36">
        <f t="shared" si="19"/>
        <v>44249</v>
      </c>
      <c r="I38" s="29">
        <v>522990.0</v>
      </c>
      <c r="J38" s="29">
        <v>522990.0</v>
      </c>
      <c r="K38" s="36">
        <f t="shared" si="20"/>
        <v>44249</v>
      </c>
      <c r="L38" s="29">
        <v>58173.0</v>
      </c>
      <c r="M38" s="29">
        <v>58173.0</v>
      </c>
      <c r="N38" s="36">
        <f t="shared" si="21"/>
        <v>44249</v>
      </c>
      <c r="O38" s="29">
        <v>43125.94189</v>
      </c>
      <c r="P38" s="29">
        <v>43125.94</v>
      </c>
      <c r="Q38" s="24"/>
    </row>
    <row r="39">
      <c r="A39" s="24"/>
      <c r="B39" s="36">
        <f t="shared" si="17"/>
        <v>44248</v>
      </c>
      <c r="C39" s="29" t="s">
        <v>62</v>
      </c>
      <c r="D39" s="29" t="s">
        <v>62</v>
      </c>
      <c r="E39" s="36">
        <f t="shared" si="18"/>
        <v>44248</v>
      </c>
      <c r="F39" s="29" t="s">
        <v>62</v>
      </c>
      <c r="G39" s="29" t="s">
        <v>62</v>
      </c>
      <c r="H39" s="36">
        <f t="shared" si="19"/>
        <v>44248</v>
      </c>
      <c r="I39" s="29">
        <v>268333.0</v>
      </c>
      <c r="J39" s="29">
        <v>268333.0</v>
      </c>
      <c r="K39" s="36">
        <f t="shared" si="20"/>
        <v>44248</v>
      </c>
      <c r="L39" s="29">
        <v>36452.0</v>
      </c>
      <c r="M39" s="29">
        <v>36452.0</v>
      </c>
      <c r="N39" s="36">
        <f t="shared" si="21"/>
        <v>44248</v>
      </c>
      <c r="O39" s="29">
        <v>22416.44209</v>
      </c>
      <c r="P39" s="29">
        <v>22416.44</v>
      </c>
      <c r="Q39" s="24"/>
    </row>
    <row r="40">
      <c r="A40" s="24"/>
      <c r="B40" s="36">
        <f t="shared" si="17"/>
        <v>44247</v>
      </c>
      <c r="C40" s="29" t="s">
        <v>62</v>
      </c>
      <c r="D40" s="29" t="s">
        <v>62</v>
      </c>
      <c r="E40" s="36">
        <f t="shared" si="18"/>
        <v>44247</v>
      </c>
      <c r="F40" s="29" t="s">
        <v>62</v>
      </c>
      <c r="G40" s="29" t="s">
        <v>62</v>
      </c>
      <c r="H40" s="36">
        <f t="shared" si="19"/>
        <v>44247</v>
      </c>
      <c r="I40" s="37">
        <v>251316.0</v>
      </c>
      <c r="J40" s="37">
        <v>251315.0</v>
      </c>
      <c r="K40" s="36">
        <f t="shared" si="20"/>
        <v>44247</v>
      </c>
      <c r="L40" s="29">
        <v>36380.0</v>
      </c>
      <c r="M40" s="29">
        <v>36380.0</v>
      </c>
      <c r="N40" s="36">
        <f t="shared" si="21"/>
        <v>44247</v>
      </c>
      <c r="O40" s="29">
        <v>25411.18346</v>
      </c>
      <c r="P40" s="29">
        <v>25411.18</v>
      </c>
      <c r="Q40" s="24"/>
    </row>
    <row r="41">
      <c r="A41" s="24"/>
      <c r="B41" s="36">
        <f t="shared" si="17"/>
        <v>44246</v>
      </c>
      <c r="C41" s="29" t="s">
        <v>62</v>
      </c>
      <c r="D41" s="29" t="s">
        <v>62</v>
      </c>
      <c r="E41" s="36">
        <f t="shared" si="18"/>
        <v>44246</v>
      </c>
      <c r="F41" s="29" t="s">
        <v>62</v>
      </c>
      <c r="G41" s="29" t="s">
        <v>62</v>
      </c>
      <c r="H41" s="36">
        <f t="shared" si="19"/>
        <v>44246</v>
      </c>
      <c r="I41" s="29">
        <v>438052.0</v>
      </c>
      <c r="J41" s="29">
        <v>438052.0</v>
      </c>
      <c r="K41" s="36">
        <f t="shared" si="20"/>
        <v>44246</v>
      </c>
      <c r="L41" s="29">
        <v>39631.0</v>
      </c>
      <c r="M41" s="29">
        <v>39631.0</v>
      </c>
      <c r="N41" s="36">
        <f t="shared" si="21"/>
        <v>44246</v>
      </c>
      <c r="O41" s="29">
        <v>29699.91617</v>
      </c>
      <c r="P41" s="29">
        <v>29699.92</v>
      </c>
      <c r="Q41" s="24"/>
    </row>
    <row r="42">
      <c r="A42" s="24"/>
      <c r="B42" s="38"/>
      <c r="C42" s="24"/>
      <c r="D42" s="24"/>
      <c r="E42" s="38"/>
      <c r="F42" s="24"/>
      <c r="G42" s="24"/>
      <c r="H42" s="38"/>
      <c r="I42" s="24"/>
      <c r="J42" s="24"/>
      <c r="K42" s="38"/>
      <c r="L42" s="24"/>
      <c r="M42" s="24"/>
      <c r="N42" s="38"/>
      <c r="O42" s="24"/>
      <c r="P42" s="24"/>
      <c r="Q42" s="24"/>
    </row>
  </sheetData>
  <mergeCells count="37">
    <mergeCell ref="C3:D3"/>
    <mergeCell ref="E3:E4"/>
    <mergeCell ref="F3:G3"/>
    <mergeCell ref="H3:H4"/>
    <mergeCell ref="I3:J3"/>
    <mergeCell ref="K3:K4"/>
    <mergeCell ref="L3:M3"/>
    <mergeCell ref="I13:J13"/>
    <mergeCell ref="L13:M13"/>
    <mergeCell ref="N13:N14"/>
    <mergeCell ref="O13:P13"/>
    <mergeCell ref="B3:B4"/>
    <mergeCell ref="B13:B14"/>
    <mergeCell ref="C13:D13"/>
    <mergeCell ref="E13:E14"/>
    <mergeCell ref="F13:G13"/>
    <mergeCell ref="H13:H14"/>
    <mergeCell ref="K13:K14"/>
    <mergeCell ref="L23:M23"/>
    <mergeCell ref="O23:P23"/>
    <mergeCell ref="B23:B24"/>
    <mergeCell ref="C23:D23"/>
    <mergeCell ref="E23:E24"/>
    <mergeCell ref="F23:G23"/>
    <mergeCell ref="H23:H24"/>
    <mergeCell ref="I23:J23"/>
    <mergeCell ref="N23:N24"/>
    <mergeCell ref="L33:M33"/>
    <mergeCell ref="N33:N34"/>
    <mergeCell ref="O33:P33"/>
    <mergeCell ref="B33:B34"/>
    <mergeCell ref="C33:D33"/>
    <mergeCell ref="E33:E34"/>
    <mergeCell ref="F33:G33"/>
    <mergeCell ref="H33:H34"/>
    <mergeCell ref="I33:J33"/>
    <mergeCell ref="K33:K3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75"/>
  <cols>
    <col customWidth="1" min="1" max="1" width="4.43"/>
    <col customWidth="1" min="2" max="2" width="5.86"/>
    <col customWidth="1" min="3" max="3" width="12.0"/>
    <col customWidth="1" min="4" max="4" width="20.0"/>
    <col customWidth="1" min="5" max="5" width="5.86"/>
    <col customWidth="1" min="6" max="6" width="12.0"/>
    <col customWidth="1" min="7" max="7" width="20.0"/>
    <col customWidth="1" min="8" max="8" width="5.86"/>
    <col customWidth="1" min="9" max="9" width="12.0"/>
    <col customWidth="1" min="10" max="10" width="22.57"/>
    <col customWidth="1" min="11" max="11" width="5.86"/>
    <col customWidth="1" min="12" max="12" width="12.0"/>
    <col customWidth="1" min="13" max="13" width="22.57"/>
    <col customWidth="1" min="14" max="14" width="5.86"/>
    <col customWidth="1" min="15" max="15" width="12.0"/>
    <col customWidth="1" min="16" max="16" width="11.0"/>
  </cols>
  <sheetData>
    <row r="1">
      <c r="A1" s="24"/>
      <c r="B1" s="38"/>
      <c r="C1" s="24"/>
      <c r="D1" s="24"/>
      <c r="E1" s="38"/>
      <c r="F1" s="24"/>
      <c r="G1" s="24"/>
      <c r="H1" s="38"/>
      <c r="I1" s="24"/>
      <c r="J1" s="24"/>
      <c r="K1" s="38"/>
      <c r="L1" s="24"/>
      <c r="M1" s="24"/>
      <c r="N1" s="38"/>
      <c r="O1" s="24"/>
      <c r="P1" s="24"/>
      <c r="Q1" s="24"/>
    </row>
    <row r="2">
      <c r="A2" s="24"/>
      <c r="B2" s="38"/>
      <c r="C2" s="39"/>
      <c r="D2" s="39"/>
      <c r="E2" s="40"/>
      <c r="F2" s="39"/>
      <c r="G2" s="39"/>
      <c r="H2" s="40"/>
      <c r="I2" s="39"/>
      <c r="J2" s="39"/>
      <c r="K2" s="40"/>
      <c r="L2" s="39"/>
      <c r="M2" s="39"/>
      <c r="N2" s="38"/>
      <c r="O2" s="24"/>
      <c r="P2" s="24"/>
      <c r="Q2" s="24"/>
    </row>
    <row r="3">
      <c r="A3" s="24"/>
      <c r="B3" s="32"/>
      <c r="C3" s="26" t="s">
        <v>21</v>
      </c>
      <c r="D3" s="5"/>
      <c r="E3" s="33"/>
      <c r="F3" s="26" t="s">
        <v>23</v>
      </c>
      <c r="G3" s="5"/>
      <c r="H3" s="33"/>
      <c r="I3" s="26" t="s">
        <v>26</v>
      </c>
      <c r="J3" s="5"/>
      <c r="K3" s="33"/>
      <c r="L3" s="26" t="s">
        <v>29</v>
      </c>
      <c r="M3" s="5"/>
      <c r="N3" s="34"/>
      <c r="O3" s="28"/>
      <c r="P3" s="28"/>
      <c r="Q3" s="24"/>
    </row>
    <row r="4">
      <c r="A4" s="24"/>
      <c r="B4" s="18"/>
      <c r="C4" s="29" t="s">
        <v>50</v>
      </c>
      <c r="D4" s="29" t="s">
        <v>51</v>
      </c>
      <c r="E4" s="18"/>
      <c r="F4" s="29" t="str">
        <f t="shared" ref="F4:G4" si="1">C4</f>
        <v>Datalake</v>
      </c>
      <c r="G4" s="29" t="str">
        <f t="shared" si="1"/>
        <v>GA (Google Analytics)</v>
      </c>
      <c r="H4" s="18"/>
      <c r="I4" s="29" t="str">
        <f>F4</f>
        <v>Datalake</v>
      </c>
      <c r="J4" s="29" t="s">
        <v>52</v>
      </c>
      <c r="K4" s="18"/>
      <c r="L4" s="29" t="str">
        <f t="shared" ref="L4:M4" si="2">I4</f>
        <v>Datalake</v>
      </c>
      <c r="M4" s="29" t="str">
        <f t="shared" si="2"/>
        <v>CM (Campaing Manager)</v>
      </c>
      <c r="N4" s="34"/>
      <c r="O4" s="28"/>
      <c r="P4" s="28"/>
      <c r="Q4" s="24"/>
    </row>
    <row r="5">
      <c r="A5" s="24"/>
      <c r="B5" s="35">
        <v>44255.0</v>
      </c>
      <c r="C5" s="29">
        <v>662986.0</v>
      </c>
      <c r="D5" s="41">
        <v>662985.88</v>
      </c>
      <c r="E5" s="36">
        <f t="shared" ref="E5:E11" si="3">B5</f>
        <v>44255</v>
      </c>
      <c r="F5" s="37">
        <v>46055.0</v>
      </c>
      <c r="G5" s="42">
        <v>46060.0</v>
      </c>
      <c r="H5" s="36">
        <f t="shared" ref="H5:H11" si="4">E5</f>
        <v>44255</v>
      </c>
      <c r="I5" s="29">
        <v>288064.0</v>
      </c>
      <c r="J5" s="29">
        <v>288064.0</v>
      </c>
      <c r="K5" s="36">
        <f t="shared" ref="K5:K11" si="5">H5</f>
        <v>44255</v>
      </c>
      <c r="L5" s="29">
        <v>11692.0</v>
      </c>
      <c r="M5" s="29">
        <v>11692.0</v>
      </c>
      <c r="N5" s="34"/>
      <c r="O5" s="28"/>
      <c r="P5" s="28"/>
      <c r="Q5" s="24"/>
    </row>
    <row r="6">
      <c r="A6" s="24"/>
      <c r="B6" s="35">
        <f t="shared" ref="B6:B11" si="6">B5-1</f>
        <v>44254</v>
      </c>
      <c r="C6" s="29">
        <v>559571.0</v>
      </c>
      <c r="D6" s="41">
        <v>559570.83</v>
      </c>
      <c r="E6" s="36">
        <f t="shared" si="3"/>
        <v>44254</v>
      </c>
      <c r="F6" s="37">
        <v>42241.0</v>
      </c>
      <c r="G6" s="42">
        <v>42259.0</v>
      </c>
      <c r="H6" s="36">
        <f t="shared" si="4"/>
        <v>44254</v>
      </c>
      <c r="I6" s="29">
        <v>283899.0</v>
      </c>
      <c r="J6" s="29">
        <v>283899.0</v>
      </c>
      <c r="K6" s="36">
        <f t="shared" si="5"/>
        <v>44254</v>
      </c>
      <c r="L6" s="37">
        <v>10882.0</v>
      </c>
      <c r="M6" s="37">
        <v>10883.0</v>
      </c>
      <c r="N6" s="34"/>
      <c r="O6" s="28"/>
      <c r="P6" s="28"/>
      <c r="Q6" s="24"/>
    </row>
    <row r="7">
      <c r="A7" s="24"/>
      <c r="B7" s="35">
        <f t="shared" si="6"/>
        <v>44253</v>
      </c>
      <c r="C7" s="29">
        <v>691305.0</v>
      </c>
      <c r="D7" s="29">
        <v>691304.82</v>
      </c>
      <c r="E7" s="36">
        <f t="shared" si="3"/>
        <v>44253</v>
      </c>
      <c r="F7" s="37">
        <v>75192.0</v>
      </c>
      <c r="G7" s="37">
        <v>75211.0</v>
      </c>
      <c r="H7" s="36">
        <f t="shared" si="4"/>
        <v>44253</v>
      </c>
      <c r="I7" s="29">
        <v>171932.0</v>
      </c>
      <c r="J7" s="29">
        <v>171932.0</v>
      </c>
      <c r="K7" s="36">
        <f t="shared" si="5"/>
        <v>44253</v>
      </c>
      <c r="L7" s="37">
        <v>26276.0</v>
      </c>
      <c r="M7" s="37">
        <v>26277.0</v>
      </c>
      <c r="N7" s="34"/>
      <c r="O7" s="28"/>
      <c r="P7" s="28"/>
      <c r="Q7" s="24"/>
    </row>
    <row r="8">
      <c r="A8" s="24"/>
      <c r="B8" s="35">
        <f t="shared" si="6"/>
        <v>44252</v>
      </c>
      <c r="C8" s="29">
        <v>693139.0</v>
      </c>
      <c r="D8" s="29">
        <v>693138.82</v>
      </c>
      <c r="E8" s="36">
        <f t="shared" si="3"/>
        <v>44252</v>
      </c>
      <c r="F8" s="37">
        <v>69388.0</v>
      </c>
      <c r="G8" s="37">
        <v>69412.0</v>
      </c>
      <c r="H8" s="36">
        <f t="shared" si="4"/>
        <v>44252</v>
      </c>
      <c r="I8" s="29">
        <v>178237.0</v>
      </c>
      <c r="J8" s="29">
        <v>178237.0</v>
      </c>
      <c r="K8" s="36">
        <f t="shared" si="5"/>
        <v>44252</v>
      </c>
      <c r="L8" s="37">
        <v>21122.0</v>
      </c>
      <c r="M8" s="37">
        <v>21124.0</v>
      </c>
      <c r="N8" s="34"/>
      <c r="O8" s="28"/>
      <c r="P8" s="28"/>
      <c r="Q8" s="24"/>
    </row>
    <row r="9">
      <c r="A9" s="24"/>
      <c r="B9" s="35">
        <f t="shared" si="6"/>
        <v>44251</v>
      </c>
      <c r="C9" s="37">
        <v>742171.0</v>
      </c>
      <c r="D9" s="37">
        <v>742762.26</v>
      </c>
      <c r="E9" s="36">
        <f t="shared" si="3"/>
        <v>44251</v>
      </c>
      <c r="F9" s="37">
        <v>71372.0</v>
      </c>
      <c r="G9" s="37">
        <v>71862.0</v>
      </c>
      <c r="H9" s="36">
        <f t="shared" si="4"/>
        <v>44251</v>
      </c>
      <c r="I9" s="29">
        <v>178785.0</v>
      </c>
      <c r="J9" s="29">
        <v>178785.0</v>
      </c>
      <c r="K9" s="36">
        <f t="shared" si="5"/>
        <v>44251</v>
      </c>
      <c r="L9" s="37">
        <v>12940.0</v>
      </c>
      <c r="M9" s="37">
        <v>12941.0</v>
      </c>
      <c r="N9" s="34"/>
      <c r="O9" s="28"/>
      <c r="P9" s="28"/>
      <c r="Q9" s="24"/>
    </row>
    <row r="10">
      <c r="A10" s="24"/>
      <c r="B10" s="35">
        <f t="shared" si="6"/>
        <v>44250</v>
      </c>
      <c r="C10" s="29">
        <v>817999.0</v>
      </c>
      <c r="D10" s="29">
        <v>817998.94</v>
      </c>
      <c r="E10" s="36">
        <f t="shared" si="3"/>
        <v>44250</v>
      </c>
      <c r="F10" s="37">
        <v>72925.0</v>
      </c>
      <c r="G10" s="37">
        <v>72928.0</v>
      </c>
      <c r="H10" s="36">
        <f t="shared" si="4"/>
        <v>44250</v>
      </c>
      <c r="I10" s="29">
        <v>311931.0</v>
      </c>
      <c r="J10" s="29">
        <v>311931.0</v>
      </c>
      <c r="K10" s="36">
        <f t="shared" si="5"/>
        <v>44250</v>
      </c>
      <c r="L10" s="37">
        <v>16146.0</v>
      </c>
      <c r="M10" s="37">
        <v>16148.0</v>
      </c>
      <c r="N10" s="34"/>
      <c r="O10" s="28"/>
      <c r="P10" s="28"/>
      <c r="Q10" s="24"/>
    </row>
    <row r="11">
      <c r="A11" s="24"/>
      <c r="B11" s="35">
        <f t="shared" si="6"/>
        <v>44249</v>
      </c>
      <c r="C11" s="29">
        <v>727843.0</v>
      </c>
      <c r="D11" s="29">
        <v>727842.62</v>
      </c>
      <c r="E11" s="36">
        <f t="shared" si="3"/>
        <v>44249</v>
      </c>
      <c r="F11" s="37">
        <v>50338.0</v>
      </c>
      <c r="G11" s="37">
        <v>50351.0</v>
      </c>
      <c r="H11" s="36">
        <f t="shared" si="4"/>
        <v>44249</v>
      </c>
      <c r="I11" s="29">
        <v>180700.0</v>
      </c>
      <c r="J11" s="29">
        <v>180700.0</v>
      </c>
      <c r="K11" s="36">
        <f t="shared" si="5"/>
        <v>44249</v>
      </c>
      <c r="L11" s="37">
        <v>12070.0</v>
      </c>
      <c r="M11" s="37">
        <v>12072.0</v>
      </c>
      <c r="N11" s="34"/>
      <c r="O11" s="28"/>
      <c r="P11" s="28"/>
      <c r="Q11" s="24"/>
    </row>
    <row r="12">
      <c r="A12" s="24"/>
      <c r="B12" s="38"/>
      <c r="C12" s="24"/>
      <c r="D12" s="24"/>
      <c r="E12" s="38"/>
      <c r="F12" s="24"/>
      <c r="G12" s="24"/>
      <c r="H12" s="38"/>
      <c r="I12" s="24"/>
      <c r="J12" s="24"/>
      <c r="K12" s="38"/>
      <c r="L12" s="24"/>
      <c r="M12" s="24"/>
      <c r="N12" s="38"/>
      <c r="O12" s="24"/>
      <c r="P12" s="24"/>
      <c r="Q12" s="24"/>
    </row>
    <row r="13">
      <c r="A13" s="24"/>
      <c r="B13" s="32"/>
      <c r="C13" s="26" t="s">
        <v>32</v>
      </c>
      <c r="D13" s="5"/>
      <c r="E13" s="32"/>
      <c r="F13" s="26" t="s">
        <v>23</v>
      </c>
      <c r="G13" s="5"/>
      <c r="H13" s="32"/>
      <c r="I13" s="26" t="s">
        <v>26</v>
      </c>
      <c r="J13" s="5"/>
      <c r="K13" s="32"/>
      <c r="L13" s="26" t="s">
        <v>29</v>
      </c>
      <c r="M13" s="5"/>
      <c r="N13" s="32"/>
      <c r="O13" s="26" t="s">
        <v>32</v>
      </c>
      <c r="P13" s="5"/>
      <c r="Q13" s="24"/>
    </row>
    <row r="14">
      <c r="A14" s="24"/>
      <c r="B14" s="18"/>
      <c r="C14" s="29" t="s">
        <v>50</v>
      </c>
      <c r="D14" s="29" t="s">
        <v>46</v>
      </c>
      <c r="E14" s="18"/>
      <c r="F14" s="29" t="s">
        <v>50</v>
      </c>
      <c r="G14" s="29" t="s">
        <v>46</v>
      </c>
      <c r="H14" s="18"/>
      <c r="I14" s="29" t="s">
        <v>50</v>
      </c>
      <c r="J14" s="29" t="s">
        <v>60</v>
      </c>
      <c r="K14" s="18"/>
      <c r="L14" s="29" t="s">
        <v>50</v>
      </c>
      <c r="M14" s="29" t="s">
        <v>60</v>
      </c>
      <c r="N14" s="18"/>
      <c r="O14" s="29" t="s">
        <v>50</v>
      </c>
      <c r="P14" s="29" t="s">
        <v>60</v>
      </c>
      <c r="Q14" s="24"/>
    </row>
    <row r="15">
      <c r="A15" s="24"/>
      <c r="B15" s="36">
        <f t="shared" ref="B15:B21" si="7">B5</f>
        <v>44255</v>
      </c>
      <c r="C15" s="29" t="s">
        <v>62</v>
      </c>
      <c r="D15" s="30"/>
      <c r="E15" s="36">
        <f t="shared" ref="E15:E21" si="8">B15</f>
        <v>44255</v>
      </c>
      <c r="F15" s="29" t="s">
        <v>62</v>
      </c>
      <c r="G15" s="30"/>
      <c r="H15" s="36">
        <f t="shared" ref="H15:H21" si="9">E15</f>
        <v>44255</v>
      </c>
      <c r="I15" s="37">
        <v>249175.0</v>
      </c>
      <c r="J15" s="37">
        <v>249657.0</v>
      </c>
      <c r="K15" s="36">
        <f t="shared" ref="K15:K21" si="10">H15</f>
        <v>44255</v>
      </c>
      <c r="L15" s="37" t="s">
        <v>62</v>
      </c>
      <c r="M15" s="37">
        <v>12.0</v>
      </c>
      <c r="N15" s="36">
        <f t="shared" ref="N15:N21" si="11">K15</f>
        <v>44255</v>
      </c>
      <c r="O15" s="37">
        <v>2014.0</v>
      </c>
      <c r="P15" s="37">
        <v>2016.82</v>
      </c>
      <c r="Q15" s="24"/>
    </row>
    <row r="16">
      <c r="A16" s="24"/>
      <c r="B16" s="36">
        <f t="shared" si="7"/>
        <v>44254</v>
      </c>
      <c r="C16" s="29" t="s">
        <v>62</v>
      </c>
      <c r="D16" s="30"/>
      <c r="E16" s="36">
        <f t="shared" si="8"/>
        <v>44254</v>
      </c>
      <c r="F16" s="29" t="s">
        <v>62</v>
      </c>
      <c r="G16" s="30"/>
      <c r="H16" s="36">
        <f t="shared" si="9"/>
        <v>44254</v>
      </c>
      <c r="I16" s="29">
        <v>223595.0</v>
      </c>
      <c r="J16" s="29">
        <v>223595.0</v>
      </c>
      <c r="K16" s="36">
        <f t="shared" si="10"/>
        <v>44254</v>
      </c>
      <c r="L16" s="37" t="s">
        <v>62</v>
      </c>
      <c r="M16" s="37">
        <v>12.0</v>
      </c>
      <c r="N16" s="36">
        <f t="shared" si="11"/>
        <v>44254</v>
      </c>
      <c r="O16" s="29">
        <v>1993.0</v>
      </c>
      <c r="P16" s="29">
        <v>1993.44</v>
      </c>
      <c r="Q16" s="24"/>
    </row>
    <row r="17">
      <c r="A17" s="24"/>
      <c r="B17" s="36">
        <f t="shared" si="7"/>
        <v>44253</v>
      </c>
      <c r="C17" s="29" t="s">
        <v>62</v>
      </c>
      <c r="D17" s="30"/>
      <c r="E17" s="36">
        <f t="shared" si="8"/>
        <v>44253</v>
      </c>
      <c r="F17" s="29" t="s">
        <v>62</v>
      </c>
      <c r="G17" s="30"/>
      <c r="H17" s="36">
        <f t="shared" si="9"/>
        <v>44253</v>
      </c>
      <c r="I17" s="37">
        <v>889867.0</v>
      </c>
      <c r="J17" s="37">
        <v>890986.0</v>
      </c>
      <c r="K17" s="36">
        <f t="shared" si="10"/>
        <v>44253</v>
      </c>
      <c r="L17" s="37" t="s">
        <v>62</v>
      </c>
      <c r="M17" s="37">
        <v>12.0</v>
      </c>
      <c r="N17" s="36">
        <f t="shared" si="11"/>
        <v>44253</v>
      </c>
      <c r="O17" s="37">
        <v>9633.0</v>
      </c>
      <c r="P17" s="37">
        <v>9647.43</v>
      </c>
      <c r="Q17" s="24"/>
    </row>
    <row r="18">
      <c r="A18" s="24"/>
      <c r="B18" s="36">
        <f t="shared" si="7"/>
        <v>44252</v>
      </c>
      <c r="C18" s="29" t="s">
        <v>62</v>
      </c>
      <c r="D18" s="30"/>
      <c r="E18" s="36">
        <f t="shared" si="8"/>
        <v>44252</v>
      </c>
      <c r="F18" s="29" t="s">
        <v>62</v>
      </c>
      <c r="G18" s="30"/>
      <c r="H18" s="36">
        <f t="shared" si="9"/>
        <v>44252</v>
      </c>
      <c r="I18" s="37">
        <v>485048.0</v>
      </c>
      <c r="J18" s="37">
        <v>489822.0</v>
      </c>
      <c r="K18" s="36">
        <f t="shared" si="10"/>
        <v>44252</v>
      </c>
      <c r="L18" s="37" t="s">
        <v>62</v>
      </c>
      <c r="M18" s="37">
        <v>12.0</v>
      </c>
      <c r="N18" s="36">
        <f t="shared" si="11"/>
        <v>44252</v>
      </c>
      <c r="O18" s="37">
        <v>4096.0</v>
      </c>
      <c r="P18" s="37">
        <v>4108.97</v>
      </c>
      <c r="Q18" s="24"/>
    </row>
    <row r="19">
      <c r="A19" s="24"/>
      <c r="B19" s="36">
        <f t="shared" si="7"/>
        <v>44251</v>
      </c>
      <c r="C19" s="29">
        <v>482.0</v>
      </c>
      <c r="D19" s="30"/>
      <c r="E19" s="36">
        <f t="shared" si="8"/>
        <v>44251</v>
      </c>
      <c r="F19" s="29" t="s">
        <v>62</v>
      </c>
      <c r="G19" s="30"/>
      <c r="H19" s="36">
        <f t="shared" si="9"/>
        <v>44251</v>
      </c>
      <c r="I19" s="37">
        <v>345069.0</v>
      </c>
      <c r="J19" s="37">
        <v>345604.0</v>
      </c>
      <c r="K19" s="36">
        <f t="shared" si="10"/>
        <v>44251</v>
      </c>
      <c r="L19" s="37" t="s">
        <v>62</v>
      </c>
      <c r="M19" s="37">
        <v>12.0</v>
      </c>
      <c r="N19" s="36">
        <f t="shared" si="11"/>
        <v>44251</v>
      </c>
      <c r="O19" s="37">
        <v>3247.0</v>
      </c>
      <c r="P19" s="37">
        <v>3252.45</v>
      </c>
      <c r="Q19" s="24"/>
    </row>
    <row r="20">
      <c r="A20" s="24"/>
      <c r="B20" s="36">
        <f t="shared" si="7"/>
        <v>44250</v>
      </c>
      <c r="C20" s="29">
        <v>99.0</v>
      </c>
      <c r="D20" s="30"/>
      <c r="E20" s="36">
        <f t="shared" si="8"/>
        <v>44250</v>
      </c>
      <c r="F20" s="29" t="s">
        <v>62</v>
      </c>
      <c r="G20" s="30"/>
      <c r="H20" s="36">
        <f t="shared" si="9"/>
        <v>44250</v>
      </c>
      <c r="I20" s="37">
        <v>56868.0</v>
      </c>
      <c r="J20" s="37">
        <v>548505.0</v>
      </c>
      <c r="K20" s="36">
        <f t="shared" si="10"/>
        <v>44250</v>
      </c>
      <c r="L20" s="37" t="s">
        <v>62</v>
      </c>
      <c r="M20" s="37">
        <v>12.0</v>
      </c>
      <c r="N20" s="36">
        <f t="shared" si="11"/>
        <v>44250</v>
      </c>
      <c r="O20" s="37">
        <v>353.99</v>
      </c>
      <c r="P20" s="37">
        <v>4233.13</v>
      </c>
      <c r="Q20" s="24"/>
    </row>
    <row r="21">
      <c r="A21" s="24"/>
      <c r="B21" s="36">
        <f t="shared" si="7"/>
        <v>44249</v>
      </c>
      <c r="C21" s="29" t="s">
        <v>62</v>
      </c>
      <c r="D21" s="30"/>
      <c r="E21" s="36">
        <f t="shared" si="8"/>
        <v>44249</v>
      </c>
      <c r="F21" s="29" t="s">
        <v>62</v>
      </c>
      <c r="G21" s="30"/>
      <c r="H21" s="36">
        <f t="shared" si="9"/>
        <v>44249</v>
      </c>
      <c r="I21" s="37">
        <v>396694.0</v>
      </c>
      <c r="J21" s="37">
        <v>224895.0</v>
      </c>
      <c r="K21" s="36">
        <f t="shared" si="10"/>
        <v>44249</v>
      </c>
      <c r="L21" s="37" t="s">
        <v>62</v>
      </c>
      <c r="M21" s="37">
        <v>12.0</v>
      </c>
      <c r="N21" s="36">
        <f t="shared" si="11"/>
        <v>44249</v>
      </c>
      <c r="O21" s="37">
        <v>3429.9</v>
      </c>
      <c r="P21" s="37">
        <v>1339.05</v>
      </c>
      <c r="Q21" s="24"/>
    </row>
    <row r="22">
      <c r="A22" s="24"/>
      <c r="B22" s="38"/>
      <c r="C22" s="24"/>
      <c r="D22" s="24"/>
      <c r="E22" s="38"/>
      <c r="F22" s="24"/>
      <c r="G22" s="24"/>
      <c r="H22" s="38"/>
      <c r="I22" s="24"/>
      <c r="J22" s="24"/>
      <c r="K22" s="38"/>
      <c r="L22" s="24"/>
      <c r="M22" s="24"/>
      <c r="N22" s="38"/>
      <c r="O22" s="24"/>
      <c r="P22" s="24"/>
      <c r="Q22" s="24"/>
    </row>
    <row r="23">
      <c r="A23" s="24"/>
      <c r="B23" s="32"/>
      <c r="C23" s="26" t="s">
        <v>26</v>
      </c>
      <c r="D23" s="5"/>
      <c r="E23" s="32"/>
      <c r="F23" s="26" t="s">
        <v>29</v>
      </c>
      <c r="G23" s="5"/>
      <c r="H23" s="32"/>
      <c r="I23" s="26" t="s">
        <v>32</v>
      </c>
      <c r="J23" s="5"/>
      <c r="K23" s="36"/>
      <c r="L23" s="26" t="s">
        <v>32</v>
      </c>
      <c r="M23" s="5"/>
      <c r="N23" s="32"/>
      <c r="O23" s="26" t="s">
        <v>32</v>
      </c>
      <c r="P23" s="5"/>
      <c r="Q23" s="24"/>
    </row>
    <row r="24">
      <c r="A24" s="24"/>
      <c r="B24" s="18"/>
      <c r="C24" s="29" t="s">
        <v>50</v>
      </c>
      <c r="D24" s="29" t="s">
        <v>36</v>
      </c>
      <c r="E24" s="18"/>
      <c r="F24" s="29" t="s">
        <v>50</v>
      </c>
      <c r="G24" s="29" t="s">
        <v>36</v>
      </c>
      <c r="H24" s="18"/>
      <c r="I24" s="29" t="s">
        <v>50</v>
      </c>
      <c r="J24" s="29" t="s">
        <v>36</v>
      </c>
      <c r="K24" s="36"/>
      <c r="L24" s="30" t="str">
        <f>L4</f>
        <v>Datalake</v>
      </c>
      <c r="M24" s="29" t="s">
        <v>38</v>
      </c>
      <c r="N24" s="18"/>
      <c r="O24" s="30" t="str">
        <f>I24</f>
        <v>Datalake</v>
      </c>
      <c r="P24" s="29" t="s">
        <v>61</v>
      </c>
      <c r="Q24" s="24"/>
    </row>
    <row r="25">
      <c r="A25" s="24"/>
      <c r="B25" s="36">
        <f t="shared" ref="B25:B31" si="12">B15</f>
        <v>44255</v>
      </c>
      <c r="C25" s="29">
        <v>17093.0</v>
      </c>
      <c r="D25" s="29">
        <v>17093.0</v>
      </c>
      <c r="E25" s="36">
        <f t="shared" ref="E25:E31" si="13">B25</f>
        <v>44255</v>
      </c>
      <c r="F25" s="29">
        <v>2026.0</v>
      </c>
      <c r="G25" s="29">
        <v>2026.0</v>
      </c>
      <c r="H25" s="36">
        <f t="shared" ref="H25:H31" si="14">E25</f>
        <v>44255</v>
      </c>
      <c r="I25" s="29">
        <v>1746.49</v>
      </c>
      <c r="J25" s="29">
        <v>1746.49</v>
      </c>
      <c r="K25" s="36">
        <f t="shared" ref="K25:K31" si="15">K5</f>
        <v>44255</v>
      </c>
      <c r="L25" s="29">
        <v>703.0</v>
      </c>
      <c r="M25" s="30"/>
      <c r="N25" s="36">
        <f t="shared" ref="N25:N31" si="16">H25</f>
        <v>44255</v>
      </c>
      <c r="O25" s="29">
        <v>208.0</v>
      </c>
      <c r="P25" s="29">
        <v>208.35</v>
      </c>
      <c r="Q25" s="24"/>
    </row>
    <row r="26">
      <c r="A26" s="24"/>
      <c r="B26" s="36">
        <f t="shared" si="12"/>
        <v>44254</v>
      </c>
      <c r="C26" s="29">
        <v>14085.0</v>
      </c>
      <c r="D26" s="29">
        <v>14085.0</v>
      </c>
      <c r="E26" s="36">
        <f t="shared" si="13"/>
        <v>44254</v>
      </c>
      <c r="F26" s="29">
        <v>1698.0</v>
      </c>
      <c r="G26" s="29">
        <v>1698.0</v>
      </c>
      <c r="H26" s="36">
        <f t="shared" si="14"/>
        <v>44254</v>
      </c>
      <c r="I26" s="29">
        <v>1652.68</v>
      </c>
      <c r="J26" s="29">
        <v>1652.67</v>
      </c>
      <c r="K26" s="36">
        <f t="shared" si="15"/>
        <v>44254</v>
      </c>
      <c r="L26" s="29">
        <v>547.0</v>
      </c>
      <c r="M26" s="30"/>
      <c r="N26" s="36">
        <f t="shared" si="16"/>
        <v>44254</v>
      </c>
      <c r="O26" s="29">
        <v>319.0</v>
      </c>
      <c r="P26" s="29">
        <v>319.32</v>
      </c>
      <c r="Q26" s="24"/>
    </row>
    <row r="27">
      <c r="A27" s="24"/>
      <c r="B27" s="36">
        <f t="shared" si="12"/>
        <v>44253</v>
      </c>
      <c r="C27" s="29">
        <v>18261.0</v>
      </c>
      <c r="D27" s="29">
        <v>18261.0</v>
      </c>
      <c r="E27" s="36">
        <f t="shared" si="13"/>
        <v>44253</v>
      </c>
      <c r="F27" s="29">
        <v>2261.0</v>
      </c>
      <c r="G27" s="29">
        <v>2261.0</v>
      </c>
      <c r="H27" s="36">
        <f t="shared" si="14"/>
        <v>44253</v>
      </c>
      <c r="I27" s="29">
        <v>2420.7</v>
      </c>
      <c r="J27" s="29">
        <v>2420.7</v>
      </c>
      <c r="K27" s="36">
        <f t="shared" si="15"/>
        <v>44253</v>
      </c>
      <c r="L27" s="29">
        <v>446.0</v>
      </c>
      <c r="M27" s="30"/>
      <c r="N27" s="36">
        <f t="shared" si="16"/>
        <v>44253</v>
      </c>
      <c r="O27" s="29">
        <v>390.0</v>
      </c>
      <c r="P27" s="29">
        <v>390.0</v>
      </c>
      <c r="Q27" s="24"/>
    </row>
    <row r="28">
      <c r="A28" s="24"/>
      <c r="B28" s="36">
        <f t="shared" si="12"/>
        <v>44252</v>
      </c>
      <c r="C28" s="29">
        <v>19996.0</v>
      </c>
      <c r="D28" s="29">
        <v>19996.0</v>
      </c>
      <c r="E28" s="36">
        <f t="shared" si="13"/>
        <v>44252</v>
      </c>
      <c r="F28" s="29">
        <v>2767.0</v>
      </c>
      <c r="G28" s="29">
        <v>2767.0</v>
      </c>
      <c r="H28" s="36">
        <f t="shared" si="14"/>
        <v>44252</v>
      </c>
      <c r="I28" s="29">
        <v>3054.67</v>
      </c>
      <c r="J28" s="29">
        <v>3054.67</v>
      </c>
      <c r="K28" s="36">
        <f t="shared" si="15"/>
        <v>44252</v>
      </c>
      <c r="L28" s="29">
        <v>446.0</v>
      </c>
      <c r="M28" s="30"/>
      <c r="N28" s="36">
        <f t="shared" si="16"/>
        <v>44252</v>
      </c>
      <c r="O28" s="29">
        <v>453.0</v>
      </c>
      <c r="P28" s="29">
        <v>453.0</v>
      </c>
      <c r="Q28" s="24"/>
    </row>
    <row r="29">
      <c r="A29" s="24"/>
      <c r="B29" s="36">
        <f t="shared" si="12"/>
        <v>44251</v>
      </c>
      <c r="C29" s="29">
        <v>21123.0</v>
      </c>
      <c r="D29" s="29">
        <v>21123.0</v>
      </c>
      <c r="E29" s="36">
        <f t="shared" si="13"/>
        <v>44251</v>
      </c>
      <c r="F29" s="29">
        <v>2764.0</v>
      </c>
      <c r="G29" s="29">
        <v>2764.0</v>
      </c>
      <c r="H29" s="36">
        <f t="shared" si="14"/>
        <v>44251</v>
      </c>
      <c r="I29" s="29">
        <v>2773.87</v>
      </c>
      <c r="J29" s="29">
        <v>2773.87</v>
      </c>
      <c r="K29" s="36">
        <f t="shared" si="15"/>
        <v>44251</v>
      </c>
      <c r="L29" s="29">
        <v>325.0</v>
      </c>
      <c r="M29" s="30"/>
      <c r="N29" s="36">
        <f t="shared" si="16"/>
        <v>44251</v>
      </c>
      <c r="O29" s="29">
        <v>192.0</v>
      </c>
      <c r="P29" s="29">
        <v>192.0</v>
      </c>
      <c r="Q29" s="24"/>
    </row>
    <row r="30">
      <c r="A30" s="24"/>
      <c r="B30" s="36">
        <f t="shared" si="12"/>
        <v>44250</v>
      </c>
      <c r="C30" s="29">
        <v>24433.0</v>
      </c>
      <c r="D30" s="29">
        <v>24433.0</v>
      </c>
      <c r="E30" s="36">
        <f t="shared" si="13"/>
        <v>44250</v>
      </c>
      <c r="F30" s="29">
        <v>3557.0</v>
      </c>
      <c r="G30" s="29">
        <v>3557.0</v>
      </c>
      <c r="H30" s="36">
        <f t="shared" si="14"/>
        <v>44250</v>
      </c>
      <c r="I30" s="29">
        <v>3561.06</v>
      </c>
      <c r="J30" s="29">
        <v>3561.06</v>
      </c>
      <c r="K30" s="36">
        <f t="shared" si="15"/>
        <v>44250</v>
      </c>
      <c r="L30" s="29">
        <v>523.897001</v>
      </c>
      <c r="M30" s="30"/>
      <c r="N30" s="36">
        <f t="shared" si="16"/>
        <v>44250</v>
      </c>
      <c r="O30" s="29">
        <v>342.14</v>
      </c>
      <c r="P30" s="29">
        <v>342.16</v>
      </c>
      <c r="Q30" s="24"/>
    </row>
    <row r="31">
      <c r="A31" s="24"/>
      <c r="B31" s="36">
        <f t="shared" si="12"/>
        <v>44249</v>
      </c>
      <c r="C31" s="29">
        <v>15879.0</v>
      </c>
      <c r="D31" s="29">
        <v>15879.0</v>
      </c>
      <c r="E31" s="36">
        <f t="shared" si="13"/>
        <v>44249</v>
      </c>
      <c r="F31" s="29">
        <v>2282.0</v>
      </c>
      <c r="G31" s="29">
        <v>2282.0</v>
      </c>
      <c r="H31" s="36">
        <f t="shared" si="14"/>
        <v>44249</v>
      </c>
      <c r="I31" s="29">
        <v>2677.49</v>
      </c>
      <c r="J31" s="29">
        <v>2677.49</v>
      </c>
      <c r="K31" s="36">
        <f t="shared" si="15"/>
        <v>44249</v>
      </c>
      <c r="L31" s="29">
        <v>635.427463</v>
      </c>
      <c r="M31" s="30"/>
      <c r="N31" s="36">
        <f t="shared" si="16"/>
        <v>44249</v>
      </c>
      <c r="O31" s="29">
        <v>282.14</v>
      </c>
      <c r="P31" s="29">
        <v>282.16</v>
      </c>
      <c r="Q31" s="24"/>
    </row>
    <row r="32">
      <c r="A32" s="24"/>
      <c r="B32" s="38"/>
      <c r="C32" s="24"/>
      <c r="D32" s="24"/>
      <c r="E32" s="38"/>
      <c r="F32" s="24"/>
      <c r="G32" s="24"/>
      <c r="H32" s="38"/>
      <c r="I32" s="24"/>
      <c r="J32" s="24"/>
      <c r="K32" s="38"/>
      <c r="L32" s="24"/>
      <c r="M32" s="24"/>
      <c r="N32" s="38"/>
      <c r="O32" s="24"/>
      <c r="P32" s="24"/>
      <c r="Q32" s="24"/>
    </row>
    <row r="33">
      <c r="A33" s="24"/>
      <c r="B33" s="32"/>
      <c r="C33" s="26" t="s">
        <v>32</v>
      </c>
      <c r="D33" s="5"/>
      <c r="E33" s="32"/>
      <c r="F33" s="26" t="s">
        <v>32</v>
      </c>
      <c r="G33" s="5"/>
      <c r="H33" s="32"/>
      <c r="I33" s="26" t="s">
        <v>26</v>
      </c>
      <c r="J33" s="5"/>
      <c r="K33" s="32"/>
      <c r="L33" s="26" t="s">
        <v>29</v>
      </c>
      <c r="M33" s="5"/>
      <c r="N33" s="32"/>
      <c r="O33" s="26" t="s">
        <v>32</v>
      </c>
      <c r="P33" s="5"/>
      <c r="Q33" s="24"/>
    </row>
    <row r="34">
      <c r="A34" s="24"/>
      <c r="B34" s="18"/>
      <c r="C34" s="30" t="str">
        <f>C14</f>
        <v>Datalake</v>
      </c>
      <c r="D34" s="29" t="s">
        <v>42</v>
      </c>
      <c r="E34" s="18"/>
      <c r="F34" s="30" t="str">
        <f>C34</f>
        <v>Datalake</v>
      </c>
      <c r="G34" s="29" t="s">
        <v>44</v>
      </c>
      <c r="H34" s="18"/>
      <c r="I34" s="29" t="s">
        <v>50</v>
      </c>
      <c r="J34" s="29" t="s">
        <v>31</v>
      </c>
      <c r="K34" s="18"/>
      <c r="L34" s="29" t="s">
        <v>50</v>
      </c>
      <c r="M34" s="29" t="s">
        <v>31</v>
      </c>
      <c r="N34" s="18"/>
      <c r="O34" s="29" t="s">
        <v>50</v>
      </c>
      <c r="P34" s="29" t="s">
        <v>31</v>
      </c>
      <c r="Q34" s="24"/>
    </row>
    <row r="35">
      <c r="A35" s="24"/>
      <c r="B35" s="36">
        <f t="shared" ref="B35:B41" si="17">B25</f>
        <v>44255</v>
      </c>
      <c r="C35" s="29" t="s">
        <v>62</v>
      </c>
      <c r="D35" s="29" t="s">
        <v>62</v>
      </c>
      <c r="E35" s="36">
        <f t="shared" ref="E35:E41" si="18">B35</f>
        <v>44255</v>
      </c>
      <c r="F35" s="29" t="s">
        <v>62</v>
      </c>
      <c r="G35" s="29" t="s">
        <v>62</v>
      </c>
      <c r="H35" s="36">
        <f t="shared" ref="H35:H41" si="19">E35</f>
        <v>44255</v>
      </c>
      <c r="I35" s="37">
        <v>361679.0</v>
      </c>
      <c r="J35" s="37">
        <v>361664.0</v>
      </c>
      <c r="K35" s="36">
        <f t="shared" ref="K35:K41" si="20">H35</f>
        <v>44255</v>
      </c>
      <c r="L35" s="37">
        <v>34875.0</v>
      </c>
      <c r="M35" s="37">
        <v>34913.0</v>
      </c>
      <c r="N35" s="36">
        <f t="shared" ref="N35:N41" si="21">K35</f>
        <v>44255</v>
      </c>
      <c r="O35" s="37">
        <v>27164.0</v>
      </c>
      <c r="P35" s="37">
        <v>27173.64</v>
      </c>
      <c r="Q35" s="24"/>
    </row>
    <row r="36">
      <c r="A36" s="24"/>
      <c r="B36" s="36">
        <f t="shared" si="17"/>
        <v>44254</v>
      </c>
      <c r="C36" s="29" t="s">
        <v>62</v>
      </c>
      <c r="D36" s="29" t="s">
        <v>62</v>
      </c>
      <c r="E36" s="36">
        <f t="shared" si="18"/>
        <v>44254</v>
      </c>
      <c r="F36" s="29" t="s">
        <v>62</v>
      </c>
      <c r="G36" s="29" t="s">
        <v>62</v>
      </c>
      <c r="H36" s="36">
        <f t="shared" si="19"/>
        <v>44254</v>
      </c>
      <c r="I36" s="29">
        <v>242649.0</v>
      </c>
      <c r="J36" s="29">
        <v>242649.0</v>
      </c>
      <c r="K36" s="36">
        <f t="shared" si="20"/>
        <v>44254</v>
      </c>
      <c r="L36" s="29">
        <v>30491.0</v>
      </c>
      <c r="M36" s="29">
        <v>30491.0</v>
      </c>
      <c r="N36" s="36">
        <f t="shared" si="21"/>
        <v>44254</v>
      </c>
      <c r="O36" s="29">
        <v>24272.0</v>
      </c>
      <c r="P36" s="29">
        <v>24271.67</v>
      </c>
      <c r="Q36" s="24"/>
    </row>
    <row r="37">
      <c r="A37" s="24"/>
      <c r="B37" s="36">
        <f t="shared" si="17"/>
        <v>44253</v>
      </c>
      <c r="C37" s="29" t="s">
        <v>62</v>
      </c>
      <c r="D37" s="29" t="s">
        <v>62</v>
      </c>
      <c r="E37" s="36">
        <f t="shared" si="18"/>
        <v>44253</v>
      </c>
      <c r="F37" s="29" t="s">
        <v>62</v>
      </c>
      <c r="G37" s="29" t="s">
        <v>62</v>
      </c>
      <c r="H37" s="36">
        <f t="shared" si="19"/>
        <v>44253</v>
      </c>
      <c r="I37" s="37">
        <v>782777.0</v>
      </c>
      <c r="J37" s="37">
        <v>782975.0</v>
      </c>
      <c r="K37" s="36">
        <f t="shared" si="20"/>
        <v>44253</v>
      </c>
      <c r="L37" s="37">
        <v>57003.0</v>
      </c>
      <c r="M37" s="37">
        <v>57031.0</v>
      </c>
      <c r="N37" s="36">
        <f t="shared" si="21"/>
        <v>44253</v>
      </c>
      <c r="O37" s="37">
        <v>36629.0</v>
      </c>
      <c r="P37" s="37">
        <v>36634.1</v>
      </c>
      <c r="Q37" s="24"/>
    </row>
    <row r="38">
      <c r="A38" s="24"/>
      <c r="B38" s="36">
        <f t="shared" si="17"/>
        <v>44252</v>
      </c>
      <c r="C38" s="29" t="s">
        <v>62</v>
      </c>
      <c r="D38" s="29" t="s">
        <v>62</v>
      </c>
      <c r="E38" s="36">
        <f t="shared" si="18"/>
        <v>44252</v>
      </c>
      <c r="F38" s="29" t="s">
        <v>62</v>
      </c>
      <c r="G38" s="29" t="s">
        <v>62</v>
      </c>
      <c r="H38" s="36">
        <f t="shared" si="19"/>
        <v>44252</v>
      </c>
      <c r="I38" s="37">
        <v>686507.0</v>
      </c>
      <c r="J38" s="37">
        <v>686548.0</v>
      </c>
      <c r="K38" s="36">
        <f t="shared" si="20"/>
        <v>44252</v>
      </c>
      <c r="L38" s="37">
        <v>59254.0</v>
      </c>
      <c r="M38" s="37">
        <v>59382.0</v>
      </c>
      <c r="N38" s="36">
        <f t="shared" si="21"/>
        <v>44252</v>
      </c>
      <c r="O38" s="37">
        <v>39061.0</v>
      </c>
      <c r="P38" s="37">
        <v>39095.95</v>
      </c>
      <c r="Q38" s="24"/>
    </row>
    <row r="39">
      <c r="A39" s="24"/>
      <c r="B39" s="36">
        <f t="shared" si="17"/>
        <v>44251</v>
      </c>
      <c r="C39" s="29" t="s">
        <v>62</v>
      </c>
      <c r="D39" s="29" t="s">
        <v>62</v>
      </c>
      <c r="E39" s="36">
        <f t="shared" si="18"/>
        <v>44251</v>
      </c>
      <c r="F39" s="29" t="s">
        <v>62</v>
      </c>
      <c r="G39" s="29" t="s">
        <v>62</v>
      </c>
      <c r="H39" s="36">
        <f t="shared" si="19"/>
        <v>44251</v>
      </c>
      <c r="I39" s="37">
        <v>771855.0</v>
      </c>
      <c r="J39" s="37">
        <v>771994.0</v>
      </c>
      <c r="K39" s="36">
        <f t="shared" si="20"/>
        <v>44251</v>
      </c>
      <c r="L39" s="37">
        <v>61947.0</v>
      </c>
      <c r="M39" s="37">
        <v>61996.0</v>
      </c>
      <c r="N39" s="36">
        <f t="shared" si="21"/>
        <v>44251</v>
      </c>
      <c r="O39" s="37">
        <v>45285.35761</v>
      </c>
      <c r="P39" s="37">
        <v>45294.49</v>
      </c>
      <c r="Q39" s="24"/>
    </row>
    <row r="40">
      <c r="A40" s="24"/>
      <c r="B40" s="36">
        <f t="shared" si="17"/>
        <v>44250</v>
      </c>
      <c r="C40" s="29" t="s">
        <v>62</v>
      </c>
      <c r="D40" s="29" t="s">
        <v>62</v>
      </c>
      <c r="E40" s="36">
        <f t="shared" si="18"/>
        <v>44250</v>
      </c>
      <c r="F40" s="29" t="s">
        <v>62</v>
      </c>
      <c r="G40" s="29" t="s">
        <v>62</v>
      </c>
      <c r="H40" s="36">
        <f t="shared" si="19"/>
        <v>44250</v>
      </c>
      <c r="I40" s="29">
        <v>522990.0</v>
      </c>
      <c r="J40" s="29">
        <v>522990.0</v>
      </c>
      <c r="K40" s="36">
        <f t="shared" si="20"/>
        <v>44250</v>
      </c>
      <c r="L40" s="29">
        <v>58173.0</v>
      </c>
      <c r="M40" s="29">
        <v>58173.0</v>
      </c>
      <c r="N40" s="36">
        <f t="shared" si="21"/>
        <v>44250</v>
      </c>
      <c r="O40" s="29">
        <v>43125.94189</v>
      </c>
      <c r="P40" s="29">
        <v>43125.94</v>
      </c>
      <c r="Q40" s="24"/>
    </row>
    <row r="41">
      <c r="A41" s="24"/>
      <c r="B41" s="36">
        <f t="shared" si="17"/>
        <v>44249</v>
      </c>
      <c r="C41" s="29" t="s">
        <v>62</v>
      </c>
      <c r="D41" s="29" t="s">
        <v>62</v>
      </c>
      <c r="E41" s="36">
        <f t="shared" si="18"/>
        <v>44249</v>
      </c>
      <c r="F41" s="29" t="s">
        <v>62</v>
      </c>
      <c r="G41" s="29" t="s">
        <v>62</v>
      </c>
      <c r="H41" s="36">
        <f t="shared" si="19"/>
        <v>44249</v>
      </c>
      <c r="I41" s="29">
        <v>268333.0</v>
      </c>
      <c r="J41" s="29">
        <v>268333.0</v>
      </c>
      <c r="K41" s="36">
        <f t="shared" si="20"/>
        <v>44249</v>
      </c>
      <c r="L41" s="29">
        <v>36452.0</v>
      </c>
      <c r="M41" s="29">
        <v>36452.0</v>
      </c>
      <c r="N41" s="36">
        <f t="shared" si="21"/>
        <v>44249</v>
      </c>
      <c r="O41" s="29">
        <v>22416.44209</v>
      </c>
      <c r="P41" s="29">
        <v>22416.44</v>
      </c>
      <c r="Q41" s="24"/>
    </row>
    <row r="42">
      <c r="A42" s="24"/>
      <c r="B42" s="38"/>
      <c r="C42" s="24"/>
      <c r="D42" s="24"/>
      <c r="E42" s="38"/>
      <c r="F42" s="24"/>
      <c r="G42" s="24"/>
      <c r="H42" s="38"/>
      <c r="I42" s="24"/>
      <c r="J42" s="24"/>
      <c r="K42" s="38"/>
      <c r="L42" s="24"/>
      <c r="M42" s="24"/>
      <c r="N42" s="38"/>
      <c r="O42" s="24"/>
      <c r="P42" s="24"/>
      <c r="Q42" s="24"/>
    </row>
  </sheetData>
  <mergeCells count="37">
    <mergeCell ref="C3:D3"/>
    <mergeCell ref="E3:E4"/>
    <mergeCell ref="F3:G3"/>
    <mergeCell ref="H3:H4"/>
    <mergeCell ref="I3:J3"/>
    <mergeCell ref="K3:K4"/>
    <mergeCell ref="L3:M3"/>
    <mergeCell ref="I13:J13"/>
    <mergeCell ref="L13:M13"/>
    <mergeCell ref="N13:N14"/>
    <mergeCell ref="O13:P13"/>
    <mergeCell ref="B3:B4"/>
    <mergeCell ref="B13:B14"/>
    <mergeCell ref="C13:D13"/>
    <mergeCell ref="E13:E14"/>
    <mergeCell ref="F13:G13"/>
    <mergeCell ref="H13:H14"/>
    <mergeCell ref="K13:K14"/>
    <mergeCell ref="L23:M23"/>
    <mergeCell ref="O23:P23"/>
    <mergeCell ref="B23:B24"/>
    <mergeCell ref="C23:D23"/>
    <mergeCell ref="E23:E24"/>
    <mergeCell ref="F23:G23"/>
    <mergeCell ref="H23:H24"/>
    <mergeCell ref="I23:J23"/>
    <mergeCell ref="N23:N24"/>
    <mergeCell ref="L33:M33"/>
    <mergeCell ref="N33:N34"/>
    <mergeCell ref="O33:P33"/>
    <mergeCell ref="B33:B34"/>
    <mergeCell ref="C33:D33"/>
    <mergeCell ref="E33:E34"/>
    <mergeCell ref="F33:G33"/>
    <mergeCell ref="H33:H34"/>
    <mergeCell ref="I33:J33"/>
    <mergeCell ref="K33:K34"/>
  </mergeCells>
  <drawing r:id="rId1"/>
</worksheet>
</file>